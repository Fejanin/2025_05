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C6C3D9CC-BD73-485C-9ECF-3C3A3CE435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Заказ!$F$1:$F$399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0" i="102" l="1"/>
  <c r="G391" i="102"/>
  <c r="G392" i="102"/>
  <c r="F393" i="102" l="1"/>
  <c r="G398" i="102"/>
  <c r="G397" i="102"/>
  <c r="G396" i="102"/>
  <c r="G395" i="102"/>
  <c r="G394" i="102"/>
  <c r="G393" i="102" l="1"/>
  <c r="G5" i="102"/>
  <c r="G6" i="102"/>
  <c r="G7" i="102"/>
  <c r="G8" i="102"/>
  <c r="G9" i="102"/>
  <c r="G10" i="102" l="1"/>
  <c r="G11" i="102"/>
  <c r="G12" i="102"/>
  <c r="G18" i="102" l="1"/>
  <c r="G156" i="102"/>
  <c r="G167" i="102"/>
  <c r="G15" i="102"/>
  <c r="G166" i="102"/>
  <c r="F354" i="102" l="1"/>
  <c r="F341" i="102"/>
  <c r="F319" i="102"/>
  <c r="F264" i="102"/>
  <c r="F179" i="102"/>
  <c r="G13" i="102"/>
  <c r="G14" i="102"/>
  <c r="G16" i="102"/>
  <c r="G17" i="102"/>
  <c r="G19" i="102"/>
  <c r="G20" i="102"/>
  <c r="G21" i="102"/>
  <c r="G22" i="102"/>
  <c r="G23" i="102"/>
  <c r="F3" i="102"/>
  <c r="F358" i="102" l="1"/>
  <c r="F348" i="102"/>
  <c r="F399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7" i="102"/>
  <c r="G158" i="102"/>
  <c r="G159" i="102"/>
  <c r="G160" i="102"/>
  <c r="G161" i="102"/>
  <c r="G162" i="102"/>
  <c r="G163" i="102"/>
  <c r="G164" i="102"/>
  <c r="G165" i="102"/>
  <c r="G168" i="102"/>
  <c r="G169" i="102"/>
  <c r="G170" i="102"/>
  <c r="G171" i="102"/>
  <c r="G172" i="102"/>
  <c r="G173" i="102"/>
  <c r="G174" i="102"/>
  <c r="G175" i="102"/>
  <c r="G176" i="102"/>
  <c r="G177" i="102"/>
  <c r="G178" i="102"/>
  <c r="G180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5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20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2" i="102"/>
  <c r="G343" i="102"/>
  <c r="G344" i="102"/>
  <c r="G345" i="102"/>
  <c r="G346" i="102"/>
  <c r="G347" i="102"/>
  <c r="G349" i="102"/>
  <c r="G350" i="102"/>
  <c r="G351" i="102"/>
  <c r="G352" i="102"/>
  <c r="G353" i="102"/>
  <c r="G355" i="102"/>
  <c r="G356" i="102"/>
  <c r="G357" i="102"/>
  <c r="G359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4" i="102"/>
  <c r="G3" i="102" l="1"/>
  <c r="G354" i="102"/>
  <c r="G319" i="102"/>
  <c r="G264" i="102"/>
  <c r="G179" i="102"/>
  <c r="G341" i="102"/>
  <c r="G358" i="102"/>
  <c r="G348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7" i="102"/>
  <c r="AC158" i="102"/>
  <c r="AC159" i="102"/>
  <c r="AC160" i="102"/>
  <c r="AC161" i="102"/>
  <c r="AC162" i="102"/>
  <c r="AC163" i="102"/>
  <c r="AC164" i="102"/>
  <c r="AC165" i="102"/>
  <c r="AC168" i="102"/>
  <c r="AC169" i="102"/>
  <c r="AC170" i="102"/>
  <c r="AC171" i="102"/>
  <c r="AC172" i="102"/>
  <c r="AC173" i="102"/>
  <c r="AC174" i="102"/>
  <c r="AC177" i="102"/>
  <c r="AC178" i="102"/>
  <c r="AC265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20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40" i="102"/>
  <c r="AC342" i="102"/>
  <c r="AC343" i="102"/>
  <c r="AC344" i="102"/>
  <c r="AC345" i="102"/>
  <c r="AC346" i="102"/>
  <c r="AC347" i="102"/>
  <c r="AC349" i="102"/>
  <c r="AC350" i="102"/>
  <c r="AC351" i="102"/>
  <c r="AC352" i="102"/>
  <c r="AC353" i="102"/>
  <c r="AC355" i="102"/>
  <c r="AC356" i="102"/>
  <c r="AC359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2" i="102"/>
  <c r="AE314" i="102"/>
  <c r="AE178" i="102"/>
  <c r="AE177" i="102"/>
  <c r="AE174" i="102"/>
  <c r="AE173" i="102"/>
  <c r="AE172" i="102"/>
  <c r="AE171" i="102"/>
  <c r="AE170" i="102"/>
  <c r="AE169" i="102"/>
  <c r="AE168" i="102"/>
  <c r="AE165" i="102"/>
  <c r="AE164" i="102"/>
  <c r="AE163" i="102"/>
  <c r="AE162" i="102"/>
  <c r="AE161" i="102"/>
  <c r="AE160" i="102"/>
  <c r="AE159" i="102"/>
  <c r="AE158" i="102"/>
  <c r="AE157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2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9" i="102"/>
  <c r="AE356" i="102"/>
  <c r="AE355" i="102"/>
  <c r="AE353" i="102"/>
  <c r="AE352" i="102"/>
  <c r="AE351" i="102"/>
  <c r="AE350" i="102"/>
  <c r="AE349" i="102"/>
  <c r="AE347" i="102"/>
  <c r="AE346" i="102"/>
  <c r="AE345" i="102"/>
  <c r="AE344" i="102"/>
  <c r="AE343" i="102"/>
  <c r="AE342" i="102"/>
  <c r="AE340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20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5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180" i="102"/>
  <c r="AE4" i="102"/>
  <c r="G399" i="102" l="1"/>
  <c r="AE354" i="102"/>
  <c r="AE341" i="102"/>
  <c r="AE179" i="102"/>
  <c r="AE319" i="102"/>
  <c r="AC348" i="102"/>
  <c r="AC319" i="102"/>
  <c r="AE348" i="102"/>
  <c r="AC358" i="102"/>
  <c r="AC354" i="102"/>
  <c r="AC341" i="102"/>
  <c r="AC264" i="102"/>
  <c r="AC3" i="102"/>
  <c r="AE264" i="102"/>
  <c r="AE358" i="102"/>
  <c r="AE3" i="102"/>
  <c r="AC180" i="102" l="1"/>
  <c r="AC249" i="102"/>
  <c r="AC212" i="102"/>
  <c r="AC261" i="102"/>
  <c r="AC184" i="102"/>
  <c r="AC250" i="102"/>
  <c r="AC206" i="102"/>
  <c r="AC242" i="102"/>
  <c r="AC235" i="102"/>
  <c r="AC209" i="102"/>
  <c r="AC260" i="102"/>
  <c r="AC195" i="102"/>
  <c r="AC203" i="102"/>
  <c r="AC230" i="102"/>
  <c r="AC234" i="102"/>
  <c r="AC208" i="102"/>
  <c r="AC189" i="102"/>
  <c r="AC245" i="102"/>
  <c r="AC214" i="102"/>
  <c r="AC191" i="102"/>
  <c r="AC241" i="102"/>
  <c r="AC199" i="102"/>
  <c r="AC187" i="102"/>
  <c r="AC236" i="102"/>
  <c r="AC185" i="102"/>
  <c r="AC182" i="102"/>
  <c r="AC247" i="102"/>
  <c r="AC211" i="102"/>
  <c r="AC238" i="102"/>
  <c r="AC202" i="102"/>
  <c r="AC257" i="102"/>
  <c r="AC201" i="102"/>
  <c r="AC181" i="102"/>
  <c r="AC256" i="102"/>
  <c r="AC263" i="102"/>
  <c r="AC227" i="102"/>
  <c r="AC188" i="102"/>
  <c r="AC222" i="102"/>
  <c r="AC224" i="102"/>
  <c r="AC228" i="102"/>
  <c r="AC254" i="102"/>
  <c r="AC225" i="102"/>
  <c r="AC213" i="102"/>
  <c r="AC237" i="102"/>
  <c r="AC231" i="102"/>
  <c r="AC198" i="102"/>
  <c r="AC219" i="102"/>
  <c r="AC259" i="102"/>
  <c r="AC252" i="102"/>
  <c r="AC226" i="102"/>
  <c r="AC193" i="102"/>
  <c r="AC194" i="102"/>
  <c r="AC215" i="102"/>
  <c r="AC183" i="102"/>
  <c r="AC253" i="102"/>
  <c r="AC239" i="102"/>
  <c r="AC251" i="102"/>
  <c r="AC255" i="102"/>
  <c r="AC240" i="102"/>
  <c r="AC217" i="102"/>
  <c r="AC262" i="102"/>
  <c r="AC204" i="102"/>
  <c r="AC258" i="102"/>
  <c r="AC221" i="102"/>
  <c r="AC216" i="102"/>
  <c r="AC233" i="102"/>
  <c r="AC200" i="102"/>
  <c r="AC248" i="102"/>
  <c r="AC220" i="102"/>
  <c r="AC190" i="102"/>
  <c r="AC229" i="102"/>
  <c r="AC244" i="102"/>
  <c r="AC223" i="102"/>
  <c r="AC186" i="102"/>
  <c r="AC205" i="102"/>
  <c r="AC243" i="102"/>
  <c r="AC232" i="102"/>
  <c r="AC246" i="102"/>
  <c r="AC210" i="102"/>
  <c r="AC196" i="102"/>
  <c r="AC192" i="102"/>
  <c r="AC197" i="102"/>
  <c r="AC207" i="102"/>
  <c r="AC218" i="102"/>
  <c r="AC179" i="102" l="1"/>
</calcChain>
</file>

<file path=xl/sharedStrings.xml><?xml version="1.0" encoding="utf-8"?>
<sst xmlns="http://schemas.openxmlformats.org/spreadsheetml/2006/main" count="690" uniqueCount="685">
  <si>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</si>
  <si>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</si>
  <si>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</si>
  <si>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</si>
  <si>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</si>
  <si>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</si>
  <si>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</si>
  <si>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</si>
  <si>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</si>
  <si>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</si>
  <si>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</si>
  <si>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</si>
  <si>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</si>
  <si>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</si>
  <si>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</si>
  <si>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</si>
  <si>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</si>
  <si>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</si>
  <si>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</si>
  <si>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</si>
  <si>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</si>
  <si>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</si>
  <si>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</si>
  <si>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</si>
  <si>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</si>
  <si>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</si>
  <si>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</si>
  <si>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</si>
  <si>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</si>
  <si>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</si>
  <si>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</si>
  <si>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</si>
  <si>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</si>
  <si>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</si>
  <si>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</si>
  <si>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</si>
  <si>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</si>
  <si>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</si>
  <si>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</si>
  <si>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</si>
  <si>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</si>
  <si>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</si>
  <si>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</si>
  <si>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</si>
  <si>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</si>
  <si>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</si>
  <si>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</si>
  <si>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</si>
  <si>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</si>
  <si>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</si>
  <si>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</si>
  <si>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</si>
  <si>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</si>
  <si>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</si>
  <si>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</si>
  <si>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</si>
  <si>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</si>
  <si>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</si>
  <si>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</si>
  <si>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</si>
  <si>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</si>
  <si>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</si>
  <si>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</si>
  <si>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</si>
  <si>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</si>
  <si>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</si>
  <si>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</si>
  <si>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</si>
  <si>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</si>
  <si>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</si>
  <si>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</si>
  <si>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</si>
  <si>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</si>
  <si>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</si>
  <si>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</si>
  <si>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</si>
  <si>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</si>
  <si>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</si>
  <si>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</si>
  <si>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</si>
  <si>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</si>
  <si>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</si>
  <si>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</si>
  <si>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</si>
  <si>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</si>
  <si>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</si>
  <si>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</si>
  <si>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</si>
  <si>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</si>
  <si>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</si>
  <si>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</si>
  <si>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</si>
  <si>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</si>
  <si>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</si>
  <si>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</si>
  <si>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</si>
  <si>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</si>
  <si>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</si>
  <si>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</si>
  <si>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</si>
  <si>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</si>
  <si>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</si>
  <si>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</si>
  <si>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</si>
  <si>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</si>
  <si>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</si>
  <si>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</si>
  <si>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</si>
  <si>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</si>
  <si>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</si>
  <si>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</si>
  <si>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</si>
  <si>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</si>
  <si>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</si>
  <si>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</si>
  <si>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</si>
  <si>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</si>
  <si>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</si>
  <si>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</si>
  <si>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</si>
  <si>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</si>
  <si>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</si>
  <si>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</si>
  <si>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</si>
  <si>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</si>
  <si>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</si>
  <si>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</si>
  <si>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</si>
  <si>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</si>
  <si>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</si>
  <si>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</si>
  <si>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</si>
  <si>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</si>
  <si>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</si>
  <si>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</si>
  <si>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</si>
  <si>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</si>
  <si>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</si>
  <si>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</si>
  <si>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</si>
  <si>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</si>
  <si>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</si>
  <si>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</si>
  <si>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</si>
  <si>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</si>
  <si>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</si>
  <si>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</si>
  <si>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</si>
  <si>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</si>
  <si>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</si>
  <si>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</si>
  <si>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</si>
  <si>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</si>
  <si>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</si>
  <si>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</si>
  <si>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</si>
  <si>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</si>
  <si>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</si>
  <si>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</si>
  <si>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</si>
  <si>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</si>
  <si>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</si>
  <si>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</si>
  <si>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</si>
  <si>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</si>
  <si>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</si>
  <si>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</si>
  <si>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</si>
  <si>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</si>
  <si>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</si>
  <si>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</si>
  <si>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</si>
  <si>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</si>
  <si>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</si>
  <si>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</si>
  <si>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</si>
  <si>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</si>
  <si>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</si>
  <si>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</si>
  <si>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</si>
  <si>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</si>
  <si>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</si>
  <si>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</si>
  <si>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</si>
  <si>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</si>
  <si>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</si>
  <si>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</si>
  <si>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</si>
  <si>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</si>
  <si>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</si>
  <si>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</si>
  <si>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</si>
  <si>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</si>
  <si>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</si>
  <si>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</si>
  <si>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</si>
  <si>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</si>
  <si>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</si>
  <si>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</si>
  <si>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</si>
  <si>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</si>
  <si>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</si>
  <si>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</si>
  <si>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</si>
  <si>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</si>
  <si>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</si>
  <si>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</si>
  <si>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</si>
  <si>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</si>
  <si>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</si>
  <si>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</si>
  <si>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</si>
  <si>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</si>
  <si>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</si>
  <si>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</si>
  <si>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</si>
  <si>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</si>
  <si>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</si>
  <si>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</si>
  <si>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</si>
  <si>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</si>
  <si>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</si>
  <si>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</si>
  <si>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</si>
  <si>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</si>
  <si>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</si>
  <si>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</si>
  <si>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</si>
  <si>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</si>
  <si>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</si>
  <si>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</si>
  <si>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</si>
  <si>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</si>
  <si>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</si>
  <si>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</si>
  <si>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</si>
  <si>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</si>
  <si>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</si>
  <si>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</si>
  <si>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</si>
  <si>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</si>
  <si>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</si>
  <si>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</si>
  <si>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</si>
  <si>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</si>
  <si>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</si>
  <si>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</si>
  <si>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</si>
  <si>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</si>
  <si>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</si>
  <si>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</si>
  <si>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</si>
  <si>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</si>
  <si>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</si>
  <si>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</si>
  <si>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</si>
  <si>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</si>
  <si>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</si>
  <si>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</si>
  <si>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</si>
  <si>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</si>
  <si>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</si>
  <si>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</si>
  <si>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</si>
  <si>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</si>
  <si>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</si>
  <si>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</si>
  <si>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</si>
  <si>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</si>
  <si>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</si>
  <si>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</si>
  <si>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</si>
  <si>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</si>
  <si>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</si>
  <si>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</si>
  <si>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</si>
  <si>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</si>
  <si>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</si>
  <si>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</si>
  <si>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</si>
  <si>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</si>
  <si>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</si>
  <si>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</si>
  <si>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</si>
  <si>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</si>
  <si>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</si>
  <si>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</si>
  <si>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</si>
  <si>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</si>
  <si>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</si>
  <si>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</si>
  <si>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</si>
  <si>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</si>
  <si>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</si>
  <si>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</si>
  <si>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</si>
  <si>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</si>
  <si>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</si>
  <si>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</si>
  <si>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</si>
  <si>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</si>
  <si>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</si>
  <si>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</si>
  <si>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</si>
  <si>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</si>
  <si>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</si>
  <si>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</si>
  <si>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</si>
  <si>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</si>
  <si>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</si>
  <si>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</si>
  <si>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</si>
  <si>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</si>
  <si>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</si>
  <si>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</si>
  <si>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</si>
  <si>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</si>
  <si>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</si>
  <si>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</si>
  <si>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</si>
  <si>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</si>
  <si>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</si>
  <si>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</si>
  <si>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</si>
  <si>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</si>
  <si>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</si>
  <si>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</si>
  <si>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</si>
  <si>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</si>
  <si>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</si>
  <si>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</si>
  <si>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</si>
  <si>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</si>
  <si>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</si>
  <si>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</si>
  <si>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</si>
  <si>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</si>
  <si>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</si>
  <si>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</si>
  <si>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</si>
  <si>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</si>
  <si>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</si>
  <si>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</si>
  <si>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</si>
  <si>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</si>
  <si>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</si>
  <si>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</si>
  <si>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</si>
  <si>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</si>
  <si>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</si>
  <si>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</si>
  <si>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</si>
  <si>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</si>
  <si>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</si>
  <si>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</si>
  <si>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</si>
  <si>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</si>
  <si>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</si>
  <si>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</si>
  <si>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</si>
  <si>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</si>
  <si>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</si>
  <si>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</si>
  <si>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</si>
  <si>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</si>
  <si>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</si>
  <si>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</si>
  <si>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</si>
  <si>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</si>
  <si>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</si>
  <si>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</si>
  <si>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</si>
  <si>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</si>
  <si>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</si>
  <si>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</si>
  <si>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</si>
  <si>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</si>
  <si>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</si>
  <si>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</si>
  <si>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</si>
  <si>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</si>
  <si>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</si>
  <si>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</si>
  <si>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</si>
  <si>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</si>
  <si>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</si>
  <si>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</si>
  <si>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</si>
  <si>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</si>
  <si>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</si>
  <si>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</si>
  <si>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</si>
  <si>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</si>
  <si>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</si>
  <si>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</si>
  <si>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</si>
  <si>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</si>
  <si>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</si>
  <si>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</si>
  <si>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</si>
  <si>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</si>
  <si>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</si>
  <si>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</si>
  <si>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</si>
  <si>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</si>
  <si>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</si>
  <si>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</si>
  <si>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</si>
  <si>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</si>
  <si>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</si>
  <si>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</si>
  <si>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</si>
  <si>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</si>
  <si>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</si>
  <si>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</si>
  <si>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</si>
  <si>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</si>
  <si>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</si>
  <si>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</si>
  <si>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</si>
  <si>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</si>
  <si>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</si>
  <si>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</si>
  <si>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</si>
  <si>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</si>
  <si>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</si>
  <si>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</si>
  <si>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</si>
  <si>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</si>
  <si>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</si>
  <si>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</si>
  <si>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</si>
  <si>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</si>
  <si>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</si>
  <si>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</si>
  <si>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</si>
  <si>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</si>
  <si>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</si>
  <si>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</si>
  <si>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</si>
  <si>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</si>
  <si>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</si>
  <si>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</si>
  <si>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</si>
  <si>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</si>
  <si>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</si>
  <si>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</si>
  <si>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</si>
  <si>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</si>
  <si>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</si>
  <si>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</si>
  <si>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</si>
  <si>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</si>
  <si>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</si>
  <si>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</si>
  <si>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</si>
  <si>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</si>
  <si>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</si>
  <si>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</si>
  <si>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</si>
  <si>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</si>
  <si>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</si>
  <si>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</si>
  <si>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</si>
  <si>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</si>
  <si>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</si>
  <si>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</si>
  <si>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</si>
  <si>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</si>
  <si>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</si>
  <si>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</si>
  <si>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</si>
  <si>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</si>
  <si>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</si>
  <si>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</si>
  <si>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</si>
  <si>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</si>
  <si>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</si>
  <si>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</si>
  <si>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</si>
  <si>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</si>
  <si>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</si>
  <si>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</si>
  <si>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</si>
  <si>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</si>
  <si>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</si>
  <si>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</si>
  <si>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</si>
  <si>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</si>
  <si>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</si>
  <si>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</si>
  <si>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</si>
  <si>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</si>
  <si>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</si>
  <si>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</si>
  <si>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</si>
  <si>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</si>
  <si>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</si>
  <si>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</si>
  <si>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</si>
  <si>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</si>
  <si>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</si>
  <si>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</si>
  <si>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</si>
  <si>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</si>
  <si>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</si>
  <si>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</si>
  <si>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</si>
  <si>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</si>
  <si>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</si>
  <si>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</si>
  <si>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</si>
  <si>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</si>
  <si>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</si>
  <si>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</si>
  <si>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</si>
  <si>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</si>
  <si>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</si>
  <si>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</si>
  <si>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</si>
  <si>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</si>
  <si>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</si>
  <si>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</si>
  <si>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</si>
  <si>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</si>
  <si>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</si>
  <si>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</si>
  <si>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</si>
  <si>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</si>
  <si>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</si>
  <si>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</si>
  <si>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</si>
  <si>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</si>
  <si>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</si>
  <si>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</si>
  <si>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</si>
  <si>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</si>
  <si>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</si>
  <si>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</si>
  <si>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</si>
  <si>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</si>
  <si>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</si>
  <si>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</si>
  <si>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</si>
  <si>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</si>
  <si>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</si>
  <si>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</si>
  <si>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</si>
  <si>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</si>
  <si>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</si>
  <si>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</si>
  <si>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</si>
  <si>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</si>
  <si>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</si>
  <si>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</si>
  <si>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</si>
  <si>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</si>
  <si>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</si>
  <si>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</si>
  <si>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</si>
  <si>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</si>
  <si>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</si>
  <si>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</si>
  <si>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</si>
  <si>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</si>
  <si>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</si>
  <si>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</si>
  <si>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</si>
  <si>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</si>
  <si>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</si>
  <si>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</si>
  <si>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</si>
  <si>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</si>
  <si>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</si>
  <si>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</si>
  <si>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</si>
  <si>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</si>
  <si>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</si>
  <si>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</si>
  <si>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</si>
  <si>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</si>
  <si>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</si>
  <si>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</si>
  <si>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</si>
  <si>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</si>
  <si>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</si>
  <si>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</si>
  <si>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</si>
  <si>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</si>
  <si>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</si>
  <si>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</si>
  <si>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</si>
  <si>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</si>
  <si>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</si>
  <si>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</si>
  <si>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</si>
  <si>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</si>
  <si>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</si>
  <si>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</si>
  <si>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</si>
  <si>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</si>
  <si>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</si>
  <si>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</si>
  <si>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</si>
  <si>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</si>
  <si>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</si>
  <si>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</si>
  <si>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</si>
  <si>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</si>
  <si>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</si>
  <si>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</si>
  <si>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</si>
  <si>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</si>
  <si>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</si>
  <si>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</si>
  <si>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</si>
  <si>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</si>
  <si>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</si>
  <si>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</si>
  <si>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</si>
  <si>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</si>
  <si>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</si>
  <si>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</si>
  <si>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</si>
  <si>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</si>
  <si>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</si>
  <si>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</si>
  <si>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</si>
  <si>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</si>
  <si>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</si>
  <si>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</si>
  <si>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</si>
  <si>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</si>
  <si>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</si>
  <si>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</si>
  <si>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</si>
  <si>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</si>
  <si>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</si>
  <si>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</si>
  <si>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</si>
  <si>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</si>
  <si>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</si>
  <si>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</si>
  <si>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</si>
  <si>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</si>
  <si>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</si>
  <si>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</si>
  <si>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</si>
  <si>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</si>
  <si>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</si>
  <si>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</si>
  <si>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</si>
  <si>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</si>
  <si>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</si>
  <si>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</si>
  <si>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</si>
  <si>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</si>
  <si>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</si>
  <si>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</si>
  <si>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</si>
  <si>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</si>
  <si>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</si>
  <si>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</si>
  <si>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</si>
  <si>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</si>
  <si>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</si>
  <si>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</si>
  <si>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</si>
  <si>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</si>
  <si>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</si>
  <si>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</si>
  <si>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</si>
  <si>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</si>
  <si>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</si>
  <si>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</si>
  <si>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</si>
  <si>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</si>
  <si>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</si>
  <si>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</si>
  <si>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</si>
  <si>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</si>
  <si>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266  Колбаса Филейбургская с душистым чесноком, ВЕС, ТМ Баварушка  ПОКОМ</t>
  </si>
  <si>
    <t xml:space="preserve"> 266  Колбаса Салями Филейбургская зернистая, ВЕС, ТМ Баварушка  ПОКОМ</t>
  </si>
  <si>
    <t>Колбаса Сервелат Филейбургский с копченой грудинкой, в/у 0,35 кг срез, БАВАРУШКА ПОКОМ</t>
  </si>
  <si>
    <t>Заказ Патяки 06.01.26.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</si>
</sst>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399"/>
  <sheetViews>
    <sheetView tabSelected="1" zoomScale="80" zoomScaleNormal="80" workbookViewId="0">
      <selection activeCell="O114" sqref="O114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684</v>
      </c>
    </row>
    <row r="2" spans="1:31" ht="32.25" thickBot="1" x14ac:dyDescent="0.3">
      <c r="C2" s="34"/>
      <c r="D2" s="64" t="s">
        <v>609</v>
      </c>
      <c r="E2" s="37"/>
      <c r="F2" s="37" t="s">
        <v>0</v>
      </c>
      <c r="G2" s="38" t="s">
        <v>320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189</v>
      </c>
      <c r="AD2" s="20"/>
      <c r="AE2" s="26" t="s">
        <v>190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SUM(F4:F178)</f>
        <v>6514</v>
      </c>
      <c r="G3" s="27">
        <f>SUM(G4:G178)</f>
        <v>6023.2000000000007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SUM(AC4:AC178)</f>
        <v>87.149499999999989</v>
      </c>
      <c r="AD3" s="21"/>
      <c r="AE3" s="19" t="e">
        <f>SUM(AE4:AE178)</f>
        <v>#REF!</v>
      </c>
    </row>
    <row r="4" spans="1:31" ht="18.75" hidden="1" customHeight="1" outlineLevel="1" x14ac:dyDescent="0.25">
      <c r="B4" s="71" t="s">
        <v>341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customHeight="1" outlineLevel="1" x14ac:dyDescent="0.25">
      <c r="B5" s="71" t="s">
        <v>680</v>
      </c>
      <c r="C5" s="65" t="s">
        <v>679</v>
      </c>
      <c r="D5" s="65">
        <v>2928</v>
      </c>
      <c r="E5" s="14">
        <v>1</v>
      </c>
      <c r="F5" s="14">
        <v>120</v>
      </c>
      <c r="G5" s="22">
        <f t="shared" ref="G5:G9" si="0">F5*E5</f>
        <v>120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623</v>
      </c>
      <c r="C6" s="65" t="s">
        <v>622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621</v>
      </c>
      <c r="C7" s="76" t="s">
        <v>620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618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619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610</v>
      </c>
      <c r="B10" s="71" t="s">
        <v>342</v>
      </c>
      <c r="C10" s="30" t="s">
        <v>611</v>
      </c>
      <c r="D10" s="65">
        <v>2634</v>
      </c>
      <c r="E10" s="14">
        <v>1</v>
      </c>
      <c r="F10" s="14">
        <v>50</v>
      </c>
      <c r="G10" s="22">
        <f t="shared" ref="G10:G12" si="1">F10*E10</f>
        <v>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339</v>
      </c>
      <c r="B11" s="71" t="s">
        <v>343</v>
      </c>
      <c r="C11" s="75" t="s">
        <v>338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344</v>
      </c>
      <c r="C12" s="74" t="s">
        <v>321</v>
      </c>
      <c r="D12" s="65">
        <v>3423</v>
      </c>
      <c r="E12" s="14">
        <v>1</v>
      </c>
      <c r="F12" s="14">
        <v>1000</v>
      </c>
      <c r="G12" s="22">
        <f t="shared" si="1"/>
        <v>1000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345</v>
      </c>
      <c r="C13" s="57" t="s">
        <v>322</v>
      </c>
      <c r="D13" s="65">
        <v>3422</v>
      </c>
      <c r="E13" s="14">
        <v>1</v>
      </c>
      <c r="F13" s="14">
        <v>1000</v>
      </c>
      <c r="G13" s="22">
        <f t="shared" ref="G13:G23" si="2">F13*E13</f>
        <v>1000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346</v>
      </c>
      <c r="C14" s="57" t="s">
        <v>323</v>
      </c>
      <c r="D14" s="65">
        <v>3420</v>
      </c>
      <c r="E14" s="14">
        <v>1</v>
      </c>
      <c r="F14" s="14">
        <v>1000</v>
      </c>
      <c r="G14" s="22">
        <f t="shared" si="2"/>
        <v>1000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616</v>
      </c>
      <c r="B15" s="71" t="s">
        <v>347</v>
      </c>
      <c r="C15" s="62" t="s">
        <v>335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462</v>
      </c>
      <c r="C16" s="57" t="s">
        <v>324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613</v>
      </c>
      <c r="B17" s="71" t="s">
        <v>463</v>
      </c>
      <c r="C17" s="62" t="s">
        <v>325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617</v>
      </c>
      <c r="B18" s="71" t="s">
        <v>348</v>
      </c>
      <c r="C18" s="62" t="s">
        <v>340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614</v>
      </c>
      <c r="B19" s="71" t="s">
        <v>464</v>
      </c>
      <c r="C19" s="57" t="s">
        <v>326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328</v>
      </c>
      <c r="B20" s="71" t="s">
        <v>349</v>
      </c>
      <c r="C20" s="62" t="s">
        <v>327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615</v>
      </c>
      <c r="B21" s="71" t="s">
        <v>350</v>
      </c>
      <c r="C21" s="62" t="s">
        <v>329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612</v>
      </c>
      <c r="B22" s="71" t="s">
        <v>351</v>
      </c>
      <c r="C22" s="61" t="s">
        <v>330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71" t="s">
        <v>352</v>
      </c>
      <c r="C23" s="57" t="s">
        <v>681</v>
      </c>
      <c r="D23" s="65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353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71" t="s">
        <v>354</v>
      </c>
      <c r="C25" s="35" t="s">
        <v>5</v>
      </c>
      <c r="D25" s="65">
        <v>722</v>
      </c>
      <c r="E25" s="40">
        <v>1</v>
      </c>
      <c r="F25" s="14">
        <v>120</v>
      </c>
      <c r="G25" s="22">
        <f t="shared" si="3"/>
        <v>120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355</v>
      </c>
      <c r="C26" s="35" t="s">
        <v>242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356</v>
      </c>
      <c r="C27" s="35" t="s">
        <v>241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357</v>
      </c>
      <c r="C28" s="35" t="s">
        <v>239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358</v>
      </c>
      <c r="C29" s="35" t="s">
        <v>311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358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359</v>
      </c>
      <c r="C31" s="35" t="s">
        <v>191</v>
      </c>
      <c r="D31" s="65">
        <v>1523</v>
      </c>
      <c r="E31" s="40">
        <v>1</v>
      </c>
      <c r="F31" s="14">
        <v>50</v>
      </c>
      <c r="G31" s="22">
        <f t="shared" si="3"/>
        <v>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360</v>
      </c>
      <c r="C32" s="35" t="s">
        <v>192</v>
      </c>
      <c r="D32" s="65">
        <v>1721</v>
      </c>
      <c r="E32" s="40">
        <v>1</v>
      </c>
      <c r="F32" s="14">
        <v>150</v>
      </c>
      <c r="G32" s="22">
        <f t="shared" si="3"/>
        <v>150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361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461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465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466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467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468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469</v>
      </c>
      <c r="C39" s="35" t="s">
        <v>247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470</v>
      </c>
      <c r="C40" s="35" t="s">
        <v>246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471</v>
      </c>
      <c r="C41" s="35" t="s">
        <v>245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472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71" t="s">
        <v>473</v>
      </c>
      <c r="C43" s="35" t="s">
        <v>14</v>
      </c>
      <c r="D43" s="65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customHeight="1" outlineLevel="1" x14ac:dyDescent="0.25">
      <c r="B44" s="71" t="s">
        <v>474</v>
      </c>
      <c r="C44" s="35" t="s">
        <v>15</v>
      </c>
      <c r="D44" s="65">
        <v>1720</v>
      </c>
      <c r="E44" s="40">
        <v>0.45</v>
      </c>
      <c r="F44" s="14">
        <v>120</v>
      </c>
      <c r="G44" s="22">
        <f t="shared" si="3"/>
        <v>54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475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476</v>
      </c>
      <c r="C46" s="35" t="s">
        <v>248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477</v>
      </c>
      <c r="C47" s="35" t="s">
        <v>249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478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479</v>
      </c>
      <c r="C49" s="35" t="s">
        <v>279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480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481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482</v>
      </c>
      <c r="C52" s="35" t="s">
        <v>284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483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484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485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486</v>
      </c>
      <c r="C56" s="73" t="s">
        <v>275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487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488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489</v>
      </c>
      <c r="C59" s="73" t="s">
        <v>276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490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491</v>
      </c>
      <c r="C61" s="35" t="s">
        <v>281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492</v>
      </c>
      <c r="C62" s="35" t="s">
        <v>273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493</v>
      </c>
      <c r="C63" s="35" t="s">
        <v>277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494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495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496</v>
      </c>
      <c r="C66" s="35" t="s">
        <v>285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497</v>
      </c>
      <c r="C67" s="35" t="s">
        <v>280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498</v>
      </c>
      <c r="C68" s="35" t="s">
        <v>278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499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500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501</v>
      </c>
      <c r="C71" s="35" t="s">
        <v>314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502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503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504</v>
      </c>
      <c r="C74" s="35" t="s">
        <v>316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505</v>
      </c>
      <c r="C75" s="35" t="s">
        <v>282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506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507</v>
      </c>
      <c r="C77" s="35" t="s">
        <v>274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508</v>
      </c>
      <c r="C78" s="35" t="s">
        <v>283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509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510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511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hidden="1" customHeight="1" outlineLevel="1" x14ac:dyDescent="0.25">
      <c r="B82" s="71" t="s">
        <v>512</v>
      </c>
      <c r="C82" s="35" t="s">
        <v>36</v>
      </c>
      <c r="D82" s="65">
        <v>2602</v>
      </c>
      <c r="E82" s="40">
        <v>0.35</v>
      </c>
      <c r="F82" s="14"/>
      <c r="G82" s="22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513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hidden="1" customHeight="1" outlineLevel="1" x14ac:dyDescent="0.25">
      <c r="B84" s="71" t="s">
        <v>362</v>
      </c>
      <c r="C84" s="61" t="s">
        <v>38</v>
      </c>
      <c r="D84" s="65">
        <v>2035</v>
      </c>
      <c r="E84" s="40">
        <v>1</v>
      </c>
      <c r="F84" s="14"/>
      <c r="G84" s="22">
        <f t="shared" si="3"/>
        <v>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hidden="1" customHeight="1" outlineLevel="1" x14ac:dyDescent="0.25">
      <c r="B85" s="71" t="s">
        <v>514</v>
      </c>
      <c r="C85" s="35" t="s">
        <v>39</v>
      </c>
      <c r="D85" s="65">
        <v>126</v>
      </c>
      <c r="E85" s="40">
        <v>1</v>
      </c>
      <c r="F85" s="14"/>
      <c r="G85" s="22">
        <f t="shared" si="3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363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364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365</v>
      </c>
      <c r="C88" s="35" t="s">
        <v>42</v>
      </c>
      <c r="D88" s="65" t="s">
        <v>602</v>
      </c>
      <c r="E88" s="40">
        <v>1</v>
      </c>
      <c r="F88" s="14"/>
      <c r="G88" s="22">
        <f t="shared" ref="G88:G150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366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367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368</v>
      </c>
      <c r="C91" s="35" t="s">
        <v>254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369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370</v>
      </c>
      <c r="C93" s="73" t="s">
        <v>259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hidden="1" customHeight="1" outlineLevel="1" x14ac:dyDescent="0.25">
      <c r="B94" s="71" t="s">
        <v>371</v>
      </c>
      <c r="C94" s="35" t="s">
        <v>46</v>
      </c>
      <c r="D94" s="65">
        <v>2182</v>
      </c>
      <c r="E94" s="40">
        <v>1</v>
      </c>
      <c r="F94" s="14"/>
      <c r="G94" s="22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372</v>
      </c>
      <c r="C95" s="35" t="s">
        <v>257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373</v>
      </c>
      <c r="C96" s="61" t="s">
        <v>47</v>
      </c>
      <c r="D96" s="65">
        <v>2010</v>
      </c>
      <c r="E96" s="40">
        <v>1</v>
      </c>
      <c r="F96" s="14">
        <v>100</v>
      </c>
      <c r="G96" s="22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374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375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376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hidden="1" customHeight="1" outlineLevel="1" x14ac:dyDescent="0.25">
      <c r="B100" s="71" t="s">
        <v>377</v>
      </c>
      <c r="C100" s="61" t="s">
        <v>51</v>
      </c>
      <c r="D100" s="65">
        <v>2150</v>
      </c>
      <c r="E100" s="40">
        <v>1</v>
      </c>
      <c r="F100" s="14"/>
      <c r="G100" s="22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378</v>
      </c>
      <c r="C101" s="73" t="s">
        <v>253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379</v>
      </c>
      <c r="C102" s="61" t="s">
        <v>52</v>
      </c>
      <c r="D102" s="65">
        <v>2158</v>
      </c>
      <c r="E102" s="40">
        <v>1</v>
      </c>
      <c r="F102" s="14">
        <v>50</v>
      </c>
      <c r="G102" s="22">
        <f t="shared" si="6"/>
        <v>50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380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hidden="1" customHeight="1" outlineLevel="1" x14ac:dyDescent="0.25">
      <c r="B104" s="71" t="s">
        <v>381</v>
      </c>
      <c r="C104" s="61" t="s">
        <v>54</v>
      </c>
      <c r="D104" s="65">
        <v>2151</v>
      </c>
      <c r="E104" s="40">
        <v>1</v>
      </c>
      <c r="F104" s="14"/>
      <c r="G104" s="22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71" t="s">
        <v>382</v>
      </c>
      <c r="C105" s="62" t="s">
        <v>55</v>
      </c>
      <c r="D105" s="65">
        <v>1820</v>
      </c>
      <c r="E105" s="40">
        <v>1</v>
      </c>
      <c r="F105" s="14">
        <v>70</v>
      </c>
      <c r="G105" s="22">
        <f t="shared" si="6"/>
        <v>70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383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384</v>
      </c>
      <c r="C107" s="35" t="s">
        <v>255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385</v>
      </c>
      <c r="C108" s="35" t="s">
        <v>256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386</v>
      </c>
      <c r="C109" s="35" t="s">
        <v>57</v>
      </c>
      <c r="D109" s="65">
        <v>1051</v>
      </c>
      <c r="E109" s="40">
        <v>1</v>
      </c>
      <c r="F109" s="14">
        <v>100</v>
      </c>
      <c r="G109" s="22">
        <f t="shared" si="6"/>
        <v>100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387</v>
      </c>
      <c r="C110" s="35" t="s">
        <v>58</v>
      </c>
      <c r="D110" s="65">
        <v>2287</v>
      </c>
      <c r="E110" s="40">
        <v>1</v>
      </c>
      <c r="F110" s="14"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388</v>
      </c>
      <c r="C111" s="62" t="s">
        <v>59</v>
      </c>
      <c r="D111" s="65">
        <v>227</v>
      </c>
      <c r="E111" s="40">
        <v>1</v>
      </c>
      <c r="F111" s="14">
        <v>150</v>
      </c>
      <c r="G111" s="22">
        <f t="shared" si="6"/>
        <v>150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389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390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391</v>
      </c>
      <c r="C114" s="35" t="s">
        <v>62</v>
      </c>
      <c r="D114" s="65">
        <v>2074</v>
      </c>
      <c r="E114" s="40">
        <v>1</v>
      </c>
      <c r="F114" s="14">
        <v>50</v>
      </c>
      <c r="G114" s="22">
        <f t="shared" si="6"/>
        <v>50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392</v>
      </c>
      <c r="C115" s="62" t="s">
        <v>63</v>
      </c>
      <c r="D115" s="65">
        <v>246</v>
      </c>
      <c r="E115" s="40">
        <v>1</v>
      </c>
      <c r="F115" s="14">
        <v>120</v>
      </c>
      <c r="G115" s="22">
        <f t="shared" si="6"/>
        <v>120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393</v>
      </c>
      <c r="C116" s="35" t="s">
        <v>258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394</v>
      </c>
      <c r="C117" s="35" t="s">
        <v>261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395</v>
      </c>
      <c r="C118" s="35" t="s">
        <v>252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71" t="s">
        <v>396</v>
      </c>
      <c r="C119" s="35" t="s">
        <v>64</v>
      </c>
      <c r="D119" s="65">
        <v>1430</v>
      </c>
      <c r="E119" s="40">
        <v>1</v>
      </c>
      <c r="F119" s="14">
        <v>16</v>
      </c>
      <c r="G119" s="22">
        <f t="shared" si="6"/>
        <v>16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397</v>
      </c>
      <c r="C120" s="35" t="s">
        <v>193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hidden="1" customHeight="1" outlineLevel="1" x14ac:dyDescent="0.25">
      <c r="B121" s="71" t="s">
        <v>398</v>
      </c>
      <c r="C121" s="35" t="s">
        <v>65</v>
      </c>
      <c r="D121" s="65">
        <v>2612</v>
      </c>
      <c r="E121" s="40">
        <v>1</v>
      </c>
      <c r="F121" s="14"/>
      <c r="G121" s="22">
        <f t="shared" si="6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hidden="1" customHeight="1" outlineLevel="1" x14ac:dyDescent="0.25">
      <c r="B122" s="71" t="s">
        <v>399</v>
      </c>
      <c r="C122" s="35" t="s">
        <v>66</v>
      </c>
      <c r="D122" s="65">
        <v>2613</v>
      </c>
      <c r="E122" s="40">
        <v>1</v>
      </c>
      <c r="F122" s="14"/>
      <c r="G122" s="22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400</v>
      </c>
      <c r="C123" s="35" t="s">
        <v>682</v>
      </c>
      <c r="D123" s="65">
        <v>2614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>
        <v>1</v>
      </c>
      <c r="AB123" s="9"/>
      <c r="AC123" s="15">
        <f t="shared" ref="AC123:AC155" si="8">AA123*E123</f>
        <v>1</v>
      </c>
      <c r="AD123" s="9"/>
      <c r="AE123" s="15" t="e">
        <f>AA123*#REF!</f>
        <v>#REF!</v>
      </c>
    </row>
    <row r="124" spans="1:31" ht="16.5" hidden="1" customHeight="1" outlineLevel="1" x14ac:dyDescent="0.25">
      <c r="B124" s="71" t="s">
        <v>401</v>
      </c>
      <c r="C124" s="35" t="s">
        <v>67</v>
      </c>
      <c r="D124" s="65">
        <v>2448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si="8"/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402</v>
      </c>
      <c r="C125" s="35" t="s">
        <v>68</v>
      </c>
      <c r="D125" s="65">
        <v>2360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515</v>
      </c>
      <c r="C126" s="35" t="s">
        <v>286</v>
      </c>
      <c r="D126" s="65">
        <v>2617</v>
      </c>
      <c r="E126" s="40">
        <v>0.35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0.35</v>
      </c>
      <c r="AB126" s="9"/>
      <c r="AC126" s="15">
        <f t="shared" si="8"/>
        <v>0.12249999999999998</v>
      </c>
      <c r="AD126" s="9"/>
      <c r="AE126" s="15" t="e">
        <f>AA126*#REF!</f>
        <v>#REF!</v>
      </c>
    </row>
    <row r="127" spans="1:31" ht="16.5" customHeight="1" outlineLevel="1" x14ac:dyDescent="0.25">
      <c r="B127" s="71" t="s">
        <v>516</v>
      </c>
      <c r="C127" s="35" t="s">
        <v>331</v>
      </c>
      <c r="D127" s="65">
        <v>2618</v>
      </c>
      <c r="E127" s="40">
        <v>0.4</v>
      </c>
      <c r="F127" s="14">
        <v>60</v>
      </c>
      <c r="G127" s="22">
        <f t="shared" si="6"/>
        <v>24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0.4</v>
      </c>
      <c r="AB127" s="9"/>
      <c r="AC127" s="15">
        <f t="shared" si="8"/>
        <v>0.16000000000000003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290</v>
      </c>
      <c r="D128" s="65">
        <v>0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291</v>
      </c>
      <c r="D129" s="65">
        <v>2621</v>
      </c>
      <c r="E129" s="40">
        <v>0.4</v>
      </c>
      <c r="F129" s="14">
        <v>60</v>
      </c>
      <c r="G129" s="22">
        <f t="shared" si="6"/>
        <v>24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288</v>
      </c>
      <c r="D130" s="65">
        <v>2205</v>
      </c>
      <c r="E130" s="40">
        <v>0.4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0.4</v>
      </c>
      <c r="AB130" s="9"/>
      <c r="AC130" s="15">
        <f t="shared" si="8"/>
        <v>0.16000000000000003</v>
      </c>
      <c r="AD130" s="9"/>
      <c r="AE130" s="15" t="e">
        <f>AA130*#REF!</f>
        <v>#REF!</v>
      </c>
    </row>
    <row r="131" spans="2:31" ht="16.5" hidden="1" customHeight="1" outlineLevel="1" x14ac:dyDescent="0.25">
      <c r="B131" s="71" t="s">
        <v>520</v>
      </c>
      <c r="C131" s="35" t="s">
        <v>292</v>
      </c>
      <c r="D131" s="65">
        <v>2545</v>
      </c>
      <c r="E131" s="40">
        <v>0.35</v>
      </c>
      <c r="F131" s="14"/>
      <c r="G131" s="22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0.35</v>
      </c>
      <c r="AB131" s="9"/>
      <c r="AC131" s="15">
        <f t="shared" si="8"/>
        <v>0.12249999999999998</v>
      </c>
      <c r="AD131" s="9"/>
      <c r="AE131" s="15" t="e">
        <f>AA131*#REF!</f>
        <v>#REF!</v>
      </c>
    </row>
    <row r="132" spans="2:31" ht="16.5" customHeight="1" outlineLevel="1" x14ac:dyDescent="0.25">
      <c r="B132" s="71" t="s">
        <v>403</v>
      </c>
      <c r="C132" s="35" t="s">
        <v>262</v>
      </c>
      <c r="D132" s="65">
        <v>2725</v>
      </c>
      <c r="E132" s="40">
        <v>1</v>
      </c>
      <c r="F132" s="14">
        <v>30</v>
      </c>
      <c r="G132" s="22">
        <f t="shared" si="6"/>
        <v>30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1</v>
      </c>
      <c r="AB132" s="9"/>
      <c r="AC132" s="15">
        <f t="shared" si="8"/>
        <v>1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521</v>
      </c>
      <c r="C133" s="35" t="s">
        <v>293</v>
      </c>
      <c r="D133" s="65">
        <v>2361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522</v>
      </c>
      <c r="C134" s="35" t="s">
        <v>289</v>
      </c>
      <c r="D134" s="65">
        <v>2462</v>
      </c>
      <c r="E134" s="40">
        <v>0.4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0.4</v>
      </c>
      <c r="AB134" s="9"/>
      <c r="AC134" s="15">
        <f t="shared" si="8"/>
        <v>0.16000000000000003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404</v>
      </c>
      <c r="C135" s="35" t="s">
        <v>260</v>
      </c>
      <c r="D135" s="65"/>
      <c r="E135" s="40">
        <v>1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1</v>
      </c>
      <c r="AB135" s="9"/>
      <c r="AC135" s="15">
        <f t="shared" si="8"/>
        <v>1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523</v>
      </c>
      <c r="C136" s="35" t="s">
        <v>287</v>
      </c>
      <c r="D136" s="65">
        <v>0</v>
      </c>
      <c r="E136" s="40">
        <v>0.35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0.35</v>
      </c>
      <c r="AB136" s="9"/>
      <c r="AC136" s="15">
        <f t="shared" si="8"/>
        <v>0.12249999999999998</v>
      </c>
      <c r="AD136" s="9"/>
      <c r="AE136" s="15" t="e">
        <f>AA136*#REF!</f>
        <v>#REF!</v>
      </c>
    </row>
    <row r="137" spans="2:31" ht="16.5" customHeight="1" outlineLevel="1" x14ac:dyDescent="0.25">
      <c r="B137" s="71" t="s">
        <v>405</v>
      </c>
      <c r="C137" s="35" t="s">
        <v>315</v>
      </c>
      <c r="D137" s="65">
        <v>2858</v>
      </c>
      <c r="E137" s="40">
        <v>1</v>
      </c>
      <c r="F137" s="14">
        <v>30</v>
      </c>
      <c r="G137" s="22">
        <f t="shared" si="6"/>
        <v>30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0.35</v>
      </c>
      <c r="AB137" s="9"/>
      <c r="AC137" s="15">
        <f t="shared" si="8"/>
        <v>0.35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524</v>
      </c>
      <c r="C138" s="35" t="s">
        <v>294</v>
      </c>
      <c r="D138" s="65">
        <v>2660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406</v>
      </c>
      <c r="C139" s="35" t="s">
        <v>264</v>
      </c>
      <c r="D139" s="65">
        <v>2756</v>
      </c>
      <c r="E139" s="40">
        <v>1</v>
      </c>
      <c r="F139" s="14">
        <v>100</v>
      </c>
      <c r="G139" s="22">
        <f t="shared" si="6"/>
        <v>100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1</v>
      </c>
      <c r="AB139" s="9"/>
      <c r="AC139" s="15">
        <f t="shared" si="8"/>
        <v>1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525</v>
      </c>
      <c r="C140" s="35" t="s">
        <v>295</v>
      </c>
      <c r="D140" s="65">
        <v>2801</v>
      </c>
      <c r="E140" s="40">
        <v>0.4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0.4</v>
      </c>
      <c r="AB140" s="9"/>
      <c r="AC140" s="15">
        <f t="shared" si="8"/>
        <v>0.16000000000000003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526</v>
      </c>
      <c r="C141" s="35" t="s">
        <v>296</v>
      </c>
      <c r="D141" s="65">
        <v>2799</v>
      </c>
      <c r="E141" s="40">
        <v>0.4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0.4</v>
      </c>
      <c r="AB141" s="9"/>
      <c r="AC141" s="15">
        <f t="shared" si="8"/>
        <v>0.16000000000000003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297</v>
      </c>
      <c r="D142" s="65">
        <v>2826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customHeight="1" outlineLevel="1" x14ac:dyDescent="0.25">
      <c r="B143" s="71" t="s">
        <v>407</v>
      </c>
      <c r="C143" s="35" t="s">
        <v>265</v>
      </c>
      <c r="D143" s="65">
        <v>2876</v>
      </c>
      <c r="E143" s="40">
        <v>1</v>
      </c>
      <c r="F143" s="14">
        <v>40</v>
      </c>
      <c r="G143" s="22">
        <f t="shared" si="6"/>
        <v>40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1</v>
      </c>
      <c r="AB143" s="9"/>
      <c r="AC143" s="15">
        <f t="shared" si="8"/>
        <v>1</v>
      </c>
      <c r="AD143" s="9"/>
      <c r="AE143" s="15" t="e">
        <f>AA143*#REF!</f>
        <v>#REF!</v>
      </c>
    </row>
    <row r="144" spans="2:31" ht="16.5" customHeight="1" outlineLevel="1" x14ac:dyDescent="0.25">
      <c r="B144" s="71" t="s">
        <v>408</v>
      </c>
      <c r="C144" s="35" t="s">
        <v>266</v>
      </c>
      <c r="D144" s="65">
        <v>2847</v>
      </c>
      <c r="E144" s="40">
        <v>1</v>
      </c>
      <c r="F144" s="14">
        <v>40</v>
      </c>
      <c r="G144" s="22">
        <f t="shared" si="6"/>
        <v>40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1</v>
      </c>
      <c r="AB144" s="9"/>
      <c r="AC144" s="15">
        <f t="shared" si="8"/>
        <v>1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528</v>
      </c>
      <c r="C145" s="35" t="s">
        <v>298</v>
      </c>
      <c r="D145" s="65">
        <v>2877</v>
      </c>
      <c r="E145" s="40">
        <v>0.35</v>
      </c>
      <c r="F145" s="14"/>
      <c r="G145" s="22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0.35</v>
      </c>
      <c r="AB145" s="9"/>
      <c r="AC145" s="15">
        <f t="shared" si="8"/>
        <v>0.12249999999999998</v>
      </c>
      <c r="AD145" s="9"/>
      <c r="AE145" s="15" t="e">
        <f>AA145*#REF!</f>
        <v>#REF!</v>
      </c>
    </row>
    <row r="146" spans="2:31" ht="16.5" hidden="1" customHeight="1" outlineLevel="1" x14ac:dyDescent="0.25">
      <c r="B146" s="71" t="s">
        <v>529</v>
      </c>
      <c r="C146" s="35" t="s">
        <v>631</v>
      </c>
      <c r="D146" s="65">
        <v>2848</v>
      </c>
      <c r="E146" s="40">
        <v>0.35</v>
      </c>
      <c r="F146" s="14"/>
      <c r="G146" s="22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0.35</v>
      </c>
      <c r="AB146" s="9"/>
      <c r="AC146" s="15">
        <f t="shared" si="8"/>
        <v>0.12249999999999998</v>
      </c>
      <c r="AD146" s="9"/>
      <c r="AE146" s="15" t="e">
        <f>AA146*#REF!</f>
        <v>#REF!</v>
      </c>
    </row>
    <row r="147" spans="2:31" ht="16.5" customHeight="1" outlineLevel="1" x14ac:dyDescent="0.25">
      <c r="B147" s="71" t="s">
        <v>530</v>
      </c>
      <c r="C147" s="35" t="s">
        <v>299</v>
      </c>
      <c r="D147" s="65">
        <v>2686</v>
      </c>
      <c r="E147" s="40">
        <v>0.4</v>
      </c>
      <c r="F147" s="14">
        <v>60</v>
      </c>
      <c r="G147" s="22">
        <f t="shared" si="6"/>
        <v>24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0.4</v>
      </c>
      <c r="AB147" s="9"/>
      <c r="AC147" s="15">
        <f t="shared" si="8"/>
        <v>0.16000000000000003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409</v>
      </c>
      <c r="C148" s="61" t="s">
        <v>243</v>
      </c>
      <c r="D148" s="65">
        <v>2828</v>
      </c>
      <c r="E148" s="40">
        <v>1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1</v>
      </c>
      <c r="AB148" s="9"/>
      <c r="AC148" s="15">
        <f t="shared" si="8"/>
        <v>1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410</v>
      </c>
      <c r="C149" s="62" t="s">
        <v>678</v>
      </c>
      <c r="D149" s="65">
        <v>2830</v>
      </c>
      <c r="E149" s="40">
        <v>1</v>
      </c>
      <c r="F149" s="14">
        <v>80</v>
      </c>
      <c r="G149" s="22">
        <f t="shared" si="6"/>
        <v>80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1</v>
      </c>
      <c r="AB149" s="9"/>
      <c r="AC149" s="15">
        <f t="shared" si="8"/>
        <v>1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35" t="s">
        <v>267</v>
      </c>
      <c r="D150" s="65">
        <v>2808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71" t="s">
        <v>412</v>
      </c>
      <c r="C151" s="35" t="s">
        <v>244</v>
      </c>
      <c r="D151" s="65" t="s">
        <v>603</v>
      </c>
      <c r="E151" s="40">
        <v>1</v>
      </c>
      <c r="F151" s="14">
        <v>100</v>
      </c>
      <c r="G151" s="22">
        <f t="shared" ref="G151:G217" si="9">F151*E151</f>
        <v>100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customHeight="1" outlineLevel="1" x14ac:dyDescent="0.25">
      <c r="B152" s="71" t="s">
        <v>413</v>
      </c>
      <c r="C152" s="35" t="s">
        <v>238</v>
      </c>
      <c r="D152" s="65" t="s">
        <v>604</v>
      </c>
      <c r="E152" s="40">
        <v>1</v>
      </c>
      <c r="F152" s="14">
        <v>500</v>
      </c>
      <c r="G152" s="22">
        <f t="shared" si="9"/>
        <v>500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531</v>
      </c>
      <c r="C153" s="61" t="s">
        <v>250</v>
      </c>
      <c r="D153" s="65">
        <v>2815</v>
      </c>
      <c r="E153" s="40">
        <v>0.45</v>
      </c>
      <c r="F153" s="14"/>
      <c r="G153" s="22">
        <f t="shared" si="9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0.45</v>
      </c>
      <c r="AB153" s="9"/>
      <c r="AC153" s="15">
        <f t="shared" si="8"/>
        <v>0.20250000000000001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414</v>
      </c>
      <c r="C154" s="35" t="s">
        <v>268</v>
      </c>
      <c r="D154" s="65">
        <v>2811</v>
      </c>
      <c r="E154" s="40">
        <v>1</v>
      </c>
      <c r="F154" s="14"/>
      <c r="G154" s="22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customHeight="1" outlineLevel="1" x14ac:dyDescent="0.25">
      <c r="B155" s="71" t="s">
        <v>415</v>
      </c>
      <c r="C155" s="62" t="s">
        <v>269</v>
      </c>
      <c r="D155" s="65">
        <v>2805</v>
      </c>
      <c r="E155" s="40">
        <v>1</v>
      </c>
      <c r="F155" s="14">
        <v>150</v>
      </c>
      <c r="G155" s="22">
        <f t="shared" si="9"/>
        <v>150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1</v>
      </c>
      <c r="AB155" s="9"/>
      <c r="AC155" s="15">
        <f t="shared" si="8"/>
        <v>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532</v>
      </c>
      <c r="C156" s="62" t="s">
        <v>337</v>
      </c>
      <c r="D156" s="65" t="s">
        <v>605</v>
      </c>
      <c r="E156" s="40">
        <v>0.45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/>
      <c r="AB156" s="9"/>
      <c r="AC156" s="15"/>
      <c r="AD156" s="9"/>
      <c r="AE156" s="15"/>
    </row>
    <row r="157" spans="2:31" ht="16.5" hidden="1" customHeight="1" outlineLevel="1" x14ac:dyDescent="0.25">
      <c r="B157" s="71" t="s">
        <v>533</v>
      </c>
      <c r="C157" s="35" t="s">
        <v>336</v>
      </c>
      <c r="D157" s="65">
        <v>2823</v>
      </c>
      <c r="E157" s="40">
        <v>0.45</v>
      </c>
      <c r="F157" s="14"/>
      <c r="G157" s="22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0.45</v>
      </c>
      <c r="AB157" s="9"/>
      <c r="AC157" s="15">
        <f t="shared" ref="AC157:AC165" si="10">AA157*E157</f>
        <v>0.20250000000000001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1" t="s">
        <v>251</v>
      </c>
      <c r="D158" s="65">
        <v>2814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>
        <v>0.45</v>
      </c>
      <c r="AB158" s="9"/>
      <c r="AC158" s="15">
        <f t="shared" si="10"/>
        <v>0.20250000000000001</v>
      </c>
      <c r="AD158" s="9"/>
      <c r="AE158" s="15" t="e">
        <f>AA158*#REF!</f>
        <v>#REF!</v>
      </c>
    </row>
    <row r="159" spans="2:31" ht="16.5" hidden="1" customHeight="1" outlineLevel="1" x14ac:dyDescent="0.25">
      <c r="B159" s="71" t="s">
        <v>405</v>
      </c>
      <c r="C159" s="35" t="s">
        <v>270</v>
      </c>
      <c r="D159" s="65">
        <v>2858</v>
      </c>
      <c r="E159" s="40">
        <v>1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1</v>
      </c>
      <c r="AB159" s="9"/>
      <c r="AC159" s="15">
        <f t="shared" si="10"/>
        <v>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416</v>
      </c>
      <c r="C160" s="35" t="s">
        <v>271</v>
      </c>
      <c r="D160" s="65">
        <v>2795</v>
      </c>
      <c r="E160" s="40">
        <v>1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1</v>
      </c>
      <c r="AB160" s="9"/>
      <c r="AC160" s="15">
        <f t="shared" si="10"/>
        <v>1</v>
      </c>
      <c r="AD160" s="9"/>
      <c r="AE160" s="15" t="e">
        <f>AA160*#REF!</f>
        <v>#REF!</v>
      </c>
    </row>
    <row r="161" spans="2:31" ht="16.5" customHeight="1" outlineLevel="1" x14ac:dyDescent="0.25">
      <c r="B161" s="71" t="s">
        <v>535</v>
      </c>
      <c r="C161" s="35" t="s">
        <v>300</v>
      </c>
      <c r="D161" s="65">
        <v>2758</v>
      </c>
      <c r="E161" s="40">
        <v>0.4</v>
      </c>
      <c r="F161" s="14">
        <v>24</v>
      </c>
      <c r="G161" s="22">
        <f t="shared" si="9"/>
        <v>9.6000000000000014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0.4</v>
      </c>
      <c r="AB161" s="9"/>
      <c r="AC161" s="15">
        <f t="shared" si="10"/>
        <v>0.16000000000000003</v>
      </c>
      <c r="AD161" s="9"/>
      <c r="AE161" s="15" t="e">
        <f>AA161*#REF!</f>
        <v>#REF!</v>
      </c>
    </row>
    <row r="162" spans="2:31" ht="16.5" customHeight="1" outlineLevel="1" x14ac:dyDescent="0.25">
      <c r="B162" s="71" t="s">
        <v>536</v>
      </c>
      <c r="C162" s="35" t="s">
        <v>301</v>
      </c>
      <c r="D162" s="65">
        <v>2759</v>
      </c>
      <c r="E162" s="40">
        <v>0.4</v>
      </c>
      <c r="F162" s="14">
        <v>24</v>
      </c>
      <c r="G162" s="22">
        <f t="shared" si="9"/>
        <v>9.6000000000000014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0.4</v>
      </c>
      <c r="AB162" s="9"/>
      <c r="AC162" s="15">
        <f t="shared" si="10"/>
        <v>0.16000000000000003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417</v>
      </c>
      <c r="C163" s="61" t="s">
        <v>677</v>
      </c>
      <c r="D163" s="65">
        <v>2829</v>
      </c>
      <c r="E163" s="40">
        <v>1</v>
      </c>
      <c r="F163" s="14">
        <v>20</v>
      </c>
      <c r="G163" s="22">
        <f t="shared" si="9"/>
        <v>20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1</v>
      </c>
      <c r="AB163" s="9"/>
      <c r="AC163" s="15">
        <f t="shared" si="10"/>
        <v>1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418</v>
      </c>
      <c r="C164" s="35" t="s">
        <v>272</v>
      </c>
      <c r="D164" s="65">
        <v>2857</v>
      </c>
      <c r="E164" s="40">
        <v>1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1</v>
      </c>
      <c r="AB164" s="9"/>
      <c r="AC164" s="15">
        <f t="shared" si="10"/>
        <v>1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35" t="s">
        <v>240</v>
      </c>
      <c r="D165" s="65">
        <v>64</v>
      </c>
      <c r="E165" s="40">
        <v>1</v>
      </c>
      <c r="F165" s="14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62" t="s">
        <v>334</v>
      </c>
      <c r="D166" s="65">
        <v>2833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/>
      <c r="AB166" s="9"/>
      <c r="AC166" s="15"/>
      <c r="AD166" s="9"/>
      <c r="AE166" s="15"/>
    </row>
    <row r="167" spans="2:31" ht="16.5" customHeight="1" outlineLevel="1" x14ac:dyDescent="0.25">
      <c r="B167" s="71" t="s">
        <v>421</v>
      </c>
      <c r="C167" s="62" t="s">
        <v>313</v>
      </c>
      <c r="D167" s="65">
        <v>2947</v>
      </c>
      <c r="E167" s="40">
        <v>1</v>
      </c>
      <c r="F167" s="14">
        <v>50</v>
      </c>
      <c r="G167" s="22">
        <f t="shared" si="9"/>
        <v>50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/>
      <c r="AB167" s="9"/>
      <c r="AC167" s="15"/>
      <c r="AD167" s="9"/>
      <c r="AE167" s="15"/>
    </row>
    <row r="168" spans="2:31" ht="16.5" hidden="1" customHeight="1" outlineLevel="1" x14ac:dyDescent="0.25">
      <c r="B168" s="71" t="s">
        <v>672</v>
      </c>
      <c r="C168" s="35" t="s">
        <v>606</v>
      </c>
      <c r="D168" s="65"/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>
        <v>1</v>
      </c>
      <c r="AB168" s="9"/>
      <c r="AC168" s="15">
        <f t="shared" ref="AC168:AC174" si="11">AA168*E168</f>
        <v>1</v>
      </c>
      <c r="AD168" s="9"/>
      <c r="AE168" s="15" t="e">
        <f>AA168*#REF!</f>
        <v>#REF!</v>
      </c>
    </row>
    <row r="169" spans="2:31" ht="16.5" customHeight="1" outlineLevel="1" x14ac:dyDescent="0.25">
      <c r="B169" s="71" t="s">
        <v>627</v>
      </c>
      <c r="C169" s="58" t="s">
        <v>628</v>
      </c>
      <c r="D169" s="65">
        <v>2844</v>
      </c>
      <c r="E169" s="40">
        <v>0.4</v>
      </c>
      <c r="F169" s="14">
        <v>60</v>
      </c>
      <c r="G169" s="22">
        <f t="shared" si="9"/>
        <v>24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>
        <v>0.5</v>
      </c>
      <c r="AB169" s="9"/>
      <c r="AC169" s="15">
        <f t="shared" si="11"/>
        <v>0.2</v>
      </c>
      <c r="AD169" s="9"/>
      <c r="AE169" s="15" t="e">
        <f>AA169*#REF!</f>
        <v>#REF!</v>
      </c>
    </row>
    <row r="170" spans="2:31" ht="16.5" hidden="1" customHeight="1" outlineLevel="1" x14ac:dyDescent="0.25">
      <c r="B170" s="71" t="s">
        <v>422</v>
      </c>
      <c r="C170" s="35" t="s">
        <v>263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si="11"/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629</v>
      </c>
      <c r="C171" s="58" t="s">
        <v>630</v>
      </c>
      <c r="D171" s="65">
        <v>2842</v>
      </c>
      <c r="E171" s="40">
        <v>0.4</v>
      </c>
      <c r="F171" s="14">
        <v>420</v>
      </c>
      <c r="G171" s="22">
        <f t="shared" si="9"/>
        <v>168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1</v>
      </c>
      <c r="AB171" s="9"/>
      <c r="AC171" s="15">
        <f t="shared" si="11"/>
        <v>0.4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673</v>
      </c>
      <c r="C172" s="35" t="s">
        <v>607</v>
      </c>
      <c r="D172" s="65">
        <v>665</v>
      </c>
      <c r="E172" s="40">
        <v>0.35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0.35</v>
      </c>
      <c r="AB172" s="9"/>
      <c r="AC172" s="15">
        <f t="shared" si="11"/>
        <v>0.12249999999999998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529</v>
      </c>
      <c r="C173" s="35" t="s">
        <v>608</v>
      </c>
      <c r="D173" s="65">
        <v>2848</v>
      </c>
      <c r="E173" s="40">
        <v>0.35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0.35</v>
      </c>
      <c r="AB173" s="9"/>
      <c r="AC173" s="15">
        <f t="shared" si="11"/>
        <v>0.12249999999999998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674</v>
      </c>
      <c r="C174" s="35" t="s">
        <v>683</v>
      </c>
      <c r="D174" s="65">
        <v>2603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customHeight="1" outlineLevel="1" x14ac:dyDescent="0.25">
      <c r="B175" s="71" t="s">
        <v>423</v>
      </c>
      <c r="C175" s="62" t="s">
        <v>626</v>
      </c>
      <c r="D175" s="65">
        <v>2941</v>
      </c>
      <c r="E175" s="40">
        <v>1</v>
      </c>
      <c r="F175" s="14">
        <v>50</v>
      </c>
      <c r="G175" s="22">
        <f t="shared" si="9"/>
        <v>50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/>
      <c r="AB175" s="9"/>
      <c r="AC175" s="15"/>
      <c r="AD175" s="9"/>
      <c r="AE175" s="15"/>
    </row>
    <row r="176" spans="2:31" ht="16.5" customHeight="1" outlineLevel="1" x14ac:dyDescent="0.25">
      <c r="B176" s="71" t="s">
        <v>625</v>
      </c>
      <c r="C176" s="35" t="s">
        <v>624</v>
      </c>
      <c r="D176" s="65">
        <v>2943</v>
      </c>
      <c r="E176" s="40">
        <v>1</v>
      </c>
      <c r="F176" s="14">
        <v>50</v>
      </c>
      <c r="G176" s="22">
        <f t="shared" si="9"/>
        <v>50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/>
      <c r="AB176" s="9"/>
      <c r="AC176" s="15"/>
      <c r="AD176" s="9"/>
      <c r="AE176" s="15"/>
    </row>
    <row r="177" spans="2:31" ht="16.5" hidden="1" customHeight="1" outlineLevel="1" x14ac:dyDescent="0.25">
      <c r="B177" s="71" t="s">
        <v>422</v>
      </c>
      <c r="C177" s="35"/>
      <c r="D177" s="65"/>
      <c r="E177" s="40">
        <v>1</v>
      </c>
      <c r="F177" s="14"/>
      <c r="G177" s="22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>
        <v>1</v>
      </c>
      <c r="AB177" s="9"/>
      <c r="AC177" s="15">
        <f>AA177*E177</f>
        <v>1</v>
      </c>
      <c r="AD177" s="9"/>
      <c r="AE177" s="15" t="e">
        <f>AA177*#REF!</f>
        <v>#REF!</v>
      </c>
    </row>
    <row r="178" spans="2:31" ht="16.5" customHeight="1" outlineLevel="1" thickBot="1" x14ac:dyDescent="0.3">
      <c r="B178" s="71" t="s">
        <v>424</v>
      </c>
      <c r="C178" s="63" t="s">
        <v>632</v>
      </c>
      <c r="D178" s="65">
        <v>2945</v>
      </c>
      <c r="E178" s="40">
        <v>1</v>
      </c>
      <c r="F178" s="14">
        <v>50</v>
      </c>
      <c r="G178" s="29">
        <f t="shared" si="9"/>
        <v>50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>
        <v>1</v>
      </c>
      <c r="AB178" s="9"/>
      <c r="AC178" s="15">
        <f>AA178*E178</f>
        <v>1</v>
      </c>
      <c r="AD178" s="9"/>
      <c r="AE178" s="15" t="e">
        <f>AA178*#REF!</f>
        <v>#REF!</v>
      </c>
    </row>
    <row r="179" spans="2:31" s="4" customFormat="1" ht="19.5" hidden="1" collapsed="1" thickBot="1" x14ac:dyDescent="0.3">
      <c r="B179" s="71"/>
      <c r="C179" s="33" t="s">
        <v>188</v>
      </c>
      <c r="D179" s="66"/>
      <c r="E179" s="39"/>
      <c r="F179" s="23">
        <f>SUM(F180:F263)</f>
        <v>820</v>
      </c>
      <c r="G179" s="47">
        <f>SUM(G180:G263)</f>
        <v>568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7"/>
      <c r="AA179" s="18"/>
      <c r="AB179" s="21"/>
      <c r="AC179" s="19">
        <f>SUM(AC180:AC263)</f>
        <v>38.277825000000021</v>
      </c>
      <c r="AD179" s="21"/>
      <c r="AE179" s="19" t="e">
        <f>SUM(AE180:AE263)</f>
        <v>#REF!</v>
      </c>
    </row>
    <row r="180" spans="2:31" ht="16.5" hidden="1" customHeight="1" outlineLevel="1" x14ac:dyDescent="0.25">
      <c r="B180" s="71" t="s">
        <v>537</v>
      </c>
      <c r="C180" s="41" t="s">
        <v>98</v>
      </c>
      <c r="D180" s="104"/>
      <c r="E180" s="44">
        <v>0.3</v>
      </c>
      <c r="F180" s="48"/>
      <c r="G180" s="28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2">
        <v>0.3</v>
      </c>
      <c r="AB180" s="13"/>
      <c r="AC180" s="12">
        <f t="shared" ref="AC180:AC211" si="12">AA180*E180</f>
        <v>0.09</v>
      </c>
      <c r="AD180" s="13"/>
      <c r="AE180" s="12" t="e">
        <f>AA180*#REF!</f>
        <v>#REF!</v>
      </c>
    </row>
    <row r="181" spans="2:31" ht="16.5" hidden="1" customHeight="1" outlineLevel="1" x14ac:dyDescent="0.25">
      <c r="B181" s="71" t="s">
        <v>425</v>
      </c>
      <c r="C181" s="35" t="s">
        <v>99</v>
      </c>
      <c r="D181" s="105"/>
      <c r="E181" s="45">
        <v>1</v>
      </c>
      <c r="F181" s="49"/>
      <c r="G181" s="22">
        <f t="shared" si="9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5">
        <v>1</v>
      </c>
      <c r="AB181" s="9"/>
      <c r="AC181" s="15">
        <f t="shared" si="12"/>
        <v>1</v>
      </c>
      <c r="AD181" s="9"/>
      <c r="AE181" s="15" t="e">
        <f>AA181*#REF!</f>
        <v>#REF!</v>
      </c>
    </row>
    <row r="182" spans="2:31" ht="16.5" hidden="1" customHeight="1" outlineLevel="1" x14ac:dyDescent="0.25">
      <c r="B182" s="71" t="s">
        <v>426</v>
      </c>
      <c r="C182" s="35" t="s">
        <v>100</v>
      </c>
      <c r="D182" s="105"/>
      <c r="E182" s="45">
        <v>1</v>
      </c>
      <c r="F182" s="49"/>
      <c r="G182" s="22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5">
        <v>1</v>
      </c>
      <c r="AB182" s="9"/>
      <c r="AC182" s="15">
        <f t="shared" si="12"/>
        <v>1</v>
      </c>
      <c r="AD182" s="9"/>
      <c r="AE182" s="15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101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538</v>
      </c>
      <c r="C184" s="35" t="s">
        <v>102</v>
      </c>
      <c r="D184" s="105"/>
      <c r="E184" s="45">
        <v>0.35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0.35</v>
      </c>
      <c r="AB184" s="9"/>
      <c r="AC184" s="15">
        <f t="shared" si="12"/>
        <v>0.12249999999999998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539</v>
      </c>
      <c r="C185" s="35" t="s">
        <v>103</v>
      </c>
      <c r="D185" s="105"/>
      <c r="E185" s="45">
        <v>0.3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0.3</v>
      </c>
      <c r="AB185" s="9"/>
      <c r="AC185" s="15">
        <f t="shared" si="12"/>
        <v>0.09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104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428</v>
      </c>
      <c r="C187" s="35" t="s">
        <v>105</v>
      </c>
      <c r="D187" s="105"/>
      <c r="E187" s="45">
        <v>1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1</v>
      </c>
      <c r="AB187" s="9"/>
      <c r="AC187" s="15">
        <f t="shared" si="12"/>
        <v>1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541</v>
      </c>
      <c r="C188" s="35" t="s">
        <v>194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542</v>
      </c>
      <c r="C189" s="35" t="s">
        <v>164</v>
      </c>
      <c r="D189" s="105"/>
      <c r="E189" s="45">
        <v>9.5000000000000001E-2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9.5000000000000001E-2</v>
      </c>
      <c r="AB189" s="9"/>
      <c r="AC189" s="15">
        <f t="shared" si="12"/>
        <v>9.025E-3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165</v>
      </c>
      <c r="D190" s="105"/>
      <c r="E190" s="45">
        <v>9.5000000000000001E-2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9.5000000000000001E-2</v>
      </c>
      <c r="AB190" s="9"/>
      <c r="AC190" s="15">
        <f t="shared" si="12"/>
        <v>9.025E-3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166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195</v>
      </c>
      <c r="D192" s="105"/>
      <c r="E192" s="45">
        <v>0.2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0.2</v>
      </c>
      <c r="AB192" s="9"/>
      <c r="AC192" s="15">
        <f t="shared" si="12"/>
        <v>4.0000000000000008E-2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429</v>
      </c>
      <c r="C193" s="35" t="s">
        <v>173</v>
      </c>
      <c r="D193" s="105"/>
      <c r="E193" s="45">
        <v>1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1</v>
      </c>
      <c r="AB193" s="9"/>
      <c r="AC193" s="15">
        <f t="shared" si="12"/>
        <v>1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430</v>
      </c>
      <c r="C194" s="35" t="s">
        <v>174</v>
      </c>
      <c r="D194" s="105"/>
      <c r="E194" s="45">
        <v>1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1</v>
      </c>
      <c r="AB194" s="9"/>
      <c r="AC194" s="15">
        <f t="shared" si="12"/>
        <v>1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546</v>
      </c>
      <c r="C195" s="35" t="s">
        <v>175</v>
      </c>
      <c r="D195" s="105"/>
      <c r="E195" s="45">
        <v>0.3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0.3</v>
      </c>
      <c r="AB195" s="9"/>
      <c r="AC195" s="15">
        <f t="shared" si="12"/>
        <v>0.09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547</v>
      </c>
      <c r="C196" s="35" t="s">
        <v>176</v>
      </c>
      <c r="D196" s="105"/>
      <c r="E196" s="45">
        <v>0.2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0.2</v>
      </c>
      <c r="AB196" s="9"/>
      <c r="AC196" s="15">
        <f t="shared" si="12"/>
        <v>4.0000000000000008E-2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177</v>
      </c>
      <c r="D197" s="105"/>
      <c r="E197" s="45">
        <v>0.2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0.2</v>
      </c>
      <c r="AB197" s="9"/>
      <c r="AC197" s="15">
        <f t="shared" si="12"/>
        <v>4.0000000000000008E-2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178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179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180</v>
      </c>
      <c r="D200" s="105"/>
      <c r="E200" s="45">
        <v>0.25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0.25</v>
      </c>
      <c r="AB200" s="9"/>
      <c r="AC200" s="15">
        <f t="shared" si="12"/>
        <v>6.25E-2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431</v>
      </c>
      <c r="C201" s="35" t="s">
        <v>167</v>
      </c>
      <c r="D201" s="105"/>
      <c r="E201" s="45">
        <v>1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1</v>
      </c>
      <c r="AB201" s="9"/>
      <c r="AC201" s="15">
        <f t="shared" si="12"/>
        <v>1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552</v>
      </c>
      <c r="C202" s="35" t="s">
        <v>168</v>
      </c>
      <c r="D202" s="105"/>
      <c r="E202" s="45">
        <v>0.3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0.3</v>
      </c>
      <c r="AB202" s="9"/>
      <c r="AC202" s="15">
        <f t="shared" si="12"/>
        <v>0.09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432</v>
      </c>
      <c r="C203" s="35" t="s">
        <v>181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553</v>
      </c>
      <c r="C204" s="35" t="s">
        <v>169</v>
      </c>
      <c r="D204" s="105"/>
      <c r="E204" s="45">
        <v>1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1</v>
      </c>
      <c r="AB204" s="9"/>
      <c r="AC204" s="15">
        <f t="shared" si="12"/>
        <v>1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433</v>
      </c>
      <c r="C205" s="35" t="s">
        <v>106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554</v>
      </c>
      <c r="C206" s="35" t="s">
        <v>107</v>
      </c>
      <c r="D206" s="105"/>
      <c r="E206" s="45">
        <v>0.15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0.15</v>
      </c>
      <c r="AB206" s="9"/>
      <c r="AC206" s="15">
        <f t="shared" si="12"/>
        <v>2.2499999999999999E-2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555</v>
      </c>
      <c r="C207" s="35" t="s">
        <v>108</v>
      </c>
      <c r="D207" s="105"/>
      <c r="E207" s="45">
        <v>0.35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0.35</v>
      </c>
      <c r="AB207" s="9"/>
      <c r="AC207" s="15">
        <f t="shared" si="12"/>
        <v>0.12249999999999998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434</v>
      </c>
      <c r="C208" s="35" t="s">
        <v>109</v>
      </c>
      <c r="D208" s="105"/>
      <c r="E208" s="45">
        <v>1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1</v>
      </c>
      <c r="AB208" s="9"/>
      <c r="AC208" s="15">
        <f t="shared" si="12"/>
        <v>1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435</v>
      </c>
      <c r="C209" s="35" t="s">
        <v>110</v>
      </c>
      <c r="D209" s="105"/>
      <c r="E209" s="45">
        <v>1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1</v>
      </c>
      <c r="AB209" s="9"/>
      <c r="AC209" s="15">
        <f t="shared" si="12"/>
        <v>1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556</v>
      </c>
      <c r="C210" s="35" t="s">
        <v>111</v>
      </c>
      <c r="D210" s="105"/>
      <c r="E210" s="45">
        <v>0.35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0.35</v>
      </c>
      <c r="AB210" s="9"/>
      <c r="AC210" s="15">
        <f t="shared" si="12"/>
        <v>0.12249999999999998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436</v>
      </c>
      <c r="C211" s="35" t="s">
        <v>319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557</v>
      </c>
      <c r="C212" s="35" t="s">
        <v>112</v>
      </c>
      <c r="D212" s="105"/>
      <c r="E212" s="45">
        <v>1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1</v>
      </c>
      <c r="AB212" s="9"/>
      <c r="AC212" s="15">
        <f t="shared" ref="AC212:AC243" si="13">AA212*E212</f>
        <v>1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436</v>
      </c>
      <c r="C213" s="35" t="s">
        <v>113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3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437</v>
      </c>
      <c r="C214" s="35" t="s">
        <v>114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si="13"/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115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558</v>
      </c>
      <c r="C216" s="35" t="s">
        <v>116</v>
      </c>
      <c r="D216" s="105"/>
      <c r="E216" s="45">
        <v>0.35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0.35</v>
      </c>
      <c r="AB216" s="9"/>
      <c r="AC216" s="15">
        <f t="shared" si="13"/>
        <v>0.12249999999999998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439</v>
      </c>
      <c r="C217" s="35" t="s">
        <v>117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440</v>
      </c>
      <c r="C218" s="35" t="s">
        <v>118</v>
      </c>
      <c r="D218" s="105"/>
      <c r="E218" s="45">
        <v>1</v>
      </c>
      <c r="F218" s="49"/>
      <c r="G218" s="22">
        <f t="shared" ref="G218:G281" si="14">F218*E218</f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1</v>
      </c>
      <c r="AB218" s="9"/>
      <c r="AC218" s="15">
        <f t="shared" si="13"/>
        <v>1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559</v>
      </c>
      <c r="C219" s="35" t="s">
        <v>119</v>
      </c>
      <c r="D219" s="105"/>
      <c r="E219" s="45">
        <v>1</v>
      </c>
      <c r="F219" s="49"/>
      <c r="G219" s="22">
        <f t="shared" si="14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560</v>
      </c>
      <c r="C220" s="35" t="s">
        <v>120</v>
      </c>
      <c r="D220" s="105"/>
      <c r="E220" s="45">
        <v>1</v>
      </c>
      <c r="F220" s="49"/>
      <c r="G220" s="22">
        <f t="shared" si="14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121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122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123</v>
      </c>
      <c r="D223" s="105"/>
      <c r="E223" s="45">
        <v>0.25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0.25</v>
      </c>
      <c r="AB223" s="9"/>
      <c r="AC223" s="15">
        <f t="shared" si="13"/>
        <v>6.25E-2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441</v>
      </c>
      <c r="C224" s="35" t="s">
        <v>124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442</v>
      </c>
      <c r="C225" s="35" t="s">
        <v>125</v>
      </c>
      <c r="D225" s="105"/>
      <c r="E225" s="45">
        <v>1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1</v>
      </c>
      <c r="AB225" s="9"/>
      <c r="AC225" s="15">
        <f t="shared" si="13"/>
        <v>1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126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127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128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129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C230" s="59" t="s">
        <v>317</v>
      </c>
      <c r="D230" s="106"/>
      <c r="E230" s="45">
        <v>0.1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0.1</v>
      </c>
      <c r="AD230" s="9"/>
      <c r="AE230" s="15" t="e">
        <f>AA230*#REF!</f>
        <v>#REF!</v>
      </c>
    </row>
    <row r="231" spans="2:31" ht="16.5" hidden="1" customHeight="1" outlineLevel="1" x14ac:dyDescent="0.25">
      <c r="C231" s="59" t="s">
        <v>318</v>
      </c>
      <c r="D231" s="106"/>
      <c r="E231" s="45">
        <v>0.1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0.1</v>
      </c>
      <c r="AD231" s="9"/>
      <c r="AE231" s="15" t="e">
        <f>AA231*#REF!</f>
        <v>#REF!</v>
      </c>
    </row>
    <row r="232" spans="2:31" ht="16.5" hidden="1" customHeight="1" outlineLevel="1" x14ac:dyDescent="0.25">
      <c r="C232" s="35" t="s">
        <v>185</v>
      </c>
      <c r="D232" s="105"/>
      <c r="E232" s="45">
        <v>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1</v>
      </c>
      <c r="AD232" s="9"/>
      <c r="AE232" s="15" t="e">
        <f>AA232*#REF!</f>
        <v>#REF!</v>
      </c>
    </row>
    <row r="233" spans="2:31" ht="16.5" hidden="1" customHeight="1" outlineLevel="1" x14ac:dyDescent="0.25">
      <c r="C233" s="35" t="s">
        <v>184</v>
      </c>
      <c r="D233" s="105"/>
      <c r="E233" s="45">
        <v>0.6</v>
      </c>
      <c r="F233" s="49">
        <v>300</v>
      </c>
      <c r="G233" s="22">
        <f t="shared" si="14"/>
        <v>180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0.6</v>
      </c>
      <c r="AB233" s="9"/>
      <c r="AC233" s="15">
        <f t="shared" si="13"/>
        <v>0.36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0.6</v>
      </c>
      <c r="F234" s="49">
        <v>300</v>
      </c>
      <c r="G234" s="22">
        <f t="shared" si="14"/>
        <v>180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0.6</v>
      </c>
      <c r="AB234" s="9"/>
      <c r="AC234" s="15">
        <f t="shared" si="13"/>
        <v>0.36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187</v>
      </c>
      <c r="D235" s="105"/>
      <c r="E235" s="45">
        <v>1</v>
      </c>
      <c r="F235" s="49">
        <v>80</v>
      </c>
      <c r="G235" s="22">
        <f t="shared" si="14"/>
        <v>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1</v>
      </c>
      <c r="AB235" s="9"/>
      <c r="AC235" s="15">
        <f t="shared" si="13"/>
        <v>1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183</v>
      </c>
      <c r="D236" s="105"/>
      <c r="E236" s="45">
        <v>1</v>
      </c>
      <c r="F236" s="49">
        <v>80</v>
      </c>
      <c r="G236" s="22">
        <f t="shared" si="14"/>
        <v>80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1</v>
      </c>
      <c r="AB236" s="9"/>
      <c r="AC236" s="15">
        <f t="shared" si="13"/>
        <v>1</v>
      </c>
      <c r="AD236" s="9"/>
      <c r="AE236" s="15" t="e">
        <f>AA236*#REF!</f>
        <v>#REF!</v>
      </c>
    </row>
    <row r="237" spans="2:31" ht="16.5" hidden="1" customHeight="1" outlineLevel="1" x14ac:dyDescent="0.25">
      <c r="B237" s="71" t="s">
        <v>564</v>
      </c>
      <c r="C237" s="35" t="s">
        <v>332</v>
      </c>
      <c r="D237" s="105"/>
      <c r="E237" s="45">
        <v>0.8</v>
      </c>
      <c r="F237" s="49">
        <v>30</v>
      </c>
      <c r="G237" s="22">
        <f t="shared" si="14"/>
        <v>24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9.5000000000000001E-2</v>
      </c>
      <c r="AB237" s="9"/>
      <c r="AC237" s="15">
        <f t="shared" si="13"/>
        <v>7.6000000000000012E-2</v>
      </c>
      <c r="AD237" s="9"/>
      <c r="AE237" s="15" t="e">
        <f>AA237*#REF!</f>
        <v>#REF!</v>
      </c>
    </row>
    <row r="238" spans="2:31" ht="16.5" hidden="1" customHeight="1" outlineLevel="1" thickBot="1" x14ac:dyDescent="0.3">
      <c r="B238" s="71" t="s">
        <v>565</v>
      </c>
      <c r="C238" s="35" t="s">
        <v>333</v>
      </c>
      <c r="D238" s="105"/>
      <c r="E238" s="45">
        <v>0.8</v>
      </c>
      <c r="F238" s="49">
        <v>30</v>
      </c>
      <c r="G238" s="22">
        <f t="shared" si="14"/>
        <v>24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9.5000000000000001E-2</v>
      </c>
      <c r="AB238" s="9"/>
      <c r="AC238" s="15">
        <f t="shared" si="13"/>
        <v>7.6000000000000012E-2</v>
      </c>
      <c r="AD238" s="9"/>
      <c r="AE238" s="15" t="e">
        <f>AA238*#REF!</f>
        <v>#REF!</v>
      </c>
    </row>
    <row r="239" spans="2:31" ht="16.5" hidden="1" customHeight="1" outlineLevel="1" x14ac:dyDescent="0.3">
      <c r="C239" s="35" t="s">
        <v>217</v>
      </c>
      <c r="D239" s="105"/>
      <c r="E239" s="45">
        <v>0.4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0.4</v>
      </c>
      <c r="AB239" s="9"/>
      <c r="AC239" s="15">
        <f t="shared" si="13"/>
        <v>0.16000000000000003</v>
      </c>
      <c r="AD239" s="9"/>
      <c r="AE239" s="15" t="e">
        <f>AA239*#REF!</f>
        <v>#REF!</v>
      </c>
    </row>
    <row r="240" spans="2:31" ht="16.5" hidden="1" customHeight="1" outlineLevel="1" x14ac:dyDescent="0.3">
      <c r="C240" s="35" t="s">
        <v>218</v>
      </c>
      <c r="D240" s="105"/>
      <c r="E240" s="45">
        <v>0.4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0.4</v>
      </c>
      <c r="AB240" s="9"/>
      <c r="AC240" s="15">
        <f t="shared" si="13"/>
        <v>0.16000000000000003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219</v>
      </c>
      <c r="D241" s="105"/>
      <c r="E241" s="45">
        <v>8.5000000000000006E-2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8.5000000000000006E-2</v>
      </c>
      <c r="AB241" s="9"/>
      <c r="AC241" s="15">
        <f t="shared" si="13"/>
        <v>7.2250000000000014E-3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220</v>
      </c>
      <c r="D242" s="105"/>
      <c r="E242" s="45">
        <v>0.3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0.3</v>
      </c>
      <c r="AB242" s="9"/>
      <c r="AC242" s="15">
        <f t="shared" si="13"/>
        <v>0.09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221</v>
      </c>
      <c r="D243" s="105"/>
      <c r="E243" s="45">
        <v>0.3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0.3</v>
      </c>
      <c r="AB243" s="9"/>
      <c r="AC243" s="15">
        <f t="shared" si="13"/>
        <v>0.09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212</v>
      </c>
      <c r="D244" s="105"/>
      <c r="E244" s="45">
        <v>0.28000000000000003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0.28000000000000003</v>
      </c>
      <c r="AB244" s="9"/>
      <c r="AC244" s="15">
        <f t="shared" ref="AC244:AC263" si="15">AA244*E244</f>
        <v>7.8400000000000011E-2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213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5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214</v>
      </c>
      <c r="D246" s="105"/>
      <c r="E246" s="45">
        <v>0.21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0.21</v>
      </c>
      <c r="AB246" s="9"/>
      <c r="AC246" s="15">
        <f t="shared" si="15"/>
        <v>4.4099999999999993E-2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222</v>
      </c>
      <c r="D247" s="105"/>
      <c r="E247" s="45">
        <v>0.4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0.4</v>
      </c>
      <c r="AB247" s="9"/>
      <c r="AC247" s="15">
        <f t="shared" si="15"/>
        <v>0.16000000000000003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223</v>
      </c>
      <c r="D248" s="105"/>
      <c r="E248" s="45">
        <v>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1</v>
      </c>
      <c r="AB248" s="9"/>
      <c r="AC248" s="15">
        <f t="shared" si="15"/>
        <v>1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224</v>
      </c>
      <c r="D249" s="105"/>
      <c r="E249" s="45">
        <v>0.3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0.3</v>
      </c>
      <c r="AB249" s="9"/>
      <c r="AC249" s="15">
        <f t="shared" si="15"/>
        <v>0.09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225</v>
      </c>
      <c r="D250" s="105"/>
      <c r="E250" s="45">
        <v>8.5000000000000006E-2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8.5000000000000006E-2</v>
      </c>
      <c r="AB250" s="9"/>
      <c r="AC250" s="15">
        <f t="shared" si="15"/>
        <v>7.2250000000000014E-3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226</v>
      </c>
      <c r="D251" s="105"/>
      <c r="E251" s="45">
        <v>0.28000000000000003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0.28000000000000003</v>
      </c>
      <c r="AB251" s="9"/>
      <c r="AC251" s="15">
        <f t="shared" si="15"/>
        <v>7.8400000000000011E-2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227</v>
      </c>
      <c r="D252" s="105"/>
      <c r="E252" s="45">
        <v>0.3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0.3</v>
      </c>
      <c r="AB252" s="9"/>
      <c r="AC252" s="15">
        <f t="shared" si="15"/>
        <v>0.09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215</v>
      </c>
      <c r="D253" s="105"/>
      <c r="E253" s="45">
        <v>0.21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0.21</v>
      </c>
      <c r="AB253" s="9"/>
      <c r="AC253" s="15">
        <f t="shared" si="15"/>
        <v>4.4099999999999993E-2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1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1</v>
      </c>
      <c r="AB254" s="9"/>
      <c r="AC254" s="15">
        <f t="shared" si="15"/>
        <v>1</v>
      </c>
      <c r="AD254" s="9"/>
      <c r="AE254" s="15" t="e">
        <f>AA254*#REF!</f>
        <v>#REF!</v>
      </c>
    </row>
    <row r="255" spans="3:31" ht="16.5" hidden="1" customHeight="1" outlineLevel="1" x14ac:dyDescent="0.3">
      <c r="C255" s="30" t="s">
        <v>216</v>
      </c>
      <c r="D255" s="107"/>
      <c r="E255" s="45">
        <v>0.28000000000000003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0.28000000000000003</v>
      </c>
      <c r="AB255" s="9"/>
      <c r="AC255" s="15">
        <f t="shared" si="15"/>
        <v>7.8400000000000011E-2</v>
      </c>
      <c r="AD255" s="9"/>
      <c r="AE255" s="15" t="e">
        <f>AA255*#REF!</f>
        <v>#REF!</v>
      </c>
    </row>
    <row r="256" spans="3:31" ht="16.5" hidden="1" customHeight="1" outlineLevel="1" x14ac:dyDescent="0.3">
      <c r="C256" s="30" t="s">
        <v>211</v>
      </c>
      <c r="D256" s="107"/>
      <c r="E256" s="45">
        <v>0.3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0.3</v>
      </c>
      <c r="AB256" s="9"/>
      <c r="AC256" s="15">
        <f t="shared" si="15"/>
        <v>0.09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229</v>
      </c>
      <c r="D257" s="107"/>
      <c r="E257" s="45">
        <v>8.5000000000000006E-2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8.5000000000000006E-2</v>
      </c>
      <c r="AB257" s="9"/>
      <c r="AC257" s="15">
        <f t="shared" si="15"/>
        <v>7.2250000000000014E-3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230</v>
      </c>
      <c r="D258" s="107"/>
      <c r="E258" s="45">
        <v>8.5000000000000006E-2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8.5000000000000006E-2</v>
      </c>
      <c r="AB258" s="9"/>
      <c r="AC258" s="15">
        <f t="shared" si="15"/>
        <v>7.2250000000000014E-3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231</v>
      </c>
      <c r="D259" s="107"/>
      <c r="E259" s="45">
        <v>9.5000000000000001E-2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9.5000000000000001E-2</v>
      </c>
      <c r="AB259" s="9"/>
      <c r="AC259" s="15">
        <f t="shared" si="15"/>
        <v>9.025E-3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232</v>
      </c>
      <c r="D260" s="107"/>
      <c r="E260" s="45">
        <v>0.25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0.25</v>
      </c>
      <c r="AB260" s="9"/>
      <c r="AC260" s="15">
        <f t="shared" si="15"/>
        <v>6.25E-2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233</v>
      </c>
      <c r="D261" s="107"/>
      <c r="E261" s="45">
        <v>0.47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0.47</v>
      </c>
      <c r="AB261" s="9"/>
      <c r="AC261" s="15">
        <f t="shared" si="15"/>
        <v>0.22089999999999999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234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thickBot="1" x14ac:dyDescent="0.3">
      <c r="C263" s="32" t="s">
        <v>235</v>
      </c>
      <c r="D263" s="108"/>
      <c r="E263" s="46">
        <v>9.5000000000000001E-2</v>
      </c>
      <c r="F263" s="50"/>
      <c r="G263" s="29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9.5000000000000001E-2</v>
      </c>
      <c r="AB263" s="9"/>
      <c r="AC263" s="15">
        <f t="shared" si="15"/>
        <v>9.025E-3</v>
      </c>
      <c r="AD263" s="9"/>
      <c r="AE263" s="15" t="e">
        <f>AA263*#REF!</f>
        <v>#REF!</v>
      </c>
    </row>
    <row r="264" spans="2:31" s="4" customFormat="1" ht="19.5" hidden="1" collapsed="1" thickBot="1" x14ac:dyDescent="0.3">
      <c r="B264" s="71"/>
      <c r="C264" s="33" t="s">
        <v>69</v>
      </c>
      <c r="D264" s="109"/>
      <c r="E264" s="23"/>
      <c r="F264" s="23">
        <f>SUM(F265:F318)</f>
        <v>0</v>
      </c>
      <c r="G264" s="47">
        <f>SUM(G265:G318)</f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8"/>
      <c r="Y264" s="8"/>
      <c r="Z264" s="7"/>
      <c r="AA264" s="18"/>
      <c r="AB264" s="21"/>
      <c r="AC264" s="19">
        <f>SUM(AC265:AC314)</f>
        <v>27.049099999999996</v>
      </c>
      <c r="AD264" s="21"/>
      <c r="AE264" s="19" t="e">
        <f>SUM(AE265:AE314)</f>
        <v>#REF!</v>
      </c>
    </row>
    <row r="265" spans="2:31" ht="16.5" hidden="1" customHeight="1" outlineLevel="1" x14ac:dyDescent="0.3">
      <c r="B265" s="71" t="s">
        <v>566</v>
      </c>
      <c r="C265" s="41" t="s">
        <v>196</v>
      </c>
      <c r="D265" s="110"/>
      <c r="E265" s="51">
        <v>1</v>
      </c>
      <c r="F265" s="54"/>
      <c r="G265" s="53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2">
        <v>1</v>
      </c>
      <c r="AB265" s="9"/>
      <c r="AC265" s="12">
        <f t="shared" ref="AC265:AC296" si="16">AA265*E265</f>
        <v>1</v>
      </c>
      <c r="AD265" s="9"/>
      <c r="AE265" s="12" t="e">
        <f>AA265*#REF!</f>
        <v>#REF!</v>
      </c>
    </row>
    <row r="266" spans="2:31" ht="16.5" hidden="1" customHeight="1" outlineLevel="1" x14ac:dyDescent="0.3">
      <c r="B266" s="71" t="s">
        <v>567</v>
      </c>
      <c r="C266" s="35" t="s">
        <v>197</v>
      </c>
      <c r="D266" s="110"/>
      <c r="E266" s="51">
        <v>0.4</v>
      </c>
      <c r="F266" s="11"/>
      <c r="G266" s="52">
        <f t="shared" si="14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5">
        <v>0.4</v>
      </c>
      <c r="AB266" s="9"/>
      <c r="AC266" s="15">
        <f t="shared" si="16"/>
        <v>0.16000000000000003</v>
      </c>
      <c r="AD266" s="9"/>
      <c r="AE266" s="15" t="e">
        <f>AA266*#REF!</f>
        <v>#REF!</v>
      </c>
    </row>
    <row r="267" spans="2:31" ht="16.5" hidden="1" customHeight="1" outlineLevel="1" x14ac:dyDescent="0.3">
      <c r="B267" s="71" t="s">
        <v>447</v>
      </c>
      <c r="C267" s="35" t="s">
        <v>70</v>
      </c>
      <c r="D267" s="110"/>
      <c r="E267" s="51">
        <v>1</v>
      </c>
      <c r="F267" s="11"/>
      <c r="G267" s="52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5">
        <v>1</v>
      </c>
      <c r="AB267" s="9"/>
      <c r="AC267" s="15">
        <f t="shared" si="16"/>
        <v>1</v>
      </c>
      <c r="AD267" s="9"/>
      <c r="AE267" s="15" t="e">
        <f>AA267*#REF!</f>
        <v>#REF!</v>
      </c>
    </row>
    <row r="268" spans="2:31" ht="16.5" hidden="1" customHeight="1" outlineLevel="1" x14ac:dyDescent="0.3">
      <c r="B268" s="71" t="s">
        <v>448</v>
      </c>
      <c r="C268" s="35" t="s">
        <v>198</v>
      </c>
      <c r="D268" s="110"/>
      <c r="E268" s="51">
        <v>1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1</v>
      </c>
      <c r="AB268" s="9"/>
      <c r="AC268" s="15">
        <f t="shared" si="16"/>
        <v>1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568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569</v>
      </c>
      <c r="C270" s="35" t="s">
        <v>72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449</v>
      </c>
      <c r="C271" s="35" t="s">
        <v>73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450</v>
      </c>
      <c r="C272" s="35" t="s">
        <v>74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75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76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570</v>
      </c>
      <c r="C275" s="35" t="s">
        <v>199</v>
      </c>
      <c r="D275" s="110"/>
      <c r="E275" s="51">
        <v>0.25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0.25</v>
      </c>
      <c r="AB275" s="9"/>
      <c r="AC275" s="15">
        <f t="shared" si="16"/>
        <v>6.25E-2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571</v>
      </c>
      <c r="C276" s="35" t="s">
        <v>77</v>
      </c>
      <c r="D276" s="110"/>
      <c r="E276" s="51">
        <v>0.15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0.15</v>
      </c>
      <c r="AB276" s="9"/>
      <c r="AC276" s="15">
        <f t="shared" si="16"/>
        <v>2.2499999999999999E-2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1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1</v>
      </c>
      <c r="AB277" s="9"/>
      <c r="AC277" s="15">
        <f t="shared" si="16"/>
        <v>1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453</v>
      </c>
      <c r="C278" s="35" t="s">
        <v>78</v>
      </c>
      <c r="D278" s="110"/>
      <c r="E278" s="51">
        <v>1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1</v>
      </c>
      <c r="AB278" s="9"/>
      <c r="AC278" s="15">
        <f t="shared" si="16"/>
        <v>1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454</v>
      </c>
      <c r="C279" s="35" t="s">
        <v>172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573</v>
      </c>
      <c r="C280" s="35" t="s">
        <v>79</v>
      </c>
      <c r="D280" s="110"/>
      <c r="E280" s="51">
        <v>0.45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0.45</v>
      </c>
      <c r="AB280" s="9"/>
      <c r="AC280" s="15">
        <f t="shared" si="16"/>
        <v>0.20250000000000001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455</v>
      </c>
      <c r="C281" s="35" t="s">
        <v>80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574</v>
      </c>
      <c r="C282" s="35" t="s">
        <v>81</v>
      </c>
      <c r="D282" s="110"/>
      <c r="E282" s="51">
        <v>0.25</v>
      </c>
      <c r="F282" s="11"/>
      <c r="G282" s="52">
        <f t="shared" ref="G282:G345" si="17">F282*E282</f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0.25</v>
      </c>
      <c r="AB282" s="9"/>
      <c r="AC282" s="15">
        <f t="shared" si="16"/>
        <v>6.25E-2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575</v>
      </c>
      <c r="C283" s="35" t="s">
        <v>201</v>
      </c>
      <c r="D283" s="110"/>
      <c r="E283" s="51">
        <v>0.45</v>
      </c>
      <c r="F283" s="11"/>
      <c r="G283" s="52">
        <f t="shared" si="17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0.45</v>
      </c>
      <c r="AB283" s="9"/>
      <c r="AC283" s="15">
        <f t="shared" si="16"/>
        <v>0.20250000000000001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1</v>
      </c>
      <c r="F284" s="11"/>
      <c r="G284" s="52">
        <f t="shared" si="17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1</v>
      </c>
      <c r="AB284" s="9"/>
      <c r="AC284" s="15">
        <f t="shared" si="16"/>
        <v>1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0.12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0.12</v>
      </c>
      <c r="AB285" s="9"/>
      <c r="AC285" s="15">
        <f t="shared" si="16"/>
        <v>1.44E-2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0.25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0.25</v>
      </c>
      <c r="AB286" s="9"/>
      <c r="AC286" s="15">
        <f t="shared" si="16"/>
        <v>6.25E-2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456</v>
      </c>
      <c r="C287" s="35" t="s">
        <v>203</v>
      </c>
      <c r="D287" s="110"/>
      <c r="E287" s="51">
        <v>1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1</v>
      </c>
      <c r="AB287" s="9"/>
      <c r="AC287" s="15">
        <f t="shared" si="16"/>
        <v>1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579</v>
      </c>
      <c r="C288" s="35" t="s">
        <v>84</v>
      </c>
      <c r="D288" s="110"/>
      <c r="E288" s="51">
        <v>0.1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0.1</v>
      </c>
      <c r="AB288" s="9"/>
      <c r="AC288" s="15">
        <f t="shared" si="16"/>
        <v>1.0000000000000002E-2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580</v>
      </c>
      <c r="C289" s="35" t="s">
        <v>85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204</v>
      </c>
      <c r="D290" s="110"/>
      <c r="E290" s="51">
        <v>0.45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0.45</v>
      </c>
      <c r="AB290" s="9"/>
      <c r="AC290" s="15">
        <f t="shared" si="16"/>
        <v>0.20250000000000001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457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582</v>
      </c>
      <c r="C292" s="35" t="s">
        <v>205</v>
      </c>
      <c r="D292" s="110"/>
      <c r="E292" s="51">
        <v>0.1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0.1</v>
      </c>
      <c r="AB292" s="9"/>
      <c r="AC292" s="15">
        <f t="shared" si="16"/>
        <v>1.0000000000000002E-2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583</v>
      </c>
      <c r="C293" s="35" t="s">
        <v>182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458</v>
      </c>
      <c r="C294" s="35" t="s">
        <v>206</v>
      </c>
      <c r="D294" s="110"/>
      <c r="E294" s="51">
        <v>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1</v>
      </c>
      <c r="AB294" s="9"/>
      <c r="AC294" s="15">
        <f t="shared" si="16"/>
        <v>1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459</v>
      </c>
      <c r="C295" s="35" t="s">
        <v>207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584</v>
      </c>
      <c r="C296" s="35" t="s">
        <v>208</v>
      </c>
      <c r="D296" s="110"/>
      <c r="E296" s="51">
        <v>0.4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0.4</v>
      </c>
      <c r="AB296" s="9"/>
      <c r="AC296" s="15">
        <f t="shared" si="16"/>
        <v>0.16000000000000003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585</v>
      </c>
      <c r="C297" s="35" t="s">
        <v>87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ref="AC297:AC314" si="18">AA297*E297</f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88</v>
      </c>
      <c r="D298" s="110"/>
      <c r="E298" s="51">
        <v>1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1</v>
      </c>
      <c r="AB298" s="9"/>
      <c r="AC298" s="15">
        <f t="shared" si="18"/>
        <v>1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89</v>
      </c>
      <c r="D299" s="110"/>
      <c r="E299" s="51">
        <v>0.3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0.3</v>
      </c>
      <c r="AB299" s="9"/>
      <c r="AC299" s="15">
        <f t="shared" si="18"/>
        <v>0.09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90</v>
      </c>
      <c r="D300" s="110"/>
      <c r="E300" s="51">
        <v>0.4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0.4</v>
      </c>
      <c r="AB300" s="9"/>
      <c r="AC300" s="15">
        <f t="shared" si="18"/>
        <v>0.16000000000000003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91</v>
      </c>
      <c r="D301" s="110"/>
      <c r="E301" s="51">
        <v>0.4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0.4</v>
      </c>
      <c r="AB301" s="9"/>
      <c r="AC301" s="15">
        <f t="shared" si="18"/>
        <v>0.16000000000000003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92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93</v>
      </c>
      <c r="D303" s="110"/>
      <c r="E303" s="51">
        <v>0.31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0.31</v>
      </c>
      <c r="AB303" s="9"/>
      <c r="AC303" s="15">
        <f t="shared" si="18"/>
        <v>9.6100000000000005E-2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94</v>
      </c>
      <c r="D304" s="110"/>
      <c r="E304" s="51">
        <v>0.35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0.35</v>
      </c>
      <c r="AB304" s="9"/>
      <c r="AC304" s="15">
        <f t="shared" si="18"/>
        <v>0.12249999999999998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95</v>
      </c>
      <c r="D305" s="110"/>
      <c r="E305" s="51">
        <v>0.28000000000000003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0.28000000000000003</v>
      </c>
      <c r="AB305" s="9"/>
      <c r="AC305" s="15">
        <f t="shared" si="18"/>
        <v>7.8400000000000011E-2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96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97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236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460</v>
      </c>
      <c r="C309" s="35" t="s">
        <v>209</v>
      </c>
      <c r="D309" s="110"/>
      <c r="E309" s="51">
        <v>1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1</v>
      </c>
      <c r="AB309" s="9"/>
      <c r="AC309" s="15">
        <f t="shared" si="18"/>
        <v>1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597</v>
      </c>
      <c r="C310" s="35" t="s">
        <v>170</v>
      </c>
      <c r="D310" s="110"/>
      <c r="E310" s="51">
        <v>0.28000000000000003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0.28000000000000003</v>
      </c>
      <c r="AB310" s="9"/>
      <c r="AC310" s="15">
        <f t="shared" si="18"/>
        <v>7.8400000000000011E-2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598</v>
      </c>
      <c r="C311" s="35" t="s">
        <v>171</v>
      </c>
      <c r="D311" s="110"/>
      <c r="E311" s="51">
        <v>0.28000000000000003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0.28000000000000003</v>
      </c>
      <c r="AB311" s="9"/>
      <c r="AC311" s="15">
        <f t="shared" si="18"/>
        <v>7.8400000000000011E-2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310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1</v>
      </c>
      <c r="AB312" s="9"/>
      <c r="AC312" s="15">
        <f t="shared" si="18"/>
        <v>0.28000000000000003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309</v>
      </c>
      <c r="D313" s="110"/>
      <c r="E313" s="51">
        <v>0.25</v>
      </c>
      <c r="F313" s="14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1</v>
      </c>
      <c r="AB313" s="9"/>
      <c r="AC313" s="15">
        <f t="shared" si="18"/>
        <v>0.25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237</v>
      </c>
      <c r="D314" s="110"/>
      <c r="E314" s="51">
        <v>1</v>
      </c>
      <c r="F314" s="14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1</v>
      </c>
      <c r="AD314" s="9"/>
      <c r="AE314" s="15" t="e">
        <f>AA314*#REF!</f>
        <v>#REF!</v>
      </c>
    </row>
    <row r="315" spans="2:31" ht="16.5" hidden="1" customHeight="1" outlineLevel="1" x14ac:dyDescent="0.3">
      <c r="C315" s="112" t="s">
        <v>305</v>
      </c>
      <c r="D315" s="68"/>
      <c r="E315" s="51">
        <v>1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36"/>
      <c r="AB315" s="9"/>
      <c r="AC315" s="15"/>
      <c r="AD315" s="9"/>
      <c r="AE315" s="15"/>
    </row>
    <row r="316" spans="2:31" ht="16.5" hidden="1" customHeight="1" outlineLevel="1" x14ac:dyDescent="0.3">
      <c r="C316" s="112" t="s">
        <v>306</v>
      </c>
      <c r="D316" s="68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36"/>
      <c r="AB316" s="9"/>
      <c r="AC316" s="15"/>
      <c r="AD316" s="9"/>
      <c r="AE316" s="15"/>
    </row>
    <row r="317" spans="2:31" ht="16.5" hidden="1" customHeight="1" outlineLevel="1" x14ac:dyDescent="0.3">
      <c r="C317" s="112" t="s">
        <v>307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thickBot="1" x14ac:dyDescent="0.3">
      <c r="C318" s="113" t="s">
        <v>302</v>
      </c>
      <c r="D318" s="111"/>
      <c r="E318" s="36">
        <v>1</v>
      </c>
      <c r="F318" s="55"/>
      <c r="G318" s="56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s="4" customFormat="1" ht="19.5" hidden="1" collapsed="1" thickBot="1" x14ac:dyDescent="0.3">
      <c r="B319" s="71"/>
      <c r="C319" s="33" t="s">
        <v>130</v>
      </c>
      <c r="D319" s="33"/>
      <c r="E319" s="23"/>
      <c r="F319" s="23">
        <f>SUM(F320:F340)</f>
        <v>0</v>
      </c>
      <c r="G319" s="47">
        <f>SUM(G320:G340)</f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8"/>
      <c r="Y319" s="8"/>
      <c r="Z319" s="7"/>
      <c r="AA319" s="18"/>
      <c r="AB319" s="21"/>
      <c r="AC319" s="19">
        <f>SUM(AC320:AC340)</f>
        <v>10.666250000000002</v>
      </c>
      <c r="AD319" s="21"/>
      <c r="AE319" s="19" t="e">
        <f>SUM(AE320:AE340)</f>
        <v>#REF!</v>
      </c>
    </row>
    <row r="320" spans="2:31" ht="16.5" hidden="1" customHeight="1" outlineLevel="1" x14ac:dyDescent="0.3">
      <c r="C320" s="31" t="s">
        <v>131</v>
      </c>
      <c r="D320" s="65"/>
      <c r="E320" s="11">
        <v>0.75</v>
      </c>
      <c r="F320" s="11"/>
      <c r="G320" s="2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12">
        <v>0.75</v>
      </c>
      <c r="AB320" s="9"/>
      <c r="AC320" s="12">
        <f t="shared" ref="AC320:AC337" si="19">AA320*E320</f>
        <v>0.5625</v>
      </c>
      <c r="AD320" s="9"/>
      <c r="AE320" s="12" t="e">
        <f>AA320*#REF!</f>
        <v>#REF!</v>
      </c>
    </row>
    <row r="321" spans="3:31" ht="16.5" hidden="1" customHeight="1" outlineLevel="1" x14ac:dyDescent="0.3">
      <c r="C321" s="30" t="s">
        <v>132</v>
      </c>
      <c r="D321" s="30"/>
      <c r="E321" s="14">
        <v>0.1</v>
      </c>
      <c r="F321" s="14"/>
      <c r="G321" s="22">
        <f t="shared" si="17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5">
        <v>0.1</v>
      </c>
      <c r="AB321" s="9"/>
      <c r="AC321" s="15">
        <f t="shared" si="19"/>
        <v>1.0000000000000002E-2</v>
      </c>
      <c r="AD321" s="9"/>
      <c r="AE321" s="15" t="e">
        <f>AA321*#REF!</f>
        <v>#REF!</v>
      </c>
    </row>
    <row r="322" spans="3:31" ht="16.5" hidden="1" customHeight="1" outlineLevel="1" x14ac:dyDescent="0.3">
      <c r="C322" s="35" t="s">
        <v>133</v>
      </c>
      <c r="D322" s="35"/>
      <c r="E322" s="14">
        <v>1</v>
      </c>
      <c r="F322" s="14"/>
      <c r="G322" s="22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5">
        <v>1</v>
      </c>
      <c r="AB322" s="9"/>
      <c r="AC322" s="15">
        <f t="shared" si="19"/>
        <v>1</v>
      </c>
      <c r="AD322" s="9"/>
      <c r="AE322" s="15" t="e">
        <f>AA322*#REF!</f>
        <v>#REF!</v>
      </c>
    </row>
    <row r="323" spans="3:31" ht="16.5" hidden="1" customHeight="1" outlineLevel="1" x14ac:dyDescent="0.3">
      <c r="C323" s="35" t="s">
        <v>134</v>
      </c>
      <c r="D323" s="35"/>
      <c r="E323" s="14">
        <v>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1</v>
      </c>
      <c r="AB323" s="9"/>
      <c r="AC323" s="15">
        <f t="shared" si="19"/>
        <v>1</v>
      </c>
      <c r="AD323" s="9"/>
      <c r="AE323" s="15" t="e">
        <f>AA323*#REF!</f>
        <v>#REF!</v>
      </c>
    </row>
    <row r="324" spans="3:31" ht="16.5" hidden="1" customHeight="1" outlineLevel="1" x14ac:dyDescent="0.3">
      <c r="C324" s="35" t="s">
        <v>135</v>
      </c>
      <c r="D324" s="35"/>
      <c r="E324" s="14">
        <v>0.56000000000000005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0.56000000000000005</v>
      </c>
      <c r="AB324" s="9"/>
      <c r="AC324" s="15">
        <f t="shared" si="19"/>
        <v>0.31360000000000005</v>
      </c>
      <c r="AD324" s="9"/>
      <c r="AE324" s="15" t="e">
        <f>AA324*#REF!</f>
        <v>#REF!</v>
      </c>
    </row>
    <row r="325" spans="3:31" ht="16.5" hidden="1" customHeight="1" outlineLevel="1" x14ac:dyDescent="0.3">
      <c r="C325" s="35" t="s">
        <v>139</v>
      </c>
      <c r="D325" s="35"/>
      <c r="E325" s="14">
        <v>0.56000000000000005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0.56000000000000005</v>
      </c>
      <c r="AB325" s="9"/>
      <c r="AC325" s="15">
        <f t="shared" si="19"/>
        <v>0.31360000000000005</v>
      </c>
      <c r="AD325" s="9"/>
      <c r="AE325" s="15" t="e">
        <f>AA325*#REF!</f>
        <v>#REF!</v>
      </c>
    </row>
    <row r="326" spans="3:31" ht="16.5" hidden="1" customHeight="1" outlineLevel="1" x14ac:dyDescent="0.3">
      <c r="C326" s="35" t="s">
        <v>136</v>
      </c>
      <c r="D326" s="35"/>
      <c r="E326" s="14">
        <v>1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1</v>
      </c>
      <c r="AB326" s="9"/>
      <c r="AC326" s="15">
        <f t="shared" si="19"/>
        <v>1</v>
      </c>
      <c r="AD326" s="9"/>
      <c r="AE326" s="15" t="e">
        <f>AA326*#REF!</f>
        <v>#REF!</v>
      </c>
    </row>
    <row r="327" spans="3:31" ht="16.5" hidden="1" customHeight="1" outlineLevel="1" x14ac:dyDescent="0.3">
      <c r="C327" s="35" t="s">
        <v>137</v>
      </c>
      <c r="D327" s="35"/>
      <c r="E327" s="14">
        <v>1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1</v>
      </c>
      <c r="AB327" s="9"/>
      <c r="AC327" s="15">
        <f t="shared" si="19"/>
        <v>1</v>
      </c>
      <c r="AD327" s="9"/>
      <c r="AE327" s="15" t="e">
        <f>AA327*#REF!</f>
        <v>#REF!</v>
      </c>
    </row>
    <row r="328" spans="3:31" ht="16.5" hidden="1" customHeight="1" outlineLevel="1" x14ac:dyDescent="0.3">
      <c r="C328" s="35" t="s">
        <v>138</v>
      </c>
      <c r="D328" s="35"/>
      <c r="E328" s="14">
        <v>0.56000000000000005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0.56000000000000005</v>
      </c>
      <c r="AB328" s="9"/>
      <c r="AC328" s="15">
        <f t="shared" si="19"/>
        <v>0.31360000000000005</v>
      </c>
      <c r="AD328" s="9"/>
      <c r="AE328" s="15" t="e">
        <f>AA328*#REF!</f>
        <v>#REF!</v>
      </c>
    </row>
    <row r="329" spans="3:31" ht="16.5" hidden="1" customHeight="1" outlineLevel="1" x14ac:dyDescent="0.3">
      <c r="C329" s="35" t="s">
        <v>140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3:31" ht="16.5" hidden="1" customHeight="1" outlineLevel="1" x14ac:dyDescent="0.3">
      <c r="C330" s="35" t="s">
        <v>141</v>
      </c>
      <c r="D330" s="35"/>
      <c r="E330" s="14">
        <v>1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1</v>
      </c>
      <c r="AB330" s="9"/>
      <c r="AC330" s="15">
        <f t="shared" si="19"/>
        <v>1</v>
      </c>
      <c r="AD330" s="9"/>
      <c r="AE330" s="15" t="e">
        <f>AA330*#REF!</f>
        <v>#REF!</v>
      </c>
    </row>
    <row r="331" spans="3:31" ht="16.5" hidden="1" customHeight="1" outlineLevel="1" x14ac:dyDescent="0.3">
      <c r="C331" s="42" t="s">
        <v>312</v>
      </c>
      <c r="D331" s="69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3:31" ht="16.5" hidden="1" customHeight="1" outlineLevel="1" x14ac:dyDescent="0.3">
      <c r="C332" s="35" t="s">
        <v>142</v>
      </c>
      <c r="D332" s="35"/>
      <c r="E332" s="14">
        <v>0.1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0.1</v>
      </c>
      <c r="AB332" s="9"/>
      <c r="AC332" s="15">
        <f t="shared" si="19"/>
        <v>1.0000000000000002E-2</v>
      </c>
      <c r="AD332" s="9"/>
      <c r="AE332" s="15" t="e">
        <f>AA332*#REF!</f>
        <v>#REF!</v>
      </c>
    </row>
    <row r="333" spans="3:31" ht="16.5" hidden="1" customHeight="1" outlineLevel="1" x14ac:dyDescent="0.3">
      <c r="C333" s="35" t="s">
        <v>210</v>
      </c>
      <c r="D333" s="35"/>
      <c r="E333" s="14">
        <v>0.23499999999999999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0.23499999999999999</v>
      </c>
      <c r="AB333" s="9"/>
      <c r="AC333" s="15">
        <f t="shared" si="19"/>
        <v>5.5224999999999996E-2</v>
      </c>
      <c r="AD333" s="9"/>
      <c r="AE333" s="15" t="e">
        <f>AA333*#REF!</f>
        <v>#REF!</v>
      </c>
    </row>
    <row r="334" spans="3:31" ht="16.5" hidden="1" customHeight="1" outlineLevel="1" x14ac:dyDescent="0.3">
      <c r="C334" s="35" t="s">
        <v>143</v>
      </c>
      <c r="D334" s="35"/>
      <c r="E334" s="14">
        <v>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1</v>
      </c>
      <c r="AB334" s="9"/>
      <c r="AC334" s="15">
        <f t="shared" si="19"/>
        <v>1</v>
      </c>
      <c r="AD334" s="9"/>
      <c r="AE334" s="15" t="e">
        <f>AA334*#REF!</f>
        <v>#REF!</v>
      </c>
    </row>
    <row r="335" spans="3:31" ht="16.5" hidden="1" customHeight="1" outlineLevel="1" x14ac:dyDescent="0.3">
      <c r="C335" s="35" t="s">
        <v>144</v>
      </c>
      <c r="D335" s="35"/>
      <c r="E335" s="14">
        <v>1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1</v>
      </c>
      <c r="AB335" s="9"/>
      <c r="AC335" s="15">
        <f t="shared" si="19"/>
        <v>1</v>
      </c>
      <c r="AD335" s="9"/>
      <c r="AE335" s="15" t="e">
        <f>AA335*#REF!</f>
        <v>#REF!</v>
      </c>
    </row>
    <row r="336" spans="3:31" ht="16.5" hidden="1" customHeight="1" outlineLevel="1" x14ac:dyDescent="0.3">
      <c r="C336" s="35" t="s">
        <v>145</v>
      </c>
      <c r="D336" s="35"/>
      <c r="E336" s="14">
        <v>0.15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0.15</v>
      </c>
      <c r="AB336" s="9"/>
      <c r="AC336" s="15">
        <f t="shared" si="19"/>
        <v>2.2499999999999999E-2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146</v>
      </c>
      <c r="D337" s="35"/>
      <c r="E337" s="14">
        <v>0.1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0.1</v>
      </c>
      <c r="AB337" s="9"/>
      <c r="AC337" s="15">
        <f t="shared" si="19"/>
        <v>1.0000000000000002E-2</v>
      </c>
      <c r="AD337" s="9"/>
      <c r="AE337" s="15" t="e">
        <f>AA337*#REF!</f>
        <v>#REF!</v>
      </c>
    </row>
    <row r="338" spans="2:31" ht="16.5" hidden="1" customHeight="1" outlineLevel="1" x14ac:dyDescent="0.3">
      <c r="C338" s="42" t="s">
        <v>303</v>
      </c>
      <c r="D338" s="69"/>
      <c r="E338" s="14">
        <v>0.14000000000000001</v>
      </c>
      <c r="F338" s="16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/>
      <c r="AB338" s="9"/>
      <c r="AC338" s="15"/>
      <c r="AD338" s="9"/>
      <c r="AE338" s="15"/>
    </row>
    <row r="339" spans="2:31" ht="16.5" hidden="1" customHeight="1" outlineLevel="1" x14ac:dyDescent="0.3">
      <c r="C339" s="43" t="s">
        <v>304</v>
      </c>
      <c r="D339" s="43"/>
      <c r="E339" s="14">
        <v>0.14000000000000001</v>
      </c>
      <c r="F339" s="16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/>
      <c r="AB339" s="9"/>
      <c r="AC339" s="15"/>
      <c r="AD339" s="9"/>
      <c r="AE339" s="15"/>
    </row>
    <row r="340" spans="2:31" ht="16.5" hidden="1" customHeight="1" outlineLevel="1" thickBot="1" x14ac:dyDescent="0.3">
      <c r="C340" s="32" t="s">
        <v>147</v>
      </c>
      <c r="D340" s="67"/>
      <c r="E340" s="16">
        <v>0.23499999999999999</v>
      </c>
      <c r="F340" s="16"/>
      <c r="G340" s="29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>
        <v>0.23499999999999999</v>
      </c>
      <c r="AB340" s="9"/>
      <c r="AC340" s="17">
        <f>AA340*E340</f>
        <v>5.5224999999999996E-2</v>
      </c>
      <c r="AD340" s="9"/>
      <c r="AE340" s="17" t="e">
        <f>AA340*#REF!</f>
        <v>#REF!</v>
      </c>
    </row>
    <row r="341" spans="2:31" s="4" customFormat="1" ht="19.5" hidden="1" collapsed="1" thickBot="1" x14ac:dyDescent="0.3">
      <c r="B341" s="71"/>
      <c r="C341" s="33" t="s">
        <v>157</v>
      </c>
      <c r="D341" s="33"/>
      <c r="E341" s="23"/>
      <c r="F341" s="23">
        <f>SUM(F342:F347)</f>
        <v>0</v>
      </c>
      <c r="G341" s="47">
        <f>SUM(G342:G347)</f>
        <v>0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8"/>
      <c r="Y341" s="8"/>
      <c r="Z341" s="7"/>
      <c r="AA341" s="18"/>
      <c r="AB341" s="21"/>
      <c r="AC341" s="19">
        <f>SUM(AC342:AC347)</f>
        <v>2.9400000000000006E-2</v>
      </c>
      <c r="AD341" s="21"/>
      <c r="AE341" s="19" t="e">
        <f>SUM(AE342:AE347)</f>
        <v>#REF!</v>
      </c>
    </row>
    <row r="342" spans="2:31" ht="16.5" hidden="1" customHeight="1" outlineLevel="1" x14ac:dyDescent="0.3">
      <c r="C342" s="31" t="s">
        <v>158</v>
      </c>
      <c r="D342" s="65"/>
      <c r="E342" s="11">
        <v>7.0000000000000007E-2</v>
      </c>
      <c r="F342" s="11"/>
      <c r="G342" s="28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2">
        <v>7.0000000000000007E-2</v>
      </c>
      <c r="AB342" s="9"/>
      <c r="AC342" s="12">
        <f t="shared" ref="AC342:AC347" si="20">AA342*E342</f>
        <v>4.9000000000000007E-3</v>
      </c>
      <c r="AD342" s="9"/>
      <c r="AE342" s="12" t="e">
        <f>AA342*#REF!</f>
        <v>#REF!</v>
      </c>
    </row>
    <row r="343" spans="2:31" ht="16.5" hidden="1" customHeight="1" outlineLevel="1" x14ac:dyDescent="0.3">
      <c r="C343" s="30" t="s">
        <v>159</v>
      </c>
      <c r="D343" s="30"/>
      <c r="E343" s="14">
        <v>7.0000000000000007E-2</v>
      </c>
      <c r="F343" s="14"/>
      <c r="G343" s="22">
        <f t="shared" si="17"/>
        <v>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5">
        <v>7.0000000000000007E-2</v>
      </c>
      <c r="AB343" s="9"/>
      <c r="AC343" s="15">
        <f t="shared" si="20"/>
        <v>4.9000000000000007E-3</v>
      </c>
      <c r="AD343" s="9"/>
      <c r="AE343" s="15" t="e">
        <f>AA343*#REF!</f>
        <v>#REF!</v>
      </c>
    </row>
    <row r="344" spans="2:31" ht="16.5" hidden="1" customHeight="1" outlineLevel="1" x14ac:dyDescent="0.3">
      <c r="C344" s="30" t="s">
        <v>160</v>
      </c>
      <c r="D344" s="30"/>
      <c r="E344" s="14">
        <v>7.0000000000000007E-2</v>
      </c>
      <c r="F344" s="14"/>
      <c r="G344" s="22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5">
        <v>7.0000000000000007E-2</v>
      </c>
      <c r="AB344" s="9"/>
      <c r="AC344" s="15">
        <f t="shared" si="20"/>
        <v>4.9000000000000007E-3</v>
      </c>
      <c r="AD344" s="9"/>
      <c r="AE344" s="15" t="e">
        <f>AA344*#REF!</f>
        <v>#REF!</v>
      </c>
    </row>
    <row r="345" spans="2:31" ht="16.5" hidden="1" customHeight="1" outlineLevel="1" x14ac:dyDescent="0.3">
      <c r="C345" s="30" t="s">
        <v>162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3">
      <c r="C346" s="30" t="s">
        <v>161</v>
      </c>
      <c r="D346" s="30"/>
      <c r="E346" s="14">
        <v>7.0000000000000007E-2</v>
      </c>
      <c r="F346" s="14"/>
      <c r="G346" s="22">
        <f t="shared" ref="G346:G379" si="21">F346*E346</f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thickBot="1" x14ac:dyDescent="0.3">
      <c r="C347" s="32" t="s">
        <v>163</v>
      </c>
      <c r="D347" s="67"/>
      <c r="E347" s="14">
        <v>7.0000000000000007E-2</v>
      </c>
      <c r="F347" s="16"/>
      <c r="G347" s="29">
        <f t="shared" si="21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s="4" customFormat="1" ht="19.5" hidden="1" collapsed="1" thickBot="1" x14ac:dyDescent="0.3">
      <c r="B348" s="71"/>
      <c r="C348" s="33" t="s">
        <v>148</v>
      </c>
      <c r="D348" s="33"/>
      <c r="E348" s="23"/>
      <c r="F348" s="23">
        <f>SUM(F349:F353)</f>
        <v>0</v>
      </c>
      <c r="G348" s="47">
        <f>SUM(G349:G353)</f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8"/>
      <c r="Y348" s="8"/>
      <c r="Z348" s="7"/>
      <c r="AA348" s="18"/>
      <c r="AB348" s="21"/>
      <c r="AC348" s="19">
        <f>SUM(AC349:AC353)</f>
        <v>4.25</v>
      </c>
      <c r="AD348" s="21"/>
      <c r="AE348" s="19" t="e">
        <f>SUM(AE349:AE353)</f>
        <v>#REF!</v>
      </c>
    </row>
    <row r="349" spans="2:31" ht="16.5" hidden="1" customHeight="1" outlineLevel="1" x14ac:dyDescent="0.3">
      <c r="C349" s="31" t="s">
        <v>149</v>
      </c>
      <c r="D349" s="65"/>
      <c r="E349" s="11">
        <v>0.5</v>
      </c>
      <c r="F349" s="11"/>
      <c r="G349" s="28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2">
        <v>0.5</v>
      </c>
      <c r="AB349" s="9"/>
      <c r="AC349" s="12">
        <f>AA349*E349</f>
        <v>0.25</v>
      </c>
      <c r="AD349" s="9"/>
      <c r="AE349" s="12" t="e">
        <f>AA349*#REF!</f>
        <v>#REF!</v>
      </c>
    </row>
    <row r="350" spans="2:31" ht="16.5" hidden="1" customHeight="1" outlineLevel="1" x14ac:dyDescent="0.3">
      <c r="C350" s="30" t="s">
        <v>150</v>
      </c>
      <c r="D350" s="30"/>
      <c r="E350" s="14">
        <v>1</v>
      </c>
      <c r="F350" s="14"/>
      <c r="G350" s="22">
        <f t="shared" si="21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5">
        <v>1</v>
      </c>
      <c r="AB350" s="9"/>
      <c r="AC350" s="15">
        <f>AA350*E350</f>
        <v>1</v>
      </c>
      <c r="AD350" s="9"/>
      <c r="AE350" s="15" t="e">
        <f>AA350*#REF!</f>
        <v>#REF!</v>
      </c>
    </row>
    <row r="351" spans="2:31" ht="16.5" hidden="1" customHeight="1" outlineLevel="1" x14ac:dyDescent="0.3">
      <c r="C351" s="30" t="s">
        <v>151</v>
      </c>
      <c r="D351" s="30"/>
      <c r="E351" s="14">
        <v>1</v>
      </c>
      <c r="F351" s="14"/>
      <c r="G351" s="22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5">
        <v>1</v>
      </c>
      <c r="AB351" s="9"/>
      <c r="AC351" s="15">
        <f>AA351*E351</f>
        <v>1</v>
      </c>
      <c r="AD351" s="9"/>
      <c r="AE351" s="15" t="e">
        <f>AA351*#REF!</f>
        <v>#REF!</v>
      </c>
    </row>
    <row r="352" spans="2:31" ht="16.5" hidden="1" customHeight="1" outlineLevel="1" x14ac:dyDescent="0.3">
      <c r="C352" s="30" t="s">
        <v>152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thickBot="1" x14ac:dyDescent="0.3">
      <c r="C353" s="32" t="s">
        <v>153</v>
      </c>
      <c r="D353" s="67"/>
      <c r="E353" s="16">
        <v>1</v>
      </c>
      <c r="F353" s="16"/>
      <c r="G353" s="29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s="4" customFormat="1" ht="19.5" hidden="1" collapsed="1" thickBot="1" x14ac:dyDescent="0.3">
      <c r="B354" s="71"/>
      <c r="C354" s="33" t="s">
        <v>154</v>
      </c>
      <c r="D354" s="33"/>
      <c r="E354" s="23"/>
      <c r="F354" s="23">
        <f>SUM(F355:F357)</f>
        <v>2200</v>
      </c>
      <c r="G354" s="47">
        <f>SUM(G355:G357)</f>
        <v>1456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8"/>
      <c r="Y354" s="8"/>
      <c r="Z354" s="7"/>
      <c r="AA354" s="18"/>
      <c r="AB354" s="21"/>
      <c r="AC354" s="19">
        <f>SUM(AC355:AC356)</f>
        <v>1.1444000000000001</v>
      </c>
      <c r="AD354" s="21"/>
      <c r="AE354" s="19" t="e">
        <f>SUM(AE355:AE356)</f>
        <v>#REF!</v>
      </c>
    </row>
    <row r="355" spans="2:31" ht="16.5" hidden="1" customHeight="1" outlineLevel="1" x14ac:dyDescent="0.25">
      <c r="C355" s="31" t="s">
        <v>155</v>
      </c>
      <c r="D355" s="65"/>
      <c r="E355" s="11">
        <v>0.38</v>
      </c>
      <c r="F355" s="54">
        <v>1200</v>
      </c>
      <c r="G355" s="28">
        <f t="shared" si="21"/>
        <v>456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2">
        <v>0.38</v>
      </c>
      <c r="AB355" s="9"/>
      <c r="AC355" s="12">
        <f>AA355*E355</f>
        <v>0.1444</v>
      </c>
      <c r="AD355" s="9"/>
      <c r="AE355" s="12" t="e">
        <f>AA355*#REF!</f>
        <v>#REF!</v>
      </c>
    </row>
    <row r="356" spans="2:31" ht="16.5" hidden="1" customHeight="1" outlineLevel="1" thickBot="1" x14ac:dyDescent="0.3">
      <c r="C356" s="30" t="s">
        <v>156</v>
      </c>
      <c r="D356" s="65"/>
      <c r="E356" s="11">
        <v>1</v>
      </c>
      <c r="F356" s="11">
        <v>1000</v>
      </c>
      <c r="G356" s="22">
        <f t="shared" si="21"/>
        <v>1000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5">
        <v>1</v>
      </c>
      <c r="AB356" s="9"/>
      <c r="AC356" s="15">
        <f>AA356*E356</f>
        <v>1</v>
      </c>
      <c r="AD356" s="9"/>
      <c r="AE356" s="15" t="e">
        <f>AA356*#REF!</f>
        <v>#REF!</v>
      </c>
    </row>
    <row r="357" spans="2:31" ht="16.5" hidden="1" customHeight="1" outlineLevel="1" thickBot="1" x14ac:dyDescent="0.3">
      <c r="C357" s="60" t="s">
        <v>308</v>
      </c>
      <c r="D357" s="70"/>
      <c r="E357" s="15">
        <v>0.95</v>
      </c>
      <c r="F357" s="15"/>
      <c r="G357" s="29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36"/>
      <c r="AB357" s="9"/>
      <c r="AC357" s="15"/>
      <c r="AD357" s="9"/>
      <c r="AE357" s="15"/>
    </row>
    <row r="358" spans="2:31" s="4" customFormat="1" ht="19.5" hidden="1" collapsed="1" thickBot="1" x14ac:dyDescent="0.3">
      <c r="B358" s="71"/>
      <c r="C358" s="66" t="s">
        <v>633</v>
      </c>
      <c r="D358" s="66"/>
      <c r="E358" s="23"/>
      <c r="F358" s="23">
        <f>SUM(F359:F392)</f>
        <v>0</v>
      </c>
      <c r="G358" s="47">
        <f>SUM(G359:G392)</f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/>
      <c r="Y358" s="8"/>
      <c r="Z358" s="7"/>
      <c r="AA358" s="18"/>
      <c r="AB358" s="21"/>
      <c r="AC358" s="19">
        <f>SUM(AC359:AC392)</f>
        <v>15.371749999999999</v>
      </c>
      <c r="AD358" s="21"/>
      <c r="AE358" s="19" t="e">
        <f>SUM(AE359:AE392)</f>
        <v>#REF!</v>
      </c>
    </row>
    <row r="359" spans="2:31" ht="16.5" hidden="1" customHeight="1" outlineLevel="1" x14ac:dyDescent="0.3">
      <c r="C359" s="77" t="s">
        <v>634</v>
      </c>
      <c r="D359" s="82">
        <v>8695</v>
      </c>
      <c r="E359" s="80">
        <v>0.25</v>
      </c>
      <c r="F359" s="11"/>
      <c r="G359" s="28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12">
        <v>1</v>
      </c>
      <c r="AB359" s="9"/>
      <c r="AC359" s="12">
        <f>AA359*E359</f>
        <v>0.25</v>
      </c>
      <c r="AD359" s="9"/>
      <c r="AE359" s="12" t="e">
        <f>AA359*#REF!</f>
        <v>#REF!</v>
      </c>
    </row>
    <row r="360" spans="2:31" ht="16.5" hidden="1" customHeight="1" outlineLevel="1" x14ac:dyDescent="0.3">
      <c r="C360" s="78" t="s">
        <v>635</v>
      </c>
      <c r="D360" s="83">
        <v>8487</v>
      </c>
      <c r="E360" s="80">
        <v>1</v>
      </c>
      <c r="F360" s="11"/>
      <c r="G360" s="22">
        <f t="shared" si="21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5"/>
      <c r="AB360" s="9"/>
      <c r="AC360" s="15"/>
      <c r="AD360" s="9"/>
      <c r="AE360" s="15"/>
    </row>
    <row r="361" spans="2:31" ht="16.5" hidden="1" customHeight="1" outlineLevel="1" x14ac:dyDescent="0.3">
      <c r="C361" s="78" t="s">
        <v>636</v>
      </c>
      <c r="D361" s="83">
        <v>7889</v>
      </c>
      <c r="E361" s="80">
        <v>0.4</v>
      </c>
      <c r="F361" s="14"/>
      <c r="G361" s="22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5">
        <v>1</v>
      </c>
      <c r="AB361" s="9"/>
      <c r="AC361" s="15">
        <f t="shared" ref="AC361:AC392" si="22">AA361*E361</f>
        <v>0.4</v>
      </c>
      <c r="AD361" s="9"/>
      <c r="AE361" s="15" t="e">
        <f>AA361*#REF!</f>
        <v>#REF!</v>
      </c>
    </row>
    <row r="362" spans="2:31" ht="16.5" hidden="1" customHeight="1" outlineLevel="1" x14ac:dyDescent="0.3">
      <c r="C362" s="78" t="s">
        <v>637</v>
      </c>
      <c r="D362" s="83">
        <v>7323</v>
      </c>
      <c r="E362" s="80">
        <v>0.4</v>
      </c>
      <c r="F362" s="14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>
        <v>1</v>
      </c>
      <c r="AB362" s="9"/>
      <c r="AC362" s="15">
        <f t="shared" si="22"/>
        <v>0.4</v>
      </c>
      <c r="AD362" s="9"/>
      <c r="AE362" s="15" t="e">
        <f>AA362*#REF!</f>
        <v>#REF!</v>
      </c>
    </row>
    <row r="363" spans="2:31" ht="16.5" hidden="1" customHeight="1" outlineLevel="1" x14ac:dyDescent="0.3">
      <c r="C363" s="78" t="s">
        <v>638</v>
      </c>
      <c r="D363" s="83">
        <v>8704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si="22"/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639</v>
      </c>
      <c r="D364" s="83">
        <v>7325</v>
      </c>
      <c r="E364" s="80">
        <v>1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1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640</v>
      </c>
      <c r="D365" s="83">
        <v>7844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641</v>
      </c>
      <c r="D366" s="83">
        <v>4267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642</v>
      </c>
      <c r="D367" s="83">
        <v>7930</v>
      </c>
      <c r="E367" s="80">
        <v>1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1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643</v>
      </c>
      <c r="D368" s="83">
        <v>7902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644</v>
      </c>
      <c r="D369" s="83">
        <v>7903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2.9000000000000001E-2</v>
      </c>
      <c r="AB369" s="9"/>
      <c r="AC369" s="15">
        <f t="shared" si="22"/>
        <v>2.9000000000000001E-2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645</v>
      </c>
      <c r="D370" s="83">
        <v>7667</v>
      </c>
      <c r="E370" s="80">
        <v>0.3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0.05</v>
      </c>
      <c r="AB370" s="9"/>
      <c r="AC370" s="15">
        <f t="shared" si="22"/>
        <v>1.4999999999999999E-2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646</v>
      </c>
      <c r="D371" s="83">
        <v>7365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0.03</v>
      </c>
      <c r="AB371" s="9"/>
      <c r="AC371" s="15">
        <f t="shared" si="22"/>
        <v>0.03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647</v>
      </c>
      <c r="D372" s="83">
        <v>7551</v>
      </c>
      <c r="E372" s="80">
        <v>0.68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1</v>
      </c>
      <c r="AB372" s="9"/>
      <c r="AC372" s="15">
        <f t="shared" si="22"/>
        <v>0.68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648</v>
      </c>
      <c r="D373" s="83">
        <v>4671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1</v>
      </c>
      <c r="AB373" s="9"/>
      <c r="AC373" s="15">
        <f t="shared" si="22"/>
        <v>1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649</v>
      </c>
      <c r="D374" s="83">
        <v>8685</v>
      </c>
      <c r="E374" s="80">
        <v>0.25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0.23499999999999999</v>
      </c>
      <c r="AB374" s="9"/>
      <c r="AC374" s="15">
        <f t="shared" si="22"/>
        <v>5.8749999999999997E-2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650</v>
      </c>
      <c r="D375" s="83">
        <v>8469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0.23200000000000001</v>
      </c>
      <c r="AB375" s="9"/>
      <c r="AC375" s="15">
        <f t="shared" si="22"/>
        <v>0.23200000000000001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651</v>
      </c>
      <c r="D376" s="83">
        <v>8701</v>
      </c>
      <c r="E376" s="80">
        <v>0.2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1</v>
      </c>
      <c r="AB376" s="9"/>
      <c r="AC376" s="15">
        <f t="shared" si="22"/>
        <v>0.2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652</v>
      </c>
      <c r="D377" s="83">
        <v>8694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1</v>
      </c>
      <c r="AB377" s="9"/>
      <c r="AC377" s="15">
        <f t="shared" si="22"/>
        <v>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653</v>
      </c>
      <c r="D378" s="83">
        <v>8686</v>
      </c>
      <c r="E378" s="80">
        <v>1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1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654</v>
      </c>
      <c r="D379" s="83">
        <v>8598</v>
      </c>
      <c r="E379" s="80">
        <v>0.25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0.25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655</v>
      </c>
      <c r="D380" s="83">
        <v>8599</v>
      </c>
      <c r="E380" s="80">
        <v>0.25</v>
      </c>
      <c r="F380" s="14"/>
      <c r="G380" s="22">
        <f t="shared" ref="G380:G392" si="23">F380*E380</f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0.25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656</v>
      </c>
      <c r="D381" s="83">
        <v>5352</v>
      </c>
      <c r="E381" s="80">
        <v>1</v>
      </c>
      <c r="F381" s="14"/>
      <c r="G381" s="22">
        <f t="shared" si="23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1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657</v>
      </c>
      <c r="D382" s="83">
        <v>5411</v>
      </c>
      <c r="E382" s="80">
        <v>0.25</v>
      </c>
      <c r="F382" s="14"/>
      <c r="G382" s="22">
        <f t="shared" si="23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658</v>
      </c>
      <c r="D383" s="83">
        <v>5388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0.4</v>
      </c>
      <c r="AB383" s="9"/>
      <c r="AC383" s="15">
        <f t="shared" si="22"/>
        <v>0.4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659</v>
      </c>
      <c r="D384" s="83">
        <v>5389</v>
      </c>
      <c r="E384" s="80">
        <v>0.28000000000000003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0.7</v>
      </c>
      <c r="AB384" s="9"/>
      <c r="AC384" s="15">
        <f t="shared" si="22"/>
        <v>0.19600000000000001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660</v>
      </c>
      <c r="D385" s="83">
        <v>5453</v>
      </c>
      <c r="E385" s="80">
        <v>0.33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0.7</v>
      </c>
      <c r="AB385" s="9"/>
      <c r="AC385" s="15">
        <f t="shared" si="22"/>
        <v>0.23099999999999998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661</v>
      </c>
      <c r="D386" s="83">
        <v>7865</v>
      </c>
      <c r="E386" s="80">
        <v>0.4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0.5</v>
      </c>
      <c r="AB386" s="9"/>
      <c r="AC386" s="15">
        <f t="shared" si="22"/>
        <v>0.2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662</v>
      </c>
      <c r="D387" s="83">
        <v>4587</v>
      </c>
      <c r="E387" s="80">
        <v>1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0.5</v>
      </c>
      <c r="AB387" s="9"/>
      <c r="AC387" s="15">
        <f t="shared" si="22"/>
        <v>0.5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663</v>
      </c>
      <c r="D388" s="83">
        <v>7164</v>
      </c>
      <c r="E388" s="80">
        <v>1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0.5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664</v>
      </c>
      <c r="D389" s="83">
        <v>4955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115" t="s">
        <v>675</v>
      </c>
      <c r="D390" s="116">
        <v>5428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/>
      <c r="AB390" s="9"/>
      <c r="AC390" s="15"/>
      <c r="AD390" s="9"/>
      <c r="AE390" s="15"/>
    </row>
    <row r="391" spans="2:31" ht="16.5" hidden="1" customHeight="1" outlineLevel="1" x14ac:dyDescent="0.3">
      <c r="C391" s="78" t="s">
        <v>676</v>
      </c>
      <c r="D391" s="83">
        <v>8245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/>
      <c r="AB391" s="9"/>
      <c r="AC391" s="15"/>
      <c r="AD391" s="9"/>
      <c r="AE391" s="15"/>
    </row>
    <row r="392" spans="2:31" ht="16.5" hidden="1" customHeight="1" outlineLevel="1" thickBot="1" x14ac:dyDescent="0.3">
      <c r="C392" s="79" t="s">
        <v>665</v>
      </c>
      <c r="D392" s="84">
        <v>4956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>
        <v>1</v>
      </c>
      <c r="AB392" s="9"/>
      <c r="AC392" s="15">
        <f t="shared" si="22"/>
        <v>1</v>
      </c>
      <c r="AD392" s="9"/>
      <c r="AE392" s="15" t="e">
        <f>AA392*#REF!</f>
        <v>#REF!</v>
      </c>
    </row>
    <row r="393" spans="2:31" s="4" customFormat="1" ht="19.5" hidden="1" collapsed="1" thickBot="1" x14ac:dyDescent="0.3">
      <c r="B393" s="72"/>
      <c r="C393" s="23" t="s">
        <v>666</v>
      </c>
      <c r="D393" s="23"/>
      <c r="E393" s="23"/>
      <c r="F393" s="23">
        <f>SUM(F394:F398)</f>
        <v>0</v>
      </c>
      <c r="G393" s="27">
        <f>SUM(G394:G398)</f>
        <v>0</v>
      </c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3"/>
      <c r="Y393" s="103"/>
      <c r="Z393" s="102"/>
      <c r="AA393" s="102"/>
      <c r="AB393" s="102"/>
      <c r="AC393" s="102"/>
      <c r="AD393" s="102"/>
      <c r="AE393" s="102"/>
    </row>
    <row r="394" spans="2:31" ht="16.5" hidden="1" customHeight="1" outlineLevel="1" x14ac:dyDescent="0.3">
      <c r="C394" s="85" t="s">
        <v>667</v>
      </c>
      <c r="D394" s="88"/>
      <c r="E394" s="97">
        <v>0.25</v>
      </c>
      <c r="F394" s="93"/>
      <c r="G394" s="100">
        <f>F394*E394</f>
        <v>0</v>
      </c>
    </row>
    <row r="395" spans="2:31" ht="16.5" hidden="1" customHeight="1" outlineLevel="1" x14ac:dyDescent="0.3">
      <c r="C395" s="86" t="s">
        <v>668</v>
      </c>
      <c r="D395" s="89"/>
      <c r="E395" s="98">
        <v>0.3</v>
      </c>
      <c r="F395" s="94"/>
      <c r="G395" s="22">
        <f t="shared" ref="G395:G398" si="24">F395*E395</f>
        <v>0</v>
      </c>
    </row>
    <row r="396" spans="2:31" ht="16.5" hidden="1" customHeight="1" outlineLevel="1" x14ac:dyDescent="0.3">
      <c r="C396" s="86" t="s">
        <v>669</v>
      </c>
      <c r="D396" s="89"/>
      <c r="E396" s="98">
        <v>0.25</v>
      </c>
      <c r="F396" s="94"/>
      <c r="G396" s="22">
        <f t="shared" si="24"/>
        <v>0</v>
      </c>
    </row>
    <row r="397" spans="2:31" ht="16.5" hidden="1" customHeight="1" outlineLevel="1" x14ac:dyDescent="0.3">
      <c r="C397" s="86" t="s">
        <v>670</v>
      </c>
      <c r="D397" s="89"/>
      <c r="E397" s="98">
        <v>0.25</v>
      </c>
      <c r="F397" s="94"/>
      <c r="G397" s="22">
        <f t="shared" si="24"/>
        <v>0</v>
      </c>
    </row>
    <row r="398" spans="2:31" ht="16.5" hidden="1" customHeight="1" outlineLevel="1" thickBot="1" x14ac:dyDescent="0.3">
      <c r="C398" s="87" t="s">
        <v>671</v>
      </c>
      <c r="D398" s="90"/>
      <c r="E398" s="99">
        <v>0.25</v>
      </c>
      <c r="F398" s="95"/>
      <c r="G398" s="101">
        <f t="shared" si="24"/>
        <v>0</v>
      </c>
    </row>
    <row r="399" spans="2:31" ht="19.5" hidden="1" thickBot="1" x14ac:dyDescent="0.3">
      <c r="C399" s="96"/>
      <c r="D399" s="81"/>
      <c r="E399" s="91"/>
      <c r="F399" s="92">
        <f>F393+F358+F354+F348+F341+F319+F264+F179+F3</f>
        <v>9534</v>
      </c>
      <c r="G399" s="91">
        <f>G393+G358+G354+G348+G341+G319+G264+G179+G3</f>
        <v>8047.2000000000007</v>
      </c>
      <c r="AA399" s="24"/>
      <c r="AB399" s="24"/>
      <c r="AC399" s="24"/>
      <c r="AD399" s="24"/>
      <c r="AE399" s="24"/>
    </row>
  </sheetData>
  <autoFilter ref="F1:F399" xr:uid="{60770C7E-7430-445D-8EF2-A386FBC683AA}">
    <filterColumn colId="0">
      <filters>
        <filter val="100"/>
        <filter val="1000"/>
        <filter val="120"/>
        <filter val="1200"/>
        <filter val="150"/>
        <filter val="16"/>
        <filter val="20"/>
        <filter val="2200"/>
        <filter val="24"/>
        <filter val="250"/>
        <filter val="30"/>
        <filter val="300"/>
        <filter val="40"/>
        <filter val="420"/>
        <filter val="50"/>
        <filter val="500"/>
        <filter val="60"/>
        <filter val="6514"/>
        <filter val="70"/>
        <filter val="80"/>
        <filter val="820"/>
        <filter val="9534"/>
        <filter val="Заказ"/>
      </filters>
    </filterColumn>
  </autoFilter>
  <sortState xmlns:xlrd2="http://schemas.microsoft.com/office/spreadsheetml/2017/richdata2" ref="C4:G178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2026-01-06T05:33:00Z</dcterms:modified>
</cp:coreProperties>
</file>