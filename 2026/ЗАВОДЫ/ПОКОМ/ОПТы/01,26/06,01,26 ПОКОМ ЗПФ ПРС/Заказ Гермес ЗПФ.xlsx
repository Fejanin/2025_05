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ЗПФ ПРС\"/>
    </mc:Choice>
  </mc:AlternateContent>
  <xr:revisionPtr revIDLastSave="0" documentId="13_ncr:1_{BA8929EF-0756-4190-A9EA-DBB0C8877341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TDSheet!$B$3:$D$3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6" i="1" l="1"/>
  <c r="F22" i="1" l="1"/>
  <c r="F21" i="1"/>
  <c r="F16" i="1"/>
  <c r="G29" i="1" l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5" i="1"/>
  <c r="G6" i="1"/>
  <c r="G7" i="1"/>
  <c r="G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9" i="1"/>
  <c r="I4" i="1"/>
  <c r="K4" i="1" l="1"/>
  <c r="J4" i="1"/>
  <c r="L4" i="1" s="1"/>
  <c r="M4" i="1" s="1"/>
  <c r="K27" i="1"/>
  <c r="J27" i="1"/>
  <c r="L27" i="1" s="1"/>
  <c r="M27" i="1" s="1"/>
  <c r="K25" i="1"/>
  <c r="J25" i="1"/>
  <c r="L25" i="1" s="1"/>
  <c r="M25" i="1" s="1"/>
  <c r="K23" i="1"/>
  <c r="J23" i="1"/>
  <c r="L23" i="1" s="1"/>
  <c r="M23" i="1" s="1"/>
  <c r="K21" i="1"/>
  <c r="J21" i="1"/>
  <c r="L21" i="1" s="1"/>
  <c r="M21" i="1" s="1"/>
  <c r="K19" i="1"/>
  <c r="J19" i="1"/>
  <c r="L19" i="1" s="1"/>
  <c r="M19" i="1" s="1"/>
  <c r="K17" i="1"/>
  <c r="J17" i="1"/>
  <c r="L17" i="1" s="1"/>
  <c r="M17" i="1" s="1"/>
  <c r="K15" i="1"/>
  <c r="J15" i="1"/>
  <c r="L15" i="1" s="1"/>
  <c r="M15" i="1" s="1"/>
  <c r="K13" i="1"/>
  <c r="J13" i="1"/>
  <c r="L13" i="1" s="1"/>
  <c r="M13" i="1" s="1"/>
  <c r="K11" i="1"/>
  <c r="J11" i="1"/>
  <c r="L11" i="1" s="1"/>
  <c r="M11" i="1" s="1"/>
  <c r="K9" i="1"/>
  <c r="J9" i="1"/>
  <c r="L9" i="1" s="1"/>
  <c r="M9" i="1" s="1"/>
  <c r="K7" i="1"/>
  <c r="J7" i="1"/>
  <c r="L7" i="1" s="1"/>
  <c r="M7" i="1" s="1"/>
  <c r="K5" i="1"/>
  <c r="J5" i="1"/>
  <c r="L5" i="1" s="1"/>
  <c r="M5" i="1" s="1"/>
  <c r="K29" i="1"/>
  <c r="J29" i="1"/>
  <c r="L29" i="1" s="1"/>
  <c r="M29" i="1" s="1"/>
  <c r="K26" i="1"/>
  <c r="J26" i="1"/>
  <c r="K24" i="1"/>
  <c r="J24" i="1"/>
  <c r="K22" i="1"/>
  <c r="J22" i="1"/>
  <c r="K20" i="1"/>
  <c r="J20" i="1"/>
  <c r="K18" i="1"/>
  <c r="J18" i="1"/>
  <c r="K16" i="1"/>
  <c r="J16" i="1"/>
  <c r="K14" i="1"/>
  <c r="J14" i="1"/>
  <c r="L14" i="1" s="1"/>
  <c r="M14" i="1" s="1"/>
  <c r="K12" i="1"/>
  <c r="J12" i="1"/>
  <c r="K10" i="1"/>
  <c r="J10" i="1"/>
  <c r="L10" i="1" s="1"/>
  <c r="M10" i="1" s="1"/>
  <c r="K6" i="1"/>
  <c r="J6" i="1"/>
  <c r="L6" i="1" s="1"/>
  <c r="M6" i="1" s="1"/>
  <c r="L12" i="1"/>
  <c r="M12" i="1" s="1"/>
  <c r="L16" i="1"/>
  <c r="M16" i="1" s="1"/>
  <c r="L18" i="1"/>
  <c r="M18" i="1" s="1"/>
  <c r="L20" i="1"/>
  <c r="M20" i="1" s="1"/>
  <c r="L22" i="1"/>
  <c r="M22" i="1" s="1"/>
  <c r="L24" i="1"/>
  <c r="M24" i="1" s="1"/>
  <c r="L26" i="1"/>
  <c r="J28" i="1"/>
  <c r="L28" i="1" s="1"/>
  <c r="M28" i="1" s="1"/>
  <c r="K28" i="1"/>
  <c r="M26" i="1" l="1"/>
  <c r="M30" i="1" s="1"/>
  <c r="L30" i="1"/>
</calcChain>
</file>

<file path=xl/sharedStrings.xml><?xml version="1.0" encoding="utf-8"?>
<sst xmlns="http://schemas.openxmlformats.org/spreadsheetml/2006/main" count="37" uniqueCount="37">
  <si>
    <t>Товар</t>
  </si>
  <si>
    <t>ШК</t>
  </si>
  <si>
    <t>Номенклатура гермес</t>
  </si>
  <si>
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</si>
  <si>
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</si>
  <si>
    <t>Пельмени Grandmeni с говядиной ТМ Горячаяштучка флоу-пак сфера 0,7 кг.Мясной полуфабрикат в тесте замороженный ТУ 10.13.14-012-14709771-2018 ЗАО "Мясная галерея"</t>
  </si>
  <si>
    <t>Пельмени Grandmeni со сливочным маслом  ТМ Горячая штучка флоу-пак сфера 0,7 кг.Мясной полуфабрикат в тесте замороженный ТУ 10.13.14-012-14709771-2018</t>
  </si>
  <si>
    <t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t>
  </si>
  <si>
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</si>
  <si>
    <t>Готовые бельмеши сочные с мясом ТМ Горячая штучка ТС Базовый ассортимент 0,3 кг. Изделия кулинарные</t>
  </si>
  <si>
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</si>
  <si>
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</si>
  <si>
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</si>
  <si>
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</si>
  <si>
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</si>
  <si>
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</si>
  <si>
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</si>
  <si>
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</si>
  <si>
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</si>
  <si>
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</si>
  <si>
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</si>
  <si>
    <t>Чебупицца Пепперони ТМ Горячая штучка ТС Чебупицца 0,25 кг. Изделия кулинарные мясосодержащие замороженные ТУ 9214-006-14709771-07 3АО «Мясная галерея»</t>
  </si>
  <si>
    <t>Хотстеры ТМ Горячая штучка ТС Хотстеры 0,25 кг. Изделия кулинарные из мяса птицы замороженные ТУ 9214-006-14709771-07 3АО «Мясная галерея».</t>
  </si>
  <si>
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</si>
  <si>
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</si>
  <si>
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</si>
  <si>
    <t>Пельмени «Мясные с говядиной» Фикс.вес 1 сфера ТМ «Стародворье»</t>
  </si>
  <si>
    <t>Пельмени Сочные ТМ Стародворье ТС Сочные ф/п сфера ф/в 0,43 кг УВС2 НД1 МГ</t>
  </si>
  <si>
    <t>Пельмени Сочные ТМ Стародворье ТС Сочные ф/п сфера ф/в 0,8 кг МГ</t>
  </si>
  <si>
    <t>уменьшить на</t>
  </si>
  <si>
    <t>ИТОГО</t>
  </si>
  <si>
    <t>SU</t>
  </si>
  <si>
    <t>шт в кор</t>
  </si>
  <si>
    <t>кор в слое</t>
  </si>
  <si>
    <t>ЗАКАЗ, кор</t>
  </si>
  <si>
    <t>ЗАКАЗ, шт</t>
  </si>
  <si>
    <t>SU003964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</si>
</sst>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5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/>
    <xf numFmtId="0" fontId="0" fillId="3" borderId="0" xfId="0" applyFill="1" applyAlignment="1">
      <alignment horizontal="left" wrapText="1"/>
    </xf>
    <xf numFmtId="1" fontId="0" fillId="3" borderId="0" xfId="0" applyNumberFormat="1" applyFill="1" applyAlignment="1">
      <alignment horizontal="left" wrapText="1"/>
    </xf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5/&#1047;&#1040;&#1042;&#1054;&#1044;&#1067;/&#1055;&#1054;&#1050;&#1054;&#1052;/&#1054;&#1055;&#1058;&#1099;/2025/11,25/24,11,25%20&#1055;&#1054;&#1050;&#1054;&#1052;%20&#1047;&#1055;&#1060;%20&#1055;&#1056;&#1057;%20&#1051;&#1055;%20&#1085;&#1072;%20&#1073;&#1083;&#1080;&#1078;/&#1047;&#1072;&#1082;&#1072;&#1079;%2024,11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74;%20&#1073;&#1083;&#1072;&#1085;&#1082;&#1080;%20&#1079;&#1072;&#1074;&#1086;&#1076;&#1086;&#1074;/&#1055;&#1054;&#1050;&#1054;&#1052;%20&#1047;&#1055;&#1060;/pokom_zpf/&#1095;&#1080;&#1089;&#1090;&#1099;&#1081;%20&#1073;&#1083;&#1072;&#1085;&#1082;/&#1041;&#1083;&#1072;&#1085;&#1082;%20&#1047;&#1055;&#1060;%20%20&#1082;&#1083;&#1080;&#1077;&#1085;&#1090;%20&#1054;&#1054;&#1054;%20&#1053;&#1042;%20&#1085;&#1072;%20&#1086;&#1090;&#1075;&#1088;&#1091;&#1079;&#1082;&#1091;%20&#1089;%2003.12.2025%20(&#1052;&#1077;&#1083;.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2">
          <cell r="D2" t="str">
            <v>ШК</v>
          </cell>
        </row>
        <row r="3">
          <cell r="F3" t="str">
            <v>уменьшить на</v>
          </cell>
          <cell r="G3" t="str">
            <v>ИТОГО</v>
          </cell>
        </row>
        <row r="4">
          <cell r="C4" t="str">
            <v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v>
          </cell>
          <cell r="D4">
            <v>4607111036537</v>
          </cell>
          <cell r="E4">
            <v>588</v>
          </cell>
          <cell r="F4">
            <v>0</v>
          </cell>
          <cell r="G4">
            <v>588</v>
          </cell>
          <cell r="H4">
            <v>12</v>
          </cell>
          <cell r="I4" t="str">
            <v>SU003598</v>
          </cell>
        </row>
        <row r="5">
          <cell r="C5" t="str">
            <v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v>
          </cell>
          <cell r="D5">
            <v>4607111036520</v>
          </cell>
          <cell r="E5">
            <v>924</v>
          </cell>
          <cell r="F5">
            <v>0</v>
          </cell>
          <cell r="G5">
            <v>924</v>
          </cell>
          <cell r="H5">
            <v>12</v>
          </cell>
          <cell r="I5" t="str">
            <v>SU003600</v>
          </cell>
        </row>
        <row r="6">
          <cell r="C6" t="str">
            <v>Пельмени Grandmeni с говядиной ТМ Горячаяштучка флоу-пак сфера 0,7 кг.Мясной полуфабрикат в тесте замороженный ТУ 10.13.14-012-14709771-2018 ЗАО "Мясная галерея"</v>
          </cell>
          <cell r="D6">
            <v>4620207490075</v>
          </cell>
          <cell r="E6">
            <v>1200</v>
          </cell>
          <cell r="F6">
            <v>0</v>
          </cell>
          <cell r="G6">
            <v>1200</v>
          </cell>
          <cell r="H6">
            <v>10</v>
          </cell>
          <cell r="I6" t="str">
            <v>SU003826</v>
          </cell>
        </row>
        <row r="7">
          <cell r="C7" t="str">
            <v>Пельмени Grandmeni со сливочным маслом  ТМ Горячая штучка флоу-пак сфера 0,7 кг.Мясной полуфабрикат в тесте замороженный ТУ 10.13.14-012-14709771-2018</v>
          </cell>
          <cell r="D7">
            <v>4620207490044</v>
          </cell>
          <cell r="E7">
            <v>1344</v>
          </cell>
          <cell r="F7">
            <v>96</v>
          </cell>
          <cell r="G7">
            <v>1248</v>
          </cell>
          <cell r="H7">
            <v>12</v>
          </cell>
          <cell r="I7" t="str">
            <v>SU003827</v>
          </cell>
        </row>
        <row r="8">
          <cell r="C8" t="str">
            <v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v>
          </cell>
          <cell r="D8">
            <v>4607111038999</v>
          </cell>
          <cell r="E8">
            <v>576</v>
          </cell>
          <cell r="H8">
            <v>12</v>
          </cell>
          <cell r="I8" t="str">
            <v>нет в бланке</v>
          </cell>
        </row>
        <row r="9">
          <cell r="C9" t="str">
            <v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v>
          </cell>
          <cell r="D9">
            <v>4607111039385</v>
          </cell>
          <cell r="E9">
            <v>1200</v>
          </cell>
          <cell r="F9">
            <v>120</v>
          </cell>
          <cell r="G9">
            <v>1080</v>
          </cell>
          <cell r="H9">
            <v>10</v>
          </cell>
          <cell r="I9" t="str">
            <v>SU003532</v>
          </cell>
        </row>
        <row r="10">
          <cell r="C10" t="str">
            <v>Готовые бельмеши сочные с мясом ТМ Горячая штучка ТС Базовый ассортимент 0,3 кг. Изделия кулинарные</v>
          </cell>
          <cell r="D10">
            <v>4607111033659</v>
          </cell>
          <cell r="E10">
            <v>600</v>
          </cell>
          <cell r="F10">
            <v>0</v>
          </cell>
          <cell r="G10">
            <v>600</v>
          </cell>
          <cell r="H10">
            <v>12</v>
          </cell>
          <cell r="I10" t="str">
            <v>SU003593</v>
          </cell>
        </row>
        <row r="11">
          <cell r="C11" t="str">
            <v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v>
          </cell>
          <cell r="D11">
            <v>4607111034120</v>
          </cell>
          <cell r="E11">
            <v>1176</v>
          </cell>
          <cell r="F11">
            <v>0</v>
          </cell>
          <cell r="G11">
            <v>1176</v>
          </cell>
          <cell r="H11">
            <v>12</v>
          </cell>
          <cell r="I11" t="str">
            <v>SU003591</v>
          </cell>
        </row>
        <row r="12">
          <cell r="C12" t="str">
            <v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v>
          </cell>
          <cell r="D12">
            <v>4607111034137</v>
          </cell>
          <cell r="E12">
            <v>1008</v>
          </cell>
          <cell r="F12">
            <v>0</v>
          </cell>
          <cell r="G12">
            <v>1008</v>
          </cell>
          <cell r="H12">
            <v>12</v>
          </cell>
          <cell r="I12" t="str">
            <v>SU003607</v>
          </cell>
        </row>
        <row r="13">
          <cell r="C13" t="str">
            <v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v>
          </cell>
          <cell r="D13">
            <v>4607111033451</v>
          </cell>
          <cell r="E13">
            <v>1344</v>
          </cell>
          <cell r="F13">
            <v>168</v>
          </cell>
          <cell r="G13">
            <v>1176</v>
          </cell>
          <cell r="H13">
            <v>12</v>
          </cell>
          <cell r="I13" t="str">
            <v>SU003889</v>
          </cell>
        </row>
        <row r="14">
          <cell r="C14" t="str">
            <v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v>
          </cell>
          <cell r="D14">
            <v>4607111033444</v>
          </cell>
          <cell r="E14">
            <v>1344</v>
          </cell>
          <cell r="F14">
            <v>168</v>
          </cell>
          <cell r="G14">
            <v>1176</v>
          </cell>
          <cell r="H14">
            <v>12</v>
          </cell>
          <cell r="I14" t="str">
            <v>SU003884</v>
          </cell>
        </row>
        <row r="15">
          <cell r="C15" t="str">
            <v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v>
          </cell>
          <cell r="D15">
            <v>4607111036407</v>
          </cell>
          <cell r="E15">
            <v>1200</v>
          </cell>
          <cell r="F15">
            <v>0</v>
          </cell>
          <cell r="G15">
            <v>1200</v>
          </cell>
          <cell r="H15">
            <v>10</v>
          </cell>
          <cell r="I15" t="str">
            <v>SU002293</v>
          </cell>
        </row>
        <row r="16">
          <cell r="C16" t="str">
            <v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v>
          </cell>
          <cell r="D16">
            <v>4607025784012</v>
          </cell>
          <cell r="E16">
            <v>2016</v>
          </cell>
          <cell r="F16">
            <v>336</v>
          </cell>
          <cell r="G16">
            <v>1680</v>
          </cell>
          <cell r="H16">
            <v>12</v>
          </cell>
          <cell r="I16" t="str">
            <v>SU002573</v>
          </cell>
        </row>
        <row r="17">
          <cell r="C17" t="str">
            <v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v>
          </cell>
          <cell r="D17">
            <v>4607111039262</v>
          </cell>
          <cell r="E17">
            <v>1100</v>
          </cell>
          <cell r="F17">
            <v>0</v>
          </cell>
          <cell r="G17">
            <v>1100</v>
          </cell>
          <cell r="H17">
            <v>10</v>
          </cell>
          <cell r="I17" t="str">
            <v>SU003527</v>
          </cell>
        </row>
        <row r="18">
          <cell r="C18" t="str">
            <v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v>
          </cell>
          <cell r="D18">
            <v>4607111039248</v>
          </cell>
          <cell r="E18">
            <v>1440</v>
          </cell>
          <cell r="F18">
            <v>0</v>
          </cell>
          <cell r="G18">
            <v>1440</v>
          </cell>
          <cell r="H18">
            <v>10</v>
          </cell>
          <cell r="I18" t="str">
            <v>SU003460</v>
          </cell>
        </row>
        <row r="19">
          <cell r="C19" t="str">
            <v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v>
          </cell>
          <cell r="D19">
            <v>4607111039293</v>
          </cell>
          <cell r="E19">
            <v>1152</v>
          </cell>
          <cell r="F19">
            <v>0</v>
          </cell>
          <cell r="G19">
            <v>1152</v>
          </cell>
          <cell r="H19">
            <v>12</v>
          </cell>
          <cell r="I19" t="str">
            <v>SU003528</v>
          </cell>
        </row>
        <row r="20">
          <cell r="C20" t="str">
            <v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v>
          </cell>
          <cell r="D20">
            <v>4607111039279</v>
          </cell>
          <cell r="E20">
            <v>1200</v>
          </cell>
          <cell r="F20">
            <v>0</v>
          </cell>
          <cell r="G20">
            <v>1200</v>
          </cell>
          <cell r="H20">
            <v>12</v>
          </cell>
          <cell r="I20" t="str">
            <v>SU003459</v>
          </cell>
        </row>
        <row r="21">
          <cell r="C21" t="str">
            <v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v>
          </cell>
          <cell r="D21">
            <v>4607111034014</v>
          </cell>
          <cell r="E21">
            <v>1848</v>
          </cell>
          <cell r="F21">
            <v>168</v>
          </cell>
          <cell r="G21">
            <v>1680</v>
          </cell>
          <cell r="H21">
            <v>12</v>
          </cell>
          <cell r="I21" t="str">
            <v>SU003578</v>
          </cell>
        </row>
        <row r="22">
          <cell r="C22" t="str">
            <v>Чебупицца Пепперони ТМ Горячая штучка ТС Чебупицца 0,25 кг. Изделия кулинарные мясосодержащие замороженные ТУ 9214-006-14709771-07 3АО «Мясная галерея»</v>
          </cell>
          <cell r="D22">
            <v>4607111033994</v>
          </cell>
          <cell r="E22">
            <v>1848</v>
          </cell>
          <cell r="F22">
            <v>168</v>
          </cell>
          <cell r="G22">
            <v>1680</v>
          </cell>
          <cell r="H22">
            <v>12</v>
          </cell>
          <cell r="I22" t="str">
            <v>SU003580</v>
          </cell>
        </row>
        <row r="23">
          <cell r="C23" t="str">
            <v>Хотстеры ТМ Горячая штучка ТС Хотстеры 0,25 кг. Изделия кулинарные из мяса птицы замороженные ТУ 9214-006-14709771-07 3АО «Мясная галерея».</v>
          </cell>
          <cell r="D23">
            <v>4607111034199</v>
          </cell>
          <cell r="E23">
            <v>1512</v>
          </cell>
          <cell r="F23">
            <v>0</v>
          </cell>
          <cell r="G23">
            <v>1512</v>
          </cell>
          <cell r="H23">
            <v>12</v>
          </cell>
          <cell r="I23" t="str">
            <v>SU003576</v>
          </cell>
        </row>
        <row r="24">
          <cell r="C24" t="str">
            <v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v>
          </cell>
          <cell r="D24">
            <v>4607111034380</v>
          </cell>
          <cell r="E24">
            <v>1000</v>
          </cell>
          <cell r="F24">
            <v>0</v>
          </cell>
          <cell r="G24">
            <v>1000</v>
          </cell>
          <cell r="H24">
            <v>10</v>
          </cell>
          <cell r="I24" t="str">
            <v>SU003872</v>
          </cell>
        </row>
        <row r="25">
          <cell r="C25" t="str">
            <v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v>
          </cell>
          <cell r="D25">
            <v>4607111035806</v>
          </cell>
          <cell r="E25">
            <v>1000</v>
          </cell>
          <cell r="F25">
            <v>0</v>
          </cell>
          <cell r="G25">
            <v>1000</v>
          </cell>
          <cell r="H25">
            <v>10</v>
          </cell>
          <cell r="I25" t="str">
            <v>SU003596</v>
          </cell>
        </row>
        <row r="26">
          <cell r="C26" t="str">
            <v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v>
          </cell>
          <cell r="D26">
            <v>4607111035691</v>
          </cell>
          <cell r="E26">
            <v>2856</v>
          </cell>
          <cell r="F26">
            <v>168</v>
          </cell>
          <cell r="G26">
            <v>2688</v>
          </cell>
          <cell r="H26">
            <v>12</v>
          </cell>
          <cell r="I26" t="str">
            <v>SU003797</v>
          </cell>
        </row>
        <row r="27">
          <cell r="C27" t="str">
            <v>Пельмени «Мясные с говядиной» Фикс.вес 1 сфера ТМ «Стародворье»</v>
          </cell>
          <cell r="D27">
            <v>4620207491096</v>
          </cell>
          <cell r="E27">
            <v>960</v>
          </cell>
          <cell r="F27">
            <v>0</v>
          </cell>
          <cell r="G27">
            <v>960</v>
          </cell>
          <cell r="H27">
            <v>12</v>
          </cell>
          <cell r="I27" t="str">
            <v>SU003935</v>
          </cell>
        </row>
        <row r="28">
          <cell r="C28" t="str">
            <v>Пельмени Сочные ТМ Стародворье ТС Сочные ф/п сфера ф/в 0,43 кг УВС2 НД1 МГ</v>
          </cell>
          <cell r="D28">
            <v>4607111039019</v>
          </cell>
          <cell r="E28">
            <v>960</v>
          </cell>
          <cell r="F28">
            <v>0</v>
          </cell>
          <cell r="G28">
            <v>960</v>
          </cell>
          <cell r="H28">
            <v>12</v>
          </cell>
          <cell r="I28" t="str">
            <v>SU001859</v>
          </cell>
        </row>
        <row r="29">
          <cell r="C29" t="str">
            <v>Пельмени Сочные ТМ Стародворье ТС Сочные ф/п сфера ф/в 0,8 кг МГ</v>
          </cell>
          <cell r="D29">
            <v>4607111038708</v>
          </cell>
          <cell r="E29">
            <v>960</v>
          </cell>
          <cell r="F29">
            <v>0</v>
          </cell>
          <cell r="G29">
            <v>960</v>
          </cell>
          <cell r="H29">
            <v>12</v>
          </cell>
          <cell r="I29" t="str">
            <v>SU003965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>
        <row r="1">
          <cell r="D1" t="str">
            <v xml:space="preserve">  БЛАНК ЗАКАЗА </v>
          </cell>
          <cell r="G1" t="str">
            <v>ЗПФ</v>
          </cell>
          <cell r="H1" t="str">
            <v>на отгрузку продукции с ООО Трейд-Сервис с</v>
          </cell>
          <cell r="R1" t="str">
            <v>03.12.2025</v>
          </cell>
        </row>
        <row r="2">
          <cell r="A2" t="str">
            <v>бланк создан</v>
          </cell>
          <cell r="B2" t="str">
            <v>03.12.2025</v>
          </cell>
          <cell r="P2" t="str">
            <v/>
          </cell>
        </row>
        <row r="3">
          <cell r="B3" t="str">
            <v>-поле, обязательное к заполнению</v>
          </cell>
          <cell r="F3" t="str">
            <v>-поля, не обязательные к заполнению</v>
          </cell>
        </row>
        <row r="5">
          <cell r="A5" t="str">
            <v xml:space="preserve">Ваш контактный телефон и имя: </v>
          </cell>
          <cell r="F5" t="str">
            <v>Комментарий к заказу:</v>
          </cell>
          <cell r="P5" t="str">
            <v>Дата загрузки</v>
          </cell>
          <cell r="Q5">
            <v>45999</v>
          </cell>
          <cell r="T5" t="str">
            <v>Способ доставки (доставка/самовывоз)</v>
          </cell>
          <cell r="V5" t="str">
            <v>Самовывоз</v>
          </cell>
        </row>
        <row r="6">
          <cell r="A6" t="str">
            <v>Адрес доставки:</v>
          </cell>
          <cell r="D6" t="str">
            <v>НВ, ООО 9001015535, Запорожская обл, Мелитополь г, Полевая ул, д. 3, стр А,</v>
          </cell>
          <cell r="P6" t="str">
            <v>День недели</v>
          </cell>
          <cell r="Q6" t="str">
            <v>Понедельник</v>
          </cell>
          <cell r="T6" t="str">
            <v>Наименование клиента</v>
          </cell>
          <cell r="V6" t="str">
            <v>ОБЩЕСТВО С ОГРАНИЧЕННОЙ ОТВЕТСТВЕННОСТЬЮ "НОВОЕ ВРЕМЯ"</v>
          </cell>
        </row>
        <row r="7">
          <cell r="D7" t="str">
            <v>1</v>
          </cell>
        </row>
        <row r="8">
          <cell r="A8" t="str">
            <v>Адрес сдачи груза:</v>
          </cell>
          <cell r="D8" t="str">
            <v>272302Российская Федерация, Запорожская обл, Мелитополь г, Полевая ул, д. 3, стр А,</v>
          </cell>
          <cell r="P8" t="str">
            <v>Время загрузки</v>
          </cell>
          <cell r="Q8">
            <v>0.41666666666666669</v>
          </cell>
        </row>
        <row r="9">
          <cell r="A9" t="str">
            <v/>
          </cell>
          <cell r="D9" t="str">
            <v/>
          </cell>
          <cell r="F9" t="str">
            <v/>
          </cell>
          <cell r="H9" t="str">
            <v/>
          </cell>
          <cell r="J9" t="str">
            <v/>
          </cell>
          <cell r="P9" t="str">
            <v>Дата доставки</v>
          </cell>
        </row>
        <row r="10">
          <cell r="A10" t="str">
            <v/>
          </cell>
          <cell r="F10" t="str">
            <v/>
          </cell>
          <cell r="H10" t="str">
            <v/>
          </cell>
          <cell r="P10" t="str">
            <v>Время доставки</v>
          </cell>
          <cell r="U10" t="str">
            <v>КОД Аксапты Клиента</v>
          </cell>
          <cell r="V10" t="str">
            <v>596383</v>
          </cell>
        </row>
        <row r="11">
          <cell r="A11" t="str">
            <v>Справочная информация:</v>
          </cell>
          <cell r="P11" t="str">
            <v>Время доставки 2 машины</v>
          </cell>
          <cell r="U11" t="str">
            <v>Тип заказа</v>
          </cell>
          <cell r="V11" t="str">
            <v>Основной заказ</v>
          </cell>
        </row>
        <row r="12">
          <cell r="A12" t="str">
            <v>Телефоны для заказов:8(919)022-63-02 E-mail: Zamorozka@abiproduct.ru, Телефон сотрудников склада: 8-980-75-76-203</v>
          </cell>
          <cell r="P12" t="str">
            <v>Время доставки 3 машины</v>
          </cell>
          <cell r="U12" t="str">
            <v/>
          </cell>
        </row>
        <row r="13">
          <cell r="A13" t="str">
            <v>График приема заказов: Заказы принимаются за ДВА дня до отгрузки Пн-Пт: с 9:00 до 14:00, Суб. - Вс. выходной</v>
          </cell>
          <cell r="P13" t="str">
            <v>Время доставки 4 машины</v>
          </cell>
        </row>
        <row r="14">
          <cell r="A14" t="str">
            <v>Телефон менеджера по логистике: 8 (919) 012-30-55 - по вопросам доставки продукции</v>
          </cell>
        </row>
        <row r="15">
          <cell r="A15" t="str">
            <v>Телефон по работе с претензиями/жалобами (WhatSapp): 8 (980) 757-69-93       E-mail: Claims@abiproduct.ru</v>
          </cell>
          <cell r="P15" t="str">
            <v>Кликните на продукт, чтобы просмотреть изображение</v>
          </cell>
        </row>
        <row r="17">
          <cell r="A17" t="str">
            <v>Код единицы продаж</v>
          </cell>
          <cell r="B17" t="str">
            <v>Код продукта</v>
          </cell>
          <cell r="C17" t="str">
            <v>Номер варианта</v>
          </cell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Коробов в слое</v>
          </cell>
          <cell r="L17" t="str">
            <v>Квант заказа</v>
          </cell>
          <cell r="M17" t="str">
            <v>Завод</v>
          </cell>
          <cell r="N17" t="str">
            <v>Внешний код номенклатуры</v>
          </cell>
          <cell r="O17" t="str">
            <v>Срок годности, сут.</v>
          </cell>
          <cell r="P17" t="str">
            <v>Наименование</v>
          </cell>
          <cell r="U17" t="str">
            <v>Доступно к отгрузке</v>
          </cell>
          <cell r="W17" t="str">
            <v>Ед. изм.</v>
          </cell>
          <cell r="X17" t="str">
            <v>Заказ</v>
          </cell>
          <cell r="Y17" t="str">
            <v>Заказ с округлением до короба</v>
          </cell>
          <cell r="Z17" t="str">
            <v>Объём заказа, м3</v>
          </cell>
        </row>
        <row r="18">
          <cell r="U18" t="str">
            <v>начиная с</v>
          </cell>
          <cell r="V18" t="str">
            <v>до</v>
          </cell>
        </row>
        <row r="19">
          <cell r="A19" t="str">
            <v>Медвежье ушко</v>
          </cell>
        </row>
        <row r="20">
          <cell r="A20" t="str">
            <v>Медвежье ушко</v>
          </cell>
        </row>
        <row r="21">
          <cell r="A21" t="str">
            <v>Пельмени</v>
          </cell>
        </row>
        <row r="22">
          <cell r="A22" t="str">
            <v>SU003974</v>
          </cell>
          <cell r="B22" t="str">
            <v>P005106</v>
          </cell>
          <cell r="C22">
            <v>4301071108</v>
          </cell>
          <cell r="D22">
            <v>4607111035912</v>
          </cell>
          <cell r="F22">
            <v>0.43</v>
          </cell>
          <cell r="G22">
            <v>16</v>
          </cell>
          <cell r="H22">
            <v>6.88</v>
          </cell>
          <cell r="I22">
            <v>7.19</v>
          </cell>
          <cell r="J22">
            <v>84</v>
          </cell>
          <cell r="K22" t="str">
            <v>12</v>
          </cell>
          <cell r="L22" t="str">
            <v>Короб, мин. 1</v>
          </cell>
          <cell r="M22" t="str">
            <v>МГ</v>
          </cell>
          <cell r="O22">
            <v>180</v>
          </cell>
          <cell r="P22" t="str">
            <v>Пельмени «Отборные с говядиной и свининой» 0,43 псевдозащип ТМ «Медвежье ушко»</v>
          </cell>
          <cell r="U22" t="str">
            <v/>
          </cell>
          <cell r="V22" t="str">
            <v/>
          </cell>
          <cell r="W22" t="str">
            <v>кор</v>
          </cell>
          <cell r="X22">
            <v>0</v>
          </cell>
          <cell r="Y22">
            <v>0</v>
          </cell>
          <cell r="Z22">
            <v>0</v>
          </cell>
        </row>
        <row r="23">
          <cell r="A23" t="str">
            <v>SU003968</v>
          </cell>
          <cell r="B23" t="str">
            <v>P005109</v>
          </cell>
          <cell r="C23">
            <v>4301071110</v>
          </cell>
          <cell r="D23">
            <v>4607111035103</v>
          </cell>
          <cell r="F23">
            <v>0.43</v>
          </cell>
          <cell r="G23">
            <v>16</v>
          </cell>
          <cell r="H23">
            <v>6.88</v>
          </cell>
          <cell r="I23">
            <v>7.19</v>
          </cell>
          <cell r="J23">
            <v>84</v>
          </cell>
          <cell r="K23" t="str">
            <v>12</v>
          </cell>
          <cell r="L23" t="str">
            <v>Короб, мин. 1</v>
          </cell>
          <cell r="M23" t="str">
            <v>МГ</v>
          </cell>
          <cell r="O23">
            <v>180</v>
          </cell>
          <cell r="P23" t="str">
            <v>Пельмени «Отборные из свинины и говядины» 0,43 псевдозащип ТМ «Медвежье ушко»</v>
          </cell>
          <cell r="U23" t="str">
            <v/>
          </cell>
          <cell r="V23" t="str">
            <v/>
          </cell>
          <cell r="W23" t="str">
            <v>кор</v>
          </cell>
          <cell r="X23">
            <v>0</v>
          </cell>
          <cell r="Y23">
            <v>0</v>
          </cell>
          <cell r="Z23">
            <v>0</v>
          </cell>
        </row>
        <row r="24">
          <cell r="A24" t="str">
            <v>SU003975</v>
          </cell>
          <cell r="B24" t="str">
            <v>P005107</v>
          </cell>
          <cell r="C24">
            <v>4301071109</v>
          </cell>
          <cell r="D24">
            <v>4607111035929</v>
          </cell>
          <cell r="F24">
            <v>0.9</v>
          </cell>
          <cell r="G24">
            <v>8</v>
          </cell>
          <cell r="H24">
            <v>7.2</v>
          </cell>
          <cell r="I24">
            <v>7.47</v>
          </cell>
          <cell r="J24">
            <v>84</v>
          </cell>
          <cell r="K24" t="str">
            <v>12</v>
          </cell>
          <cell r="L24" t="str">
            <v>Короб, мин. 1</v>
          </cell>
          <cell r="M24" t="str">
            <v>МГ</v>
          </cell>
          <cell r="O24">
            <v>180</v>
          </cell>
          <cell r="P24" t="str">
            <v>Пельмени «Отборные с говядиной и свининой» 0,9 псевдозащип ТМ «Медвежье ушко»</v>
          </cell>
          <cell r="U24" t="str">
            <v/>
          </cell>
          <cell r="V24" t="str">
            <v/>
          </cell>
          <cell r="W24" t="str">
            <v>кор</v>
          </cell>
          <cell r="X24">
            <v>0</v>
          </cell>
          <cell r="Y24">
            <v>0</v>
          </cell>
          <cell r="Z24">
            <v>0</v>
          </cell>
        </row>
        <row r="25">
          <cell r="A25" t="str">
            <v>SU003972</v>
          </cell>
          <cell r="B25" t="str">
            <v>P005104</v>
          </cell>
          <cell r="C25">
            <v>4301071106</v>
          </cell>
          <cell r="D25">
            <v>4607111035882</v>
          </cell>
          <cell r="F25">
            <v>0.43</v>
          </cell>
          <cell r="G25">
            <v>16</v>
          </cell>
          <cell r="H25">
            <v>6.88</v>
          </cell>
          <cell r="I25">
            <v>7.19</v>
          </cell>
          <cell r="J25">
            <v>84</v>
          </cell>
          <cell r="K25" t="str">
            <v>12</v>
          </cell>
          <cell r="L25" t="str">
            <v>Короб, мин. 1</v>
          </cell>
          <cell r="M25" t="str">
            <v>МГ</v>
          </cell>
          <cell r="O25">
            <v>180</v>
          </cell>
          <cell r="P25" t="str">
            <v>Пельмени «Отборные с говядиной» 0,43 псевдозащип ТМ «Медвежье ушко»</v>
          </cell>
          <cell r="U25" t="str">
            <v/>
          </cell>
          <cell r="V25" t="str">
            <v/>
          </cell>
          <cell r="W25" t="str">
            <v>кор</v>
          </cell>
          <cell r="X25">
            <v>0</v>
          </cell>
          <cell r="Y25">
            <v>0</v>
          </cell>
          <cell r="Z25">
            <v>0</v>
          </cell>
        </row>
        <row r="26">
          <cell r="A26" t="str">
            <v>SU003971</v>
          </cell>
          <cell r="B26" t="str">
            <v>P005103</v>
          </cell>
          <cell r="C26">
            <v>4301071105</v>
          </cell>
          <cell r="D26">
            <v>4607111035110</v>
          </cell>
          <cell r="F26">
            <v>0.9</v>
          </cell>
          <cell r="G26">
            <v>8</v>
          </cell>
          <cell r="H26">
            <v>7.2</v>
          </cell>
          <cell r="I26">
            <v>7.47</v>
          </cell>
          <cell r="J26">
            <v>84</v>
          </cell>
          <cell r="K26" t="str">
            <v>12</v>
          </cell>
          <cell r="L26" t="str">
            <v>Короб, мин. 1</v>
          </cell>
          <cell r="M26" t="str">
            <v>МГ</v>
          </cell>
          <cell r="O26">
            <v>180</v>
          </cell>
          <cell r="P26" t="str">
            <v>Пельмени «Отборные из говядины» 0,9 псевдозащип ТМ «Медвежье ушко»</v>
          </cell>
          <cell r="U26" t="str">
            <v/>
          </cell>
          <cell r="V26" t="str">
            <v/>
          </cell>
          <cell r="W26" t="str">
            <v>кор</v>
          </cell>
          <cell r="X26">
            <v>0</v>
          </cell>
          <cell r="Y26">
            <v>0</v>
          </cell>
          <cell r="Z26">
            <v>0</v>
          </cell>
        </row>
        <row r="27">
          <cell r="A27" t="str">
            <v>SU003973</v>
          </cell>
          <cell r="B27" t="str">
            <v>P005105</v>
          </cell>
          <cell r="C27">
            <v>4301071107</v>
          </cell>
          <cell r="D27">
            <v>4607111035905</v>
          </cell>
          <cell r="F27">
            <v>0.9</v>
          </cell>
          <cell r="G27">
            <v>8</v>
          </cell>
          <cell r="H27">
            <v>7.2</v>
          </cell>
          <cell r="I27">
            <v>7.47</v>
          </cell>
          <cell r="J27">
            <v>84</v>
          </cell>
          <cell r="K27" t="str">
            <v>12</v>
          </cell>
          <cell r="L27" t="str">
            <v>Короб, мин. 1</v>
          </cell>
          <cell r="M27" t="str">
            <v>МГ</v>
          </cell>
          <cell r="O27">
            <v>180</v>
          </cell>
          <cell r="P27" t="str">
            <v>Пельмени «Отборные с говядиной» 0,9 псевдозащип ТМ «Медвежье ушко»</v>
          </cell>
          <cell r="U27" t="str">
            <v/>
          </cell>
          <cell r="V27" t="str">
            <v/>
          </cell>
          <cell r="W27" t="str">
            <v>кор</v>
          </cell>
          <cell r="X27">
            <v>0</v>
          </cell>
          <cell r="Y27">
            <v>0</v>
          </cell>
          <cell r="Z27">
            <v>0</v>
          </cell>
        </row>
        <row r="28">
          <cell r="P28" t="str">
            <v>Итого</v>
          </cell>
          <cell r="W28" t="str">
            <v>кор</v>
          </cell>
          <cell r="X28">
            <v>0</v>
          </cell>
          <cell r="Y28">
            <v>0</v>
          </cell>
          <cell r="Z28">
            <v>0</v>
          </cell>
        </row>
        <row r="29">
          <cell r="P29" t="str">
            <v>Итого</v>
          </cell>
          <cell r="W29" t="str">
            <v>кг</v>
          </cell>
          <cell r="X29">
            <v>0</v>
          </cell>
          <cell r="Y29">
            <v>0</v>
          </cell>
        </row>
        <row r="30">
          <cell r="A30" t="str">
            <v>Сочные</v>
          </cell>
        </row>
        <row r="31">
          <cell r="A31" t="str">
            <v>Пельмени</v>
          </cell>
        </row>
        <row r="32">
          <cell r="A32" t="str">
            <v>SU003964</v>
          </cell>
          <cell r="B32" t="str">
            <v>P005097</v>
          </cell>
          <cell r="C32">
            <v>4301071099</v>
          </cell>
          <cell r="D32">
            <v>4607111039019</v>
          </cell>
          <cell r="F32">
            <v>0.43</v>
          </cell>
          <cell r="G32">
            <v>16</v>
          </cell>
          <cell r="H32">
            <v>6.88</v>
          </cell>
          <cell r="I32">
            <v>7.2060000000000004</v>
          </cell>
          <cell r="J32">
            <v>84</v>
          </cell>
          <cell r="K32" t="str">
            <v>12</v>
          </cell>
          <cell r="L32" t="str">
            <v>Короб, мин. 1</v>
          </cell>
          <cell r="M32" t="str">
            <v>МГ</v>
          </cell>
          <cell r="O32">
            <v>180</v>
          </cell>
          <cell r="P32" t="str">
            <v>Пельмени «Сочные» 0,43 сфера ТМ «Медвежье ушко»</v>
          </cell>
          <cell r="U32" t="str">
            <v/>
          </cell>
          <cell r="V32" t="str">
            <v/>
          </cell>
          <cell r="W32" t="str">
            <v>кор</v>
          </cell>
          <cell r="X32">
            <v>0</v>
          </cell>
          <cell r="Y32">
            <v>0</v>
          </cell>
          <cell r="Z32">
            <v>0</v>
          </cell>
        </row>
        <row r="33">
          <cell r="A33" t="str">
            <v>SU003965</v>
          </cell>
          <cell r="B33" t="str">
            <v>P005098</v>
          </cell>
          <cell r="C33">
            <v>4301071100</v>
          </cell>
          <cell r="D33">
            <v>4607111038708</v>
          </cell>
          <cell r="F33">
            <v>0.8</v>
          </cell>
          <cell r="G33">
            <v>8</v>
          </cell>
          <cell r="H33">
            <v>6.4</v>
          </cell>
          <cell r="I33">
            <v>6.67</v>
          </cell>
          <cell r="J33">
            <v>84</v>
          </cell>
          <cell r="K33" t="str">
            <v>12</v>
          </cell>
          <cell r="L33" t="str">
            <v>Короб, мин. 1</v>
          </cell>
          <cell r="M33" t="str">
            <v>МГ</v>
          </cell>
          <cell r="O33">
            <v>180</v>
          </cell>
          <cell r="P33" t="str">
            <v>Пельмени «Сочные» 0,8 сфера ТМ «Медвежье ушко»</v>
          </cell>
          <cell r="U33" t="str">
            <v/>
          </cell>
          <cell r="V33" t="str">
            <v/>
          </cell>
          <cell r="W33" t="str">
            <v>кор</v>
          </cell>
          <cell r="X33">
            <v>0</v>
          </cell>
          <cell r="Y33">
            <v>0</v>
          </cell>
          <cell r="Z33">
            <v>0</v>
          </cell>
        </row>
        <row r="34">
          <cell r="P34" t="str">
            <v>Итого</v>
          </cell>
          <cell r="W34" t="str">
            <v>кор</v>
          </cell>
          <cell r="X34">
            <v>0</v>
          </cell>
          <cell r="Y34">
            <v>0</v>
          </cell>
          <cell r="Z34">
            <v>0</v>
          </cell>
        </row>
        <row r="35">
          <cell r="P35" t="str">
            <v>Итого</v>
          </cell>
          <cell r="W35" t="str">
            <v>кг</v>
          </cell>
          <cell r="X35">
            <v>0</v>
          </cell>
          <cell r="Y35">
            <v>0</v>
          </cell>
        </row>
        <row r="36">
          <cell r="A36" t="str">
            <v>Горячая штучка</v>
          </cell>
        </row>
        <row r="37">
          <cell r="A37" t="str">
            <v>Наггетсы ГШ</v>
          </cell>
        </row>
        <row r="38">
          <cell r="A38" t="str">
            <v>Наггетсы</v>
          </cell>
        </row>
        <row r="39">
          <cell r="A39" t="str">
            <v>SU003598</v>
          </cell>
          <cell r="B39" t="str">
            <v>P004602</v>
          </cell>
          <cell r="C39">
            <v>4301132190</v>
          </cell>
          <cell r="D39">
            <v>4607111036537</v>
          </cell>
          <cell r="F39">
            <v>0.25</v>
          </cell>
          <cell r="G39">
            <v>6</v>
          </cell>
          <cell r="H39">
            <v>1.5</v>
          </cell>
          <cell r="I39">
            <v>1.9218</v>
          </cell>
          <cell r="J39">
            <v>140</v>
          </cell>
          <cell r="K39" t="str">
            <v>14</v>
          </cell>
          <cell r="L39" t="str">
            <v>Слой, мин. 1</v>
          </cell>
          <cell r="M39" t="str">
            <v>МГ</v>
          </cell>
          <cell r="O39">
            <v>365</v>
          </cell>
          <cell r="P39" t="str">
            <v>Наггетсы «Нагетосы Сочная курочка» Фикс.вес 0,25 ТМ «Горячая штучка»</v>
          </cell>
          <cell r="U39" t="str">
            <v/>
          </cell>
          <cell r="V39" t="str">
            <v/>
          </cell>
          <cell r="W39" t="str">
            <v>кор</v>
          </cell>
          <cell r="X39">
            <v>0</v>
          </cell>
          <cell r="Y39">
            <v>0</v>
          </cell>
          <cell r="Z39">
            <v>0</v>
          </cell>
        </row>
        <row r="40">
          <cell r="A40" t="str">
            <v>SU003600</v>
          </cell>
          <cell r="B40" t="str">
            <v>P004600</v>
          </cell>
          <cell r="C40">
            <v>4301132188</v>
          </cell>
          <cell r="D40">
            <v>4607111036605</v>
          </cell>
          <cell r="F40">
            <v>0.25</v>
          </cell>
          <cell r="G40">
            <v>6</v>
          </cell>
          <cell r="H40">
            <v>1.5</v>
          </cell>
          <cell r="I40">
            <v>1.9218</v>
          </cell>
          <cell r="J40">
            <v>140</v>
          </cell>
          <cell r="K40" t="str">
            <v>14</v>
          </cell>
          <cell r="L40" t="str">
            <v>Слой, мин. 1</v>
          </cell>
          <cell r="M40" t="str">
            <v>МГ</v>
          </cell>
          <cell r="O40">
            <v>365</v>
          </cell>
          <cell r="P40" t="str">
            <v>Наггетсы «Нагетосы Сочная курочка со сметаной и зеленью» Фикс.вес 0,25 ТМ «Горячая штучка»</v>
          </cell>
          <cell r="U40" t="str">
            <v/>
          </cell>
          <cell r="V40" t="str">
            <v/>
          </cell>
          <cell r="W40" t="str">
            <v>кор</v>
          </cell>
          <cell r="X40">
            <v>0</v>
          </cell>
          <cell r="Y40">
            <v>0</v>
          </cell>
          <cell r="Z40">
            <v>0</v>
          </cell>
        </row>
        <row r="41">
          <cell r="P41" t="str">
            <v>Итого</v>
          </cell>
          <cell r="W41" t="str">
            <v>кор</v>
          </cell>
          <cell r="X41">
            <v>0</v>
          </cell>
          <cell r="Y41">
            <v>0</v>
          </cell>
          <cell r="Z41">
            <v>0</v>
          </cell>
        </row>
        <row r="42">
          <cell r="P42" t="str">
            <v>Итого</v>
          </cell>
          <cell r="W42" t="str">
            <v>кг</v>
          </cell>
          <cell r="X42">
            <v>0</v>
          </cell>
          <cell r="Y42">
            <v>0</v>
          </cell>
        </row>
        <row r="43">
          <cell r="A43" t="str">
            <v>Grandmeni</v>
          </cell>
        </row>
        <row r="44">
          <cell r="A44" t="str">
            <v>Пельмени</v>
          </cell>
        </row>
        <row r="45">
          <cell r="A45" t="str">
            <v>SU003826</v>
          </cell>
          <cell r="B45" t="str">
            <v>P004887</v>
          </cell>
          <cell r="C45">
            <v>4301071090</v>
          </cell>
          <cell r="D45">
            <v>4620207490075</v>
          </cell>
          <cell r="F45">
            <v>0.7</v>
          </cell>
          <cell r="G45">
            <v>8</v>
          </cell>
          <cell r="H45">
            <v>5.6</v>
          </cell>
          <cell r="I45">
            <v>5.87</v>
          </cell>
          <cell r="J45">
            <v>84</v>
          </cell>
          <cell r="K45" t="str">
            <v>12</v>
          </cell>
          <cell r="L45" t="str">
            <v>Слой, мин. 1</v>
          </cell>
          <cell r="M45" t="str">
            <v>МГ</v>
          </cell>
          <cell r="O45">
            <v>180</v>
          </cell>
          <cell r="P45" t="str">
            <v>Пельмени «Grandmeni с говядиной» Фикс.вес 0,7 сфера ТМ «Горячая штучка»</v>
          </cell>
          <cell r="U45" t="str">
            <v/>
          </cell>
          <cell r="V45" t="str">
            <v/>
          </cell>
          <cell r="W45" t="str">
            <v>кор</v>
          </cell>
          <cell r="X45">
            <v>0</v>
          </cell>
          <cell r="Y45">
            <v>0</v>
          </cell>
          <cell r="Z45">
            <v>0</v>
          </cell>
        </row>
        <row r="46">
          <cell r="A46" t="str">
            <v>SU003828</v>
          </cell>
          <cell r="B46" t="str">
            <v>P004889</v>
          </cell>
          <cell r="C46">
            <v>4301071092</v>
          </cell>
          <cell r="D46">
            <v>4620207490174</v>
          </cell>
          <cell r="F46">
            <v>0.7</v>
          </cell>
          <cell r="G46">
            <v>8</v>
          </cell>
          <cell r="H46">
            <v>5.6</v>
          </cell>
          <cell r="I46">
            <v>5.87</v>
          </cell>
          <cell r="J46">
            <v>84</v>
          </cell>
          <cell r="K46" t="str">
            <v>12</v>
          </cell>
          <cell r="L46" t="str">
            <v>Слой, мин. 1</v>
          </cell>
          <cell r="M46" t="str">
            <v>МГ</v>
          </cell>
          <cell r="O46">
            <v>180</v>
          </cell>
          <cell r="P46" t="str">
            <v>Пельмени «Grandmeni с говядиной и свининой» Фикс.вес 0,7 классическая форма ТМ «Горячая штучка»</v>
          </cell>
          <cell r="U46" t="str">
            <v/>
          </cell>
          <cell r="V46" t="str">
            <v/>
          </cell>
          <cell r="W46" t="str">
            <v>кор</v>
          </cell>
          <cell r="X46">
            <v>0</v>
          </cell>
          <cell r="Y46">
            <v>0</v>
          </cell>
          <cell r="Z46">
            <v>0</v>
          </cell>
        </row>
        <row r="47">
          <cell r="A47" t="str">
            <v>SU003827</v>
          </cell>
          <cell r="B47" t="str">
            <v>P004888</v>
          </cell>
          <cell r="C47">
            <v>4301071091</v>
          </cell>
          <cell r="D47">
            <v>4620207490044</v>
          </cell>
          <cell r="F47">
            <v>0.7</v>
          </cell>
          <cell r="G47">
            <v>8</v>
          </cell>
          <cell r="H47">
            <v>5.6</v>
          </cell>
          <cell r="I47">
            <v>5.87</v>
          </cell>
          <cell r="J47">
            <v>84</v>
          </cell>
          <cell r="K47" t="str">
            <v>12</v>
          </cell>
          <cell r="L47" t="str">
            <v>Слой, мин. 1</v>
          </cell>
          <cell r="M47" t="str">
            <v>МГ</v>
          </cell>
          <cell r="O47">
            <v>180</v>
          </cell>
          <cell r="P47" t="str">
            <v>Пельмени «Grandmeni со сливочным маслом» Фикс.вес 0,7 сфера ТМ «Горячая штучка»</v>
          </cell>
          <cell r="U47" t="str">
            <v/>
          </cell>
          <cell r="V47" t="str">
            <v/>
          </cell>
          <cell r="W47" t="str">
            <v>кор</v>
          </cell>
          <cell r="X47">
            <v>0</v>
          </cell>
          <cell r="Y47">
            <v>0</v>
          </cell>
          <cell r="Z47">
            <v>0</v>
          </cell>
        </row>
        <row r="48">
          <cell r="P48" t="str">
            <v>Итого</v>
          </cell>
          <cell r="W48" t="str">
            <v>кор</v>
          </cell>
          <cell r="X48">
            <v>0</v>
          </cell>
          <cell r="Y48">
            <v>0</v>
          </cell>
          <cell r="Z48">
            <v>0</v>
          </cell>
        </row>
        <row r="49">
          <cell r="P49" t="str">
            <v>Итого</v>
          </cell>
          <cell r="W49" t="str">
            <v>кг</v>
          </cell>
          <cell r="X49">
            <v>0</v>
          </cell>
          <cell r="Y49">
            <v>0</v>
          </cell>
        </row>
        <row r="50">
          <cell r="A50" t="str">
            <v>Бигбули ГШ</v>
          </cell>
        </row>
        <row r="51">
          <cell r="A51" t="str">
            <v>Пельмени</v>
          </cell>
        </row>
        <row r="52">
          <cell r="A52" t="str">
            <v>SU003532</v>
          </cell>
          <cell r="B52" t="str">
            <v>P004440</v>
          </cell>
          <cell r="C52">
            <v>4301071044</v>
          </cell>
          <cell r="D52">
            <v>4607111039385</v>
          </cell>
          <cell r="F52">
            <v>0.7</v>
          </cell>
          <cell r="G52">
            <v>10</v>
          </cell>
          <cell r="H52">
            <v>7</v>
          </cell>
          <cell r="I52">
            <v>7.3</v>
          </cell>
          <cell r="J52">
            <v>84</v>
          </cell>
          <cell r="K52" t="str">
            <v>12</v>
          </cell>
          <cell r="L52" t="str">
            <v>Слой, мин. 1</v>
          </cell>
          <cell r="M52" t="str">
            <v>МГ</v>
          </cell>
          <cell r="O52">
            <v>180</v>
          </cell>
          <cell r="P52" t="str">
            <v>Пельмени «Бигбули #МЕГАВКУСИЩЕ с сочной грудинкой» 0,7 сфера ТМ «Горячая штучка»</v>
          </cell>
          <cell r="U52" t="str">
            <v/>
          </cell>
          <cell r="V52" t="str">
            <v/>
          </cell>
          <cell r="W52" t="str">
            <v>кор</v>
          </cell>
          <cell r="X52">
            <v>0</v>
          </cell>
          <cell r="Y52">
            <v>0</v>
          </cell>
          <cell r="Z52">
            <v>0</v>
          </cell>
        </row>
        <row r="53">
          <cell r="A53" t="str">
            <v>SU003385</v>
          </cell>
          <cell r="B53" t="str">
            <v>P004203</v>
          </cell>
          <cell r="C53">
            <v>4301071031</v>
          </cell>
          <cell r="D53">
            <v>4607111038982</v>
          </cell>
          <cell r="F53">
            <v>0.7</v>
          </cell>
          <cell r="G53">
            <v>10</v>
          </cell>
          <cell r="H53">
            <v>7</v>
          </cell>
          <cell r="I53">
            <v>7.2859999999999996</v>
          </cell>
          <cell r="J53">
            <v>84</v>
          </cell>
          <cell r="K53" t="str">
            <v>12</v>
          </cell>
          <cell r="L53" t="str">
            <v>Слой, мин. 1</v>
          </cell>
          <cell r="M53" t="str">
            <v>МГ</v>
          </cell>
          <cell r="O53">
            <v>180</v>
          </cell>
          <cell r="P53" t="str">
            <v>Пельмени «Бигбули #МЕГАМАСЛИЩЕ со сливочным маслом» 0,7 сфера ТМ «Горячая штучка»</v>
          </cell>
          <cell r="U53" t="str">
            <v/>
          </cell>
          <cell r="V53" t="str">
            <v/>
          </cell>
          <cell r="W53" t="str">
            <v>кор</v>
          </cell>
          <cell r="X53">
            <v>0</v>
          </cell>
          <cell r="Y53">
            <v>0</v>
          </cell>
          <cell r="Z53">
            <v>0</v>
          </cell>
        </row>
        <row r="54">
          <cell r="A54" t="str">
            <v>SU003530</v>
          </cell>
          <cell r="B54" t="str">
            <v>P004443</v>
          </cell>
          <cell r="C54">
            <v>4301071046</v>
          </cell>
          <cell r="D54">
            <v>4607111039354</v>
          </cell>
          <cell r="F54">
            <v>0.4</v>
          </cell>
          <cell r="G54">
            <v>16</v>
          </cell>
          <cell r="H54">
            <v>6.4</v>
          </cell>
          <cell r="I54">
            <v>6.7195999999999998</v>
          </cell>
          <cell r="J54">
            <v>84</v>
          </cell>
          <cell r="K54" t="str">
            <v>12</v>
          </cell>
          <cell r="L54" t="str">
            <v>Слой, мин. 1</v>
          </cell>
          <cell r="M54" t="str">
            <v>МГ</v>
          </cell>
          <cell r="O54">
            <v>180</v>
          </cell>
          <cell r="P54" t="str">
            <v>Пельмени «Бигбули с мясом» 0,4 Сфера ТМ «Горячая штучка»</v>
          </cell>
          <cell r="U54" t="str">
            <v/>
          </cell>
          <cell r="V54" t="str">
            <v/>
          </cell>
          <cell r="W54" t="str">
            <v>кор</v>
          </cell>
          <cell r="X54">
            <v>0</v>
          </cell>
          <cell r="Y54">
            <v>0</v>
          </cell>
          <cell r="Z54">
            <v>0</v>
          </cell>
        </row>
        <row r="55">
          <cell r="A55" t="str">
            <v>SU003529</v>
          </cell>
          <cell r="B55" t="str">
            <v>P004442</v>
          </cell>
          <cell r="C55">
            <v>4301071047</v>
          </cell>
          <cell r="D55">
            <v>4607111039330</v>
          </cell>
          <cell r="F55">
            <v>0.7</v>
          </cell>
          <cell r="G55">
            <v>10</v>
          </cell>
          <cell r="H55">
            <v>7</v>
          </cell>
          <cell r="I55">
            <v>7.3</v>
          </cell>
          <cell r="J55">
            <v>84</v>
          </cell>
          <cell r="K55" t="str">
            <v>12</v>
          </cell>
          <cell r="L55" t="str">
            <v>Слой, мин. 1</v>
          </cell>
          <cell r="M55" t="str">
            <v>МГ</v>
          </cell>
          <cell r="O55">
            <v>180</v>
          </cell>
          <cell r="P55" t="str">
            <v>Пельмени «Бигбули с мясом» 0,7 Сфера ТМ «Горячая штучка»</v>
          </cell>
          <cell r="U55" t="str">
            <v/>
          </cell>
          <cell r="V55" t="str">
            <v/>
          </cell>
          <cell r="W55" t="str">
            <v>кор</v>
          </cell>
          <cell r="X55">
            <v>0</v>
          </cell>
          <cell r="Y55">
            <v>0</v>
          </cell>
          <cell r="Z55">
            <v>0</v>
          </cell>
        </row>
        <row r="56">
          <cell r="P56" t="str">
            <v>Итого</v>
          </cell>
          <cell r="W56" t="str">
            <v>кор</v>
          </cell>
          <cell r="X56">
            <v>0</v>
          </cell>
          <cell r="Y56">
            <v>0</v>
          </cell>
          <cell r="Z56">
            <v>0</v>
          </cell>
        </row>
        <row r="57">
          <cell r="P57" t="str">
            <v>Итого</v>
          </cell>
          <cell r="W57" t="str">
            <v>кг</v>
          </cell>
          <cell r="X57">
            <v>0</v>
          </cell>
          <cell r="Y57">
            <v>0</v>
          </cell>
        </row>
        <row r="58">
          <cell r="A58" t="str">
            <v>Foodgital</v>
          </cell>
        </row>
        <row r="59">
          <cell r="A59" t="str">
            <v>Пельмени</v>
          </cell>
        </row>
        <row r="60">
          <cell r="A60" t="str">
            <v>SU003691</v>
          </cell>
          <cell r="B60" t="str">
            <v>P004772</v>
          </cell>
          <cell r="C60">
            <v>4301071073</v>
          </cell>
          <cell r="D60">
            <v>4620207490822</v>
          </cell>
          <cell r="F60">
            <v>0.43</v>
          </cell>
          <cell r="G60">
            <v>8</v>
          </cell>
          <cell r="H60">
            <v>3.44</v>
          </cell>
          <cell r="I60">
            <v>3.64</v>
          </cell>
          <cell r="J60">
            <v>144</v>
          </cell>
          <cell r="K60" t="str">
            <v>12</v>
          </cell>
          <cell r="L60" t="str">
            <v>Короб, мин. 1</v>
          </cell>
          <cell r="M60" t="str">
            <v>МГ</v>
          </cell>
          <cell r="O60">
            <v>365</v>
          </cell>
          <cell r="P60" t="str">
            <v>Пельмени «Пельмени» Фикс.вес 0,43 сфера ТС «Foodgital» ТМ «Горячая штучка»</v>
          </cell>
          <cell r="U60" t="str">
            <v/>
          </cell>
          <cell r="V60" t="str">
            <v/>
          </cell>
          <cell r="W60" t="str">
            <v>кор</v>
          </cell>
          <cell r="X60">
            <v>0</v>
          </cell>
          <cell r="Y60">
            <v>0</v>
          </cell>
          <cell r="Z60">
            <v>0</v>
          </cell>
        </row>
        <row r="61">
          <cell r="P61" t="str">
            <v>Итого</v>
          </cell>
          <cell r="W61" t="str">
            <v>кор</v>
          </cell>
          <cell r="X61">
            <v>0</v>
          </cell>
          <cell r="Y61">
            <v>0</v>
          </cell>
          <cell r="Z61">
            <v>0</v>
          </cell>
        </row>
        <row r="62">
          <cell r="P62" t="str">
            <v>Итого</v>
          </cell>
          <cell r="W62" t="str">
            <v>кг</v>
          </cell>
          <cell r="X62">
            <v>0</v>
          </cell>
          <cell r="Y62">
            <v>0</v>
          </cell>
        </row>
        <row r="63">
          <cell r="A63" t="str">
            <v>Наггетсы</v>
          </cell>
        </row>
        <row r="64">
          <cell r="A64" t="str">
            <v>SU003678</v>
          </cell>
          <cell r="B64" t="str">
            <v>P004731</v>
          </cell>
          <cell r="C64">
            <v>4301132194</v>
          </cell>
          <cell r="D64">
            <v>4607111039712</v>
          </cell>
          <cell r="F64">
            <v>0.2</v>
          </cell>
          <cell r="G64">
            <v>6</v>
          </cell>
          <cell r="H64">
            <v>1.2</v>
          </cell>
          <cell r="I64">
            <v>1.56</v>
          </cell>
          <cell r="J64">
            <v>140</v>
          </cell>
          <cell r="K64" t="str">
            <v>14</v>
          </cell>
          <cell r="L64" t="str">
            <v>Слой, мин. 1</v>
          </cell>
          <cell r="M64" t="str">
            <v>МГ</v>
          </cell>
          <cell r="O64">
            <v>365</v>
          </cell>
          <cell r="P64" t="str">
            <v>Наггетсы «Наггетсы» Фикс.вес 0,2 ТС «Foodgital» ТМ «Горячая штучка»</v>
          </cell>
          <cell r="U64" t="str">
            <v/>
          </cell>
          <cell r="V64" t="str">
            <v/>
          </cell>
          <cell r="W64" t="str">
            <v>кор</v>
          </cell>
          <cell r="X64">
            <v>0</v>
          </cell>
          <cell r="Y64">
            <v>0</v>
          </cell>
          <cell r="Z64">
            <v>0</v>
          </cell>
        </row>
        <row r="65">
          <cell r="P65" t="str">
            <v>Итого</v>
          </cell>
          <cell r="W65" t="str">
            <v>кор</v>
          </cell>
          <cell r="X65">
            <v>0</v>
          </cell>
          <cell r="Y65">
            <v>0</v>
          </cell>
          <cell r="Z65">
            <v>0</v>
          </cell>
        </row>
        <row r="66">
          <cell r="P66" t="str">
            <v>Итого</v>
          </cell>
          <cell r="W66" t="str">
            <v>кг</v>
          </cell>
          <cell r="X66">
            <v>0</v>
          </cell>
          <cell r="Y66">
            <v>0</v>
          </cell>
        </row>
        <row r="67">
          <cell r="A67" t="str">
            <v>Чебуреки</v>
          </cell>
        </row>
        <row r="68">
          <cell r="A68" t="str">
            <v>SU002657</v>
          </cell>
          <cell r="B68" t="str">
            <v>P003038</v>
          </cell>
          <cell r="C68">
            <v>4301136018</v>
          </cell>
          <cell r="D68">
            <v>4607111037008</v>
          </cell>
          <cell r="F68">
            <v>0.36</v>
          </cell>
          <cell r="G68">
            <v>4</v>
          </cell>
          <cell r="H68">
            <v>1.44</v>
          </cell>
          <cell r="I68">
            <v>1.74</v>
          </cell>
          <cell r="J68">
            <v>140</v>
          </cell>
          <cell r="K68" t="str">
            <v>14</v>
          </cell>
          <cell r="L68" t="str">
            <v>Короб, мин. 1</v>
          </cell>
          <cell r="M68" t="str">
            <v>МГ</v>
          </cell>
          <cell r="O68">
            <v>365</v>
          </cell>
          <cell r="P68" t="str">
            <v>Чебуреки из растительного белка Foodgital фикс.вес 0,36 лоток Горячая штучка</v>
          </cell>
          <cell r="U68" t="str">
            <v/>
          </cell>
          <cell r="V68" t="str">
            <v/>
          </cell>
          <cell r="W68" t="str">
            <v>кор</v>
          </cell>
          <cell r="X68">
            <v>0</v>
          </cell>
          <cell r="Y68">
            <v>0</v>
          </cell>
          <cell r="Z68">
            <v>0</v>
          </cell>
        </row>
        <row r="69">
          <cell r="A69" t="str">
            <v>SU002607</v>
          </cell>
          <cell r="B69" t="str">
            <v>P002938</v>
          </cell>
          <cell r="C69">
            <v>4301136015</v>
          </cell>
          <cell r="D69">
            <v>4607111037398</v>
          </cell>
          <cell r="F69">
            <v>0.09</v>
          </cell>
          <cell r="G69">
            <v>24</v>
          </cell>
          <cell r="H69">
            <v>2.16</v>
          </cell>
          <cell r="I69">
            <v>4.0199999999999996</v>
          </cell>
          <cell r="J69">
            <v>126</v>
          </cell>
          <cell r="K69" t="str">
            <v>14</v>
          </cell>
          <cell r="L69" t="str">
            <v>Короб, мин. 1</v>
          </cell>
          <cell r="M69" t="str">
            <v>МГ</v>
          </cell>
          <cell r="O69">
            <v>365</v>
          </cell>
          <cell r="P69" t="str">
            <v>Чебуреки «из растительного белка» штучка 0,09 кг ТМ «Горячая штучка»</v>
          </cell>
          <cell r="U69" t="str">
            <v/>
          </cell>
          <cell r="V69" t="str">
            <v/>
          </cell>
          <cell r="W69" t="str">
            <v>кор</v>
          </cell>
          <cell r="X69">
            <v>0</v>
          </cell>
          <cell r="Y69">
            <v>0</v>
          </cell>
          <cell r="Z69">
            <v>0</v>
          </cell>
        </row>
        <row r="70">
          <cell r="P70" t="str">
            <v>Итого</v>
          </cell>
          <cell r="W70" t="str">
            <v>кор</v>
          </cell>
          <cell r="X70">
            <v>0</v>
          </cell>
          <cell r="Y70">
            <v>0</v>
          </cell>
          <cell r="Z70">
            <v>0</v>
          </cell>
        </row>
        <row r="71">
          <cell r="P71" t="str">
            <v>Итого</v>
          </cell>
          <cell r="W71" t="str">
            <v>кг</v>
          </cell>
          <cell r="X71">
            <v>0</v>
          </cell>
          <cell r="Y71">
            <v>0</v>
          </cell>
        </row>
        <row r="72">
          <cell r="A72" t="str">
            <v>Снеки</v>
          </cell>
        </row>
        <row r="73">
          <cell r="A73" t="str">
            <v>SU003680</v>
          </cell>
          <cell r="B73" t="str">
            <v>P004732</v>
          </cell>
          <cell r="C73">
            <v>4301135664</v>
          </cell>
          <cell r="D73">
            <v>4607111039705</v>
          </cell>
          <cell r="F73">
            <v>0.2</v>
          </cell>
          <cell r="G73">
            <v>6</v>
          </cell>
          <cell r="H73">
            <v>1.2</v>
          </cell>
          <cell r="I73">
            <v>1.56</v>
          </cell>
          <cell r="J73">
            <v>140</v>
          </cell>
          <cell r="K73" t="str">
            <v>14</v>
          </cell>
          <cell r="L73" t="str">
            <v>Палетта, мин. 1</v>
          </cell>
          <cell r="M73" t="str">
            <v>МГ</v>
          </cell>
          <cell r="O73">
            <v>365</v>
          </cell>
          <cell r="P73" t="str">
            <v>Снеки «Чебупели» Фикс.вес 0,2 ТС «Foodgital» ТМ «Горячая штучка»</v>
          </cell>
          <cell r="U73" t="str">
            <v/>
          </cell>
          <cell r="V73" t="str">
            <v/>
          </cell>
          <cell r="W73" t="str">
            <v>кор</v>
          </cell>
          <cell r="X73">
            <v>0</v>
          </cell>
          <cell r="Y73">
            <v>0</v>
          </cell>
          <cell r="Z73">
            <v>0</v>
          </cell>
        </row>
        <row r="74">
          <cell r="A74" t="str">
            <v>SU003677</v>
          </cell>
          <cell r="B74" t="str">
            <v>P004733</v>
          </cell>
          <cell r="C74">
            <v>4301135665</v>
          </cell>
          <cell r="D74">
            <v>4607111039729</v>
          </cell>
          <cell r="F74">
            <v>0.2</v>
          </cell>
          <cell r="G74">
            <v>6</v>
          </cell>
          <cell r="H74">
            <v>1.2</v>
          </cell>
          <cell r="I74">
            <v>1.56</v>
          </cell>
          <cell r="J74">
            <v>140</v>
          </cell>
          <cell r="K74" t="str">
            <v>14</v>
          </cell>
          <cell r="L74" t="str">
            <v>Палетта, мин. 1</v>
          </cell>
          <cell r="M74" t="str">
            <v>МГ</v>
          </cell>
          <cell r="O74">
            <v>365</v>
          </cell>
          <cell r="P74" t="str">
            <v>Снеки «Чебупицца Маргарита» Фикс.вес 0,2 ТС «Foodgital» ТМ «Горячая штучка»</v>
          </cell>
          <cell r="U74" t="str">
            <v/>
          </cell>
          <cell r="V74" t="str">
            <v/>
          </cell>
          <cell r="W74" t="str">
            <v>кор</v>
          </cell>
          <cell r="X74">
            <v>0</v>
          </cell>
          <cell r="Y74">
            <v>0</v>
          </cell>
          <cell r="Z74">
            <v>0</v>
          </cell>
        </row>
        <row r="75">
          <cell r="A75" t="str">
            <v>SU003676</v>
          </cell>
          <cell r="B75" t="str">
            <v>P004818</v>
          </cell>
          <cell r="C75">
            <v>4301135702</v>
          </cell>
          <cell r="D75">
            <v>4620207490228</v>
          </cell>
          <cell r="F75">
            <v>0.2</v>
          </cell>
          <cell r="G75">
            <v>6</v>
          </cell>
          <cell r="H75">
            <v>1.2</v>
          </cell>
          <cell r="I75">
            <v>1.56</v>
          </cell>
          <cell r="J75">
            <v>140</v>
          </cell>
          <cell r="K75" t="str">
            <v>14</v>
          </cell>
          <cell r="L75" t="str">
            <v>Палетта, мин. 1</v>
          </cell>
          <cell r="M75" t="str">
            <v>МГ</v>
          </cell>
          <cell r="O75">
            <v>365</v>
          </cell>
          <cell r="P75" t="str">
            <v>Снеки «Чебупицца со вкусом 4 сыра» Фикс.вес 0,2 ТС «Foodgital» ТМ «Горячая штучка»</v>
          </cell>
          <cell r="U75" t="str">
            <v/>
          </cell>
          <cell r="V75" t="str">
            <v/>
          </cell>
          <cell r="W75" t="str">
            <v>кор</v>
          </cell>
          <cell r="X75">
            <v>0</v>
          </cell>
          <cell r="Y75">
            <v>0</v>
          </cell>
          <cell r="Z75">
            <v>0</v>
          </cell>
        </row>
        <row r="76">
          <cell r="P76" t="str">
            <v>Итого</v>
          </cell>
          <cell r="W76" t="str">
            <v>кор</v>
          </cell>
          <cell r="X76">
            <v>0</v>
          </cell>
          <cell r="Y76">
            <v>0</v>
          </cell>
          <cell r="Z76">
            <v>0</v>
          </cell>
        </row>
        <row r="77">
          <cell r="P77" t="str">
            <v>Итого</v>
          </cell>
          <cell r="W77" t="str">
            <v>кг</v>
          </cell>
          <cell r="X77">
            <v>0</v>
          </cell>
          <cell r="Y77">
            <v>0</v>
          </cell>
        </row>
        <row r="78">
          <cell r="A78" t="str">
            <v>Бульмени вес ГШ</v>
          </cell>
        </row>
        <row r="79">
          <cell r="A79" t="str">
            <v>Пельмени</v>
          </cell>
        </row>
        <row r="80">
          <cell r="A80" t="str">
            <v>SU002798</v>
          </cell>
          <cell r="B80" t="str">
            <v>P003687</v>
          </cell>
          <cell r="C80">
            <v>4301070977</v>
          </cell>
          <cell r="D80">
            <v>4607111037411</v>
          </cell>
          <cell r="F80">
            <v>2.7</v>
          </cell>
          <cell r="G80">
            <v>1</v>
          </cell>
          <cell r="H80">
            <v>2.7</v>
          </cell>
          <cell r="I80">
            <v>2.8132000000000001</v>
          </cell>
          <cell r="J80">
            <v>234</v>
          </cell>
          <cell r="K80" t="str">
            <v>18</v>
          </cell>
          <cell r="L80" t="str">
            <v>Слой, мин. 1</v>
          </cell>
          <cell r="M80" t="str">
            <v>МГ</v>
          </cell>
          <cell r="O80">
            <v>180</v>
          </cell>
          <cell r="P80" t="str">
            <v>Пельмени «Бульмени с говядиной и свининой Наваристые» Весовые Сфера ТМ «Горячая штучка» 2,7 кг</v>
          </cell>
          <cell r="U80" t="str">
            <v/>
          </cell>
          <cell r="V80" t="str">
            <v/>
          </cell>
          <cell r="W80" t="str">
            <v>кор</v>
          </cell>
          <cell r="X80">
            <v>0</v>
          </cell>
          <cell r="Y80">
            <v>0</v>
          </cell>
          <cell r="Z80">
            <v>0</v>
          </cell>
        </row>
        <row r="81">
          <cell r="A81" t="str">
            <v>SU002595</v>
          </cell>
          <cell r="B81" t="str">
            <v>P003697</v>
          </cell>
          <cell r="C81">
            <v>4301070981</v>
          </cell>
          <cell r="D81">
            <v>4607111036728</v>
          </cell>
          <cell r="F81">
            <v>5</v>
          </cell>
          <cell r="G81">
            <v>1</v>
          </cell>
          <cell r="H81">
            <v>5</v>
          </cell>
          <cell r="I81">
            <v>5.2131999999999996</v>
          </cell>
          <cell r="J81">
            <v>144</v>
          </cell>
          <cell r="K81" t="str">
            <v>12</v>
          </cell>
          <cell r="L81" t="str">
            <v>Слой, мин. 1</v>
          </cell>
          <cell r="M81" t="str">
            <v>МГ</v>
          </cell>
          <cell r="O81">
            <v>180</v>
          </cell>
          <cell r="P81" t="str">
            <v>Пельмени «Бульмени с говядиной и свининой Наваристые» Весовые Сфера ТМ «Горячая штучка» 5 кг</v>
          </cell>
          <cell r="U81" t="str">
            <v/>
          </cell>
          <cell r="V81" t="str">
            <v/>
          </cell>
          <cell r="W81" t="str">
            <v>кор</v>
          </cell>
          <cell r="X81">
            <v>0</v>
          </cell>
          <cell r="Y81">
            <v>0</v>
          </cell>
          <cell r="Z81">
            <v>0</v>
          </cell>
        </row>
        <row r="82">
          <cell r="P82" t="str">
            <v>Итого</v>
          </cell>
          <cell r="W82" t="str">
            <v>кор</v>
          </cell>
          <cell r="X82">
            <v>0</v>
          </cell>
          <cell r="Y82">
            <v>0</v>
          </cell>
          <cell r="Z82">
            <v>0</v>
          </cell>
        </row>
        <row r="83">
          <cell r="P83" t="str">
            <v>Итого</v>
          </cell>
          <cell r="W83" t="str">
            <v>кг</v>
          </cell>
          <cell r="X83">
            <v>0</v>
          </cell>
          <cell r="Y83">
            <v>0</v>
          </cell>
        </row>
        <row r="84">
          <cell r="A84" t="str">
            <v>Бельмеши</v>
          </cell>
        </row>
        <row r="85">
          <cell r="A85" t="str">
            <v>Снеки</v>
          </cell>
        </row>
        <row r="86">
          <cell r="A86" t="str">
            <v>SU003593</v>
          </cell>
          <cell r="B86" t="str">
            <v>P004598</v>
          </cell>
          <cell r="C86">
            <v>4301135574</v>
          </cell>
          <cell r="D86">
            <v>4607111033659</v>
          </cell>
          <cell r="F86">
            <v>0.3</v>
          </cell>
          <cell r="G86">
            <v>12</v>
          </cell>
          <cell r="H86">
            <v>3.6</v>
          </cell>
          <cell r="I86">
            <v>4.3036000000000003</v>
          </cell>
          <cell r="J86">
            <v>70</v>
          </cell>
          <cell r="K86" t="str">
            <v>14</v>
          </cell>
          <cell r="L86" t="str">
            <v>Слой, мин. 1</v>
          </cell>
          <cell r="M86" t="str">
            <v>МГ</v>
          </cell>
          <cell r="O86">
            <v>180</v>
          </cell>
          <cell r="P86" t="str">
            <v>Снеки «Бельмеши сочные с мясом» Фикс.вес 0,3 Пакет ТМ «Горячая штучка»</v>
          </cell>
          <cell r="U86" t="str">
            <v/>
          </cell>
          <cell r="V86" t="str">
            <v/>
          </cell>
          <cell r="W86" t="str">
            <v>кор</v>
          </cell>
          <cell r="X86">
            <v>0</v>
          </cell>
          <cell r="Y86">
            <v>0</v>
          </cell>
          <cell r="Z86">
            <v>0</v>
          </cell>
        </row>
        <row r="87">
          <cell r="P87" t="str">
            <v>Итого</v>
          </cell>
          <cell r="W87" t="str">
            <v>кор</v>
          </cell>
          <cell r="X87">
            <v>0</v>
          </cell>
          <cell r="Y87">
            <v>0</v>
          </cell>
          <cell r="Z87">
            <v>0</v>
          </cell>
        </row>
        <row r="88">
          <cell r="P88" t="str">
            <v>Итого</v>
          </cell>
          <cell r="W88" t="str">
            <v>кг</v>
          </cell>
          <cell r="X88">
            <v>0</v>
          </cell>
          <cell r="Y88">
            <v>0</v>
          </cell>
        </row>
        <row r="89">
          <cell r="A89" t="str">
            <v>Крылышки ГШ</v>
          </cell>
        </row>
        <row r="90">
          <cell r="A90" t="str">
            <v>Крылья</v>
          </cell>
        </row>
        <row r="91">
          <cell r="A91" t="str">
            <v>SU003591</v>
          </cell>
          <cell r="B91" t="str">
            <v>P004588</v>
          </cell>
          <cell r="C91">
            <v>4301131047</v>
          </cell>
          <cell r="D91">
            <v>4607111034120</v>
          </cell>
          <cell r="F91">
            <v>0.3</v>
          </cell>
          <cell r="G91">
            <v>12</v>
          </cell>
          <cell r="H91">
            <v>3.6</v>
          </cell>
          <cell r="I91">
            <v>4.3036000000000003</v>
          </cell>
          <cell r="J91">
            <v>70</v>
          </cell>
          <cell r="K91" t="str">
            <v>14</v>
          </cell>
          <cell r="L91" t="str">
            <v>Слой, мин. 1</v>
          </cell>
          <cell r="M91" t="str">
            <v>МГ</v>
          </cell>
          <cell r="O91">
            <v>180</v>
          </cell>
          <cell r="P91" t="str">
            <v>Крылья «Хрустящие крылышки» Фикс.вес 0,3 Пакет ТМ «Горячая штучка»</v>
          </cell>
          <cell r="U91" t="str">
            <v/>
          </cell>
          <cell r="V91" t="str">
            <v/>
          </cell>
          <cell r="W91" t="str">
            <v>кор</v>
          </cell>
          <cell r="X91">
            <v>0</v>
          </cell>
          <cell r="Y91">
            <v>0</v>
          </cell>
          <cell r="Z91">
            <v>0</v>
          </cell>
        </row>
        <row r="92">
          <cell r="A92" t="str">
            <v>SU003607</v>
          </cell>
          <cell r="B92" t="str">
            <v>P004589</v>
          </cell>
          <cell r="C92">
            <v>4301131046</v>
          </cell>
          <cell r="D92">
            <v>4607111034137</v>
          </cell>
          <cell r="F92">
            <v>0.3</v>
          </cell>
          <cell r="G92">
            <v>12</v>
          </cell>
          <cell r="H92">
            <v>3.6</v>
          </cell>
          <cell r="I92">
            <v>4.3036000000000003</v>
          </cell>
          <cell r="J92">
            <v>70</v>
          </cell>
          <cell r="K92" t="str">
            <v>14</v>
          </cell>
          <cell r="L92" t="str">
            <v>Слой, мин. 1</v>
          </cell>
          <cell r="M92" t="str">
            <v>МГ</v>
          </cell>
          <cell r="O92">
            <v>180</v>
          </cell>
          <cell r="P92" t="str">
            <v>Крылья «Крылышки острые к пиву» Фикс.вес 0,3 Пакет ТМ «Горячая штучка»</v>
          </cell>
          <cell r="U92" t="str">
            <v/>
          </cell>
          <cell r="V92" t="str">
            <v/>
          </cell>
          <cell r="W92" t="str">
            <v>кор</v>
          </cell>
          <cell r="X92">
            <v>0</v>
          </cell>
          <cell r="Y92">
            <v>0</v>
          </cell>
          <cell r="Z92">
            <v>0</v>
          </cell>
        </row>
        <row r="93">
          <cell r="P93" t="str">
            <v>Итого</v>
          </cell>
          <cell r="W93" t="str">
            <v>кор</v>
          </cell>
          <cell r="X93">
            <v>0</v>
          </cell>
          <cell r="Y93">
            <v>0</v>
          </cell>
          <cell r="Z93">
            <v>0</v>
          </cell>
        </row>
        <row r="94">
          <cell r="P94" t="str">
            <v>Итого</v>
          </cell>
          <cell r="W94" t="str">
            <v>кг</v>
          </cell>
          <cell r="X94">
            <v>0</v>
          </cell>
          <cell r="Y94">
            <v>0</v>
          </cell>
        </row>
        <row r="95">
          <cell r="A95" t="str">
            <v>Чебупели</v>
          </cell>
        </row>
        <row r="96">
          <cell r="A96" t="str">
            <v>Снеки</v>
          </cell>
        </row>
        <row r="97">
          <cell r="A97" t="str">
            <v>SU003887</v>
          </cell>
          <cell r="B97" t="str">
            <v>P004969</v>
          </cell>
          <cell r="C97">
            <v>4301135763</v>
          </cell>
          <cell r="D97">
            <v>4620207491027</v>
          </cell>
          <cell r="F97">
            <v>0.24</v>
          </cell>
          <cell r="G97">
            <v>12</v>
          </cell>
          <cell r="H97">
            <v>2.88</v>
          </cell>
          <cell r="I97">
            <v>3.5836000000000001</v>
          </cell>
          <cell r="J97">
            <v>70</v>
          </cell>
          <cell r="K97" t="str">
            <v>14</v>
          </cell>
          <cell r="L97" t="str">
            <v>Слой, мин. 1</v>
          </cell>
          <cell r="M97" t="str">
            <v>МГ</v>
          </cell>
          <cell r="O97">
            <v>180</v>
          </cell>
          <cell r="P97" t="str">
            <v>Снеки «Готовые чебупели острые с мясом» Фикс.вес 0,24 ТМ «Горячая штучка»</v>
          </cell>
          <cell r="U97" t="str">
            <v/>
          </cell>
          <cell r="V97" t="str">
            <v/>
          </cell>
          <cell r="W97" t="str">
            <v>кор</v>
          </cell>
          <cell r="X97">
            <v>0</v>
          </cell>
          <cell r="Y97">
            <v>0</v>
          </cell>
          <cell r="Z97">
            <v>0</v>
          </cell>
        </row>
        <row r="98">
          <cell r="A98" t="str">
            <v>SU003889</v>
          </cell>
          <cell r="B98" t="str">
            <v>P004971</v>
          </cell>
          <cell r="C98">
            <v>4301135793</v>
          </cell>
          <cell r="D98">
            <v>4620207491003</v>
          </cell>
          <cell r="F98">
            <v>0.24</v>
          </cell>
          <cell r="G98">
            <v>12</v>
          </cell>
          <cell r="H98">
            <v>2.88</v>
          </cell>
          <cell r="I98">
            <v>3.5836000000000001</v>
          </cell>
          <cell r="J98">
            <v>70</v>
          </cell>
          <cell r="K98" t="str">
            <v>14</v>
          </cell>
          <cell r="L98" t="str">
            <v>Слой, мин. 1</v>
          </cell>
          <cell r="M98" t="str">
            <v>МГ</v>
          </cell>
          <cell r="O98">
            <v>180</v>
          </cell>
          <cell r="P98" t="str">
            <v>Снеки «Готовые чебупели с ветчиной и сыром» Фикс.вес 0,24 ТМ «Горячая штучка»</v>
          </cell>
          <cell r="U98" t="str">
            <v/>
          </cell>
          <cell r="V98" t="str">
            <v/>
          </cell>
          <cell r="W98" t="str">
            <v>кор</v>
          </cell>
          <cell r="X98">
            <v>0</v>
          </cell>
          <cell r="Y98">
            <v>0</v>
          </cell>
          <cell r="Z98">
            <v>0</v>
          </cell>
        </row>
        <row r="99">
          <cell r="A99" t="str">
            <v>SU003892</v>
          </cell>
          <cell r="B99" t="str">
            <v>P004974</v>
          </cell>
          <cell r="C99">
            <v>4301135768</v>
          </cell>
          <cell r="D99">
            <v>4620207491034</v>
          </cell>
          <cell r="F99">
            <v>0.24</v>
          </cell>
          <cell r="G99">
            <v>12</v>
          </cell>
          <cell r="H99">
            <v>2.88</v>
          </cell>
          <cell r="I99">
            <v>3.5836000000000001</v>
          </cell>
          <cell r="J99">
            <v>70</v>
          </cell>
          <cell r="K99" t="str">
            <v>14</v>
          </cell>
          <cell r="L99" t="str">
            <v>Слой, мин. 1</v>
          </cell>
          <cell r="M99" t="str">
            <v>МГ</v>
          </cell>
          <cell r="O99">
            <v>180</v>
          </cell>
          <cell r="P99" t="str">
            <v>Снеки «Готовые чебупели с мясом» Фикс.вес 0,24 ТМ «Горячая штучка»</v>
          </cell>
          <cell r="U99" t="str">
            <v/>
          </cell>
          <cell r="V99" t="str">
            <v/>
          </cell>
          <cell r="W99" t="str">
            <v>кор</v>
          </cell>
          <cell r="X99">
            <v>0</v>
          </cell>
          <cell r="Y99">
            <v>0</v>
          </cell>
          <cell r="Z99">
            <v>0</v>
          </cell>
        </row>
        <row r="100">
          <cell r="A100" t="str">
            <v>SU003884</v>
          </cell>
          <cell r="B100" t="str">
            <v>P004966</v>
          </cell>
          <cell r="C100">
            <v>4301135760</v>
          </cell>
          <cell r="D100">
            <v>4620207491010</v>
          </cell>
          <cell r="F100">
            <v>0.24</v>
          </cell>
          <cell r="G100">
            <v>12</v>
          </cell>
          <cell r="H100">
            <v>2.88</v>
          </cell>
          <cell r="I100">
            <v>3.5836000000000001</v>
          </cell>
          <cell r="J100">
            <v>70</v>
          </cell>
          <cell r="K100" t="str">
            <v>14</v>
          </cell>
          <cell r="L100" t="str">
            <v>Слой, мин. 1</v>
          </cell>
          <cell r="M100" t="str">
            <v>МГ</v>
          </cell>
          <cell r="O100">
            <v>180</v>
          </cell>
          <cell r="P100" t="str">
            <v>Снеки «Готовые чебупели сочные с мясом» Фикс.вес 0,24 ТМ «Горячая штучка»</v>
          </cell>
          <cell r="U100" t="str">
            <v/>
          </cell>
          <cell r="V100" t="str">
            <v/>
          </cell>
          <cell r="W100" t="str">
            <v>кор</v>
          </cell>
          <cell r="X100">
            <v>0</v>
          </cell>
          <cell r="Y100">
            <v>0</v>
          </cell>
          <cell r="Z100">
            <v>0</v>
          </cell>
        </row>
        <row r="101">
          <cell r="A101" t="str">
            <v>SU003605</v>
          </cell>
          <cell r="B101" t="str">
            <v>P004595</v>
          </cell>
          <cell r="C101">
            <v>4301135571</v>
          </cell>
          <cell r="D101">
            <v>4607111035028</v>
          </cell>
          <cell r="F101">
            <v>0.48</v>
          </cell>
          <cell r="G101">
            <v>8</v>
          </cell>
          <cell r="H101">
            <v>3.84</v>
          </cell>
          <cell r="I101">
            <v>4.4488000000000003</v>
          </cell>
          <cell r="J101">
            <v>70</v>
          </cell>
          <cell r="K101" t="str">
            <v>14</v>
          </cell>
          <cell r="L101" t="str">
            <v>Слой, мин. 1</v>
          </cell>
          <cell r="M101" t="str">
            <v>МГ</v>
          </cell>
          <cell r="O101">
            <v>180</v>
          </cell>
          <cell r="P101" t="str">
            <v>Снеки «Готовые чебупели сочные с мясом» Фикс.вес 0,48 ТМ «Горячая штучка»</v>
          </cell>
          <cell r="U101" t="str">
            <v/>
          </cell>
          <cell r="V101" t="str">
            <v/>
          </cell>
          <cell r="W101" t="str">
            <v>кор</v>
          </cell>
          <cell r="X101">
            <v>0</v>
          </cell>
          <cell r="Y101">
            <v>0</v>
          </cell>
          <cell r="Z101">
            <v>0</v>
          </cell>
        </row>
        <row r="102">
          <cell r="A102" t="str">
            <v>SU002293</v>
          </cell>
          <cell r="B102" t="str">
            <v>P004113</v>
          </cell>
          <cell r="C102">
            <v>4301135285</v>
          </cell>
          <cell r="D102">
            <v>4607111036407</v>
          </cell>
          <cell r="F102">
            <v>0.3</v>
          </cell>
          <cell r="G102">
            <v>14</v>
          </cell>
          <cell r="H102">
            <v>4.2</v>
          </cell>
          <cell r="I102">
            <v>4.5292000000000003</v>
          </cell>
          <cell r="J102">
            <v>70</v>
          </cell>
          <cell r="K102" t="str">
            <v>14</v>
          </cell>
          <cell r="L102" t="str">
            <v>Слой, мин. 1</v>
          </cell>
          <cell r="M102" t="str">
            <v>МГ</v>
          </cell>
          <cell r="O102">
            <v>180</v>
          </cell>
          <cell r="P102" t="str">
            <v>Чебупели Курочка гриль Базовый ассортимент Фикс.вес 0,3 Пакет Горячая штучка</v>
          </cell>
          <cell r="U102" t="str">
            <v/>
          </cell>
          <cell r="V102" t="str">
            <v/>
          </cell>
          <cell r="W102" t="str">
            <v>кор</v>
          </cell>
          <cell r="X102">
            <v>0</v>
          </cell>
          <cell r="Y102">
            <v>0</v>
          </cell>
          <cell r="Z102">
            <v>0</v>
          </cell>
        </row>
        <row r="103">
          <cell r="P103" t="str">
            <v>Итого</v>
          </cell>
          <cell r="W103" t="str">
            <v>кор</v>
          </cell>
          <cell r="X103">
            <v>0</v>
          </cell>
          <cell r="Y103">
            <v>0</v>
          </cell>
          <cell r="Z103">
            <v>0</v>
          </cell>
        </row>
        <row r="104">
          <cell r="P104" t="str">
            <v>Итого</v>
          </cell>
          <cell r="W104" t="str">
            <v>кг</v>
          </cell>
          <cell r="X104">
            <v>0</v>
          </cell>
          <cell r="Y104">
            <v>0</v>
          </cell>
        </row>
        <row r="105">
          <cell r="A105" t="str">
            <v>Чебуреки ГШ</v>
          </cell>
        </row>
        <row r="106">
          <cell r="A106" t="str">
            <v>Чебуреки</v>
          </cell>
        </row>
        <row r="107">
          <cell r="A107" t="str">
            <v>SU002573</v>
          </cell>
          <cell r="B107" t="str">
            <v>P004138</v>
          </cell>
          <cell r="C107">
            <v>4301136070</v>
          </cell>
          <cell r="D107">
            <v>4607025784012</v>
          </cell>
          <cell r="F107">
            <v>0.09</v>
          </cell>
          <cell r="G107">
            <v>24</v>
          </cell>
          <cell r="H107">
            <v>2.16</v>
          </cell>
          <cell r="I107">
            <v>2.4912000000000001</v>
          </cell>
          <cell r="J107">
            <v>126</v>
          </cell>
          <cell r="K107" t="str">
            <v>14</v>
          </cell>
          <cell r="L107" t="str">
            <v>Слой, мин. 1</v>
          </cell>
          <cell r="M107" t="str">
            <v>МГ</v>
          </cell>
          <cell r="O107">
            <v>180</v>
          </cell>
          <cell r="P107" t="str">
            <v>Чебуреки с мясом Базовый ассортимент Штучка 0,09 Пленка Горячая штучка</v>
          </cell>
          <cell r="U107" t="str">
            <v/>
          </cell>
          <cell r="V107" t="str">
            <v/>
          </cell>
          <cell r="W107" t="str">
            <v>кор</v>
          </cell>
          <cell r="X107">
            <v>0</v>
          </cell>
          <cell r="Y107">
            <v>0</v>
          </cell>
          <cell r="Z107">
            <v>0</v>
          </cell>
        </row>
        <row r="108">
          <cell r="A108" t="str">
            <v>SU003613</v>
          </cell>
          <cell r="B108" t="str">
            <v>P004583</v>
          </cell>
          <cell r="C108">
            <v>4301136079</v>
          </cell>
          <cell r="D108">
            <v>4607025784319</v>
          </cell>
          <cell r="F108">
            <v>0.36</v>
          </cell>
          <cell r="G108">
            <v>10</v>
          </cell>
          <cell r="H108">
            <v>3.6</v>
          </cell>
          <cell r="I108">
            <v>4.2439999999999998</v>
          </cell>
          <cell r="J108">
            <v>70</v>
          </cell>
          <cell r="K108" t="str">
            <v>14</v>
          </cell>
          <cell r="L108" t="str">
            <v>Слой, мин. 1</v>
          </cell>
          <cell r="M108" t="str">
            <v>МГ</v>
          </cell>
          <cell r="O108">
            <v>180</v>
          </cell>
          <cell r="P108" t="str">
            <v>Чебуреки «Чебуреки со свининой и говядиной» Фикс.вес 0,36 Пакет ТМ «Горячая штучка»</v>
          </cell>
          <cell r="U108" t="str">
            <v/>
          </cell>
          <cell r="V108" t="str">
            <v/>
          </cell>
          <cell r="W108" t="str">
            <v>кор</v>
          </cell>
          <cell r="X108">
            <v>0</v>
          </cell>
          <cell r="Y108">
            <v>0</v>
          </cell>
          <cell r="Z108">
            <v>0</v>
          </cell>
        </row>
        <row r="109">
          <cell r="P109" t="str">
            <v>Итого</v>
          </cell>
          <cell r="W109" t="str">
            <v>кор</v>
          </cell>
          <cell r="X109">
            <v>0</v>
          </cell>
          <cell r="Y109">
            <v>0</v>
          </cell>
          <cell r="Z109">
            <v>0</v>
          </cell>
        </row>
        <row r="110">
          <cell r="P110" t="str">
            <v>Итого</v>
          </cell>
          <cell r="W110" t="str">
            <v>кг</v>
          </cell>
          <cell r="X110">
            <v>0</v>
          </cell>
          <cell r="Y110">
            <v>0</v>
          </cell>
        </row>
        <row r="111">
          <cell r="A111" t="str">
            <v>Бульмени ГШ</v>
          </cell>
        </row>
        <row r="112">
          <cell r="A112" t="str">
            <v>Пельмени</v>
          </cell>
        </row>
        <row r="113">
          <cell r="A113" t="str">
            <v>SU004078</v>
          </cell>
          <cell r="B113" t="str">
            <v>P005209</v>
          </cell>
          <cell r="C113">
            <v>4301071121</v>
          </cell>
          <cell r="D113">
            <v>4620207491393</v>
          </cell>
          <cell r="F113">
            <v>0.4</v>
          </cell>
          <cell r="G113">
            <v>16</v>
          </cell>
          <cell r="H113">
            <v>6.4</v>
          </cell>
          <cell r="I113">
            <v>6.71</v>
          </cell>
          <cell r="J113">
            <v>84</v>
          </cell>
          <cell r="K113" t="str">
            <v>12</v>
          </cell>
          <cell r="L113" t="str">
            <v>Короб, мин. 1</v>
          </cell>
          <cell r="M113" t="str">
            <v>МГ</v>
          </cell>
          <cell r="O113">
            <v>180</v>
          </cell>
          <cell r="P113" t="str">
            <v>Пельмени «Бульмени мини с мясом и сыром» Фикс.вес 0,4 сфера ТМ «Горячая штучка»</v>
          </cell>
          <cell r="U113" t="str">
            <v/>
          </cell>
          <cell r="V113" t="str">
            <v/>
          </cell>
          <cell r="W113" t="str">
            <v>кор</v>
          </cell>
          <cell r="X113">
            <v>0</v>
          </cell>
          <cell r="Y113">
            <v>0</v>
          </cell>
          <cell r="Z113">
            <v>0</v>
          </cell>
        </row>
        <row r="114">
          <cell r="A114" t="str">
            <v>SU003717</v>
          </cell>
          <cell r="B114" t="str">
            <v>P004819</v>
          </cell>
          <cell r="C114">
            <v>4301071074</v>
          </cell>
          <cell r="D114">
            <v>4620207491157</v>
          </cell>
          <cell r="F114">
            <v>0.7</v>
          </cell>
          <cell r="G114">
            <v>10</v>
          </cell>
          <cell r="H114">
            <v>7</v>
          </cell>
          <cell r="I114">
            <v>7.28</v>
          </cell>
          <cell r="J114">
            <v>84</v>
          </cell>
          <cell r="K114" t="str">
            <v>12</v>
          </cell>
          <cell r="L114" t="str">
            <v>Слой, мин. 1</v>
          </cell>
          <cell r="M114" t="str">
            <v>МГ</v>
          </cell>
          <cell r="O114">
            <v>180</v>
          </cell>
          <cell r="P114" t="str">
            <v>Пельмени «Бульмени мини с мясом и оливковым маслом» Фикс.вес 0,7 сфера ТМ «Горячая штучка»</v>
          </cell>
          <cell r="U114" t="str">
            <v/>
          </cell>
          <cell r="V114" t="str">
            <v/>
          </cell>
          <cell r="W114" t="str">
            <v>кор</v>
          </cell>
          <cell r="X114">
            <v>0</v>
          </cell>
          <cell r="Y114">
            <v>0</v>
          </cell>
          <cell r="Z114">
            <v>0</v>
          </cell>
        </row>
        <row r="115">
          <cell r="A115" t="str">
            <v>SU003527</v>
          </cell>
          <cell r="B115" t="str">
            <v>P004474</v>
          </cell>
          <cell r="C115">
            <v>4301071051</v>
          </cell>
          <cell r="D115">
            <v>4607111039262</v>
          </cell>
          <cell r="F115">
            <v>0.4</v>
          </cell>
          <cell r="G115">
            <v>16</v>
          </cell>
          <cell r="H115">
            <v>6.4</v>
          </cell>
          <cell r="I115">
            <v>6.7195999999999998</v>
          </cell>
          <cell r="J115">
            <v>84</v>
          </cell>
          <cell r="K115" t="str">
            <v>12</v>
          </cell>
          <cell r="L115" t="str">
            <v>Слой, мин. 1</v>
          </cell>
          <cell r="M115" t="str">
            <v>МГ</v>
          </cell>
          <cell r="O115">
            <v>180</v>
          </cell>
          <cell r="P115" t="str">
            <v>Пельмени «Бульмени с говядиной и свининой» 0,4 Сфера ТМ «Горячая штучка»</v>
          </cell>
          <cell r="U115" t="str">
            <v/>
          </cell>
          <cell r="V115" t="str">
            <v/>
          </cell>
          <cell r="W115" t="str">
            <v>кор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>SU003460</v>
          </cell>
          <cell r="B116" t="str">
            <v>P004345</v>
          </cell>
          <cell r="C116">
            <v>4301071038</v>
          </cell>
          <cell r="D116">
            <v>4607111039248</v>
          </cell>
          <cell r="F116">
            <v>0.7</v>
          </cell>
          <cell r="G116">
            <v>10</v>
          </cell>
          <cell r="H116">
            <v>7</v>
          </cell>
          <cell r="I116">
            <v>7.3</v>
          </cell>
          <cell r="J116">
            <v>84</v>
          </cell>
          <cell r="K116" t="str">
            <v>12</v>
          </cell>
          <cell r="L116" t="str">
            <v>Слой, мин. 1</v>
          </cell>
          <cell r="M116" t="str">
            <v>МГ</v>
          </cell>
          <cell r="O116">
            <v>180</v>
          </cell>
          <cell r="P116" t="str">
            <v>Пельмени «Бульмени с говядиной и свининой» 0,7 Сфера ТМ «Горячая штучка»</v>
          </cell>
          <cell r="U116" t="str">
            <v/>
          </cell>
          <cell r="V116" t="str">
            <v/>
          </cell>
          <cell r="W116" t="str">
            <v>кор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>SU002863</v>
          </cell>
          <cell r="B117" t="str">
            <v>P003689</v>
          </cell>
          <cell r="C117">
            <v>4301070979</v>
          </cell>
          <cell r="D117">
            <v>4607111037145</v>
          </cell>
          <cell r="F117">
            <v>0.8</v>
          </cell>
          <cell r="G117">
            <v>8</v>
          </cell>
          <cell r="H117">
            <v>6.4</v>
          </cell>
          <cell r="I117">
            <v>6.6748000000000003</v>
          </cell>
          <cell r="J117">
            <v>84</v>
          </cell>
          <cell r="K117" t="str">
            <v>12</v>
          </cell>
          <cell r="L117" t="str">
            <v>Короб, мин. 1</v>
          </cell>
          <cell r="M117" t="str">
            <v>МГ</v>
          </cell>
          <cell r="O117">
            <v>180</v>
          </cell>
          <cell r="P117" t="str">
            <v>Пельмени «Бульмени с говядиной и свининой» 0,8 Сфера ТМ «Горячая штучка»</v>
          </cell>
          <cell r="U117" t="str">
            <v/>
          </cell>
          <cell r="V117" t="str">
            <v/>
          </cell>
          <cell r="W117" t="str">
            <v>кор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>SU003528</v>
          </cell>
          <cell r="B118" t="str">
            <v>P004444</v>
          </cell>
          <cell r="C118">
            <v>4301071049</v>
          </cell>
          <cell r="D118">
            <v>4607111039293</v>
          </cell>
          <cell r="F118">
            <v>0.4</v>
          </cell>
          <cell r="G118">
            <v>16</v>
          </cell>
          <cell r="H118">
            <v>6.4</v>
          </cell>
          <cell r="I118">
            <v>6.7195999999999998</v>
          </cell>
          <cell r="J118">
            <v>84</v>
          </cell>
          <cell r="K118" t="str">
            <v>12</v>
          </cell>
          <cell r="L118" t="str">
            <v>Слой, мин. 1</v>
          </cell>
          <cell r="M118" t="str">
            <v>МГ</v>
          </cell>
          <cell r="O118">
            <v>180</v>
          </cell>
          <cell r="P118" t="str">
            <v>Пельмени «Бульмени со сливочным маслом» Фикс.вес 0,4 ТМ «Горячая штучка»</v>
          </cell>
          <cell r="U118" t="str">
            <v/>
          </cell>
          <cell r="V118" t="str">
            <v/>
          </cell>
          <cell r="W118" t="str">
            <v>кор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SU003459</v>
          </cell>
          <cell r="B119" t="str">
            <v>P004346</v>
          </cell>
          <cell r="C119">
            <v>4301071039</v>
          </cell>
          <cell r="D119">
            <v>4607111039279</v>
          </cell>
          <cell r="F119">
            <v>0.7</v>
          </cell>
          <cell r="G119">
            <v>10</v>
          </cell>
          <cell r="H119">
            <v>7</v>
          </cell>
          <cell r="I119">
            <v>7.3</v>
          </cell>
          <cell r="J119">
            <v>84</v>
          </cell>
          <cell r="K119" t="str">
            <v>12</v>
          </cell>
          <cell r="L119" t="str">
            <v>Слой, мин. 1</v>
          </cell>
          <cell r="M119" t="str">
            <v>МГ</v>
          </cell>
          <cell r="O119">
            <v>180</v>
          </cell>
          <cell r="P119" t="str">
            <v>Пельмени «Бульмени со сливочным маслом» 0,7 Сфера ТМ «Горячая штучка»</v>
          </cell>
          <cell r="U119" t="str">
            <v/>
          </cell>
          <cell r="V119" t="str">
            <v/>
          </cell>
          <cell r="W119" t="str">
            <v>кор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SU002864</v>
          </cell>
          <cell r="B120" t="str">
            <v>P003688</v>
          </cell>
          <cell r="C120">
            <v>4301070978</v>
          </cell>
          <cell r="D120">
            <v>4607111037435</v>
          </cell>
          <cell r="F120">
            <v>0.8</v>
          </cell>
          <cell r="G120">
            <v>8</v>
          </cell>
          <cell r="H120">
            <v>6.4</v>
          </cell>
          <cell r="I120">
            <v>6.6859999999999999</v>
          </cell>
          <cell r="J120">
            <v>84</v>
          </cell>
          <cell r="K120" t="str">
            <v>12</v>
          </cell>
          <cell r="L120" t="str">
            <v>Короб, мин. 1</v>
          </cell>
          <cell r="M120" t="str">
            <v>МГ</v>
          </cell>
          <cell r="O120">
            <v>180</v>
          </cell>
          <cell r="P120" t="str">
            <v>Пельмени «Бульмени со сливочным маслом» 0,8 Сфера ТМ «Горячая штучка»</v>
          </cell>
          <cell r="U120" t="str">
            <v/>
          </cell>
          <cell r="V120" t="str">
            <v/>
          </cell>
          <cell r="W120" t="str">
            <v>кор</v>
          </cell>
          <cell r="X120">
            <v>0</v>
          </cell>
          <cell r="Y120">
            <v>0</v>
          </cell>
          <cell r="Z120">
            <v>0</v>
          </cell>
        </row>
        <row r="121">
          <cell r="P121" t="str">
            <v>Итого</v>
          </cell>
          <cell r="W121" t="str">
            <v>кор</v>
          </cell>
          <cell r="X121">
            <v>0</v>
          </cell>
          <cell r="Y121">
            <v>0</v>
          </cell>
          <cell r="Z121">
            <v>0</v>
          </cell>
        </row>
        <row r="122">
          <cell r="P122" t="str">
            <v>Итого</v>
          </cell>
          <cell r="W122" t="str">
            <v>кг</v>
          </cell>
          <cell r="X122">
            <v>0</v>
          </cell>
          <cell r="Y122">
            <v>0</v>
          </cell>
        </row>
        <row r="123">
          <cell r="A123" t="str">
            <v>Снеки</v>
          </cell>
        </row>
        <row r="124">
          <cell r="A124" t="str">
            <v>SU003945</v>
          </cell>
          <cell r="B124" t="str">
            <v>P005065</v>
          </cell>
          <cell r="C124">
            <v>4301135826</v>
          </cell>
          <cell r="D124">
            <v>4620207490983</v>
          </cell>
          <cell r="F124">
            <v>0.22</v>
          </cell>
          <cell r="G124">
            <v>12</v>
          </cell>
          <cell r="H124">
            <v>2.64</v>
          </cell>
          <cell r="I124">
            <v>3.3435999999999999</v>
          </cell>
          <cell r="J124">
            <v>70</v>
          </cell>
          <cell r="K124" t="str">
            <v>14</v>
          </cell>
          <cell r="L124" t="str">
            <v>Короб, мин. 1</v>
          </cell>
          <cell r="M124" t="str">
            <v>МГ</v>
          </cell>
          <cell r="O124">
            <v>180</v>
          </cell>
          <cell r="P124" t="str">
            <v>Снеки «Бульмени хрустящие с мясом» Фикс.вес 0,22 сфера ТМ «Горячая штучка»</v>
          </cell>
          <cell r="U124" t="str">
            <v/>
          </cell>
          <cell r="V124" t="str">
            <v/>
          </cell>
          <cell r="W124" t="str">
            <v>кор</v>
          </cell>
          <cell r="X124">
            <v>0</v>
          </cell>
          <cell r="Y124">
            <v>0</v>
          </cell>
          <cell r="Z124">
            <v>0</v>
          </cell>
        </row>
        <row r="125">
          <cell r="P125" t="str">
            <v>Итого</v>
          </cell>
          <cell r="W125" t="str">
            <v>кор</v>
          </cell>
          <cell r="X125">
            <v>0</v>
          </cell>
          <cell r="Y125">
            <v>0</v>
          </cell>
          <cell r="Z125">
            <v>0</v>
          </cell>
        </row>
        <row r="126">
          <cell r="P126" t="str">
            <v>Итого</v>
          </cell>
          <cell r="W126" t="str">
            <v>кг</v>
          </cell>
          <cell r="X126">
            <v>0</v>
          </cell>
          <cell r="Y126">
            <v>0</v>
          </cell>
        </row>
        <row r="127">
          <cell r="A127" t="str">
            <v>Пельмени ПГП</v>
          </cell>
        </row>
        <row r="128">
          <cell r="A128" t="str">
            <v>SU003845</v>
          </cell>
          <cell r="B128" t="str">
            <v>P004909</v>
          </cell>
          <cell r="C128">
            <v>4301071094</v>
          </cell>
          <cell r="D128">
            <v>4620207491140</v>
          </cell>
          <cell r="F128">
            <v>0.6</v>
          </cell>
          <cell r="G128">
            <v>10</v>
          </cell>
          <cell r="H128">
            <v>6</v>
          </cell>
          <cell r="I128">
            <v>6.28</v>
          </cell>
          <cell r="J128">
            <v>84</v>
          </cell>
          <cell r="K128" t="str">
            <v>12</v>
          </cell>
          <cell r="L128" t="str">
            <v>Короб, мин. 1</v>
          </cell>
          <cell r="M128" t="str">
            <v>МГ</v>
          </cell>
          <cell r="O128">
            <v>180</v>
          </cell>
          <cell r="P128" t="str">
            <v>Пельмени ПГП «Пельмени Бульмени Нейробуст с мясом» Фикс.вес 0,6 сфера ТМ «Горячая штучка»</v>
          </cell>
          <cell r="U128" t="str">
            <v/>
          </cell>
          <cell r="V128" t="str">
            <v/>
          </cell>
          <cell r="W128" t="str">
            <v>кор</v>
          </cell>
          <cell r="X128">
            <v>0</v>
          </cell>
          <cell r="Y128">
            <v>0</v>
          </cell>
          <cell r="Z128">
            <v>0</v>
          </cell>
        </row>
        <row r="129">
          <cell r="P129" t="str">
            <v>Итого</v>
          </cell>
          <cell r="W129" t="str">
            <v>кор</v>
          </cell>
          <cell r="X129">
            <v>0</v>
          </cell>
          <cell r="Y129">
            <v>0</v>
          </cell>
          <cell r="Z129">
            <v>0</v>
          </cell>
        </row>
        <row r="130">
          <cell r="P130" t="str">
            <v>Итого</v>
          </cell>
          <cell r="W130" t="str">
            <v>кг</v>
          </cell>
          <cell r="X130">
            <v>0</v>
          </cell>
          <cell r="Y130">
            <v>0</v>
          </cell>
        </row>
        <row r="131">
          <cell r="A131" t="str">
            <v>Чебупицца</v>
          </cell>
        </row>
        <row r="132">
          <cell r="A132" t="str">
            <v>Снеки</v>
          </cell>
        </row>
        <row r="133">
          <cell r="A133" t="str">
            <v>SU003578</v>
          </cell>
          <cell r="B133" t="str">
            <v>P004484</v>
          </cell>
          <cell r="C133">
            <v>4301135555</v>
          </cell>
          <cell r="D133">
            <v>4607111034014</v>
          </cell>
          <cell r="F133">
            <v>0.25</v>
          </cell>
          <cell r="G133">
            <v>12</v>
          </cell>
          <cell r="H133">
            <v>3</v>
          </cell>
          <cell r="I133">
            <v>3.7035999999999998</v>
          </cell>
          <cell r="J133">
            <v>70</v>
          </cell>
          <cell r="K133" t="str">
            <v>14</v>
          </cell>
          <cell r="L133" t="str">
            <v>Слой, мин. 1</v>
          </cell>
          <cell r="M133" t="str">
            <v>МГ</v>
          </cell>
          <cell r="O133">
            <v>180</v>
          </cell>
          <cell r="P133" t="str">
            <v>Снеки «Чебупицца курочка По-итальянски» Фикс.вес 0,25 Пакет ТМ «Горячая штучка»</v>
          </cell>
          <cell r="U133" t="str">
            <v/>
          </cell>
          <cell r="V133" t="str">
            <v/>
          </cell>
          <cell r="W133" t="str">
            <v>кор</v>
          </cell>
          <cell r="X133">
            <v>0</v>
          </cell>
          <cell r="Y133">
            <v>0</v>
          </cell>
          <cell r="Z133">
            <v>0</v>
          </cell>
        </row>
        <row r="134">
          <cell r="A134" t="str">
            <v>SU003580</v>
          </cell>
          <cell r="B134" t="str">
            <v>P004486</v>
          </cell>
          <cell r="C134">
            <v>4301135532</v>
          </cell>
          <cell r="D134">
            <v>4607111033994</v>
          </cell>
          <cell r="F134">
            <v>0.25</v>
          </cell>
          <cell r="G134">
            <v>12</v>
          </cell>
          <cell r="H134">
            <v>3</v>
          </cell>
          <cell r="I134">
            <v>3.7035999999999998</v>
          </cell>
          <cell r="J134">
            <v>70</v>
          </cell>
          <cell r="K134" t="str">
            <v>14</v>
          </cell>
          <cell r="L134" t="str">
            <v>Палетта, мин. 1</v>
          </cell>
          <cell r="M134" t="str">
            <v>МГ</v>
          </cell>
          <cell r="O134">
            <v>180</v>
          </cell>
          <cell r="P134" t="str">
            <v>Снеки «Чебупицца Пепперони» Фикс.вес 0,25 Пакет ТМ «Горячая штучка»</v>
          </cell>
          <cell r="U134" t="str">
            <v/>
          </cell>
          <cell r="V134" t="str">
            <v/>
          </cell>
          <cell r="W134" t="str">
            <v>кор</v>
          </cell>
          <cell r="X134">
            <v>0</v>
          </cell>
          <cell r="Y134">
            <v>0</v>
          </cell>
          <cell r="Z134">
            <v>0</v>
          </cell>
        </row>
        <row r="135">
          <cell r="P135" t="str">
            <v>Итого</v>
          </cell>
          <cell r="W135" t="str">
            <v>кор</v>
          </cell>
          <cell r="X135">
            <v>0</v>
          </cell>
          <cell r="Y135">
            <v>0</v>
          </cell>
          <cell r="Z135">
            <v>0</v>
          </cell>
        </row>
        <row r="136">
          <cell r="P136" t="str">
            <v>Итого</v>
          </cell>
          <cell r="W136" t="str">
            <v>кг</v>
          </cell>
          <cell r="X136">
            <v>0</v>
          </cell>
          <cell r="Y136">
            <v>0</v>
          </cell>
        </row>
        <row r="137">
          <cell r="A137" t="str">
            <v>Хотстеры</v>
          </cell>
        </row>
        <row r="138">
          <cell r="A138" t="str">
            <v>Снеки</v>
          </cell>
        </row>
        <row r="139">
          <cell r="A139" t="str">
            <v>SU003944</v>
          </cell>
          <cell r="B139" t="str">
            <v>P005058</v>
          </cell>
          <cell r="C139">
            <v>4301135824</v>
          </cell>
          <cell r="D139">
            <v>4607111039095</v>
          </cell>
          <cell r="F139">
            <v>0.25</v>
          </cell>
          <cell r="G139">
            <v>12</v>
          </cell>
          <cell r="H139">
            <v>3</v>
          </cell>
          <cell r="I139">
            <v>3.7480000000000002</v>
          </cell>
          <cell r="J139">
            <v>70</v>
          </cell>
          <cell r="K139" t="str">
            <v>14</v>
          </cell>
          <cell r="L139" t="str">
            <v>Короб, мин. 1</v>
          </cell>
          <cell r="M139" t="str">
            <v>МГ</v>
          </cell>
          <cell r="O139">
            <v>180</v>
          </cell>
          <cell r="P139" t="str">
            <v>Снеки «Хотстеры с сыром» Фикс.вес 0,25 ТМ «Горячая штучка»</v>
          </cell>
          <cell r="U139" t="str">
            <v/>
          </cell>
          <cell r="V139" t="str">
            <v/>
          </cell>
          <cell r="W139" t="str">
            <v>кор</v>
          </cell>
          <cell r="X139">
            <v>0</v>
          </cell>
          <cell r="Y139">
            <v>0</v>
          </cell>
          <cell r="Z139">
            <v>0</v>
          </cell>
        </row>
        <row r="140">
          <cell r="A140" t="str">
            <v>SU003576</v>
          </cell>
          <cell r="B140" t="str">
            <v>P004489</v>
          </cell>
          <cell r="C140">
            <v>4301135550</v>
          </cell>
          <cell r="D140">
            <v>4607111034199</v>
          </cell>
          <cell r="F140">
            <v>0.25</v>
          </cell>
          <cell r="G140">
            <v>12</v>
          </cell>
          <cell r="H140">
            <v>3</v>
          </cell>
          <cell r="I140">
            <v>3.7035999999999998</v>
          </cell>
          <cell r="J140">
            <v>70</v>
          </cell>
          <cell r="K140" t="str">
            <v>14</v>
          </cell>
          <cell r="L140" t="str">
            <v>Слой, мин. 1</v>
          </cell>
          <cell r="M140" t="str">
            <v>МГ</v>
          </cell>
          <cell r="O140">
            <v>180</v>
          </cell>
          <cell r="P140" t="str">
            <v>Снеки «Хотстеры» Фикс.вес 0,25 Пакет ТМ «Горячая штучка»</v>
          </cell>
          <cell r="U140" t="str">
            <v/>
          </cell>
          <cell r="V140" t="str">
            <v/>
          </cell>
          <cell r="W140" t="str">
            <v>кор</v>
          </cell>
          <cell r="X140">
            <v>0</v>
          </cell>
          <cell r="Y140">
            <v>0</v>
          </cell>
          <cell r="Z140">
            <v>0</v>
          </cell>
        </row>
        <row r="141">
          <cell r="P141" t="str">
            <v>Итого</v>
          </cell>
          <cell r="W141" t="str">
            <v>кор</v>
          </cell>
          <cell r="X141">
            <v>0</v>
          </cell>
          <cell r="Y141">
            <v>0</v>
          </cell>
          <cell r="Z141">
            <v>0</v>
          </cell>
        </row>
        <row r="142">
          <cell r="P142" t="str">
            <v>Итого</v>
          </cell>
          <cell r="W142" t="str">
            <v>кг</v>
          </cell>
          <cell r="X142">
            <v>0</v>
          </cell>
          <cell r="Y142">
            <v>0</v>
          </cell>
        </row>
        <row r="143">
          <cell r="A143" t="str">
            <v>Круггетсы</v>
          </cell>
        </row>
        <row r="144">
          <cell r="A144" t="str">
            <v>Снеки</v>
          </cell>
        </row>
        <row r="145">
          <cell r="A145" t="str">
            <v>SU003872</v>
          </cell>
          <cell r="B145" t="str">
            <v>P004956</v>
          </cell>
          <cell r="C145">
            <v>4301135753</v>
          </cell>
          <cell r="D145">
            <v>4620207490914</v>
          </cell>
          <cell r="F145">
            <v>0.2</v>
          </cell>
          <cell r="G145">
            <v>12</v>
          </cell>
          <cell r="H145">
            <v>2.4</v>
          </cell>
          <cell r="I145">
            <v>2.68</v>
          </cell>
          <cell r="J145">
            <v>70</v>
          </cell>
          <cell r="K145" t="str">
            <v>14</v>
          </cell>
          <cell r="L145" t="str">
            <v>Короб, мин. 1</v>
          </cell>
          <cell r="M145" t="str">
            <v>МГ</v>
          </cell>
          <cell r="O145">
            <v>180</v>
          </cell>
          <cell r="P145" t="str">
            <v>Снеки «Круггетсы с сырным соусом» Фикс.вес 0,2 ТМ «Горячая штучка»</v>
          </cell>
          <cell r="U145" t="str">
            <v/>
          </cell>
          <cell r="V145" t="str">
            <v/>
          </cell>
          <cell r="W145" t="str">
            <v>кор</v>
          </cell>
          <cell r="X145">
            <v>0</v>
          </cell>
          <cell r="Y145">
            <v>0</v>
          </cell>
          <cell r="Z145">
            <v>0</v>
          </cell>
        </row>
        <row r="146">
          <cell r="A146" t="str">
            <v>SU003870</v>
          </cell>
          <cell r="B146" t="str">
            <v>P004953</v>
          </cell>
          <cell r="C146">
            <v>4301135778</v>
          </cell>
          <cell r="D146">
            <v>4620207490853</v>
          </cell>
          <cell r="F146">
            <v>0.2</v>
          </cell>
          <cell r="G146">
            <v>12</v>
          </cell>
          <cell r="H146">
            <v>2.4</v>
          </cell>
          <cell r="I146">
            <v>2.68</v>
          </cell>
          <cell r="J146">
            <v>70</v>
          </cell>
          <cell r="K146" t="str">
            <v>14</v>
          </cell>
          <cell r="L146" t="str">
            <v>Слой, мин. 1</v>
          </cell>
          <cell r="M146" t="str">
            <v>МГ</v>
          </cell>
          <cell r="O146">
            <v>180</v>
          </cell>
          <cell r="P146" t="str">
            <v>Снеки «Круггетсы сочные» Фикс.вес 0,2 ТМ «Горячая штучка»</v>
          </cell>
          <cell r="U146" t="str">
            <v/>
          </cell>
          <cell r="V146" t="str">
            <v/>
          </cell>
          <cell r="W146" t="str">
            <v>кор</v>
          </cell>
          <cell r="X146">
            <v>0</v>
          </cell>
          <cell r="Y146">
            <v>0</v>
          </cell>
          <cell r="Z146">
            <v>0</v>
          </cell>
        </row>
        <row r="147">
          <cell r="P147" t="str">
            <v>Итого</v>
          </cell>
          <cell r="W147" t="str">
            <v>кор</v>
          </cell>
          <cell r="X147">
            <v>0</v>
          </cell>
          <cell r="Y147">
            <v>0</v>
          </cell>
          <cell r="Z147">
            <v>0</v>
          </cell>
        </row>
        <row r="148">
          <cell r="P148" t="str">
            <v>Итого</v>
          </cell>
          <cell r="W148" t="str">
            <v>кг</v>
          </cell>
          <cell r="X148">
            <v>0</v>
          </cell>
          <cell r="Y148">
            <v>0</v>
          </cell>
        </row>
        <row r="149">
          <cell r="A149" t="str">
            <v>Пекерсы</v>
          </cell>
        </row>
        <row r="150">
          <cell r="A150" t="str">
            <v>Снеки</v>
          </cell>
        </row>
        <row r="151">
          <cell r="A151" t="str">
            <v>SU003596</v>
          </cell>
          <cell r="B151" t="str">
            <v>P004594</v>
          </cell>
          <cell r="C151">
            <v>4301135570</v>
          </cell>
          <cell r="D151">
            <v>4607111035806</v>
          </cell>
          <cell r="F151">
            <v>0.25</v>
          </cell>
          <cell r="G151">
            <v>12</v>
          </cell>
          <cell r="H151">
            <v>3</v>
          </cell>
          <cell r="I151">
            <v>3.7035999999999998</v>
          </cell>
          <cell r="J151">
            <v>70</v>
          </cell>
          <cell r="K151" t="str">
            <v>14</v>
          </cell>
          <cell r="L151" t="str">
            <v>Слой, мин. 1</v>
          </cell>
          <cell r="M151" t="str">
            <v>МГ</v>
          </cell>
          <cell r="O151">
            <v>180</v>
          </cell>
          <cell r="P151" t="str">
            <v>Снеки «Пекерсы с индейкой в сливочном соусе» Фикс.вес 0,25 Пакет ТМ «Горячая штучка»</v>
          </cell>
          <cell r="U151" t="str">
            <v/>
          </cell>
          <cell r="V151" t="str">
            <v/>
          </cell>
          <cell r="W151" t="str">
            <v>кор</v>
          </cell>
          <cell r="X151">
            <v>0</v>
          </cell>
          <cell r="Y151">
            <v>0</v>
          </cell>
          <cell r="Z151">
            <v>0</v>
          </cell>
        </row>
        <row r="152">
          <cell r="P152" t="str">
            <v>Итого</v>
          </cell>
          <cell r="W152" t="str">
            <v>кор</v>
          </cell>
          <cell r="X152">
            <v>0</v>
          </cell>
          <cell r="Y152">
            <v>0</v>
          </cell>
          <cell r="Z152">
            <v>0</v>
          </cell>
        </row>
        <row r="153">
          <cell r="P153" t="str">
            <v>Итого</v>
          </cell>
          <cell r="W153" t="str">
            <v>кг</v>
          </cell>
          <cell r="X153">
            <v>0</v>
          </cell>
          <cell r="Y153">
            <v>0</v>
          </cell>
        </row>
        <row r="154">
          <cell r="A154" t="str">
            <v>Хот-Догстер</v>
          </cell>
        </row>
        <row r="155">
          <cell r="A155" t="str">
            <v>Снеки</v>
          </cell>
        </row>
        <row r="156">
          <cell r="A156" t="str">
            <v>SU003632</v>
          </cell>
          <cell r="B156" t="str">
            <v>P004630</v>
          </cell>
          <cell r="C156">
            <v>4301135607</v>
          </cell>
          <cell r="D156">
            <v>4607111039613</v>
          </cell>
          <cell r="F156">
            <v>0.09</v>
          </cell>
          <cell r="G156">
            <v>30</v>
          </cell>
          <cell r="H156">
            <v>2.7</v>
          </cell>
          <cell r="I156">
            <v>3.09</v>
          </cell>
          <cell r="J156">
            <v>126</v>
          </cell>
          <cell r="K156" t="str">
            <v>14</v>
          </cell>
          <cell r="L156" t="str">
            <v>Слой, мин. 1</v>
          </cell>
          <cell r="M156" t="str">
            <v>МГ</v>
          </cell>
          <cell r="O156">
            <v>180</v>
          </cell>
          <cell r="P156" t="str">
            <v>Снеки «Хот-догстер» Фикс.вес 0,09 ТМ «Горячая штучка»</v>
          </cell>
          <cell r="U156" t="str">
            <v/>
          </cell>
          <cell r="V156" t="str">
            <v/>
          </cell>
          <cell r="W156" t="str">
            <v>кор</v>
          </cell>
          <cell r="X156">
            <v>0</v>
          </cell>
          <cell r="Y156">
            <v>0</v>
          </cell>
          <cell r="Z156">
            <v>0</v>
          </cell>
        </row>
        <row r="157">
          <cell r="P157" t="str">
            <v>Итого</v>
          </cell>
          <cell r="W157" t="str">
            <v>кор</v>
          </cell>
          <cell r="X157">
            <v>0</v>
          </cell>
          <cell r="Y157">
            <v>0</v>
          </cell>
          <cell r="Z157">
            <v>0</v>
          </cell>
        </row>
        <row r="158">
          <cell r="P158" t="str">
            <v>Итого</v>
          </cell>
          <cell r="W158" t="str">
            <v>кг</v>
          </cell>
          <cell r="X158">
            <v>0</v>
          </cell>
          <cell r="Y158">
            <v>0</v>
          </cell>
        </row>
        <row r="159">
          <cell r="A159" t="str">
            <v>Супермени</v>
          </cell>
        </row>
        <row r="160">
          <cell r="A160" t="str">
            <v>Пельмени ПГП</v>
          </cell>
        </row>
        <row r="161">
          <cell r="A161" t="str">
            <v>SU002177</v>
          </cell>
          <cell r="B161" t="str">
            <v>P004523</v>
          </cell>
          <cell r="C161">
            <v>4301135540</v>
          </cell>
          <cell r="D161">
            <v>4607111035646</v>
          </cell>
          <cell r="F161">
            <v>0.2</v>
          </cell>
          <cell r="G161">
            <v>8</v>
          </cell>
          <cell r="H161">
            <v>1.6</v>
          </cell>
          <cell r="I161">
            <v>2.12</v>
          </cell>
          <cell r="J161">
            <v>72</v>
          </cell>
          <cell r="K161" t="str">
            <v>6</v>
          </cell>
          <cell r="L161" t="str">
            <v>Слой, мин. 1</v>
          </cell>
          <cell r="M161" t="str">
            <v>МГ</v>
          </cell>
          <cell r="O161">
            <v>180</v>
          </cell>
          <cell r="P161" t="str">
            <v>Пельмени ПГП «Супермени со сливочным маслом» 0,2 Сфера ТМ «Горячая штучка»</v>
          </cell>
          <cell r="U161" t="str">
            <v/>
          </cell>
          <cell r="V161" t="str">
            <v/>
          </cell>
          <cell r="W161" t="str">
            <v>кор</v>
          </cell>
          <cell r="X161">
            <v>0</v>
          </cell>
          <cell r="Y161">
            <v>0</v>
          </cell>
          <cell r="Z161">
            <v>0</v>
          </cell>
        </row>
        <row r="162">
          <cell r="P162" t="str">
            <v>Итого</v>
          </cell>
          <cell r="W162" t="str">
            <v>кор</v>
          </cell>
          <cell r="X162">
            <v>0</v>
          </cell>
          <cell r="Y162">
            <v>0</v>
          </cell>
          <cell r="Z162">
            <v>0</v>
          </cell>
        </row>
        <row r="163">
          <cell r="P163" t="str">
            <v>Итого</v>
          </cell>
          <cell r="W163" t="str">
            <v>кг</v>
          </cell>
          <cell r="X163">
            <v>0</v>
          </cell>
          <cell r="Y163">
            <v>0</v>
          </cell>
        </row>
        <row r="164">
          <cell r="A164" t="str">
            <v>Чебуманы</v>
          </cell>
        </row>
        <row r="165">
          <cell r="A165" t="str">
            <v>Снеки</v>
          </cell>
        </row>
        <row r="166">
          <cell r="A166" t="str">
            <v>SU003601</v>
          </cell>
          <cell r="B166" t="str">
            <v>P004597</v>
          </cell>
          <cell r="C166">
            <v>4301135591</v>
          </cell>
          <cell r="D166">
            <v>4607111036568</v>
          </cell>
          <cell r="F166">
            <v>0.28000000000000003</v>
          </cell>
          <cell r="G166">
            <v>6</v>
          </cell>
          <cell r="H166">
            <v>1.68</v>
          </cell>
          <cell r="I166">
            <v>2.1017999999999999</v>
          </cell>
          <cell r="J166">
            <v>140</v>
          </cell>
          <cell r="K166" t="str">
            <v>14</v>
          </cell>
          <cell r="L166" t="str">
            <v>Слой, мин. 1</v>
          </cell>
          <cell r="M166" t="str">
            <v>МГ</v>
          </cell>
          <cell r="O166">
            <v>180</v>
          </cell>
          <cell r="P166" t="str">
            <v>Снеки «Чебуманы с говядиной» Фикс.вес 0,28 Пакет ТМ «Горячая штучка»</v>
          </cell>
          <cell r="U166" t="str">
            <v/>
          </cell>
          <cell r="V166" t="str">
            <v/>
          </cell>
          <cell r="W166" t="str">
            <v>кор</v>
          </cell>
          <cell r="X166">
            <v>0</v>
          </cell>
          <cell r="Y166">
            <v>0</v>
          </cell>
          <cell r="Z166">
            <v>0</v>
          </cell>
        </row>
        <row r="167">
          <cell r="P167" t="str">
            <v>Итого</v>
          </cell>
          <cell r="W167" t="str">
            <v>кор</v>
          </cell>
          <cell r="X167">
            <v>0</v>
          </cell>
          <cell r="Y167">
            <v>0</v>
          </cell>
          <cell r="Z167">
            <v>0</v>
          </cell>
        </row>
        <row r="168">
          <cell r="P168" t="str">
            <v>Итого</v>
          </cell>
          <cell r="W168" t="str">
            <v>кг</v>
          </cell>
          <cell r="X168">
            <v>0</v>
          </cell>
          <cell r="Y168">
            <v>0</v>
          </cell>
        </row>
        <row r="169">
          <cell r="A169" t="str">
            <v>No Name</v>
          </cell>
        </row>
        <row r="170">
          <cell r="A170" t="str">
            <v>No Name ЗПФ</v>
          </cell>
        </row>
        <row r="171">
          <cell r="A171" t="str">
            <v>Пельмени</v>
          </cell>
        </row>
        <row r="172">
          <cell r="A172" t="str">
            <v>SU002396</v>
          </cell>
          <cell r="B172" t="str">
            <v>P004620</v>
          </cell>
          <cell r="C172">
            <v>4301071062</v>
          </cell>
          <cell r="D172">
            <v>4607111036384</v>
          </cell>
          <cell r="F172">
            <v>5</v>
          </cell>
          <cell r="G172">
            <v>1</v>
          </cell>
          <cell r="H172">
            <v>5</v>
          </cell>
          <cell r="I172">
            <v>5.2106000000000003</v>
          </cell>
          <cell r="J172">
            <v>144</v>
          </cell>
          <cell r="K172" t="str">
            <v>12</v>
          </cell>
          <cell r="L172" t="str">
            <v>Короб, мин. 1</v>
          </cell>
          <cell r="M172" t="str">
            <v>МГ</v>
          </cell>
          <cell r="O172">
            <v>180</v>
          </cell>
          <cell r="P172" t="str">
            <v>Пельмени «Зареченские» Весовые Сфера ТМ «No name» 5 кг</v>
          </cell>
          <cell r="U172" t="str">
            <v/>
          </cell>
          <cell r="V172" t="str">
            <v/>
          </cell>
          <cell r="W172" t="str">
            <v>кор</v>
          </cell>
          <cell r="X172">
            <v>0</v>
          </cell>
          <cell r="Y172">
            <v>0</v>
          </cell>
          <cell r="Z172">
            <v>0</v>
          </cell>
        </row>
        <row r="173">
          <cell r="A173" t="str">
            <v>SU000197</v>
          </cell>
          <cell r="B173" t="str">
            <v>P004472</v>
          </cell>
          <cell r="C173">
            <v>4301071050</v>
          </cell>
          <cell r="D173">
            <v>4607111036216</v>
          </cell>
          <cell r="F173">
            <v>5</v>
          </cell>
          <cell r="G173">
            <v>1</v>
          </cell>
          <cell r="H173">
            <v>5</v>
          </cell>
          <cell r="I173">
            <v>5.2131999999999996</v>
          </cell>
          <cell r="J173">
            <v>144</v>
          </cell>
          <cell r="K173" t="str">
            <v>12</v>
          </cell>
          <cell r="L173" t="str">
            <v>Слой, мин. 1</v>
          </cell>
          <cell r="M173" t="str">
            <v>МГ</v>
          </cell>
          <cell r="O173">
            <v>180</v>
          </cell>
          <cell r="P173" t="str">
            <v>Пельмени «Пуговки с говядиной и свининой» Весовые Сфера ТМ «No Name» 5 кг</v>
          </cell>
          <cell r="U173" t="str">
            <v/>
          </cell>
          <cell r="V173" t="str">
            <v/>
          </cell>
          <cell r="W173" t="str">
            <v>кор</v>
          </cell>
          <cell r="X173">
            <v>0</v>
          </cell>
          <cell r="Y173">
            <v>0</v>
          </cell>
          <cell r="Z173">
            <v>0</v>
          </cell>
        </row>
        <row r="174">
          <cell r="P174" t="str">
            <v>Итого</v>
          </cell>
          <cell r="W174" t="str">
            <v>кор</v>
          </cell>
          <cell r="X174">
            <v>0</v>
          </cell>
          <cell r="Y174">
            <v>0</v>
          </cell>
          <cell r="Z174">
            <v>0</v>
          </cell>
        </row>
        <row r="175">
          <cell r="P175" t="str">
            <v>Итого</v>
          </cell>
          <cell r="W175" t="str">
            <v>кг</v>
          </cell>
          <cell r="X175">
            <v>0</v>
          </cell>
          <cell r="Y175">
            <v>0</v>
          </cell>
        </row>
        <row r="176">
          <cell r="A176" t="str">
            <v>Вязанка</v>
          </cell>
        </row>
        <row r="177">
          <cell r="A177" t="str">
            <v>Сливушка</v>
          </cell>
        </row>
        <row r="178">
          <cell r="A178" t="str">
            <v>Наггетсы</v>
          </cell>
        </row>
        <row r="179">
          <cell r="A179" t="str">
            <v>SU003797</v>
          </cell>
          <cell r="B179" t="str">
            <v>P004497</v>
          </cell>
          <cell r="C179">
            <v>4301132179</v>
          </cell>
          <cell r="D179">
            <v>4607111035691</v>
          </cell>
          <cell r="F179">
            <v>0.25</v>
          </cell>
          <cell r="G179">
            <v>12</v>
          </cell>
          <cell r="H179">
            <v>3</v>
          </cell>
          <cell r="I179">
            <v>3.3879999999999999</v>
          </cell>
          <cell r="J179">
            <v>70</v>
          </cell>
          <cell r="K179" t="str">
            <v>14</v>
          </cell>
          <cell r="L179" t="str">
            <v>Слой, мин. 1</v>
          </cell>
          <cell r="M179" t="str">
            <v>МГ</v>
          </cell>
          <cell r="O179">
            <v>365</v>
          </cell>
          <cell r="P179" t="str">
            <v>Наггетсы «из печи» Фикс.вес 0,25 ТМ «Вязанка»</v>
          </cell>
          <cell r="U179" t="str">
            <v/>
          </cell>
          <cell r="V179" t="str">
            <v/>
          </cell>
          <cell r="W179" t="str">
            <v>кор</v>
          </cell>
          <cell r="X179">
            <v>0</v>
          </cell>
          <cell r="Y179">
            <v>0</v>
          </cell>
          <cell r="Z179">
            <v>0</v>
          </cell>
        </row>
        <row r="180">
          <cell r="A180" t="str">
            <v>SU003800</v>
          </cell>
          <cell r="B180" t="str">
            <v>P004496</v>
          </cell>
          <cell r="C180">
            <v>4301132182</v>
          </cell>
          <cell r="D180">
            <v>4607111035721</v>
          </cell>
          <cell r="F180">
            <v>0.25</v>
          </cell>
          <cell r="G180">
            <v>12</v>
          </cell>
          <cell r="H180">
            <v>3</v>
          </cell>
          <cell r="I180">
            <v>3.3879999999999999</v>
          </cell>
          <cell r="J180">
            <v>70</v>
          </cell>
          <cell r="K180" t="str">
            <v>14</v>
          </cell>
          <cell r="L180" t="str">
            <v>Слой, мин. 1</v>
          </cell>
          <cell r="M180" t="str">
            <v>МГ</v>
          </cell>
          <cell r="O180">
            <v>365</v>
          </cell>
          <cell r="P180" t="str">
            <v>Наггетсы «с индейкой» Фикс.вес 0,25 ТМ «Вязанка»</v>
          </cell>
          <cell r="U180" t="str">
            <v/>
          </cell>
          <cell r="V180" t="str">
            <v/>
          </cell>
          <cell r="W180" t="str">
            <v>кор</v>
          </cell>
          <cell r="X180">
            <v>0</v>
          </cell>
          <cell r="Y180">
            <v>0</v>
          </cell>
          <cell r="Z180">
            <v>0</v>
          </cell>
        </row>
        <row r="181">
          <cell r="A181" t="str">
            <v>SU003795</v>
          </cell>
          <cell r="B181" t="str">
            <v>P004535</v>
          </cell>
          <cell r="C181">
            <v>4301132170</v>
          </cell>
          <cell r="D181">
            <v>4607111038487</v>
          </cell>
          <cell r="F181">
            <v>0.25</v>
          </cell>
          <cell r="G181">
            <v>12</v>
          </cell>
          <cell r="H181">
            <v>3</v>
          </cell>
          <cell r="I181">
            <v>3.7360000000000002</v>
          </cell>
          <cell r="J181">
            <v>70</v>
          </cell>
          <cell r="K181" t="str">
            <v>14</v>
          </cell>
          <cell r="L181" t="str">
            <v>Слой, мин. 1</v>
          </cell>
          <cell r="M181" t="str">
            <v>МГ</v>
          </cell>
          <cell r="O181">
            <v>180</v>
          </cell>
          <cell r="P181" t="str">
            <v>Наггетсы «с куриным филе и сыром» Фикс.вес 0,25 ТМ «Вязанка»</v>
          </cell>
          <cell r="U181" t="str">
            <v/>
          </cell>
          <cell r="V181" t="str">
            <v/>
          </cell>
          <cell r="W181" t="str">
            <v>кор</v>
          </cell>
          <cell r="X181">
            <v>0</v>
          </cell>
          <cell r="Y181">
            <v>0</v>
          </cell>
          <cell r="Z181">
            <v>0</v>
          </cell>
        </row>
        <row r="182">
          <cell r="P182" t="str">
            <v>Итого</v>
          </cell>
          <cell r="W182" t="str">
            <v>кор</v>
          </cell>
          <cell r="X182">
            <v>0</v>
          </cell>
          <cell r="Y182">
            <v>0</v>
          </cell>
          <cell r="Z182">
            <v>0</v>
          </cell>
        </row>
        <row r="183">
          <cell r="P183" t="str">
            <v>Итого</v>
          </cell>
          <cell r="W183" t="str">
            <v>кг</v>
          </cell>
          <cell r="X183">
            <v>0</v>
          </cell>
          <cell r="Y183">
            <v>0</v>
          </cell>
        </row>
        <row r="184">
          <cell r="A184" t="str">
            <v>Сосиски замороженные</v>
          </cell>
        </row>
        <row r="185">
          <cell r="A185" t="str">
            <v>SU003643</v>
          </cell>
          <cell r="B185" t="str">
            <v>P004612</v>
          </cell>
          <cell r="C185">
            <v>4301051855</v>
          </cell>
          <cell r="D185">
            <v>4680115885875</v>
          </cell>
          <cell r="F185">
            <v>1</v>
          </cell>
          <cell r="G185">
            <v>9</v>
          </cell>
          <cell r="H185">
            <v>9</v>
          </cell>
          <cell r="I185">
            <v>9.41</v>
          </cell>
          <cell r="J185">
            <v>64</v>
          </cell>
          <cell r="K185" t="str">
            <v>8</v>
          </cell>
          <cell r="L185" t="str">
            <v>Короб, мин. 1</v>
          </cell>
          <cell r="M185" t="str">
            <v>СК2</v>
          </cell>
          <cell r="O185">
            <v>365</v>
          </cell>
          <cell r="P185" t="str">
            <v>Сосиски замороженные «Сосиски с сыром» Весовой ТМ «Вязанка» для корн-догов</v>
          </cell>
          <cell r="U185" t="str">
            <v/>
          </cell>
          <cell r="V185" t="str">
            <v/>
          </cell>
          <cell r="W185" t="str">
            <v>кор</v>
          </cell>
          <cell r="X185">
            <v>0</v>
          </cell>
          <cell r="Y185">
            <v>0</v>
          </cell>
          <cell r="Z185">
            <v>0</v>
          </cell>
        </row>
        <row r="186">
          <cell r="P186" t="str">
            <v>Итого</v>
          </cell>
          <cell r="W186" t="str">
            <v>кор</v>
          </cell>
          <cell r="X186">
            <v>0</v>
          </cell>
          <cell r="Y186">
            <v>0</v>
          </cell>
          <cell r="Z186">
            <v>0</v>
          </cell>
        </row>
        <row r="187">
          <cell r="P187" t="str">
            <v>Итого</v>
          </cell>
          <cell r="W187" t="str">
            <v>кг</v>
          </cell>
          <cell r="X187">
            <v>0</v>
          </cell>
          <cell r="Y187">
            <v>0</v>
          </cell>
        </row>
        <row r="188">
          <cell r="A188" t="str">
            <v>Стародворье</v>
          </cell>
        </row>
        <row r="189">
          <cell r="A189" t="str">
            <v>Стародворье ПГП</v>
          </cell>
        </row>
        <row r="190">
          <cell r="A190" t="str">
            <v>Наггетсы</v>
          </cell>
        </row>
        <row r="191">
          <cell r="A191" t="str">
            <v>SU003930</v>
          </cell>
          <cell r="B191" t="str">
            <v>P005043</v>
          </cell>
          <cell r="C191">
            <v>4301132227</v>
          </cell>
          <cell r="D191">
            <v>4620207491133</v>
          </cell>
          <cell r="F191">
            <v>0.23</v>
          </cell>
          <cell r="G191">
            <v>12</v>
          </cell>
          <cell r="H191">
            <v>2.76</v>
          </cell>
          <cell r="I191">
            <v>2.98</v>
          </cell>
          <cell r="J191">
            <v>70</v>
          </cell>
          <cell r="K191" t="str">
            <v>14</v>
          </cell>
          <cell r="L191" t="str">
            <v>Слой, мин. 1</v>
          </cell>
          <cell r="M191" t="str">
            <v>МГ</v>
          </cell>
          <cell r="O191">
            <v>180</v>
          </cell>
          <cell r="P191" t="str">
            <v>Наггетсы «Хрустящие с сочной курочкой» Фикс.вес 0,23 ТМ «Стародворье»</v>
          </cell>
          <cell r="U191" t="str">
            <v/>
          </cell>
          <cell r="V191" t="str">
            <v/>
          </cell>
          <cell r="W191" t="str">
            <v>кор</v>
          </cell>
          <cell r="X191">
            <v>0</v>
          </cell>
          <cell r="Y191">
            <v>0</v>
          </cell>
          <cell r="Z191">
            <v>0</v>
          </cell>
        </row>
        <row r="192">
          <cell r="P192" t="str">
            <v>Итого</v>
          </cell>
          <cell r="W192" t="str">
            <v>кор</v>
          </cell>
          <cell r="X192">
            <v>0</v>
          </cell>
          <cell r="Y192">
            <v>0</v>
          </cell>
          <cell r="Z192">
            <v>0</v>
          </cell>
        </row>
        <row r="193">
          <cell r="P193" t="str">
            <v>Итого</v>
          </cell>
          <cell r="W193" t="str">
            <v>кг</v>
          </cell>
          <cell r="X193">
            <v>0</v>
          </cell>
          <cell r="Y193">
            <v>0</v>
          </cell>
        </row>
        <row r="194">
          <cell r="A194" t="str">
            <v>Снеки</v>
          </cell>
        </row>
        <row r="195">
          <cell r="A195" t="str">
            <v>SU004012</v>
          </cell>
          <cell r="B195" t="str">
            <v>P005129</v>
          </cell>
          <cell r="C195">
            <v>4301135834</v>
          </cell>
          <cell r="D195">
            <v>4620207491188</v>
          </cell>
          <cell r="F195">
            <v>0.2</v>
          </cell>
          <cell r="G195">
            <v>12</v>
          </cell>
          <cell r="H195">
            <v>2.4</v>
          </cell>
          <cell r="I195">
            <v>3.1036000000000001</v>
          </cell>
          <cell r="J195">
            <v>70</v>
          </cell>
          <cell r="K195" t="str">
            <v>14</v>
          </cell>
          <cell r="L195" t="str">
            <v>Короб, мин. 1</v>
          </cell>
          <cell r="M195" t="str">
            <v>МГ</v>
          </cell>
          <cell r="O195">
            <v>180</v>
          </cell>
          <cell r="P195" t="str">
            <v>Снеки «Жареные вареники с картофелем и беконом» Фикс.вес 0,2 ТМ «Стародворье»</v>
          </cell>
          <cell r="U195" t="str">
            <v/>
          </cell>
          <cell r="V195" t="str">
            <v/>
          </cell>
          <cell r="W195" t="str">
            <v>кор</v>
          </cell>
          <cell r="X195">
            <v>0</v>
          </cell>
          <cell r="Y195">
            <v>0</v>
          </cell>
          <cell r="Z195">
            <v>0</v>
          </cell>
        </row>
        <row r="196">
          <cell r="A196" t="str">
            <v>SU003777</v>
          </cell>
          <cell r="B196" t="str">
            <v>P004822</v>
          </cell>
          <cell r="C196">
            <v>4301135707</v>
          </cell>
          <cell r="D196">
            <v>4620207490198</v>
          </cell>
          <cell r="F196">
            <v>0.2</v>
          </cell>
          <cell r="G196">
            <v>12</v>
          </cell>
          <cell r="H196">
            <v>2.4</v>
          </cell>
          <cell r="I196">
            <v>3.1036000000000001</v>
          </cell>
          <cell r="J196">
            <v>70</v>
          </cell>
          <cell r="K196" t="str">
            <v>14</v>
          </cell>
          <cell r="L196" t="str">
            <v>Слой, мин. 1</v>
          </cell>
          <cell r="M196" t="str">
            <v>МГ</v>
          </cell>
          <cell r="O196">
            <v>180</v>
          </cell>
          <cell r="P196" t="str">
            <v>Снеки «ЖАР-ладушки с клубникой и вишней» Фикс.вес 0,2 ТМ «Стародворье»</v>
          </cell>
          <cell r="U196" t="str">
            <v/>
          </cell>
          <cell r="V196" t="str">
            <v/>
          </cell>
          <cell r="W196" t="str">
            <v>кор</v>
          </cell>
          <cell r="X196">
            <v>0</v>
          </cell>
          <cell r="Y196">
            <v>0</v>
          </cell>
          <cell r="Z196">
            <v>0</v>
          </cell>
        </row>
        <row r="197">
          <cell r="A197" t="str">
            <v>SU003963</v>
          </cell>
          <cell r="B197" t="str">
            <v>P005095</v>
          </cell>
          <cell r="C197">
            <v>4301135829</v>
          </cell>
          <cell r="D197">
            <v>4620207490235</v>
          </cell>
          <cell r="F197">
            <v>0.2</v>
          </cell>
          <cell r="G197">
            <v>12</v>
          </cell>
          <cell r="H197">
            <v>2.4</v>
          </cell>
          <cell r="I197">
            <v>3.1036000000000001</v>
          </cell>
          <cell r="J197">
            <v>70</v>
          </cell>
          <cell r="K197" t="str">
            <v>14</v>
          </cell>
          <cell r="L197" t="str">
            <v>Короб, мин. 1</v>
          </cell>
          <cell r="M197" t="str">
            <v>МГ</v>
          </cell>
          <cell r="O197">
            <v>180</v>
          </cell>
          <cell r="P197" t="str">
            <v>Снеки «ЖАР-ладушки с мясом» Фикс.вес 0,2 ТМ «Стародворье»</v>
          </cell>
          <cell r="U197" t="str">
            <v/>
          </cell>
          <cell r="V197" t="str">
            <v/>
          </cell>
          <cell r="W197" t="str">
            <v>кор</v>
          </cell>
          <cell r="X197">
            <v>0</v>
          </cell>
          <cell r="Y197">
            <v>0</v>
          </cell>
          <cell r="Z197">
            <v>0</v>
          </cell>
        </row>
        <row r="198">
          <cell r="A198" t="str">
            <v>SU003722</v>
          </cell>
          <cell r="B198" t="str">
            <v>P004812</v>
          </cell>
          <cell r="C198">
            <v>4301135697</v>
          </cell>
          <cell r="D198">
            <v>4620207490259</v>
          </cell>
          <cell r="F198">
            <v>0.2</v>
          </cell>
          <cell r="G198">
            <v>12</v>
          </cell>
          <cell r="H198">
            <v>2.4</v>
          </cell>
          <cell r="I198">
            <v>3.1036000000000001</v>
          </cell>
          <cell r="J198">
            <v>70</v>
          </cell>
          <cell r="K198" t="str">
            <v>14</v>
          </cell>
          <cell r="L198" t="str">
            <v>Слой, мин. 1</v>
          </cell>
          <cell r="M198" t="str">
            <v>МГ</v>
          </cell>
          <cell r="O198">
            <v>180</v>
          </cell>
          <cell r="P198" t="str">
            <v>Снеки «ЖАР-ладушки с яблоком и грушей» Фикс.вес 0,2 ТМ «Стародворье»</v>
          </cell>
          <cell r="U198" t="str">
            <v/>
          </cell>
          <cell r="V198" t="str">
            <v/>
          </cell>
          <cell r="W198" t="str">
            <v>кор</v>
          </cell>
          <cell r="X198">
            <v>0</v>
          </cell>
          <cell r="Y198">
            <v>0</v>
          </cell>
          <cell r="Z198">
            <v>0</v>
          </cell>
        </row>
        <row r="199">
          <cell r="A199" t="str">
            <v>SU003712</v>
          </cell>
          <cell r="B199" t="str">
            <v>P004785</v>
          </cell>
          <cell r="C199">
            <v>4301135681</v>
          </cell>
          <cell r="D199">
            <v>4620207490143</v>
          </cell>
          <cell r="F199">
            <v>0.22</v>
          </cell>
          <cell r="G199">
            <v>12</v>
          </cell>
          <cell r="H199">
            <v>2.64</v>
          </cell>
          <cell r="I199">
            <v>3.3435999999999999</v>
          </cell>
          <cell r="J199">
            <v>70</v>
          </cell>
          <cell r="K199" t="str">
            <v>14</v>
          </cell>
          <cell r="L199" t="str">
            <v>Слой, мин. 1</v>
          </cell>
          <cell r="M199" t="str">
            <v>МГ</v>
          </cell>
          <cell r="O199">
            <v>180</v>
          </cell>
          <cell r="P199" t="str">
            <v>Снеки «Куриные биточки в кляре с сырным соусом» Фикс.вес 0,22 ТМ «Стародворье»</v>
          </cell>
          <cell r="U199" t="str">
            <v/>
          </cell>
          <cell r="V199" t="str">
            <v/>
          </cell>
          <cell r="W199" t="str">
            <v>кор</v>
          </cell>
          <cell r="X199">
            <v>0</v>
          </cell>
          <cell r="Y199">
            <v>0</v>
          </cell>
          <cell r="Z199">
            <v>0</v>
          </cell>
        </row>
        <row r="200">
          <cell r="P200" t="str">
            <v>Итого</v>
          </cell>
          <cell r="W200" t="str">
            <v>кор</v>
          </cell>
          <cell r="X200">
            <v>0</v>
          </cell>
          <cell r="Y200">
            <v>0</v>
          </cell>
          <cell r="Z200">
            <v>0</v>
          </cell>
        </row>
        <row r="201">
          <cell r="P201" t="str">
            <v>Итого</v>
          </cell>
          <cell r="W201" t="str">
            <v>кг</v>
          </cell>
          <cell r="X201">
            <v>0</v>
          </cell>
          <cell r="Y201">
            <v>0</v>
          </cell>
        </row>
        <row r="202">
          <cell r="A202" t="str">
            <v>Стародворские</v>
          </cell>
        </row>
        <row r="203">
          <cell r="A203" t="str">
            <v>Пельмени</v>
          </cell>
        </row>
        <row r="204">
          <cell r="A204" t="str">
            <v>SU003935</v>
          </cell>
          <cell r="B204" t="str">
            <v>P005048</v>
          </cell>
          <cell r="C204">
            <v>4301071097</v>
          </cell>
          <cell r="D204">
            <v>4620207491096</v>
          </cell>
          <cell r="F204">
            <v>1</v>
          </cell>
          <cell r="G204">
            <v>5</v>
          </cell>
          <cell r="H204">
            <v>5</v>
          </cell>
          <cell r="I204">
            <v>5.23</v>
          </cell>
          <cell r="J204">
            <v>84</v>
          </cell>
          <cell r="K204" t="str">
            <v>12</v>
          </cell>
          <cell r="L204" t="str">
            <v>Слой, мин. 1</v>
          </cell>
          <cell r="M204" t="str">
            <v>МГ</v>
          </cell>
          <cell r="O204">
            <v>180</v>
          </cell>
          <cell r="P204" t="str">
            <v>Пельмени «Мясные с говядиной» Фикс.вес 1 сфера ТМ «Стародворье»</v>
          </cell>
          <cell r="U204" t="str">
            <v/>
          </cell>
          <cell r="V204" t="str">
            <v/>
          </cell>
          <cell r="W204" t="str">
            <v>кор</v>
          </cell>
          <cell r="X204">
            <v>0</v>
          </cell>
          <cell r="Y204">
            <v>0</v>
          </cell>
          <cell r="Z204">
            <v>0</v>
          </cell>
        </row>
        <row r="205">
          <cell r="P205" t="str">
            <v>Итого</v>
          </cell>
          <cell r="W205" t="str">
            <v>кор</v>
          </cell>
          <cell r="X205">
            <v>0</v>
          </cell>
          <cell r="Y205">
            <v>0</v>
          </cell>
          <cell r="Z205">
            <v>0</v>
          </cell>
        </row>
        <row r="206">
          <cell r="P206" t="str">
            <v>Итого</v>
          </cell>
          <cell r="W206" t="str">
            <v>кг</v>
          </cell>
          <cell r="X206">
            <v>0</v>
          </cell>
          <cell r="Y206">
            <v>0</v>
          </cell>
        </row>
        <row r="207">
          <cell r="A207" t="str">
            <v>Добросельские ЭТМ</v>
          </cell>
        </row>
        <row r="208">
          <cell r="A208" t="str">
            <v>Пельмени</v>
          </cell>
        </row>
        <row r="209">
          <cell r="A209" t="str">
            <v>SU003841</v>
          </cell>
          <cell r="B209" t="str">
            <v>P004905</v>
          </cell>
          <cell r="C209">
            <v>4301071093</v>
          </cell>
          <cell r="D209">
            <v>4620207490709</v>
          </cell>
          <cell r="F209">
            <v>0.65</v>
          </cell>
          <cell r="G209">
            <v>8</v>
          </cell>
          <cell r="H209">
            <v>5.2</v>
          </cell>
          <cell r="I209">
            <v>5.47</v>
          </cell>
          <cell r="J209">
            <v>84</v>
          </cell>
          <cell r="K209" t="str">
            <v>12</v>
          </cell>
          <cell r="L209" t="str">
            <v>Короб, мин. 1</v>
          </cell>
          <cell r="M209" t="str">
            <v>МГ</v>
          </cell>
          <cell r="O209">
            <v>180</v>
          </cell>
          <cell r="P209" t="str">
            <v>Пельмени «Добросельские со свининой и говядиной» Фикс.вес 0,65 классическая форма ТМ «Стародворье»</v>
          </cell>
          <cell r="U209" t="str">
            <v/>
          </cell>
          <cell r="V209" t="str">
            <v/>
          </cell>
          <cell r="W209" t="str">
            <v>кор</v>
          </cell>
          <cell r="X209">
            <v>0</v>
          </cell>
          <cell r="Y209">
            <v>0</v>
          </cell>
          <cell r="Z209">
            <v>0</v>
          </cell>
        </row>
        <row r="210">
          <cell r="P210" t="str">
            <v>Итого</v>
          </cell>
          <cell r="W210" t="str">
            <v>кор</v>
          </cell>
          <cell r="X210">
            <v>0</v>
          </cell>
          <cell r="Y210">
            <v>0</v>
          </cell>
          <cell r="Z210">
            <v>0</v>
          </cell>
        </row>
        <row r="211">
          <cell r="P211" t="str">
            <v>Итого</v>
          </cell>
          <cell r="W211" t="str">
            <v>кг</v>
          </cell>
          <cell r="X211">
            <v>0</v>
          </cell>
          <cell r="Y211">
            <v>0</v>
          </cell>
        </row>
        <row r="212">
          <cell r="A212" t="str">
            <v>Снеки</v>
          </cell>
        </row>
        <row r="213">
          <cell r="A213" t="str">
            <v>SU003706</v>
          </cell>
          <cell r="B213" t="str">
            <v>P004804</v>
          </cell>
          <cell r="C213">
            <v>4301135691</v>
          </cell>
          <cell r="D213">
            <v>4620207490549</v>
          </cell>
          <cell r="F213">
            <v>0.2</v>
          </cell>
          <cell r="G213">
            <v>12</v>
          </cell>
          <cell r="H213">
            <v>2.4</v>
          </cell>
          <cell r="I213">
            <v>3.1036000000000001</v>
          </cell>
          <cell r="J213">
            <v>70</v>
          </cell>
          <cell r="K213" t="str">
            <v>14</v>
          </cell>
          <cell r="L213" t="str">
            <v>Слой, мин. 1</v>
          </cell>
          <cell r="M213" t="str">
            <v>МГ</v>
          </cell>
          <cell r="O213">
            <v>180</v>
          </cell>
          <cell r="P213" t="str">
            <v>Снеки «Жареные пельмени с мясом Добросельские» Фикс.вес 0,2 ТМ «Стародворье»</v>
          </cell>
          <cell r="U213" t="str">
            <v/>
          </cell>
          <cell r="V213" t="str">
            <v/>
          </cell>
          <cell r="W213" t="str">
            <v>кор</v>
          </cell>
          <cell r="X213">
            <v>0</v>
          </cell>
          <cell r="Y213">
            <v>0</v>
          </cell>
          <cell r="Z213">
            <v>0</v>
          </cell>
        </row>
        <row r="214">
          <cell r="A214" t="str">
            <v>SU003707</v>
          </cell>
          <cell r="B214" t="str">
            <v>P004805</v>
          </cell>
          <cell r="C214">
            <v>4301135694</v>
          </cell>
          <cell r="D214">
            <v>4620207490501</v>
          </cell>
          <cell r="F214">
            <v>0.2</v>
          </cell>
          <cell r="G214">
            <v>12</v>
          </cell>
          <cell r="H214">
            <v>2.4</v>
          </cell>
          <cell r="I214">
            <v>3.1036000000000001</v>
          </cell>
          <cell r="J214">
            <v>70</v>
          </cell>
          <cell r="K214" t="str">
            <v>14</v>
          </cell>
          <cell r="L214" t="str">
            <v>Слой, мин. 1</v>
          </cell>
          <cell r="M214" t="str">
            <v>МГ</v>
          </cell>
          <cell r="O214">
            <v>180</v>
          </cell>
          <cell r="P214" t="str">
            <v>Снеки «Жареные пельмени с мясом и сыром Добросельские» Фикс.вес 0,2 ТМ «Стародворье»</v>
          </cell>
          <cell r="U214" t="str">
            <v/>
          </cell>
          <cell r="V214" t="str">
            <v/>
          </cell>
          <cell r="W214" t="str">
            <v>кор</v>
          </cell>
          <cell r="X214">
            <v>0</v>
          </cell>
          <cell r="Y214">
            <v>0</v>
          </cell>
          <cell r="Z214">
            <v>0</v>
          </cell>
        </row>
        <row r="215">
          <cell r="P215" t="str">
            <v>Итого</v>
          </cell>
          <cell r="W215" t="str">
            <v>кор</v>
          </cell>
          <cell r="X215">
            <v>0</v>
          </cell>
          <cell r="Y215">
            <v>0</v>
          </cell>
          <cell r="Z215">
            <v>0</v>
          </cell>
        </row>
        <row r="216">
          <cell r="P216" t="str">
            <v>Итого</v>
          </cell>
          <cell r="W216" t="str">
            <v>кг</v>
          </cell>
          <cell r="X216">
            <v>0</v>
          </cell>
          <cell r="Y216">
            <v>0</v>
          </cell>
        </row>
        <row r="217">
          <cell r="A217" t="str">
            <v>Колбасный стандарт</v>
          </cell>
        </row>
        <row r="218">
          <cell r="A218" t="str">
            <v>Владимирский Стандарт ЗПФ</v>
          </cell>
        </row>
        <row r="219">
          <cell r="A219" t="str">
            <v>Пельмени</v>
          </cell>
        </row>
        <row r="220">
          <cell r="A220" t="str">
            <v>SU002267</v>
          </cell>
          <cell r="B220" t="str">
            <v>P004241</v>
          </cell>
          <cell r="C220">
            <v>4301071036</v>
          </cell>
          <cell r="D220">
            <v>4607111036162</v>
          </cell>
          <cell r="F220">
            <v>0.8</v>
          </cell>
          <cell r="G220">
            <v>8</v>
          </cell>
          <cell r="H220">
            <v>6.4</v>
          </cell>
          <cell r="I220">
            <v>6.6811999999999996</v>
          </cell>
          <cell r="J220">
            <v>84</v>
          </cell>
          <cell r="K220" t="str">
            <v>12</v>
          </cell>
          <cell r="L220" t="str">
            <v>Короб, мин. 1</v>
          </cell>
          <cell r="M220" t="str">
            <v>МГ</v>
          </cell>
          <cell r="O220">
            <v>90</v>
          </cell>
          <cell r="P220" t="str">
            <v>Пельмени «Владимирский стандарт с говядиной и свининой» флоу-пак 0,8 Сфера ТМ «Владимирский стандарт»</v>
          </cell>
          <cell r="U220" t="str">
            <v/>
          </cell>
          <cell r="V220" t="str">
            <v/>
          </cell>
          <cell r="W220" t="str">
            <v>кор</v>
          </cell>
          <cell r="X220">
            <v>0</v>
          </cell>
          <cell r="Y220">
            <v>0</v>
          </cell>
          <cell r="Z220">
            <v>0</v>
          </cell>
        </row>
        <row r="221">
          <cell r="P221" t="str">
            <v>Итого</v>
          </cell>
          <cell r="W221" t="str">
            <v>кор</v>
          </cell>
          <cell r="X221">
            <v>0</v>
          </cell>
          <cell r="Y221">
            <v>0</v>
          </cell>
          <cell r="Z221">
            <v>0</v>
          </cell>
        </row>
        <row r="222">
          <cell r="P222" t="str">
            <v>Итого</v>
          </cell>
          <cell r="W222" t="str">
            <v>кг</v>
          </cell>
          <cell r="X222">
            <v>0</v>
          </cell>
          <cell r="Y222">
            <v>0</v>
          </cell>
        </row>
        <row r="223">
          <cell r="A223" t="str">
            <v>Особый рецепт</v>
          </cell>
        </row>
        <row r="224">
          <cell r="A224" t="str">
            <v>Любимая ложка</v>
          </cell>
        </row>
        <row r="225">
          <cell r="A225" t="str">
            <v>Пельмени</v>
          </cell>
        </row>
        <row r="226">
          <cell r="A226" t="str">
            <v>SU002268</v>
          </cell>
          <cell r="B226" t="str">
            <v>P004081</v>
          </cell>
          <cell r="C226">
            <v>4301071029</v>
          </cell>
          <cell r="D226">
            <v>4607111035899</v>
          </cell>
          <cell r="F226">
            <v>1</v>
          </cell>
          <cell r="G226">
            <v>5</v>
          </cell>
          <cell r="H226">
            <v>5</v>
          </cell>
          <cell r="I226">
            <v>5.2619999999999996</v>
          </cell>
          <cell r="J226">
            <v>84</v>
          </cell>
          <cell r="K226" t="str">
            <v>12</v>
          </cell>
          <cell r="L226" t="str">
            <v>Слой, мин. 1</v>
          </cell>
          <cell r="M226" t="str">
            <v>МГ</v>
          </cell>
          <cell r="O226">
            <v>180</v>
          </cell>
          <cell r="P226" t="str">
            <v>Пельмени Со свининой и говядиной Любимая ложка 1,0 Равиоли Особый рецепт</v>
          </cell>
          <cell r="U226" t="str">
            <v/>
          </cell>
          <cell r="V226" t="str">
            <v/>
          </cell>
          <cell r="W226" t="str">
            <v>кор</v>
          </cell>
          <cell r="X226">
            <v>0</v>
          </cell>
          <cell r="Y226">
            <v>0</v>
          </cell>
          <cell r="Z226">
            <v>0</v>
          </cell>
        </row>
        <row r="227">
          <cell r="P227" t="str">
            <v>Итого</v>
          </cell>
          <cell r="W227" t="str">
            <v>кор</v>
          </cell>
          <cell r="X227">
            <v>0</v>
          </cell>
          <cell r="Y227">
            <v>0</v>
          </cell>
          <cell r="Z227">
            <v>0</v>
          </cell>
        </row>
        <row r="228">
          <cell r="P228" t="str">
            <v>Итого</v>
          </cell>
          <cell r="W228" t="str">
            <v>кг</v>
          </cell>
          <cell r="X228">
            <v>0</v>
          </cell>
          <cell r="Y228">
            <v>0</v>
          </cell>
        </row>
        <row r="229">
          <cell r="A229" t="str">
            <v>Владимирский стандарт</v>
          </cell>
        </row>
        <row r="230">
          <cell r="A230" t="str">
            <v>Владимирский Стандарт ПГП</v>
          </cell>
        </row>
        <row r="231">
          <cell r="A231" t="str">
            <v>Печеные пельмени</v>
          </cell>
        </row>
        <row r="232">
          <cell r="A232" t="str">
            <v>SU003457</v>
          </cell>
          <cell r="B232" t="str">
            <v>P004382</v>
          </cell>
          <cell r="C232">
            <v>4301133004</v>
          </cell>
          <cell r="D232">
            <v>4607111039774</v>
          </cell>
          <cell r="F232">
            <v>0.25</v>
          </cell>
          <cell r="G232">
            <v>12</v>
          </cell>
          <cell r="H232">
            <v>3</v>
          </cell>
          <cell r="I232">
            <v>3.22</v>
          </cell>
          <cell r="J232">
            <v>70</v>
          </cell>
          <cell r="K232" t="str">
            <v>14</v>
          </cell>
          <cell r="L232" t="str">
            <v>Короб, мин. 1</v>
          </cell>
          <cell r="M232" t="str">
            <v>МГ</v>
          </cell>
          <cell r="O232">
            <v>180</v>
          </cell>
          <cell r="P232" t="str">
            <v>Печеные пельмени «Владимирский стандарт с сочной курочкой» Фикс.вес 0,25 ТМ «Владимирский стандарт»</v>
          </cell>
          <cell r="U232" t="str">
            <v/>
          </cell>
          <cell r="V232" t="str">
            <v/>
          </cell>
          <cell r="W232" t="str">
            <v>кор</v>
          </cell>
          <cell r="X232">
            <v>0</v>
          </cell>
          <cell r="Y232">
            <v>0</v>
          </cell>
          <cell r="Z232">
            <v>0</v>
          </cell>
        </row>
        <row r="233">
          <cell r="P233" t="str">
            <v>Итого</v>
          </cell>
          <cell r="W233" t="str">
            <v>кор</v>
          </cell>
          <cell r="X233">
            <v>0</v>
          </cell>
          <cell r="Y233">
            <v>0</v>
          </cell>
          <cell r="Z233">
            <v>0</v>
          </cell>
        </row>
        <row r="234">
          <cell r="P234" t="str">
            <v>Итого</v>
          </cell>
          <cell r="W234" t="str">
            <v>кг</v>
          </cell>
          <cell r="X234">
            <v>0</v>
          </cell>
          <cell r="Y234">
            <v>0</v>
          </cell>
        </row>
        <row r="235">
          <cell r="A235" t="str">
            <v>Снеки</v>
          </cell>
        </row>
        <row r="236">
          <cell r="A236" t="str">
            <v>SU003458</v>
          </cell>
          <cell r="B236" t="str">
            <v>P004385</v>
          </cell>
          <cell r="C236">
            <v>4301135400</v>
          </cell>
          <cell r="D236">
            <v>4607111039361</v>
          </cell>
          <cell r="F236">
            <v>0.25</v>
          </cell>
          <cell r="G236">
            <v>12</v>
          </cell>
          <cell r="H236">
            <v>3</v>
          </cell>
          <cell r="I236">
            <v>3.7035999999999998</v>
          </cell>
          <cell r="J236">
            <v>70</v>
          </cell>
          <cell r="K236" t="str">
            <v>14</v>
          </cell>
          <cell r="L236" t="str">
            <v>Слой, мин. 1</v>
          </cell>
          <cell r="M236" t="str">
            <v>МГ</v>
          </cell>
          <cell r="O236">
            <v>180</v>
          </cell>
          <cell r="P236" t="str">
            <v>Снеки «Мини-пицца Владимирский стандарт с ветчиной и грибами» ф/в 0,25 ТМ «Владимирский стандарт»</v>
          </cell>
          <cell r="U236" t="str">
            <v/>
          </cell>
          <cell r="V236" t="str">
            <v/>
          </cell>
          <cell r="W236" t="str">
            <v>кор</v>
          </cell>
          <cell r="X236">
            <v>0</v>
          </cell>
          <cell r="Y236">
            <v>0</v>
          </cell>
          <cell r="Z236">
            <v>0</v>
          </cell>
        </row>
        <row r="237">
          <cell r="P237" t="str">
            <v>Итого</v>
          </cell>
          <cell r="W237" t="str">
            <v>кор</v>
          </cell>
          <cell r="X237">
            <v>0</v>
          </cell>
          <cell r="Y237">
            <v>0</v>
          </cell>
          <cell r="Z237">
            <v>0</v>
          </cell>
        </row>
        <row r="238">
          <cell r="P238" t="str">
            <v>Итого</v>
          </cell>
          <cell r="W238" t="str">
            <v>кг</v>
          </cell>
          <cell r="X238">
            <v>0</v>
          </cell>
          <cell r="Y238">
            <v>0</v>
          </cell>
        </row>
        <row r="239">
          <cell r="A239" t="str">
            <v>Зареченские продукты</v>
          </cell>
        </row>
        <row r="240">
          <cell r="A240" t="str">
            <v>Зареченские продукты</v>
          </cell>
        </row>
        <row r="241">
          <cell r="A241" t="str">
            <v>Пельмени</v>
          </cell>
        </row>
        <row r="242">
          <cell r="A242" t="str">
            <v>SU003319</v>
          </cell>
          <cell r="B242" t="str">
            <v>P004053</v>
          </cell>
          <cell r="C242">
            <v>4301071014</v>
          </cell>
          <cell r="D242">
            <v>4640242181264</v>
          </cell>
          <cell r="F242">
            <v>0.7</v>
          </cell>
          <cell r="G242">
            <v>10</v>
          </cell>
          <cell r="H242">
            <v>7</v>
          </cell>
          <cell r="I242">
            <v>7.28</v>
          </cell>
          <cell r="J242">
            <v>84</v>
          </cell>
          <cell r="K242" t="str">
            <v>12</v>
          </cell>
          <cell r="L242" t="str">
            <v>Короб, мин. 1</v>
          </cell>
          <cell r="M242" t="str">
            <v>МГ</v>
          </cell>
          <cell r="O242">
            <v>180</v>
          </cell>
          <cell r="P242" t="str">
            <v>Пельмени «Домашние» 0,7 сфера ТМ «Зареченские»</v>
          </cell>
          <cell r="U242" t="str">
            <v/>
          </cell>
          <cell r="V242" t="str">
            <v/>
          </cell>
          <cell r="W242" t="str">
            <v>кор</v>
          </cell>
          <cell r="X242">
            <v>0</v>
          </cell>
          <cell r="Y242">
            <v>0</v>
          </cell>
          <cell r="Z242">
            <v>0</v>
          </cell>
        </row>
        <row r="243">
          <cell r="A243" t="str">
            <v>SU003320</v>
          </cell>
          <cell r="B243" t="str">
            <v>P004060</v>
          </cell>
          <cell r="C243">
            <v>4301071021</v>
          </cell>
          <cell r="D243">
            <v>4640242181325</v>
          </cell>
          <cell r="F243">
            <v>0.7</v>
          </cell>
          <cell r="G243">
            <v>10</v>
          </cell>
          <cell r="H243">
            <v>7</v>
          </cell>
          <cell r="I243">
            <v>7.28</v>
          </cell>
          <cell r="J243">
            <v>84</v>
          </cell>
          <cell r="K243" t="str">
            <v>12</v>
          </cell>
          <cell r="L243" t="str">
            <v>Слой, мин. 1</v>
          </cell>
          <cell r="M243" t="str">
            <v>МГ</v>
          </cell>
          <cell r="O243">
            <v>180</v>
          </cell>
          <cell r="P243" t="str">
            <v>Пельмени «Домашние со сливочным маслом» 0,7 сфера ТМ «Зареченские»</v>
          </cell>
          <cell r="U243" t="str">
            <v/>
          </cell>
          <cell r="V243" t="str">
            <v/>
          </cell>
          <cell r="W243" t="str">
            <v>кор</v>
          </cell>
          <cell r="X243">
            <v>0</v>
          </cell>
          <cell r="Y243">
            <v>0</v>
          </cell>
          <cell r="Z243">
            <v>0</v>
          </cell>
        </row>
        <row r="244">
          <cell r="P244" t="str">
            <v>Итого</v>
          </cell>
          <cell r="W244" t="str">
            <v>кор</v>
          </cell>
          <cell r="X244">
            <v>0</v>
          </cell>
          <cell r="Y244">
            <v>0</v>
          </cell>
          <cell r="Z244">
            <v>0</v>
          </cell>
        </row>
        <row r="245">
          <cell r="P245" t="str">
            <v>Итого</v>
          </cell>
          <cell r="W245" t="str">
            <v>кг</v>
          </cell>
          <cell r="X245">
            <v>0</v>
          </cell>
          <cell r="Y245">
            <v>0</v>
          </cell>
        </row>
        <row r="246">
          <cell r="A246" t="str">
            <v>Наггетсы</v>
          </cell>
        </row>
        <row r="247">
          <cell r="A247" t="str">
            <v>SU003020</v>
          </cell>
          <cell r="B247" t="str">
            <v>P003486</v>
          </cell>
          <cell r="C247">
            <v>4301132080</v>
          </cell>
          <cell r="D247">
            <v>4640242180397</v>
          </cell>
          <cell r="F247">
            <v>1</v>
          </cell>
          <cell r="G247">
            <v>6</v>
          </cell>
          <cell r="H247">
            <v>6</v>
          </cell>
          <cell r="I247">
            <v>6.26</v>
          </cell>
          <cell r="J247">
            <v>84</v>
          </cell>
          <cell r="K247" t="str">
            <v>12</v>
          </cell>
          <cell r="L247" t="str">
            <v>Слой, мин. 1</v>
          </cell>
          <cell r="M247" t="str">
            <v>МГ</v>
          </cell>
          <cell r="O247">
            <v>180</v>
          </cell>
          <cell r="P247" t="str">
            <v>Наггетсы «Хрустящие» Весовые ТМ «Зареченские» 6 кг</v>
          </cell>
          <cell r="U247" t="str">
            <v/>
          </cell>
          <cell r="V247" t="str">
            <v/>
          </cell>
          <cell r="W247" t="str">
            <v>кор</v>
          </cell>
          <cell r="X247">
            <v>0</v>
          </cell>
          <cell r="Y247">
            <v>0</v>
          </cell>
          <cell r="Z247">
            <v>0</v>
          </cell>
        </row>
        <row r="248">
          <cell r="A248" t="str">
            <v>SU003381</v>
          </cell>
          <cell r="B248" t="str">
            <v>P004190</v>
          </cell>
          <cell r="C248">
            <v>4301132104</v>
          </cell>
          <cell r="D248">
            <v>4640242181219</v>
          </cell>
          <cell r="F248">
            <v>0.3</v>
          </cell>
          <cell r="G248">
            <v>9</v>
          </cell>
          <cell r="H248">
            <v>2.7</v>
          </cell>
          <cell r="I248">
            <v>2.8450000000000002</v>
          </cell>
          <cell r="J248">
            <v>234</v>
          </cell>
          <cell r="K248" t="str">
            <v>18</v>
          </cell>
          <cell r="L248" t="str">
            <v>Слой, мин. 1</v>
          </cell>
          <cell r="M248" t="str">
            <v>МГ</v>
          </cell>
          <cell r="O248">
            <v>180</v>
          </cell>
          <cell r="P248" t="str">
            <v>Наггетсы «Хрустящие» Фикс.вес 0,3 ф/п ТМ «Зареченские»</v>
          </cell>
          <cell r="U248" t="str">
            <v/>
          </cell>
          <cell r="V248" t="str">
            <v/>
          </cell>
          <cell r="W248" t="str">
            <v>кор</v>
          </cell>
          <cell r="X248">
            <v>0</v>
          </cell>
          <cell r="Y248">
            <v>0</v>
          </cell>
          <cell r="Z248">
            <v>0</v>
          </cell>
        </row>
        <row r="249">
          <cell r="P249" t="str">
            <v>Итого</v>
          </cell>
          <cell r="W249" t="str">
            <v>кор</v>
          </cell>
          <cell r="X249">
            <v>0</v>
          </cell>
          <cell r="Y249">
            <v>0</v>
          </cell>
          <cell r="Z249">
            <v>0</v>
          </cell>
        </row>
        <row r="250">
          <cell r="P250" t="str">
            <v>Итого</v>
          </cell>
          <cell r="W250" t="str">
            <v>кг</v>
          </cell>
          <cell r="X250">
            <v>0</v>
          </cell>
          <cell r="Y250">
            <v>0</v>
          </cell>
        </row>
        <row r="251">
          <cell r="A251" t="str">
            <v>Чебуреки</v>
          </cell>
        </row>
        <row r="252">
          <cell r="A252" t="str">
            <v>SU003012</v>
          </cell>
          <cell r="B252" t="str">
            <v>P003478</v>
          </cell>
          <cell r="C252">
            <v>4301136051</v>
          </cell>
          <cell r="D252">
            <v>4640242180304</v>
          </cell>
          <cell r="F252">
            <v>2.7</v>
          </cell>
          <cell r="G252">
            <v>1</v>
          </cell>
          <cell r="H252">
            <v>2.7</v>
          </cell>
          <cell r="I252">
            <v>2.8906000000000001</v>
          </cell>
          <cell r="J252">
            <v>126</v>
          </cell>
          <cell r="K252" t="str">
            <v>14</v>
          </cell>
          <cell r="L252" t="str">
            <v>Слой, мин. 1</v>
          </cell>
          <cell r="M252" t="str">
            <v>МГ</v>
          </cell>
          <cell r="O252">
            <v>180</v>
          </cell>
          <cell r="P252" t="str">
            <v>Чебуреки «Мясные» Весовые ТМ «Зареченские» 2,7 кг</v>
          </cell>
          <cell r="U252" t="str">
            <v/>
          </cell>
          <cell r="V252" t="str">
            <v/>
          </cell>
          <cell r="W252" t="str">
            <v>кор</v>
          </cell>
          <cell r="X252">
            <v>0</v>
          </cell>
          <cell r="Y252">
            <v>0</v>
          </cell>
          <cell r="Z252">
            <v>0</v>
          </cell>
        </row>
        <row r="253">
          <cell r="A253" t="str">
            <v>SU003010</v>
          </cell>
          <cell r="B253" t="str">
            <v>P003476</v>
          </cell>
          <cell r="C253">
            <v>4301136053</v>
          </cell>
          <cell r="D253">
            <v>4640242180236</v>
          </cell>
          <cell r="F253">
            <v>5</v>
          </cell>
          <cell r="G253">
            <v>1</v>
          </cell>
          <cell r="H253">
            <v>5</v>
          </cell>
          <cell r="I253">
            <v>5.2350000000000003</v>
          </cell>
          <cell r="J253">
            <v>84</v>
          </cell>
          <cell r="K253" t="str">
            <v>12</v>
          </cell>
          <cell r="L253" t="str">
            <v>Слой, мин. 1</v>
          </cell>
          <cell r="M253" t="str">
            <v>МГ</v>
          </cell>
          <cell r="O253">
            <v>180</v>
          </cell>
          <cell r="P253" t="str">
            <v>Чебуреки «Сочные» Весовые ТМ «Зареченские» 5 кг</v>
          </cell>
          <cell r="U253" t="str">
            <v/>
          </cell>
          <cell r="V253" t="str">
            <v/>
          </cell>
          <cell r="W253" t="str">
            <v>кор</v>
          </cell>
          <cell r="X253">
            <v>0</v>
          </cell>
          <cell r="Y253">
            <v>0</v>
          </cell>
          <cell r="Z253">
            <v>0</v>
          </cell>
        </row>
        <row r="254">
          <cell r="A254" t="str">
            <v>SU003025</v>
          </cell>
          <cell r="B254" t="str">
            <v>P003495</v>
          </cell>
          <cell r="C254">
            <v>4301136052</v>
          </cell>
          <cell r="D254">
            <v>4640242180410</v>
          </cell>
          <cell r="F254">
            <v>2.2400000000000002</v>
          </cell>
          <cell r="G254">
            <v>1</v>
          </cell>
          <cell r="H254">
            <v>2.2400000000000002</v>
          </cell>
          <cell r="I254">
            <v>2.4319999999999999</v>
          </cell>
          <cell r="J254">
            <v>126</v>
          </cell>
          <cell r="K254" t="str">
            <v>14</v>
          </cell>
          <cell r="L254" t="str">
            <v>Короб, мин. 1</v>
          </cell>
          <cell r="M254" t="str">
            <v>МГ</v>
          </cell>
          <cell r="O254">
            <v>180</v>
          </cell>
          <cell r="P254" t="str">
            <v>Чебуреки «Сочный мегачебурек» Весовой ТМ «Зареченские» 2,24 кг</v>
          </cell>
          <cell r="U254" t="str">
            <v/>
          </cell>
          <cell r="V254" t="str">
            <v/>
          </cell>
          <cell r="W254" t="str">
            <v>кор</v>
          </cell>
          <cell r="X254">
            <v>0</v>
          </cell>
          <cell r="Y254">
            <v>0</v>
          </cell>
          <cell r="Z254">
            <v>0</v>
          </cell>
        </row>
        <row r="255">
          <cell r="P255" t="str">
            <v>Итого</v>
          </cell>
          <cell r="W255" t="str">
            <v>кор</v>
          </cell>
          <cell r="X255">
            <v>0</v>
          </cell>
          <cell r="Y255">
            <v>0</v>
          </cell>
          <cell r="Z255">
            <v>0</v>
          </cell>
        </row>
        <row r="256">
          <cell r="P256" t="str">
            <v>Итого</v>
          </cell>
          <cell r="W256" t="str">
            <v>кг</v>
          </cell>
          <cell r="X256">
            <v>0</v>
          </cell>
          <cell r="Y256">
            <v>0</v>
          </cell>
        </row>
        <row r="257">
          <cell r="A257" t="str">
            <v>Снеки</v>
          </cell>
        </row>
        <row r="258">
          <cell r="A258" t="str">
            <v>SU003510</v>
          </cell>
          <cell r="B258" t="str">
            <v>P004457</v>
          </cell>
          <cell r="C258">
            <v>4301135504</v>
          </cell>
          <cell r="D258">
            <v>4640242181554</v>
          </cell>
          <cell r="F258">
            <v>3</v>
          </cell>
          <cell r="G258">
            <v>1</v>
          </cell>
          <cell r="H258">
            <v>3</v>
          </cell>
          <cell r="I258">
            <v>3.1920000000000002</v>
          </cell>
          <cell r="J258">
            <v>126</v>
          </cell>
          <cell r="K258" t="str">
            <v>14</v>
          </cell>
          <cell r="L258" t="str">
            <v>Слой, мин. 1</v>
          </cell>
          <cell r="M258" t="str">
            <v>МГ</v>
          </cell>
          <cell r="O258">
            <v>180</v>
          </cell>
          <cell r="P258" t="str">
            <v>Снеки «Мини-пицца с ветчиной и сыром» Весовые ТМ «Зареченские продукты» 3 кг</v>
          </cell>
          <cell r="U258" t="str">
            <v/>
          </cell>
          <cell r="V258" t="str">
            <v/>
          </cell>
          <cell r="W258" t="str">
            <v>кор</v>
          </cell>
          <cell r="X258">
            <v>0</v>
          </cell>
          <cell r="Y258">
            <v>0</v>
          </cell>
          <cell r="Z258">
            <v>0</v>
          </cell>
        </row>
        <row r="259">
          <cell r="A259" t="str">
            <v>SU003454</v>
          </cell>
          <cell r="B259" t="str">
            <v>P004364</v>
          </cell>
          <cell r="C259">
            <v>4301135518</v>
          </cell>
          <cell r="D259">
            <v>4640242181561</v>
          </cell>
          <cell r="F259">
            <v>3.7</v>
          </cell>
          <cell r="G259">
            <v>1</v>
          </cell>
          <cell r="H259">
            <v>3.7</v>
          </cell>
          <cell r="I259">
            <v>3.8919999999999999</v>
          </cell>
          <cell r="J259">
            <v>126</v>
          </cell>
          <cell r="K259" t="str">
            <v>14</v>
          </cell>
          <cell r="L259" t="str">
            <v>Слой, мин. 1</v>
          </cell>
          <cell r="M259" t="str">
            <v>МГ</v>
          </cell>
          <cell r="O259">
            <v>180</v>
          </cell>
          <cell r="P259" t="str">
            <v>Снеки «Мини-сосиски в тесте» Весовые ТМ «Зареченские» 3,7 кг</v>
          </cell>
          <cell r="U259" t="str">
            <v/>
          </cell>
          <cell r="V259" t="str">
            <v/>
          </cell>
          <cell r="W259" t="str">
            <v>кор</v>
          </cell>
          <cell r="X259">
            <v>0</v>
          </cell>
          <cell r="Y259">
            <v>0</v>
          </cell>
          <cell r="Z259">
            <v>0</v>
          </cell>
        </row>
        <row r="260">
          <cell r="A260" t="str">
            <v>SU003434</v>
          </cell>
          <cell r="B260" t="str">
            <v>P004358</v>
          </cell>
          <cell r="C260">
            <v>4301135374</v>
          </cell>
          <cell r="D260">
            <v>4640242181424</v>
          </cell>
          <cell r="F260">
            <v>5.5</v>
          </cell>
          <cell r="G260">
            <v>1</v>
          </cell>
          <cell r="H260">
            <v>5.5</v>
          </cell>
          <cell r="I260">
            <v>5.7350000000000003</v>
          </cell>
          <cell r="J260">
            <v>84</v>
          </cell>
          <cell r="K260" t="str">
            <v>12</v>
          </cell>
          <cell r="L260" t="str">
            <v>Слой, мин. 1</v>
          </cell>
          <cell r="M260" t="str">
            <v>МГ</v>
          </cell>
          <cell r="O260">
            <v>180</v>
          </cell>
          <cell r="P260" t="str">
            <v>Снеки «Мини-чебуречки с мясом» Весовой ТМ «Зареченские» 5,5 кг</v>
          </cell>
          <cell r="U260" t="str">
            <v/>
          </cell>
          <cell r="V260" t="str">
            <v/>
          </cell>
          <cell r="W260" t="str">
            <v>кор</v>
          </cell>
          <cell r="X260">
            <v>0</v>
          </cell>
          <cell r="Y260">
            <v>0</v>
          </cell>
          <cell r="Z260">
            <v>0</v>
          </cell>
        </row>
        <row r="261">
          <cell r="A261" t="str">
            <v>SU003448</v>
          </cell>
          <cell r="B261" t="str">
            <v>P004394</v>
          </cell>
          <cell r="C261">
            <v>4301135405</v>
          </cell>
          <cell r="D261">
            <v>4640242181523</v>
          </cell>
          <cell r="F261">
            <v>3</v>
          </cell>
          <cell r="G261">
            <v>1</v>
          </cell>
          <cell r="H261">
            <v>3</v>
          </cell>
          <cell r="I261">
            <v>3.1920000000000002</v>
          </cell>
          <cell r="J261">
            <v>126</v>
          </cell>
          <cell r="K261" t="str">
            <v>14</v>
          </cell>
          <cell r="L261" t="str">
            <v>Слой, мин. 1</v>
          </cell>
          <cell r="M261" t="str">
            <v>МГ</v>
          </cell>
          <cell r="O261">
            <v>180</v>
          </cell>
          <cell r="P261" t="str">
            <v>Снеки «Мини-шарики с курочкой и сыром» Весовой ТМ «Зареченские» 3 кг</v>
          </cell>
          <cell r="U261" t="str">
            <v/>
          </cell>
          <cell r="V261" t="str">
            <v/>
          </cell>
          <cell r="W261" t="str">
            <v>кор</v>
          </cell>
          <cell r="X261">
            <v>0</v>
          </cell>
          <cell r="Y261">
            <v>0</v>
          </cell>
          <cell r="Z261">
            <v>0</v>
          </cell>
        </row>
        <row r="262">
          <cell r="A262" t="str">
            <v>SU003439</v>
          </cell>
          <cell r="B262" t="str">
            <v>P004359</v>
          </cell>
          <cell r="C262">
            <v>4301135375</v>
          </cell>
          <cell r="D262">
            <v>4640242181486</v>
          </cell>
          <cell r="F262">
            <v>3.7</v>
          </cell>
          <cell r="G262">
            <v>1</v>
          </cell>
          <cell r="H262">
            <v>3.7</v>
          </cell>
          <cell r="I262">
            <v>3.8919999999999999</v>
          </cell>
          <cell r="J262">
            <v>126</v>
          </cell>
          <cell r="K262" t="str">
            <v>14</v>
          </cell>
          <cell r="L262" t="str">
            <v>Палетта, мин. 1</v>
          </cell>
          <cell r="M262" t="str">
            <v>МГ</v>
          </cell>
          <cell r="O262">
            <v>180</v>
          </cell>
          <cell r="P262" t="str">
            <v>«Пирожки с мясом» Весовые ТМ «Зареченские» 3,7 кг</v>
          </cell>
          <cell r="U262" t="str">
            <v/>
          </cell>
          <cell r="V262" t="str">
            <v/>
          </cell>
          <cell r="W262" t="str">
            <v>кор</v>
          </cell>
          <cell r="X262">
            <v>0</v>
          </cell>
          <cell r="Y262">
            <v>0</v>
          </cell>
          <cell r="Z262">
            <v>0</v>
          </cell>
        </row>
        <row r="263">
          <cell r="A263" t="str">
            <v>SU003442</v>
          </cell>
          <cell r="B263" t="str">
            <v>P004391</v>
          </cell>
          <cell r="C263">
            <v>4301135402</v>
          </cell>
          <cell r="D263">
            <v>4640242181493</v>
          </cell>
          <cell r="F263">
            <v>3.7</v>
          </cell>
          <cell r="G263">
            <v>1</v>
          </cell>
          <cell r="H263">
            <v>3.7</v>
          </cell>
          <cell r="I263">
            <v>3.8919999999999999</v>
          </cell>
          <cell r="J263">
            <v>126</v>
          </cell>
          <cell r="K263" t="str">
            <v>14</v>
          </cell>
          <cell r="L263" t="str">
            <v>Слой, мин. 1</v>
          </cell>
          <cell r="M263" t="str">
            <v>МГ</v>
          </cell>
          <cell r="O263">
            <v>180</v>
          </cell>
          <cell r="P263" t="str">
            <v>Снеки «Пирожки с мясом, картофелем и грибами» Весовые ТМ «Зареченские» 3,7 кг</v>
          </cell>
          <cell r="U263" t="str">
            <v/>
          </cell>
          <cell r="V263" t="str">
            <v/>
          </cell>
          <cell r="W263" t="str">
            <v>кор</v>
          </cell>
          <cell r="X263">
            <v>0</v>
          </cell>
          <cell r="Y263">
            <v>0</v>
          </cell>
          <cell r="Z263">
            <v>0</v>
          </cell>
        </row>
        <row r="264">
          <cell r="A264" t="str">
            <v>SU003444</v>
          </cell>
          <cell r="B264" t="str">
            <v>P004392</v>
          </cell>
          <cell r="C264">
            <v>4301135403</v>
          </cell>
          <cell r="D264">
            <v>4640242181509</v>
          </cell>
          <cell r="F264">
            <v>3.7</v>
          </cell>
          <cell r="G264">
            <v>1</v>
          </cell>
          <cell r="H264">
            <v>3.7</v>
          </cell>
          <cell r="I264">
            <v>3.8919999999999999</v>
          </cell>
          <cell r="J264">
            <v>126</v>
          </cell>
          <cell r="K264" t="str">
            <v>14</v>
          </cell>
          <cell r="L264" t="str">
            <v>Слой, мин. 1</v>
          </cell>
          <cell r="M264" t="str">
            <v>МГ</v>
          </cell>
          <cell r="O264">
            <v>180</v>
          </cell>
          <cell r="P264" t="str">
            <v>Снеки «Пирожки с яблоком и грушей» Весовой ТМ «Зареченские» 3,7 кг</v>
          </cell>
          <cell r="U264" t="str">
            <v/>
          </cell>
          <cell r="V264" t="str">
            <v/>
          </cell>
          <cell r="W264" t="str">
            <v>кор</v>
          </cell>
          <cell r="X264">
            <v>0</v>
          </cell>
          <cell r="Y264">
            <v>0</v>
          </cell>
          <cell r="Z264">
            <v>0</v>
          </cell>
        </row>
        <row r="265">
          <cell r="A265" t="str">
            <v>SU003383</v>
          </cell>
          <cell r="B265" t="str">
            <v>P004191</v>
          </cell>
          <cell r="C265">
            <v>4301135304</v>
          </cell>
          <cell r="D265">
            <v>4640242181240</v>
          </cell>
          <cell r="F265">
            <v>0.3</v>
          </cell>
          <cell r="G265">
            <v>9</v>
          </cell>
          <cell r="H265">
            <v>2.7</v>
          </cell>
          <cell r="I265">
            <v>2.88</v>
          </cell>
          <cell r="J265">
            <v>126</v>
          </cell>
          <cell r="K265" t="str">
            <v>14</v>
          </cell>
          <cell r="L265" t="str">
            <v>Слой, мин. 1</v>
          </cell>
          <cell r="M265" t="str">
            <v>МГ</v>
          </cell>
          <cell r="O265">
            <v>180</v>
          </cell>
          <cell r="P265" t="str">
            <v>Снеки «Мини-пицца с ветчиной и сыром» Фикс.вес 0,3 ф/п ТМ «Зареченские»</v>
          </cell>
          <cell r="U265" t="str">
            <v/>
          </cell>
          <cell r="V265" t="str">
            <v/>
          </cell>
          <cell r="W265" t="str">
            <v>кор</v>
          </cell>
          <cell r="X265">
            <v>0</v>
          </cell>
          <cell r="Y265">
            <v>0</v>
          </cell>
          <cell r="Z265">
            <v>0</v>
          </cell>
        </row>
        <row r="266">
          <cell r="A266" t="str">
            <v>SU003382</v>
          </cell>
          <cell r="B266" t="str">
            <v>P004195</v>
          </cell>
          <cell r="C266">
            <v>4301135610</v>
          </cell>
          <cell r="D266">
            <v>4640242181318</v>
          </cell>
          <cell r="F266">
            <v>0.3</v>
          </cell>
          <cell r="G266">
            <v>9</v>
          </cell>
          <cell r="H266">
            <v>2.7</v>
          </cell>
          <cell r="I266">
            <v>2.988</v>
          </cell>
          <cell r="J266">
            <v>126</v>
          </cell>
          <cell r="K266" t="str">
            <v>14</v>
          </cell>
          <cell r="L266" t="str">
            <v>Слой, мин. 1</v>
          </cell>
          <cell r="M266" t="str">
            <v>МГ</v>
          </cell>
          <cell r="O266">
            <v>180</v>
          </cell>
          <cell r="P266" t="str">
            <v>Снеки «Мини-сосиски в тесте» Фикс.вес 0,3 ф/п ТМ «Зареченские»</v>
          </cell>
          <cell r="U266" t="str">
            <v/>
          </cell>
          <cell r="V266" t="str">
            <v/>
          </cell>
          <cell r="W266" t="str">
            <v>кор</v>
          </cell>
          <cell r="X266">
            <v>0</v>
          </cell>
          <cell r="Y266">
            <v>0</v>
          </cell>
          <cell r="Z266">
            <v>0</v>
          </cell>
        </row>
        <row r="267">
          <cell r="A267" t="str">
            <v>SU003377</v>
          </cell>
          <cell r="B267" t="str">
            <v>P004193</v>
          </cell>
          <cell r="C267">
            <v>4301135306</v>
          </cell>
          <cell r="D267">
            <v>4640242181387</v>
          </cell>
          <cell r="F267">
            <v>0.3</v>
          </cell>
          <cell r="G267">
            <v>9</v>
          </cell>
          <cell r="H267">
            <v>2.7</v>
          </cell>
          <cell r="I267">
            <v>2.8450000000000002</v>
          </cell>
          <cell r="J267">
            <v>234</v>
          </cell>
          <cell r="K267" t="str">
            <v>18</v>
          </cell>
          <cell r="L267" t="str">
            <v>Слой, мин. 1</v>
          </cell>
          <cell r="M267" t="str">
            <v>МГ</v>
          </cell>
          <cell r="O267">
            <v>180</v>
          </cell>
          <cell r="P267" t="str">
            <v>Снеки «Мини-чебуречки с мясом» Фикс.вес 0,3 ф/п ТМ «Зареченские»</v>
          </cell>
          <cell r="U267" t="str">
            <v/>
          </cell>
          <cell r="V267" t="str">
            <v/>
          </cell>
          <cell r="W267" t="str">
            <v>кор</v>
          </cell>
          <cell r="X267">
            <v>0</v>
          </cell>
          <cell r="Y267">
            <v>0</v>
          </cell>
          <cell r="Z267">
            <v>0</v>
          </cell>
        </row>
        <row r="268">
          <cell r="P268" t="str">
            <v>Итого</v>
          </cell>
          <cell r="W268" t="str">
            <v>кор</v>
          </cell>
          <cell r="X268">
            <v>0</v>
          </cell>
          <cell r="Y268">
            <v>0</v>
          </cell>
          <cell r="Z268">
            <v>0</v>
          </cell>
        </row>
        <row r="269">
          <cell r="P269" t="str">
            <v>Итого</v>
          </cell>
          <cell r="W269" t="str">
            <v>кг</v>
          </cell>
          <cell r="X269">
            <v>0</v>
          </cell>
          <cell r="Y269">
            <v>0</v>
          </cell>
        </row>
        <row r="270">
          <cell r="P270" t="str">
            <v>ИТОГО НЕТТО</v>
          </cell>
          <cell r="W270" t="str">
            <v>кг</v>
          </cell>
          <cell r="X270">
            <v>0</v>
          </cell>
          <cell r="Y270">
            <v>0</v>
          </cell>
        </row>
        <row r="271">
          <cell r="P271" t="str">
            <v>ИТОГО БРУТТО</v>
          </cell>
          <cell r="W271" t="str">
            <v>кг</v>
          </cell>
          <cell r="X271">
            <v>0</v>
          </cell>
          <cell r="Y271">
            <v>0</v>
          </cell>
        </row>
        <row r="272">
          <cell r="P272" t="str">
            <v>Кол-во паллет</v>
          </cell>
          <cell r="W272" t="str">
            <v>шт</v>
          </cell>
          <cell r="X272">
            <v>0</v>
          </cell>
          <cell r="Y272">
            <v>0</v>
          </cell>
        </row>
        <row r="273">
          <cell r="P273" t="str">
            <v>Вес брутто  с паллетами</v>
          </cell>
          <cell r="W273" t="str">
            <v>кг</v>
          </cell>
          <cell r="X273">
            <v>0</v>
          </cell>
          <cell r="Y273">
            <v>0</v>
          </cell>
        </row>
        <row r="274">
          <cell r="P274" t="str">
            <v>Кол-во коробок</v>
          </cell>
          <cell r="W274" t="str">
            <v>шт</v>
          </cell>
          <cell r="X274">
            <v>0</v>
          </cell>
          <cell r="Y274">
            <v>0</v>
          </cell>
        </row>
        <row r="275">
          <cell r="P275" t="str">
            <v>Объем заказа</v>
          </cell>
          <cell r="W275" t="str">
            <v>м3</v>
          </cell>
          <cell r="Z275">
            <v>0</v>
          </cell>
        </row>
        <row r="277">
          <cell r="A277" t="str">
            <v>ТОРГОВАЯ МАРКА</v>
          </cell>
          <cell r="B277" t="str">
            <v>Медвежье ушко</v>
          </cell>
          <cell r="C277" t="str">
            <v>Медвежье ушко</v>
          </cell>
          <cell r="D277" t="str">
            <v>Горячая штучка</v>
          </cell>
          <cell r="E277" t="str">
            <v>Горячая штучка</v>
          </cell>
          <cell r="F277" t="str">
            <v>Горячая штучка</v>
          </cell>
          <cell r="G277" t="str">
            <v>Горячая штучка</v>
          </cell>
          <cell r="H277" t="str">
            <v>Горячая штучка</v>
          </cell>
          <cell r="I277" t="str">
            <v>Горячая штучка</v>
          </cell>
          <cell r="J277" t="str">
            <v>Горячая штучка</v>
          </cell>
          <cell r="K277" t="str">
            <v>Горячая штучка</v>
          </cell>
          <cell r="L277" t="str">
            <v>Горячая штучка</v>
          </cell>
          <cell r="M277" t="str">
            <v>Горячая штучка</v>
          </cell>
          <cell r="O277" t="str">
            <v>Горячая штучка</v>
          </cell>
          <cell r="P277" t="str">
            <v>Горячая штучка</v>
          </cell>
          <cell r="Q277" t="str">
            <v>Горячая штучка</v>
          </cell>
          <cell r="R277" t="str">
            <v>Горячая штучка</v>
          </cell>
          <cell r="S277" t="str">
            <v>Горячая штучка</v>
          </cell>
          <cell r="T277" t="str">
            <v>Горячая штучка</v>
          </cell>
          <cell r="U277" t="str">
            <v>Горячая штучка</v>
          </cell>
          <cell r="V277" t="str">
            <v>No Name</v>
          </cell>
          <cell r="W277" t="str">
            <v>Вязанка</v>
          </cell>
          <cell r="X277" t="str">
            <v>Стародворье</v>
          </cell>
          <cell r="Y277" t="str">
            <v>Стародворье</v>
          </cell>
          <cell r="Z277" t="str">
            <v>Стародворье</v>
          </cell>
        </row>
        <row r="278">
          <cell r="A278" t="str">
            <v>СЕРИЯ</v>
          </cell>
          <cell r="B278" t="str">
            <v>Медвежье ушко</v>
          </cell>
          <cell r="C278" t="str">
            <v>Сочные</v>
          </cell>
          <cell r="D278" t="str">
            <v>Наггетсы ГШ</v>
          </cell>
          <cell r="E278" t="str">
            <v>Grandmeni</v>
          </cell>
          <cell r="F278" t="str">
            <v>Бигбули ГШ</v>
          </cell>
          <cell r="G278" t="str">
            <v>Foodgital</v>
          </cell>
          <cell r="H278" t="str">
            <v>Бульмени вес ГШ</v>
          </cell>
          <cell r="I278" t="str">
            <v>Бельмеши</v>
          </cell>
          <cell r="J278" t="str">
            <v>Крылышки ГШ</v>
          </cell>
          <cell r="K278" t="str">
            <v>Чебупели</v>
          </cell>
          <cell r="L278" t="str">
            <v>Чебуреки ГШ</v>
          </cell>
          <cell r="M278" t="str">
            <v>Бульмени ГШ</v>
          </cell>
          <cell r="O278" t="str">
            <v>Чебупицца</v>
          </cell>
          <cell r="P278" t="str">
            <v>Хотстеры</v>
          </cell>
          <cell r="Q278" t="str">
            <v>Круггетсы</v>
          </cell>
          <cell r="R278" t="str">
            <v>Пекерсы</v>
          </cell>
          <cell r="S278" t="str">
            <v>Хот-Догстер</v>
          </cell>
          <cell r="T278" t="str">
            <v>Супермени</v>
          </cell>
          <cell r="U278" t="str">
            <v>Чебуманы</v>
          </cell>
          <cell r="V278" t="str">
            <v>No Name ЗПФ</v>
          </cell>
          <cell r="W278" t="str">
            <v>Сливушка</v>
          </cell>
          <cell r="X278" t="str">
            <v>Стародворье ПГП</v>
          </cell>
          <cell r="Y278" t="str">
            <v>Стародворские</v>
          </cell>
          <cell r="Z278" t="str">
            <v>Добросельские ЭТМ</v>
          </cell>
        </row>
        <row r="280">
          <cell r="A280" t="str">
            <v>ИТОГО, кг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</row>
        <row r="282">
          <cell r="A282" t="str">
            <v>ЗПФ, кг</v>
          </cell>
          <cell r="B282" t="str">
            <v xml:space="preserve">ПГП, кг </v>
          </cell>
          <cell r="C282" t="str">
            <v>КИЗ, кг</v>
          </cell>
        </row>
        <row r="283">
          <cell r="A283">
            <v>0</v>
          </cell>
          <cell r="B283">
            <v>0</v>
          </cell>
          <cell r="C283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30"/>
  <sheetViews>
    <sheetView tabSelected="1" zoomScale="115" zoomScaleNormal="115" workbookViewId="0">
      <pane xSplit="4" ySplit="3" topLeftCell="E4" activePane="bottomRight" state="frozen"/>
      <selection pane="topRight" activeCell="J1" sqref="J1"/>
      <selection pane="bottomLeft" activeCell="A4" sqref="A4"/>
      <selection pane="bottomRight" activeCell="F1" sqref="F1:F1048576"/>
    </sheetView>
  </sheetViews>
  <sheetFormatPr defaultColWidth="10.5" defaultRowHeight="11.45" customHeight="1" outlineLevelCol="1" x14ac:dyDescent="0.2"/>
  <cols>
    <col min="1" max="1" width="3.1640625" customWidth="1"/>
    <col min="2" max="2" width="2.5" style="1" customWidth="1"/>
    <col min="3" max="3" width="63.6640625" style="1" customWidth="1"/>
    <col min="4" max="4" width="16.33203125" style="1" customWidth="1" outlineLevel="1"/>
    <col min="6" max="6" width="12.6640625" customWidth="1"/>
    <col min="8" max="8" width="10.5" style="8"/>
  </cols>
  <sheetData>
    <row r="1" spans="1:13" ht="18" customHeight="1" x14ac:dyDescent="0.2">
      <c r="A1" s="2"/>
      <c r="B1" s="15" t="s">
        <v>0</v>
      </c>
      <c r="C1" s="3" t="s">
        <v>2</v>
      </c>
      <c r="D1" s="4"/>
    </row>
    <row r="2" spans="1:13" ht="14.25" customHeight="1" x14ac:dyDescent="0.2">
      <c r="A2" s="2"/>
      <c r="B2" s="15"/>
      <c r="C2" s="3"/>
      <c r="D2" s="4" t="s">
        <v>1</v>
      </c>
    </row>
    <row r="3" spans="1:13" ht="12.95" customHeight="1" x14ac:dyDescent="0.2">
      <c r="A3" s="2"/>
      <c r="B3" s="3"/>
      <c r="C3" s="3"/>
      <c r="D3" s="4"/>
      <c r="F3" t="s">
        <v>29</v>
      </c>
      <c r="G3" t="s">
        <v>30</v>
      </c>
      <c r="I3" t="s">
        <v>31</v>
      </c>
      <c r="J3" t="s">
        <v>32</v>
      </c>
      <c r="K3" t="s">
        <v>33</v>
      </c>
      <c r="L3" s="9" t="s">
        <v>34</v>
      </c>
      <c r="M3" t="s">
        <v>35</v>
      </c>
    </row>
    <row r="4" spans="1:13" ht="11.45" customHeight="1" x14ac:dyDescent="0.2">
      <c r="C4" s="5" t="s">
        <v>3</v>
      </c>
      <c r="D4" s="6">
        <v>4607111036537</v>
      </c>
      <c r="E4">
        <v>588</v>
      </c>
      <c r="G4">
        <f>E4-F4</f>
        <v>588</v>
      </c>
      <c r="H4" s="8">
        <v>12</v>
      </c>
      <c r="I4" t="str">
        <f>VLOOKUP(C4,[1]TDSheet!$C:$I,7,0)</f>
        <v>SU003598</v>
      </c>
      <c r="J4">
        <f>VLOOKUP(I4,'[2]Бланк заказа'!$A:$Z,7,0)</f>
        <v>6</v>
      </c>
      <c r="K4" t="str">
        <f>VLOOKUP(I4,'[2]Бланк заказа'!$A:$Z,11,0)</f>
        <v>14</v>
      </c>
      <c r="L4" s="9">
        <f>MROUND(G4,J4*K4)/J4</f>
        <v>98</v>
      </c>
      <c r="M4">
        <f>L4*J4</f>
        <v>588</v>
      </c>
    </row>
    <row r="5" spans="1:13" ht="11.45" customHeight="1" x14ac:dyDescent="0.2">
      <c r="C5" s="5" t="s">
        <v>4</v>
      </c>
      <c r="D5" s="6">
        <v>4607111036520</v>
      </c>
      <c r="E5">
        <v>924</v>
      </c>
      <c r="G5">
        <f t="shared" ref="G5:G29" si="0">E5-F5</f>
        <v>924</v>
      </c>
      <c r="H5" s="8">
        <v>12</v>
      </c>
      <c r="I5" t="str">
        <f>VLOOKUP(C5,[1]TDSheet!$C:$I,7,0)</f>
        <v>SU003600</v>
      </c>
      <c r="J5">
        <f>VLOOKUP(I5,'[2]Бланк заказа'!$A:$Z,7,0)</f>
        <v>6</v>
      </c>
      <c r="K5" t="str">
        <f>VLOOKUP(I5,'[2]Бланк заказа'!$A:$Z,11,0)</f>
        <v>14</v>
      </c>
      <c r="L5" s="9">
        <f t="shared" ref="L5:L7" si="1">MROUND(G5,J5*K5)/J5</f>
        <v>154</v>
      </c>
      <c r="M5">
        <f t="shared" ref="M5:M7" si="2">L5*J5</f>
        <v>924</v>
      </c>
    </row>
    <row r="6" spans="1:13" ht="11.45" customHeight="1" x14ac:dyDescent="0.2">
      <c r="C6" s="5" t="s">
        <v>5</v>
      </c>
      <c r="D6" s="6">
        <v>4620207490075</v>
      </c>
      <c r="E6">
        <v>1200</v>
      </c>
      <c r="G6">
        <f t="shared" si="0"/>
        <v>1200</v>
      </c>
      <c r="H6" s="8">
        <v>10</v>
      </c>
      <c r="I6" t="str">
        <f>VLOOKUP(C6,[1]TDSheet!$C:$I,7,0)</f>
        <v>SU003826</v>
      </c>
      <c r="J6">
        <f>VLOOKUP(I6,'[2]Бланк заказа'!$A:$Z,7,0)</f>
        <v>8</v>
      </c>
      <c r="K6" t="str">
        <f>VLOOKUP(I6,'[2]Бланк заказа'!$A:$Z,11,0)</f>
        <v>12</v>
      </c>
      <c r="L6" s="9">
        <f t="shared" si="1"/>
        <v>156</v>
      </c>
      <c r="M6">
        <f t="shared" si="2"/>
        <v>1248</v>
      </c>
    </row>
    <row r="7" spans="1:13" ht="11.45" customHeight="1" x14ac:dyDescent="0.2">
      <c r="C7" s="5" t="s">
        <v>6</v>
      </c>
      <c r="D7" s="6">
        <v>4620207490044</v>
      </c>
      <c r="E7">
        <v>1344</v>
      </c>
      <c r="G7">
        <f t="shared" si="0"/>
        <v>1344</v>
      </c>
      <c r="H7" s="8">
        <v>12</v>
      </c>
      <c r="I7" t="str">
        <f>VLOOKUP(C7,[1]TDSheet!$C:$I,7,0)</f>
        <v>SU003827</v>
      </c>
      <c r="J7">
        <f>VLOOKUP(I7,'[2]Бланк заказа'!$A:$Z,7,0)</f>
        <v>8</v>
      </c>
      <c r="K7" t="str">
        <f>VLOOKUP(I7,'[2]Бланк заказа'!$A:$Z,11,0)</f>
        <v>12</v>
      </c>
      <c r="L7" s="9">
        <f t="shared" si="1"/>
        <v>168</v>
      </c>
      <c r="M7">
        <f t="shared" si="2"/>
        <v>1344</v>
      </c>
    </row>
    <row r="8" spans="1:13" ht="11.45" customHeight="1" x14ac:dyDescent="0.2">
      <c r="C8" s="10" t="s">
        <v>7</v>
      </c>
      <c r="D8" s="11">
        <v>4607111038999</v>
      </c>
      <c r="E8" s="12">
        <v>576</v>
      </c>
      <c r="F8" s="12"/>
      <c r="G8" s="12"/>
      <c r="H8" s="13">
        <v>12</v>
      </c>
      <c r="I8" s="12" t="str">
        <f>VLOOKUP(C8,[1]TDSheet!$C:$I,7,0)</f>
        <v>нет в бланке</v>
      </c>
      <c r="J8" s="12"/>
      <c r="K8" s="12"/>
      <c r="L8" s="12"/>
      <c r="M8" s="12"/>
    </row>
    <row r="9" spans="1:13" ht="11.45" customHeight="1" x14ac:dyDescent="0.2">
      <c r="C9" s="5" t="s">
        <v>8</v>
      </c>
      <c r="D9" s="6">
        <v>4607111039385</v>
      </c>
      <c r="E9">
        <v>1200</v>
      </c>
      <c r="G9">
        <f t="shared" si="0"/>
        <v>1200</v>
      </c>
      <c r="H9" s="8">
        <v>10</v>
      </c>
      <c r="I9" t="str">
        <f>VLOOKUP(C9,[1]TDSheet!$C:$I,7,0)</f>
        <v>SU003532</v>
      </c>
      <c r="J9">
        <f>VLOOKUP(I9,'[2]Бланк заказа'!$A:$Z,7,0)</f>
        <v>10</v>
      </c>
      <c r="K9" t="str">
        <f>VLOOKUP(I9,'[2]Бланк заказа'!$A:$Z,11,0)</f>
        <v>12</v>
      </c>
      <c r="L9" s="9">
        <f t="shared" ref="L9:L29" si="3">MROUND(G9,J9*K9)/J9</f>
        <v>120</v>
      </c>
      <c r="M9">
        <f t="shared" ref="M9:M29" si="4">L9*J9</f>
        <v>1200</v>
      </c>
    </row>
    <row r="10" spans="1:13" ht="11.45" customHeight="1" x14ac:dyDescent="0.2">
      <c r="C10" s="5" t="s">
        <v>9</v>
      </c>
      <c r="D10" s="6">
        <v>4607111033659</v>
      </c>
      <c r="E10">
        <v>600</v>
      </c>
      <c r="G10">
        <f t="shared" si="0"/>
        <v>600</v>
      </c>
      <c r="H10" s="8">
        <v>12</v>
      </c>
      <c r="I10" t="str">
        <f>VLOOKUP(C10,[1]TDSheet!$C:$I,7,0)</f>
        <v>SU003593</v>
      </c>
      <c r="J10">
        <f>VLOOKUP(I10,'[2]Бланк заказа'!$A:$Z,7,0)</f>
        <v>12</v>
      </c>
      <c r="K10" t="str">
        <f>VLOOKUP(I10,'[2]Бланк заказа'!$A:$Z,11,0)</f>
        <v>14</v>
      </c>
      <c r="L10" s="9">
        <f t="shared" si="3"/>
        <v>56</v>
      </c>
      <c r="M10">
        <f t="shared" si="4"/>
        <v>672</v>
      </c>
    </row>
    <row r="11" spans="1:13" ht="11.45" customHeight="1" x14ac:dyDescent="0.2">
      <c r="C11" s="5" t="s">
        <v>10</v>
      </c>
      <c r="D11" s="6">
        <v>4607111034120</v>
      </c>
      <c r="E11">
        <v>1176</v>
      </c>
      <c r="G11">
        <f t="shared" si="0"/>
        <v>1176</v>
      </c>
      <c r="H11" s="8">
        <v>12</v>
      </c>
      <c r="I11" t="str">
        <f>VLOOKUP(C11,[1]TDSheet!$C:$I,7,0)</f>
        <v>SU003591</v>
      </c>
      <c r="J11">
        <f>VLOOKUP(I11,'[2]Бланк заказа'!$A:$Z,7,0)</f>
        <v>12</v>
      </c>
      <c r="K11" t="str">
        <f>VLOOKUP(I11,'[2]Бланк заказа'!$A:$Z,11,0)</f>
        <v>14</v>
      </c>
      <c r="L11" s="9">
        <f t="shared" si="3"/>
        <v>98</v>
      </c>
      <c r="M11">
        <f t="shared" si="4"/>
        <v>1176</v>
      </c>
    </row>
    <row r="12" spans="1:13" ht="11.45" customHeight="1" x14ac:dyDescent="0.2">
      <c r="C12" s="5" t="s">
        <v>11</v>
      </c>
      <c r="D12" s="6">
        <v>4607111034137</v>
      </c>
      <c r="E12">
        <v>1008</v>
      </c>
      <c r="G12">
        <f t="shared" si="0"/>
        <v>1008</v>
      </c>
      <c r="H12" s="8">
        <v>12</v>
      </c>
      <c r="I12" t="str">
        <f>VLOOKUP(C12,[1]TDSheet!$C:$I,7,0)</f>
        <v>SU003607</v>
      </c>
      <c r="J12">
        <f>VLOOKUP(I12,'[2]Бланк заказа'!$A:$Z,7,0)</f>
        <v>12</v>
      </c>
      <c r="K12" t="str">
        <f>VLOOKUP(I12,'[2]Бланк заказа'!$A:$Z,11,0)</f>
        <v>14</v>
      </c>
      <c r="L12" s="9">
        <f t="shared" si="3"/>
        <v>84</v>
      </c>
      <c r="M12">
        <f t="shared" si="4"/>
        <v>1008</v>
      </c>
    </row>
    <row r="13" spans="1:13" ht="11.45" customHeight="1" x14ac:dyDescent="0.2">
      <c r="C13" s="5" t="s">
        <v>12</v>
      </c>
      <c r="D13" s="6">
        <v>4607111033451</v>
      </c>
      <c r="E13">
        <v>1344</v>
      </c>
      <c r="G13">
        <f t="shared" si="0"/>
        <v>1344</v>
      </c>
      <c r="H13" s="8">
        <v>12</v>
      </c>
      <c r="I13" t="str">
        <f>VLOOKUP(C13,[1]TDSheet!$C:$I,7,0)</f>
        <v>SU003889</v>
      </c>
      <c r="J13">
        <f>VLOOKUP(I13,'[2]Бланк заказа'!$A:$Z,7,0)</f>
        <v>12</v>
      </c>
      <c r="K13" t="str">
        <f>VLOOKUP(I13,'[2]Бланк заказа'!$A:$Z,11,0)</f>
        <v>14</v>
      </c>
      <c r="L13" s="9">
        <f t="shared" si="3"/>
        <v>112</v>
      </c>
      <c r="M13">
        <f t="shared" si="4"/>
        <v>1344</v>
      </c>
    </row>
    <row r="14" spans="1:13" ht="11.45" customHeight="1" x14ac:dyDescent="0.2">
      <c r="C14" s="5" t="s">
        <v>13</v>
      </c>
      <c r="D14" s="6">
        <v>4607111033444</v>
      </c>
      <c r="E14">
        <v>1344</v>
      </c>
      <c r="G14">
        <f t="shared" si="0"/>
        <v>1344</v>
      </c>
      <c r="H14" s="8">
        <v>12</v>
      </c>
      <c r="I14" t="str">
        <f>VLOOKUP(C14,[1]TDSheet!$C:$I,7,0)</f>
        <v>SU003884</v>
      </c>
      <c r="J14">
        <f>VLOOKUP(I14,'[2]Бланк заказа'!$A:$Z,7,0)</f>
        <v>12</v>
      </c>
      <c r="K14" t="str">
        <f>VLOOKUP(I14,'[2]Бланк заказа'!$A:$Z,11,0)</f>
        <v>14</v>
      </c>
      <c r="L14" s="9">
        <f t="shared" si="3"/>
        <v>112</v>
      </c>
      <c r="M14">
        <f t="shared" si="4"/>
        <v>1344</v>
      </c>
    </row>
    <row r="15" spans="1:13" ht="11.45" customHeight="1" x14ac:dyDescent="0.2">
      <c r="C15" s="5" t="s">
        <v>14</v>
      </c>
      <c r="D15" s="6">
        <v>4607111036407</v>
      </c>
      <c r="E15">
        <v>1200</v>
      </c>
      <c r="G15">
        <f t="shared" si="0"/>
        <v>1200</v>
      </c>
      <c r="H15" s="8">
        <v>10</v>
      </c>
      <c r="I15" t="str">
        <f>VLOOKUP(C15,[1]TDSheet!$C:$I,7,0)</f>
        <v>SU002293</v>
      </c>
      <c r="J15">
        <f>VLOOKUP(I15,'[2]Бланк заказа'!$A:$Z,7,0)</f>
        <v>14</v>
      </c>
      <c r="K15" t="str">
        <f>VLOOKUP(I15,'[2]Бланк заказа'!$A:$Z,11,0)</f>
        <v>14</v>
      </c>
      <c r="L15" s="9">
        <f t="shared" si="3"/>
        <v>84</v>
      </c>
      <c r="M15">
        <f t="shared" si="4"/>
        <v>1176</v>
      </c>
    </row>
    <row r="16" spans="1:13" ht="11.45" customHeight="1" x14ac:dyDescent="0.2">
      <c r="C16" s="5" t="s">
        <v>15</v>
      </c>
      <c r="D16" s="6">
        <v>4607025784012</v>
      </c>
      <c r="E16">
        <v>2016</v>
      </c>
      <c r="F16">
        <f>J16*K16</f>
        <v>336</v>
      </c>
      <c r="G16">
        <f t="shared" si="0"/>
        <v>1680</v>
      </c>
      <c r="H16" s="8">
        <v>12</v>
      </c>
      <c r="I16" t="str">
        <f>VLOOKUP(C16,[1]TDSheet!$C:$I,7,0)</f>
        <v>SU002573</v>
      </c>
      <c r="J16">
        <f>VLOOKUP(I16,'[2]Бланк заказа'!$A:$Z,7,0)</f>
        <v>24</v>
      </c>
      <c r="K16" t="str">
        <f>VLOOKUP(I16,'[2]Бланк заказа'!$A:$Z,11,0)</f>
        <v>14</v>
      </c>
      <c r="L16" s="9">
        <f t="shared" si="3"/>
        <v>70</v>
      </c>
      <c r="M16">
        <f t="shared" si="4"/>
        <v>1680</v>
      </c>
    </row>
    <row r="17" spans="3:13" ht="11.45" customHeight="1" x14ac:dyDescent="0.2">
      <c r="C17" s="5" t="s">
        <v>16</v>
      </c>
      <c r="D17" s="6">
        <v>4607111039262</v>
      </c>
      <c r="E17">
        <v>1100</v>
      </c>
      <c r="G17">
        <f t="shared" si="0"/>
        <v>1100</v>
      </c>
      <c r="H17" s="8">
        <v>10</v>
      </c>
      <c r="I17" t="str">
        <f>VLOOKUP(C17,[1]TDSheet!$C:$I,7,0)</f>
        <v>SU003527</v>
      </c>
      <c r="J17">
        <f>VLOOKUP(I17,'[2]Бланк заказа'!$A:$Z,7,0)</f>
        <v>16</v>
      </c>
      <c r="K17" t="str">
        <f>VLOOKUP(I17,'[2]Бланк заказа'!$A:$Z,11,0)</f>
        <v>12</v>
      </c>
      <c r="L17" s="9">
        <f t="shared" si="3"/>
        <v>72</v>
      </c>
      <c r="M17">
        <f t="shared" si="4"/>
        <v>1152</v>
      </c>
    </row>
    <row r="18" spans="3:13" ht="11.45" customHeight="1" x14ac:dyDescent="0.2">
      <c r="C18" s="5" t="s">
        <v>17</v>
      </c>
      <c r="D18" s="6">
        <v>4607111039248</v>
      </c>
      <c r="E18">
        <v>1440</v>
      </c>
      <c r="G18">
        <f t="shared" si="0"/>
        <v>1440</v>
      </c>
      <c r="H18" s="8">
        <v>10</v>
      </c>
      <c r="I18" t="str">
        <f>VLOOKUP(C18,[1]TDSheet!$C:$I,7,0)</f>
        <v>SU003460</v>
      </c>
      <c r="J18">
        <f>VLOOKUP(I18,'[2]Бланк заказа'!$A:$Z,7,0)</f>
        <v>10</v>
      </c>
      <c r="K18" t="str">
        <f>VLOOKUP(I18,'[2]Бланк заказа'!$A:$Z,11,0)</f>
        <v>12</v>
      </c>
      <c r="L18" s="9">
        <f t="shared" si="3"/>
        <v>144</v>
      </c>
      <c r="M18">
        <f t="shared" si="4"/>
        <v>1440</v>
      </c>
    </row>
    <row r="19" spans="3:13" ht="11.45" customHeight="1" x14ac:dyDescent="0.2">
      <c r="C19" s="5" t="s">
        <v>18</v>
      </c>
      <c r="D19" s="6">
        <v>4607111039293</v>
      </c>
      <c r="E19">
        <v>1152</v>
      </c>
      <c r="G19">
        <f t="shared" si="0"/>
        <v>1152</v>
      </c>
      <c r="H19" s="8">
        <v>12</v>
      </c>
      <c r="I19" t="str">
        <f>VLOOKUP(C19,[1]TDSheet!$C:$I,7,0)</f>
        <v>SU003528</v>
      </c>
      <c r="J19">
        <f>VLOOKUP(I19,'[2]Бланк заказа'!$A:$Z,7,0)</f>
        <v>16</v>
      </c>
      <c r="K19" t="str">
        <f>VLOOKUP(I19,'[2]Бланк заказа'!$A:$Z,11,0)</f>
        <v>12</v>
      </c>
      <c r="L19" s="9">
        <f t="shared" si="3"/>
        <v>72</v>
      </c>
      <c r="M19">
        <f t="shared" si="4"/>
        <v>1152</v>
      </c>
    </row>
    <row r="20" spans="3:13" ht="11.45" customHeight="1" x14ac:dyDescent="0.2">
      <c r="C20" s="5" t="s">
        <v>19</v>
      </c>
      <c r="D20" s="6">
        <v>4607111039279</v>
      </c>
      <c r="E20">
        <v>1200</v>
      </c>
      <c r="G20">
        <f t="shared" si="0"/>
        <v>1200</v>
      </c>
      <c r="H20" s="8">
        <v>12</v>
      </c>
      <c r="I20" t="str">
        <f>VLOOKUP(C20,[1]TDSheet!$C:$I,7,0)</f>
        <v>SU003459</v>
      </c>
      <c r="J20">
        <f>VLOOKUP(I20,'[2]Бланк заказа'!$A:$Z,7,0)</f>
        <v>10</v>
      </c>
      <c r="K20" t="str">
        <f>VLOOKUP(I20,'[2]Бланк заказа'!$A:$Z,11,0)</f>
        <v>12</v>
      </c>
      <c r="L20" s="9">
        <f t="shared" si="3"/>
        <v>120</v>
      </c>
      <c r="M20">
        <f t="shared" si="4"/>
        <v>1200</v>
      </c>
    </row>
    <row r="21" spans="3:13" ht="11.45" customHeight="1" x14ac:dyDescent="0.2">
      <c r="C21" s="5" t="s">
        <v>20</v>
      </c>
      <c r="D21" s="6">
        <v>4607111034014</v>
      </c>
      <c r="E21">
        <v>1848</v>
      </c>
      <c r="F21">
        <f t="shared" ref="F21:F22" si="5">J21*K21</f>
        <v>168</v>
      </c>
      <c r="G21">
        <f t="shared" si="0"/>
        <v>1680</v>
      </c>
      <c r="H21" s="8">
        <v>12</v>
      </c>
      <c r="I21" t="str">
        <f>VLOOKUP(C21,[1]TDSheet!$C:$I,7,0)</f>
        <v>SU003578</v>
      </c>
      <c r="J21">
        <f>VLOOKUP(I21,'[2]Бланк заказа'!$A:$Z,7,0)</f>
        <v>12</v>
      </c>
      <c r="K21" t="str">
        <f>VLOOKUP(I21,'[2]Бланк заказа'!$A:$Z,11,0)</f>
        <v>14</v>
      </c>
      <c r="L21" s="9">
        <f t="shared" si="3"/>
        <v>140</v>
      </c>
      <c r="M21">
        <f t="shared" si="4"/>
        <v>1680</v>
      </c>
    </row>
    <row r="22" spans="3:13" ht="11.45" customHeight="1" x14ac:dyDescent="0.2">
      <c r="C22" s="5" t="s">
        <v>21</v>
      </c>
      <c r="D22" s="6">
        <v>4607111033994</v>
      </c>
      <c r="E22">
        <v>1848</v>
      </c>
      <c r="F22">
        <f t="shared" si="5"/>
        <v>168</v>
      </c>
      <c r="G22">
        <f t="shared" si="0"/>
        <v>1680</v>
      </c>
      <c r="H22" s="8">
        <v>12</v>
      </c>
      <c r="I22" t="str">
        <f>VLOOKUP(C22,[1]TDSheet!$C:$I,7,0)</f>
        <v>SU003580</v>
      </c>
      <c r="J22">
        <f>VLOOKUP(I22,'[2]Бланк заказа'!$A:$Z,7,0)</f>
        <v>12</v>
      </c>
      <c r="K22" t="str">
        <f>VLOOKUP(I22,'[2]Бланк заказа'!$A:$Z,11,0)</f>
        <v>14</v>
      </c>
      <c r="L22" s="9">
        <f t="shared" si="3"/>
        <v>140</v>
      </c>
      <c r="M22">
        <f t="shared" si="4"/>
        <v>1680</v>
      </c>
    </row>
    <row r="23" spans="3:13" ht="11.45" customHeight="1" x14ac:dyDescent="0.2">
      <c r="C23" s="5" t="s">
        <v>22</v>
      </c>
      <c r="D23" s="6">
        <v>4607111034199</v>
      </c>
      <c r="E23">
        <v>1512</v>
      </c>
      <c r="G23">
        <f t="shared" si="0"/>
        <v>1512</v>
      </c>
      <c r="H23" s="8">
        <v>12</v>
      </c>
      <c r="I23" t="str">
        <f>VLOOKUP(C23,[1]TDSheet!$C:$I,7,0)</f>
        <v>SU003576</v>
      </c>
      <c r="J23">
        <f>VLOOKUP(I23,'[2]Бланк заказа'!$A:$Z,7,0)</f>
        <v>12</v>
      </c>
      <c r="K23" t="str">
        <f>VLOOKUP(I23,'[2]Бланк заказа'!$A:$Z,11,0)</f>
        <v>14</v>
      </c>
      <c r="L23" s="9">
        <f t="shared" si="3"/>
        <v>126</v>
      </c>
      <c r="M23">
        <f t="shared" si="4"/>
        <v>1512</v>
      </c>
    </row>
    <row r="24" spans="3:13" ht="11.45" customHeight="1" x14ac:dyDescent="0.2">
      <c r="C24" s="5" t="s">
        <v>23</v>
      </c>
      <c r="D24" s="6">
        <v>4607111034380</v>
      </c>
      <c r="E24">
        <v>1000</v>
      </c>
      <c r="G24">
        <f t="shared" si="0"/>
        <v>1000</v>
      </c>
      <c r="H24" s="8">
        <v>10</v>
      </c>
      <c r="I24" t="str">
        <f>VLOOKUP(C24,[1]TDSheet!$C:$I,7,0)</f>
        <v>SU003872</v>
      </c>
      <c r="J24">
        <f>VLOOKUP(I24,'[2]Бланк заказа'!$A:$Z,7,0)</f>
        <v>12</v>
      </c>
      <c r="K24" t="str">
        <f>VLOOKUP(I24,'[2]Бланк заказа'!$A:$Z,11,0)</f>
        <v>14</v>
      </c>
      <c r="L24" s="9">
        <f t="shared" si="3"/>
        <v>84</v>
      </c>
      <c r="M24">
        <f t="shared" si="4"/>
        <v>1008</v>
      </c>
    </row>
    <row r="25" spans="3:13" ht="11.45" customHeight="1" x14ac:dyDescent="0.2">
      <c r="C25" s="5" t="s">
        <v>24</v>
      </c>
      <c r="D25" s="6">
        <v>4607111035806</v>
      </c>
      <c r="E25">
        <v>1000</v>
      </c>
      <c r="G25">
        <f t="shared" si="0"/>
        <v>1000</v>
      </c>
      <c r="H25" s="8">
        <v>10</v>
      </c>
      <c r="I25" t="str">
        <f>VLOOKUP(C25,[1]TDSheet!$C:$I,7,0)</f>
        <v>SU003596</v>
      </c>
      <c r="J25">
        <f>VLOOKUP(I25,'[2]Бланк заказа'!$A:$Z,7,0)</f>
        <v>12</v>
      </c>
      <c r="K25" t="str">
        <f>VLOOKUP(I25,'[2]Бланк заказа'!$A:$Z,11,0)</f>
        <v>14</v>
      </c>
      <c r="L25" s="9">
        <f t="shared" si="3"/>
        <v>84</v>
      </c>
      <c r="M25">
        <f t="shared" si="4"/>
        <v>1008</v>
      </c>
    </row>
    <row r="26" spans="3:13" ht="11.45" customHeight="1" x14ac:dyDescent="0.2">
      <c r="C26" s="5" t="s">
        <v>25</v>
      </c>
      <c r="D26" s="6">
        <v>4607111035691</v>
      </c>
      <c r="E26">
        <v>2856</v>
      </c>
      <c r="F26">
        <f>J26*K26*2</f>
        <v>336</v>
      </c>
      <c r="G26">
        <f t="shared" si="0"/>
        <v>2520</v>
      </c>
      <c r="H26" s="8">
        <v>12</v>
      </c>
      <c r="I26" t="str">
        <f>VLOOKUP(C26,[1]TDSheet!$C:$I,7,0)</f>
        <v>SU003797</v>
      </c>
      <c r="J26">
        <f>VLOOKUP(I26,'[2]Бланк заказа'!$A:$Z,7,0)</f>
        <v>12</v>
      </c>
      <c r="K26" t="str">
        <f>VLOOKUP(I26,'[2]Бланк заказа'!$A:$Z,11,0)</f>
        <v>14</v>
      </c>
      <c r="L26" s="9">
        <f t="shared" si="3"/>
        <v>210</v>
      </c>
      <c r="M26">
        <f t="shared" si="4"/>
        <v>2520</v>
      </c>
    </row>
    <row r="27" spans="3:13" ht="11.45" customHeight="1" x14ac:dyDescent="0.2">
      <c r="C27" s="1" t="s">
        <v>26</v>
      </c>
      <c r="D27" s="7">
        <v>4620207491096</v>
      </c>
      <c r="E27">
        <v>960</v>
      </c>
      <c r="G27">
        <f t="shared" si="0"/>
        <v>960</v>
      </c>
      <c r="H27" s="8">
        <v>12</v>
      </c>
      <c r="I27" t="str">
        <f>VLOOKUP(C27,[1]TDSheet!$C:$I,7,0)</f>
        <v>SU003935</v>
      </c>
      <c r="J27">
        <f>VLOOKUP(I27,'[2]Бланк заказа'!$A:$Z,7,0)</f>
        <v>5</v>
      </c>
      <c r="K27" t="str">
        <f>VLOOKUP(I27,'[2]Бланк заказа'!$A:$Z,11,0)</f>
        <v>12</v>
      </c>
      <c r="L27" s="9">
        <f t="shared" si="3"/>
        <v>192</v>
      </c>
      <c r="M27">
        <f t="shared" si="4"/>
        <v>960</v>
      </c>
    </row>
    <row r="28" spans="3:13" ht="11.45" customHeight="1" x14ac:dyDescent="0.2">
      <c r="C28" s="5" t="s">
        <v>27</v>
      </c>
      <c r="D28" s="7">
        <v>4607111039019</v>
      </c>
      <c r="E28">
        <v>960</v>
      </c>
      <c r="G28">
        <f t="shared" si="0"/>
        <v>960</v>
      </c>
      <c r="H28" s="8">
        <v>12</v>
      </c>
      <c r="I28" s="14" t="s">
        <v>36</v>
      </c>
      <c r="J28">
        <f>VLOOKUP(I28,'[2]Бланк заказа'!$A:$Z,7,0)</f>
        <v>16</v>
      </c>
      <c r="K28" t="str">
        <f>VLOOKUP(I28,'[2]Бланк заказа'!$A:$Z,11,0)</f>
        <v>12</v>
      </c>
      <c r="L28" s="9">
        <f t="shared" si="3"/>
        <v>60</v>
      </c>
      <c r="M28">
        <f t="shared" si="4"/>
        <v>960</v>
      </c>
    </row>
    <row r="29" spans="3:13" ht="11.45" customHeight="1" x14ac:dyDescent="0.2">
      <c r="C29" s="1" t="s">
        <v>28</v>
      </c>
      <c r="D29" s="7">
        <v>4607111038708</v>
      </c>
      <c r="E29">
        <v>960</v>
      </c>
      <c r="G29">
        <f t="shared" si="0"/>
        <v>960</v>
      </c>
      <c r="H29" s="8">
        <v>12</v>
      </c>
      <c r="I29" t="str">
        <f>VLOOKUP(C29,[1]TDSheet!$C:$I,7,0)</f>
        <v>SU003965</v>
      </c>
      <c r="J29">
        <f>VLOOKUP(I29,'[2]Бланк заказа'!$A:$Z,7,0)</f>
        <v>8</v>
      </c>
      <c r="K29" t="str">
        <f>VLOOKUP(I29,'[2]Бланк заказа'!$A:$Z,11,0)</f>
        <v>12</v>
      </c>
      <c r="L29" s="9">
        <f t="shared" si="3"/>
        <v>120</v>
      </c>
      <c r="M29">
        <f t="shared" si="4"/>
        <v>960</v>
      </c>
    </row>
    <row r="30" spans="3:13" ht="11.45" customHeight="1" x14ac:dyDescent="0.2">
      <c r="L30" s="9">
        <f>SUM(L4:L29)</f>
        <v>2876</v>
      </c>
      <c r="M30" s="9">
        <f>SUM(M4:M29)</f>
        <v>30936</v>
      </c>
    </row>
  </sheetData>
  <autoFilter ref="B3:D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2026-01-07T07:10:35Z</dcterms:modified>
</cp:coreProperties>
</file>