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LP_Sochi\"/>
    </mc:Choice>
  </mc:AlternateContent>
  <xr:revisionPtr revIDLastSave="0" documentId="13_ncr:1_{1FCD2CA9-0725-4933-9278-13769294471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Y270" i="1" s="1"/>
  <c r="P260" i="1"/>
  <c r="BP259" i="1"/>
  <c r="BO259" i="1"/>
  <c r="BN259" i="1"/>
  <c r="BM259" i="1"/>
  <c r="Z259" i="1"/>
  <c r="Z269" i="1" s="1"/>
  <c r="Y259" i="1"/>
  <c r="Y269" i="1" s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56" i="1" s="1"/>
  <c r="Y253" i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Y246" i="1"/>
  <c r="X246" i="1"/>
  <c r="Z245" i="1"/>
  <c r="X245" i="1"/>
  <c r="BO244" i="1"/>
  <c r="BM244" i="1"/>
  <c r="Z244" i="1"/>
  <c r="Y244" i="1"/>
  <c r="P244" i="1"/>
  <c r="BP243" i="1"/>
  <c r="BO243" i="1"/>
  <c r="BN243" i="1"/>
  <c r="BM243" i="1"/>
  <c r="Z243" i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Y212" i="1"/>
  <c r="X212" i="1"/>
  <c r="Z211" i="1"/>
  <c r="X211" i="1"/>
  <c r="BO210" i="1"/>
  <c r="BM210" i="1"/>
  <c r="Z210" i="1"/>
  <c r="Y210" i="1"/>
  <c r="P210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Y202" i="1" s="1"/>
  <c r="P196" i="1"/>
  <c r="X194" i="1"/>
  <c r="Z193" i="1"/>
  <c r="X193" i="1"/>
  <c r="BO192" i="1"/>
  <c r="BM192" i="1"/>
  <c r="Z192" i="1"/>
  <c r="Y192" i="1"/>
  <c r="P192" i="1"/>
  <c r="Y188" i="1"/>
  <c r="X188" i="1"/>
  <c r="Z187" i="1"/>
  <c r="X187" i="1"/>
  <c r="BO186" i="1"/>
  <c r="BM186" i="1"/>
  <c r="Z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Y184" i="1" s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Z175" i="1" s="1"/>
  <c r="Y173" i="1"/>
  <c r="P173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Y164" i="1" s="1"/>
  <c r="P162" i="1"/>
  <c r="X159" i="1"/>
  <c r="Z158" i="1"/>
  <c r="X158" i="1"/>
  <c r="BO157" i="1"/>
  <c r="BM157" i="1"/>
  <c r="Z157" i="1"/>
  <c r="Y157" i="1"/>
  <c r="P157" i="1"/>
  <c r="X154" i="1"/>
  <c r="Z153" i="1"/>
  <c r="X153" i="1"/>
  <c r="BO152" i="1"/>
  <c r="BM152" i="1"/>
  <c r="Z152" i="1"/>
  <c r="Y152" i="1"/>
  <c r="Y154" i="1" s="1"/>
  <c r="P152" i="1"/>
  <c r="Y149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Y148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Z142" i="1" s="1"/>
  <c r="Y140" i="1"/>
  <c r="Y143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Z122" i="1" s="1"/>
  <c r="Y113" i="1"/>
  <c r="Y123" i="1" s="1"/>
  <c r="P113" i="1"/>
  <c r="X110" i="1"/>
  <c r="X109" i="1"/>
  <c r="BO108" i="1"/>
  <c r="BN108" i="1"/>
  <c r="BM108" i="1"/>
  <c r="Z108" i="1"/>
  <c r="Y108" i="1"/>
  <c r="BP108" i="1" s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Y103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4" i="1" s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2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Y77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Y71" i="1" s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N60" i="1"/>
  <c r="BM60" i="1"/>
  <c r="Z60" i="1"/>
  <c r="Z61" i="1" s="1"/>
  <c r="Y60" i="1"/>
  <c r="Y61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6" i="1" s="1"/>
  <c r="P52" i="1"/>
  <c r="X49" i="1"/>
  <c r="X48" i="1"/>
  <c r="BO47" i="1"/>
  <c r="BM47" i="1"/>
  <c r="Z47" i="1"/>
  <c r="Y47" i="1"/>
  <c r="BP47" i="1" s="1"/>
  <c r="P47" i="1"/>
  <c r="BO46" i="1"/>
  <c r="BN46" i="1"/>
  <c r="BM46" i="1"/>
  <c r="Z46" i="1"/>
  <c r="Y46" i="1"/>
  <c r="BP46" i="1" s="1"/>
  <c r="P46" i="1"/>
  <c r="BO45" i="1"/>
  <c r="BM45" i="1"/>
  <c r="Z45" i="1"/>
  <c r="Z48" i="1" s="1"/>
  <c r="Y45" i="1"/>
  <c r="Y49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Y42" i="1" s="1"/>
  <c r="P39" i="1"/>
  <c r="X35" i="1"/>
  <c r="X34" i="1"/>
  <c r="BO33" i="1"/>
  <c r="BN33" i="1"/>
  <c r="BM33" i="1"/>
  <c r="Z33" i="1"/>
  <c r="Y33" i="1"/>
  <c r="BP33" i="1" s="1"/>
  <c r="P33" i="1"/>
  <c r="BO32" i="1"/>
  <c r="BM32" i="1"/>
  <c r="Z32" i="1"/>
  <c r="Z34" i="1" s="1"/>
  <c r="Y32" i="1"/>
  <c r="Y34" i="1" s="1"/>
  <c r="P32" i="1"/>
  <c r="X29" i="1"/>
  <c r="X271" i="1" s="1"/>
  <c r="X28" i="1"/>
  <c r="X275" i="1" s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P24" i="1"/>
  <c r="BP23" i="1"/>
  <c r="BO23" i="1"/>
  <c r="BN23" i="1"/>
  <c r="BM23" i="1"/>
  <c r="Z23" i="1"/>
  <c r="Y23" i="1"/>
  <c r="P23" i="1"/>
  <c r="BO22" i="1"/>
  <c r="X273" i="1" s="1"/>
  <c r="BM22" i="1"/>
  <c r="X272" i="1" s="1"/>
  <c r="X274" i="1" s="1"/>
  <c r="Z22" i="1"/>
  <c r="Y22" i="1"/>
  <c r="P22" i="1"/>
  <c r="H10" i="1"/>
  <c r="A9" i="1"/>
  <c r="F10" i="1" s="1"/>
  <c r="D7" i="1"/>
  <c r="Q6" i="1"/>
  <c r="P2" i="1"/>
  <c r="H9" i="1" l="1"/>
  <c r="A10" i="1"/>
  <c r="Y29" i="1"/>
  <c r="Y28" i="1"/>
  <c r="BP24" i="1"/>
  <c r="BN24" i="1"/>
  <c r="F9" i="1"/>
  <c r="J9" i="1"/>
  <c r="Z28" i="1"/>
  <c r="BN22" i="1"/>
  <c r="BP22" i="1"/>
  <c r="BN25" i="1"/>
  <c r="BN27" i="1"/>
  <c r="BN32" i="1"/>
  <c r="BP32" i="1"/>
  <c r="Y35" i="1"/>
  <c r="BN40" i="1"/>
  <c r="Y41" i="1"/>
  <c r="BN45" i="1"/>
  <c r="BP45" i="1"/>
  <c r="BN47" i="1"/>
  <c r="Y48" i="1"/>
  <c r="BN52" i="1"/>
  <c r="BP52" i="1"/>
  <c r="BN54" i="1"/>
  <c r="Y57" i="1"/>
  <c r="Y62" i="1"/>
  <c r="Y66" i="1"/>
  <c r="BN69" i="1"/>
  <c r="Y70" i="1"/>
  <c r="BN73" i="1"/>
  <c r="BP73" i="1"/>
  <c r="BN75" i="1"/>
  <c r="Y76" i="1"/>
  <c r="BN80" i="1"/>
  <c r="BP80" i="1"/>
  <c r="Y83" i="1"/>
  <c r="Y88" i="1"/>
  <c r="BN92" i="1"/>
  <c r="Y93" i="1"/>
  <c r="BN97" i="1"/>
  <c r="BP97" i="1"/>
  <c r="BN99" i="1"/>
  <c r="BN101" i="1"/>
  <c r="Y104" i="1"/>
  <c r="Y109" i="1"/>
  <c r="BN113" i="1"/>
  <c r="BP113" i="1"/>
  <c r="Y122" i="1"/>
  <c r="BN129" i="1"/>
  <c r="BP129" i="1"/>
  <c r="Y130" i="1"/>
  <c r="BN134" i="1"/>
  <c r="BP134" i="1"/>
  <c r="Y137" i="1"/>
  <c r="BN141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Z250" i="1"/>
  <c r="Y257" i="1"/>
  <c r="BN26" i="1"/>
  <c r="BN39" i="1"/>
  <c r="BP39" i="1"/>
  <c r="BP60" i="1"/>
  <c r="BN64" i="1"/>
  <c r="BP64" i="1"/>
  <c r="BN68" i="1"/>
  <c r="BP68" i="1"/>
  <c r="BN74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BN140" i="1"/>
  <c r="BP140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2" i="1" l="1"/>
  <c r="Y275" i="1"/>
  <c r="Y273" i="1"/>
  <c r="Z276" i="1"/>
  <c r="Y271" i="1"/>
  <c r="Y274" i="1" l="1"/>
  <c r="C284" i="1" s="1"/>
  <c r="A284" i="1"/>
  <c r="B284" i="1" l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<sst xmlns="http://schemas.openxmlformats.org/spreadsheetml/2006/main" count="1231" uniqueCount="397">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</sst>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A257" zoomScaleNormal="100" zoomScaleSheetLayoutView="100" workbookViewId="0">
      <selection activeCell="AA277" sqref="AA277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3" t="s">
        <v>0</v>
      </c>
      <c r="E1" s="297"/>
      <c r="F1" s="297"/>
      <c r="G1" s="12" t="s">
        <v>1</v>
      </c>
      <c r="H1" s="32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52" t="s">
        <v>7</v>
      </c>
      <c r="B5" s="325"/>
      <c r="C5" s="326"/>
      <c r="D5" s="328"/>
      <c r="E5" s="329"/>
      <c r="F5" s="437" t="s">
        <v>8</v>
      </c>
      <c r="G5" s="326"/>
      <c r="H5" s="328"/>
      <c r="I5" s="411"/>
      <c r="J5" s="411"/>
      <c r="K5" s="411"/>
      <c r="L5" s="411"/>
      <c r="M5" s="329"/>
      <c r="N5" s="61"/>
      <c r="P5" s="24" t="s">
        <v>9</v>
      </c>
      <c r="Q5" s="445">
        <v>45999</v>
      </c>
      <c r="R5" s="350"/>
      <c r="T5" s="376" t="s">
        <v>10</v>
      </c>
      <c r="U5" s="301"/>
      <c r="V5" s="377" t="s">
        <v>11</v>
      </c>
      <c r="W5" s="350"/>
      <c r="AB5" s="51"/>
      <c r="AC5" s="51"/>
      <c r="AD5" s="51"/>
      <c r="AE5" s="51"/>
    </row>
    <row r="6" spans="1:32" s="264" customFormat="1" ht="24" customHeight="1" x14ac:dyDescent="0.2">
      <c r="A6" s="352" t="s">
        <v>12</v>
      </c>
      <c r="B6" s="325"/>
      <c r="C6" s="326"/>
      <c r="D6" s="413" t="s">
        <v>13</v>
      </c>
      <c r="E6" s="414"/>
      <c r="F6" s="414"/>
      <c r="G6" s="414"/>
      <c r="H6" s="414"/>
      <c r="I6" s="414"/>
      <c r="J6" s="414"/>
      <c r="K6" s="414"/>
      <c r="L6" s="414"/>
      <c r="M6" s="350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81" t="s">
        <v>15</v>
      </c>
      <c r="U6" s="301"/>
      <c r="V6" s="401" t="s">
        <v>16</v>
      </c>
      <c r="W6" s="308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63"/>
      <c r="P7" s="24"/>
      <c r="Q7" s="42"/>
      <c r="R7" s="42"/>
      <c r="T7" s="288"/>
      <c r="U7" s="301"/>
      <c r="V7" s="402"/>
      <c r="W7" s="403"/>
      <c r="AB7" s="51"/>
      <c r="AC7" s="51"/>
      <c r="AD7" s="51"/>
      <c r="AE7" s="51"/>
    </row>
    <row r="8" spans="1:32" s="264" customFormat="1" ht="25.5" customHeight="1" x14ac:dyDescent="0.2">
      <c r="A8" s="458" t="s">
        <v>17</v>
      </c>
      <c r="B8" s="281"/>
      <c r="C8" s="282"/>
      <c r="D8" s="318" t="s">
        <v>18</v>
      </c>
      <c r="E8" s="319"/>
      <c r="F8" s="319"/>
      <c r="G8" s="319"/>
      <c r="H8" s="319"/>
      <c r="I8" s="319"/>
      <c r="J8" s="319"/>
      <c r="K8" s="319"/>
      <c r="L8" s="319"/>
      <c r="M8" s="320"/>
      <c r="N8" s="64"/>
      <c r="P8" s="24" t="s">
        <v>19</v>
      </c>
      <c r="Q8" s="359">
        <v>0.41666666666666669</v>
      </c>
      <c r="R8" s="313"/>
      <c r="T8" s="288"/>
      <c r="U8" s="301"/>
      <c r="V8" s="402"/>
      <c r="W8" s="403"/>
      <c r="AB8" s="51"/>
      <c r="AC8" s="51"/>
      <c r="AD8" s="51"/>
      <c r="AE8" s="51"/>
    </row>
    <row r="9" spans="1:32" s="264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2"/>
      <c r="E9" s="284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2"/>
      <c r="P9" s="26" t="s">
        <v>20</v>
      </c>
      <c r="Q9" s="347"/>
      <c r="R9" s="348"/>
      <c r="T9" s="288"/>
      <c r="U9" s="301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2"/>
      <c r="E10" s="284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97" t="str">
        <f>IFERROR(VLOOKUP($D$10,Proxy,2,FALSE),"")</f>
        <v/>
      </c>
      <c r="I10" s="288"/>
      <c r="J10" s="288"/>
      <c r="K10" s="288"/>
      <c r="L10" s="288"/>
      <c r="M10" s="288"/>
      <c r="N10" s="263"/>
      <c r="P10" s="26" t="s">
        <v>21</v>
      </c>
      <c r="Q10" s="382"/>
      <c r="R10" s="383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0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74" t="s">
        <v>28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29</v>
      </c>
      <c r="Q12" s="359"/>
      <c r="R12" s="313"/>
      <c r="S12" s="23"/>
      <c r="U12" s="24"/>
      <c r="V12" s="297"/>
      <c r="W12" s="288"/>
      <c r="AB12" s="51"/>
      <c r="AC12" s="51"/>
      <c r="AD12" s="51"/>
      <c r="AE12" s="51"/>
    </row>
    <row r="13" spans="1:32" s="264" customFormat="1" ht="23.25" customHeight="1" x14ac:dyDescent="0.2">
      <c r="A13" s="374" t="s">
        <v>30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31</v>
      </c>
      <c r="Q13" s="420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74" t="s">
        <v>32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88" t="s">
        <v>33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70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1" t="s">
        <v>37</v>
      </c>
      <c r="D17" s="304" t="s">
        <v>38</v>
      </c>
      <c r="E17" s="341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0"/>
      <c r="R17" s="340"/>
      <c r="S17" s="340"/>
      <c r="T17" s="341"/>
      <c r="U17" s="455" t="s">
        <v>50</v>
      </c>
      <c r="V17" s="326"/>
      <c r="W17" s="304" t="s">
        <v>51</v>
      </c>
      <c r="X17" s="304" t="s">
        <v>52</v>
      </c>
      <c r="Y17" s="456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2"/>
      <c r="E18" s="344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2"/>
      <c r="Q18" s="343"/>
      <c r="R18" s="343"/>
      <c r="S18" s="343"/>
      <c r="T18" s="344"/>
      <c r="U18" s="70" t="s">
        <v>60</v>
      </c>
      <c r="V18" s="70" t="s">
        <v>61</v>
      </c>
      <c r="W18" s="305"/>
      <c r="X18" s="305"/>
      <c r="Y18" s="457"/>
      <c r="Z18" s="410"/>
      <c r="AA18" s="396"/>
      <c r="AB18" s="396"/>
      <c r="AC18" s="396"/>
      <c r="AD18" s="434"/>
      <c r="AE18" s="435"/>
      <c r="AF18" s="436"/>
      <c r="AG18" s="69"/>
      <c r="BD18" s="68"/>
    </row>
    <row r="19" spans="1:68" ht="27.75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customHeight="1" x14ac:dyDescent="0.25">
      <c r="A20" s="292" t="s">
        <v>62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65"/>
      <c r="AB20" s="265"/>
      <c r="AC20" s="265"/>
    </row>
    <row r="21" spans="1:68" ht="14.25" customHeight="1" x14ac:dyDescent="0.25">
      <c r="A21" s="303" t="s">
        <v>63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4">
        <v>4607111035912</v>
      </c>
      <c r="E22" s="275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7"/>
      <c r="R22" s="277"/>
      <c r="S22" s="277"/>
      <c r="T22" s="278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4">
        <v>4607111035103</v>
      </c>
      <c r="E23" s="275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7"/>
      <c r="R23" s="277"/>
      <c r="S23" s="277"/>
      <c r="T23" s="278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4">
        <v>4607111035929</v>
      </c>
      <c r="E24" s="275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7"/>
      <c r="R24" s="277"/>
      <c r="S24" s="277"/>
      <c r="T24" s="278"/>
      <c r="U24" s="34"/>
      <c r="V24" s="34"/>
      <c r="W24" s="35" t="s">
        <v>69</v>
      </c>
      <c r="X24" s="270">
        <v>0</v>
      </c>
      <c r="Y24" s="271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4">
        <v>4607111035882</v>
      </c>
      <c r="E25" s="275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7"/>
      <c r="R25" s="277"/>
      <c r="S25" s="277"/>
      <c r="T25" s="278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4">
        <v>4607111035110</v>
      </c>
      <c r="E26" s="275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7"/>
      <c r="R26" s="277"/>
      <c r="S26" s="277"/>
      <c r="T26" s="278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4">
        <v>4607111035905</v>
      </c>
      <c r="E27" s="275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7"/>
      <c r="R27" s="277"/>
      <c r="S27" s="277"/>
      <c r="T27" s="278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9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2">
        <f>IFERROR(SUM(X22:X27),"0")</f>
        <v>0</v>
      </c>
      <c r="Y28" s="272">
        <f>IFERROR(SUM(Y22:Y27),"0")</f>
        <v>0</v>
      </c>
      <c r="Z28" s="272">
        <f>IFERROR(IF(Z22="",0,Z22),"0")+IFERROR(IF(Z23="",0,Z23),"0")+IFERROR(IF(Z24="",0,Z24),"0")+IFERROR(IF(Z25="",0,Z25),"0")+IFERROR(IF(Z26="",0,Z26),"0")+IFERROR(IF(Z27="",0,Z27),"0")</f>
        <v>0</v>
      </c>
      <c r="AA28" s="273"/>
      <c r="AB28" s="273"/>
      <c r="AC28" s="273"/>
    </row>
    <row r="29" spans="1:68" x14ac:dyDescent="0.2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9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2">
        <f>IFERROR(SUMPRODUCT(X22:X27*H22:H27),"0")</f>
        <v>0</v>
      </c>
      <c r="Y29" s="272">
        <f>IFERROR(SUMPRODUCT(Y22:Y27*H22:H27),"0")</f>
        <v>0</v>
      </c>
      <c r="Z29" s="37"/>
      <c r="AA29" s="273"/>
      <c r="AB29" s="273"/>
      <c r="AC29" s="273"/>
    </row>
    <row r="30" spans="1:68" ht="16.5" customHeight="1" x14ac:dyDescent="0.25">
      <c r="A30" s="292" t="s">
        <v>84</v>
      </c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65"/>
      <c r="AB30" s="265"/>
      <c r="AC30" s="265"/>
    </row>
    <row r="31" spans="1:68" ht="14.25" customHeight="1" x14ac:dyDescent="0.25">
      <c r="A31" s="303" t="s">
        <v>63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4">
        <v>4607111039019</v>
      </c>
      <c r="E32" s="275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7"/>
      <c r="R32" s="277"/>
      <c r="S32" s="277"/>
      <c r="T32" s="278"/>
      <c r="U32" s="34"/>
      <c r="V32" s="34"/>
      <c r="W32" s="35" t="s">
        <v>69</v>
      </c>
      <c r="X32" s="270">
        <v>60</v>
      </c>
      <c r="Y32" s="271">
        <f>IFERROR(IF(X32="","",X32),"")</f>
        <v>60</v>
      </c>
      <c r="Z32" s="36">
        <f>IFERROR(IF(X32="","",X32*0.0155),"")</f>
        <v>0.92999999999999994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432.36</v>
      </c>
      <c r="BN32" s="67">
        <f>IFERROR(Y32*I32,"0")</f>
        <v>432.36</v>
      </c>
      <c r="BO32" s="67">
        <f>IFERROR(X32/J32,"0")</f>
        <v>0.7142857142857143</v>
      </c>
      <c r="BP32" s="67">
        <f>IFERROR(Y32/J32,"0")</f>
        <v>0.7142857142857143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4">
        <v>4607111038708</v>
      </c>
      <c r="E33" s="275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7"/>
      <c r="R33" s="277"/>
      <c r="S33" s="277"/>
      <c r="T33" s="278"/>
      <c r="U33" s="34"/>
      <c r="V33" s="34"/>
      <c r="W33" s="35" t="s">
        <v>69</v>
      </c>
      <c r="X33" s="270">
        <v>120</v>
      </c>
      <c r="Y33" s="271">
        <f>IFERROR(IF(X33="","",X33),"")</f>
        <v>120</v>
      </c>
      <c r="Z33" s="36">
        <f>IFERROR(IF(X33="","",X33*0.0155),"")</f>
        <v>1.8599999999999999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800.4</v>
      </c>
      <c r="BN33" s="67">
        <f>IFERROR(Y33*I33,"0")</f>
        <v>800.4</v>
      </c>
      <c r="BO33" s="67">
        <f>IFERROR(X33/J33,"0")</f>
        <v>1.4285714285714286</v>
      </c>
      <c r="BP33" s="67">
        <f>IFERROR(Y33/J33,"0")</f>
        <v>1.4285714285714286</v>
      </c>
    </row>
    <row r="34" spans="1:68" x14ac:dyDescent="0.2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2">
        <f>IFERROR(SUM(X32:X33),"0")</f>
        <v>180</v>
      </c>
      <c r="Y34" s="272">
        <f>IFERROR(SUM(Y32:Y33),"0")</f>
        <v>180</v>
      </c>
      <c r="Z34" s="272">
        <f>IFERROR(IF(Z32="",0,Z32),"0")+IFERROR(IF(Z33="",0,Z33),"0")</f>
        <v>2.79</v>
      </c>
      <c r="AA34" s="273"/>
      <c r="AB34" s="273"/>
      <c r="AC34" s="273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2">
        <f>IFERROR(SUMPRODUCT(X32:X33*H32:H33),"0")</f>
        <v>1180.8</v>
      </c>
      <c r="Y35" s="272">
        <f>IFERROR(SUMPRODUCT(Y32:Y33*H32:H33),"0")</f>
        <v>1180.8</v>
      </c>
      <c r="Z35" s="37"/>
      <c r="AA35" s="273"/>
      <c r="AB35" s="273"/>
      <c r="AC35" s="273"/>
    </row>
    <row r="36" spans="1:68" ht="27.75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customHeight="1" x14ac:dyDescent="0.25">
      <c r="A37" s="292" t="s">
        <v>91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65"/>
      <c r="AB37" s="265"/>
      <c r="AC37" s="265"/>
    </row>
    <row r="38" spans="1:68" ht="14.25" customHeight="1" x14ac:dyDescent="0.25">
      <c r="A38" s="303" t="s">
        <v>92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4">
        <v>4607111036537</v>
      </c>
      <c r="E39" s="275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7"/>
      <c r="R39" s="277"/>
      <c r="S39" s="277"/>
      <c r="T39" s="278"/>
      <c r="U39" s="34"/>
      <c r="V39" s="34"/>
      <c r="W39" s="35" t="s">
        <v>69</v>
      </c>
      <c r="X39" s="270">
        <v>98</v>
      </c>
      <c r="Y39" s="271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4">
        <v>4607111036605</v>
      </c>
      <c r="E40" s="275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102</v>
      </c>
      <c r="M40" s="33" t="s">
        <v>68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7"/>
      <c r="R40" s="277"/>
      <c r="S40" s="277"/>
      <c r="T40" s="278"/>
      <c r="U40" s="34"/>
      <c r="V40" s="34"/>
      <c r="W40" s="35" t="s">
        <v>69</v>
      </c>
      <c r="X40" s="270">
        <v>154</v>
      </c>
      <c r="Y40" s="271">
        <f>IFERROR(IF(X40="","",X40),"")</f>
        <v>154</v>
      </c>
      <c r="Z40" s="36">
        <f>IFERROR(IF(X40="","",X40*0.00941),"")</f>
        <v>1.4491400000000001</v>
      </c>
      <c r="AA40" s="56"/>
      <c r="AB40" s="57"/>
      <c r="AC40" s="90" t="s">
        <v>97</v>
      </c>
      <c r="AG40" s="67"/>
      <c r="AJ40" s="71" t="s">
        <v>103</v>
      </c>
      <c r="AK40" s="71">
        <v>140</v>
      </c>
      <c r="BB40" s="91" t="s">
        <v>99</v>
      </c>
      <c r="BM40" s="67">
        <f>IFERROR(X40*I40,"0")</f>
        <v>295.9572</v>
      </c>
      <c r="BN40" s="67">
        <f>IFERROR(Y40*I40,"0")</f>
        <v>295.9572</v>
      </c>
      <c r="BO40" s="67">
        <f>IFERROR(X40/J40,"0")</f>
        <v>1.1000000000000001</v>
      </c>
      <c r="BP40" s="67">
        <f>IFERROR(Y40/J40,"0")</f>
        <v>1.1000000000000001</v>
      </c>
    </row>
    <row r="41" spans="1:68" x14ac:dyDescent="0.2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2">
        <f>IFERROR(SUM(X39:X40),"0")</f>
        <v>252</v>
      </c>
      <c r="Y41" s="272">
        <f>IFERROR(SUM(Y39:Y40),"0")</f>
        <v>252</v>
      </c>
      <c r="Z41" s="272">
        <f>IFERROR(IF(Z39="",0,Z39),"0")+IFERROR(IF(Z40="",0,Z40),"0")</f>
        <v>2.3713199999999999</v>
      </c>
      <c r="AA41" s="273"/>
      <c r="AB41" s="273"/>
      <c r="AC41" s="273"/>
    </row>
    <row r="42" spans="1:68" x14ac:dyDescent="0.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9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2">
        <f>IFERROR(SUMPRODUCT(X39:X40*H39:H40),"0")</f>
        <v>378</v>
      </c>
      <c r="Y42" s="272">
        <f>IFERROR(SUMPRODUCT(Y39:Y40*H39:H40),"0")</f>
        <v>378</v>
      </c>
      <c r="Z42" s="37"/>
      <c r="AA42" s="273"/>
      <c r="AB42" s="273"/>
      <c r="AC42" s="273"/>
    </row>
    <row r="43" spans="1:68" ht="16.5" customHeight="1" x14ac:dyDescent="0.25">
      <c r="A43" s="292" t="s">
        <v>104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65"/>
      <c r="AB43" s="265"/>
      <c r="AC43" s="265"/>
    </row>
    <row r="44" spans="1:68" ht="14.25" customHeight="1" x14ac:dyDescent="0.25">
      <c r="A44" s="303" t="s">
        <v>63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66"/>
      <c r="AB44" s="266"/>
      <c r="AC44" s="266"/>
    </row>
    <row r="45" spans="1:68" ht="27" customHeight="1" x14ac:dyDescent="0.25">
      <c r="A45" s="54" t="s">
        <v>105</v>
      </c>
      <c r="B45" s="54" t="s">
        <v>106</v>
      </c>
      <c r="C45" s="31">
        <v>4301071090</v>
      </c>
      <c r="D45" s="274">
        <v>4620207490075</v>
      </c>
      <c r="E45" s="275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102</v>
      </c>
      <c r="M45" s="33" t="s">
        <v>68</v>
      </c>
      <c r="N45" s="33"/>
      <c r="O45" s="32">
        <v>180</v>
      </c>
      <c r="P45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7"/>
      <c r="R45" s="277"/>
      <c r="S45" s="277"/>
      <c r="T45" s="278"/>
      <c r="U45" s="34"/>
      <c r="V45" s="34"/>
      <c r="W45" s="35" t="s">
        <v>69</v>
      </c>
      <c r="X45" s="270">
        <v>156</v>
      </c>
      <c r="Y45" s="271">
        <f>IFERROR(IF(X45="","",X45),"")</f>
        <v>156</v>
      </c>
      <c r="Z45" s="36">
        <f>IFERROR(IF(X45="","",X45*0.0155),"")</f>
        <v>2.4180000000000001</v>
      </c>
      <c r="AA45" s="56"/>
      <c r="AB45" s="57"/>
      <c r="AC45" s="92" t="s">
        <v>107</v>
      </c>
      <c r="AG45" s="67"/>
      <c r="AJ45" s="71" t="s">
        <v>103</v>
      </c>
      <c r="AK45" s="71">
        <v>84</v>
      </c>
      <c r="BB45" s="93" t="s">
        <v>1</v>
      </c>
      <c r="BM45" s="67">
        <f>IFERROR(X45*I45,"0")</f>
        <v>915.72</v>
      </c>
      <c r="BN45" s="67">
        <f>IFERROR(Y45*I45,"0")</f>
        <v>915.72</v>
      </c>
      <c r="BO45" s="67">
        <f>IFERROR(X45/J45,"0")</f>
        <v>1.8571428571428572</v>
      </c>
      <c r="BP45" s="67">
        <f>IFERROR(Y45/J45,"0")</f>
        <v>1.8571428571428572</v>
      </c>
    </row>
    <row r="46" spans="1:68" ht="27" customHeight="1" x14ac:dyDescent="0.25">
      <c r="A46" s="54" t="s">
        <v>108</v>
      </c>
      <c r="B46" s="54" t="s">
        <v>109</v>
      </c>
      <c r="C46" s="31">
        <v>4301071092</v>
      </c>
      <c r="D46" s="274">
        <v>4620207490174</v>
      </c>
      <c r="E46" s="275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67</v>
      </c>
      <c r="M46" s="33" t="s">
        <v>68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7"/>
      <c r="R46" s="277"/>
      <c r="S46" s="277"/>
      <c r="T46" s="278"/>
      <c r="U46" s="34"/>
      <c r="V46" s="34"/>
      <c r="W46" s="35" t="s">
        <v>69</v>
      </c>
      <c r="X46" s="270">
        <v>0</v>
      </c>
      <c r="Y46" s="271">
        <f>IFERROR(IF(X46="","",X46),"")</f>
        <v>0</v>
      </c>
      <c r="Z46" s="36">
        <f>IFERROR(IF(X46="","",X46*0.0155),"")</f>
        <v>0</v>
      </c>
      <c r="AA46" s="56"/>
      <c r="AB46" s="57"/>
      <c r="AC46" s="94" t="s">
        <v>110</v>
      </c>
      <c r="AG46" s="67"/>
      <c r="AJ46" s="71" t="s">
        <v>71</v>
      </c>
      <c r="AK46" s="71">
        <v>1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4">
        <v>4620207490044</v>
      </c>
      <c r="E47" s="275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102</v>
      </c>
      <c r="M47" s="33" t="s">
        <v>68</v>
      </c>
      <c r="N47" s="33"/>
      <c r="O47" s="32">
        <v>180</v>
      </c>
      <c r="P47" s="3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7"/>
      <c r="R47" s="277"/>
      <c r="S47" s="277"/>
      <c r="T47" s="278"/>
      <c r="U47" s="34"/>
      <c r="V47" s="34"/>
      <c r="W47" s="35" t="s">
        <v>69</v>
      </c>
      <c r="X47" s="270">
        <v>168</v>
      </c>
      <c r="Y47" s="271">
        <f>IFERROR(IF(X47="","",X47),"")</f>
        <v>168</v>
      </c>
      <c r="Z47" s="36">
        <f>IFERROR(IF(X47="","",X47*0.0155),"")</f>
        <v>2.6040000000000001</v>
      </c>
      <c r="AA47" s="56"/>
      <c r="AB47" s="57"/>
      <c r="AC47" s="96" t="s">
        <v>113</v>
      </c>
      <c r="AG47" s="67"/>
      <c r="AJ47" s="71" t="s">
        <v>103</v>
      </c>
      <c r="AK47" s="71">
        <v>84</v>
      </c>
      <c r="BB47" s="97" t="s">
        <v>1</v>
      </c>
      <c r="BM47" s="67">
        <f>IFERROR(X47*I47,"0")</f>
        <v>986.16</v>
      </c>
      <c r="BN47" s="67">
        <f>IFERROR(Y47*I47,"0")</f>
        <v>986.16</v>
      </c>
      <c r="BO47" s="67">
        <f>IFERROR(X47/J47,"0")</f>
        <v>2</v>
      </c>
      <c r="BP47" s="67">
        <f>IFERROR(Y47/J47,"0")</f>
        <v>2</v>
      </c>
    </row>
    <row r="48" spans="1:68" x14ac:dyDescent="0.2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2">
        <f>IFERROR(SUM(X45:X47),"0")</f>
        <v>324</v>
      </c>
      <c r="Y48" s="272">
        <f>IFERROR(SUM(Y45:Y47),"0")</f>
        <v>324</v>
      </c>
      <c r="Z48" s="272">
        <f>IFERROR(IF(Z45="",0,Z45),"0")+IFERROR(IF(Z46="",0,Z46),"0")+IFERROR(IF(Z47="",0,Z47),"0")</f>
        <v>5.0220000000000002</v>
      </c>
      <c r="AA48" s="273"/>
      <c r="AB48" s="273"/>
      <c r="AC48" s="273"/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9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2">
        <f>IFERROR(SUMPRODUCT(X45:X47*H45:H47),"0")</f>
        <v>1814.3999999999999</v>
      </c>
      <c r="Y49" s="272">
        <f>IFERROR(SUMPRODUCT(Y45:Y47*H45:H47),"0")</f>
        <v>1814.3999999999999</v>
      </c>
      <c r="Z49" s="37"/>
      <c r="AA49" s="273"/>
      <c r="AB49" s="273"/>
      <c r="AC49" s="273"/>
    </row>
    <row r="50" spans="1:68" ht="16.5" customHeight="1" x14ac:dyDescent="0.25">
      <c r="A50" s="292" t="s">
        <v>114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65"/>
      <c r="AB50" s="265"/>
      <c r="AC50" s="265"/>
    </row>
    <row r="51" spans="1:68" ht="14.25" customHeight="1" x14ac:dyDescent="0.25">
      <c r="A51" s="303" t="s">
        <v>63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4">
        <v>4607111039385</v>
      </c>
      <c r="E52" s="275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7"/>
      <c r="R52" s="277"/>
      <c r="S52" s="277"/>
      <c r="T52" s="278"/>
      <c r="U52" s="34"/>
      <c r="V52" s="34"/>
      <c r="W52" s="35" t="s">
        <v>69</v>
      </c>
      <c r="X52" s="270">
        <v>120</v>
      </c>
      <c r="Y52" s="271">
        <f>IFERROR(IF(X52="","",X52),"")</f>
        <v>120</v>
      </c>
      <c r="Z52" s="36">
        <f>IFERROR(IF(X52="","",X52*0.0155),"")</f>
        <v>1.8599999999999999</v>
      </c>
      <c r="AA52" s="56"/>
      <c r="AB52" s="57"/>
      <c r="AC52" s="98" t="s">
        <v>117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876</v>
      </c>
      <c r="BN52" s="67">
        <f>IFERROR(Y52*I52,"0")</f>
        <v>876</v>
      </c>
      <c r="BO52" s="67">
        <f>IFERROR(X52/J52,"0")</f>
        <v>1.4285714285714286</v>
      </c>
      <c r="BP52" s="67">
        <f>IFERROR(Y52/J52,"0")</f>
        <v>1.4285714285714286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4">
        <v>4607111038982</v>
      </c>
      <c r="E53" s="275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7"/>
      <c r="R53" s="277"/>
      <c r="S53" s="277"/>
      <c r="T53" s="278"/>
      <c r="U53" s="34"/>
      <c r="V53" s="34"/>
      <c r="W53" s="35" t="s">
        <v>69</v>
      </c>
      <c r="X53" s="270">
        <v>0</v>
      </c>
      <c r="Y53" s="271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120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4">
        <v>4607111039354</v>
      </c>
      <c r="E54" s="275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7"/>
      <c r="R54" s="277"/>
      <c r="S54" s="277"/>
      <c r="T54" s="278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4">
        <v>4607111039330</v>
      </c>
      <c r="E55" s="275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7"/>
      <c r="R55" s="277"/>
      <c r="S55" s="277"/>
      <c r="T55" s="278"/>
      <c r="U55" s="34"/>
      <c r="V55" s="34"/>
      <c r="W55" s="35" t="s">
        <v>69</v>
      </c>
      <c r="X55" s="270">
        <v>0</v>
      </c>
      <c r="Y55" s="271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9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2">
        <f>IFERROR(SUM(X52:X55),"0")</f>
        <v>120</v>
      </c>
      <c r="Y56" s="272">
        <f>IFERROR(SUM(Y52:Y55),"0")</f>
        <v>120</v>
      </c>
      <c r="Z56" s="272">
        <f>IFERROR(IF(Z52="",0,Z52),"0")+IFERROR(IF(Z53="",0,Z53),"0")+IFERROR(IF(Z54="",0,Z54),"0")+IFERROR(IF(Z55="",0,Z55),"0")</f>
        <v>1.8599999999999999</v>
      </c>
      <c r="AA56" s="273"/>
      <c r="AB56" s="273"/>
      <c r="AC56" s="273"/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9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2">
        <f>IFERROR(SUMPRODUCT(X52:X55*H52:H55),"0")</f>
        <v>840</v>
      </c>
      <c r="Y57" s="272">
        <f>IFERROR(SUMPRODUCT(Y52:Y55*H52:H55),"0")</f>
        <v>840</v>
      </c>
      <c r="Z57" s="37"/>
      <c r="AA57" s="273"/>
      <c r="AB57" s="273"/>
      <c r="AC57" s="273"/>
    </row>
    <row r="58" spans="1:68" ht="16.5" customHeight="1" x14ac:dyDescent="0.25">
      <c r="A58" s="292" t="s">
        <v>125</v>
      </c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65"/>
      <c r="AB58" s="265"/>
      <c r="AC58" s="265"/>
    </row>
    <row r="59" spans="1:68" ht="14.25" customHeight="1" x14ac:dyDescent="0.25">
      <c r="A59" s="303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4">
        <v>4620207490822</v>
      </c>
      <c r="E60" s="275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7"/>
      <c r="R60" s="277"/>
      <c r="S60" s="277"/>
      <c r="T60" s="278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customHeight="1" x14ac:dyDescent="0.25">
      <c r="A63" s="303" t="s">
        <v>92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4">
        <v>4607111039712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7"/>
      <c r="R64" s="277"/>
      <c r="S64" s="277"/>
      <c r="T64" s="278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9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x14ac:dyDescent="0.2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9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customHeight="1" x14ac:dyDescent="0.25">
      <c r="A67" s="303" t="s">
        <v>132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4">
        <v>4607111037008</v>
      </c>
      <c r="E68" s="275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7"/>
      <c r="R68" s="277"/>
      <c r="S68" s="277"/>
      <c r="T68" s="278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4">
        <v>4607111037398</v>
      </c>
      <c r="E69" s="275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7"/>
      <c r="R69" s="277"/>
      <c r="S69" s="277"/>
      <c r="T69" s="278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customHeight="1" x14ac:dyDescent="0.25">
      <c r="A72" s="303" t="s">
        <v>138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4">
        <v>4607111039705</v>
      </c>
      <c r="E73" s="275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7"/>
      <c r="R73" s="277"/>
      <c r="S73" s="277"/>
      <c r="T73" s="278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4">
        <v>4607111039729</v>
      </c>
      <c r="E74" s="275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7"/>
      <c r="R74" s="277"/>
      <c r="S74" s="277"/>
      <c r="T74" s="278"/>
      <c r="U74" s="34"/>
      <c r="V74" s="34"/>
      <c r="W74" s="35" t="s">
        <v>69</v>
      </c>
      <c r="X74" s="270">
        <v>0</v>
      </c>
      <c r="Y74" s="271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4">
        <v>4620207490228</v>
      </c>
      <c r="E75" s="275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7"/>
      <c r="R75" s="277"/>
      <c r="S75" s="277"/>
      <c r="T75" s="278"/>
      <c r="U75" s="34"/>
      <c r="V75" s="34"/>
      <c r="W75" s="35" t="s">
        <v>69</v>
      </c>
      <c r="X75" s="270">
        <v>0</v>
      </c>
      <c r="Y75" s="271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2">
        <f>IFERROR(SUM(X73:X75),"0")</f>
        <v>0</v>
      </c>
      <c r="Y76" s="272">
        <f>IFERROR(SUM(Y73:Y75),"0")</f>
        <v>0</v>
      </c>
      <c r="Z76" s="272">
        <f>IFERROR(IF(Z73="",0,Z73),"0")+IFERROR(IF(Z74="",0,Z74),"0")+IFERROR(IF(Z75="",0,Z75),"0")</f>
        <v>0</v>
      </c>
      <c r="AA76" s="273"/>
      <c r="AB76" s="273"/>
      <c r="AC76" s="273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2">
        <f>IFERROR(SUMPRODUCT(X73:X75*H73:H75),"0")</f>
        <v>0</v>
      </c>
      <c r="Y77" s="272">
        <f>IFERROR(SUMPRODUCT(Y73:Y75*H73:H75),"0")</f>
        <v>0</v>
      </c>
      <c r="Z77" s="37"/>
      <c r="AA77" s="273"/>
      <c r="AB77" s="273"/>
      <c r="AC77" s="273"/>
    </row>
    <row r="78" spans="1:68" ht="16.5" customHeight="1" x14ac:dyDescent="0.25">
      <c r="A78" s="292" t="s">
        <v>146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65"/>
      <c r="AB78" s="265"/>
      <c r="AC78" s="265"/>
    </row>
    <row r="79" spans="1:68" ht="14.25" customHeight="1" x14ac:dyDescent="0.25">
      <c r="A79" s="303" t="s">
        <v>63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4">
        <v>4607111037411</v>
      </c>
      <c r="E80" s="275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7"/>
      <c r="R80" s="277"/>
      <c r="S80" s="277"/>
      <c r="T80" s="278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4">
        <v>4607111036728</v>
      </c>
      <c r="E81" s="275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102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7"/>
      <c r="R81" s="277"/>
      <c r="S81" s="277"/>
      <c r="T81" s="278"/>
      <c r="U81" s="34"/>
      <c r="V81" s="34"/>
      <c r="W81" s="35" t="s">
        <v>69</v>
      </c>
      <c r="X81" s="270">
        <v>0</v>
      </c>
      <c r="Y81" s="271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103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2">
        <f>IFERROR(SUM(X80:X81),"0")</f>
        <v>0</v>
      </c>
      <c r="Y82" s="272">
        <f>IFERROR(SUM(Y80:Y81),"0")</f>
        <v>0</v>
      </c>
      <c r="Z82" s="272">
        <f>IFERROR(IF(Z80="",0,Z80),"0")+IFERROR(IF(Z81="",0,Z81),"0")</f>
        <v>0</v>
      </c>
      <c r="AA82" s="273"/>
      <c r="AB82" s="273"/>
      <c r="AC82" s="273"/>
    </row>
    <row r="83" spans="1:68" x14ac:dyDescent="0.2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9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2">
        <f>IFERROR(SUMPRODUCT(X80:X81*H80:H81),"0")</f>
        <v>0</v>
      </c>
      <c r="Y83" s="272">
        <f>IFERROR(SUMPRODUCT(Y80:Y81*H80:H81),"0")</f>
        <v>0</v>
      </c>
      <c r="Z83" s="37"/>
      <c r="AA83" s="273"/>
      <c r="AB83" s="273"/>
      <c r="AC83" s="273"/>
    </row>
    <row r="84" spans="1:68" ht="16.5" customHeight="1" x14ac:dyDescent="0.25">
      <c r="A84" s="292" t="s">
        <v>153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65"/>
      <c r="AB84" s="265"/>
      <c r="AC84" s="265"/>
    </row>
    <row r="85" spans="1:68" ht="14.25" customHeight="1" x14ac:dyDescent="0.25">
      <c r="A85" s="303" t="s">
        <v>138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4">
        <v>4607111033659</v>
      </c>
      <c r="E86" s="275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7"/>
      <c r="R86" s="277"/>
      <c r="S86" s="277"/>
      <c r="T86" s="278"/>
      <c r="U86" s="34"/>
      <c r="V86" s="34"/>
      <c r="W86" s="35" t="s">
        <v>69</v>
      </c>
      <c r="X86" s="270">
        <v>56</v>
      </c>
      <c r="Y86" s="271">
        <f>IFERROR(IF(X86="","",X86),"")</f>
        <v>56</v>
      </c>
      <c r="Z86" s="36">
        <f>IFERROR(IF(X86="","",X86*0.01788),"")</f>
        <v>1.0012799999999999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2">
        <f>IFERROR(SUM(X86:X86),"0")</f>
        <v>56</v>
      </c>
      <c r="Y87" s="272">
        <f>IFERROR(SUM(Y86:Y86),"0")</f>
        <v>56</v>
      </c>
      <c r="Z87" s="272">
        <f>IFERROR(IF(Z86="",0,Z86),"0")</f>
        <v>1.0012799999999999</v>
      </c>
      <c r="AA87" s="273"/>
      <c r="AB87" s="273"/>
      <c r="AC87" s="273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2">
        <f>IFERROR(SUMPRODUCT(X86:X86*H86:H86),"0")</f>
        <v>201.6</v>
      </c>
      <c r="Y88" s="272">
        <f>IFERROR(SUMPRODUCT(Y86:Y86*H86:H86),"0")</f>
        <v>201.6</v>
      </c>
      <c r="Z88" s="37"/>
      <c r="AA88" s="273"/>
      <c r="AB88" s="273"/>
      <c r="AC88" s="273"/>
    </row>
    <row r="89" spans="1:68" ht="16.5" customHeight="1" x14ac:dyDescent="0.25">
      <c r="A89" s="292" t="s">
        <v>157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65"/>
      <c r="AB89" s="265"/>
      <c r="AC89" s="265"/>
    </row>
    <row r="90" spans="1:68" ht="14.25" customHeight="1" x14ac:dyDescent="0.25">
      <c r="A90" s="303" t="s">
        <v>158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4">
        <v>4607111034120</v>
      </c>
      <c r="E91" s="275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7"/>
      <c r="R91" s="277"/>
      <c r="S91" s="277"/>
      <c r="T91" s="278"/>
      <c r="U91" s="34"/>
      <c r="V91" s="34"/>
      <c r="W91" s="35" t="s">
        <v>69</v>
      </c>
      <c r="X91" s="270">
        <v>98</v>
      </c>
      <c r="Y91" s="271">
        <f>IFERROR(IF(X91="","",X91),"")</f>
        <v>98</v>
      </c>
      <c r="Z91" s="36">
        <f>IFERROR(IF(X91="","",X91*0.01788),"")</f>
        <v>1.75224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421.75280000000004</v>
      </c>
      <c r="BN91" s="67">
        <f>IFERROR(Y91*I91,"0")</f>
        <v>421.75280000000004</v>
      </c>
      <c r="BO91" s="67">
        <f>IFERROR(X91/J91,"0")</f>
        <v>1.4</v>
      </c>
      <c r="BP91" s="67">
        <f>IFERROR(Y91/J91,"0")</f>
        <v>1.4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4">
        <v>4607111034137</v>
      </c>
      <c r="E92" s="275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102</v>
      </c>
      <c r="M92" s="33" t="s">
        <v>68</v>
      </c>
      <c r="N92" s="33"/>
      <c r="O92" s="32">
        <v>180</v>
      </c>
      <c r="P92" s="31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7"/>
      <c r="R92" s="277"/>
      <c r="S92" s="277"/>
      <c r="T92" s="278"/>
      <c r="U92" s="34"/>
      <c r="V92" s="34"/>
      <c r="W92" s="35" t="s">
        <v>69</v>
      </c>
      <c r="X92" s="270">
        <v>84</v>
      </c>
      <c r="Y92" s="271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164</v>
      </c>
      <c r="AG92" s="67"/>
      <c r="AJ92" s="71" t="s">
        <v>103</v>
      </c>
      <c r="AK92" s="71">
        <v>70</v>
      </c>
      <c r="BB92" s="129" t="s">
        <v>99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87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9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2">
        <f>IFERROR(SUM(X91:X92),"0")</f>
        <v>182</v>
      </c>
      <c r="Y93" s="272">
        <f>IFERROR(SUM(Y91:Y92),"0")</f>
        <v>182</v>
      </c>
      <c r="Z93" s="272">
        <f>IFERROR(IF(Z91="",0,Z91),"0")+IFERROR(IF(Z92="",0,Z92),"0")</f>
        <v>3.2541599999999997</v>
      </c>
      <c r="AA93" s="273"/>
      <c r="AB93" s="273"/>
      <c r="AC93" s="273"/>
    </row>
    <row r="94" spans="1:68" x14ac:dyDescent="0.2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9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2">
        <f>IFERROR(SUMPRODUCT(X91:X92*H91:H92),"0")</f>
        <v>655.20000000000005</v>
      </c>
      <c r="Y94" s="272">
        <f>IFERROR(SUMPRODUCT(Y91:Y92*H91:H92),"0")</f>
        <v>655.20000000000005</v>
      </c>
      <c r="Z94" s="37"/>
      <c r="AA94" s="273"/>
      <c r="AB94" s="273"/>
      <c r="AC94" s="273"/>
    </row>
    <row r="95" spans="1:68" ht="16.5" customHeight="1" x14ac:dyDescent="0.25">
      <c r="A95" s="292" t="s">
        <v>165</v>
      </c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65"/>
      <c r="AB95" s="265"/>
      <c r="AC95" s="265"/>
    </row>
    <row r="96" spans="1:68" ht="14.25" customHeight="1" x14ac:dyDescent="0.25">
      <c r="A96" s="303" t="s">
        <v>138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4">
        <v>4620207491027</v>
      </c>
      <c r="E97" s="275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67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7"/>
      <c r="R97" s="277"/>
      <c r="S97" s="277"/>
      <c r="T97" s="278"/>
      <c r="U97" s="34"/>
      <c r="V97" s="34"/>
      <c r="W97" s="35" t="s">
        <v>69</v>
      </c>
      <c r="X97" s="270">
        <v>0</v>
      </c>
      <c r="Y97" s="271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71</v>
      </c>
      <c r="AK97" s="71">
        <v>1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4">
        <v>4620207491003</v>
      </c>
      <c r="E98" s="275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7"/>
      <c r="R98" s="277"/>
      <c r="S98" s="277"/>
      <c r="T98" s="278"/>
      <c r="U98" s="34"/>
      <c r="V98" s="34"/>
      <c r="W98" s="35" t="s">
        <v>69</v>
      </c>
      <c r="X98" s="270">
        <v>112</v>
      </c>
      <c r="Y98" s="271">
        <f t="shared" si="6"/>
        <v>112</v>
      </c>
      <c r="Z98" s="36">
        <f t="shared" si="7"/>
        <v>2.0025599999999999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4">
        <v>4620207491034</v>
      </c>
      <c r="E99" s="275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7"/>
      <c r="R99" s="277"/>
      <c r="S99" s="277"/>
      <c r="T99" s="278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4">
        <v>4620207491010</v>
      </c>
      <c r="E100" s="275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102</v>
      </c>
      <c r="M100" s="33" t="s">
        <v>68</v>
      </c>
      <c r="N100" s="33"/>
      <c r="O100" s="32">
        <v>180</v>
      </c>
      <c r="P100" s="31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7"/>
      <c r="R100" s="277"/>
      <c r="S100" s="277"/>
      <c r="T100" s="278"/>
      <c r="U100" s="34"/>
      <c r="V100" s="34"/>
      <c r="W100" s="35" t="s">
        <v>69</v>
      </c>
      <c r="X100" s="270">
        <v>112</v>
      </c>
      <c r="Y100" s="271">
        <f t="shared" si="6"/>
        <v>112</v>
      </c>
      <c r="Z100" s="36">
        <f t="shared" si="7"/>
        <v>2.0025599999999999</v>
      </c>
      <c r="AA100" s="56"/>
      <c r="AB100" s="57"/>
      <c r="AC100" s="136" t="s">
        <v>156</v>
      </c>
      <c r="AG100" s="67"/>
      <c r="AJ100" s="71" t="s">
        <v>103</v>
      </c>
      <c r="AK100" s="71">
        <v>70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4">
        <v>4607111035028</v>
      </c>
      <c r="E101" s="275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7"/>
      <c r="R101" s="277"/>
      <c r="S101" s="277"/>
      <c r="T101" s="278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4">
        <v>4607111036407</v>
      </c>
      <c r="E102" s="275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7"/>
      <c r="R102" s="277"/>
      <c r="S102" s="277"/>
      <c r="T102" s="278"/>
      <c r="U102" s="34"/>
      <c r="V102" s="34"/>
      <c r="W102" s="35" t="s">
        <v>69</v>
      </c>
      <c r="X102" s="270">
        <v>84</v>
      </c>
      <c r="Y102" s="271">
        <f t="shared" si="6"/>
        <v>84</v>
      </c>
      <c r="Z102" s="36">
        <f t="shared" si="7"/>
        <v>1.5019199999999999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380.45280000000002</v>
      </c>
      <c r="BN102" s="67">
        <f t="shared" si="9"/>
        <v>380.45280000000002</v>
      </c>
      <c r="BO102" s="67">
        <f t="shared" si="10"/>
        <v>1.2</v>
      </c>
      <c r="BP102" s="67">
        <f t="shared" si="11"/>
        <v>1.2</v>
      </c>
    </row>
    <row r="103" spans="1:68" x14ac:dyDescent="0.2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2">
        <f>IFERROR(SUM(X97:X102),"0")</f>
        <v>308</v>
      </c>
      <c r="Y103" s="272">
        <f>IFERROR(SUM(Y97:Y102),"0")</f>
        <v>308</v>
      </c>
      <c r="Z103" s="272">
        <f>IFERROR(IF(Z97="",0,Z97),"0")+IFERROR(IF(Z98="",0,Z98),"0")+IFERROR(IF(Z99="",0,Z99),"0")+IFERROR(IF(Z100="",0,Z100),"0")+IFERROR(IF(Z101="",0,Z101),"0")+IFERROR(IF(Z102="",0,Z102),"0")</f>
        <v>5.5070399999999999</v>
      </c>
      <c r="AA103" s="273"/>
      <c r="AB103" s="273"/>
      <c r="AC103" s="273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2">
        <f>IFERROR(SUMPRODUCT(X97:X102*H97:H102),"0")</f>
        <v>997.92000000000007</v>
      </c>
      <c r="Y104" s="272">
        <f>IFERROR(SUMPRODUCT(Y97:Y102*H97:H102),"0")</f>
        <v>997.92000000000007</v>
      </c>
      <c r="Z104" s="37"/>
      <c r="AA104" s="273"/>
      <c r="AB104" s="273"/>
      <c r="AC104" s="273"/>
    </row>
    <row r="105" spans="1:68" ht="16.5" customHeight="1" x14ac:dyDescent="0.25">
      <c r="A105" s="292" t="s">
        <v>180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65"/>
      <c r="AB105" s="265"/>
      <c r="AC105" s="265"/>
    </row>
    <row r="106" spans="1:68" ht="14.25" customHeight="1" x14ac:dyDescent="0.25">
      <c r="A106" s="303" t="s">
        <v>132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4">
        <v>4607025784012</v>
      </c>
      <c r="E107" s="275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7"/>
      <c r="R107" s="277"/>
      <c r="S107" s="277"/>
      <c r="T107" s="278"/>
      <c r="U107" s="34"/>
      <c r="V107" s="34"/>
      <c r="W107" s="35" t="s">
        <v>69</v>
      </c>
      <c r="X107" s="270">
        <v>70</v>
      </c>
      <c r="Y107" s="271">
        <f>IFERROR(IF(X107="","",X107),"")</f>
        <v>70</v>
      </c>
      <c r="Z107" s="36">
        <f>IFERROR(IF(X107="","",X107*0.00936),"")</f>
        <v>0.6552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174.38400000000001</v>
      </c>
      <c r="BN107" s="67">
        <f>IFERROR(Y107*I107,"0")</f>
        <v>174.38400000000001</v>
      </c>
      <c r="BO107" s="67">
        <f>IFERROR(X107/J107,"0")</f>
        <v>0.55555555555555558</v>
      </c>
      <c r="BP107" s="67">
        <f>IFERROR(Y107/J107,"0")</f>
        <v>0.55555555555555558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4">
        <v>4607025784319</v>
      </c>
      <c r="E108" s="275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7"/>
      <c r="R108" s="277"/>
      <c r="S108" s="277"/>
      <c r="T108" s="278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9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2">
        <f>IFERROR(SUM(X107:X108),"0")</f>
        <v>70</v>
      </c>
      <c r="Y109" s="272">
        <f>IFERROR(SUM(Y107:Y108),"0")</f>
        <v>70</v>
      </c>
      <c r="Z109" s="272">
        <f>IFERROR(IF(Z107="",0,Z107),"0")+IFERROR(IF(Z108="",0,Z108),"0")</f>
        <v>0.6552</v>
      </c>
      <c r="AA109" s="273"/>
      <c r="AB109" s="273"/>
      <c r="AC109" s="273"/>
    </row>
    <row r="110" spans="1:68" x14ac:dyDescent="0.2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9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2">
        <f>IFERROR(SUMPRODUCT(X107:X108*H107:H108),"0")</f>
        <v>151.20000000000002</v>
      </c>
      <c r="Y110" s="272">
        <f>IFERROR(SUMPRODUCT(Y107:Y108*H107:H108),"0")</f>
        <v>151.20000000000002</v>
      </c>
      <c r="Z110" s="37"/>
      <c r="AA110" s="273"/>
      <c r="AB110" s="273"/>
      <c r="AC110" s="273"/>
    </row>
    <row r="111" spans="1:68" ht="16.5" customHeight="1" x14ac:dyDescent="0.25">
      <c r="A111" s="292" t="s">
        <v>186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65"/>
      <c r="AB111" s="265"/>
      <c r="AC111" s="265"/>
    </row>
    <row r="112" spans="1:68" ht="14.25" customHeight="1" x14ac:dyDescent="0.25">
      <c r="A112" s="303" t="s">
        <v>63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4">
        <v>4620207491393</v>
      </c>
      <c r="E113" s="275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7"/>
      <c r="R113" s="277"/>
      <c r="S113" s="277"/>
      <c r="T113" s="278"/>
      <c r="U113" s="34"/>
      <c r="V113" s="34"/>
      <c r="W113" s="35" t="s">
        <v>69</v>
      </c>
      <c r="X113" s="270">
        <v>0</v>
      </c>
      <c r="Y113" s="271">
        <f t="shared" ref="Y113:Y121" si="12">IFERROR(IF(X113="","",X113),"")</f>
        <v>0</v>
      </c>
      <c r="Z113" s="36">
        <f t="shared" ref="Z113:Z121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0</v>
      </c>
      <c r="BN113" s="67">
        <f t="shared" ref="BN113:BN121" si="15">IFERROR(Y113*I113,"0")</f>
        <v>0</v>
      </c>
      <c r="BO113" s="67">
        <f t="shared" ref="BO113:BO121" si="16">IFERROR(X113/J113,"0")</f>
        <v>0</v>
      </c>
      <c r="BP113" s="67">
        <f t="shared" ref="BP113:BP121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4">
        <v>4620207491157</v>
      </c>
      <c r="E114" s="275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7"/>
      <c r="R114" s="277"/>
      <c r="S114" s="277"/>
      <c r="T114" s="278"/>
      <c r="U114" s="34"/>
      <c r="V114" s="34"/>
      <c r="W114" s="35" t="s">
        <v>69</v>
      </c>
      <c r="X114" s="270">
        <v>0</v>
      </c>
      <c r="Y114" s="271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7"/>
      <c r="R115" s="277"/>
      <c r="S115" s="277"/>
      <c r="T115" s="278"/>
      <c r="U115" s="34"/>
      <c r="V115" s="34"/>
      <c r="W115" s="35" t="s">
        <v>69</v>
      </c>
      <c r="X115" s="270">
        <v>72</v>
      </c>
      <c r="Y115" s="271">
        <f t="shared" si="12"/>
        <v>72</v>
      </c>
      <c r="Z115" s="36">
        <f t="shared" si="13"/>
        <v>1.1160000000000001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483.81119999999999</v>
      </c>
      <c r="BN115" s="67">
        <f t="shared" si="15"/>
        <v>483.81119999999999</v>
      </c>
      <c r="BO115" s="67">
        <f t="shared" si="16"/>
        <v>0.8571428571428571</v>
      </c>
      <c r="BP115" s="67">
        <f t="shared" si="17"/>
        <v>0.8571428571428571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102</v>
      </c>
      <c r="M116" s="33" t="s">
        <v>68</v>
      </c>
      <c r="N116" s="33"/>
      <c r="O116" s="32">
        <v>180</v>
      </c>
      <c r="P116" s="3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7"/>
      <c r="R116" s="277"/>
      <c r="S116" s="277"/>
      <c r="T116" s="278"/>
      <c r="U116" s="34"/>
      <c r="V116" s="34"/>
      <c r="W116" s="35" t="s">
        <v>69</v>
      </c>
      <c r="X116" s="270">
        <v>144</v>
      </c>
      <c r="Y116" s="271">
        <f t="shared" si="12"/>
        <v>144</v>
      </c>
      <c r="Z116" s="36">
        <f t="shared" si="13"/>
        <v>2.2320000000000002</v>
      </c>
      <c r="AA116" s="56"/>
      <c r="AB116" s="57"/>
      <c r="AC116" s="152" t="s">
        <v>150</v>
      </c>
      <c r="AG116" s="67"/>
      <c r="AJ116" s="71" t="s">
        <v>103</v>
      </c>
      <c r="AK116" s="71">
        <v>84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7"/>
      <c r="R117" s="277"/>
      <c r="S117" s="277"/>
      <c r="T117" s="278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7"/>
      <c r="R118" s="277"/>
      <c r="S118" s="277"/>
      <c r="T118" s="278"/>
      <c r="U118" s="34"/>
      <c r="V118" s="34"/>
      <c r="W118" s="35" t="s">
        <v>69</v>
      </c>
      <c r="X118" s="270">
        <v>72</v>
      </c>
      <c r="Y118" s="271">
        <f t="shared" si="12"/>
        <v>72</v>
      </c>
      <c r="Z118" s="36">
        <f t="shared" si="13"/>
        <v>1.1160000000000001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483.81119999999999</v>
      </c>
      <c r="BN118" s="67">
        <f t="shared" si="15"/>
        <v>483.81119999999999</v>
      </c>
      <c r="BO118" s="67">
        <f t="shared" si="16"/>
        <v>0.8571428571428571</v>
      </c>
      <c r="BP118" s="67">
        <f t="shared" si="17"/>
        <v>0.8571428571428571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7"/>
      <c r="R119" s="277"/>
      <c r="S119" s="277"/>
      <c r="T119" s="278"/>
      <c r="U119" s="34"/>
      <c r="V119" s="34"/>
      <c r="W119" s="35" t="s">
        <v>69</v>
      </c>
      <c r="X119" s="270">
        <v>120</v>
      </c>
      <c r="Y119" s="271">
        <f t="shared" si="12"/>
        <v>120</v>
      </c>
      <c r="Z119" s="36">
        <f t="shared" si="13"/>
        <v>1.8599999999999999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4">
        <v>4607111037435</v>
      </c>
      <c r="E120" s="275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7"/>
      <c r="R120" s="277"/>
      <c r="S120" s="277"/>
      <c r="T120" s="278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74">
        <v>4620207491102</v>
      </c>
      <c r="E121" s="275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7"/>
      <c r="R121" s="277"/>
      <c r="S121" s="277"/>
      <c r="T121" s="278"/>
      <c r="U121" s="34"/>
      <c r="V121" s="34"/>
      <c r="W121" s="35" t="s">
        <v>69</v>
      </c>
      <c r="X121" s="270">
        <v>0</v>
      </c>
      <c r="Y121" s="271">
        <f t="shared" si="12"/>
        <v>0</v>
      </c>
      <c r="Z121" s="36">
        <f t="shared" si="13"/>
        <v>0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80" t="s">
        <v>82</v>
      </c>
      <c r="Q122" s="281"/>
      <c r="R122" s="281"/>
      <c r="S122" s="281"/>
      <c r="T122" s="281"/>
      <c r="U122" s="281"/>
      <c r="V122" s="282"/>
      <c r="W122" s="37" t="s">
        <v>69</v>
      </c>
      <c r="X122" s="272">
        <f>IFERROR(SUM(X113:X121),"0")</f>
        <v>408</v>
      </c>
      <c r="Y122" s="272">
        <f>IFERROR(SUM(Y113:Y121),"0")</f>
        <v>408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6.3239999999999998</v>
      </c>
      <c r="AA122" s="273"/>
      <c r="AB122" s="273"/>
      <c r="AC122" s="273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80" t="s">
        <v>82</v>
      </c>
      <c r="Q123" s="281"/>
      <c r="R123" s="281"/>
      <c r="S123" s="281"/>
      <c r="T123" s="281"/>
      <c r="U123" s="281"/>
      <c r="V123" s="282"/>
      <c r="W123" s="37" t="s">
        <v>83</v>
      </c>
      <c r="X123" s="272">
        <f>IFERROR(SUMPRODUCT(X113:X121*H113:H121),"0")</f>
        <v>2769.6</v>
      </c>
      <c r="Y123" s="272">
        <f>IFERROR(SUMPRODUCT(Y113:Y121*H113:H121),"0")</f>
        <v>2769.6</v>
      </c>
      <c r="Z123" s="37"/>
      <c r="AA123" s="273"/>
      <c r="AB123" s="273"/>
      <c r="AC123" s="273"/>
    </row>
    <row r="124" spans="1:68" ht="14.25" customHeight="1" x14ac:dyDescent="0.25">
      <c r="A124" s="303" t="s">
        <v>138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66"/>
      <c r="AB124" s="266"/>
      <c r="AC124" s="266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7"/>
      <c r="R125" s="277"/>
      <c r="S125" s="277"/>
      <c r="T125" s="278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7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9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customHeight="1" x14ac:dyDescent="0.25">
      <c r="A128" s="303" t="s">
        <v>214</v>
      </c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66"/>
      <c r="AB128" s="266"/>
      <c r="AC128" s="266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7"/>
      <c r="R129" s="277"/>
      <c r="S129" s="277"/>
      <c r="T129" s="278"/>
      <c r="U129" s="34"/>
      <c r="V129" s="34"/>
      <c r="W129" s="35" t="s">
        <v>69</v>
      </c>
      <c r="X129" s="270">
        <v>0</v>
      </c>
      <c r="Y129" s="271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87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9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2">
        <f>IFERROR(SUM(X129:X129),"0")</f>
        <v>0</v>
      </c>
      <c r="Y130" s="272">
        <f>IFERROR(SUM(Y129:Y129),"0")</f>
        <v>0</v>
      </c>
      <c r="Z130" s="272">
        <f>IFERROR(IF(Z129="",0,Z129),"0")</f>
        <v>0</v>
      </c>
      <c r="AA130" s="273"/>
      <c r="AB130" s="273"/>
      <c r="AC130" s="273"/>
    </row>
    <row r="131" spans="1:68" x14ac:dyDescent="0.2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9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2">
        <f>IFERROR(SUMPRODUCT(X129:X129*H129:H129),"0")</f>
        <v>0</v>
      </c>
      <c r="Y131" s="272">
        <f>IFERROR(SUMPRODUCT(Y129:Y129*H129:H129),"0")</f>
        <v>0</v>
      </c>
      <c r="Z131" s="37"/>
      <c r="AA131" s="273"/>
      <c r="AB131" s="273"/>
      <c r="AC131" s="273"/>
    </row>
    <row r="132" spans="1:68" ht="16.5" customHeight="1" x14ac:dyDescent="0.25">
      <c r="A132" s="292" t="s">
        <v>218</v>
      </c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65"/>
      <c r="AB132" s="265"/>
      <c r="AC132" s="265"/>
    </row>
    <row r="133" spans="1:68" ht="14.25" customHeight="1" x14ac:dyDescent="0.25">
      <c r="A133" s="303" t="s">
        <v>138</v>
      </c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66"/>
      <c r="AB133" s="266"/>
      <c r="AC133" s="266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7"/>
      <c r="R134" s="277"/>
      <c r="S134" s="277"/>
      <c r="T134" s="278"/>
      <c r="U134" s="34"/>
      <c r="V134" s="34"/>
      <c r="W134" s="35" t="s">
        <v>69</v>
      </c>
      <c r="X134" s="270">
        <v>140</v>
      </c>
      <c r="Y134" s="271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221</v>
      </c>
      <c r="AG134" s="67"/>
      <c r="AJ134" s="71" t="s">
        <v>98</v>
      </c>
      <c r="AK134" s="71">
        <v>14</v>
      </c>
      <c r="BB134" s="169" t="s">
        <v>99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7"/>
      <c r="R135" s="277"/>
      <c r="S135" s="277"/>
      <c r="T135" s="278"/>
      <c r="U135" s="34"/>
      <c r="V135" s="34"/>
      <c r="W135" s="35" t="s">
        <v>69</v>
      </c>
      <c r="X135" s="270">
        <v>140</v>
      </c>
      <c r="Y135" s="271">
        <f>IFERROR(IF(X135="","",X135),"")</f>
        <v>140</v>
      </c>
      <c r="Z135" s="36">
        <f>IFERROR(IF(X135="","",X135*0.01788),"")</f>
        <v>2.5032000000000001</v>
      </c>
      <c r="AA135" s="56"/>
      <c r="AB135" s="57"/>
      <c r="AC135" s="170" t="s">
        <v>156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518.50400000000002</v>
      </c>
      <c r="BN135" s="67">
        <f>IFERROR(Y135*I135,"0")</f>
        <v>518.50400000000002</v>
      </c>
      <c r="BO135" s="67">
        <f>IFERROR(X135/J135,"0")</f>
        <v>2</v>
      </c>
      <c r="BP135" s="67">
        <f>IFERROR(Y135/J135,"0")</f>
        <v>2</v>
      </c>
    </row>
    <row r="136" spans="1:68" x14ac:dyDescent="0.2">
      <c r="A136" s="287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9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2">
        <f>IFERROR(SUM(X134:X135),"0")</f>
        <v>280</v>
      </c>
      <c r="Y136" s="272">
        <f>IFERROR(SUM(Y134:Y135),"0")</f>
        <v>280</v>
      </c>
      <c r="Z136" s="272">
        <f>IFERROR(IF(Z134="",0,Z134),"0")+IFERROR(IF(Z135="",0,Z135),"0")</f>
        <v>5.0064000000000002</v>
      </c>
      <c r="AA136" s="273"/>
      <c r="AB136" s="273"/>
      <c r="AC136" s="273"/>
    </row>
    <row r="137" spans="1:68" x14ac:dyDescent="0.2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9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2">
        <f>IFERROR(SUMPRODUCT(X134:X135*H134:H135),"0")</f>
        <v>840</v>
      </c>
      <c r="Y137" s="272">
        <f>IFERROR(SUMPRODUCT(Y134:Y135*H134:H135),"0")</f>
        <v>840</v>
      </c>
      <c r="Z137" s="37"/>
      <c r="AA137" s="273"/>
      <c r="AB137" s="273"/>
      <c r="AC137" s="273"/>
    </row>
    <row r="138" spans="1:68" ht="16.5" customHeight="1" x14ac:dyDescent="0.25">
      <c r="A138" s="292" t="s">
        <v>224</v>
      </c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65"/>
      <c r="AB138" s="265"/>
      <c r="AC138" s="265"/>
    </row>
    <row r="139" spans="1:68" ht="14.25" customHeight="1" x14ac:dyDescent="0.25">
      <c r="A139" s="303" t="s">
        <v>138</v>
      </c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66"/>
      <c r="AB139" s="266"/>
      <c r="AC139" s="266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7"/>
      <c r="R140" s="277"/>
      <c r="S140" s="277"/>
      <c r="T140" s="278"/>
      <c r="U140" s="34"/>
      <c r="V140" s="34"/>
      <c r="W140" s="35" t="s">
        <v>69</v>
      </c>
      <c r="X140" s="270">
        <v>0</v>
      </c>
      <c r="Y140" s="271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102</v>
      </c>
      <c r="M141" s="33" t="s">
        <v>68</v>
      </c>
      <c r="N141" s="33"/>
      <c r="O141" s="32">
        <v>180</v>
      </c>
      <c r="P141" s="3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7"/>
      <c r="R141" s="277"/>
      <c r="S141" s="277"/>
      <c r="T141" s="278"/>
      <c r="U141" s="34"/>
      <c r="V141" s="34"/>
      <c r="W141" s="35" t="s">
        <v>69</v>
      </c>
      <c r="X141" s="270">
        <v>126</v>
      </c>
      <c r="Y141" s="271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74" t="s">
        <v>230</v>
      </c>
      <c r="AG141" s="67"/>
      <c r="AJ141" s="71" t="s">
        <v>103</v>
      </c>
      <c r="AK141" s="71">
        <v>70</v>
      </c>
      <c r="BB141" s="175" t="s">
        <v>99</v>
      </c>
      <c r="BM141" s="67">
        <f>IFERROR(X141*I141,"0")</f>
        <v>466.65359999999998</v>
      </c>
      <c r="BN141" s="67">
        <f>IFERROR(Y141*I141,"0")</f>
        <v>466.65359999999998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287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9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2">
        <f>IFERROR(SUM(X140:X141),"0")</f>
        <v>126</v>
      </c>
      <c r="Y142" s="272">
        <f>IFERROR(SUM(Y140:Y141),"0")</f>
        <v>126</v>
      </c>
      <c r="Z142" s="272">
        <f>IFERROR(IF(Z140="",0,Z140),"0")+IFERROR(IF(Z141="",0,Z141),"0")</f>
        <v>2.2528800000000002</v>
      </c>
      <c r="AA142" s="273"/>
      <c r="AB142" s="273"/>
      <c r="AC142" s="273"/>
    </row>
    <row r="143" spans="1:68" x14ac:dyDescent="0.2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9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2">
        <f>IFERROR(SUMPRODUCT(X140:X141*H140:H141),"0")</f>
        <v>378</v>
      </c>
      <c r="Y143" s="272">
        <f>IFERROR(SUMPRODUCT(Y140:Y141*H140:H141),"0")</f>
        <v>378</v>
      </c>
      <c r="Z143" s="37"/>
      <c r="AA143" s="273"/>
      <c r="AB143" s="273"/>
      <c r="AC143" s="273"/>
    </row>
    <row r="144" spans="1:68" ht="16.5" customHeight="1" x14ac:dyDescent="0.25">
      <c r="A144" s="292" t="s">
        <v>231</v>
      </c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65"/>
      <c r="AB144" s="265"/>
      <c r="AC144" s="265"/>
    </row>
    <row r="145" spans="1:68" ht="14.25" customHeight="1" x14ac:dyDescent="0.25">
      <c r="A145" s="303" t="s">
        <v>138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66"/>
      <c r="AB145" s="266"/>
      <c r="AC145" s="266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7"/>
      <c r="R146" s="277"/>
      <c r="S146" s="277"/>
      <c r="T146" s="278"/>
      <c r="U146" s="34"/>
      <c r="V146" s="34"/>
      <c r="W146" s="35" t="s">
        <v>69</v>
      </c>
      <c r="X146" s="270">
        <v>84</v>
      </c>
      <c r="Y146" s="271">
        <f>IFERROR(IF(X146="","",X146),"")</f>
        <v>84</v>
      </c>
      <c r="Z146" s="36">
        <f>IFERROR(IF(X146="","",X146*0.01788),"")</f>
        <v>1.5019199999999999</v>
      </c>
      <c r="AA146" s="56"/>
      <c r="AB146" s="57"/>
      <c r="AC146" s="176" t="s">
        <v>221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225.12</v>
      </c>
      <c r="BN146" s="67">
        <f>IFERROR(Y146*I146,"0")</f>
        <v>225.12</v>
      </c>
      <c r="BO146" s="67">
        <f>IFERROR(X146/J146,"0")</f>
        <v>1.2</v>
      </c>
      <c r="BP146" s="67">
        <f>IFERROR(Y146/J146,"0")</f>
        <v>1.2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96</v>
      </c>
      <c r="M147" s="33" t="s">
        <v>68</v>
      </c>
      <c r="N147" s="33"/>
      <c r="O147" s="32">
        <v>180</v>
      </c>
      <c r="P147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7"/>
      <c r="R147" s="277"/>
      <c r="S147" s="277"/>
      <c r="T147" s="278"/>
      <c r="U147" s="34"/>
      <c r="V147" s="34"/>
      <c r="W147" s="35" t="s">
        <v>69</v>
      </c>
      <c r="X147" s="270">
        <v>0</v>
      </c>
      <c r="Y147" s="271">
        <f>IFERROR(IF(X147="","",X147),"")</f>
        <v>0</v>
      </c>
      <c r="Z147" s="36">
        <f>IFERROR(IF(X147="","",X147*0.01788),"")</f>
        <v>0</v>
      </c>
      <c r="AA147" s="56"/>
      <c r="AB147" s="57"/>
      <c r="AC147" s="178" t="s">
        <v>221</v>
      </c>
      <c r="AG147" s="67"/>
      <c r="AJ147" s="71" t="s">
        <v>98</v>
      </c>
      <c r="AK147" s="71">
        <v>14</v>
      </c>
      <c r="BB147" s="179" t="s">
        <v>99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x14ac:dyDescent="0.2">
      <c r="A148" s="287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9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2">
        <f>IFERROR(SUM(X146:X147),"0")</f>
        <v>84</v>
      </c>
      <c r="Y148" s="272">
        <f>IFERROR(SUM(Y146:Y147),"0")</f>
        <v>84</v>
      </c>
      <c r="Z148" s="272">
        <f>IFERROR(IF(Z146="",0,Z146),"0")+IFERROR(IF(Z147="",0,Z147),"0")</f>
        <v>1.5019199999999999</v>
      </c>
      <c r="AA148" s="273"/>
      <c r="AB148" s="273"/>
      <c r="AC148" s="273"/>
    </row>
    <row r="149" spans="1:68" x14ac:dyDescent="0.2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9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2">
        <f>IFERROR(SUMPRODUCT(X146:X147*H146:H147),"0")</f>
        <v>201.6</v>
      </c>
      <c r="Y149" s="272">
        <f>IFERROR(SUMPRODUCT(Y146:Y147*H146:H147),"0")</f>
        <v>201.6</v>
      </c>
      <c r="Z149" s="37"/>
      <c r="AA149" s="273"/>
      <c r="AB149" s="273"/>
      <c r="AC149" s="273"/>
    </row>
    <row r="150" spans="1:68" ht="16.5" customHeight="1" x14ac:dyDescent="0.25">
      <c r="A150" s="292" t="s">
        <v>236</v>
      </c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65"/>
      <c r="AB150" s="265"/>
      <c r="AC150" s="265"/>
    </row>
    <row r="151" spans="1:68" ht="14.25" customHeight="1" x14ac:dyDescent="0.25">
      <c r="A151" s="303" t="s">
        <v>138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66"/>
      <c r="AB151" s="266"/>
      <c r="AC151" s="266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96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7"/>
      <c r="R152" s="277"/>
      <c r="S152" s="277"/>
      <c r="T152" s="278"/>
      <c r="U152" s="34"/>
      <c r="V152" s="34"/>
      <c r="W152" s="35" t="s">
        <v>69</v>
      </c>
      <c r="X152" s="270">
        <v>84</v>
      </c>
      <c r="Y152" s="271">
        <f>IFERROR(IF(X152="","",X152),"")</f>
        <v>84</v>
      </c>
      <c r="Z152" s="36">
        <f>IFERROR(IF(X152="","",X152*0.01788),"")</f>
        <v>1.5019199999999999</v>
      </c>
      <c r="AA152" s="56"/>
      <c r="AB152" s="57"/>
      <c r="AC152" s="180" t="s">
        <v>239</v>
      </c>
      <c r="AG152" s="67"/>
      <c r="AJ152" s="71" t="s">
        <v>98</v>
      </c>
      <c r="AK152" s="71">
        <v>14</v>
      </c>
      <c r="BB152" s="181" t="s">
        <v>99</v>
      </c>
      <c r="BM152" s="67">
        <f>IFERROR(X152*I152,"0")</f>
        <v>311.10239999999999</v>
      </c>
      <c r="BN152" s="67">
        <f>IFERROR(Y152*I152,"0")</f>
        <v>311.10239999999999</v>
      </c>
      <c r="BO152" s="67">
        <f>IFERROR(X152/J152,"0")</f>
        <v>1.2</v>
      </c>
      <c r="BP152" s="67">
        <f>IFERROR(Y152/J152,"0")</f>
        <v>1.2</v>
      </c>
    </row>
    <row r="153" spans="1:68" x14ac:dyDescent="0.2">
      <c r="A153" s="287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2">
        <f>IFERROR(SUM(X152:X152),"0")</f>
        <v>84</v>
      </c>
      <c r="Y153" s="272">
        <f>IFERROR(SUM(Y152:Y152),"0")</f>
        <v>84</v>
      </c>
      <c r="Z153" s="272">
        <f>IFERROR(IF(Z152="",0,Z152),"0")</f>
        <v>1.5019199999999999</v>
      </c>
      <c r="AA153" s="273"/>
      <c r="AB153" s="273"/>
      <c r="AC153" s="273"/>
    </row>
    <row r="154" spans="1:68" x14ac:dyDescent="0.2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9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2">
        <f>IFERROR(SUMPRODUCT(X152:X152*H152:H152),"0")</f>
        <v>252</v>
      </c>
      <c r="Y154" s="272">
        <f>IFERROR(SUMPRODUCT(Y152:Y152*H152:H152),"0")</f>
        <v>252</v>
      </c>
      <c r="Z154" s="37"/>
      <c r="AA154" s="273"/>
      <c r="AB154" s="273"/>
      <c r="AC154" s="273"/>
    </row>
    <row r="155" spans="1:68" ht="16.5" customHeight="1" x14ac:dyDescent="0.25">
      <c r="A155" s="292" t="s">
        <v>240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65"/>
      <c r="AB155" s="265"/>
      <c r="AC155" s="265"/>
    </row>
    <row r="156" spans="1:68" ht="14.25" customHeight="1" x14ac:dyDescent="0.25">
      <c r="A156" s="303" t="s">
        <v>138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66"/>
      <c r="AB156" s="266"/>
      <c r="AC156" s="266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96</v>
      </c>
      <c r="M157" s="33" t="s">
        <v>68</v>
      </c>
      <c r="N157" s="33"/>
      <c r="O157" s="32">
        <v>180</v>
      </c>
      <c r="P157" s="29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7"/>
      <c r="R157" s="277"/>
      <c r="S157" s="277"/>
      <c r="T157" s="278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98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customHeight="1" x14ac:dyDescent="0.25">
      <c r="A160" s="292" t="s">
        <v>243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65"/>
      <c r="AB160" s="265"/>
      <c r="AC160" s="265"/>
    </row>
    <row r="161" spans="1:68" ht="14.25" customHeight="1" x14ac:dyDescent="0.25">
      <c r="A161" s="303" t="s">
        <v>214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66"/>
      <c r="AB161" s="266"/>
      <c r="AC161" s="266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96</v>
      </c>
      <c r="M162" s="33" t="s">
        <v>68</v>
      </c>
      <c r="N162" s="33"/>
      <c r="O162" s="32">
        <v>180</v>
      </c>
      <c r="P162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7"/>
      <c r="R162" s="277"/>
      <c r="S162" s="277"/>
      <c r="T162" s="278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98</v>
      </c>
      <c r="AK162" s="71">
        <v>6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customHeight="1" x14ac:dyDescent="0.25">
      <c r="A165" s="292" t="s">
        <v>248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65"/>
      <c r="AB165" s="265"/>
      <c r="AC165" s="265"/>
    </row>
    <row r="166" spans="1:68" ht="14.25" customHeight="1" x14ac:dyDescent="0.25">
      <c r="A166" s="303" t="s">
        <v>138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66"/>
      <c r="AB166" s="266"/>
      <c r="AC166" s="266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7"/>
      <c r="R167" s="277"/>
      <c r="S167" s="277"/>
      <c r="T167" s="278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customHeight="1" x14ac:dyDescent="0.2">
      <c r="A170" s="285" t="s">
        <v>252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customHeight="1" x14ac:dyDescent="0.25">
      <c r="A171" s="292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65"/>
      <c r="AB171" s="265"/>
      <c r="AC171" s="265"/>
    </row>
    <row r="172" spans="1:68" ht="14.25" customHeight="1" x14ac:dyDescent="0.25">
      <c r="A172" s="303" t="s">
        <v>63</v>
      </c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66"/>
      <c r="AB172" s="266"/>
      <c r="AC172" s="266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3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7"/>
      <c r="R173" s="277"/>
      <c r="S173" s="277"/>
      <c r="T173" s="278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71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96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7"/>
      <c r="R174" s="277"/>
      <c r="S174" s="277"/>
      <c r="T174" s="278"/>
      <c r="U174" s="34"/>
      <c r="V174" s="34"/>
      <c r="W174" s="35" t="s">
        <v>69</v>
      </c>
      <c r="X174" s="270">
        <v>0</v>
      </c>
      <c r="Y174" s="271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259</v>
      </c>
      <c r="AG174" s="67"/>
      <c r="AJ174" s="71" t="s">
        <v>98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7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9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2">
        <f>IFERROR(SUM(X173:X174),"0")</f>
        <v>0</v>
      </c>
      <c r="Y175" s="272">
        <f>IFERROR(SUM(Y173:Y174),"0")</f>
        <v>0</v>
      </c>
      <c r="Z175" s="272">
        <f>IFERROR(IF(Z173="",0,Z173),"0")+IFERROR(IF(Z174="",0,Z174),"0")</f>
        <v>0</v>
      </c>
      <c r="AA175" s="273"/>
      <c r="AB175" s="273"/>
      <c r="AC175" s="273"/>
    </row>
    <row r="176" spans="1:68" x14ac:dyDescent="0.2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9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2">
        <f>IFERROR(SUMPRODUCT(X173:X174*H173:H174),"0")</f>
        <v>0</v>
      </c>
      <c r="Y176" s="272">
        <f>IFERROR(SUMPRODUCT(Y173:Y174*H173:H174),"0")</f>
        <v>0</v>
      </c>
      <c r="Z176" s="37"/>
      <c r="AA176" s="273"/>
      <c r="AB176" s="273"/>
      <c r="AC176" s="273"/>
    </row>
    <row r="177" spans="1:68" ht="27.75" customHeight="1" x14ac:dyDescent="0.2">
      <c r="A177" s="285" t="s">
        <v>260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customHeight="1" x14ac:dyDescent="0.25">
      <c r="A178" s="292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65"/>
      <c r="AB178" s="265"/>
      <c r="AC178" s="265"/>
    </row>
    <row r="179" spans="1:68" ht="14.25" customHeight="1" x14ac:dyDescent="0.25">
      <c r="A179" s="303" t="s">
        <v>92</v>
      </c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66"/>
      <c r="AB179" s="266"/>
      <c r="AC179" s="266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102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7"/>
      <c r="R180" s="277"/>
      <c r="S180" s="277"/>
      <c r="T180" s="278"/>
      <c r="U180" s="34"/>
      <c r="V180" s="34"/>
      <c r="W180" s="35" t="s">
        <v>69</v>
      </c>
      <c r="X180" s="270">
        <v>210</v>
      </c>
      <c r="Y180" s="271">
        <f>IFERROR(IF(X180="","",X180),"")</f>
        <v>210</v>
      </c>
      <c r="Z180" s="36">
        <f>IFERROR(IF(X180="","",X180*0.01788),"")</f>
        <v>3.7547999999999999</v>
      </c>
      <c r="AA180" s="56"/>
      <c r="AB180" s="57"/>
      <c r="AC180" s="192" t="s">
        <v>264</v>
      </c>
      <c r="AG180" s="67"/>
      <c r="AJ180" s="71" t="s">
        <v>103</v>
      </c>
      <c r="AK180" s="71">
        <v>70</v>
      </c>
      <c r="BB180" s="193" t="s">
        <v>99</v>
      </c>
      <c r="BM180" s="67">
        <f>IFERROR(X180*I180,"0")</f>
        <v>711.48</v>
      </c>
      <c r="BN180" s="67">
        <f>IFERROR(Y180*I180,"0")</f>
        <v>711.48</v>
      </c>
      <c r="BO180" s="67">
        <f>IFERROR(X180/J180,"0")</f>
        <v>3</v>
      </c>
      <c r="BP180" s="67">
        <f>IFERROR(Y180/J180,"0")</f>
        <v>3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7"/>
      <c r="R181" s="277"/>
      <c r="S181" s="277"/>
      <c r="T181" s="278"/>
      <c r="U181" s="34"/>
      <c r="V181" s="34"/>
      <c r="W181" s="35" t="s">
        <v>69</v>
      </c>
      <c r="X181" s="270">
        <v>0</v>
      </c>
      <c r="Y181" s="271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7"/>
      <c r="R182" s="277"/>
      <c r="S182" s="277"/>
      <c r="T182" s="278"/>
      <c r="U182" s="34"/>
      <c r="V182" s="34"/>
      <c r="W182" s="35" t="s">
        <v>69</v>
      </c>
      <c r="X182" s="270">
        <v>0</v>
      </c>
      <c r="Y182" s="271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2">
        <f>IFERROR(SUM(X180:X182),"0")</f>
        <v>210</v>
      </c>
      <c r="Y183" s="272">
        <f>IFERROR(SUM(Y180:Y182),"0")</f>
        <v>210</v>
      </c>
      <c r="Z183" s="272">
        <f>IFERROR(IF(Z180="",0,Z180),"0")+IFERROR(IF(Z181="",0,Z181),"0")+IFERROR(IF(Z182="",0,Z182),"0")</f>
        <v>3.7547999999999999</v>
      </c>
      <c r="AA183" s="273"/>
      <c r="AB183" s="273"/>
      <c r="AC183" s="273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2">
        <f>IFERROR(SUMPRODUCT(X180:X182*H180:H182),"0")</f>
        <v>630</v>
      </c>
      <c r="Y184" s="272">
        <f>IFERROR(SUMPRODUCT(Y180:Y182*H180:H182),"0")</f>
        <v>630</v>
      </c>
      <c r="Z184" s="37"/>
      <c r="AA184" s="273"/>
      <c r="AB184" s="273"/>
      <c r="AC184" s="273"/>
    </row>
    <row r="185" spans="1:68" ht="14.25" customHeight="1" x14ac:dyDescent="0.25">
      <c r="A185" s="303" t="s">
        <v>271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66"/>
      <c r="AB185" s="266"/>
      <c r="AC185" s="266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38" t="s">
        <v>276</v>
      </c>
      <c r="Q186" s="277"/>
      <c r="R186" s="277"/>
      <c r="S186" s="277"/>
      <c r="T186" s="278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9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x14ac:dyDescent="0.2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9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customHeight="1" x14ac:dyDescent="0.2">
      <c r="A189" s="285" t="s">
        <v>279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customHeight="1" x14ac:dyDescent="0.25">
      <c r="A190" s="292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65"/>
      <c r="AB190" s="265"/>
      <c r="AC190" s="265"/>
    </row>
    <row r="191" spans="1:68" ht="14.25" customHeight="1" x14ac:dyDescent="0.25">
      <c r="A191" s="303" t="s">
        <v>92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66"/>
      <c r="AB191" s="266"/>
      <c r="AC191" s="266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96</v>
      </c>
      <c r="M192" s="33" t="s">
        <v>68</v>
      </c>
      <c r="N192" s="33"/>
      <c r="O192" s="32">
        <v>180</v>
      </c>
      <c r="P192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7"/>
      <c r="R192" s="277"/>
      <c r="S192" s="277"/>
      <c r="T192" s="278"/>
      <c r="U192" s="34"/>
      <c r="V192" s="34"/>
      <c r="W192" s="35" t="s">
        <v>69</v>
      </c>
      <c r="X192" s="270">
        <v>0</v>
      </c>
      <c r="Y192" s="271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98</v>
      </c>
      <c r="AK192" s="71">
        <v>14</v>
      </c>
      <c r="BB192" s="201" t="s">
        <v>99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9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2">
        <f>IFERROR(SUM(X192:X192),"0")</f>
        <v>0</v>
      </c>
      <c r="Y193" s="272">
        <f>IFERROR(SUM(Y192:Y192),"0")</f>
        <v>0</v>
      </c>
      <c r="Z193" s="272">
        <f>IFERROR(IF(Z192="",0,Z192),"0")</f>
        <v>0</v>
      </c>
      <c r="AA193" s="273"/>
      <c r="AB193" s="273"/>
      <c r="AC193" s="273"/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2">
        <f>IFERROR(SUMPRODUCT(X192:X192*H192:H192),"0")</f>
        <v>0</v>
      </c>
      <c r="Y194" s="272">
        <f>IFERROR(SUMPRODUCT(Y192:Y192*H192:H192),"0")</f>
        <v>0</v>
      </c>
      <c r="Z194" s="37"/>
      <c r="AA194" s="273"/>
      <c r="AB194" s="273"/>
      <c r="AC194" s="273"/>
    </row>
    <row r="195" spans="1:68" ht="14.25" customHeight="1" x14ac:dyDescent="0.25">
      <c r="A195" s="303" t="s">
        <v>138</v>
      </c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66"/>
      <c r="AB195" s="266"/>
      <c r="AC195" s="266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7"/>
      <c r="R196" s="277"/>
      <c r="S196" s="277"/>
      <c r="T196" s="278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7"/>
      <c r="R197" s="277"/>
      <c r="S197" s="277"/>
      <c r="T197" s="278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7"/>
      <c r="R198" s="277"/>
      <c r="S198" s="277"/>
      <c r="T198" s="278"/>
      <c r="U198" s="34"/>
      <c r="V198" s="34"/>
      <c r="W198" s="35" t="s">
        <v>69</v>
      </c>
      <c r="X198" s="270">
        <v>0</v>
      </c>
      <c r="Y198" s="27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7"/>
      <c r="R199" s="277"/>
      <c r="S199" s="277"/>
      <c r="T199" s="278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7"/>
      <c r="R200" s="277"/>
      <c r="S200" s="277"/>
      <c r="T200" s="278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9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2">
        <f>IFERROR(SUM(X196:X200),"0")</f>
        <v>0</v>
      </c>
      <c r="Y201" s="272">
        <f>IFERROR(SUM(Y196:Y200),"0")</f>
        <v>0</v>
      </c>
      <c r="Z201" s="272">
        <f>IFERROR(IF(Z196="",0,Z196),"0")+IFERROR(IF(Z197="",0,Z197),"0")+IFERROR(IF(Z198="",0,Z198),"0")+IFERROR(IF(Z199="",0,Z199),"0")+IFERROR(IF(Z200="",0,Z200),"0")</f>
        <v>0</v>
      </c>
      <c r="AA201" s="273"/>
      <c r="AB201" s="273"/>
      <c r="AC201" s="273"/>
    </row>
    <row r="202" spans="1:68" x14ac:dyDescent="0.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9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2">
        <f>IFERROR(SUMPRODUCT(X196:X200*H196:H200),"0")</f>
        <v>0</v>
      </c>
      <c r="Y202" s="272">
        <f>IFERROR(SUMPRODUCT(Y196:Y200*H196:H200),"0")</f>
        <v>0</v>
      </c>
      <c r="Z202" s="37"/>
      <c r="AA202" s="273"/>
      <c r="AB202" s="273"/>
      <c r="AC202" s="273"/>
    </row>
    <row r="203" spans="1:68" ht="16.5" customHeight="1" x14ac:dyDescent="0.25">
      <c r="A203" s="292" t="s">
        <v>298</v>
      </c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65"/>
      <c r="AB203" s="265"/>
      <c r="AC203" s="265"/>
    </row>
    <row r="204" spans="1:68" ht="14.25" customHeight="1" x14ac:dyDescent="0.25">
      <c r="A204" s="303" t="s">
        <v>63</v>
      </c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66"/>
      <c r="AB204" s="266"/>
      <c r="AC204" s="266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102</v>
      </c>
      <c r="M205" s="33" t="s">
        <v>68</v>
      </c>
      <c r="N205" s="33"/>
      <c r="O205" s="32">
        <v>180</v>
      </c>
      <c r="P205" s="35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7"/>
      <c r="R205" s="277"/>
      <c r="S205" s="277"/>
      <c r="T205" s="278"/>
      <c r="U205" s="34"/>
      <c r="V205" s="34"/>
      <c r="W205" s="35" t="s">
        <v>69</v>
      </c>
      <c r="X205" s="270">
        <v>192</v>
      </c>
      <c r="Y205" s="271">
        <f>IFERROR(IF(X205="","",X205),"")</f>
        <v>192</v>
      </c>
      <c r="Z205" s="36">
        <f>IFERROR(IF(X205="","",X205*0.0155),"")</f>
        <v>2.976</v>
      </c>
      <c r="AA205" s="56"/>
      <c r="AB205" s="57"/>
      <c r="AC205" s="212" t="s">
        <v>301</v>
      </c>
      <c r="AG205" s="67"/>
      <c r="AJ205" s="71" t="s">
        <v>103</v>
      </c>
      <c r="AK205" s="71">
        <v>84</v>
      </c>
      <c r="BB205" s="213" t="s">
        <v>1</v>
      </c>
      <c r="BM205" s="67">
        <f>IFERROR(X205*I205,"0")</f>
        <v>1004.1600000000001</v>
      </c>
      <c r="BN205" s="67">
        <f>IFERROR(Y205*I205,"0")</f>
        <v>1004.1600000000001</v>
      </c>
      <c r="BO205" s="67">
        <f>IFERROR(X205/J205,"0")</f>
        <v>2.2857142857142856</v>
      </c>
      <c r="BP205" s="67">
        <f>IFERROR(Y205/J205,"0")</f>
        <v>2.2857142857142856</v>
      </c>
    </row>
    <row r="206" spans="1:68" x14ac:dyDescent="0.2">
      <c r="A206" s="287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9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2">
        <f>IFERROR(SUM(X205:X205),"0")</f>
        <v>192</v>
      </c>
      <c r="Y206" s="272">
        <f>IFERROR(SUM(Y205:Y205),"0")</f>
        <v>192</v>
      </c>
      <c r="Z206" s="272">
        <f>IFERROR(IF(Z205="",0,Z205),"0")</f>
        <v>2.976</v>
      </c>
      <c r="AA206" s="273"/>
      <c r="AB206" s="273"/>
      <c r="AC206" s="273"/>
    </row>
    <row r="207" spans="1:68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9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2">
        <f>IFERROR(SUMPRODUCT(X205:X205*H205:H205),"0")</f>
        <v>960</v>
      </c>
      <c r="Y207" s="272">
        <f>IFERROR(SUMPRODUCT(Y205:Y205*H205:H205),"0")</f>
        <v>960</v>
      </c>
      <c r="Z207" s="37"/>
      <c r="AA207" s="273"/>
      <c r="AB207" s="273"/>
      <c r="AC207" s="273"/>
    </row>
    <row r="208" spans="1:68" ht="16.5" customHeight="1" x14ac:dyDescent="0.25">
      <c r="A208" s="292" t="s">
        <v>302</v>
      </c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65"/>
      <c r="AB208" s="265"/>
      <c r="AC208" s="265"/>
    </row>
    <row r="209" spans="1:68" ht="14.25" customHeight="1" x14ac:dyDescent="0.25">
      <c r="A209" s="303" t="s">
        <v>63</v>
      </c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66"/>
      <c r="AB209" s="266"/>
      <c r="AC209" s="266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74">
        <v>4620207490709</v>
      </c>
      <c r="E210" s="275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77"/>
      <c r="R210" s="277"/>
      <c r="S210" s="277"/>
      <c r="T210" s="278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7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9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9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customHeight="1" x14ac:dyDescent="0.25">
      <c r="A213" s="303" t="s">
        <v>138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66"/>
      <c r="AB213" s="266"/>
      <c r="AC213" s="266"/>
    </row>
    <row r="214" spans="1:68" ht="27" customHeight="1" x14ac:dyDescent="0.25">
      <c r="A214" s="54" t="s">
        <v>306</v>
      </c>
      <c r="B214" s="54" t="s">
        <v>307</v>
      </c>
      <c r="C214" s="31">
        <v>4301135691</v>
      </c>
      <c r="D214" s="274">
        <v>4620207490549</v>
      </c>
      <c r="E214" s="275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77"/>
      <c r="R214" s="277"/>
      <c r="S214" s="277"/>
      <c r="T214" s="278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309</v>
      </c>
      <c r="B215" s="54" t="s">
        <v>310</v>
      </c>
      <c r="C215" s="31">
        <v>4301135694</v>
      </c>
      <c r="D215" s="274">
        <v>4620207490501</v>
      </c>
      <c r="E215" s="275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77"/>
      <c r="R215" s="277"/>
      <c r="S215" s="277"/>
      <c r="T215" s="278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7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9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customHeight="1" x14ac:dyDescent="0.2">
      <c r="A218" s="285" t="s">
        <v>311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48"/>
      <c r="AB218" s="48"/>
      <c r="AC218" s="48"/>
    </row>
    <row r="219" spans="1:68" ht="16.5" customHeight="1" x14ac:dyDescent="0.25">
      <c r="A219" s="292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65"/>
      <c r="AB219" s="265"/>
      <c r="AC219" s="265"/>
    </row>
    <row r="220" spans="1:68" ht="14.25" customHeight="1" x14ac:dyDescent="0.25">
      <c r="A220" s="303" t="s">
        <v>63</v>
      </c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66"/>
      <c r="AB220" s="266"/>
      <c r="AC220" s="266"/>
    </row>
    <row r="221" spans="1:68" ht="27" customHeight="1" x14ac:dyDescent="0.25">
      <c r="A221" s="54" t="s">
        <v>313</v>
      </c>
      <c r="B221" s="54" t="s">
        <v>314</v>
      </c>
      <c r="C221" s="31">
        <v>4301071036</v>
      </c>
      <c r="D221" s="274">
        <v>4607111036162</v>
      </c>
      <c r="E221" s="275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2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77"/>
      <c r="R221" s="277"/>
      <c r="S221" s="277"/>
      <c r="T221" s="278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87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80" t="s">
        <v>82</v>
      </c>
      <c r="Q222" s="281"/>
      <c r="R222" s="281"/>
      <c r="S222" s="281"/>
      <c r="T222" s="281"/>
      <c r="U222" s="281"/>
      <c r="V222" s="282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9"/>
      <c r="P223" s="280" t="s">
        <v>82</v>
      </c>
      <c r="Q223" s="281"/>
      <c r="R223" s="281"/>
      <c r="S223" s="281"/>
      <c r="T223" s="281"/>
      <c r="U223" s="281"/>
      <c r="V223" s="282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customHeight="1" x14ac:dyDescent="0.2">
      <c r="A224" s="285" t="s">
        <v>316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48"/>
      <c r="AB224" s="48"/>
      <c r="AC224" s="48"/>
    </row>
    <row r="225" spans="1:68" ht="16.5" customHeight="1" x14ac:dyDescent="0.25">
      <c r="A225" s="292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65"/>
      <c r="AB225" s="265"/>
      <c r="AC225" s="265"/>
    </row>
    <row r="226" spans="1:68" ht="14.25" customHeight="1" x14ac:dyDescent="0.25">
      <c r="A226" s="303" t="s">
        <v>63</v>
      </c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66"/>
      <c r="AB226" s="266"/>
      <c r="AC226" s="266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74">
        <v>4607111035899</v>
      </c>
      <c r="E227" s="275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77"/>
      <c r="R227" s="277"/>
      <c r="S227" s="277"/>
      <c r="T227" s="278"/>
      <c r="U227" s="34"/>
      <c r="V227" s="34"/>
      <c r="W227" s="35" t="s">
        <v>69</v>
      </c>
      <c r="X227" s="270">
        <v>0</v>
      </c>
      <c r="Y227" s="271">
        <f>IFERROR(IF(X227="","",X227),"")</f>
        <v>0</v>
      </c>
      <c r="Z227" s="36">
        <f>IFERROR(IF(X227="","",X227*0.0155),"")</f>
        <v>0</v>
      </c>
      <c r="AA227" s="56"/>
      <c r="AB227" s="57"/>
      <c r="AC227" s="222" t="s">
        <v>259</v>
      </c>
      <c r="AG227" s="67"/>
      <c r="AJ227" s="71" t="s">
        <v>98</v>
      </c>
      <c r="AK227" s="71">
        <v>12</v>
      </c>
      <c r="BB227" s="223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87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9"/>
      <c r="P228" s="280" t="s">
        <v>82</v>
      </c>
      <c r="Q228" s="281"/>
      <c r="R228" s="281"/>
      <c r="S228" s="281"/>
      <c r="T228" s="281"/>
      <c r="U228" s="281"/>
      <c r="V228" s="282"/>
      <c r="W228" s="37" t="s">
        <v>69</v>
      </c>
      <c r="X228" s="272">
        <f>IFERROR(SUM(X227:X227),"0")</f>
        <v>0</v>
      </c>
      <c r="Y228" s="272">
        <f>IFERROR(SUM(Y227:Y227),"0")</f>
        <v>0</v>
      </c>
      <c r="Z228" s="272">
        <f>IFERROR(IF(Z227="",0,Z227),"0")</f>
        <v>0</v>
      </c>
      <c r="AA228" s="273"/>
      <c r="AB228" s="273"/>
      <c r="AC228" s="273"/>
    </row>
    <row r="229" spans="1:68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9"/>
      <c r="P229" s="280" t="s">
        <v>82</v>
      </c>
      <c r="Q229" s="281"/>
      <c r="R229" s="281"/>
      <c r="S229" s="281"/>
      <c r="T229" s="281"/>
      <c r="U229" s="281"/>
      <c r="V229" s="282"/>
      <c r="W229" s="37" t="s">
        <v>83</v>
      </c>
      <c r="X229" s="272">
        <f>IFERROR(SUMPRODUCT(X227:X227*H227:H227),"0")</f>
        <v>0</v>
      </c>
      <c r="Y229" s="272">
        <f>IFERROR(SUMPRODUCT(Y227:Y227*H227:H227),"0")</f>
        <v>0</v>
      </c>
      <c r="Z229" s="37"/>
      <c r="AA229" s="273"/>
      <c r="AB229" s="273"/>
      <c r="AC229" s="273"/>
    </row>
    <row r="230" spans="1:68" ht="27.75" customHeight="1" x14ac:dyDescent="0.2">
      <c r="A230" s="285" t="s">
        <v>320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48"/>
      <c r="AB230" s="48"/>
      <c r="AC230" s="48"/>
    </row>
    <row r="231" spans="1:68" ht="16.5" customHeight="1" x14ac:dyDescent="0.25">
      <c r="A231" s="292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65"/>
      <c r="AB231" s="265"/>
      <c r="AC231" s="265"/>
    </row>
    <row r="232" spans="1:68" ht="14.25" customHeight="1" x14ac:dyDescent="0.25">
      <c r="A232" s="303" t="s">
        <v>322</v>
      </c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66"/>
      <c r="AB232" s="266"/>
      <c r="AC232" s="266"/>
    </row>
    <row r="233" spans="1:68" ht="27" customHeight="1" x14ac:dyDescent="0.25">
      <c r="A233" s="54" t="s">
        <v>323</v>
      </c>
      <c r="B233" s="54" t="s">
        <v>324</v>
      </c>
      <c r="C233" s="31">
        <v>4301133004</v>
      </c>
      <c r="D233" s="274">
        <v>4607111039774</v>
      </c>
      <c r="E233" s="275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77"/>
      <c r="R233" s="277"/>
      <c r="S233" s="277"/>
      <c r="T233" s="278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9"/>
      <c r="P234" s="280" t="s">
        <v>82</v>
      </c>
      <c r="Q234" s="281"/>
      <c r="R234" s="281"/>
      <c r="S234" s="281"/>
      <c r="T234" s="281"/>
      <c r="U234" s="281"/>
      <c r="V234" s="282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9"/>
      <c r="P235" s="280" t="s">
        <v>82</v>
      </c>
      <c r="Q235" s="281"/>
      <c r="R235" s="281"/>
      <c r="S235" s="281"/>
      <c r="T235" s="281"/>
      <c r="U235" s="281"/>
      <c r="V235" s="282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customHeight="1" x14ac:dyDescent="0.25">
      <c r="A236" s="303" t="s">
        <v>138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66"/>
      <c r="AB236" s="266"/>
      <c r="AC236" s="266"/>
    </row>
    <row r="237" spans="1:68" ht="37.5" customHeight="1" x14ac:dyDescent="0.25">
      <c r="A237" s="54" t="s">
        <v>326</v>
      </c>
      <c r="B237" s="54" t="s">
        <v>327</v>
      </c>
      <c r="C237" s="31">
        <v>4301135400</v>
      </c>
      <c r="D237" s="274">
        <v>4607111039361</v>
      </c>
      <c r="E237" s="275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77"/>
      <c r="R237" s="277"/>
      <c r="S237" s="277"/>
      <c r="T237" s="278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80" t="s">
        <v>82</v>
      </c>
      <c r="Q238" s="281"/>
      <c r="R238" s="281"/>
      <c r="S238" s="281"/>
      <c r="T238" s="281"/>
      <c r="U238" s="281"/>
      <c r="V238" s="282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80" t="s">
        <v>82</v>
      </c>
      <c r="Q239" s="281"/>
      <c r="R239" s="281"/>
      <c r="S239" s="281"/>
      <c r="T239" s="281"/>
      <c r="U239" s="281"/>
      <c r="V239" s="282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customHeight="1" x14ac:dyDescent="0.2">
      <c r="A240" s="285" t="s">
        <v>328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48"/>
      <c r="AB240" s="48"/>
      <c r="AC240" s="48"/>
    </row>
    <row r="241" spans="1:68" ht="16.5" customHeight="1" x14ac:dyDescent="0.25">
      <c r="A241" s="292" t="s">
        <v>328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65"/>
      <c r="AB241" s="265"/>
      <c r="AC241" s="265"/>
    </row>
    <row r="242" spans="1:68" ht="14.25" customHeight="1" x14ac:dyDescent="0.25">
      <c r="A242" s="303" t="s">
        <v>63</v>
      </c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66"/>
      <c r="AB242" s="266"/>
      <c r="AC242" s="266"/>
    </row>
    <row r="243" spans="1:68" ht="27" customHeight="1" x14ac:dyDescent="0.25">
      <c r="A243" s="54" t="s">
        <v>329</v>
      </c>
      <c r="B243" s="54" t="s">
        <v>330</v>
      </c>
      <c r="C243" s="31">
        <v>4301071014</v>
      </c>
      <c r="D243" s="274">
        <v>4640242181264</v>
      </c>
      <c r="E243" s="275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77"/>
      <c r="R243" s="277"/>
      <c r="S243" s="277"/>
      <c r="T243" s="278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customHeight="1" x14ac:dyDescent="0.25">
      <c r="A244" s="54" t="s">
        <v>332</v>
      </c>
      <c r="B244" s="54" t="s">
        <v>333</v>
      </c>
      <c r="C244" s="31">
        <v>4301071021</v>
      </c>
      <c r="D244" s="274">
        <v>4640242181325</v>
      </c>
      <c r="E244" s="275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77"/>
      <c r="R244" s="277"/>
      <c r="S244" s="277"/>
      <c r="T244" s="278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9"/>
      <c r="P245" s="280" t="s">
        <v>82</v>
      </c>
      <c r="Q245" s="281"/>
      <c r="R245" s="281"/>
      <c r="S245" s="281"/>
      <c r="T245" s="281"/>
      <c r="U245" s="281"/>
      <c r="V245" s="282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x14ac:dyDescent="0.2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9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customHeight="1" x14ac:dyDescent="0.25">
      <c r="A247" s="303" t="s">
        <v>92</v>
      </c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66"/>
      <c r="AB247" s="266"/>
      <c r="AC247" s="266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74">
        <v>4640242180397</v>
      </c>
      <c r="E248" s="275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77"/>
      <c r="R248" s="277"/>
      <c r="S248" s="277"/>
      <c r="T248" s="278"/>
      <c r="U248" s="34"/>
      <c r="V248" s="34"/>
      <c r="W248" s="35" t="s">
        <v>69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336</v>
      </c>
      <c r="AG248" s="67"/>
      <c r="AJ248" s="71" t="s">
        <v>98</v>
      </c>
      <c r="AK248" s="71">
        <v>12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4301132104</v>
      </c>
      <c r="D249" s="274">
        <v>4640242181219</v>
      </c>
      <c r="E249" s="275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67</v>
      </c>
      <c r="M249" s="33" t="s">
        <v>68</v>
      </c>
      <c r="N249" s="33"/>
      <c r="O249" s="32">
        <v>180</v>
      </c>
      <c r="P249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77"/>
      <c r="R249" s="277"/>
      <c r="S249" s="277"/>
      <c r="T249" s="278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71</v>
      </c>
      <c r="AK249" s="71">
        <v>1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9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2">
        <f>IFERROR(SUM(X248:X249),"0")</f>
        <v>0</v>
      </c>
      <c r="Y250" s="272">
        <f>IFERROR(SUM(Y248:Y249),"0")</f>
        <v>0</v>
      </c>
      <c r="Z250" s="272">
        <f>IFERROR(IF(Z248="",0,Z248),"0")+IFERROR(IF(Z249="",0,Z249),"0")</f>
        <v>0</v>
      </c>
      <c r="AA250" s="273"/>
      <c r="AB250" s="273"/>
      <c r="AC250" s="273"/>
    </row>
    <row r="251" spans="1:68" x14ac:dyDescent="0.2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9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2">
        <f>IFERROR(SUMPRODUCT(X248:X249*H248:H249),"0")</f>
        <v>0</v>
      </c>
      <c r="Y251" s="272">
        <f>IFERROR(SUMPRODUCT(Y248:Y249*H248:H249),"0")</f>
        <v>0</v>
      </c>
      <c r="Z251" s="37"/>
      <c r="AA251" s="273"/>
      <c r="AB251" s="273"/>
      <c r="AC251" s="273"/>
    </row>
    <row r="252" spans="1:68" ht="14.25" customHeight="1" x14ac:dyDescent="0.25">
      <c r="A252" s="303" t="s">
        <v>132</v>
      </c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66"/>
      <c r="AB252" s="266"/>
      <c r="AC252" s="266"/>
    </row>
    <row r="253" spans="1:68" ht="27" customHeight="1" x14ac:dyDescent="0.25">
      <c r="A253" s="54" t="s">
        <v>339</v>
      </c>
      <c r="B253" s="54" t="s">
        <v>340</v>
      </c>
      <c r="C253" s="31">
        <v>4301136051</v>
      </c>
      <c r="D253" s="274">
        <v>4640242180304</v>
      </c>
      <c r="E253" s="275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96</v>
      </c>
      <c r="M253" s="33" t="s">
        <v>68</v>
      </c>
      <c r="N253" s="33"/>
      <c r="O253" s="32">
        <v>180</v>
      </c>
      <c r="P253" s="4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77"/>
      <c r="R253" s="277"/>
      <c r="S253" s="277"/>
      <c r="T253" s="278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98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74">
        <v>4640242180236</v>
      </c>
      <c r="E254" s="275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39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77"/>
      <c r="R254" s="277"/>
      <c r="S254" s="277"/>
      <c r="T254" s="278"/>
      <c r="U254" s="34"/>
      <c r="V254" s="34"/>
      <c r="W254" s="35" t="s">
        <v>69</v>
      </c>
      <c r="X254" s="270">
        <v>0</v>
      </c>
      <c r="Y254" s="271">
        <f>IFERROR(IF(X254="","",X254),"")</f>
        <v>0</v>
      </c>
      <c r="Z254" s="36">
        <f>IFERROR(IF(X254="","",X254*0.0155),"")</f>
        <v>0</v>
      </c>
      <c r="AA254" s="56"/>
      <c r="AB254" s="57"/>
      <c r="AC254" s="238" t="s">
        <v>341</v>
      </c>
      <c r="AG254" s="67"/>
      <c r="AJ254" s="71" t="s">
        <v>98</v>
      </c>
      <c r="AK254" s="71">
        <v>12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74">
        <v>4640242180410</v>
      </c>
      <c r="E255" s="275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96</v>
      </c>
      <c r="M255" s="33" t="s">
        <v>68</v>
      </c>
      <c r="N255" s="33"/>
      <c r="O255" s="32">
        <v>180</v>
      </c>
      <c r="P255" s="3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77"/>
      <c r="R255" s="277"/>
      <c r="S255" s="277"/>
      <c r="T255" s="278"/>
      <c r="U255" s="34"/>
      <c r="V255" s="34"/>
      <c r="W255" s="35" t="s">
        <v>69</v>
      </c>
      <c r="X255" s="270">
        <v>0</v>
      </c>
      <c r="Y255" s="271">
        <f>IFERROR(IF(X255="","",X255),"")</f>
        <v>0</v>
      </c>
      <c r="Z255" s="36">
        <f>IFERROR(IF(X255="","",X255*0.00936),"")</f>
        <v>0</v>
      </c>
      <c r="AA255" s="56"/>
      <c r="AB255" s="57"/>
      <c r="AC255" s="240" t="s">
        <v>341</v>
      </c>
      <c r="AG255" s="67"/>
      <c r="AJ255" s="71" t="s">
        <v>98</v>
      </c>
      <c r="AK255" s="71">
        <v>14</v>
      </c>
      <c r="BB255" s="241" t="s">
        <v>99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x14ac:dyDescent="0.2">
      <c r="A256" s="287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9"/>
      <c r="P256" s="280" t="s">
        <v>82</v>
      </c>
      <c r="Q256" s="281"/>
      <c r="R256" s="281"/>
      <c r="S256" s="281"/>
      <c r="T256" s="281"/>
      <c r="U256" s="281"/>
      <c r="V256" s="282"/>
      <c r="W256" s="37" t="s">
        <v>69</v>
      </c>
      <c r="X256" s="272">
        <f>IFERROR(SUM(X253:X255),"0")</f>
        <v>0</v>
      </c>
      <c r="Y256" s="272">
        <f>IFERROR(SUM(Y253:Y255),"0")</f>
        <v>0</v>
      </c>
      <c r="Z256" s="272">
        <f>IFERROR(IF(Z253="",0,Z253),"0")+IFERROR(IF(Z254="",0,Z254),"0")+IFERROR(IF(Z255="",0,Z255),"0")</f>
        <v>0</v>
      </c>
      <c r="AA256" s="273"/>
      <c r="AB256" s="273"/>
      <c r="AC256" s="273"/>
    </row>
    <row r="257" spans="1:68" x14ac:dyDescent="0.2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9"/>
      <c r="P257" s="280" t="s">
        <v>82</v>
      </c>
      <c r="Q257" s="281"/>
      <c r="R257" s="281"/>
      <c r="S257" s="281"/>
      <c r="T257" s="281"/>
      <c r="U257" s="281"/>
      <c r="V257" s="282"/>
      <c r="W257" s="37" t="s">
        <v>83</v>
      </c>
      <c r="X257" s="272">
        <f>IFERROR(SUMPRODUCT(X253:X255*H253:H255),"0")</f>
        <v>0</v>
      </c>
      <c r="Y257" s="272">
        <f>IFERROR(SUMPRODUCT(Y253:Y255*H253:H255),"0")</f>
        <v>0</v>
      </c>
      <c r="Z257" s="37"/>
      <c r="AA257" s="273"/>
      <c r="AB257" s="273"/>
      <c r="AC257" s="273"/>
    </row>
    <row r="258" spans="1:68" ht="14.25" customHeight="1" x14ac:dyDescent="0.25">
      <c r="A258" s="303" t="s">
        <v>138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66"/>
      <c r="AB258" s="266"/>
      <c r="AC258" s="266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74">
        <v>4640242181554</v>
      </c>
      <c r="E259" s="275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77"/>
      <c r="R259" s="277"/>
      <c r="S259" s="277"/>
      <c r="T259" s="278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74">
        <v>4640242181561</v>
      </c>
      <c r="E260" s="275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96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77"/>
      <c r="R260" s="277"/>
      <c r="S260" s="277"/>
      <c r="T260" s="278"/>
      <c r="U260" s="34"/>
      <c r="V260" s="34"/>
      <c r="W260" s="35" t="s">
        <v>69</v>
      </c>
      <c r="X260" s="270">
        <v>0</v>
      </c>
      <c r="Y260" s="271">
        <f t="shared" si="18"/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98</v>
      </c>
      <c r="AK260" s="71">
        <v>14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74">
        <v>4640242181424</v>
      </c>
      <c r="E261" s="275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96</v>
      </c>
      <c r="M261" s="33" t="s">
        <v>68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77"/>
      <c r="R261" s="277"/>
      <c r="S261" s="277"/>
      <c r="T261" s="278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74">
        <v>4640242181523</v>
      </c>
      <c r="E262" s="275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96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77"/>
      <c r="R262" s="277"/>
      <c r="S262" s="277"/>
      <c r="T262" s="278"/>
      <c r="U262" s="34"/>
      <c r="V262" s="34"/>
      <c r="W262" s="35" t="s">
        <v>69</v>
      </c>
      <c r="X262" s="270">
        <v>0</v>
      </c>
      <c r="Y262" s="271">
        <f t="shared" si="18"/>
        <v>0</v>
      </c>
      <c r="Z262" s="36">
        <f t="shared" ref="Z262:Z267" si="23">IFERROR(IF(X262="","",X262*0.00936),"")</f>
        <v>0</v>
      </c>
      <c r="AA262" s="56"/>
      <c r="AB262" s="57"/>
      <c r="AC262" s="248" t="s">
        <v>351</v>
      </c>
      <c r="AG262" s="67"/>
      <c r="AJ262" s="71" t="s">
        <v>98</v>
      </c>
      <c r="AK262" s="71">
        <v>14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74">
        <v>4640242181486</v>
      </c>
      <c r="E263" s="275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77"/>
      <c r="R263" s="277"/>
      <c r="S263" s="277"/>
      <c r="T263" s="278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358</v>
      </c>
      <c r="B264" s="54" t="s">
        <v>359</v>
      </c>
      <c r="C264" s="31">
        <v>4301135402</v>
      </c>
      <c r="D264" s="274">
        <v>4640242181493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77"/>
      <c r="R264" s="277"/>
      <c r="S264" s="277"/>
      <c r="T264" s="278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360</v>
      </c>
      <c r="B265" s="54" t="s">
        <v>361</v>
      </c>
      <c r="C265" s="31">
        <v>4301135403</v>
      </c>
      <c r="D265" s="274">
        <v>4640242181509</v>
      </c>
      <c r="E265" s="275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102</v>
      </c>
      <c r="M265" s="33" t="s">
        <v>68</v>
      </c>
      <c r="N265" s="33"/>
      <c r="O265" s="32">
        <v>180</v>
      </c>
      <c r="P265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77"/>
      <c r="R265" s="277"/>
      <c r="S265" s="277"/>
      <c r="T265" s="278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103</v>
      </c>
      <c r="AK265" s="71">
        <v>126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4301135304</v>
      </c>
      <c r="D266" s="274">
        <v>4640242181240</v>
      </c>
      <c r="E266" s="275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77"/>
      <c r="R266" s="277"/>
      <c r="S266" s="277"/>
      <c r="T266" s="278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364</v>
      </c>
      <c r="B267" s="54" t="s">
        <v>365</v>
      </c>
      <c r="C267" s="31">
        <v>4301135610</v>
      </c>
      <c r="D267" s="274">
        <v>4640242181318</v>
      </c>
      <c r="E267" s="275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77"/>
      <c r="R267" s="277"/>
      <c r="S267" s="277"/>
      <c r="T267" s="278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366</v>
      </c>
      <c r="B268" s="54" t="s">
        <v>367</v>
      </c>
      <c r="C268" s="31">
        <v>4301135306</v>
      </c>
      <c r="D268" s="274">
        <v>4640242181387</v>
      </c>
      <c r="E268" s="275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77"/>
      <c r="R268" s="277"/>
      <c r="S268" s="277"/>
      <c r="T268" s="278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9"/>
      <c r="P269" s="280" t="s">
        <v>82</v>
      </c>
      <c r="Q269" s="281"/>
      <c r="R269" s="281"/>
      <c r="S269" s="281"/>
      <c r="T269" s="281"/>
      <c r="U269" s="281"/>
      <c r="V269" s="282"/>
      <c r="W269" s="37" t="s">
        <v>69</v>
      </c>
      <c r="X269" s="272">
        <f>IFERROR(SUM(X259:X268),"0")</f>
        <v>0</v>
      </c>
      <c r="Y269" s="272">
        <f>IFERROR(SUM(Y259:Y268),"0")</f>
        <v>0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273"/>
      <c r="AB269" s="273"/>
      <c r="AC269" s="273"/>
    </row>
    <row r="270" spans="1:68" x14ac:dyDescent="0.2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9"/>
      <c r="P270" s="280" t="s">
        <v>82</v>
      </c>
      <c r="Q270" s="281"/>
      <c r="R270" s="281"/>
      <c r="S270" s="281"/>
      <c r="T270" s="281"/>
      <c r="U270" s="281"/>
      <c r="V270" s="282"/>
      <c r="W270" s="37" t="s">
        <v>83</v>
      </c>
      <c r="X270" s="272">
        <f>IFERROR(SUMPRODUCT(X259:X268*H259:H268),"0")</f>
        <v>0</v>
      </c>
      <c r="Y270" s="272">
        <f>IFERROR(SUMPRODUCT(Y259:Y268*H259:H268),"0")</f>
        <v>0</v>
      </c>
      <c r="Z270" s="37"/>
      <c r="AA270" s="273"/>
      <c r="AB270" s="273"/>
      <c r="AC270" s="273"/>
    </row>
    <row r="271" spans="1:68" ht="15" customHeight="1" x14ac:dyDescent="0.2">
      <c r="A271" s="300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301"/>
      <c r="P271" s="324" t="s">
        <v>368</v>
      </c>
      <c r="Q271" s="325"/>
      <c r="R271" s="325"/>
      <c r="S271" s="325"/>
      <c r="T271" s="325"/>
      <c r="U271" s="325"/>
      <c r="V271" s="32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12250.32</v>
      </c>
      <c r="Y271" s="272">
        <f>IFERROR(Y29+Y35+Y42+Y49+Y57+Y62+Y66+Y71+Y77+Y83+Y88+Y94+Y104+Y110+Y123+Y127+Y131+Y137+Y143+Y149+Y154+Y159+Y164+Y169+Y176+Y184+Y188+Y194+Y202+Y207+Y212+Y217+Y223+Y229+Y235+Y239+Y246+Y251+Y257+Y270,"0")</f>
        <v>12250.32</v>
      </c>
      <c r="Z271" s="37"/>
      <c r="AA271" s="273"/>
      <c r="AB271" s="273"/>
      <c r="AC271" s="273"/>
    </row>
    <row r="272" spans="1:68" x14ac:dyDescent="0.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301"/>
      <c r="P272" s="324" t="s">
        <v>369</v>
      </c>
      <c r="Q272" s="325"/>
      <c r="R272" s="325"/>
      <c r="S272" s="325"/>
      <c r="T272" s="325"/>
      <c r="U272" s="325"/>
      <c r="V272" s="326"/>
      <c r="W272" s="37" t="s">
        <v>83</v>
      </c>
      <c r="X272" s="272">
        <f>IFERROR(SUM(BM22:BM268),"0")</f>
        <v>13527.100000000002</v>
      </c>
      <c r="Y272" s="272">
        <f>IFERROR(SUM(BN22:BN268),"0")</f>
        <v>13527.100000000002</v>
      </c>
      <c r="Z272" s="37"/>
      <c r="AA272" s="273"/>
      <c r="AB272" s="273"/>
      <c r="AC272" s="273"/>
    </row>
    <row r="273" spans="1:32" x14ac:dyDescent="0.2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301"/>
      <c r="P273" s="324" t="s">
        <v>370</v>
      </c>
      <c r="Q273" s="325"/>
      <c r="R273" s="325"/>
      <c r="S273" s="325"/>
      <c r="T273" s="325"/>
      <c r="U273" s="325"/>
      <c r="V273" s="326"/>
      <c r="W273" s="37" t="s">
        <v>371</v>
      </c>
      <c r="X273" s="38">
        <f>ROUNDUP(SUM(BO22:BO268),0)</f>
        <v>36</v>
      </c>
      <c r="Y273" s="38">
        <f>ROUNDUP(SUM(BP22:BP268),0)</f>
        <v>36</v>
      </c>
      <c r="Z273" s="37"/>
      <c r="AA273" s="273"/>
      <c r="AB273" s="273"/>
      <c r="AC273" s="273"/>
    </row>
    <row r="274" spans="1:32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301"/>
      <c r="P274" s="324" t="s">
        <v>372</v>
      </c>
      <c r="Q274" s="325"/>
      <c r="R274" s="325"/>
      <c r="S274" s="325"/>
      <c r="T274" s="325"/>
      <c r="U274" s="325"/>
      <c r="V274" s="326"/>
      <c r="W274" s="37" t="s">
        <v>83</v>
      </c>
      <c r="X274" s="272">
        <f>GrossWeightTotal+PalletQtyTotal*25</f>
        <v>14427.100000000002</v>
      </c>
      <c r="Y274" s="272">
        <f>GrossWeightTotalR+PalletQtyTotalR*25</f>
        <v>14427.100000000002</v>
      </c>
      <c r="Z274" s="37"/>
      <c r="AA274" s="273"/>
      <c r="AB274" s="273"/>
      <c r="AC274" s="273"/>
    </row>
    <row r="275" spans="1:32" x14ac:dyDescent="0.2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301"/>
      <c r="P275" s="324" t="s">
        <v>373</v>
      </c>
      <c r="Q275" s="325"/>
      <c r="R275" s="325"/>
      <c r="S275" s="325"/>
      <c r="T275" s="325"/>
      <c r="U275" s="325"/>
      <c r="V275" s="32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2876</v>
      </c>
      <c r="Y275" s="272">
        <f>IFERROR(Y28+Y34+Y41+Y48+Y56+Y61+Y65+Y70+Y76+Y82+Y87+Y93+Y103+Y109+Y122+Y126+Y130+Y136+Y142+Y148+Y153+Y158+Y163+Y168+Y175+Y183+Y187+Y193+Y201+Y206+Y211+Y216+Y222+Y228+Y234+Y238+Y245+Y250+Y256+Y269,"0")</f>
        <v>2876</v>
      </c>
      <c r="Z275" s="37"/>
      <c r="AA275" s="273"/>
      <c r="AB275" s="273"/>
      <c r="AC275" s="273"/>
    </row>
    <row r="276" spans="1:32" ht="14.25" customHeight="1" x14ac:dyDescent="0.2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301"/>
      <c r="P276" s="324" t="s">
        <v>374</v>
      </c>
      <c r="Q276" s="325"/>
      <c r="R276" s="325"/>
      <c r="S276" s="325"/>
      <c r="T276" s="325"/>
      <c r="U276" s="325"/>
      <c r="V276" s="32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45.778919999999992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0" t="s">
        <v>62</v>
      </c>
      <c r="C278" s="369"/>
      <c r="D278" s="290" t="s">
        <v>90</v>
      </c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9"/>
      <c r="V278" s="267" t="s">
        <v>252</v>
      </c>
      <c r="W278" s="267" t="s">
        <v>260</v>
      </c>
      <c r="X278" s="290" t="s">
        <v>279</v>
      </c>
      <c r="Y278" s="368"/>
      <c r="Z278" s="369"/>
      <c r="AA278" s="267" t="s">
        <v>311</v>
      </c>
      <c r="AB278" s="267" t="s">
        <v>316</v>
      </c>
      <c r="AC278" s="267" t="s">
        <v>320</v>
      </c>
      <c r="AD278" s="267" t="s">
        <v>328</v>
      </c>
      <c r="AF278" s="268"/>
    </row>
    <row r="279" spans="1:32" ht="14.25" customHeight="1" thickTop="1" x14ac:dyDescent="0.2">
      <c r="A279" s="459" t="s">
        <v>377</v>
      </c>
      <c r="B279" s="290" t="s">
        <v>62</v>
      </c>
      <c r="C279" s="290" t="s">
        <v>84</v>
      </c>
      <c r="D279" s="290" t="s">
        <v>91</v>
      </c>
      <c r="E279" s="290" t="s">
        <v>104</v>
      </c>
      <c r="F279" s="290" t="s">
        <v>114</v>
      </c>
      <c r="G279" s="290" t="s">
        <v>125</v>
      </c>
      <c r="H279" s="290" t="s">
        <v>146</v>
      </c>
      <c r="I279" s="290" t="s">
        <v>153</v>
      </c>
      <c r="J279" s="290" t="s">
        <v>157</v>
      </c>
      <c r="K279" s="290" t="s">
        <v>165</v>
      </c>
      <c r="L279" s="290" t="s">
        <v>180</v>
      </c>
      <c r="M279" s="290" t="s">
        <v>186</v>
      </c>
      <c r="N279" s="268"/>
      <c r="O279" s="290" t="s">
        <v>218</v>
      </c>
      <c r="P279" s="290" t="s">
        <v>224</v>
      </c>
      <c r="Q279" s="290" t="s">
        <v>231</v>
      </c>
      <c r="R279" s="290" t="s">
        <v>236</v>
      </c>
      <c r="S279" s="290" t="s">
        <v>240</v>
      </c>
      <c r="T279" s="290" t="s">
        <v>243</v>
      </c>
      <c r="U279" s="290" t="s">
        <v>248</v>
      </c>
      <c r="V279" s="290" t="s">
        <v>253</v>
      </c>
      <c r="W279" s="290" t="s">
        <v>261</v>
      </c>
      <c r="X279" s="290" t="s">
        <v>280</v>
      </c>
      <c r="Y279" s="290" t="s">
        <v>298</v>
      </c>
      <c r="Z279" s="290" t="s">
        <v>302</v>
      </c>
      <c r="AA279" s="290" t="s">
        <v>312</v>
      </c>
      <c r="AB279" s="290" t="s">
        <v>317</v>
      </c>
      <c r="AC279" s="290" t="s">
        <v>321</v>
      </c>
      <c r="AD279" s="290" t="s">
        <v>328</v>
      </c>
      <c r="AF279" s="268"/>
    </row>
    <row r="280" spans="1:32" ht="13.5" customHeight="1" thickBot="1" x14ac:dyDescent="0.25">
      <c r="A280" s="460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68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F280" s="268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0</v>
      </c>
      <c r="C281" s="46">
        <f>IFERROR(X32*H32,"0")+IFERROR(X33*H33,"0")</f>
        <v>1180.8</v>
      </c>
      <c r="D281" s="46">
        <f>IFERROR(X39*H39,"0")+IFERROR(X40*H40,"0")</f>
        <v>378</v>
      </c>
      <c r="E281" s="46">
        <f>IFERROR(X45*H45,"0")+IFERROR(X46*H46,"0")+IFERROR(X47*H47,"0")</f>
        <v>1814.3999999999999</v>
      </c>
      <c r="F281" s="46">
        <f>IFERROR(X52*H52,"0")+IFERROR(X53*H53,"0")+IFERROR(X54*H54,"0")+IFERROR(X55*H55,"0")</f>
        <v>840</v>
      </c>
      <c r="G281" s="46">
        <f>IFERROR(X60*H60,"0")+IFERROR(X64*H64,"0")+IFERROR(X68*H68,"0")+IFERROR(X69*H69,"0")+IFERROR(X73*H73,"0")+IFERROR(X74*H74,"0")+IFERROR(X75*H75,"0")</f>
        <v>0</v>
      </c>
      <c r="H281" s="46">
        <f>IFERROR(X80*H80,"0")+IFERROR(X81*H81,"0")</f>
        <v>0</v>
      </c>
      <c r="I281" s="46">
        <f>IFERROR(X86*H86,"0")</f>
        <v>201.6</v>
      </c>
      <c r="J281" s="46">
        <f>IFERROR(X91*H91,"0")+IFERROR(X92*H92,"0")</f>
        <v>655.20000000000005</v>
      </c>
      <c r="K281" s="46">
        <f>IFERROR(X97*H97,"0")+IFERROR(X98*H98,"0")+IFERROR(X99*H99,"0")+IFERROR(X100*H100,"0")+IFERROR(X101*H101,"0")+IFERROR(X102*H102,"0")</f>
        <v>997.92000000000007</v>
      </c>
      <c r="L281" s="46">
        <f>IFERROR(X107*H107,"0")+IFERROR(X108*H108,"0")</f>
        <v>151.20000000000002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2769.6</v>
      </c>
      <c r="N281" s="268"/>
      <c r="O281" s="46">
        <f>IFERROR(X134*H134,"0")+IFERROR(X135*H135,"0")</f>
        <v>840</v>
      </c>
      <c r="P281" s="46">
        <f>IFERROR(X140*H140,"0")+IFERROR(X141*H141,"0")</f>
        <v>378</v>
      </c>
      <c r="Q281" s="46">
        <f>IFERROR(X146*H146,"0")+IFERROR(X147*H147,"0")</f>
        <v>201.6</v>
      </c>
      <c r="R281" s="46">
        <f>IFERROR(X152*H152,"0")</f>
        <v>252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0</v>
      </c>
      <c r="W281" s="46">
        <f>IFERROR(X180*H180,"0")+IFERROR(X181*H181,"0")+IFERROR(X182*H182,"0")+IFERROR(X186*H186,"0")</f>
        <v>630</v>
      </c>
      <c r="X281" s="46">
        <f>IFERROR(X192*H192,"0")+IFERROR(X196*H196,"0")+IFERROR(X197*H197,"0")+IFERROR(X198*H198,"0")+IFERROR(X199*H199,"0")+IFERROR(X200*H200,"0")</f>
        <v>0</v>
      </c>
      <c r="Y281" s="46">
        <f>IFERROR(X205*H205,"0")</f>
        <v>960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268"/>
    </row>
    <row r="282" spans="1:32" ht="13.5" customHeight="1" thickTop="1" x14ac:dyDescent="0.2">
      <c r="C282" s="268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7564.8</v>
      </c>
      <c r="B284" s="60">
        <f>SUMPRODUCT(--(BB:BB="ПГП"),--(W:W="кор"),H:H,Y:Y)+SUMPRODUCT(--(BB:BB="ПГП"),--(W:W="кг"),Y:Y)</f>
        <v>4685.5200000000004</v>
      </c>
      <c r="C284" s="60">
        <f>SUMPRODUCT(--(BB:BB="КИЗ"),--(W:W="кор"),H:H,Y:Y)+SUMPRODUCT(--(BB:BB="КИЗ"),--(W:W="кг"),Y:Y)</f>
        <v>0</v>
      </c>
    </row>
  </sheetData>
  <sheetProtection algorithmName="SHA-512" hashValue="ef4ba85X5x0e7+n+H2CzfpZgA3oY8jogWeQnFM2C8n6CIMLpbopq72BXiyH2z/wKdnqwPab9ARSQDzC2yogluw==" saltValue="tsxc/hXdNqkRR9OXBp9r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2">
    <mergeCell ref="U17:V17"/>
    <mergeCell ref="Y17:Y18"/>
    <mergeCell ref="A8:C8"/>
    <mergeCell ref="P163:V163"/>
    <mergeCell ref="D32:E32"/>
    <mergeCell ref="D268:E268"/>
    <mergeCell ref="D97:E97"/>
    <mergeCell ref="P76:V76"/>
    <mergeCell ref="A128:Z128"/>
    <mergeCell ref="A10:C10"/>
    <mergeCell ref="A21:Z21"/>
    <mergeCell ref="D121:E121"/>
    <mergeCell ref="D192:E192"/>
    <mergeCell ref="D173:E173"/>
    <mergeCell ref="D17:E18"/>
    <mergeCell ref="X17:X18"/>
    <mergeCell ref="A163:O164"/>
    <mergeCell ref="P216:V216"/>
    <mergeCell ref="Q6:R6"/>
    <mergeCell ref="P200:T200"/>
    <mergeCell ref="AC279:AC280"/>
    <mergeCell ref="P134:T134"/>
    <mergeCell ref="P243:T243"/>
    <mergeCell ref="W279:W280"/>
    <mergeCell ref="D102:E102"/>
    <mergeCell ref="A204:Z204"/>
    <mergeCell ref="D196:E196"/>
    <mergeCell ref="D25:E25"/>
    <mergeCell ref="A126:O127"/>
    <mergeCell ref="P272:V272"/>
    <mergeCell ref="A231:Z231"/>
    <mergeCell ref="D54:E54"/>
    <mergeCell ref="V12:W12"/>
    <mergeCell ref="D262:E262"/>
    <mergeCell ref="P122:V122"/>
    <mergeCell ref="D237:E237"/>
    <mergeCell ref="P25:T25"/>
    <mergeCell ref="A30:Z30"/>
    <mergeCell ref="A142:O143"/>
    <mergeCell ref="P60:T60"/>
    <mergeCell ref="D266:E266"/>
    <mergeCell ref="P174:T174"/>
    <mergeCell ref="AD17:AF18"/>
    <mergeCell ref="P142:V142"/>
    <mergeCell ref="D101:E101"/>
    <mergeCell ref="A132:Z132"/>
    <mergeCell ref="F5:G5"/>
    <mergeCell ref="A172:Z172"/>
    <mergeCell ref="P169:V169"/>
    <mergeCell ref="P186:T186"/>
    <mergeCell ref="A236:Z236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A20:Z20"/>
    <mergeCell ref="A112:Z112"/>
    <mergeCell ref="P66:V66"/>
    <mergeCell ref="P137:V137"/>
    <mergeCell ref="A191:Z191"/>
    <mergeCell ref="A51:Z51"/>
    <mergeCell ref="P2:W3"/>
    <mergeCell ref="A269:O270"/>
    <mergeCell ref="P198:T198"/>
    <mergeCell ref="A43:Z43"/>
    <mergeCell ref="P54:T54"/>
    <mergeCell ref="A170:Z170"/>
    <mergeCell ref="D10:E10"/>
    <mergeCell ref="P64:T64"/>
    <mergeCell ref="P135:T135"/>
    <mergeCell ref="F10:G10"/>
    <mergeCell ref="D243:E243"/>
    <mergeCell ref="D99:E99"/>
    <mergeCell ref="A245:O246"/>
    <mergeCell ref="P253:T253"/>
    <mergeCell ref="D265:E265"/>
    <mergeCell ref="P239:V239"/>
    <mergeCell ref="D249:E249"/>
    <mergeCell ref="P262:T262"/>
    <mergeCell ref="A178:Z178"/>
    <mergeCell ref="N17:N18"/>
    <mergeCell ref="Q5:R5"/>
    <mergeCell ref="P199:T199"/>
    <mergeCell ref="D120:E120"/>
    <mergeCell ref="F17:F18"/>
    <mergeCell ref="P187:V187"/>
    <mergeCell ref="P223:V223"/>
    <mergeCell ref="P102:T102"/>
    <mergeCell ref="A247:Z247"/>
    <mergeCell ref="A185:Z185"/>
    <mergeCell ref="P196:T196"/>
    <mergeCell ref="D33:E33"/>
    <mergeCell ref="A106:Z106"/>
    <mergeCell ref="AD279:AD280"/>
    <mergeCell ref="M279:M280"/>
    <mergeCell ref="O279:O280"/>
    <mergeCell ref="B278:C278"/>
    <mergeCell ref="D107:E107"/>
    <mergeCell ref="P263:T263"/>
    <mergeCell ref="D244:E244"/>
    <mergeCell ref="P279:P280"/>
    <mergeCell ref="A279:A280"/>
    <mergeCell ref="C279:C280"/>
    <mergeCell ref="A9:C9"/>
    <mergeCell ref="P125:T125"/>
    <mergeCell ref="A179:Z179"/>
    <mergeCell ref="P273:V273"/>
    <mergeCell ref="P70:V70"/>
    <mergeCell ref="A156:Z156"/>
    <mergeCell ref="P103:V103"/>
    <mergeCell ref="A155:Z155"/>
    <mergeCell ref="Q13:R13"/>
    <mergeCell ref="A220:Z220"/>
    <mergeCell ref="P114:T114"/>
    <mergeCell ref="D22:E22"/>
    <mergeCell ref="P214:T214"/>
    <mergeCell ref="D86:E86"/>
    <mergeCell ref="P107:T107"/>
    <mergeCell ref="P101:T101"/>
    <mergeCell ref="D215:E215"/>
    <mergeCell ref="P194:V194"/>
    <mergeCell ref="P250:V250"/>
    <mergeCell ref="A103:O104"/>
    <mergeCell ref="A168:O169"/>
    <mergeCell ref="M17:M18"/>
    <mergeCell ref="O17:O18"/>
    <mergeCell ref="P131:V131"/>
    <mergeCell ref="AA17:AA18"/>
    <mergeCell ref="H10:M10"/>
    <mergeCell ref="AC17:AC18"/>
    <mergeCell ref="P108:T108"/>
    <mergeCell ref="A224:Z224"/>
    <mergeCell ref="A72:Z72"/>
    <mergeCell ref="P254:T254"/>
    <mergeCell ref="A175:O176"/>
    <mergeCell ref="P45:T45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AB17:AB18"/>
    <mergeCell ref="P94:V94"/>
    <mergeCell ref="A90:Z90"/>
    <mergeCell ref="A228:O229"/>
    <mergeCell ref="P158:V158"/>
    <mergeCell ref="Y279:Y280"/>
    <mergeCell ref="D140:E140"/>
    <mergeCell ref="D267:E267"/>
    <mergeCell ref="H17:H18"/>
    <mergeCell ref="P261:T261"/>
    <mergeCell ref="D198:E198"/>
    <mergeCell ref="P275:V275"/>
    <mergeCell ref="A252:Z252"/>
    <mergeCell ref="P104:V104"/>
    <mergeCell ref="P27:T27"/>
    <mergeCell ref="D75:E75"/>
    <mergeCell ref="A222:O223"/>
    <mergeCell ref="P41:V41"/>
    <mergeCell ref="D181:E181"/>
    <mergeCell ref="P91:T91"/>
    <mergeCell ref="P56:V56"/>
    <mergeCell ref="D39:E39"/>
    <mergeCell ref="A160:Z160"/>
    <mergeCell ref="F279:F280"/>
    <mergeCell ref="E279:E280"/>
    <mergeCell ref="P271:V271"/>
    <mergeCell ref="P98:T98"/>
    <mergeCell ref="D146:E146"/>
    <mergeCell ref="P162:T162"/>
    <mergeCell ref="Q279:Q280"/>
    <mergeCell ref="S279:S280"/>
    <mergeCell ref="P149:V149"/>
    <mergeCell ref="A145:Z145"/>
    <mergeCell ref="A139:Z139"/>
    <mergeCell ref="D74:E74"/>
    <mergeCell ref="A203:Z203"/>
    <mergeCell ref="D68:E68"/>
    <mergeCell ref="P126:V126"/>
    <mergeCell ref="P260:T260"/>
    <mergeCell ref="A206:O207"/>
    <mergeCell ref="P71:V71"/>
    <mergeCell ref="A138:Z138"/>
    <mergeCell ref="P202:V202"/>
    <mergeCell ref="P115:T115"/>
    <mergeCell ref="D254:E254"/>
    <mergeCell ref="A153:O154"/>
    <mergeCell ref="A133:Z133"/>
    <mergeCell ref="D125:E125"/>
    <mergeCell ref="D279:D280"/>
    <mergeCell ref="P141:T141"/>
    <mergeCell ref="P233:T233"/>
    <mergeCell ref="D114:E114"/>
    <mergeCell ref="P248:T248"/>
    <mergeCell ref="P267:T267"/>
    <mergeCell ref="D248:E248"/>
    <mergeCell ref="P83:V83"/>
    <mergeCell ref="A79:Z79"/>
    <mergeCell ref="A82:O83"/>
    <mergeCell ref="T6:U9"/>
    <mergeCell ref="Q10:R10"/>
    <mergeCell ref="P256:V256"/>
    <mergeCell ref="A208:Z208"/>
    <mergeCell ref="A37:Z37"/>
    <mergeCell ref="P24:T24"/>
    <mergeCell ref="A63:Z63"/>
    <mergeCell ref="P26:T26"/>
    <mergeCell ref="A13:M13"/>
    <mergeCell ref="A15:M15"/>
    <mergeCell ref="A61:O62"/>
    <mergeCell ref="J9:M9"/>
    <mergeCell ref="A65:O66"/>
    <mergeCell ref="A56:O57"/>
    <mergeCell ref="D64:E64"/>
    <mergeCell ref="A209:Z209"/>
    <mergeCell ref="A38:Z38"/>
    <mergeCell ref="P28:V28"/>
    <mergeCell ref="A67:Z67"/>
    <mergeCell ref="T5:U5"/>
    <mergeCell ref="D119:E119"/>
    <mergeCell ref="V5:W5"/>
    <mergeCell ref="D46:E46"/>
    <mergeCell ref="D40:E40"/>
    <mergeCell ref="D233:E233"/>
    <mergeCell ref="P212:V212"/>
    <mergeCell ref="A34:O35"/>
    <mergeCell ref="A28:O29"/>
    <mergeCell ref="P69:T69"/>
    <mergeCell ref="Q8:R8"/>
    <mergeCell ref="P140:T140"/>
    <mergeCell ref="V6:W9"/>
    <mergeCell ref="H5:M5"/>
    <mergeCell ref="D6:M6"/>
    <mergeCell ref="A85:Z85"/>
    <mergeCell ref="P227:T227"/>
    <mergeCell ref="P33:T33"/>
    <mergeCell ref="A230:Z230"/>
    <mergeCell ref="P57:V57"/>
    <mergeCell ref="G17:G18"/>
    <mergeCell ref="P184:V184"/>
    <mergeCell ref="A232:Z232"/>
    <mergeCell ref="D80:E80"/>
    <mergeCell ref="AB279:AB280"/>
    <mergeCell ref="R279:R280"/>
    <mergeCell ref="T279:T280"/>
    <mergeCell ref="P82:V82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116:E116"/>
    <mergeCell ref="A177:Z177"/>
    <mergeCell ref="D91:E91"/>
    <mergeCell ref="D162:E162"/>
    <mergeCell ref="P210:T210"/>
    <mergeCell ref="A41:O42"/>
    <mergeCell ref="D264:E264"/>
    <mergeCell ref="A195:Z195"/>
    <mergeCell ref="D157:E157"/>
    <mergeCell ref="P65:V65"/>
    <mergeCell ref="X278:Z278"/>
    <mergeCell ref="P136:V136"/>
    <mergeCell ref="L279:L280"/>
    <mergeCell ref="P62:V62"/>
    <mergeCell ref="P127:V127"/>
    <mergeCell ref="A5:C5"/>
    <mergeCell ref="A17:A18"/>
    <mergeCell ref="K17:K18"/>
    <mergeCell ref="A189:Z189"/>
    <mergeCell ref="C17:C18"/>
    <mergeCell ref="D180:E180"/>
    <mergeCell ref="D9:E9"/>
    <mergeCell ref="P197:T197"/>
    <mergeCell ref="A183:O184"/>
    <mergeCell ref="D118:E118"/>
    <mergeCell ref="P53:T53"/>
    <mergeCell ref="D167:E167"/>
    <mergeCell ref="F9:G9"/>
    <mergeCell ref="P238:V238"/>
    <mergeCell ref="P264:T264"/>
    <mergeCell ref="P68:T68"/>
    <mergeCell ref="Z279:Z280"/>
    <mergeCell ref="D27:E27"/>
    <mergeCell ref="P15:T16"/>
    <mergeCell ref="P23:T23"/>
    <mergeCell ref="P228:V228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P183:V183"/>
    <mergeCell ref="A12:M12"/>
    <mergeCell ref="A240:Z240"/>
    <mergeCell ref="P74:T74"/>
    <mergeCell ref="A190:Z190"/>
    <mergeCell ref="A19:Z19"/>
    <mergeCell ref="D182:E182"/>
    <mergeCell ref="A14:M14"/>
    <mergeCell ref="A111:Z111"/>
    <mergeCell ref="P42:V42"/>
    <mergeCell ref="A225:Z225"/>
    <mergeCell ref="P148:V148"/>
    <mergeCell ref="P123:V123"/>
    <mergeCell ref="P46:T46"/>
    <mergeCell ref="D200:E200"/>
    <mergeCell ref="D227:E227"/>
    <mergeCell ref="AA279:AA280"/>
    <mergeCell ref="P129:T129"/>
    <mergeCell ref="A166:Z166"/>
    <mergeCell ref="D108:E108"/>
    <mergeCell ref="P52:T52"/>
    <mergeCell ref="P201:V201"/>
    <mergeCell ref="I17:I18"/>
    <mergeCell ref="D141:E141"/>
    <mergeCell ref="A48:O49"/>
    <mergeCell ref="P176:V176"/>
    <mergeCell ref="D135:E135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I279:I280"/>
    <mergeCell ref="P268:T268"/>
    <mergeCell ref="P97:T97"/>
    <mergeCell ref="P130:V130"/>
    <mergeCell ref="D1:F1"/>
    <mergeCell ref="A242:Z242"/>
    <mergeCell ref="P47:T47"/>
    <mergeCell ref="J17:J18"/>
    <mergeCell ref="P61:V61"/>
    <mergeCell ref="L17:L18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Q9:R9"/>
    <mergeCell ref="Q11:R11"/>
    <mergeCell ref="A6:C6"/>
    <mergeCell ref="P118:T118"/>
    <mergeCell ref="A96:Z96"/>
    <mergeCell ref="P167:T167"/>
    <mergeCell ref="A161:Z161"/>
    <mergeCell ref="H1:Q1"/>
    <mergeCell ref="P109:V109"/>
    <mergeCell ref="B279:B280"/>
    <mergeCell ref="P274:V274"/>
    <mergeCell ref="D214:E214"/>
    <mergeCell ref="P222:V222"/>
    <mergeCell ref="P193:V193"/>
    <mergeCell ref="P246:V246"/>
    <mergeCell ref="P120:T120"/>
    <mergeCell ref="K279:K280"/>
    <mergeCell ref="D259:E259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P92:T92"/>
    <mergeCell ref="P173:T173"/>
    <mergeCell ref="P100:T100"/>
    <mergeCell ref="U279:U280"/>
    <mergeCell ref="P265:T265"/>
    <mergeCell ref="D81:E81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P188:V188"/>
    <mergeCell ref="R1:T1"/>
    <mergeCell ref="A158:O159"/>
    <mergeCell ref="P221:T221"/>
    <mergeCell ref="P215:T215"/>
    <mergeCell ref="A271:O276"/>
    <mergeCell ref="P229:V229"/>
    <mergeCell ref="D98:E98"/>
    <mergeCell ref="P152:T152"/>
    <mergeCell ref="P77:V77"/>
    <mergeCell ref="D73:E73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X279:X280"/>
    <mergeCell ref="P153:V153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D60:E60"/>
    <mergeCell ref="P244:T244"/>
    <mergeCell ref="P73:T73"/>
    <mergeCell ref="D174:E174"/>
    <mergeCell ref="P87:V87"/>
    <mergeCell ref="P245:V245"/>
    <mergeCell ref="H9:I9"/>
    <mergeCell ref="D45:E45"/>
    <mergeCell ref="P211:V211"/>
    <mergeCell ref="A36:Z36"/>
    <mergeCell ref="D53:E53"/>
    <mergeCell ref="D47:E47"/>
    <mergeCell ref="A50:Z50"/>
    <mergeCell ref="W17:W18"/>
    <mergeCell ref="P154:V154"/>
    <mergeCell ref="A150:Z150"/>
    <mergeCell ref="A144:Z144"/>
    <mergeCell ref="D129:E129"/>
    <mergeCell ref="D147:E147"/>
    <mergeCell ref="A187:O188"/>
    <mergeCell ref="P116:T116"/>
    <mergeCell ref="A105:Z105"/>
    <mergeCell ref="P32:T32"/>
    <mergeCell ref="D26:E2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6 X60 X64 X68:X69 X73:X75 X97 X99 X113 X117 X120:X121 X125 X129 X140 X167 X173 X186 X196:X200 X210 X214:X215 X221 X233 X237 X243:X244 X249 X259 X266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2:X55 X80 X86 X91 X98 X101:X102 X107:X108 X114:X115 X118:X119 X134:X135 X146:X147 X152 X157 X162 X174 X181:X182 X192 X227 X248 X253:X255 X260:X264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0 X45 X47 X81 X92 X100 X116 X141 X180 X205 X265" xr:uid="{00000000-0002-0000-0000-000013000000}">
      <formula1>IF(AK40&gt;0,OR(X40=0,AND(IF(X40-AK40&gt;=0,TRUE,FALSE),X40&gt;0,IF(X40/J40=ROUND(X40/J40,0),TRUE,FALSE))),FALSE)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F/5RQx3Uv0Chzd9FPyIoti+oFmFE5i2AK98YuqHg+BdMal0ZY4x/63XvLL9wtKSiuSiRYF+qkpJmIsAvZZXHyQ==" saltValue="fCr7UasssoE2Bhfje3Kz9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