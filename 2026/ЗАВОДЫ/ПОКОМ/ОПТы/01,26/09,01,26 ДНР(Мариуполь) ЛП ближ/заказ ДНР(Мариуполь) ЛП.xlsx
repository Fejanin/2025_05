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A1B28CAC-72C4-41D5-B7FB-A56F8B09BD6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Y489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Y449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Y420" i="1" s="1"/>
  <c r="P416" i="1"/>
  <c r="X414" i="1"/>
  <c r="Y413" i="1"/>
  <c r="X413" i="1"/>
  <c r="BP412" i="1"/>
  <c r="BO412" i="1"/>
  <c r="BN412" i="1"/>
  <c r="BM412" i="1"/>
  <c r="Z412" i="1"/>
  <c r="Z413" i="1" s="1"/>
  <c r="Y412" i="1"/>
  <c r="P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Y383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Y202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6" i="1" s="1"/>
  <c r="X24" i="1"/>
  <c r="BP23" i="1"/>
  <c r="BO23" i="1"/>
  <c r="BN23" i="1"/>
  <c r="BM23" i="1"/>
  <c r="Z23" i="1"/>
  <c r="Y23" i="1"/>
  <c r="P23" i="1"/>
  <c r="BO22" i="1"/>
  <c r="X498" i="1" s="1"/>
  <c r="BM22" i="1"/>
  <c r="X497" i="1" s="1"/>
  <c r="X499" i="1" s="1"/>
  <c r="Y22" i="1"/>
  <c r="B506" i="1" s="1"/>
  <c r="P22" i="1"/>
  <c r="H10" i="1"/>
  <c r="A9" i="1"/>
  <c r="F10" i="1" s="1"/>
  <c r="D7" i="1"/>
  <c r="Q6" i="1"/>
  <c r="P2" i="1"/>
  <c r="Z32" i="1" l="1"/>
  <c r="Z139" i="1"/>
  <c r="Z368" i="1"/>
  <c r="H9" i="1"/>
  <c r="A10" i="1"/>
  <c r="Y24" i="1"/>
  <c r="Y32" i="1"/>
  <c r="Y44" i="1"/>
  <c r="Y59" i="1"/>
  <c r="BP73" i="1"/>
  <c r="BN73" i="1"/>
  <c r="Z73" i="1"/>
  <c r="Z76" i="1" s="1"/>
  <c r="BP86" i="1"/>
  <c r="BN86" i="1"/>
  <c r="Z86" i="1"/>
  <c r="Z89" i="1" s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BP149" i="1"/>
  <c r="BN149" i="1"/>
  <c r="Z149" i="1"/>
  <c r="BP153" i="1"/>
  <c r="BN153" i="1"/>
  <c r="Z153" i="1"/>
  <c r="Z154" i="1" s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Z181" i="1" s="1"/>
  <c r="BP173" i="1"/>
  <c r="BN173" i="1"/>
  <c r="Z173" i="1"/>
  <c r="BP177" i="1"/>
  <c r="BN177" i="1"/>
  <c r="Z177" i="1"/>
  <c r="Y181" i="1"/>
  <c r="Z187" i="1"/>
  <c r="BP185" i="1"/>
  <c r="BN185" i="1"/>
  <c r="Z185" i="1"/>
  <c r="BP206" i="1"/>
  <c r="BN206" i="1"/>
  <c r="Z206" i="1"/>
  <c r="BP210" i="1"/>
  <c r="BN210" i="1"/>
  <c r="Z210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Z346" i="1"/>
  <c r="BP344" i="1"/>
  <c r="BN344" i="1"/>
  <c r="Z344" i="1"/>
  <c r="Y346" i="1"/>
  <c r="D506" i="1"/>
  <c r="F9" i="1"/>
  <c r="J9" i="1"/>
  <c r="Z22" i="1"/>
  <c r="Z24" i="1" s="1"/>
  <c r="BN22" i="1"/>
  <c r="BP22" i="1"/>
  <c r="X500" i="1"/>
  <c r="Y25" i="1"/>
  <c r="Z28" i="1"/>
  <c r="BN28" i="1"/>
  <c r="Z30" i="1"/>
  <c r="BN30" i="1"/>
  <c r="C506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Y96" i="1"/>
  <c r="BP101" i="1"/>
  <c r="BN101" i="1"/>
  <c r="Z101" i="1"/>
  <c r="Z105" i="1" s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Z213" i="1" s="1"/>
  <c r="Y213" i="1"/>
  <c r="BP217" i="1"/>
  <c r="BN217" i="1"/>
  <c r="Z217" i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BP281" i="1"/>
  <c r="BN281" i="1"/>
  <c r="Z281" i="1"/>
  <c r="Z283" i="1" s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Z383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Z470" i="1" s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Z489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Z225" i="1" s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Z320" i="1" s="1"/>
  <c r="BP325" i="1"/>
  <c r="BN325" i="1"/>
  <c r="Z325" i="1"/>
  <c r="Y334" i="1"/>
  <c r="BP329" i="1"/>
  <c r="BN329" i="1"/>
  <c r="Z329" i="1"/>
  <c r="Z333" i="1" s="1"/>
  <c r="Y333" i="1"/>
  <c r="Z339" i="1"/>
  <c r="BP337" i="1"/>
  <c r="BN337" i="1"/>
  <c r="Z337" i="1"/>
  <c r="BP352" i="1"/>
  <c r="BN352" i="1"/>
  <c r="Z352" i="1"/>
  <c r="BP356" i="1"/>
  <c r="BN356" i="1"/>
  <c r="Z356" i="1"/>
  <c r="Z358" i="1" s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Z363" i="1" s="1"/>
  <c r="Y368" i="1"/>
  <c r="BP382" i="1"/>
  <c r="BN382" i="1"/>
  <c r="Z382" i="1"/>
  <c r="Y384" i="1"/>
  <c r="Y389" i="1"/>
  <c r="BP386" i="1"/>
  <c r="BN386" i="1"/>
  <c r="Z386" i="1"/>
  <c r="Z389" i="1" s="1"/>
  <c r="BP396" i="1"/>
  <c r="BN396" i="1"/>
  <c r="Z396" i="1"/>
  <c r="BP400" i="1"/>
  <c r="BN400" i="1"/>
  <c r="Z400" i="1"/>
  <c r="BP417" i="1"/>
  <c r="BN417" i="1"/>
  <c r="Z417" i="1"/>
  <c r="Z420" i="1" s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Z448" i="1" s="1"/>
  <c r="Y457" i="1"/>
  <c r="BP454" i="1"/>
  <c r="BN454" i="1"/>
  <c r="Z454" i="1"/>
  <c r="BP468" i="1"/>
  <c r="BN468" i="1"/>
  <c r="Z468" i="1"/>
  <c r="Y475" i="1"/>
  <c r="BP488" i="1"/>
  <c r="BN488" i="1"/>
  <c r="Z488" i="1"/>
  <c r="Y490" i="1"/>
  <c r="Z506" i="1"/>
  <c r="Y494" i="1"/>
  <c r="BP493" i="1"/>
  <c r="BN493" i="1"/>
  <c r="Z493" i="1"/>
  <c r="Z494" i="1" s="1"/>
  <c r="Y495" i="1"/>
  <c r="Z403" i="1" l="1"/>
  <c r="Z326" i="1"/>
  <c r="Z243" i="1"/>
  <c r="Y496" i="1"/>
  <c r="Y498" i="1"/>
  <c r="Y500" i="1"/>
  <c r="Z442" i="1"/>
  <c r="Z276" i="1"/>
  <c r="Z268" i="1"/>
  <c r="Z259" i="1"/>
  <c r="Z96" i="1"/>
  <c r="Z64" i="1"/>
  <c r="Z501" i="1" s="1"/>
  <c r="Y497" i="1"/>
  <c r="Z313" i="1"/>
  <c r="Z119" i="1"/>
  <c r="Y499" i="1" l="1"/>
</calcChain>
</file>

<file path=xl/sharedStrings.xml><?xml version="1.0" encoding="utf-8"?>
<sst xmlns="http://schemas.openxmlformats.org/spreadsheetml/2006/main" count="2385" uniqueCount="784">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</sst>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86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32" t="s">
        <v>0</v>
      </c>
      <c r="E1" s="588"/>
      <c r="F1" s="588"/>
      <c r="G1" s="12" t="s">
        <v>1</v>
      </c>
      <c r="H1" s="632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78" t="s">
        <v>8</v>
      </c>
      <c r="B5" s="679"/>
      <c r="C5" s="680"/>
      <c r="D5" s="637"/>
      <c r="E5" s="638"/>
      <c r="F5" s="851" t="s">
        <v>9</v>
      </c>
      <c r="G5" s="680"/>
      <c r="H5" s="637"/>
      <c r="I5" s="803"/>
      <c r="J5" s="803"/>
      <c r="K5" s="803"/>
      <c r="L5" s="803"/>
      <c r="M5" s="638"/>
      <c r="N5" s="58"/>
      <c r="P5" s="24" t="s">
        <v>10</v>
      </c>
      <c r="Q5" s="865">
        <v>46030</v>
      </c>
      <c r="R5" s="675"/>
      <c r="T5" s="733" t="s">
        <v>11</v>
      </c>
      <c r="U5" s="734"/>
      <c r="V5" s="735" t="s">
        <v>12</v>
      </c>
      <c r="W5" s="675"/>
      <c r="AB5" s="51"/>
      <c r="AC5" s="51"/>
      <c r="AD5" s="51"/>
      <c r="AE5" s="51"/>
    </row>
    <row r="6" spans="1:32" s="549" customFormat="1" ht="24" customHeight="1" x14ac:dyDescent="0.2">
      <c r="A6" s="678" t="s">
        <v>13</v>
      </c>
      <c r="B6" s="679"/>
      <c r="C6" s="680"/>
      <c r="D6" s="805" t="s">
        <v>14</v>
      </c>
      <c r="E6" s="806"/>
      <c r="F6" s="806"/>
      <c r="G6" s="806"/>
      <c r="H6" s="806"/>
      <c r="I6" s="806"/>
      <c r="J6" s="806"/>
      <c r="K6" s="806"/>
      <c r="L6" s="806"/>
      <c r="M6" s="675"/>
      <c r="N6" s="59"/>
      <c r="P6" s="24" t="s">
        <v>15</v>
      </c>
      <c r="Q6" s="873" t="str">
        <f>IF(Q5=0," ",CHOOSE(WEEKDAY(Q5,2),"Понедельник","Вторник","Среда","Четверг","Пятница","Суббота","Воскресенье"))</f>
        <v>Четверг</v>
      </c>
      <c r="R6" s="563"/>
      <c r="T6" s="740" t="s">
        <v>16</v>
      </c>
      <c r="U6" s="734"/>
      <c r="V6" s="787" t="s">
        <v>17</v>
      </c>
      <c r="W6" s="600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11" t="str">
        <f>IFERROR(VLOOKUP(DeliveryAddress,Table,3,0),1)</f>
        <v>1</v>
      </c>
      <c r="E7" s="612"/>
      <c r="F7" s="612"/>
      <c r="G7" s="612"/>
      <c r="H7" s="612"/>
      <c r="I7" s="612"/>
      <c r="J7" s="612"/>
      <c r="K7" s="612"/>
      <c r="L7" s="612"/>
      <c r="M7" s="613"/>
      <c r="N7" s="60"/>
      <c r="P7" s="24"/>
      <c r="Q7" s="42"/>
      <c r="R7" s="42"/>
      <c r="T7" s="569"/>
      <c r="U7" s="734"/>
      <c r="V7" s="788"/>
      <c r="W7" s="789"/>
      <c r="AB7" s="51"/>
      <c r="AC7" s="51"/>
      <c r="AD7" s="51"/>
      <c r="AE7" s="51"/>
    </row>
    <row r="8" spans="1:32" s="549" customFormat="1" ht="25.5" customHeight="1" x14ac:dyDescent="0.2">
      <c r="A8" s="885" t="s">
        <v>18</v>
      </c>
      <c r="B8" s="574"/>
      <c r="C8" s="575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9">
        <v>0.41666666666666669</v>
      </c>
      <c r="R8" s="613"/>
      <c r="T8" s="569"/>
      <c r="U8" s="734"/>
      <c r="V8" s="788"/>
      <c r="W8" s="789"/>
      <c r="AB8" s="51"/>
      <c r="AC8" s="51"/>
      <c r="AD8" s="51"/>
      <c r="AE8" s="51"/>
    </row>
    <row r="9" spans="1:32" s="549" customFormat="1" ht="39.950000000000003" customHeight="1" x14ac:dyDescent="0.2">
      <c r="A9" s="70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701"/>
      <c r="E9" s="572"/>
      <c r="F9" s="70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47"/>
      <c r="P9" s="26" t="s">
        <v>21</v>
      </c>
      <c r="Q9" s="671"/>
      <c r="R9" s="672"/>
      <c r="T9" s="569"/>
      <c r="U9" s="734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70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701"/>
      <c r="E10" s="572"/>
      <c r="F10" s="70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780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1"/>
      <c r="R10" s="742"/>
      <c r="U10" s="24" t="s">
        <v>23</v>
      </c>
      <c r="V10" s="599" t="s">
        <v>24</v>
      </c>
      <c r="W10" s="600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4"/>
      <c r="R11" s="675"/>
      <c r="U11" s="24" t="s">
        <v>27</v>
      </c>
      <c r="V11" s="821" t="s">
        <v>28</v>
      </c>
      <c r="W11" s="672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24" t="s">
        <v>29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80"/>
      <c r="N12" s="62"/>
      <c r="P12" s="24" t="s">
        <v>30</v>
      </c>
      <c r="Q12" s="689"/>
      <c r="R12" s="613"/>
      <c r="S12" s="23"/>
      <c r="U12" s="24"/>
      <c r="V12" s="588"/>
      <c r="W12" s="569"/>
      <c r="AB12" s="51"/>
      <c r="AC12" s="51"/>
      <c r="AD12" s="51"/>
      <c r="AE12" s="51"/>
    </row>
    <row r="13" spans="1:32" s="549" customFormat="1" ht="23.25" customHeight="1" x14ac:dyDescent="0.2">
      <c r="A13" s="724" t="s">
        <v>31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80"/>
      <c r="N13" s="62"/>
      <c r="O13" s="26"/>
      <c r="P13" s="26" t="s">
        <v>32</v>
      </c>
      <c r="Q13" s="821"/>
      <c r="R13" s="67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24" t="s">
        <v>33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8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6" t="s">
        <v>34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80"/>
      <c r="N15" s="63"/>
      <c r="P15" s="712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3"/>
      <c r="Q16" s="713"/>
      <c r="R16" s="713"/>
      <c r="S16" s="713"/>
      <c r="T16" s="71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9" t="s">
        <v>38</v>
      </c>
      <c r="D17" s="596" t="s">
        <v>39</v>
      </c>
      <c r="E17" s="657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6"/>
      <c r="R17" s="656"/>
      <c r="S17" s="656"/>
      <c r="T17" s="657"/>
      <c r="U17" s="884" t="s">
        <v>51</v>
      </c>
      <c r="V17" s="680"/>
      <c r="W17" s="596" t="s">
        <v>52</v>
      </c>
      <c r="X17" s="596" t="s">
        <v>53</v>
      </c>
      <c r="Y17" s="882" t="s">
        <v>54</v>
      </c>
      <c r="Z17" s="801" t="s">
        <v>55</v>
      </c>
      <c r="AA17" s="778" t="s">
        <v>56</v>
      </c>
      <c r="AB17" s="778" t="s">
        <v>57</v>
      </c>
      <c r="AC17" s="778" t="s">
        <v>58</v>
      </c>
      <c r="AD17" s="778" t="s">
        <v>59</v>
      </c>
      <c r="AE17" s="846"/>
      <c r="AF17" s="84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58"/>
      <c r="E18" s="660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58"/>
      <c r="Q18" s="659"/>
      <c r="R18" s="659"/>
      <c r="S18" s="659"/>
      <c r="T18" s="660"/>
      <c r="U18" s="67" t="s">
        <v>61</v>
      </c>
      <c r="V18" s="67" t="s">
        <v>62</v>
      </c>
      <c r="W18" s="597"/>
      <c r="X18" s="597"/>
      <c r="Y18" s="883"/>
      <c r="Z18" s="802"/>
      <c r="AA18" s="779"/>
      <c r="AB18" s="779"/>
      <c r="AC18" s="779"/>
      <c r="AD18" s="848"/>
      <c r="AE18" s="849"/>
      <c r="AF18" s="850"/>
      <c r="AG18" s="66"/>
      <c r="BD18" s="65"/>
    </row>
    <row r="19" spans="1:68" ht="27.75" customHeight="1" x14ac:dyDescent="0.2">
      <c r="A19" s="727" t="s">
        <v>63</v>
      </c>
      <c r="B19" s="728"/>
      <c r="C19" s="728"/>
      <c r="D19" s="728"/>
      <c r="E19" s="728"/>
      <c r="F19" s="728"/>
      <c r="G19" s="728"/>
      <c r="H19" s="728"/>
      <c r="I19" s="728"/>
      <c r="J19" s="728"/>
      <c r="K19" s="728"/>
      <c r="L19" s="728"/>
      <c r="M19" s="728"/>
      <c r="N19" s="728"/>
      <c r="O19" s="728"/>
      <c r="P19" s="728"/>
      <c r="Q19" s="728"/>
      <c r="R19" s="728"/>
      <c r="S19" s="728"/>
      <c r="T19" s="728"/>
      <c r="U19" s="728"/>
      <c r="V19" s="728"/>
      <c r="W19" s="728"/>
      <c r="X19" s="728"/>
      <c r="Y19" s="728"/>
      <c r="Z19" s="728"/>
      <c r="AA19" s="48"/>
      <c r="AB19" s="48"/>
      <c r="AC19" s="48"/>
    </row>
    <row r="20" spans="1:68" ht="16.5" customHeight="1" x14ac:dyDescent="0.25">
      <c r="A20" s="568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0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83"/>
      <c r="P24" s="573" t="s">
        <v>75</v>
      </c>
      <c r="Q24" s="574"/>
      <c r="R24" s="574"/>
      <c r="S24" s="574"/>
      <c r="T24" s="574"/>
      <c r="U24" s="574"/>
      <c r="V24" s="575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83"/>
      <c r="P25" s="573" t="s">
        <v>75</v>
      </c>
      <c r="Q25" s="574"/>
      <c r="R25" s="574"/>
      <c r="S25" s="574"/>
      <c r="T25" s="574"/>
      <c r="U25" s="574"/>
      <c r="V25" s="575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0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0"/>
      <c r="R31" s="560"/>
      <c r="S31" s="560"/>
      <c r="T31" s="561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83"/>
      <c r="P32" s="573" t="s">
        <v>75</v>
      </c>
      <c r="Q32" s="574"/>
      <c r="R32" s="574"/>
      <c r="S32" s="574"/>
      <c r="T32" s="574"/>
      <c r="U32" s="574"/>
      <c r="V32" s="575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83"/>
      <c r="P33" s="573" t="s">
        <v>75</v>
      </c>
      <c r="Q33" s="574"/>
      <c r="R33" s="574"/>
      <c r="S33" s="574"/>
      <c r="T33" s="574"/>
      <c r="U33" s="574"/>
      <c r="V33" s="575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0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0"/>
      <c r="R35" s="560"/>
      <c r="S35" s="560"/>
      <c r="T35" s="561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83"/>
      <c r="P36" s="573" t="s">
        <v>75</v>
      </c>
      <c r="Q36" s="574"/>
      <c r="R36" s="574"/>
      <c r="S36" s="574"/>
      <c r="T36" s="574"/>
      <c r="U36" s="574"/>
      <c r="V36" s="575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83"/>
      <c r="P37" s="573" t="s">
        <v>75</v>
      </c>
      <c r="Q37" s="574"/>
      <c r="R37" s="574"/>
      <c r="S37" s="574"/>
      <c r="T37" s="574"/>
      <c r="U37" s="574"/>
      <c r="V37" s="575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727" t="s">
        <v>101</v>
      </c>
      <c r="B38" s="728"/>
      <c r="C38" s="728"/>
      <c r="D38" s="728"/>
      <c r="E38" s="728"/>
      <c r="F38" s="728"/>
      <c r="G38" s="728"/>
      <c r="H38" s="728"/>
      <c r="I38" s="728"/>
      <c r="J38" s="728"/>
      <c r="K38" s="728"/>
      <c r="L38" s="728"/>
      <c r="M38" s="728"/>
      <c r="N38" s="728"/>
      <c r="O38" s="728"/>
      <c r="P38" s="728"/>
      <c r="Q38" s="728"/>
      <c r="R38" s="728"/>
      <c r="S38" s="728"/>
      <c r="T38" s="728"/>
      <c r="U38" s="728"/>
      <c r="V38" s="728"/>
      <c r="W38" s="728"/>
      <c r="X38" s="728"/>
      <c r="Y38" s="728"/>
      <c r="Z38" s="728"/>
      <c r="AA38" s="48"/>
      <c r="AB38" s="48"/>
      <c r="AC38" s="48"/>
    </row>
    <row r="39" spans="1:68" ht="16.5" customHeight="1" x14ac:dyDescent="0.25">
      <c r="A39" s="568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0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55">
        <v>200</v>
      </c>
      <c r="Y41" s="556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0"/>
      <c r="R43" s="560"/>
      <c r="S43" s="560"/>
      <c r="T43" s="561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83"/>
      <c r="P44" s="573" t="s">
        <v>75</v>
      </c>
      <c r="Q44" s="574"/>
      <c r="R44" s="574"/>
      <c r="S44" s="574"/>
      <c r="T44" s="574"/>
      <c r="U44" s="574"/>
      <c r="V44" s="575"/>
      <c r="W44" s="37" t="s">
        <v>76</v>
      </c>
      <c r="X44" s="557">
        <f>IFERROR(X41/H41,"0")+IFERROR(X42/H42,"0")+IFERROR(X43/H43,"0")</f>
        <v>18.518518518518519</v>
      </c>
      <c r="Y44" s="557">
        <f>IFERROR(Y41/H41,"0")+IFERROR(Y42/H42,"0")+IFERROR(Y43/H43,"0")</f>
        <v>19</v>
      </c>
      <c r="Z44" s="557">
        <f>IFERROR(IF(Z41="",0,Z41),"0")+IFERROR(IF(Z42="",0,Z42),"0")+IFERROR(IF(Z43="",0,Z43),"0")</f>
        <v>0.36062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83"/>
      <c r="P45" s="573" t="s">
        <v>75</v>
      </c>
      <c r="Q45" s="574"/>
      <c r="R45" s="574"/>
      <c r="S45" s="574"/>
      <c r="T45" s="574"/>
      <c r="U45" s="574"/>
      <c r="V45" s="575"/>
      <c r="W45" s="37" t="s">
        <v>69</v>
      </c>
      <c r="X45" s="557">
        <f>IFERROR(SUM(X41:X43),"0")</f>
        <v>200</v>
      </c>
      <c r="Y45" s="557">
        <f>IFERROR(SUM(Y41:Y43),"0")</f>
        <v>205.20000000000002</v>
      </c>
      <c r="Z45" s="37"/>
      <c r="AA45" s="558"/>
      <c r="AB45" s="558"/>
      <c r="AC45" s="558"/>
    </row>
    <row r="46" spans="1:68" ht="14.25" customHeight="1" x14ac:dyDescent="0.25">
      <c r="A46" s="570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5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0"/>
      <c r="R47" s="560"/>
      <c r="S47" s="560"/>
      <c r="T47" s="561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83"/>
      <c r="P48" s="573" t="s">
        <v>75</v>
      </c>
      <c r="Q48" s="574"/>
      <c r="R48" s="574"/>
      <c r="S48" s="574"/>
      <c r="T48" s="574"/>
      <c r="U48" s="574"/>
      <c r="V48" s="575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83"/>
      <c r="P49" s="573" t="s">
        <v>75</v>
      </c>
      <c r="Q49" s="574"/>
      <c r="R49" s="574"/>
      <c r="S49" s="574"/>
      <c r="T49" s="574"/>
      <c r="U49" s="574"/>
      <c r="V49" s="575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68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0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0"/>
      <c r="R53" s="560"/>
      <c r="S53" s="560"/>
      <c r="T53" s="561"/>
      <c r="U53" s="34"/>
      <c r="V53" s="34"/>
      <c r="W53" s="35" t="s">
        <v>69</v>
      </c>
      <c r="X53" s="555">
        <v>0</v>
      </c>
      <c r="Y53" s="55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0"/>
      <c r="R54" s="560"/>
      <c r="S54" s="560"/>
      <c r="T54" s="561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0"/>
      <c r="R55" s="560"/>
      <c r="S55" s="560"/>
      <c r="T55" s="561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0"/>
      <c r="R57" s="560"/>
      <c r="S57" s="560"/>
      <c r="T57" s="561"/>
      <c r="U57" s="34"/>
      <c r="V57" s="34"/>
      <c r="W57" s="35" t="s">
        <v>69</v>
      </c>
      <c r="X57" s="555">
        <v>50</v>
      </c>
      <c r="Y57" s="556">
        <f t="shared" si="0"/>
        <v>54</v>
      </c>
      <c r="Z57" s="36">
        <f>IFERROR(IF(Y57=0,"",ROUNDUP(Y57/H57,0)*0.00902),"")</f>
        <v>0.10824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52.111111111111114</v>
      </c>
      <c r="BN57" s="64">
        <f t="shared" si="2"/>
        <v>56.28</v>
      </c>
      <c r="BO57" s="64">
        <f t="shared" si="3"/>
        <v>8.4175084175084181E-2</v>
      </c>
      <c r="BP57" s="64">
        <f t="shared" si="4"/>
        <v>9.0909090909090912E-2</v>
      </c>
    </row>
    <row r="58" spans="1:68" x14ac:dyDescent="0.2">
      <c r="A58" s="582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83"/>
      <c r="P58" s="573" t="s">
        <v>75</v>
      </c>
      <c r="Q58" s="574"/>
      <c r="R58" s="574"/>
      <c r="S58" s="574"/>
      <c r="T58" s="574"/>
      <c r="U58" s="574"/>
      <c r="V58" s="575"/>
      <c r="W58" s="37" t="s">
        <v>76</v>
      </c>
      <c r="X58" s="557">
        <f>IFERROR(X52/H52,"0")+IFERROR(X53/H53,"0")+IFERROR(X54/H54,"0")+IFERROR(X55/H55,"0")+IFERROR(X56/H56,"0")+IFERROR(X57/H57,"0")</f>
        <v>11.111111111111111</v>
      </c>
      <c r="Y58" s="557">
        <f>IFERROR(Y52/H52,"0")+IFERROR(Y53/H53,"0")+IFERROR(Y54/H54,"0")+IFERROR(Y55/H55,"0")+IFERROR(Y56/H56,"0")+IFERROR(Y57/H57,"0")</f>
        <v>12</v>
      </c>
      <c r="Z58" s="557">
        <f>IFERROR(IF(Z52="",0,Z52),"0")+IFERROR(IF(Z53="",0,Z53),"0")+IFERROR(IF(Z54="",0,Z54),"0")+IFERROR(IF(Z55="",0,Z55),"0")+IFERROR(IF(Z56="",0,Z56),"0")+IFERROR(IF(Z57="",0,Z57),"0")</f>
        <v>0.10824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83"/>
      <c r="P59" s="573" t="s">
        <v>75</v>
      </c>
      <c r="Q59" s="574"/>
      <c r="R59" s="574"/>
      <c r="S59" s="574"/>
      <c r="T59" s="574"/>
      <c r="U59" s="574"/>
      <c r="V59" s="575"/>
      <c r="W59" s="37" t="s">
        <v>69</v>
      </c>
      <c r="X59" s="557">
        <f>IFERROR(SUM(X52:X57),"0")</f>
        <v>50</v>
      </c>
      <c r="Y59" s="557">
        <f>IFERROR(SUM(Y52:Y57),"0")</f>
        <v>54</v>
      </c>
      <c r="Z59" s="37"/>
      <c r="AA59" s="558"/>
      <c r="AB59" s="558"/>
      <c r="AC59" s="558"/>
    </row>
    <row r="60" spans="1:68" ht="14.25" customHeight="1" x14ac:dyDescent="0.25">
      <c r="A60" s="570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8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0"/>
      <c r="R63" s="560"/>
      <c r="S63" s="560"/>
      <c r="T63" s="561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83"/>
      <c r="P64" s="573" t="s">
        <v>75</v>
      </c>
      <c r="Q64" s="574"/>
      <c r="R64" s="574"/>
      <c r="S64" s="574"/>
      <c r="T64" s="574"/>
      <c r="U64" s="574"/>
      <c r="V64" s="575"/>
      <c r="W64" s="37" t="s">
        <v>76</v>
      </c>
      <c r="X64" s="557">
        <f>IFERROR(X61/H61,"0")+IFERROR(X62/H62,"0")+IFERROR(X63/H63,"0")</f>
        <v>0</v>
      </c>
      <c r="Y64" s="557">
        <f>IFERROR(Y61/H61,"0")+IFERROR(Y62/H62,"0")+IFERROR(Y63/H63,"0")</f>
        <v>0</v>
      </c>
      <c r="Z64" s="557">
        <f>IFERROR(IF(Z61="",0,Z61),"0")+IFERROR(IF(Z62="",0,Z62),"0")+IFERROR(IF(Z63="",0,Z63),"0")</f>
        <v>0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83"/>
      <c r="P65" s="573" t="s">
        <v>75</v>
      </c>
      <c r="Q65" s="574"/>
      <c r="R65" s="574"/>
      <c r="S65" s="574"/>
      <c r="T65" s="574"/>
      <c r="U65" s="574"/>
      <c r="V65" s="575"/>
      <c r="W65" s="37" t="s">
        <v>69</v>
      </c>
      <c r="X65" s="557">
        <f>IFERROR(SUM(X61:X63),"0")</f>
        <v>0</v>
      </c>
      <c r="Y65" s="557">
        <f>IFERROR(SUM(Y61:Y63),"0")</f>
        <v>0</v>
      </c>
      <c r="Z65" s="37"/>
      <c r="AA65" s="558"/>
      <c r="AB65" s="558"/>
      <c r="AC65" s="558"/>
    </row>
    <row r="66" spans="1:68" ht="14.25" customHeight="1" x14ac:dyDescent="0.25">
      <c r="A66" s="570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0"/>
      <c r="R68" s="560"/>
      <c r="S68" s="560"/>
      <c r="T68" s="561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83"/>
      <c r="P69" s="573" t="s">
        <v>75</v>
      </c>
      <c r="Q69" s="574"/>
      <c r="R69" s="574"/>
      <c r="S69" s="574"/>
      <c r="T69" s="574"/>
      <c r="U69" s="574"/>
      <c r="V69" s="575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83"/>
      <c r="P70" s="573" t="s">
        <v>75</v>
      </c>
      <c r="Q70" s="574"/>
      <c r="R70" s="574"/>
      <c r="S70" s="574"/>
      <c r="T70" s="574"/>
      <c r="U70" s="574"/>
      <c r="V70" s="575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0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0"/>
      <c r="R75" s="560"/>
      <c r="S75" s="560"/>
      <c r="T75" s="561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83"/>
      <c r="P76" s="573" t="s">
        <v>75</v>
      </c>
      <c r="Q76" s="574"/>
      <c r="R76" s="574"/>
      <c r="S76" s="574"/>
      <c r="T76" s="574"/>
      <c r="U76" s="574"/>
      <c r="V76" s="575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83"/>
      <c r="P77" s="573" t="s">
        <v>75</v>
      </c>
      <c r="Q77" s="574"/>
      <c r="R77" s="574"/>
      <c r="S77" s="574"/>
      <c r="T77" s="574"/>
      <c r="U77" s="574"/>
      <c r="V77" s="575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0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0"/>
      <c r="R80" s="560"/>
      <c r="S80" s="560"/>
      <c r="T80" s="561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83"/>
      <c r="P81" s="573" t="s">
        <v>75</v>
      </c>
      <c r="Q81" s="574"/>
      <c r="R81" s="574"/>
      <c r="S81" s="574"/>
      <c r="T81" s="574"/>
      <c r="U81" s="574"/>
      <c r="V81" s="575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83"/>
      <c r="P82" s="573" t="s">
        <v>75</v>
      </c>
      <c r="Q82" s="574"/>
      <c r="R82" s="574"/>
      <c r="S82" s="574"/>
      <c r="T82" s="574"/>
      <c r="U82" s="574"/>
      <c r="V82" s="575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68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0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0"/>
      <c r="R85" s="560"/>
      <c r="S85" s="560"/>
      <c r="T85" s="561"/>
      <c r="U85" s="34"/>
      <c r="V85" s="34"/>
      <c r="W85" s="35" t="s">
        <v>69</v>
      </c>
      <c r="X85" s="555">
        <v>300</v>
      </c>
      <c r="Y85" s="556">
        <f>IFERROR(IF(X85="",0,CEILING((X85/$H85),1)*$H85),"")</f>
        <v>302.40000000000003</v>
      </c>
      <c r="Z85" s="36">
        <f>IFERROR(IF(Y85=0,"",ROUNDUP(Y85/H85,0)*0.01898),"")</f>
        <v>0.53144000000000002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311.38888888888891</v>
      </c>
      <c r="BN85" s="64">
        <f>IFERROR(Y85*I85/H85,"0")</f>
        <v>313.88</v>
      </c>
      <c r="BO85" s="64">
        <f>IFERROR(1/J85*(X85/H85),"0")</f>
        <v>0.43402777777777773</v>
      </c>
      <c r="BP85" s="64">
        <f>IFERROR(1/J85*(Y85/H85),"0")</f>
        <v>0.4375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0"/>
      <c r="R86" s="560"/>
      <c r="S86" s="560"/>
      <c r="T86" s="561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0"/>
      <c r="R87" s="560"/>
      <c r="S87" s="560"/>
      <c r="T87" s="561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0"/>
      <c r="R88" s="560"/>
      <c r="S88" s="560"/>
      <c r="T88" s="561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83"/>
      <c r="P89" s="573" t="s">
        <v>75</v>
      </c>
      <c r="Q89" s="574"/>
      <c r="R89" s="574"/>
      <c r="S89" s="574"/>
      <c r="T89" s="574"/>
      <c r="U89" s="574"/>
      <c r="V89" s="575"/>
      <c r="W89" s="37" t="s">
        <v>76</v>
      </c>
      <c r="X89" s="557">
        <f>IFERROR(X85/H85,"0")+IFERROR(X86/H86,"0")+IFERROR(X87/H87,"0")+IFERROR(X88/H88,"0")</f>
        <v>27.777777777777775</v>
      </c>
      <c r="Y89" s="557">
        <f>IFERROR(Y85/H85,"0")+IFERROR(Y86/H86,"0")+IFERROR(Y87/H87,"0")+IFERROR(Y88/H88,"0")</f>
        <v>28</v>
      </c>
      <c r="Z89" s="557">
        <f>IFERROR(IF(Z85="",0,Z85),"0")+IFERROR(IF(Z86="",0,Z86),"0")+IFERROR(IF(Z87="",0,Z87),"0")+IFERROR(IF(Z88="",0,Z88),"0")</f>
        <v>0.53144000000000002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83"/>
      <c r="P90" s="573" t="s">
        <v>75</v>
      </c>
      <c r="Q90" s="574"/>
      <c r="R90" s="574"/>
      <c r="S90" s="574"/>
      <c r="T90" s="574"/>
      <c r="U90" s="574"/>
      <c r="V90" s="575"/>
      <c r="W90" s="37" t="s">
        <v>69</v>
      </c>
      <c r="X90" s="557">
        <f>IFERROR(SUM(X85:X88),"0")</f>
        <v>300</v>
      </c>
      <c r="Y90" s="557">
        <f>IFERROR(SUM(Y85:Y88),"0")</f>
        <v>302.40000000000003</v>
      </c>
      <c r="Z90" s="37"/>
      <c r="AA90" s="558"/>
      <c r="AB90" s="558"/>
      <c r="AC90" s="558"/>
    </row>
    <row r="91" spans="1:68" ht="14.25" customHeight="1" x14ac:dyDescent="0.25">
      <c r="A91" s="570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55">
        <v>500</v>
      </c>
      <c r="Y92" s="556">
        <f>IFERROR(IF(X92="",0,CEILING((X92/$H92),1)*$H92),"")</f>
        <v>502.2</v>
      </c>
      <c r="Z92" s="36">
        <f>IFERROR(IF(Y92=0,"",ROUNDUP(Y92/H92,0)*0.01898),"")</f>
        <v>1.17676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530.49382716049388</v>
      </c>
      <c r="BN92" s="64">
        <f>IFERROR(Y92*I92/H92,"0")</f>
        <v>532.82799999999997</v>
      </c>
      <c r="BO92" s="64">
        <f>IFERROR(1/J92*(X92/H92),"0")</f>
        <v>0.96450617283950624</v>
      </c>
      <c r="BP92" s="64">
        <f>IFERROR(1/J92*(Y92/H92),"0")</f>
        <v>0.96875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0"/>
      <c r="R94" s="560"/>
      <c r="S94" s="560"/>
      <c r="T94" s="561"/>
      <c r="U94" s="34"/>
      <c r="V94" s="34"/>
      <c r="W94" s="35" t="s">
        <v>69</v>
      </c>
      <c r="X94" s="555">
        <v>315</v>
      </c>
      <c r="Y94" s="556">
        <f>IFERROR(IF(X94="",0,CEILING((X94/$H94),1)*$H94),"")</f>
        <v>315.90000000000003</v>
      </c>
      <c r="Z94" s="36">
        <f>IFERROR(IF(Y94=0,"",ROUNDUP(Y94/H94,0)*0.00651),"")</f>
        <v>0.76167000000000007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344.4</v>
      </c>
      <c r="BN94" s="64">
        <f>IFERROR(Y94*I94/H94,"0")</f>
        <v>345.38400000000001</v>
      </c>
      <c r="BO94" s="64">
        <f>IFERROR(1/J94*(X94/H94),"0")</f>
        <v>0.64102564102564097</v>
      </c>
      <c r="BP94" s="64">
        <f>IFERROR(1/J94*(Y94/H94),"0")</f>
        <v>0.6428571428571429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3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0"/>
      <c r="R95" s="560"/>
      <c r="S95" s="560"/>
      <c r="T95" s="561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83"/>
      <c r="P96" s="573" t="s">
        <v>75</v>
      </c>
      <c r="Q96" s="574"/>
      <c r="R96" s="574"/>
      <c r="S96" s="574"/>
      <c r="T96" s="574"/>
      <c r="U96" s="574"/>
      <c r="V96" s="575"/>
      <c r="W96" s="37" t="s">
        <v>76</v>
      </c>
      <c r="X96" s="557">
        <f>IFERROR(X92/H92,"0")+IFERROR(X93/H93,"0")+IFERROR(X94/H94,"0")+IFERROR(X95/H95,"0")</f>
        <v>178.39506172839506</v>
      </c>
      <c r="Y96" s="557">
        <f>IFERROR(Y92/H92,"0")+IFERROR(Y93/H93,"0")+IFERROR(Y94/H94,"0")+IFERROR(Y95/H95,"0")</f>
        <v>179</v>
      </c>
      <c r="Z96" s="557">
        <f>IFERROR(IF(Z92="",0,Z92),"0")+IFERROR(IF(Z93="",0,Z93),"0")+IFERROR(IF(Z94="",0,Z94),"0")+IFERROR(IF(Z95="",0,Z95),"0")</f>
        <v>1.9384300000000001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83"/>
      <c r="P97" s="573" t="s">
        <v>75</v>
      </c>
      <c r="Q97" s="574"/>
      <c r="R97" s="574"/>
      <c r="S97" s="574"/>
      <c r="T97" s="574"/>
      <c r="U97" s="574"/>
      <c r="V97" s="575"/>
      <c r="W97" s="37" t="s">
        <v>69</v>
      </c>
      <c r="X97" s="557">
        <f>IFERROR(SUM(X92:X95),"0")</f>
        <v>815</v>
      </c>
      <c r="Y97" s="557">
        <f>IFERROR(SUM(Y92:Y95),"0")</f>
        <v>818.1</v>
      </c>
      <c r="Z97" s="37"/>
      <c r="AA97" s="558"/>
      <c r="AB97" s="558"/>
      <c r="AC97" s="558"/>
    </row>
    <row r="98" spans="1:68" ht="16.5" customHeight="1" x14ac:dyDescent="0.25">
      <c r="A98" s="568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0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55">
        <v>300</v>
      </c>
      <c r="Y100" s="556">
        <f>IFERROR(IF(X100="",0,CEILING((X100/$H100),1)*$H100),"")</f>
        <v>302.40000000000003</v>
      </c>
      <c r="Z100" s="36">
        <f>IFERROR(IF(Y100=0,"",ROUNDUP(Y100/H100,0)*0.01898),"")</f>
        <v>0.53144000000000002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311.38888888888891</v>
      </c>
      <c r="BN100" s="64">
        <f>IFERROR(Y100*I100/H100,"0")</f>
        <v>313.88</v>
      </c>
      <c r="BO100" s="64">
        <f>IFERROR(1/J100*(X100/H100),"0")</f>
        <v>0.43402777777777773</v>
      </c>
      <c r="BP100" s="64">
        <f>IFERROR(1/J100*(Y100/H100),"0")</f>
        <v>0.4375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0"/>
      <c r="R101" s="560"/>
      <c r="S101" s="560"/>
      <c r="T101" s="561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3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55">
        <v>50</v>
      </c>
      <c r="Y103" s="556">
        <f>IFERROR(IF(X103="",0,CEILING((X103/$H103),1)*$H103),"")</f>
        <v>54</v>
      </c>
      <c r="Z103" s="36">
        <f>IFERROR(IF(Y103=0,"",ROUNDUP(Y103/H103,0)*0.00902),"")</f>
        <v>0.10824</v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52.111111111111114</v>
      </c>
      <c r="BN103" s="64">
        <f>IFERROR(Y103*I103/H103,"0")</f>
        <v>56.28</v>
      </c>
      <c r="BO103" s="64">
        <f>IFERROR(1/J103*(X103/H103),"0")</f>
        <v>8.4175084175084181E-2</v>
      </c>
      <c r="BP103" s="64">
        <f>IFERROR(1/J103*(Y103/H103),"0")</f>
        <v>9.0909090909090912E-2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0"/>
      <c r="R104" s="560"/>
      <c r="S104" s="560"/>
      <c r="T104" s="561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83"/>
      <c r="P105" s="573" t="s">
        <v>75</v>
      </c>
      <c r="Q105" s="574"/>
      <c r="R105" s="574"/>
      <c r="S105" s="574"/>
      <c r="T105" s="574"/>
      <c r="U105" s="574"/>
      <c r="V105" s="575"/>
      <c r="W105" s="37" t="s">
        <v>76</v>
      </c>
      <c r="X105" s="557">
        <f>IFERROR(X100/H100,"0")+IFERROR(X101/H101,"0")+IFERROR(X102/H102,"0")+IFERROR(X103/H103,"0")+IFERROR(X104/H104,"0")</f>
        <v>38.888888888888886</v>
      </c>
      <c r="Y105" s="557">
        <f>IFERROR(Y100/H100,"0")+IFERROR(Y101/H101,"0")+IFERROR(Y102/H102,"0")+IFERROR(Y103/H103,"0")+IFERROR(Y104/H104,"0")</f>
        <v>40</v>
      </c>
      <c r="Z105" s="557">
        <f>IFERROR(IF(Z100="",0,Z100),"0")+IFERROR(IF(Z101="",0,Z101),"0")+IFERROR(IF(Z102="",0,Z102),"0")+IFERROR(IF(Z103="",0,Z103),"0")+IFERROR(IF(Z104="",0,Z104),"0")</f>
        <v>0.63968000000000003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83"/>
      <c r="P106" s="573" t="s">
        <v>75</v>
      </c>
      <c r="Q106" s="574"/>
      <c r="R106" s="574"/>
      <c r="S106" s="574"/>
      <c r="T106" s="574"/>
      <c r="U106" s="574"/>
      <c r="V106" s="575"/>
      <c r="W106" s="37" t="s">
        <v>69</v>
      </c>
      <c r="X106" s="557">
        <f>IFERROR(SUM(X100:X104),"0")</f>
        <v>350</v>
      </c>
      <c r="Y106" s="557">
        <f>IFERROR(SUM(Y100:Y104),"0")</f>
        <v>356.40000000000003</v>
      </c>
      <c r="Z106" s="37"/>
      <c r="AA106" s="558"/>
      <c r="AB106" s="558"/>
      <c r="AC106" s="558"/>
    </row>
    <row r="107" spans="1:68" ht="14.25" customHeight="1" x14ac:dyDescent="0.25">
      <c r="A107" s="570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0"/>
      <c r="R111" s="560"/>
      <c r="S111" s="560"/>
      <c r="T111" s="561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83"/>
      <c r="P112" s="573" t="s">
        <v>75</v>
      </c>
      <c r="Q112" s="574"/>
      <c r="R112" s="574"/>
      <c r="S112" s="574"/>
      <c r="T112" s="574"/>
      <c r="U112" s="574"/>
      <c r="V112" s="575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83"/>
      <c r="P113" s="573" t="s">
        <v>75</v>
      </c>
      <c r="Q113" s="574"/>
      <c r="R113" s="574"/>
      <c r="S113" s="574"/>
      <c r="T113" s="574"/>
      <c r="U113" s="574"/>
      <c r="V113" s="575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customHeight="1" x14ac:dyDescent="0.25">
      <c r="A114" s="570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55">
        <v>500</v>
      </c>
      <c r="Y115" s="556">
        <f>IFERROR(IF(X115="",0,CEILING((X115/$H115),1)*$H115),"")</f>
        <v>502.2</v>
      </c>
      <c r="Z115" s="36">
        <f>IFERROR(IF(Y115=0,"",ROUNDUP(Y115/H115,0)*0.01898),"")</f>
        <v>1.17676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530.12345679012344</v>
      </c>
      <c r="BN115" s="64">
        <f>IFERROR(Y115*I115/H115,"0")</f>
        <v>532.4559999999999</v>
      </c>
      <c r="BO115" s="64">
        <f>IFERROR(1/J115*(X115/H115),"0")</f>
        <v>0.96450617283950624</v>
      </c>
      <c r="BP115" s="64">
        <f>IFERROR(1/J115*(Y115/H115),"0")</f>
        <v>0.96875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55">
        <v>675</v>
      </c>
      <c r="Y117" s="556">
        <f>IFERROR(IF(X117="",0,CEILING((X117/$H117),1)*$H117),"")</f>
        <v>675</v>
      </c>
      <c r="Z117" s="36">
        <f>IFERROR(IF(Y117=0,"",ROUNDUP(Y117/H117,0)*0.00651),"")</f>
        <v>1.6274999999999999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737.99999999999989</v>
      </c>
      <c r="BN117" s="64">
        <f>IFERROR(Y117*I117/H117,"0")</f>
        <v>737.99999999999989</v>
      </c>
      <c r="BO117" s="64">
        <f>IFERROR(1/J117*(X117/H117),"0")</f>
        <v>1.3736263736263736</v>
      </c>
      <c r="BP117" s="64">
        <f>IFERROR(1/J117*(Y117/H117),"0")</f>
        <v>1.3736263736263736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0"/>
      <c r="R118" s="560"/>
      <c r="S118" s="560"/>
      <c r="T118" s="561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83"/>
      <c r="P119" s="573" t="s">
        <v>75</v>
      </c>
      <c r="Q119" s="574"/>
      <c r="R119" s="574"/>
      <c r="S119" s="574"/>
      <c r="T119" s="574"/>
      <c r="U119" s="574"/>
      <c r="V119" s="575"/>
      <c r="W119" s="37" t="s">
        <v>76</v>
      </c>
      <c r="X119" s="557">
        <f>IFERROR(X115/H115,"0")+IFERROR(X116/H116,"0")+IFERROR(X117/H117,"0")+IFERROR(X118/H118,"0")</f>
        <v>311.72839506172835</v>
      </c>
      <c r="Y119" s="557">
        <f>IFERROR(Y115/H115,"0")+IFERROR(Y116/H116,"0")+IFERROR(Y117/H117,"0")+IFERROR(Y118/H118,"0")</f>
        <v>312</v>
      </c>
      <c r="Z119" s="557">
        <f>IFERROR(IF(Z115="",0,Z115),"0")+IFERROR(IF(Z116="",0,Z116),"0")+IFERROR(IF(Z117="",0,Z117),"0")+IFERROR(IF(Z118="",0,Z118),"0")</f>
        <v>2.8042600000000002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83"/>
      <c r="P120" s="573" t="s">
        <v>75</v>
      </c>
      <c r="Q120" s="574"/>
      <c r="R120" s="574"/>
      <c r="S120" s="574"/>
      <c r="T120" s="574"/>
      <c r="U120" s="574"/>
      <c r="V120" s="575"/>
      <c r="W120" s="37" t="s">
        <v>69</v>
      </c>
      <c r="X120" s="557">
        <f>IFERROR(SUM(X115:X118),"0")</f>
        <v>1175</v>
      </c>
      <c r="Y120" s="557">
        <f>IFERROR(SUM(Y115:Y118),"0")</f>
        <v>1177.2</v>
      </c>
      <c r="Z120" s="37"/>
      <c r="AA120" s="558"/>
      <c r="AB120" s="558"/>
      <c r="AC120" s="558"/>
    </row>
    <row r="121" spans="1:68" ht="14.25" customHeight="1" x14ac:dyDescent="0.25">
      <c r="A121" s="570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0"/>
      <c r="R122" s="560"/>
      <c r="S122" s="560"/>
      <c r="T122" s="561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83"/>
      <c r="P123" s="573" t="s">
        <v>75</v>
      </c>
      <c r="Q123" s="574"/>
      <c r="R123" s="574"/>
      <c r="S123" s="574"/>
      <c r="T123" s="574"/>
      <c r="U123" s="574"/>
      <c r="V123" s="575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83"/>
      <c r="P124" s="573" t="s">
        <v>75</v>
      </c>
      <c r="Q124" s="574"/>
      <c r="R124" s="574"/>
      <c r="S124" s="574"/>
      <c r="T124" s="574"/>
      <c r="U124" s="574"/>
      <c r="V124" s="575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68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0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0"/>
      <c r="R128" s="560"/>
      <c r="S128" s="560"/>
      <c r="T128" s="561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83"/>
      <c r="P129" s="573" t="s">
        <v>75</v>
      </c>
      <c r="Q129" s="574"/>
      <c r="R129" s="574"/>
      <c r="S129" s="574"/>
      <c r="T129" s="574"/>
      <c r="U129" s="574"/>
      <c r="V129" s="575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83"/>
      <c r="P130" s="573" t="s">
        <v>75</v>
      </c>
      <c r="Q130" s="574"/>
      <c r="R130" s="574"/>
      <c r="S130" s="574"/>
      <c r="T130" s="574"/>
      <c r="U130" s="574"/>
      <c r="V130" s="575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0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0"/>
      <c r="R133" s="560"/>
      <c r="S133" s="560"/>
      <c r="T133" s="561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83"/>
      <c r="P134" s="573" t="s">
        <v>75</v>
      </c>
      <c r="Q134" s="574"/>
      <c r="R134" s="574"/>
      <c r="S134" s="574"/>
      <c r="T134" s="574"/>
      <c r="U134" s="574"/>
      <c r="V134" s="575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83"/>
      <c r="P135" s="573" t="s">
        <v>75</v>
      </c>
      <c r="Q135" s="574"/>
      <c r="R135" s="574"/>
      <c r="S135" s="574"/>
      <c r="T135" s="574"/>
      <c r="U135" s="574"/>
      <c r="V135" s="575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customHeight="1" x14ac:dyDescent="0.25">
      <c r="A136" s="570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0"/>
      <c r="R137" s="560"/>
      <c r="S137" s="560"/>
      <c r="T137" s="561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0"/>
      <c r="R138" s="560"/>
      <c r="S138" s="560"/>
      <c r="T138" s="561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83"/>
      <c r="P139" s="573" t="s">
        <v>75</v>
      </c>
      <c r="Q139" s="574"/>
      <c r="R139" s="574"/>
      <c r="S139" s="574"/>
      <c r="T139" s="574"/>
      <c r="U139" s="574"/>
      <c r="V139" s="575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83"/>
      <c r="P140" s="573" t="s">
        <v>75</v>
      </c>
      <c r="Q140" s="574"/>
      <c r="R140" s="574"/>
      <c r="S140" s="574"/>
      <c r="T140" s="574"/>
      <c r="U140" s="574"/>
      <c r="V140" s="575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68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0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0"/>
      <c r="R144" s="560"/>
      <c r="S144" s="560"/>
      <c r="T144" s="561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83"/>
      <c r="P145" s="573" t="s">
        <v>75</v>
      </c>
      <c r="Q145" s="574"/>
      <c r="R145" s="574"/>
      <c r="S145" s="574"/>
      <c r="T145" s="574"/>
      <c r="U145" s="574"/>
      <c r="V145" s="575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83"/>
      <c r="P146" s="573" t="s">
        <v>75</v>
      </c>
      <c r="Q146" s="574"/>
      <c r="R146" s="574"/>
      <c r="S146" s="574"/>
      <c r="T146" s="574"/>
      <c r="U146" s="574"/>
      <c r="V146" s="575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0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4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0"/>
      <c r="R148" s="560"/>
      <c r="S148" s="560"/>
      <c r="T148" s="561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0"/>
      <c r="R149" s="560"/>
      <c r="S149" s="560"/>
      <c r="T149" s="561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0"/>
      <c r="R150" s="560"/>
      <c r="S150" s="560"/>
      <c r="T150" s="561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0"/>
      <c r="R151" s="560"/>
      <c r="S151" s="560"/>
      <c r="T151" s="561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0"/>
      <c r="R152" s="560"/>
      <c r="S152" s="560"/>
      <c r="T152" s="561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0"/>
      <c r="R153" s="560"/>
      <c r="S153" s="560"/>
      <c r="T153" s="561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83"/>
      <c r="P154" s="573" t="s">
        <v>75</v>
      </c>
      <c r="Q154" s="574"/>
      <c r="R154" s="574"/>
      <c r="S154" s="574"/>
      <c r="T154" s="574"/>
      <c r="U154" s="574"/>
      <c r="V154" s="575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83"/>
      <c r="P155" s="573" t="s">
        <v>75</v>
      </c>
      <c r="Q155" s="574"/>
      <c r="R155" s="574"/>
      <c r="S155" s="574"/>
      <c r="T155" s="574"/>
      <c r="U155" s="574"/>
      <c r="V155" s="575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customHeight="1" x14ac:dyDescent="0.25">
      <c r="A156" s="570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0"/>
      <c r="R157" s="560"/>
      <c r="S157" s="560"/>
      <c r="T157" s="561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83"/>
      <c r="P158" s="573" t="s">
        <v>75</v>
      </c>
      <c r="Q158" s="574"/>
      <c r="R158" s="574"/>
      <c r="S158" s="574"/>
      <c r="T158" s="574"/>
      <c r="U158" s="574"/>
      <c r="V158" s="575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83"/>
      <c r="P159" s="573" t="s">
        <v>75</v>
      </c>
      <c r="Q159" s="574"/>
      <c r="R159" s="574"/>
      <c r="S159" s="574"/>
      <c r="T159" s="574"/>
      <c r="U159" s="574"/>
      <c r="V159" s="575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727" t="s">
        <v>268</v>
      </c>
      <c r="B160" s="728"/>
      <c r="C160" s="728"/>
      <c r="D160" s="728"/>
      <c r="E160" s="728"/>
      <c r="F160" s="728"/>
      <c r="G160" s="728"/>
      <c r="H160" s="728"/>
      <c r="I160" s="728"/>
      <c r="J160" s="728"/>
      <c r="K160" s="728"/>
      <c r="L160" s="728"/>
      <c r="M160" s="728"/>
      <c r="N160" s="728"/>
      <c r="O160" s="728"/>
      <c r="P160" s="728"/>
      <c r="Q160" s="728"/>
      <c r="R160" s="728"/>
      <c r="S160" s="728"/>
      <c r="T160" s="728"/>
      <c r="U160" s="728"/>
      <c r="V160" s="728"/>
      <c r="W160" s="728"/>
      <c r="X160" s="728"/>
      <c r="Y160" s="728"/>
      <c r="Z160" s="728"/>
      <c r="AA160" s="48"/>
      <c r="AB160" s="48"/>
      <c r="AC160" s="48"/>
    </row>
    <row r="161" spans="1:68" ht="16.5" customHeight="1" x14ac:dyDescent="0.25">
      <c r="A161" s="568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0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0"/>
      <c r="R163" s="560"/>
      <c r="S163" s="560"/>
      <c r="T163" s="561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83"/>
      <c r="P164" s="573" t="s">
        <v>75</v>
      </c>
      <c r="Q164" s="574"/>
      <c r="R164" s="574"/>
      <c r="S164" s="574"/>
      <c r="T164" s="574"/>
      <c r="U164" s="574"/>
      <c r="V164" s="575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83"/>
      <c r="P165" s="573" t="s">
        <v>75</v>
      </c>
      <c r="Q165" s="574"/>
      <c r="R165" s="574"/>
      <c r="S165" s="574"/>
      <c r="T165" s="574"/>
      <c r="U165" s="574"/>
      <c r="V165" s="575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0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4" t="s">
        <v>276</v>
      </c>
      <c r="Q167" s="560"/>
      <c r="R167" s="560"/>
      <c r="S167" s="560"/>
      <c r="T167" s="561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2" t="s">
        <v>281</v>
      </c>
      <c r="Q168" s="560"/>
      <c r="R168" s="560"/>
      <c r="S168" s="560"/>
      <c r="T168" s="561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8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0"/>
      <c r="R169" s="560"/>
      <c r="S169" s="560"/>
      <c r="T169" s="561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6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0"/>
      <c r="R170" s="560"/>
      <c r="S170" s="560"/>
      <c r="T170" s="561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0"/>
      <c r="R171" s="560"/>
      <c r="S171" s="560"/>
      <c r="T171" s="561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0"/>
      <c r="R172" s="560"/>
      <c r="S172" s="560"/>
      <c r="T172" s="561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0"/>
      <c r="R173" s="560"/>
      <c r="S173" s="560"/>
      <c r="T173" s="561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0"/>
      <c r="R175" s="560"/>
      <c r="S175" s="560"/>
      <c r="T175" s="561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0"/>
      <c r="R177" s="560"/>
      <c r="S177" s="560"/>
      <c r="T177" s="561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0"/>
      <c r="R179" s="560"/>
      <c r="S179" s="560"/>
      <c r="T179" s="561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0"/>
      <c r="R180" s="560"/>
      <c r="S180" s="560"/>
      <c r="T180" s="561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83"/>
      <c r="P181" s="573" t="s">
        <v>75</v>
      </c>
      <c r="Q181" s="574"/>
      <c r="R181" s="574"/>
      <c r="S181" s="574"/>
      <c r="T181" s="574"/>
      <c r="U181" s="574"/>
      <c r="V181" s="575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83"/>
      <c r="P182" s="573" t="s">
        <v>75</v>
      </c>
      <c r="Q182" s="574"/>
      <c r="R182" s="574"/>
      <c r="S182" s="574"/>
      <c r="T182" s="574"/>
      <c r="U182" s="574"/>
      <c r="V182" s="575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customHeight="1" x14ac:dyDescent="0.25">
      <c r="A183" s="570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0"/>
      <c r="R186" s="560"/>
      <c r="S186" s="560"/>
      <c r="T186" s="561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83"/>
      <c r="P187" s="573" t="s">
        <v>75</v>
      </c>
      <c r="Q187" s="574"/>
      <c r="R187" s="574"/>
      <c r="S187" s="574"/>
      <c r="T187" s="574"/>
      <c r="U187" s="574"/>
      <c r="V187" s="575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83"/>
      <c r="P188" s="573" t="s">
        <v>75</v>
      </c>
      <c r="Q188" s="574"/>
      <c r="R188" s="574"/>
      <c r="S188" s="574"/>
      <c r="T188" s="574"/>
      <c r="U188" s="574"/>
      <c r="V188" s="575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0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0"/>
      <c r="R190" s="560"/>
      <c r="S190" s="560"/>
      <c r="T190" s="561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83"/>
      <c r="P191" s="573" t="s">
        <v>75</v>
      </c>
      <c r="Q191" s="574"/>
      <c r="R191" s="574"/>
      <c r="S191" s="574"/>
      <c r="T191" s="574"/>
      <c r="U191" s="574"/>
      <c r="V191" s="575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83"/>
      <c r="P192" s="573" t="s">
        <v>75</v>
      </c>
      <c r="Q192" s="574"/>
      <c r="R192" s="574"/>
      <c r="S192" s="574"/>
      <c r="T192" s="574"/>
      <c r="U192" s="574"/>
      <c r="V192" s="575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68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0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0"/>
      <c r="R195" s="560"/>
      <c r="S195" s="560"/>
      <c r="T195" s="561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3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0"/>
      <c r="R196" s="560"/>
      <c r="S196" s="560"/>
      <c r="T196" s="561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83"/>
      <c r="P197" s="573" t="s">
        <v>75</v>
      </c>
      <c r="Q197" s="574"/>
      <c r="R197" s="574"/>
      <c r="S197" s="574"/>
      <c r="T197" s="574"/>
      <c r="U197" s="574"/>
      <c r="V197" s="575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83"/>
      <c r="P198" s="573" t="s">
        <v>75</v>
      </c>
      <c r="Q198" s="574"/>
      <c r="R198" s="574"/>
      <c r="S198" s="574"/>
      <c r="T198" s="574"/>
      <c r="U198" s="574"/>
      <c r="V198" s="575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0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0"/>
      <c r="R200" s="560"/>
      <c r="S200" s="560"/>
      <c r="T200" s="561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0"/>
      <c r="R201" s="560"/>
      <c r="S201" s="560"/>
      <c r="T201" s="561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83"/>
      <c r="P202" s="573" t="s">
        <v>75</v>
      </c>
      <c r="Q202" s="574"/>
      <c r="R202" s="574"/>
      <c r="S202" s="574"/>
      <c r="T202" s="574"/>
      <c r="U202" s="574"/>
      <c r="V202" s="575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83"/>
      <c r="P203" s="573" t="s">
        <v>75</v>
      </c>
      <c r="Q203" s="574"/>
      <c r="R203" s="574"/>
      <c r="S203" s="574"/>
      <c r="T203" s="574"/>
      <c r="U203" s="574"/>
      <c r="V203" s="575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0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0"/>
      <c r="R212" s="560"/>
      <c r="S212" s="560"/>
      <c r="T212" s="561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83"/>
      <c r="P213" s="573" t="s">
        <v>75</v>
      </c>
      <c r="Q213" s="574"/>
      <c r="R213" s="574"/>
      <c r="S213" s="574"/>
      <c r="T213" s="574"/>
      <c r="U213" s="574"/>
      <c r="V213" s="575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83"/>
      <c r="P214" s="573" t="s">
        <v>75</v>
      </c>
      <c r="Q214" s="574"/>
      <c r="R214" s="574"/>
      <c r="S214" s="574"/>
      <c r="T214" s="574"/>
      <c r="U214" s="574"/>
      <c r="V214" s="575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customHeight="1" x14ac:dyDescent="0.25">
      <c r="A215" s="570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0"/>
      <c r="R216" s="560"/>
      <c r="S216" s="560"/>
      <c r="T216" s="561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0"/>
      <c r="R217" s="560"/>
      <c r="S217" s="560"/>
      <c r="T217" s="561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55">
        <v>160</v>
      </c>
      <c r="Y221" s="556">
        <f t="shared" si="20"/>
        <v>160.79999999999998</v>
      </c>
      <c r="Z221" s="36">
        <f t="shared" si="25"/>
        <v>0.43617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176.80000000000004</v>
      </c>
      <c r="BN221" s="64">
        <f t="shared" si="22"/>
        <v>177.684</v>
      </c>
      <c r="BO221" s="64">
        <f t="shared" si="23"/>
        <v>0.36630036630036633</v>
      </c>
      <c r="BP221" s="64">
        <f t="shared" si="24"/>
        <v>0.36813186813186816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0"/>
      <c r="R222" s="560"/>
      <c r="S222" s="560"/>
      <c r="T222" s="561"/>
      <c r="U222" s="34"/>
      <c r="V222" s="34"/>
      <c r="W222" s="35" t="s">
        <v>69</v>
      </c>
      <c r="X222" s="555">
        <v>160</v>
      </c>
      <c r="Y222" s="556">
        <f t="shared" si="20"/>
        <v>160.79999999999998</v>
      </c>
      <c r="Z222" s="36">
        <f t="shared" si="25"/>
        <v>0.43617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176.80000000000004</v>
      </c>
      <c r="BN222" s="64">
        <f t="shared" si="22"/>
        <v>177.684</v>
      </c>
      <c r="BO222" s="64">
        <f t="shared" si="23"/>
        <v>0.36630036630036633</v>
      </c>
      <c r="BP222" s="64">
        <f t="shared" si="24"/>
        <v>0.36813186813186816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0"/>
      <c r="R223" s="560"/>
      <c r="S223" s="560"/>
      <c r="T223" s="561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0"/>
      <c r="R224" s="560"/>
      <c r="S224" s="560"/>
      <c r="T224" s="561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83"/>
      <c r="P225" s="573" t="s">
        <v>75</v>
      </c>
      <c r="Q225" s="574"/>
      <c r="R225" s="574"/>
      <c r="S225" s="574"/>
      <c r="T225" s="574"/>
      <c r="U225" s="574"/>
      <c r="V225" s="575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133.33333333333334</v>
      </c>
      <c r="Y225" s="557">
        <f>IFERROR(Y216/H216,"0")+IFERROR(Y217/H217,"0")+IFERROR(Y218/H218,"0")+IFERROR(Y219/H219,"0")+IFERROR(Y220/H220,"0")+IFERROR(Y221/H221,"0")+IFERROR(Y222/H222,"0")+IFERROR(Y223/H223,"0")+IFERROR(Y224/H224,"0")</f>
        <v>134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0.87234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83"/>
      <c r="P226" s="573" t="s">
        <v>75</v>
      </c>
      <c r="Q226" s="574"/>
      <c r="R226" s="574"/>
      <c r="S226" s="574"/>
      <c r="T226" s="574"/>
      <c r="U226" s="574"/>
      <c r="V226" s="575"/>
      <c r="W226" s="37" t="s">
        <v>69</v>
      </c>
      <c r="X226" s="557">
        <f>IFERROR(SUM(X216:X224),"0")</f>
        <v>320</v>
      </c>
      <c r="Y226" s="557">
        <f>IFERROR(SUM(Y216:Y224),"0")</f>
        <v>321.59999999999997</v>
      </c>
      <c r="Z226" s="37"/>
      <c r="AA226" s="558"/>
      <c r="AB226" s="558"/>
      <c r="AC226" s="558"/>
    </row>
    <row r="227" spans="1:68" ht="14.25" customHeight="1" x14ac:dyDescent="0.25">
      <c r="A227" s="570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0"/>
      <c r="R229" s="560"/>
      <c r="S229" s="560"/>
      <c r="T229" s="561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83"/>
      <c r="P230" s="573" t="s">
        <v>75</v>
      </c>
      <c r="Q230" s="574"/>
      <c r="R230" s="574"/>
      <c r="S230" s="574"/>
      <c r="T230" s="574"/>
      <c r="U230" s="574"/>
      <c r="V230" s="575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83"/>
      <c r="P231" s="573" t="s">
        <v>75</v>
      </c>
      <c r="Q231" s="574"/>
      <c r="R231" s="574"/>
      <c r="S231" s="574"/>
      <c r="T231" s="574"/>
      <c r="U231" s="574"/>
      <c r="V231" s="575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68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0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6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2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0"/>
      <c r="R242" s="560"/>
      <c r="S242" s="560"/>
      <c r="T242" s="561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83"/>
      <c r="P243" s="573" t="s">
        <v>75</v>
      </c>
      <c r="Q243" s="574"/>
      <c r="R243" s="574"/>
      <c r="S243" s="574"/>
      <c r="T243" s="574"/>
      <c r="U243" s="574"/>
      <c r="V243" s="575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83"/>
      <c r="P244" s="573" t="s">
        <v>75</v>
      </c>
      <c r="Q244" s="574"/>
      <c r="R244" s="574"/>
      <c r="S244" s="574"/>
      <c r="T244" s="574"/>
      <c r="U244" s="574"/>
      <c r="V244" s="575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0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0"/>
      <c r="R246" s="560"/>
      <c r="S246" s="560"/>
      <c r="T246" s="561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83"/>
      <c r="P247" s="573" t="s">
        <v>75</v>
      </c>
      <c r="Q247" s="574"/>
      <c r="R247" s="574"/>
      <c r="S247" s="574"/>
      <c r="T247" s="574"/>
      <c r="U247" s="574"/>
      <c r="V247" s="575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83"/>
      <c r="P248" s="573" t="s">
        <v>75</v>
      </c>
      <c r="Q248" s="574"/>
      <c r="R248" s="574"/>
      <c r="S248" s="574"/>
      <c r="T248" s="574"/>
      <c r="U248" s="574"/>
      <c r="V248" s="575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0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0"/>
      <c r="R250" s="560"/>
      <c r="S250" s="560"/>
      <c r="T250" s="561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83"/>
      <c r="P251" s="573" t="s">
        <v>75</v>
      </c>
      <c r="Q251" s="574"/>
      <c r="R251" s="574"/>
      <c r="S251" s="574"/>
      <c r="T251" s="574"/>
      <c r="U251" s="574"/>
      <c r="V251" s="575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83"/>
      <c r="P252" s="573" t="s">
        <v>75</v>
      </c>
      <c r="Q252" s="574"/>
      <c r="R252" s="574"/>
      <c r="S252" s="574"/>
      <c r="T252" s="574"/>
      <c r="U252" s="574"/>
      <c r="V252" s="575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0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0"/>
      <c r="R258" s="560"/>
      <c r="S258" s="560"/>
      <c r="T258" s="561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83"/>
      <c r="P259" s="573" t="s">
        <v>75</v>
      </c>
      <c r="Q259" s="574"/>
      <c r="R259" s="574"/>
      <c r="S259" s="574"/>
      <c r="T259" s="574"/>
      <c r="U259" s="574"/>
      <c r="V259" s="575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83"/>
      <c r="P260" s="573" t="s">
        <v>75</v>
      </c>
      <c r="Q260" s="574"/>
      <c r="R260" s="574"/>
      <c r="S260" s="574"/>
      <c r="T260" s="574"/>
      <c r="U260" s="574"/>
      <c r="V260" s="575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68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0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2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0"/>
      <c r="R267" s="560"/>
      <c r="S267" s="560"/>
      <c r="T267" s="561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83"/>
      <c r="P268" s="573" t="s">
        <v>75</v>
      </c>
      <c r="Q268" s="574"/>
      <c r="R268" s="574"/>
      <c r="S268" s="574"/>
      <c r="T268" s="574"/>
      <c r="U268" s="574"/>
      <c r="V268" s="575"/>
      <c r="W268" s="37" t="s">
        <v>76</v>
      </c>
      <c r="X268" s="557">
        <f>IFERROR(X263/H263,"0")+IFERROR(X264/H264,"0")+IFERROR(X265/H265,"0")+IFERROR(X266/H266,"0")+IFERROR(X267/H267,"0")</f>
        <v>0</v>
      </c>
      <c r="Y268" s="557">
        <f>IFERROR(Y263/H263,"0")+IFERROR(Y264/H264,"0")+IFERROR(Y265/H265,"0")+IFERROR(Y266/H266,"0")+IFERROR(Y267/H267,"0")</f>
        <v>0</v>
      </c>
      <c r="Z268" s="557">
        <f>IFERROR(IF(Z263="",0,Z263),"0")+IFERROR(IF(Z264="",0,Z264),"0")+IFERROR(IF(Z265="",0,Z265),"0")+IFERROR(IF(Z266="",0,Z266),"0")+IFERROR(IF(Z267="",0,Z267),"0")</f>
        <v>0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83"/>
      <c r="P269" s="573" t="s">
        <v>75</v>
      </c>
      <c r="Q269" s="574"/>
      <c r="R269" s="574"/>
      <c r="S269" s="574"/>
      <c r="T269" s="574"/>
      <c r="U269" s="574"/>
      <c r="V269" s="575"/>
      <c r="W269" s="37" t="s">
        <v>69</v>
      </c>
      <c r="X269" s="557">
        <f>IFERROR(SUM(X263:X267),"0")</f>
        <v>0</v>
      </c>
      <c r="Y269" s="557">
        <f>IFERROR(SUM(Y263:Y267),"0")</f>
        <v>0</v>
      </c>
      <c r="Z269" s="37"/>
      <c r="AA269" s="558"/>
      <c r="AB269" s="558"/>
      <c r="AC269" s="558"/>
    </row>
    <row r="270" spans="1:68" ht="16.5" customHeight="1" x14ac:dyDescent="0.25">
      <c r="A270" s="568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0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0"/>
      <c r="R272" s="560"/>
      <c r="S272" s="560"/>
      <c r="T272" s="561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4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0"/>
      <c r="R275" s="560"/>
      <c r="S275" s="560"/>
      <c r="T275" s="561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83"/>
      <c r="P276" s="573" t="s">
        <v>75</v>
      </c>
      <c r="Q276" s="574"/>
      <c r="R276" s="574"/>
      <c r="S276" s="574"/>
      <c r="T276" s="574"/>
      <c r="U276" s="574"/>
      <c r="V276" s="575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83"/>
      <c r="P277" s="573" t="s">
        <v>75</v>
      </c>
      <c r="Q277" s="574"/>
      <c r="R277" s="574"/>
      <c r="S277" s="574"/>
      <c r="T277" s="574"/>
      <c r="U277" s="574"/>
      <c r="V277" s="575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68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0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0"/>
      <c r="R281" s="560"/>
      <c r="S281" s="560"/>
      <c r="T281" s="561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1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0"/>
      <c r="R282" s="560"/>
      <c r="S282" s="560"/>
      <c r="T282" s="561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83"/>
      <c r="P283" s="573" t="s">
        <v>75</v>
      </c>
      <c r="Q283" s="574"/>
      <c r="R283" s="574"/>
      <c r="S283" s="574"/>
      <c r="T283" s="574"/>
      <c r="U283" s="574"/>
      <c r="V283" s="575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83"/>
      <c r="P284" s="573" t="s">
        <v>75</v>
      </c>
      <c r="Q284" s="574"/>
      <c r="R284" s="574"/>
      <c r="S284" s="574"/>
      <c r="T284" s="574"/>
      <c r="U284" s="574"/>
      <c r="V284" s="575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68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0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0"/>
      <c r="R287" s="560"/>
      <c r="S287" s="560"/>
      <c r="T287" s="561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0"/>
      <c r="R288" s="560"/>
      <c r="S288" s="560"/>
      <c r="T288" s="561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83"/>
      <c r="P289" s="573" t="s">
        <v>75</v>
      </c>
      <c r="Q289" s="574"/>
      <c r="R289" s="574"/>
      <c r="S289" s="574"/>
      <c r="T289" s="574"/>
      <c r="U289" s="574"/>
      <c r="V289" s="575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83"/>
      <c r="P290" s="573" t="s">
        <v>75</v>
      </c>
      <c r="Q290" s="574"/>
      <c r="R290" s="574"/>
      <c r="S290" s="574"/>
      <c r="T290" s="574"/>
      <c r="U290" s="574"/>
      <c r="V290" s="575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0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0"/>
      <c r="R293" s="560"/>
      <c r="S293" s="560"/>
      <c r="T293" s="561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83"/>
      <c r="P294" s="573" t="s">
        <v>75</v>
      </c>
      <c r="Q294" s="574"/>
      <c r="R294" s="574"/>
      <c r="S294" s="574"/>
      <c r="T294" s="574"/>
      <c r="U294" s="574"/>
      <c r="V294" s="575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83"/>
      <c r="P295" s="573" t="s">
        <v>75</v>
      </c>
      <c r="Q295" s="574"/>
      <c r="R295" s="574"/>
      <c r="S295" s="574"/>
      <c r="T295" s="574"/>
      <c r="U295" s="574"/>
      <c r="V295" s="575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68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0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82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56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0"/>
      <c r="R302" s="560"/>
      <c r="S302" s="560"/>
      <c r="T302" s="561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0"/>
      <c r="R303" s="560"/>
      <c r="S303" s="560"/>
      <c r="T303" s="561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82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83"/>
      <c r="P304" s="573" t="s">
        <v>75</v>
      </c>
      <c r="Q304" s="574"/>
      <c r="R304" s="574"/>
      <c r="S304" s="574"/>
      <c r="T304" s="574"/>
      <c r="U304" s="574"/>
      <c r="V304" s="575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83"/>
      <c r="P305" s="573" t="s">
        <v>75</v>
      </c>
      <c r="Q305" s="574"/>
      <c r="R305" s="574"/>
      <c r="S305" s="574"/>
      <c r="T305" s="574"/>
      <c r="U305" s="574"/>
      <c r="V305" s="575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customHeight="1" x14ac:dyDescent="0.25">
      <c r="A306" s="570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0"/>
      <c r="R311" s="560"/>
      <c r="S311" s="560"/>
      <c r="T311" s="561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0"/>
      <c r="R312" s="560"/>
      <c r="S312" s="560"/>
      <c r="T312" s="561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82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83"/>
      <c r="P313" s="573" t="s">
        <v>75</v>
      </c>
      <c r="Q313" s="574"/>
      <c r="R313" s="574"/>
      <c r="S313" s="574"/>
      <c r="T313" s="574"/>
      <c r="U313" s="574"/>
      <c r="V313" s="575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83"/>
      <c r="P314" s="573" t="s">
        <v>75</v>
      </c>
      <c r="Q314" s="574"/>
      <c r="R314" s="574"/>
      <c r="S314" s="574"/>
      <c r="T314" s="574"/>
      <c r="U314" s="574"/>
      <c r="V314" s="575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customHeight="1" x14ac:dyDescent="0.25">
      <c r="A315" s="570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60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0"/>
      <c r="R316" s="560"/>
      <c r="S316" s="560"/>
      <c r="T316" s="561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0"/>
      <c r="R317" s="560"/>
      <c r="S317" s="560"/>
      <c r="T317" s="561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0"/>
      <c r="R318" s="560"/>
      <c r="S318" s="560"/>
      <c r="T318" s="561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0"/>
      <c r="R319" s="560"/>
      <c r="S319" s="560"/>
      <c r="T319" s="561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82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83"/>
      <c r="P320" s="573" t="s">
        <v>75</v>
      </c>
      <c r="Q320" s="574"/>
      <c r="R320" s="574"/>
      <c r="S320" s="574"/>
      <c r="T320" s="574"/>
      <c r="U320" s="574"/>
      <c r="V320" s="575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83"/>
      <c r="P321" s="573" t="s">
        <v>75</v>
      </c>
      <c r="Q321" s="574"/>
      <c r="R321" s="574"/>
      <c r="S321" s="574"/>
      <c r="T321" s="574"/>
      <c r="U321" s="574"/>
      <c r="V321" s="575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customHeight="1" x14ac:dyDescent="0.25">
      <c r="A322" s="570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0"/>
      <c r="R324" s="560"/>
      <c r="S324" s="560"/>
      <c r="T324" s="561"/>
      <c r="U324" s="34"/>
      <c r="V324" s="34"/>
      <c r="W324" s="35" t="s">
        <v>69</v>
      </c>
      <c r="X324" s="555">
        <v>300</v>
      </c>
      <c r="Y324" s="556">
        <f>IFERROR(IF(X324="",0,CEILING((X324/$H324),1)*$H324),"")</f>
        <v>304.2</v>
      </c>
      <c r="Z324" s="36">
        <f>IFERROR(IF(Y324=0,"",ROUNDUP(Y324/H324,0)*0.01898),"")</f>
        <v>0.74021999999999999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319.00000000000006</v>
      </c>
      <c r="BN324" s="64">
        <f>IFERROR(Y324*I324/H324,"0")</f>
        <v>323.46600000000001</v>
      </c>
      <c r="BO324" s="64">
        <f>IFERROR(1/J324*(X324/H324),"0")</f>
        <v>0.60096153846153844</v>
      </c>
      <c r="BP324" s="64">
        <f>IFERROR(1/J324*(Y324/H324),"0")</f>
        <v>0.609375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7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0"/>
      <c r="R325" s="560"/>
      <c r="S325" s="560"/>
      <c r="T325" s="561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82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83"/>
      <c r="P326" s="573" t="s">
        <v>75</v>
      </c>
      <c r="Q326" s="574"/>
      <c r="R326" s="574"/>
      <c r="S326" s="574"/>
      <c r="T326" s="574"/>
      <c r="U326" s="574"/>
      <c r="V326" s="575"/>
      <c r="W326" s="37" t="s">
        <v>76</v>
      </c>
      <c r="X326" s="557">
        <f>IFERROR(X323/H323,"0")+IFERROR(X324/H324,"0")+IFERROR(X325/H325,"0")</f>
        <v>38.46153846153846</v>
      </c>
      <c r="Y326" s="557">
        <f>IFERROR(Y323/H323,"0")+IFERROR(Y324/H324,"0")+IFERROR(Y325/H325,"0")</f>
        <v>39</v>
      </c>
      <c r="Z326" s="557">
        <f>IFERROR(IF(Z323="",0,Z323),"0")+IFERROR(IF(Z324="",0,Z324),"0")+IFERROR(IF(Z325="",0,Z325),"0")</f>
        <v>0.74021999999999999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83"/>
      <c r="P327" s="573" t="s">
        <v>75</v>
      </c>
      <c r="Q327" s="574"/>
      <c r="R327" s="574"/>
      <c r="S327" s="574"/>
      <c r="T327" s="574"/>
      <c r="U327" s="574"/>
      <c r="V327" s="575"/>
      <c r="W327" s="37" t="s">
        <v>69</v>
      </c>
      <c r="X327" s="557">
        <f>IFERROR(SUM(X323:X325),"0")</f>
        <v>300</v>
      </c>
      <c r="Y327" s="557">
        <f>IFERROR(SUM(Y323:Y325),"0")</f>
        <v>304.2</v>
      </c>
      <c r="Z327" s="37"/>
      <c r="AA327" s="558"/>
      <c r="AB327" s="558"/>
      <c r="AC327" s="558"/>
    </row>
    <row r="328" spans="1:68" ht="14.25" customHeight="1" x14ac:dyDescent="0.25">
      <c r="A328" s="570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0"/>
      <c r="R331" s="560"/>
      <c r="S331" s="560"/>
      <c r="T331" s="561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0"/>
      <c r="R332" s="560"/>
      <c r="S332" s="560"/>
      <c r="T332" s="561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582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83"/>
      <c r="P333" s="573" t="s">
        <v>75</v>
      </c>
      <c r="Q333" s="574"/>
      <c r="R333" s="574"/>
      <c r="S333" s="574"/>
      <c r="T333" s="574"/>
      <c r="U333" s="574"/>
      <c r="V333" s="575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83"/>
      <c r="P334" s="573" t="s">
        <v>75</v>
      </c>
      <c r="Q334" s="574"/>
      <c r="R334" s="574"/>
      <c r="S334" s="574"/>
      <c r="T334" s="574"/>
      <c r="U334" s="574"/>
      <c r="V334" s="575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customHeight="1" x14ac:dyDescent="0.25">
      <c r="A335" s="570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0"/>
      <c r="R336" s="560"/>
      <c r="S336" s="560"/>
      <c r="T336" s="561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4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0"/>
      <c r="R337" s="560"/>
      <c r="S337" s="560"/>
      <c r="T337" s="561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0"/>
      <c r="R338" s="560"/>
      <c r="S338" s="560"/>
      <c r="T338" s="561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82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83"/>
      <c r="P339" s="573" t="s">
        <v>75</v>
      </c>
      <c r="Q339" s="574"/>
      <c r="R339" s="574"/>
      <c r="S339" s="574"/>
      <c r="T339" s="574"/>
      <c r="U339" s="574"/>
      <c r="V339" s="575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83"/>
      <c r="P340" s="573" t="s">
        <v>75</v>
      </c>
      <c r="Q340" s="574"/>
      <c r="R340" s="574"/>
      <c r="S340" s="574"/>
      <c r="T340" s="574"/>
      <c r="U340" s="574"/>
      <c r="V340" s="575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customHeight="1" x14ac:dyDescent="0.25">
      <c r="A341" s="568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0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0"/>
      <c r="R343" s="560"/>
      <c r="S343" s="560"/>
      <c r="T343" s="561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0"/>
      <c r="R344" s="560"/>
      <c r="S344" s="560"/>
      <c r="T344" s="561"/>
      <c r="U344" s="34"/>
      <c r="V344" s="34"/>
      <c r="W344" s="35" t="s">
        <v>69</v>
      </c>
      <c r="X344" s="555">
        <v>168</v>
      </c>
      <c r="Y344" s="556">
        <f>IFERROR(IF(X344="",0,CEILING((X344/$H344),1)*$H344),"")</f>
        <v>168</v>
      </c>
      <c r="Z344" s="36">
        <f>IFERROR(IF(Y344=0,"",ROUNDUP(Y344/H344,0)*0.00651),"")</f>
        <v>0.52080000000000004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188.15999999999997</v>
      </c>
      <c r="BN344" s="64">
        <f>IFERROR(Y344*I344/H344,"0")</f>
        <v>188.15999999999997</v>
      </c>
      <c r="BO344" s="64">
        <f>IFERROR(1/J344*(X344/H344),"0")</f>
        <v>0.43956043956043961</v>
      </c>
      <c r="BP344" s="64">
        <f>IFERROR(1/J344*(Y344/H344),"0")</f>
        <v>0.43956043956043961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0"/>
      <c r="R345" s="560"/>
      <c r="S345" s="560"/>
      <c r="T345" s="561"/>
      <c r="U345" s="34"/>
      <c r="V345" s="34"/>
      <c r="W345" s="35" t="s">
        <v>69</v>
      </c>
      <c r="X345" s="555">
        <v>63</v>
      </c>
      <c r="Y345" s="556">
        <f>IFERROR(IF(X345="",0,CEILING((X345/$H345),1)*$H345),"")</f>
        <v>63</v>
      </c>
      <c r="Z345" s="36">
        <f>IFERROR(IF(Y345=0,"",ROUNDUP(Y345/H345,0)*0.00651),"")</f>
        <v>0.1953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70.199999999999989</v>
      </c>
      <c r="BN345" s="64">
        <f>IFERROR(Y345*I345/H345,"0")</f>
        <v>70.199999999999989</v>
      </c>
      <c r="BO345" s="64">
        <f>IFERROR(1/J345*(X345/H345),"0")</f>
        <v>0.16483516483516486</v>
      </c>
      <c r="BP345" s="64">
        <f>IFERROR(1/J345*(Y345/H345),"0")</f>
        <v>0.16483516483516486</v>
      </c>
    </row>
    <row r="346" spans="1:68" x14ac:dyDescent="0.2">
      <c r="A346" s="582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83"/>
      <c r="P346" s="573" t="s">
        <v>75</v>
      </c>
      <c r="Q346" s="574"/>
      <c r="R346" s="574"/>
      <c r="S346" s="574"/>
      <c r="T346" s="574"/>
      <c r="U346" s="574"/>
      <c r="V346" s="575"/>
      <c r="W346" s="37" t="s">
        <v>76</v>
      </c>
      <c r="X346" s="557">
        <f>IFERROR(X343/H343,"0")+IFERROR(X344/H344,"0")+IFERROR(X345/H345,"0")</f>
        <v>110</v>
      </c>
      <c r="Y346" s="557">
        <f>IFERROR(Y343/H343,"0")+IFERROR(Y344/H344,"0")+IFERROR(Y345/H345,"0")</f>
        <v>110</v>
      </c>
      <c r="Z346" s="557">
        <f>IFERROR(IF(Z343="",0,Z343),"0")+IFERROR(IF(Z344="",0,Z344),"0")+IFERROR(IF(Z345="",0,Z345),"0")</f>
        <v>0.71610000000000007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83"/>
      <c r="P347" s="573" t="s">
        <v>75</v>
      </c>
      <c r="Q347" s="574"/>
      <c r="R347" s="574"/>
      <c r="S347" s="574"/>
      <c r="T347" s="574"/>
      <c r="U347" s="574"/>
      <c r="V347" s="575"/>
      <c r="W347" s="37" t="s">
        <v>69</v>
      </c>
      <c r="X347" s="557">
        <f>IFERROR(SUM(X343:X345),"0")</f>
        <v>231</v>
      </c>
      <c r="Y347" s="557">
        <f>IFERROR(SUM(Y343:Y345),"0")</f>
        <v>231</v>
      </c>
      <c r="Z347" s="37"/>
      <c r="AA347" s="558"/>
      <c r="AB347" s="558"/>
      <c r="AC347" s="558"/>
    </row>
    <row r="348" spans="1:68" ht="27.75" customHeight="1" x14ac:dyDescent="0.2">
      <c r="A348" s="727" t="s">
        <v>562</v>
      </c>
      <c r="B348" s="728"/>
      <c r="C348" s="728"/>
      <c r="D348" s="728"/>
      <c r="E348" s="728"/>
      <c r="F348" s="728"/>
      <c r="G348" s="728"/>
      <c r="H348" s="728"/>
      <c r="I348" s="728"/>
      <c r="J348" s="728"/>
      <c r="K348" s="728"/>
      <c r="L348" s="728"/>
      <c r="M348" s="728"/>
      <c r="N348" s="728"/>
      <c r="O348" s="728"/>
      <c r="P348" s="728"/>
      <c r="Q348" s="728"/>
      <c r="R348" s="728"/>
      <c r="S348" s="728"/>
      <c r="T348" s="728"/>
      <c r="U348" s="728"/>
      <c r="V348" s="728"/>
      <c r="W348" s="728"/>
      <c r="X348" s="728"/>
      <c r="Y348" s="728"/>
      <c r="Z348" s="728"/>
      <c r="AA348" s="48"/>
      <c r="AB348" s="48"/>
      <c r="AC348" s="48"/>
    </row>
    <row r="349" spans="1:68" ht="16.5" customHeight="1" x14ac:dyDescent="0.25">
      <c r="A349" s="568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0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55">
        <v>0</v>
      </c>
      <c r="Y351" s="556">
        <f t="shared" ref="Y351:Y357" si="41">IFERROR(IF(X351="",0,CEILING((X351/$H351),1)*$H351),"")</f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0</v>
      </c>
      <c r="BN351" s="64">
        <f t="shared" ref="BN351:BN357" si="43">IFERROR(Y351*I351/H351,"0")</f>
        <v>0</v>
      </c>
      <c r="BO351" s="64">
        <f t="shared" ref="BO351:BO357" si="44">IFERROR(1/J351*(X351/H351),"0")</f>
        <v>0</v>
      </c>
      <c r="BP351" s="64">
        <f t="shared" ref="BP351:BP357" si="45">IFERROR(1/J351*(Y351/H351),"0")</f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7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55">
        <v>0</v>
      </c>
      <c r="Y352" s="556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2">
        <v>4680115884830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0"/>
      <c r="R353" s="560"/>
      <c r="S353" s="560"/>
      <c r="T353" s="561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4301012215</v>
      </c>
      <c r="D354" s="562">
        <v>4680115887046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0"/>
      <c r="R356" s="560"/>
      <c r="S356" s="560"/>
      <c r="T356" s="561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0"/>
      <c r="R357" s="560"/>
      <c r="S357" s="560"/>
      <c r="T357" s="561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82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83"/>
      <c r="P358" s="573" t="s">
        <v>75</v>
      </c>
      <c r="Q358" s="574"/>
      <c r="R358" s="574"/>
      <c r="S358" s="574"/>
      <c r="T358" s="574"/>
      <c r="U358" s="574"/>
      <c r="V358" s="575"/>
      <c r="W358" s="37" t="s">
        <v>76</v>
      </c>
      <c r="X358" s="557">
        <f>IFERROR(X351/H351,"0")+IFERROR(X352/H352,"0")+IFERROR(X353/H353,"0")+IFERROR(X354/H354,"0")+IFERROR(X355/H355,"0")+IFERROR(X356/H356,"0")+IFERROR(X357/H357,"0")</f>
        <v>0</v>
      </c>
      <c r="Y358" s="557">
        <f>IFERROR(Y351/H351,"0")+IFERROR(Y352/H352,"0")+IFERROR(Y353/H353,"0")+IFERROR(Y354/H354,"0")+IFERROR(Y355/H355,"0")+IFERROR(Y356/H356,"0")+IFERROR(Y357/H357,"0")</f>
        <v>0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0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83"/>
      <c r="P359" s="573" t="s">
        <v>75</v>
      </c>
      <c r="Q359" s="574"/>
      <c r="R359" s="574"/>
      <c r="S359" s="574"/>
      <c r="T359" s="574"/>
      <c r="U359" s="574"/>
      <c r="V359" s="575"/>
      <c r="W359" s="37" t="s">
        <v>69</v>
      </c>
      <c r="X359" s="557">
        <f>IFERROR(SUM(X351:X357),"0")</f>
        <v>0</v>
      </c>
      <c r="Y359" s="557">
        <f>IFERROR(SUM(Y351:Y357),"0")</f>
        <v>0</v>
      </c>
      <c r="Z359" s="37"/>
      <c r="AA359" s="558"/>
      <c r="AB359" s="558"/>
      <c r="AC359" s="558"/>
    </row>
    <row r="360" spans="1:68" ht="14.25" customHeight="1" x14ac:dyDescent="0.25">
      <c r="A360" s="570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0"/>
      <c r="R361" s="560"/>
      <c r="S361" s="560"/>
      <c r="T361" s="561"/>
      <c r="U361" s="34"/>
      <c r="V361" s="34"/>
      <c r="W361" s="35" t="s">
        <v>69</v>
      </c>
      <c r="X361" s="555">
        <v>0</v>
      </c>
      <c r="Y361" s="556">
        <f>IFERROR(IF(X361="",0,CEILING((X361/$H361),1)*$H361),"")</f>
        <v>0</v>
      </c>
      <c r="Z361" s="36" t="str">
        <f>IFERROR(IF(Y361=0,"",ROUNDUP(Y361/H361,0)*0.02175),"")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0"/>
      <c r="R362" s="560"/>
      <c r="S362" s="560"/>
      <c r="T362" s="561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82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83"/>
      <c r="P363" s="573" t="s">
        <v>75</v>
      </c>
      <c r="Q363" s="574"/>
      <c r="R363" s="574"/>
      <c r="S363" s="574"/>
      <c r="T363" s="574"/>
      <c r="U363" s="574"/>
      <c r="V363" s="575"/>
      <c r="W363" s="37" t="s">
        <v>76</v>
      </c>
      <c r="X363" s="557">
        <f>IFERROR(X361/H361,"0")+IFERROR(X362/H362,"0")</f>
        <v>0</v>
      </c>
      <c r="Y363" s="557">
        <f>IFERROR(Y361/H361,"0")+IFERROR(Y362/H362,"0")</f>
        <v>0</v>
      </c>
      <c r="Z363" s="557">
        <f>IFERROR(IF(Z361="",0,Z361),"0")+IFERROR(IF(Z362="",0,Z362),"0")</f>
        <v>0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83"/>
      <c r="P364" s="573" t="s">
        <v>75</v>
      </c>
      <c r="Q364" s="574"/>
      <c r="R364" s="574"/>
      <c r="S364" s="574"/>
      <c r="T364" s="574"/>
      <c r="U364" s="574"/>
      <c r="V364" s="575"/>
      <c r="W364" s="37" t="s">
        <v>69</v>
      </c>
      <c r="X364" s="557">
        <f>IFERROR(SUM(X361:X362),"0")</f>
        <v>0</v>
      </c>
      <c r="Y364" s="557">
        <f>IFERROR(SUM(Y361:Y362),"0")</f>
        <v>0</v>
      </c>
      <c r="Z364" s="37"/>
      <c r="AA364" s="558"/>
      <c r="AB364" s="558"/>
      <c r="AC364" s="558"/>
    </row>
    <row r="365" spans="1:68" ht="14.25" customHeight="1" x14ac:dyDescent="0.25">
      <c r="A365" s="570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6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0"/>
      <c r="R366" s="560"/>
      <c r="S366" s="560"/>
      <c r="T366" s="561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0"/>
      <c r="R367" s="560"/>
      <c r="S367" s="560"/>
      <c r="T367" s="561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82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83"/>
      <c r="P368" s="573" t="s">
        <v>75</v>
      </c>
      <c r="Q368" s="574"/>
      <c r="R368" s="574"/>
      <c r="S368" s="574"/>
      <c r="T368" s="574"/>
      <c r="U368" s="574"/>
      <c r="V368" s="575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83"/>
      <c r="P369" s="573" t="s">
        <v>75</v>
      </c>
      <c r="Q369" s="574"/>
      <c r="R369" s="574"/>
      <c r="S369" s="574"/>
      <c r="T369" s="574"/>
      <c r="U369" s="574"/>
      <c r="V369" s="575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customHeight="1" x14ac:dyDescent="0.25">
      <c r="A370" s="570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0"/>
      <c r="R371" s="560"/>
      <c r="S371" s="560"/>
      <c r="T371" s="561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82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83"/>
      <c r="P372" s="573" t="s">
        <v>75</v>
      </c>
      <c r="Q372" s="574"/>
      <c r="R372" s="574"/>
      <c r="S372" s="574"/>
      <c r="T372" s="574"/>
      <c r="U372" s="574"/>
      <c r="V372" s="575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83"/>
      <c r="P373" s="573" t="s">
        <v>75</v>
      </c>
      <c r="Q373" s="574"/>
      <c r="R373" s="574"/>
      <c r="S373" s="574"/>
      <c r="T373" s="574"/>
      <c r="U373" s="574"/>
      <c r="V373" s="575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68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0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0"/>
      <c r="R376" s="560"/>
      <c r="S376" s="560"/>
      <c r="T376" s="561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0"/>
      <c r="R377" s="560"/>
      <c r="S377" s="560"/>
      <c r="T377" s="561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82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83"/>
      <c r="P378" s="573" t="s">
        <v>75</v>
      </c>
      <c r="Q378" s="574"/>
      <c r="R378" s="574"/>
      <c r="S378" s="574"/>
      <c r="T378" s="574"/>
      <c r="U378" s="574"/>
      <c r="V378" s="575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83"/>
      <c r="P379" s="573" t="s">
        <v>75</v>
      </c>
      <c r="Q379" s="574"/>
      <c r="R379" s="574"/>
      <c r="S379" s="574"/>
      <c r="T379" s="574"/>
      <c r="U379" s="574"/>
      <c r="V379" s="575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customHeight="1" x14ac:dyDescent="0.25">
      <c r="A380" s="570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4301031303</v>
      </c>
      <c r="D381" s="562">
        <v>4607091384802</v>
      </c>
      <c r="E381" s="563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0"/>
      <c r="R381" s="560"/>
      <c r="S381" s="560"/>
      <c r="T381" s="561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4301031457</v>
      </c>
      <c r="D382" s="562">
        <v>4607091384802</v>
      </c>
      <c r="E382" s="563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0"/>
      <c r="R382" s="560"/>
      <c r="S382" s="560"/>
      <c r="T382" s="561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82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83"/>
      <c r="P383" s="573" t="s">
        <v>75</v>
      </c>
      <c r="Q383" s="574"/>
      <c r="R383" s="574"/>
      <c r="S383" s="574"/>
      <c r="T383" s="574"/>
      <c r="U383" s="574"/>
      <c r="V383" s="575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83"/>
      <c r="P384" s="573" t="s">
        <v>75</v>
      </c>
      <c r="Q384" s="574"/>
      <c r="R384" s="574"/>
      <c r="S384" s="574"/>
      <c r="T384" s="574"/>
      <c r="U384" s="574"/>
      <c r="V384" s="575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0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55">
        <v>4000</v>
      </c>
      <c r="Y386" s="556">
        <f>IFERROR(IF(X386="",0,CEILING((X386/$H386),1)*$H386),"")</f>
        <v>4005</v>
      </c>
      <c r="Z386" s="36">
        <f>IFERROR(IF(Y386=0,"",ROUNDUP(Y386/H386,0)*0.01898),"")</f>
        <v>8.4460999999999995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4219.5555555555557</v>
      </c>
      <c r="BN386" s="64">
        <f>IFERROR(Y386*I386/H386,"0")</f>
        <v>4224.83</v>
      </c>
      <c r="BO386" s="64">
        <f>IFERROR(1/J386*(X386/H386),"0")</f>
        <v>6.9444444444444446</v>
      </c>
      <c r="BP386" s="64">
        <f>IFERROR(1/J386*(Y386/H386),"0")</f>
        <v>6.953125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0"/>
      <c r="R387" s="560"/>
      <c r="S387" s="560"/>
      <c r="T387" s="561"/>
      <c r="U387" s="34"/>
      <c r="V387" s="34"/>
      <c r="W387" s="35" t="s">
        <v>69</v>
      </c>
      <c r="X387" s="555">
        <v>80</v>
      </c>
      <c r="Y387" s="556">
        <f>IFERROR(IF(X387="",0,CEILING((X387/$H387),1)*$H387),"")</f>
        <v>81.599999999999994</v>
      </c>
      <c r="Z387" s="36">
        <f>IFERROR(IF(Y387=0,"",ROUNDUP(Y387/H387,0)*0.00651),"")</f>
        <v>0.22134000000000001</v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88.800000000000011</v>
      </c>
      <c r="BN387" s="64">
        <f>IFERROR(Y387*I387/H387,"0")</f>
        <v>90.575999999999993</v>
      </c>
      <c r="BO387" s="64">
        <f>IFERROR(1/J387*(X387/H387),"0")</f>
        <v>0.18315018315018317</v>
      </c>
      <c r="BP387" s="64">
        <f>IFERROR(1/J387*(Y387/H387),"0")</f>
        <v>0.18681318681318682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0"/>
      <c r="R388" s="560"/>
      <c r="S388" s="560"/>
      <c r="T388" s="561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82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83"/>
      <c r="P389" s="573" t="s">
        <v>75</v>
      </c>
      <c r="Q389" s="574"/>
      <c r="R389" s="574"/>
      <c r="S389" s="574"/>
      <c r="T389" s="574"/>
      <c r="U389" s="574"/>
      <c r="V389" s="575"/>
      <c r="W389" s="37" t="s">
        <v>76</v>
      </c>
      <c r="X389" s="557">
        <f>IFERROR(X386/H386,"0")+IFERROR(X387/H387,"0")+IFERROR(X388/H388,"0")</f>
        <v>477.77777777777777</v>
      </c>
      <c r="Y389" s="557">
        <f>IFERROR(Y386/H386,"0")+IFERROR(Y387/H387,"0")+IFERROR(Y388/H388,"0")</f>
        <v>479</v>
      </c>
      <c r="Z389" s="557">
        <f>IFERROR(IF(Z386="",0,Z386),"0")+IFERROR(IF(Z387="",0,Z387),"0")+IFERROR(IF(Z388="",0,Z388),"0")</f>
        <v>8.6674399999999991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83"/>
      <c r="P390" s="573" t="s">
        <v>75</v>
      </c>
      <c r="Q390" s="574"/>
      <c r="R390" s="574"/>
      <c r="S390" s="574"/>
      <c r="T390" s="574"/>
      <c r="U390" s="574"/>
      <c r="V390" s="575"/>
      <c r="W390" s="37" t="s">
        <v>69</v>
      </c>
      <c r="X390" s="557">
        <f>IFERROR(SUM(X386:X388),"0")</f>
        <v>4080</v>
      </c>
      <c r="Y390" s="557">
        <f>IFERROR(SUM(Y386:Y388),"0")</f>
        <v>4086.6</v>
      </c>
      <c r="Z390" s="37"/>
      <c r="AA390" s="558"/>
      <c r="AB390" s="558"/>
      <c r="AC390" s="558"/>
    </row>
    <row r="391" spans="1:68" ht="27.75" customHeight="1" x14ac:dyDescent="0.2">
      <c r="A391" s="727" t="s">
        <v>616</v>
      </c>
      <c r="B391" s="728"/>
      <c r="C391" s="728"/>
      <c r="D391" s="728"/>
      <c r="E391" s="728"/>
      <c r="F391" s="728"/>
      <c r="G391" s="728"/>
      <c r="H391" s="728"/>
      <c r="I391" s="728"/>
      <c r="J391" s="728"/>
      <c r="K391" s="728"/>
      <c r="L391" s="728"/>
      <c r="M391" s="728"/>
      <c r="N391" s="728"/>
      <c r="O391" s="728"/>
      <c r="P391" s="728"/>
      <c r="Q391" s="728"/>
      <c r="R391" s="728"/>
      <c r="S391" s="728"/>
      <c r="T391" s="728"/>
      <c r="U391" s="728"/>
      <c r="V391" s="728"/>
      <c r="W391" s="728"/>
      <c r="X391" s="728"/>
      <c r="Y391" s="728"/>
      <c r="Z391" s="728"/>
      <c r="AA391" s="48"/>
      <c r="AB391" s="48"/>
      <c r="AC391" s="48"/>
    </row>
    <row r="392" spans="1:68" ht="16.5" customHeight="1" x14ac:dyDescent="0.25">
      <c r="A392" s="568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0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0"/>
      <c r="R396" s="560"/>
      <c r="S396" s="560"/>
      <c r="T396" s="561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0"/>
      <c r="R397" s="560"/>
      <c r="S397" s="560"/>
      <c r="T397" s="561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0"/>
      <c r="R398" s="560"/>
      <c r="S398" s="560"/>
      <c r="T398" s="561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0"/>
      <c r="R400" s="560"/>
      <c r="S400" s="560"/>
      <c r="T400" s="561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0"/>
      <c r="R401" s="560"/>
      <c r="S401" s="560"/>
      <c r="T401" s="561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0"/>
      <c r="R402" s="560"/>
      <c r="S402" s="560"/>
      <c r="T402" s="561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82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83"/>
      <c r="P403" s="573" t="s">
        <v>75</v>
      </c>
      <c r="Q403" s="574"/>
      <c r="R403" s="574"/>
      <c r="S403" s="574"/>
      <c r="T403" s="574"/>
      <c r="U403" s="574"/>
      <c r="V403" s="575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83"/>
      <c r="P404" s="573" t="s">
        <v>75</v>
      </c>
      <c r="Q404" s="574"/>
      <c r="R404" s="574"/>
      <c r="S404" s="574"/>
      <c r="T404" s="574"/>
      <c r="U404" s="574"/>
      <c r="V404" s="575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customHeight="1" x14ac:dyDescent="0.25">
      <c r="A405" s="570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0"/>
      <c r="R406" s="560"/>
      <c r="S406" s="560"/>
      <c r="T406" s="561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3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0"/>
      <c r="R407" s="560"/>
      <c r="S407" s="560"/>
      <c r="T407" s="561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82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83"/>
      <c r="P408" s="573" t="s">
        <v>75</v>
      </c>
      <c r="Q408" s="574"/>
      <c r="R408" s="574"/>
      <c r="S408" s="574"/>
      <c r="T408" s="574"/>
      <c r="U408" s="574"/>
      <c r="V408" s="575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83"/>
      <c r="P409" s="573" t="s">
        <v>75</v>
      </c>
      <c r="Q409" s="574"/>
      <c r="R409" s="574"/>
      <c r="S409" s="574"/>
      <c r="T409" s="574"/>
      <c r="U409" s="574"/>
      <c r="V409" s="575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68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0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0"/>
      <c r="R412" s="560"/>
      <c r="S412" s="560"/>
      <c r="T412" s="561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82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83"/>
      <c r="P413" s="573" t="s">
        <v>75</v>
      </c>
      <c r="Q413" s="574"/>
      <c r="R413" s="574"/>
      <c r="S413" s="574"/>
      <c r="T413" s="574"/>
      <c r="U413" s="574"/>
      <c r="V413" s="575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83"/>
      <c r="P414" s="573" t="s">
        <v>75</v>
      </c>
      <c r="Q414" s="574"/>
      <c r="R414" s="574"/>
      <c r="S414" s="574"/>
      <c r="T414" s="574"/>
      <c r="U414" s="574"/>
      <c r="V414" s="575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0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0"/>
      <c r="R416" s="560"/>
      <c r="S416" s="560"/>
      <c r="T416" s="561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0"/>
      <c r="R417" s="560"/>
      <c r="S417" s="560"/>
      <c r="T417" s="561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0"/>
      <c r="R418" s="560"/>
      <c r="S418" s="560"/>
      <c r="T418" s="561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1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0"/>
      <c r="R419" s="560"/>
      <c r="S419" s="560"/>
      <c r="T419" s="561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82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83"/>
      <c r="P420" s="573" t="s">
        <v>75</v>
      </c>
      <c r="Q420" s="574"/>
      <c r="R420" s="574"/>
      <c r="S420" s="574"/>
      <c r="T420" s="574"/>
      <c r="U420" s="574"/>
      <c r="V420" s="575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83"/>
      <c r="P421" s="573" t="s">
        <v>75</v>
      </c>
      <c r="Q421" s="574"/>
      <c r="R421" s="574"/>
      <c r="S421" s="574"/>
      <c r="T421" s="574"/>
      <c r="U421" s="574"/>
      <c r="V421" s="575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customHeight="1" x14ac:dyDescent="0.25">
      <c r="A422" s="568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0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0"/>
      <c r="R424" s="560"/>
      <c r="S424" s="560"/>
      <c r="T424" s="561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82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83"/>
      <c r="P425" s="573" t="s">
        <v>75</v>
      </c>
      <c r="Q425" s="574"/>
      <c r="R425" s="574"/>
      <c r="S425" s="574"/>
      <c r="T425" s="574"/>
      <c r="U425" s="574"/>
      <c r="V425" s="575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83"/>
      <c r="P426" s="573" t="s">
        <v>75</v>
      </c>
      <c r="Q426" s="574"/>
      <c r="R426" s="574"/>
      <c r="S426" s="574"/>
      <c r="T426" s="574"/>
      <c r="U426" s="574"/>
      <c r="V426" s="575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727" t="s">
        <v>667</v>
      </c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8"/>
      <c r="P427" s="728"/>
      <c r="Q427" s="728"/>
      <c r="R427" s="728"/>
      <c r="S427" s="728"/>
      <c r="T427" s="728"/>
      <c r="U427" s="728"/>
      <c r="V427" s="728"/>
      <c r="W427" s="728"/>
      <c r="X427" s="728"/>
      <c r="Y427" s="728"/>
      <c r="Z427" s="728"/>
      <c r="AA427" s="48"/>
      <c r="AB427" s="48"/>
      <c r="AC427" s="48"/>
    </row>
    <row r="428" spans="1:68" ht="16.5" customHeight="1" x14ac:dyDescent="0.25">
      <c r="A428" s="568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0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0"/>
      <c r="R430" s="560"/>
      <c r="S430" s="560"/>
      <c r="T430" s="561"/>
      <c r="U430" s="34"/>
      <c r="V430" s="34"/>
      <c r="W430" s="35" t="s">
        <v>69</v>
      </c>
      <c r="X430" s="555">
        <v>200</v>
      </c>
      <c r="Y430" s="556">
        <f t="shared" ref="Y430:Y441" si="52">IFERROR(IF(X430="",0,CEILING((X430/$H430),1)*$H430),"")</f>
        <v>200.64000000000001</v>
      </c>
      <c r="Z430" s="36">
        <f t="shared" ref="Z430:Z436" si="53">IFERROR(IF(Y430=0,"",ROUNDUP(Y430/H430,0)*0.01196),"")</f>
        <v>0.45448</v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213.25757575757575</v>
      </c>
      <c r="BN430" s="64">
        <f t="shared" ref="BN430:BN441" si="55">IFERROR(Y430*I430/H430,"0")</f>
        <v>213.94</v>
      </c>
      <c r="BO430" s="64">
        <f t="shared" ref="BO430:BO441" si="56">IFERROR(1/J430*(X430/H430),"0")</f>
        <v>0.36421911421911418</v>
      </c>
      <c r="BP430" s="64">
        <f t="shared" ref="BP430:BP441" si="57">IFERROR(1/J430*(Y430/H430),"0")</f>
        <v>0.36538461538461542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0"/>
      <c r="R431" s="560"/>
      <c r="S431" s="560"/>
      <c r="T431" s="561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9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0"/>
      <c r="R432" s="560"/>
      <c r="S432" s="560"/>
      <c r="T432" s="561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55">
        <v>350</v>
      </c>
      <c r="Y433" s="556">
        <f t="shared" si="52"/>
        <v>353.76</v>
      </c>
      <c r="Z433" s="36">
        <f t="shared" si="53"/>
        <v>0.80132000000000003</v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373.20075757575756</v>
      </c>
      <c r="BN433" s="64">
        <f t="shared" si="55"/>
        <v>377.21</v>
      </c>
      <c r="BO433" s="64">
        <f t="shared" si="56"/>
        <v>0.63738344988344986</v>
      </c>
      <c r="BP433" s="64">
        <f t="shared" si="57"/>
        <v>0.64423076923076927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55">
        <v>3000</v>
      </c>
      <c r="Y434" s="556">
        <f t="shared" si="52"/>
        <v>3004.32</v>
      </c>
      <c r="Z434" s="36">
        <f t="shared" si="53"/>
        <v>6.8052400000000004</v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3198.863636363636</v>
      </c>
      <c r="BN434" s="64">
        <f t="shared" si="55"/>
        <v>3203.47</v>
      </c>
      <c r="BO434" s="64">
        <f t="shared" si="56"/>
        <v>5.4632867132867133</v>
      </c>
      <c r="BP434" s="64">
        <f t="shared" si="57"/>
        <v>5.4711538461538467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0"/>
      <c r="R435" s="560"/>
      <c r="S435" s="560"/>
      <c r="T435" s="561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55">
        <v>1000</v>
      </c>
      <c r="Y436" s="556">
        <f t="shared" si="52"/>
        <v>1003.2</v>
      </c>
      <c r="Z436" s="36">
        <f t="shared" si="53"/>
        <v>2.2724000000000002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1066.2878787878788</v>
      </c>
      <c r="BN436" s="64">
        <f t="shared" si="55"/>
        <v>1069.7</v>
      </c>
      <c r="BO436" s="64">
        <f t="shared" si="56"/>
        <v>1.821095571095571</v>
      </c>
      <c r="BP436" s="64">
        <f t="shared" si="57"/>
        <v>1.8269230769230771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5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0"/>
      <c r="R437" s="560"/>
      <c r="S437" s="560"/>
      <c r="T437" s="561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0"/>
      <c r="R440" s="560"/>
      <c r="S440" s="560"/>
      <c r="T440" s="561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0"/>
      <c r="R441" s="560"/>
      <c r="S441" s="560"/>
      <c r="T441" s="561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82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83"/>
      <c r="P442" s="573" t="s">
        <v>75</v>
      </c>
      <c r="Q442" s="574"/>
      <c r="R442" s="574"/>
      <c r="S442" s="574"/>
      <c r="T442" s="574"/>
      <c r="U442" s="574"/>
      <c r="V442" s="575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861.74242424242414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864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10.33344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83"/>
      <c r="P443" s="573" t="s">
        <v>75</v>
      </c>
      <c r="Q443" s="574"/>
      <c r="R443" s="574"/>
      <c r="S443" s="574"/>
      <c r="T443" s="574"/>
      <c r="U443" s="574"/>
      <c r="V443" s="575"/>
      <c r="W443" s="37" t="s">
        <v>69</v>
      </c>
      <c r="X443" s="557">
        <f>IFERROR(SUM(X430:X441),"0")</f>
        <v>4550</v>
      </c>
      <c r="Y443" s="557">
        <f>IFERROR(SUM(Y430:Y441),"0")</f>
        <v>4561.92</v>
      </c>
      <c r="Z443" s="37"/>
      <c r="AA443" s="558"/>
      <c r="AB443" s="558"/>
      <c r="AC443" s="558"/>
    </row>
    <row r="444" spans="1:68" ht="14.25" customHeight="1" x14ac:dyDescent="0.25">
      <c r="A444" s="570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6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0"/>
      <c r="R445" s="560"/>
      <c r="S445" s="560"/>
      <c r="T445" s="561"/>
      <c r="U445" s="34"/>
      <c r="V445" s="34"/>
      <c r="W445" s="35" t="s">
        <v>69</v>
      </c>
      <c r="X445" s="555">
        <v>1000</v>
      </c>
      <c r="Y445" s="556">
        <f>IFERROR(IF(X445="",0,CEILING((X445/$H445),1)*$H445),"")</f>
        <v>1003.2</v>
      </c>
      <c r="Z445" s="36">
        <f>IFERROR(IF(Y445=0,"",ROUNDUP(Y445/H445,0)*0.01196),"")</f>
        <v>2.2724000000000002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1066.2878787878788</v>
      </c>
      <c r="BN445" s="64">
        <f>IFERROR(Y445*I445/H445,"0")</f>
        <v>1069.7</v>
      </c>
      <c r="BO445" s="64">
        <f>IFERROR(1/J445*(X445/H445),"0")</f>
        <v>1.821095571095571</v>
      </c>
      <c r="BP445" s="64">
        <f>IFERROR(1/J445*(Y445/H445),"0")</f>
        <v>1.8269230769230771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0"/>
      <c r="R446" s="560"/>
      <c r="S446" s="560"/>
      <c r="T446" s="561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0"/>
      <c r="R447" s="560"/>
      <c r="S447" s="560"/>
      <c r="T447" s="561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82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83"/>
      <c r="P448" s="573" t="s">
        <v>75</v>
      </c>
      <c r="Q448" s="574"/>
      <c r="R448" s="574"/>
      <c r="S448" s="574"/>
      <c r="T448" s="574"/>
      <c r="U448" s="574"/>
      <c r="V448" s="575"/>
      <c r="W448" s="37" t="s">
        <v>76</v>
      </c>
      <c r="X448" s="557">
        <f>IFERROR(X445/H445,"0")+IFERROR(X446/H446,"0")+IFERROR(X447/H447,"0")</f>
        <v>189.39393939393938</v>
      </c>
      <c r="Y448" s="557">
        <f>IFERROR(Y445/H445,"0")+IFERROR(Y446/H446,"0")+IFERROR(Y447/H447,"0")</f>
        <v>190</v>
      </c>
      <c r="Z448" s="557">
        <f>IFERROR(IF(Z445="",0,Z445),"0")+IFERROR(IF(Z446="",0,Z446),"0")+IFERROR(IF(Z447="",0,Z447),"0")</f>
        <v>2.2724000000000002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83"/>
      <c r="P449" s="573" t="s">
        <v>75</v>
      </c>
      <c r="Q449" s="574"/>
      <c r="R449" s="574"/>
      <c r="S449" s="574"/>
      <c r="T449" s="574"/>
      <c r="U449" s="574"/>
      <c r="V449" s="575"/>
      <c r="W449" s="37" t="s">
        <v>69</v>
      </c>
      <c r="X449" s="557">
        <f>IFERROR(SUM(X445:X447),"0")</f>
        <v>1000</v>
      </c>
      <c r="Y449" s="557">
        <f>IFERROR(SUM(Y445:Y447),"0")</f>
        <v>1003.2</v>
      </c>
      <c r="Z449" s="37"/>
      <c r="AA449" s="558"/>
      <c r="AB449" s="558"/>
      <c r="AC449" s="558"/>
    </row>
    <row r="450" spans="1:68" ht="14.25" customHeight="1" x14ac:dyDescent="0.25">
      <c r="A450" s="570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55">
        <v>200</v>
      </c>
      <c r="Y451" s="556">
        <f t="shared" ref="Y451:Y456" si="58">IFERROR(IF(X451="",0,CEILING((X451/$H451),1)*$H451),"")</f>
        <v>200.64000000000001</v>
      </c>
      <c r="Z451" s="36">
        <f>IFERROR(IF(Y451=0,"",ROUNDUP(Y451/H451,0)*0.01196),"")</f>
        <v>0.45448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213.25757575757575</v>
      </c>
      <c r="BN451" s="64">
        <f t="shared" ref="BN451:BN456" si="60">IFERROR(Y451*I451/H451,"0")</f>
        <v>213.94</v>
      </c>
      <c r="BO451" s="64">
        <f t="shared" ref="BO451:BO456" si="61">IFERROR(1/J451*(X451/H451),"0")</f>
        <v>0.36421911421911418</v>
      </c>
      <c r="BP451" s="64">
        <f t="shared" ref="BP451:BP456" si="62">IFERROR(1/J451*(Y451/H451),"0")</f>
        <v>0.36538461538461542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55">
        <v>500</v>
      </c>
      <c r="Y452" s="556">
        <f t="shared" si="58"/>
        <v>501.6</v>
      </c>
      <c r="Z452" s="36">
        <f>IFERROR(IF(Y452=0,"",ROUNDUP(Y452/H452,0)*0.01196),"")</f>
        <v>1.1362000000000001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533.14393939393938</v>
      </c>
      <c r="BN452" s="64">
        <f t="shared" si="60"/>
        <v>534.85</v>
      </c>
      <c r="BO452" s="64">
        <f t="shared" si="61"/>
        <v>0.91054778554778548</v>
      </c>
      <c r="BP452" s="64">
        <f t="shared" si="62"/>
        <v>0.91346153846153855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0"/>
      <c r="R453" s="560"/>
      <c r="S453" s="560"/>
      <c r="T453" s="561"/>
      <c r="U453" s="34"/>
      <c r="V453" s="34"/>
      <c r="W453" s="35" t="s">
        <v>69</v>
      </c>
      <c r="X453" s="555">
        <v>700</v>
      </c>
      <c r="Y453" s="556">
        <f t="shared" si="58"/>
        <v>702.24</v>
      </c>
      <c r="Z453" s="36">
        <f>IFERROR(IF(Y453=0,"",ROUNDUP(Y453/H453,0)*0.01196),"")</f>
        <v>1.5906800000000001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746.40151515151513</v>
      </c>
      <c r="BN453" s="64">
        <f t="shared" si="60"/>
        <v>748.79</v>
      </c>
      <c r="BO453" s="64">
        <f t="shared" si="61"/>
        <v>1.2747668997668997</v>
      </c>
      <c r="BP453" s="64">
        <f t="shared" si="62"/>
        <v>1.278846153846154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7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0"/>
      <c r="R454" s="560"/>
      <c r="S454" s="560"/>
      <c r="T454" s="561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0"/>
      <c r="R455" s="560"/>
      <c r="S455" s="560"/>
      <c r="T455" s="561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0"/>
      <c r="R456" s="560"/>
      <c r="S456" s="560"/>
      <c r="T456" s="561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82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83"/>
      <c r="P457" s="573" t="s">
        <v>75</v>
      </c>
      <c r="Q457" s="574"/>
      <c r="R457" s="574"/>
      <c r="S457" s="574"/>
      <c r="T457" s="574"/>
      <c r="U457" s="574"/>
      <c r="V457" s="575"/>
      <c r="W457" s="37" t="s">
        <v>76</v>
      </c>
      <c r="X457" s="557">
        <f>IFERROR(X451/H451,"0")+IFERROR(X452/H452,"0")+IFERROR(X453/H453,"0")+IFERROR(X454/H454,"0")+IFERROR(X455/H455,"0")+IFERROR(X456/H456,"0")</f>
        <v>265.15151515151513</v>
      </c>
      <c r="Y457" s="557">
        <f>IFERROR(Y451/H451,"0")+IFERROR(Y452/H452,"0")+IFERROR(Y453/H453,"0")+IFERROR(Y454/H454,"0")+IFERROR(Y455/H455,"0")+IFERROR(Y456/H456,"0")</f>
        <v>266</v>
      </c>
      <c r="Z457" s="557">
        <f>IFERROR(IF(Z451="",0,Z451),"0")+IFERROR(IF(Z452="",0,Z452),"0")+IFERROR(IF(Z453="",0,Z453),"0")+IFERROR(IF(Z454="",0,Z454),"0")+IFERROR(IF(Z455="",0,Z455),"0")+IFERROR(IF(Z456="",0,Z456),"0")</f>
        <v>3.1813600000000002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83"/>
      <c r="P458" s="573" t="s">
        <v>75</v>
      </c>
      <c r="Q458" s="574"/>
      <c r="R458" s="574"/>
      <c r="S458" s="574"/>
      <c r="T458" s="574"/>
      <c r="U458" s="574"/>
      <c r="V458" s="575"/>
      <c r="W458" s="37" t="s">
        <v>69</v>
      </c>
      <c r="X458" s="557">
        <f>IFERROR(SUM(X451:X456),"0")</f>
        <v>1400</v>
      </c>
      <c r="Y458" s="557">
        <f>IFERROR(SUM(Y451:Y456),"0")</f>
        <v>1404.48</v>
      </c>
      <c r="Z458" s="37"/>
      <c r="AA458" s="558"/>
      <c r="AB458" s="558"/>
      <c r="AC458" s="558"/>
    </row>
    <row r="459" spans="1:68" ht="14.25" customHeight="1" x14ac:dyDescent="0.25">
      <c r="A459" s="570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0"/>
      <c r="R460" s="560"/>
      <c r="S460" s="560"/>
      <c r="T460" s="561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82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83"/>
      <c r="P461" s="573" t="s">
        <v>75</v>
      </c>
      <c r="Q461" s="574"/>
      <c r="R461" s="574"/>
      <c r="S461" s="574"/>
      <c r="T461" s="574"/>
      <c r="U461" s="574"/>
      <c r="V461" s="575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83"/>
      <c r="P462" s="573" t="s">
        <v>75</v>
      </c>
      <c r="Q462" s="574"/>
      <c r="R462" s="574"/>
      <c r="S462" s="574"/>
      <c r="T462" s="574"/>
      <c r="U462" s="574"/>
      <c r="V462" s="575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727" t="s">
        <v>722</v>
      </c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8"/>
      <c r="P463" s="728"/>
      <c r="Q463" s="728"/>
      <c r="R463" s="728"/>
      <c r="S463" s="728"/>
      <c r="T463" s="728"/>
      <c r="U463" s="728"/>
      <c r="V463" s="728"/>
      <c r="W463" s="728"/>
      <c r="X463" s="728"/>
      <c r="Y463" s="728"/>
      <c r="Z463" s="728"/>
      <c r="AA463" s="48"/>
      <c r="AB463" s="48"/>
      <c r="AC463" s="48"/>
    </row>
    <row r="464" spans="1:68" ht="16.5" customHeight="1" x14ac:dyDescent="0.25">
      <c r="A464" s="568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0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6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60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0"/>
      <c r="R468" s="560"/>
      <c r="S468" s="560"/>
      <c r="T468" s="561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0"/>
      <c r="R469" s="560"/>
      <c r="S469" s="560"/>
      <c r="T469" s="561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82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83"/>
      <c r="P470" s="573" t="s">
        <v>75</v>
      </c>
      <c r="Q470" s="574"/>
      <c r="R470" s="574"/>
      <c r="S470" s="574"/>
      <c r="T470" s="574"/>
      <c r="U470" s="574"/>
      <c r="V470" s="575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83"/>
      <c r="P471" s="573" t="s">
        <v>75</v>
      </c>
      <c r="Q471" s="574"/>
      <c r="R471" s="574"/>
      <c r="S471" s="574"/>
      <c r="T471" s="574"/>
      <c r="U471" s="574"/>
      <c r="V471" s="575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customHeight="1" x14ac:dyDescent="0.25">
      <c r="A472" s="570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0"/>
      <c r="R473" s="560"/>
      <c r="S473" s="560"/>
      <c r="T473" s="561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0"/>
      <c r="R474" s="560"/>
      <c r="S474" s="560"/>
      <c r="T474" s="561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82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83"/>
      <c r="P475" s="573" t="s">
        <v>75</v>
      </c>
      <c r="Q475" s="574"/>
      <c r="R475" s="574"/>
      <c r="S475" s="574"/>
      <c r="T475" s="574"/>
      <c r="U475" s="574"/>
      <c r="V475" s="575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83"/>
      <c r="P476" s="573" t="s">
        <v>75</v>
      </c>
      <c r="Q476" s="574"/>
      <c r="R476" s="574"/>
      <c r="S476" s="574"/>
      <c r="T476" s="574"/>
      <c r="U476" s="574"/>
      <c r="V476" s="575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0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0"/>
      <c r="R478" s="560"/>
      <c r="S478" s="560"/>
      <c r="T478" s="561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6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0"/>
      <c r="R479" s="560"/>
      <c r="S479" s="560"/>
      <c r="T479" s="561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82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83"/>
      <c r="P480" s="573" t="s">
        <v>75</v>
      </c>
      <c r="Q480" s="574"/>
      <c r="R480" s="574"/>
      <c r="S480" s="574"/>
      <c r="T480" s="574"/>
      <c r="U480" s="574"/>
      <c r="V480" s="575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83"/>
      <c r="P481" s="573" t="s">
        <v>75</v>
      </c>
      <c r="Q481" s="574"/>
      <c r="R481" s="574"/>
      <c r="S481" s="574"/>
      <c r="T481" s="574"/>
      <c r="U481" s="574"/>
      <c r="V481" s="575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customHeight="1" x14ac:dyDescent="0.25">
      <c r="A482" s="570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2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0"/>
      <c r="R483" s="560"/>
      <c r="S483" s="560"/>
      <c r="T483" s="561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82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83"/>
      <c r="P484" s="573" t="s">
        <v>75</v>
      </c>
      <c r="Q484" s="574"/>
      <c r="R484" s="574"/>
      <c r="S484" s="574"/>
      <c r="T484" s="574"/>
      <c r="U484" s="574"/>
      <c r="V484" s="575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83"/>
      <c r="P485" s="573" t="s">
        <v>75</v>
      </c>
      <c r="Q485" s="574"/>
      <c r="R485" s="574"/>
      <c r="S485" s="574"/>
      <c r="T485" s="574"/>
      <c r="U485" s="574"/>
      <c r="V485" s="575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customHeight="1" x14ac:dyDescent="0.25">
      <c r="A486" s="570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0"/>
      <c r="R487" s="560"/>
      <c r="S487" s="560"/>
      <c r="T487" s="561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81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0"/>
      <c r="R488" s="560"/>
      <c r="S488" s="560"/>
      <c r="T488" s="561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82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83"/>
      <c r="P489" s="573" t="s">
        <v>75</v>
      </c>
      <c r="Q489" s="574"/>
      <c r="R489" s="574"/>
      <c r="S489" s="574"/>
      <c r="T489" s="574"/>
      <c r="U489" s="574"/>
      <c r="V489" s="575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83"/>
      <c r="P490" s="573" t="s">
        <v>75</v>
      </c>
      <c r="Q490" s="574"/>
      <c r="R490" s="574"/>
      <c r="S490" s="574"/>
      <c r="T490" s="574"/>
      <c r="U490" s="574"/>
      <c r="V490" s="575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68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0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9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0"/>
      <c r="R493" s="560"/>
      <c r="S493" s="560"/>
      <c r="T493" s="561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82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83"/>
      <c r="P494" s="573" t="s">
        <v>75</v>
      </c>
      <c r="Q494" s="574"/>
      <c r="R494" s="574"/>
      <c r="S494" s="574"/>
      <c r="T494" s="574"/>
      <c r="U494" s="574"/>
      <c r="V494" s="575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83"/>
      <c r="P495" s="573" t="s">
        <v>75</v>
      </c>
      <c r="Q495" s="574"/>
      <c r="R495" s="574"/>
      <c r="S495" s="574"/>
      <c r="T495" s="574"/>
      <c r="U495" s="574"/>
      <c r="V495" s="575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54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734"/>
      <c r="P496" s="721" t="s">
        <v>758</v>
      </c>
      <c r="Q496" s="679"/>
      <c r="R496" s="679"/>
      <c r="S496" s="679"/>
      <c r="T496" s="679"/>
      <c r="U496" s="679"/>
      <c r="V496" s="680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14771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14826.3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734"/>
      <c r="P497" s="721" t="s">
        <v>759</v>
      </c>
      <c r="Q497" s="679"/>
      <c r="R497" s="679"/>
      <c r="S497" s="679"/>
      <c r="T497" s="679"/>
      <c r="U497" s="679"/>
      <c r="V497" s="680"/>
      <c r="W497" s="37" t="s">
        <v>69</v>
      </c>
      <c r="X497" s="557">
        <f>IFERROR(SUM(BM22:BM493),"0")</f>
        <v>15727.626189674522</v>
      </c>
      <c r="Y497" s="557">
        <f>IFERROR(SUM(BN22:BN493),"0")</f>
        <v>15786.178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734"/>
      <c r="P498" s="721" t="s">
        <v>760</v>
      </c>
      <c r="Q498" s="679"/>
      <c r="R498" s="679"/>
      <c r="S498" s="679"/>
      <c r="T498" s="679"/>
      <c r="U498" s="679"/>
      <c r="V498" s="680"/>
      <c r="W498" s="37" t="s">
        <v>761</v>
      </c>
      <c r="X498" s="38">
        <f>ROUNDUP(SUM(BO22:BO493),0)</f>
        <v>27</v>
      </c>
      <c r="Y498" s="38">
        <f>ROUNDUP(SUM(BP22:BP493),0)</f>
        <v>28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734"/>
      <c r="P499" s="721" t="s">
        <v>762</v>
      </c>
      <c r="Q499" s="679"/>
      <c r="R499" s="679"/>
      <c r="S499" s="679"/>
      <c r="T499" s="679"/>
      <c r="U499" s="679"/>
      <c r="V499" s="680"/>
      <c r="W499" s="37" t="s">
        <v>69</v>
      </c>
      <c r="X499" s="557">
        <f>GrossWeightTotal+PalletQtyTotal*25</f>
        <v>16402.62618967452</v>
      </c>
      <c r="Y499" s="557">
        <f>GrossWeightTotalR+PalletQtyTotalR*25</f>
        <v>16486.178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734"/>
      <c r="P500" s="721" t="s">
        <v>763</v>
      </c>
      <c r="Q500" s="679"/>
      <c r="R500" s="679"/>
      <c r="S500" s="679"/>
      <c r="T500" s="679"/>
      <c r="U500" s="679"/>
      <c r="V500" s="680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2662.2802814469478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2672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734"/>
      <c r="P501" s="721" t="s">
        <v>764</v>
      </c>
      <c r="Q501" s="679"/>
      <c r="R501" s="679"/>
      <c r="S501" s="679"/>
      <c r="T501" s="679"/>
      <c r="U501" s="679"/>
      <c r="V501" s="680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33.165970000000002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601" t="s">
        <v>101</v>
      </c>
      <c r="D503" s="797"/>
      <c r="E503" s="797"/>
      <c r="F503" s="797"/>
      <c r="G503" s="797"/>
      <c r="H503" s="798"/>
      <c r="I503" s="601" t="s">
        <v>268</v>
      </c>
      <c r="J503" s="797"/>
      <c r="K503" s="797"/>
      <c r="L503" s="797"/>
      <c r="M503" s="797"/>
      <c r="N503" s="797"/>
      <c r="O503" s="797"/>
      <c r="P503" s="797"/>
      <c r="Q503" s="797"/>
      <c r="R503" s="798"/>
      <c r="S503" s="601" t="s">
        <v>562</v>
      </c>
      <c r="T503" s="798"/>
      <c r="U503" s="601" t="s">
        <v>616</v>
      </c>
      <c r="V503" s="797"/>
      <c r="W503" s="798"/>
      <c r="X503" s="552" t="s">
        <v>667</v>
      </c>
      <c r="Y503" s="601" t="s">
        <v>722</v>
      </c>
      <c r="Z503" s="798"/>
      <c r="AB503" s="52"/>
      <c r="AC503" s="52"/>
      <c r="AF503" s="553"/>
    </row>
    <row r="504" spans="1:32" ht="14.25" customHeight="1" thickTop="1" x14ac:dyDescent="0.2">
      <c r="A504" s="761" t="s">
        <v>767</v>
      </c>
      <c r="B504" s="601" t="s">
        <v>63</v>
      </c>
      <c r="C504" s="601" t="s">
        <v>102</v>
      </c>
      <c r="D504" s="601" t="s">
        <v>119</v>
      </c>
      <c r="E504" s="601" t="s">
        <v>170</v>
      </c>
      <c r="F504" s="601" t="s">
        <v>192</v>
      </c>
      <c r="G504" s="601" t="s">
        <v>229</v>
      </c>
      <c r="H504" s="601" t="s">
        <v>101</v>
      </c>
      <c r="I504" s="601" t="s">
        <v>269</v>
      </c>
      <c r="J504" s="601" t="s">
        <v>327</v>
      </c>
      <c r="K504" s="601" t="s">
        <v>387</v>
      </c>
      <c r="L504" s="601" t="s">
        <v>428</v>
      </c>
      <c r="M504" s="601" t="s">
        <v>444</v>
      </c>
      <c r="N504" s="553"/>
      <c r="O504" s="601" t="s">
        <v>455</v>
      </c>
      <c r="P504" s="601" t="s">
        <v>464</v>
      </c>
      <c r="Q504" s="601" t="s">
        <v>477</v>
      </c>
      <c r="R504" s="601" t="s">
        <v>552</v>
      </c>
      <c r="S504" s="601" t="s">
        <v>563</v>
      </c>
      <c r="T504" s="601" t="s">
        <v>598</v>
      </c>
      <c r="U504" s="601" t="s">
        <v>617</v>
      </c>
      <c r="V504" s="601" t="s">
        <v>648</v>
      </c>
      <c r="W504" s="601" t="s">
        <v>663</v>
      </c>
      <c r="X504" s="601" t="s">
        <v>667</v>
      </c>
      <c r="Y504" s="601" t="s">
        <v>722</v>
      </c>
      <c r="Z504" s="601" t="s">
        <v>754</v>
      </c>
      <c r="AB504" s="52"/>
      <c r="AC504" s="52"/>
      <c r="AF504" s="553"/>
    </row>
    <row r="505" spans="1:32" ht="13.5" customHeight="1" thickBot="1" x14ac:dyDescent="0.25">
      <c r="A505" s="762"/>
      <c r="B505" s="602"/>
      <c r="C505" s="602"/>
      <c r="D505" s="602"/>
      <c r="E505" s="602"/>
      <c r="F505" s="602"/>
      <c r="G505" s="602"/>
      <c r="H505" s="602"/>
      <c r="I505" s="602"/>
      <c r="J505" s="602"/>
      <c r="K505" s="602"/>
      <c r="L505" s="602"/>
      <c r="M505" s="602"/>
      <c r="N505" s="553"/>
      <c r="O505" s="602"/>
      <c r="P505" s="602"/>
      <c r="Q505" s="602"/>
      <c r="R505" s="602"/>
      <c r="S505" s="602"/>
      <c r="T505" s="602"/>
      <c r="U505" s="602"/>
      <c r="V505" s="602"/>
      <c r="W505" s="602"/>
      <c r="X505" s="602"/>
      <c r="Y505" s="602"/>
      <c r="Z505" s="602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205.20000000000002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54</v>
      </c>
      <c r="E506" s="46">
        <f>IFERROR(Y85*1,"0")+IFERROR(Y86*1,"0")+IFERROR(Y87*1,"0")+IFERROR(Y88*1,"0")+IFERROR(Y92*1,"0")+IFERROR(Y93*1,"0")+IFERROR(Y94*1,"0")+IFERROR(Y95*1,"0")</f>
        <v>1120.5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1533.6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321.59999999999997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304.2</v>
      </c>
      <c r="R506" s="46">
        <f>IFERROR(Y343*1,"0")+IFERROR(Y344*1,"0")+IFERROR(Y345*1,"0")</f>
        <v>231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0</v>
      </c>
      <c r="T506" s="46">
        <f>IFERROR(Y376*1,"0")+IFERROR(Y377*1,"0")+IFERROR(Y381*1,"0")+IFERROR(Y382*1,"0")+IFERROR(Y386*1,"0")+IFERROR(Y387*1,"0")+IFERROR(Y388*1,"0")</f>
        <v>4086.6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6969.6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P443:V443"/>
    <mergeCell ref="D133:E133"/>
    <mergeCell ref="A262:Z262"/>
    <mergeCell ref="D54:E54"/>
    <mergeCell ref="P283:V283"/>
    <mergeCell ref="D483:E483"/>
    <mergeCell ref="V12:W12"/>
    <mergeCell ref="P319:T319"/>
    <mergeCell ref="D433:E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494:V494"/>
    <mergeCell ref="P430:T430"/>
    <mergeCell ref="A297:Z297"/>
    <mergeCell ref="P481:V481"/>
    <mergeCell ref="P417:T417"/>
    <mergeCell ref="P102:T102"/>
    <mergeCell ref="P196:T196"/>
    <mergeCell ref="D177:E177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P27:T27"/>
    <mergeCell ref="P325:T325"/>
    <mergeCell ref="D75:E75"/>
    <mergeCell ref="P247:V247"/>
    <mergeCell ref="D206:E206"/>
    <mergeCell ref="A66:Z66"/>
    <mergeCell ref="D298:E298"/>
    <mergeCell ref="P404:V404"/>
    <mergeCell ref="A457:O458"/>
    <mergeCell ref="D273:E273"/>
    <mergeCell ref="P252:V252"/>
    <mergeCell ref="A378:O379"/>
    <mergeCell ref="P105:V105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461:V461"/>
    <mergeCell ref="P324:T324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D447:E447"/>
    <mergeCell ref="P426:V426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P449:V449"/>
    <mergeCell ref="D201:E201"/>
    <mergeCell ref="D68:E68"/>
    <mergeCell ref="D424:E424"/>
    <mergeCell ref="P224:T224"/>
    <mergeCell ref="P211:T211"/>
    <mergeCell ref="D399:E399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Q8:R8"/>
    <mergeCell ref="P311:T311"/>
    <mergeCell ref="P438:T438"/>
    <mergeCell ref="P267:T267"/>
    <mergeCell ref="D419:E419"/>
    <mergeCell ref="D219:E219"/>
    <mergeCell ref="D275:E275"/>
    <mergeCell ref="D104:E104"/>
    <mergeCell ref="T6:U9"/>
    <mergeCell ref="Q10:R10"/>
    <mergeCell ref="P368:V368"/>
    <mergeCell ref="A12:M12"/>
    <mergeCell ref="D487:E487"/>
    <mergeCell ref="A411:Z411"/>
    <mergeCell ref="D343:E343"/>
    <mergeCell ref="A482:Z482"/>
    <mergeCell ref="P397:T397"/>
    <mergeCell ref="P74:T74"/>
    <mergeCell ref="P243:V243"/>
    <mergeCell ref="A19:Z19"/>
    <mergeCell ref="P310:T310"/>
    <mergeCell ref="D280:E280"/>
    <mergeCell ref="P163:T163"/>
    <mergeCell ref="D109:E109"/>
    <mergeCell ref="A14:M14"/>
    <mergeCell ref="D467:E467"/>
    <mergeCell ref="P424:T424"/>
    <mergeCell ref="D345:E345"/>
    <mergeCell ref="P138:T138"/>
    <mergeCell ref="D185:E185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P497:V497"/>
    <mergeCell ref="A322:Z322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M504:M505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D453:E453"/>
    <mergeCell ref="A459:Z459"/>
    <mergeCell ref="A470:O471"/>
    <mergeCell ref="P467:T467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D67:E67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P95:T95"/>
    <mergeCell ref="A461:O462"/>
    <mergeCell ref="P331:T331"/>
    <mergeCell ref="P182:V182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D479:E479"/>
    <mergeCell ref="P248:V248"/>
    <mergeCell ref="D258:E258"/>
    <mergeCell ref="A60:Z60"/>
    <mergeCell ref="P56:T56"/>
    <mergeCell ref="D195:E195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P79:T79"/>
    <mergeCell ref="D473:E473"/>
    <mergeCell ref="P73:T73"/>
    <mergeCell ref="P437:T437"/>
    <mergeCell ref="P144:T144"/>
    <mergeCell ref="P302:T302"/>
    <mergeCell ref="D174:E174"/>
    <mergeCell ref="A83:Z83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A215:Z215"/>
    <mergeCell ref="P329:T329"/>
    <mergeCell ref="D406:E406"/>
    <mergeCell ref="P251:V251"/>
    <mergeCell ref="P45:V4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2026-01-09T08:34:15Z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