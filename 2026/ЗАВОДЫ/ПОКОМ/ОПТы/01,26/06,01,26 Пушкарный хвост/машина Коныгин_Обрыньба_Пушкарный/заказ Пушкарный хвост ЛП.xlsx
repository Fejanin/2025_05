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56F5E8B6-C448-4AFA-9B9B-2D4FCC9D78B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Z32" i="1" s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Z181" i="1" s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276" i="1" l="1"/>
  <c r="Z268" i="1"/>
  <c r="Z259" i="1"/>
  <c r="Y497" i="1"/>
  <c r="Z313" i="1"/>
  <c r="Z119" i="1"/>
  <c r="Z442" i="1"/>
  <c r="Z403" i="1"/>
  <c r="Z470" i="1"/>
  <c r="Z326" i="1"/>
  <c r="Z243" i="1"/>
  <c r="Y496" i="1"/>
  <c r="Y498" i="1"/>
  <c r="Z501" i="1"/>
  <c r="Y500" i="1"/>
  <c r="Y499" i="1" l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<sst xmlns="http://schemas.openxmlformats.org/spreadsheetml/2006/main" count="2385" uniqueCount="784">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</sst>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0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1000</v>
      </c>
      <c r="Y352" s="556">
        <f t="shared" si="41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1031.3333333333333</v>
      </c>
      <c r="BN352" s="64">
        <f t="shared" si="43"/>
        <v>1036.49</v>
      </c>
      <c r="BO352" s="64">
        <f t="shared" si="44"/>
        <v>1.3888888888888888</v>
      </c>
      <c r="BP352" s="64">
        <f t="shared" si="45"/>
        <v>1.3958333333333333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1000</v>
      </c>
      <c r="Y354" s="556">
        <f t="shared" si="41"/>
        <v>1005</v>
      </c>
      <c r="Z354" s="36">
        <f>IFERROR(IF(Y354=0,"",ROUNDUP(Y354/H354,0)*0.02175),"")</f>
        <v>1.4572499999999999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1031.3333333333333</v>
      </c>
      <c r="BN354" s="64">
        <f t="shared" si="43"/>
        <v>1036.49</v>
      </c>
      <c r="BO354" s="64">
        <f t="shared" si="44"/>
        <v>1.3888888888888888</v>
      </c>
      <c r="BP354" s="64">
        <f t="shared" si="45"/>
        <v>1.3958333333333333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133.33333333333334</v>
      </c>
      <c r="Y358" s="557">
        <f>IFERROR(Y351/H351,"0")+IFERROR(Y352/H352,"0")+IFERROR(Y353/H353,"0")+IFERROR(Y354/H354,"0")+IFERROR(Y355/H355,"0")+IFERROR(Y356/H356,"0")+IFERROR(Y357/H357,"0")</f>
        <v>134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2.9144999999999999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2000</v>
      </c>
      <c r="Y359" s="557">
        <f>IFERROR(SUM(Y351:Y357),"0")</f>
        <v>2010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1000</v>
      </c>
      <c r="Y361" s="556">
        <f>IFERROR(IF(X361="",0,CEILING((X361/$H361),1)*$H361),"")</f>
        <v>1005</v>
      </c>
      <c r="Z361" s="36">
        <f>IFERROR(IF(Y361=0,"",ROUNDUP(Y361/H361,0)*0.02175),"")</f>
        <v>1.4572499999999999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1031.3333333333333</v>
      </c>
      <c r="BN361" s="64">
        <f>IFERROR(Y361*I361/H361,"0")</f>
        <v>1036.49</v>
      </c>
      <c r="BO361" s="64">
        <f>IFERROR(1/J361*(X361/H361),"0")</f>
        <v>1.3888888888888888</v>
      </c>
      <c r="BP361" s="64">
        <f>IFERROR(1/J361*(Y361/H361),"0")</f>
        <v>1.3958333333333333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66.666666666666671</v>
      </c>
      <c r="Y363" s="557">
        <f>IFERROR(Y361/H361,"0")+IFERROR(Y362/H362,"0")</f>
        <v>67</v>
      </c>
      <c r="Z363" s="557">
        <f>IFERROR(IF(Z361="",0,Z361),"0")+IFERROR(IF(Z362="",0,Z362),"0")</f>
        <v>1.4572499999999999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1000</v>
      </c>
      <c r="Y364" s="557">
        <f>IFERROR(SUM(Y361:Y362),"0")</f>
        <v>1005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3000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3015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3094</v>
      </c>
      <c r="Y497" s="557">
        <f>IFERROR(SUM(BN22:BN493),"0")</f>
        <v>3109.4700000000003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5</v>
      </c>
      <c r="Y498" s="38">
        <f>ROUNDUP(SUM(BP22:BP493),0)</f>
        <v>5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3219</v>
      </c>
      <c r="Y499" s="557">
        <f>GrossWeightTotalR+PalletQtyTotalR*25</f>
        <v>3234.4700000000003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200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201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4.3717499999999996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0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3015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2026-01-06T09:49:33Z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