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EB81ACE8-94FD-4D78-8A41-9F143F17C5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C9" i="1"/>
  <c r="C10" i="1" s="1"/>
  <c r="C15" i="1"/>
  <c r="B15" i="1"/>
  <c r="C14" i="1"/>
  <c r="B14" i="1"/>
  <c r="C13" i="1"/>
  <c r="B13" i="1"/>
  <c r="D9" i="1"/>
  <c r="D10" i="1" s="1"/>
  <c r="F6" i="1" l="1"/>
  <c r="D15" i="1" l="1"/>
  <c r="D14" i="1"/>
  <c r="D13" i="1"/>
  <c r="F7" i="1"/>
  <c r="F8" i="1"/>
  <c r="F5" i="1"/>
  <c r="F4" i="1"/>
  <c r="F2" i="1"/>
  <c r="F3" i="1"/>
  <c r="F9" i="1" l="1"/>
</calcChain>
</file>

<file path=xl/sharedStrings.xml><?xml version="1.0" encoding="utf-8"?>
<sst xmlns="http://schemas.openxmlformats.org/spreadsheetml/2006/main" count="32" uniqueCount="23">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</sst>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45" zoomScaleNormal="145" workbookViewId="0">
      <selection activeCell="J14" sqref="J14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20</v>
      </c>
      <c r="C1" s="4" t="s">
        <v>21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/>
      <c r="C2" s="2"/>
      <c r="D2" s="2"/>
      <c r="E2" s="13"/>
      <c r="F2" s="10">
        <f t="shared" ref="F2:F8" si="0">ROUND(B2,1)</f>
        <v>0</v>
      </c>
      <c r="G2" s="2" t="s">
        <v>4</v>
      </c>
    </row>
    <row r="3" spans="1:7" x14ac:dyDescent="0.25">
      <c r="A3" s="1" t="s">
        <v>18</v>
      </c>
      <c r="B3" s="1"/>
      <c r="C3" s="1"/>
      <c r="D3" s="1"/>
      <c r="E3" s="14"/>
      <c r="F3" s="11">
        <f t="shared" si="0"/>
        <v>0</v>
      </c>
      <c r="G3" s="1" t="s">
        <v>4</v>
      </c>
    </row>
    <row r="4" spans="1:7" x14ac:dyDescent="0.25">
      <c r="A4" s="1" t="s">
        <v>16</v>
      </c>
      <c r="B4" s="1">
        <v>9.1430000000000007</v>
      </c>
      <c r="C4" s="1">
        <v>10238</v>
      </c>
      <c r="D4" s="1">
        <v>17</v>
      </c>
      <c r="E4" s="14"/>
      <c r="F4" s="11">
        <f t="shared" si="0"/>
        <v>9.1</v>
      </c>
      <c r="G4" s="1" t="s">
        <v>4</v>
      </c>
    </row>
    <row r="5" spans="1:7" x14ac:dyDescent="0.25">
      <c r="A5" s="1" t="s">
        <v>22</v>
      </c>
      <c r="B5" s="1">
        <v>4.6040000000000001</v>
      </c>
      <c r="C5" s="1">
        <v>5021</v>
      </c>
      <c r="D5" s="1">
        <v>8</v>
      </c>
      <c r="E5" s="14"/>
      <c r="F5" s="11">
        <f t="shared" si="0"/>
        <v>4.5999999999999996</v>
      </c>
      <c r="G5" s="1" t="s">
        <v>4</v>
      </c>
    </row>
    <row r="6" spans="1:7" x14ac:dyDescent="0.25">
      <c r="A6" s="1" t="s">
        <v>19</v>
      </c>
      <c r="B6" s="1">
        <v>3</v>
      </c>
      <c r="C6" s="1">
        <v>3234</v>
      </c>
      <c r="D6" s="1">
        <v>5</v>
      </c>
      <c r="E6" s="14"/>
      <c r="F6" s="11">
        <f t="shared" si="0"/>
        <v>3</v>
      </c>
      <c r="G6" s="1" t="s">
        <v>4</v>
      </c>
    </row>
    <row r="7" spans="1:7" x14ac:dyDescent="0.25">
      <c r="A7" s="1" t="s">
        <v>14</v>
      </c>
      <c r="B7" s="1"/>
      <c r="C7" s="1"/>
      <c r="D7" s="1"/>
      <c r="E7" s="14"/>
      <c r="F7" s="11">
        <f t="shared" si="0"/>
        <v>0</v>
      </c>
      <c r="G7" s="1" t="s">
        <v>4</v>
      </c>
    </row>
    <row r="8" spans="1:7" x14ac:dyDescent="0.25">
      <c r="A8" s="1" t="s">
        <v>15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3</v>
      </c>
      <c r="B9" s="1">
        <f>SUM(B2:B8)</f>
        <v>16.747</v>
      </c>
      <c r="C9" s="1">
        <f>SUM(C2:C8)</f>
        <v>18493</v>
      </c>
      <c r="D9" s="1">
        <f>SUM(D2:D8)</f>
        <v>30</v>
      </c>
      <c r="E9" s="15"/>
      <c r="F9" s="11">
        <f>SUM(F2:F8)</f>
        <v>16.7</v>
      </c>
      <c r="G9" s="1" t="s">
        <v>4</v>
      </c>
    </row>
    <row r="10" spans="1:7" x14ac:dyDescent="0.25">
      <c r="C10" s="16">
        <f>C9/19800</f>
        <v>0.93398989898989904</v>
      </c>
      <c r="D10" s="16">
        <f>D9/37</f>
        <v>0.81081081081081086</v>
      </c>
    </row>
    <row r="12" spans="1:7" x14ac:dyDescent="0.25">
      <c r="B12" t="s">
        <v>6</v>
      </c>
      <c r="C12" t="s">
        <v>7</v>
      </c>
      <c r="D12" t="s">
        <v>8</v>
      </c>
    </row>
    <row r="13" spans="1:7" x14ac:dyDescent="0.25">
      <c r="A13" s="6" t="s">
        <v>0</v>
      </c>
      <c r="B13">
        <f>SUMIF(E:E,1,B:B)</f>
        <v>0</v>
      </c>
      <c r="C13">
        <f>SUMIF(E:E,1,C:C)</f>
        <v>0</v>
      </c>
      <c r="D13">
        <f>SUMIF(E:E,1,D:D)</f>
        <v>0</v>
      </c>
      <c r="E13" t="s">
        <v>12</v>
      </c>
    </row>
    <row r="14" spans="1:7" x14ac:dyDescent="0.25">
      <c r="A14" s="7" t="s">
        <v>1</v>
      </c>
      <c r="B14">
        <f>SUMIF(E:E,2,B:B)</f>
        <v>0</v>
      </c>
      <c r="C14">
        <f>SUMIF(E:E,2,C:C)</f>
        <v>0</v>
      </c>
      <c r="D14">
        <f>SUMIF(E:E,2,D:D)</f>
        <v>0</v>
      </c>
      <c r="E14" t="s">
        <v>12</v>
      </c>
    </row>
    <row r="15" spans="1:7" x14ac:dyDescent="0.25">
      <c r="A15" s="8" t="s">
        <v>2</v>
      </c>
      <c r="B15">
        <f>SUMIF(E:E,3,B:B)</f>
        <v>0</v>
      </c>
      <c r="C15">
        <f>SUMIF(E:E,3,C:C)</f>
        <v>0</v>
      </c>
      <c r="D15">
        <f>SUMIF(E:E,3,D:D)</f>
        <v>0</v>
      </c>
      <c r="E15" t="s">
        <v>13</v>
      </c>
    </row>
  </sheetData>
  <sortState xmlns:xlrd2="http://schemas.microsoft.com/office/spreadsheetml/2017/richdata2" ref="A2:G8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2026-01-06T09:50:18Z</dcterms:modified>
</cp:coreProperties>
</file>