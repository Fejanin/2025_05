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CF25A22-0F82-4B5D-9FFB-680FE9E6D25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45" i="1"/>
  <c r="Y49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Y37" i="1"/>
  <c r="Y58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<sst xmlns="http://schemas.openxmlformats.org/spreadsheetml/2006/main" count="2358" uniqueCount="781">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</sst>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1500</v>
      </c>
      <c r="Y350" s="554">
        <f t="shared" ref="Y350:Y356" si="36">IFERROR(IF(X350="",0,CEILING((X350/$H350),1)*$H350),"")</f>
        <v>1500</v>
      </c>
      <c r="Z350" s="36">
        <f>IFERROR(IF(Y350=0,"",ROUNDUP(Y350/H350,0)*0.02175),"")</f>
        <v>2.1749999999999998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1547</v>
      </c>
      <c r="BN350" s="64">
        <f t="shared" ref="BN350:BN356" si="38">IFERROR(Y350*I350/H350,"0")</f>
        <v>1547</v>
      </c>
      <c r="BO350" s="64">
        <f t="shared" ref="BO350:BO356" si="39">IFERROR(1/J350*(X350/H350),"0")</f>
        <v>2.083333333333333</v>
      </c>
      <c r="BP350" s="64">
        <f t="shared" ref="BP350:BP356" si="40">IFERROR(1/J350*(Y350/H350),"0")</f>
        <v>2.083333333333333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100</v>
      </c>
      <c r="Y357" s="555">
        <f>IFERROR(Y350/H350,"0")+IFERROR(Y351/H351,"0")+IFERROR(Y352/H352,"0")+IFERROR(Y353/H353,"0")+IFERROR(Y354/H354,"0")+IFERROR(Y355/H355,"0")+IFERROR(Y356/H356,"0")</f>
        <v>100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2.1749999999999998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1500</v>
      </c>
      <c r="Y358" s="555">
        <f>IFERROR(SUM(Y350:Y356),"0")</f>
        <v>1500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1500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1547</v>
      </c>
      <c r="Y496" s="555">
        <f>IFERROR(SUM(BN22:BN492),"0")</f>
        <v>1547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1622</v>
      </c>
      <c r="Y498" s="555">
        <f>GrossWeightTotalR+PalletQtyTotalR*25</f>
        <v>1622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100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100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2.1749999999999998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1500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2026-01-09T06:25:16Z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