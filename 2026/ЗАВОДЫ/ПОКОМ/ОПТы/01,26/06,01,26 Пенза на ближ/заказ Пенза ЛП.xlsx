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0091FA8-5530-48C6-AD04-DC4F7D6C282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5" i="1" s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6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00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6" i="1"/>
  <c r="X497" i="1"/>
  <c r="X498" i="1"/>
  <c r="Z23" i="1"/>
  <c r="Z24" i="1" s="1"/>
  <c r="BN23" i="1"/>
  <c r="BP23" i="1"/>
  <c r="Y24" i="1"/>
  <c r="X496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Y64" i="1"/>
  <c r="Z62" i="1"/>
  <c r="Z64" i="1" s="1"/>
  <c r="BN62" i="1"/>
  <c r="BP62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Z181" i="1" s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Y45" i="1"/>
  <c r="Y496" i="1" s="1"/>
  <c r="Y70" i="1"/>
  <c r="BP67" i="1"/>
  <c r="BN67" i="1"/>
  <c r="Y497" i="1" s="1"/>
  <c r="Z67" i="1"/>
  <c r="Z69" i="1" s="1"/>
  <c r="BP75" i="1"/>
  <c r="Y498" i="1" s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H506" i="1"/>
  <c r="Y146" i="1"/>
  <c r="BP143" i="1"/>
  <c r="BN143" i="1"/>
  <c r="Z143" i="1"/>
  <c r="Z145" i="1" s="1"/>
  <c r="BP151" i="1"/>
  <c r="BN151" i="1"/>
  <c r="Z151" i="1"/>
  <c r="BP171" i="1"/>
  <c r="BN171" i="1"/>
  <c r="Z171" i="1"/>
  <c r="BP175" i="1"/>
  <c r="BN175" i="1"/>
  <c r="Z175" i="1"/>
  <c r="BP179" i="1"/>
  <c r="BN179" i="1"/>
  <c r="Z179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Y499" i="1" l="1"/>
  <c r="Z442" i="1"/>
  <c r="Z276" i="1"/>
  <c r="Z268" i="1"/>
  <c r="Z259" i="1"/>
  <c r="Z313" i="1"/>
  <c r="Z76" i="1"/>
  <c r="Z58" i="1"/>
  <c r="Z44" i="1"/>
  <c r="Z32" i="1"/>
  <c r="Z501" i="1" s="1"/>
  <c r="Y500" i="1"/>
  <c r="Z403" i="1"/>
  <c r="Z470" i="1"/>
  <c r="Z326" i="1"/>
  <c r="Z243" i="1"/>
  <c r="Z119" i="1"/>
  <c r="Z89" i="1"/>
  <c r="X499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<sst xmlns="http://schemas.openxmlformats.org/spreadsheetml/2006/main" count="2385" uniqueCount="784">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</sst>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0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810" t="s">
        <v>0</v>
      </c>
      <c r="E1" s="592"/>
      <c r="F1" s="592"/>
      <c r="G1" s="12" t="s">
        <v>1</v>
      </c>
      <c r="H1" s="810" t="s">
        <v>2</v>
      </c>
      <c r="I1" s="592"/>
      <c r="J1" s="592"/>
      <c r="K1" s="592"/>
      <c r="L1" s="592"/>
      <c r="M1" s="592"/>
      <c r="N1" s="592"/>
      <c r="O1" s="592"/>
      <c r="P1" s="592"/>
      <c r="Q1" s="592"/>
      <c r="R1" s="864" t="s">
        <v>3</v>
      </c>
      <c r="S1" s="592"/>
      <c r="T1" s="5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776" t="s">
        <v>8</v>
      </c>
      <c r="B5" s="572"/>
      <c r="C5" s="573"/>
      <c r="D5" s="662"/>
      <c r="E5" s="664"/>
      <c r="F5" s="616" t="s">
        <v>9</v>
      </c>
      <c r="G5" s="573"/>
      <c r="H5" s="662"/>
      <c r="I5" s="663"/>
      <c r="J5" s="663"/>
      <c r="K5" s="663"/>
      <c r="L5" s="663"/>
      <c r="M5" s="664"/>
      <c r="N5" s="58"/>
      <c r="P5" s="24" t="s">
        <v>10</v>
      </c>
      <c r="Q5" s="594">
        <v>46030</v>
      </c>
      <c r="R5" s="595"/>
      <c r="T5" s="737" t="s">
        <v>11</v>
      </c>
      <c r="U5" s="637"/>
      <c r="V5" s="738" t="s">
        <v>12</v>
      </c>
      <c r="W5" s="595"/>
      <c r="AB5" s="51"/>
      <c r="AC5" s="51"/>
      <c r="AD5" s="51"/>
      <c r="AE5" s="51"/>
    </row>
    <row r="6" spans="1:32" s="549" customFormat="1" ht="24" customHeight="1" x14ac:dyDescent="0.2">
      <c r="A6" s="776" t="s">
        <v>13</v>
      </c>
      <c r="B6" s="572"/>
      <c r="C6" s="573"/>
      <c r="D6" s="666" t="s">
        <v>14</v>
      </c>
      <c r="E6" s="667"/>
      <c r="F6" s="667"/>
      <c r="G6" s="667"/>
      <c r="H6" s="667"/>
      <c r="I6" s="667"/>
      <c r="J6" s="667"/>
      <c r="K6" s="667"/>
      <c r="L6" s="667"/>
      <c r="M6" s="595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5" t="s">
        <v>16</v>
      </c>
      <c r="U6" s="637"/>
      <c r="V6" s="672" t="s">
        <v>17</v>
      </c>
      <c r="W6" s="67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841" t="str">
        <f>IFERROR(VLOOKUP(DeliveryAddress,Table,3,0),1)</f>
        <v>1</v>
      </c>
      <c r="E7" s="842"/>
      <c r="F7" s="842"/>
      <c r="G7" s="842"/>
      <c r="H7" s="842"/>
      <c r="I7" s="842"/>
      <c r="J7" s="842"/>
      <c r="K7" s="842"/>
      <c r="L7" s="842"/>
      <c r="M7" s="741"/>
      <c r="N7" s="60"/>
      <c r="P7" s="24"/>
      <c r="Q7" s="42"/>
      <c r="R7" s="42"/>
      <c r="T7" s="569"/>
      <c r="U7" s="637"/>
      <c r="V7" s="674"/>
      <c r="W7" s="675"/>
      <c r="AB7" s="51"/>
      <c r="AC7" s="51"/>
      <c r="AD7" s="51"/>
      <c r="AE7" s="51"/>
    </row>
    <row r="8" spans="1:32" s="549" customFormat="1" ht="25.5" customHeight="1" x14ac:dyDescent="0.2">
      <c r="A8" s="559" t="s">
        <v>18</v>
      </c>
      <c r="B8" s="560"/>
      <c r="C8" s="561"/>
      <c r="D8" s="851" t="s">
        <v>19</v>
      </c>
      <c r="E8" s="852"/>
      <c r="F8" s="852"/>
      <c r="G8" s="852"/>
      <c r="H8" s="852"/>
      <c r="I8" s="852"/>
      <c r="J8" s="852"/>
      <c r="K8" s="852"/>
      <c r="L8" s="852"/>
      <c r="M8" s="853"/>
      <c r="N8" s="61"/>
      <c r="P8" s="24" t="s">
        <v>20</v>
      </c>
      <c r="Q8" s="740">
        <v>0.41666666666666669</v>
      </c>
      <c r="R8" s="741"/>
      <c r="T8" s="569"/>
      <c r="U8" s="637"/>
      <c r="V8" s="674"/>
      <c r="W8" s="675"/>
      <c r="AB8" s="51"/>
      <c r="AC8" s="51"/>
      <c r="AD8" s="51"/>
      <c r="AE8" s="51"/>
    </row>
    <row r="9" spans="1:32" s="54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632"/>
      <c r="E9" s="633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709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7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547"/>
      <c r="P9" s="26" t="s">
        <v>21</v>
      </c>
      <c r="Q9" s="792"/>
      <c r="R9" s="620"/>
      <c r="T9" s="569"/>
      <c r="U9" s="637"/>
      <c r="V9" s="676"/>
      <c r="W9" s="677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632"/>
      <c r="E10" s="633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689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6"/>
      <c r="R10" s="747"/>
      <c r="U10" s="24" t="s">
        <v>23</v>
      </c>
      <c r="V10" s="858" t="s">
        <v>24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4"/>
      <c r="R11" s="595"/>
      <c r="U11" s="24" t="s">
        <v>27</v>
      </c>
      <c r="V11" s="619" t="s">
        <v>28</v>
      </c>
      <c r="W11" s="62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17" t="s">
        <v>29</v>
      </c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3"/>
      <c r="N12" s="62"/>
      <c r="P12" s="24" t="s">
        <v>30</v>
      </c>
      <c r="Q12" s="740"/>
      <c r="R12" s="741"/>
      <c r="S12" s="23"/>
      <c r="U12" s="24"/>
      <c r="V12" s="592"/>
      <c r="W12" s="569"/>
      <c r="AB12" s="51"/>
      <c r="AC12" s="51"/>
      <c r="AD12" s="51"/>
      <c r="AE12" s="51"/>
    </row>
    <row r="13" spans="1:32" s="549" customFormat="1" ht="23.25" customHeight="1" x14ac:dyDescent="0.2">
      <c r="A13" s="717" t="s">
        <v>31</v>
      </c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3"/>
      <c r="N13" s="62"/>
      <c r="O13" s="26"/>
      <c r="P13" s="26" t="s">
        <v>32</v>
      </c>
      <c r="Q13" s="619"/>
      <c r="R13" s="6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17" t="s">
        <v>33</v>
      </c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20" t="s">
        <v>34</v>
      </c>
      <c r="B15" s="572"/>
      <c r="C15" s="572"/>
      <c r="D15" s="572"/>
      <c r="E15" s="572"/>
      <c r="F15" s="572"/>
      <c r="G15" s="572"/>
      <c r="H15" s="572"/>
      <c r="I15" s="572"/>
      <c r="J15" s="572"/>
      <c r="K15" s="572"/>
      <c r="L15" s="572"/>
      <c r="M15" s="573"/>
      <c r="N15" s="63"/>
      <c r="P15" s="761" t="s">
        <v>35</v>
      </c>
      <c r="Q15" s="592"/>
      <c r="R15" s="592"/>
      <c r="S15" s="592"/>
      <c r="T15" s="5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2"/>
      <c r="Q16" s="762"/>
      <c r="R16" s="762"/>
      <c r="S16" s="762"/>
      <c r="T16" s="7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5" t="s">
        <v>36</v>
      </c>
      <c r="B17" s="645" t="s">
        <v>37</v>
      </c>
      <c r="C17" s="782" t="s">
        <v>38</v>
      </c>
      <c r="D17" s="645" t="s">
        <v>39</v>
      </c>
      <c r="E17" s="653"/>
      <c r="F17" s="645" t="s">
        <v>40</v>
      </c>
      <c r="G17" s="645" t="s">
        <v>41</v>
      </c>
      <c r="H17" s="645" t="s">
        <v>42</v>
      </c>
      <c r="I17" s="645" t="s">
        <v>43</v>
      </c>
      <c r="J17" s="645" t="s">
        <v>44</v>
      </c>
      <c r="K17" s="645" t="s">
        <v>45</v>
      </c>
      <c r="L17" s="645" t="s">
        <v>46</v>
      </c>
      <c r="M17" s="645" t="s">
        <v>47</v>
      </c>
      <c r="N17" s="645" t="s">
        <v>48</v>
      </c>
      <c r="O17" s="645" t="s">
        <v>49</v>
      </c>
      <c r="P17" s="645" t="s">
        <v>50</v>
      </c>
      <c r="Q17" s="813"/>
      <c r="R17" s="813"/>
      <c r="S17" s="813"/>
      <c r="T17" s="653"/>
      <c r="U17" s="652" t="s">
        <v>51</v>
      </c>
      <c r="V17" s="573"/>
      <c r="W17" s="645" t="s">
        <v>52</v>
      </c>
      <c r="X17" s="645" t="s">
        <v>53</v>
      </c>
      <c r="Y17" s="650" t="s">
        <v>54</v>
      </c>
      <c r="Z17" s="696" t="s">
        <v>55</v>
      </c>
      <c r="AA17" s="610" t="s">
        <v>56</v>
      </c>
      <c r="AB17" s="610" t="s">
        <v>57</v>
      </c>
      <c r="AC17" s="610" t="s">
        <v>58</v>
      </c>
      <c r="AD17" s="610" t="s">
        <v>59</v>
      </c>
      <c r="AE17" s="611"/>
      <c r="AF17" s="612"/>
      <c r="AG17" s="66"/>
      <c r="BD17" s="65" t="s">
        <v>60</v>
      </c>
    </row>
    <row r="18" spans="1:68" ht="14.25" customHeight="1" x14ac:dyDescent="0.2">
      <c r="A18" s="646"/>
      <c r="B18" s="646"/>
      <c r="C18" s="646"/>
      <c r="D18" s="654"/>
      <c r="E18" s="655"/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54"/>
      <c r="Q18" s="814"/>
      <c r="R18" s="814"/>
      <c r="S18" s="814"/>
      <c r="T18" s="655"/>
      <c r="U18" s="67" t="s">
        <v>61</v>
      </c>
      <c r="V18" s="67" t="s">
        <v>62</v>
      </c>
      <c r="W18" s="646"/>
      <c r="X18" s="646"/>
      <c r="Y18" s="651"/>
      <c r="Z18" s="697"/>
      <c r="AA18" s="688"/>
      <c r="AB18" s="688"/>
      <c r="AC18" s="688"/>
      <c r="AD18" s="613"/>
      <c r="AE18" s="614"/>
      <c r="AF18" s="615"/>
      <c r="AG18" s="66"/>
      <c r="BD18" s="65"/>
    </row>
    <row r="19" spans="1:68" ht="27.75" customHeight="1" x14ac:dyDescent="0.2">
      <c r="A19" s="605" t="s">
        <v>63</v>
      </c>
      <c r="B19" s="606"/>
      <c r="C19" s="606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  <c r="Y19" s="606"/>
      <c r="Z19" s="606"/>
      <c r="AA19" s="48"/>
      <c r="AB19" s="48"/>
      <c r="AC19" s="48"/>
    </row>
    <row r="20" spans="1:68" ht="16.5" customHeight="1" x14ac:dyDescent="0.25">
      <c r="A20" s="577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6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70"/>
      <c r="P24" s="567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70"/>
      <c r="P25" s="567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6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5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70"/>
      <c r="P32" s="567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70"/>
      <c r="P33" s="567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6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8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70"/>
      <c r="P36" s="567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70"/>
      <c r="P37" s="567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605" t="s">
        <v>101</v>
      </c>
      <c r="B38" s="606"/>
      <c r="C38" s="606"/>
      <c r="D38" s="606"/>
      <c r="E38" s="606"/>
      <c r="F38" s="606"/>
      <c r="G38" s="606"/>
      <c r="H38" s="606"/>
      <c r="I38" s="606"/>
      <c r="J38" s="606"/>
      <c r="K38" s="606"/>
      <c r="L38" s="606"/>
      <c r="M38" s="606"/>
      <c r="N38" s="606"/>
      <c r="O38" s="606"/>
      <c r="P38" s="606"/>
      <c r="Q38" s="606"/>
      <c r="R38" s="606"/>
      <c r="S38" s="606"/>
      <c r="T38" s="606"/>
      <c r="U38" s="606"/>
      <c r="V38" s="606"/>
      <c r="W38" s="606"/>
      <c r="X38" s="606"/>
      <c r="Y38" s="606"/>
      <c r="Z38" s="606"/>
      <c r="AA38" s="48"/>
      <c r="AB38" s="48"/>
      <c r="AC38" s="48"/>
    </row>
    <row r="39" spans="1:68" ht="16.5" customHeight="1" x14ac:dyDescent="0.25">
      <c r="A39" s="577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6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55">
        <v>610</v>
      </c>
      <c r="Y41" s="556">
        <f>IFERROR(IF(X41="",0,CEILING((X41/$H41),1)*$H41),"")</f>
        <v>615.6</v>
      </c>
      <c r="Z41" s="36">
        <f>IFERROR(IF(Y41=0,"",ROUNDUP(Y41/H41,0)*0.01898),"")</f>
        <v>1.08186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633.15740740740739</v>
      </c>
      <c r="BN41" s="64">
        <f>IFERROR(Y41*I41/H41,"0")</f>
        <v>638.97</v>
      </c>
      <c r="BO41" s="64">
        <f>IFERROR(1/J41*(X41/H41),"0")</f>
        <v>0.88252314814814814</v>
      </c>
      <c r="BP41" s="64">
        <f>IFERROR(1/J41*(Y41/H41),"0")</f>
        <v>0.890625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55">
        <v>4</v>
      </c>
      <c r="Y43" s="556">
        <f>IFERROR(IF(X43="",0,CEILING((X43/$H43),1)*$H43),"")</f>
        <v>4</v>
      </c>
      <c r="Z43" s="36">
        <f>IFERROR(IF(Y43=0,"",ROUNDUP(Y43/H43,0)*0.00902),"")</f>
        <v>9.0200000000000002E-3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4.1900000000000004</v>
      </c>
      <c r="BN43" s="64">
        <f>IFERROR(Y43*I43/H43,"0")</f>
        <v>4.1900000000000004</v>
      </c>
      <c r="BO43" s="64">
        <f>IFERROR(1/J43*(X43/H43),"0")</f>
        <v>7.575757575757576E-3</v>
      </c>
      <c r="BP43" s="64">
        <f>IFERROR(1/J43*(Y43/H43),"0")</f>
        <v>7.575757575757576E-3</v>
      </c>
    </row>
    <row r="44" spans="1:68" x14ac:dyDescent="0.2">
      <c r="A44" s="568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70"/>
      <c r="P44" s="567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57.481481481481481</v>
      </c>
      <c r="Y44" s="557">
        <f>IFERROR(Y41/H41,"0")+IFERROR(Y42/H42,"0")+IFERROR(Y43/H43,"0")</f>
        <v>58</v>
      </c>
      <c r="Z44" s="557">
        <f>IFERROR(IF(Z41="",0,Z41),"0")+IFERROR(IF(Z42="",0,Z42),"0")+IFERROR(IF(Z43="",0,Z43),"0")</f>
        <v>1.0908800000000001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70"/>
      <c r="P45" s="567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614</v>
      </c>
      <c r="Y45" s="557">
        <f>IFERROR(SUM(Y41:Y43),"0")</f>
        <v>619.6</v>
      </c>
      <c r="Z45" s="37"/>
      <c r="AA45" s="558"/>
      <c r="AB45" s="558"/>
      <c r="AC45" s="558"/>
    </row>
    <row r="46" spans="1:68" ht="14.25" customHeight="1" x14ac:dyDescent="0.25">
      <c r="A46" s="576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70"/>
      <c r="P48" s="567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70"/>
      <c r="P49" s="567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77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6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55">
        <v>50</v>
      </c>
      <c r="Y52" s="556">
        <f t="shared" ref="Y52:Y57" si="0">IFERROR(IF(X52="",0,CEILING((X52/$H52),1)*$H52),"")</f>
        <v>56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51.830357142857146</v>
      </c>
      <c r="BN52" s="64">
        <f t="shared" ref="BN52:BN57" si="2">IFERROR(Y52*I52/H52,"0")</f>
        <v>58.050000000000004</v>
      </c>
      <c r="BO52" s="64">
        <f t="shared" ref="BO52:BO57" si="3">IFERROR(1/J52*(X52/H52),"0")</f>
        <v>6.9754464285714288E-2</v>
      </c>
      <c r="BP52" s="64">
        <f t="shared" ref="BP52:BP57" si="4">IFERROR(1/J52*(Y52/H52),"0")</f>
        <v>7.8125E-2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8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55">
        <v>310</v>
      </c>
      <c r="Y53" s="556">
        <f t="shared" si="0"/>
        <v>313.20000000000005</v>
      </c>
      <c r="Z53" s="36">
        <f>IFERROR(IF(Y53=0,"",ROUNDUP(Y53/H53,0)*0.01898),"")</f>
        <v>0.55042000000000002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321.76851851851853</v>
      </c>
      <c r="BN53" s="64">
        <f t="shared" si="2"/>
        <v>325.09000000000003</v>
      </c>
      <c r="BO53" s="64">
        <f t="shared" si="3"/>
        <v>0.44849537037037035</v>
      </c>
      <c r="BP53" s="64">
        <f t="shared" si="4"/>
        <v>0.45312500000000006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2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70"/>
      <c r="P58" s="567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33.167989417989418</v>
      </c>
      <c r="Y58" s="557">
        <f>IFERROR(Y52/H52,"0")+IFERROR(Y53/H53,"0")+IFERROR(Y54/H54,"0")+IFERROR(Y55/H55,"0")+IFERROR(Y56/H56,"0")+IFERROR(Y57/H57,"0")</f>
        <v>34</v>
      </c>
      <c r="Z58" s="557">
        <f>IFERROR(IF(Z52="",0,Z52),"0")+IFERROR(IF(Z53="",0,Z53),"0")+IFERROR(IF(Z54="",0,Z54),"0")+IFERROR(IF(Z55="",0,Z55),"0")+IFERROR(IF(Z56="",0,Z56),"0")+IFERROR(IF(Z57="",0,Z57),"0")</f>
        <v>0.64532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70"/>
      <c r="P59" s="567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360</v>
      </c>
      <c r="Y59" s="557">
        <f>IFERROR(SUM(Y52:Y57),"0")</f>
        <v>369.20000000000005</v>
      </c>
      <c r="Z59" s="37"/>
      <c r="AA59" s="558"/>
      <c r="AB59" s="558"/>
      <c r="AC59" s="558"/>
    </row>
    <row r="60" spans="1:68" ht="14.25" customHeight="1" x14ac:dyDescent="0.25">
      <c r="A60" s="576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55">
        <v>80</v>
      </c>
      <c r="Y61" s="556">
        <f>IFERROR(IF(X61="",0,CEILING((X61/$H61),1)*$H61),"")</f>
        <v>86.4</v>
      </c>
      <c r="Z61" s="36">
        <f>IFERROR(IF(Y61=0,"",ROUNDUP(Y61/H61,0)*0.01898),"")</f>
        <v>0.15184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83.037037037037038</v>
      </c>
      <c r="BN61" s="64">
        <f>IFERROR(Y61*I61/H61,"0")</f>
        <v>89.68</v>
      </c>
      <c r="BO61" s="64">
        <f>IFERROR(1/J61*(X61/H61),"0")</f>
        <v>0.11574074074074073</v>
      </c>
      <c r="BP61" s="64">
        <f>IFERROR(1/J61*(Y61/H61),"0")</f>
        <v>0.125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70"/>
      <c r="P64" s="567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7.4074074074074066</v>
      </c>
      <c r="Y64" s="557">
        <f>IFERROR(Y61/H61,"0")+IFERROR(Y62/H62,"0")+IFERROR(Y63/H63,"0")</f>
        <v>8</v>
      </c>
      <c r="Z64" s="557">
        <f>IFERROR(IF(Z61="",0,Z61),"0")+IFERROR(IF(Z62="",0,Z62),"0")+IFERROR(IF(Z63="",0,Z63),"0")</f>
        <v>0.15184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70"/>
      <c r="P65" s="567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80</v>
      </c>
      <c r="Y65" s="557">
        <f>IFERROR(SUM(Y61:Y63),"0")</f>
        <v>86.4</v>
      </c>
      <c r="Z65" s="37"/>
      <c r="AA65" s="558"/>
      <c r="AB65" s="558"/>
      <c r="AC65" s="558"/>
    </row>
    <row r="66" spans="1:68" ht="14.25" customHeight="1" x14ac:dyDescent="0.25">
      <c r="A66" s="576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70"/>
      <c r="P69" s="567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70"/>
      <c r="P70" s="567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6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70"/>
      <c r="P76" s="567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70"/>
      <c r="P77" s="567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6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55">
        <v>10</v>
      </c>
      <c r="Y79" s="556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10.525641025641027</v>
      </c>
      <c r="BN79" s="64">
        <f>IFERROR(Y79*I79/H79,"0")</f>
        <v>16.420000000000002</v>
      </c>
      <c r="BO79" s="64">
        <f>IFERROR(1/J79*(X79/H79),"0")</f>
        <v>2.0032051282051284E-2</v>
      </c>
      <c r="BP79" s="64">
        <f>IFERROR(1/J79*(Y79/H79),"0")</f>
        <v>3.125E-2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70"/>
      <c r="P81" s="567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1.2820512820512822</v>
      </c>
      <c r="Y81" s="557">
        <f>IFERROR(Y79/H79,"0")+IFERROR(Y80/H80,"0")</f>
        <v>2</v>
      </c>
      <c r="Z81" s="557">
        <f>IFERROR(IF(Z79="",0,Z79),"0")+IFERROR(IF(Z80="",0,Z80),"0")</f>
        <v>3.7960000000000001E-2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70"/>
      <c r="P82" s="567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10</v>
      </c>
      <c r="Y82" s="557">
        <f>IFERROR(SUM(Y79:Y80),"0")</f>
        <v>15.6</v>
      </c>
      <c r="Z82" s="37"/>
      <c r="AA82" s="558"/>
      <c r="AB82" s="558"/>
      <c r="AC82" s="558"/>
    </row>
    <row r="83" spans="1:68" ht="16.5" customHeight="1" x14ac:dyDescent="0.25">
      <c r="A83" s="577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6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6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55">
        <v>720</v>
      </c>
      <c r="Y85" s="556">
        <f>IFERROR(IF(X85="",0,CEILING((X85/$H85),1)*$H85),"")</f>
        <v>723.6</v>
      </c>
      <c r="Z85" s="36">
        <f>IFERROR(IF(Y85=0,"",ROUNDUP(Y85/H85,0)*0.01898),"")</f>
        <v>1.27166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747.33333333333337</v>
      </c>
      <c r="BN85" s="64">
        <f>IFERROR(Y85*I85/H85,"0")</f>
        <v>751.07</v>
      </c>
      <c r="BO85" s="64">
        <f>IFERROR(1/J85*(X85/H85),"0")</f>
        <v>1.0416666666666665</v>
      </c>
      <c r="BP85" s="64">
        <f>IFERROR(1/J85*(Y85/H85),"0")</f>
        <v>1.046875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55">
        <v>4.5</v>
      </c>
      <c r="Y88" s="556">
        <f>IFERROR(IF(X88="",0,CEILING((X88/$H88),1)*$H88),"")</f>
        <v>4.5</v>
      </c>
      <c r="Z88" s="36">
        <f>IFERROR(IF(Y88=0,"",ROUNDUP(Y88/H88,0)*0.00902),"")</f>
        <v>9.0200000000000002E-3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4.6900000000000004</v>
      </c>
      <c r="BN88" s="64">
        <f>IFERROR(Y88*I88/H88,"0")</f>
        <v>4.6900000000000004</v>
      </c>
      <c r="BO88" s="64">
        <f>IFERROR(1/J88*(X88/H88),"0")</f>
        <v>7.575757575757576E-3</v>
      </c>
      <c r="BP88" s="64">
        <f>IFERROR(1/J88*(Y88/H88),"0")</f>
        <v>7.575757575757576E-3</v>
      </c>
    </row>
    <row r="89" spans="1:68" x14ac:dyDescent="0.2">
      <c r="A89" s="568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70"/>
      <c r="P89" s="567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67.666666666666657</v>
      </c>
      <c r="Y89" s="557">
        <f>IFERROR(Y85/H85,"0")+IFERROR(Y86/H86,"0")+IFERROR(Y87/H87,"0")+IFERROR(Y88/H88,"0")</f>
        <v>68</v>
      </c>
      <c r="Z89" s="557">
        <f>IFERROR(IF(Z85="",0,Z85),"0")+IFERROR(IF(Z86="",0,Z86),"0")+IFERROR(IF(Z87="",0,Z87),"0")+IFERROR(IF(Z88="",0,Z88),"0")</f>
        <v>1.28068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70"/>
      <c r="P90" s="567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724.5</v>
      </c>
      <c r="Y90" s="557">
        <f>IFERROR(SUM(Y85:Y88),"0")</f>
        <v>728.1</v>
      </c>
      <c r="Z90" s="37"/>
      <c r="AA90" s="558"/>
      <c r="AB90" s="558"/>
      <c r="AC90" s="558"/>
    </row>
    <row r="91" spans="1:68" ht="14.25" customHeight="1" x14ac:dyDescent="0.25">
      <c r="A91" s="576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55">
        <v>336</v>
      </c>
      <c r="Y92" s="556">
        <f>IFERROR(IF(X92="",0,CEILING((X92/$H92),1)*$H92),"")</f>
        <v>340.2</v>
      </c>
      <c r="Z92" s="36">
        <f>IFERROR(IF(Y92=0,"",ROUNDUP(Y92/H92,0)*0.01898),"")</f>
        <v>0.79715999999999998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356.49185185185183</v>
      </c>
      <c r="BN92" s="64">
        <f>IFERROR(Y92*I92/H92,"0")</f>
        <v>360.94799999999998</v>
      </c>
      <c r="BO92" s="64">
        <f>IFERROR(1/J92*(X92/H92),"0")</f>
        <v>0.64814814814814814</v>
      </c>
      <c r="BP92" s="64">
        <f>IFERROR(1/J92*(Y92/H92),"0")</f>
        <v>0.65625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55">
        <v>36</v>
      </c>
      <c r="Y94" s="556">
        <f>IFERROR(IF(X94="",0,CEILING((X94/$H94),1)*$H94),"")</f>
        <v>37.800000000000004</v>
      </c>
      <c r="Z94" s="36">
        <f>IFERROR(IF(Y94=0,"",ROUNDUP(Y94/H94,0)*0.00651),"")</f>
        <v>9.1139999999999999E-2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39.359999999999992</v>
      </c>
      <c r="BN94" s="64">
        <f>IFERROR(Y94*I94/H94,"0")</f>
        <v>41.328000000000003</v>
      </c>
      <c r="BO94" s="64">
        <f>IFERROR(1/J94*(X94/H94),"0")</f>
        <v>7.3260073260073263E-2</v>
      </c>
      <c r="BP94" s="64">
        <f>IFERROR(1/J94*(Y94/H94),"0")</f>
        <v>7.6923076923076927E-2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83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8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70"/>
      <c r="P96" s="567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54.81481481481481</v>
      </c>
      <c r="Y96" s="557">
        <f>IFERROR(Y92/H92,"0")+IFERROR(Y93/H93,"0")+IFERROR(Y94/H94,"0")+IFERROR(Y95/H95,"0")</f>
        <v>56</v>
      </c>
      <c r="Z96" s="557">
        <f>IFERROR(IF(Z92="",0,Z92),"0")+IFERROR(IF(Z93="",0,Z93),"0")+IFERROR(IF(Z94="",0,Z94),"0")+IFERROR(IF(Z95="",0,Z95),"0")</f>
        <v>0.88829999999999998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70"/>
      <c r="P97" s="567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372</v>
      </c>
      <c r="Y97" s="557">
        <f>IFERROR(SUM(Y92:Y95),"0")</f>
        <v>378</v>
      </c>
      <c r="Z97" s="37"/>
      <c r="AA97" s="558"/>
      <c r="AB97" s="558"/>
      <c r="AC97" s="558"/>
    </row>
    <row r="98" spans="1:68" ht="16.5" customHeight="1" x14ac:dyDescent="0.25">
      <c r="A98" s="577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6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55">
        <v>530</v>
      </c>
      <c r="Y100" s="556">
        <f>IFERROR(IF(X100="",0,CEILING((X100/$H100),1)*$H100),"")</f>
        <v>540</v>
      </c>
      <c r="Z100" s="36">
        <f>IFERROR(IF(Y100=0,"",ROUNDUP(Y100/H100,0)*0.01898),"")</f>
        <v>0.94900000000000007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550.12037037037032</v>
      </c>
      <c r="BN100" s="64">
        <f>IFERROR(Y100*I100/H100,"0")</f>
        <v>560.5</v>
      </c>
      <c r="BO100" s="64">
        <f>IFERROR(1/J100*(X100/H100),"0")</f>
        <v>0.76678240740740733</v>
      </c>
      <c r="BP100" s="64">
        <f>IFERROR(1/J100*(Y100/H100),"0")</f>
        <v>0.78125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64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6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8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70"/>
      <c r="P105" s="567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49.074074074074069</v>
      </c>
      <c r="Y105" s="557">
        <f>IFERROR(Y100/H100,"0")+IFERROR(Y101/H101,"0")+IFERROR(Y102/H102,"0")+IFERROR(Y103/H103,"0")+IFERROR(Y104/H104,"0")</f>
        <v>50</v>
      </c>
      <c r="Z105" s="557">
        <f>IFERROR(IF(Z100="",0,Z100),"0")+IFERROR(IF(Z101="",0,Z101),"0")+IFERROR(IF(Z102="",0,Z102),"0")+IFERROR(IF(Z103="",0,Z103),"0")+IFERROR(IF(Z104="",0,Z104),"0")</f>
        <v>0.94900000000000007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70"/>
      <c r="P106" s="567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530</v>
      </c>
      <c r="Y106" s="557">
        <f>IFERROR(SUM(Y100:Y104),"0")</f>
        <v>540</v>
      </c>
      <c r="Z106" s="37"/>
      <c r="AA106" s="558"/>
      <c r="AB106" s="558"/>
      <c r="AC106" s="558"/>
    </row>
    <row r="107" spans="1:68" ht="14.25" customHeight="1" x14ac:dyDescent="0.25">
      <c r="A107" s="576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0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2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8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70"/>
      <c r="P112" s="567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70"/>
      <c r="P113" s="567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6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1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55">
        <v>700</v>
      </c>
      <c r="Y115" s="556">
        <f>IFERROR(IF(X115="",0,CEILING((X115/$H115),1)*$H115),"")</f>
        <v>704.69999999999993</v>
      </c>
      <c r="Z115" s="36">
        <f>IFERROR(IF(Y115=0,"",ROUNDUP(Y115/H115,0)*0.01898),"")</f>
        <v>1.65126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742.17283950617275</v>
      </c>
      <c r="BN115" s="64">
        <f>IFERROR(Y115*I115/H115,"0")</f>
        <v>747.15599999999995</v>
      </c>
      <c r="BO115" s="64">
        <f>IFERROR(1/J115*(X115/H115),"0")</f>
        <v>1.3503086419753088</v>
      </c>
      <c r="BP115" s="64">
        <f>IFERROR(1/J115*(Y115/H115),"0")</f>
        <v>1.359375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1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55">
        <v>36</v>
      </c>
      <c r="Y117" s="556">
        <f>IFERROR(IF(X117="",0,CEILING((X117/$H117),1)*$H117),"")</f>
        <v>37.800000000000004</v>
      </c>
      <c r="Z117" s="36">
        <f>IFERROR(IF(Y117=0,"",ROUNDUP(Y117/H117,0)*0.00651),"")</f>
        <v>9.1139999999999999E-2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39.359999999999992</v>
      </c>
      <c r="BN117" s="64">
        <f>IFERROR(Y117*I117/H117,"0")</f>
        <v>41.328000000000003</v>
      </c>
      <c r="BO117" s="64">
        <f>IFERROR(1/J117*(X117/H117),"0")</f>
        <v>7.3260073260073263E-2</v>
      </c>
      <c r="BP117" s="64">
        <f>IFERROR(1/J117*(Y117/H117),"0")</f>
        <v>7.6923076923076927E-2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8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70"/>
      <c r="P119" s="567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99.753086419753089</v>
      </c>
      <c r="Y119" s="557">
        <f>IFERROR(Y115/H115,"0")+IFERROR(Y116/H116,"0")+IFERROR(Y117/H117,"0")+IFERROR(Y118/H118,"0")</f>
        <v>101</v>
      </c>
      <c r="Z119" s="557">
        <f>IFERROR(IF(Z115="",0,Z115),"0")+IFERROR(IF(Z116="",0,Z116),"0")+IFERROR(IF(Z117="",0,Z117),"0")+IFERROR(IF(Z118="",0,Z118),"0")</f>
        <v>1.7423999999999999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70"/>
      <c r="P120" s="567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736</v>
      </c>
      <c r="Y120" s="557">
        <f>IFERROR(SUM(Y115:Y118),"0")</f>
        <v>742.49999999999989</v>
      </c>
      <c r="Z120" s="37"/>
      <c r="AA120" s="558"/>
      <c r="AB120" s="558"/>
      <c r="AC120" s="558"/>
    </row>
    <row r="121" spans="1:68" ht="14.25" customHeight="1" x14ac:dyDescent="0.25">
      <c r="A121" s="576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8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70"/>
      <c r="P123" s="567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70"/>
      <c r="P124" s="567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77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6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8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70"/>
      <c r="P129" s="567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70"/>
      <c r="P130" s="567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6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7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2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8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70"/>
      <c r="P134" s="567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70"/>
      <c r="P135" s="567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6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8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5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8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70"/>
      <c r="P139" s="567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70"/>
      <c r="P140" s="567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77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6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8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70"/>
      <c r="P145" s="567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70"/>
      <c r="P146" s="567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6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5"/>
      <c r="R148" s="565"/>
      <c r="S148" s="565"/>
      <c r="T148" s="566"/>
      <c r="U148" s="34"/>
      <c r="V148" s="34"/>
      <c r="W148" s="35" t="s">
        <v>69</v>
      </c>
      <c r="X148" s="555">
        <v>50</v>
      </c>
      <c r="Y148" s="556">
        <f t="shared" ref="Y148:Y153" si="5">IFERROR(IF(X148="",0,CEILING((X148/$H148),1)*$H148),"")</f>
        <v>54</v>
      </c>
      <c r="Z148" s="36">
        <f>IFERROR(IF(Y148=0,"",ROUNDUP(Y148/H148,0)*0.01898),"")</f>
        <v>0.11388000000000001</v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53.111111111111114</v>
      </c>
      <c r="BN148" s="64">
        <f t="shared" ref="BN148:BN153" si="7">IFERROR(Y148*I148/H148,"0")</f>
        <v>57.36</v>
      </c>
      <c r="BO148" s="64">
        <f t="shared" ref="BO148:BO153" si="8">IFERROR(1/J148*(X148/H148),"0")</f>
        <v>8.6805555555555552E-2</v>
      </c>
      <c r="BP148" s="64">
        <f t="shared" ref="BP148:BP153" si="9">IFERROR(1/J148*(Y148/H148),"0")</f>
        <v>9.375E-2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8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5"/>
      <c r="R149" s="565"/>
      <c r="S149" s="565"/>
      <c r="T149" s="566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5"/>
      <c r="R150" s="565"/>
      <c r="S150" s="565"/>
      <c r="T150" s="566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5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5"/>
      <c r="R151" s="565"/>
      <c r="S151" s="565"/>
      <c r="T151" s="566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86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55">
        <v>70</v>
      </c>
      <c r="Y152" s="556">
        <f t="shared" si="5"/>
        <v>72</v>
      </c>
      <c r="Z152" s="36">
        <f>IFERROR(IF(Y152=0,"",ROUNDUP(Y152/H152,0)*0.01898),"")</f>
        <v>0.15184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74.355555555555554</v>
      </c>
      <c r="BN152" s="64">
        <f t="shared" si="7"/>
        <v>76.48</v>
      </c>
      <c r="BO152" s="64">
        <f t="shared" si="8"/>
        <v>0.12152777777777778</v>
      </c>
      <c r="BP152" s="64">
        <f t="shared" si="9"/>
        <v>0.125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2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5"/>
      <c r="R153" s="565"/>
      <c r="S153" s="565"/>
      <c r="T153" s="566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8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70"/>
      <c r="P154" s="567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13.333333333333332</v>
      </c>
      <c r="Y154" s="557">
        <f>IFERROR(Y148/H148,"0")+IFERROR(Y149/H149,"0")+IFERROR(Y150/H150,"0")+IFERROR(Y151/H151,"0")+IFERROR(Y152/H152,"0")+IFERROR(Y153/H153,"0")</f>
        <v>14</v>
      </c>
      <c r="Z154" s="557">
        <f>IFERROR(IF(Z148="",0,Z148),"0")+IFERROR(IF(Z149="",0,Z149),"0")+IFERROR(IF(Z150="",0,Z150),"0")+IFERROR(IF(Z151="",0,Z151),"0")+IFERROR(IF(Z152="",0,Z152),"0")+IFERROR(IF(Z153="",0,Z153),"0")</f>
        <v>0.26572000000000001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70"/>
      <c r="P155" s="567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120</v>
      </c>
      <c r="Y155" s="557">
        <f>IFERROR(SUM(Y148:Y153),"0")</f>
        <v>126</v>
      </c>
      <c r="Z155" s="37"/>
      <c r="AA155" s="558"/>
      <c r="AB155" s="558"/>
      <c r="AC155" s="558"/>
    </row>
    <row r="156" spans="1:68" ht="14.25" customHeight="1" x14ac:dyDescent="0.25">
      <c r="A156" s="576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70"/>
      <c r="P158" s="567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70"/>
      <c r="P159" s="567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605" t="s">
        <v>268</v>
      </c>
      <c r="B160" s="606"/>
      <c r="C160" s="606"/>
      <c r="D160" s="606"/>
      <c r="E160" s="606"/>
      <c r="F160" s="606"/>
      <c r="G160" s="606"/>
      <c r="H160" s="606"/>
      <c r="I160" s="606"/>
      <c r="J160" s="606"/>
      <c r="K160" s="606"/>
      <c r="L160" s="606"/>
      <c r="M160" s="606"/>
      <c r="N160" s="606"/>
      <c r="O160" s="606"/>
      <c r="P160" s="606"/>
      <c r="Q160" s="606"/>
      <c r="R160" s="606"/>
      <c r="S160" s="606"/>
      <c r="T160" s="606"/>
      <c r="U160" s="606"/>
      <c r="V160" s="606"/>
      <c r="W160" s="606"/>
      <c r="X160" s="606"/>
      <c r="Y160" s="606"/>
      <c r="Z160" s="606"/>
      <c r="AA160" s="48"/>
      <c r="AB160" s="48"/>
      <c r="AC160" s="48"/>
    </row>
    <row r="161" spans="1:68" ht="16.5" customHeight="1" x14ac:dyDescent="0.25">
      <c r="A161" s="577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6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8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70"/>
      <c r="P164" s="567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70"/>
      <c r="P165" s="567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6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86" t="s">
        <v>276</v>
      </c>
      <c r="Q167" s="565"/>
      <c r="R167" s="565"/>
      <c r="S167" s="565"/>
      <c r="T167" s="566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21" t="s">
        <v>281</v>
      </c>
      <c r="Q168" s="565"/>
      <c r="R168" s="565"/>
      <c r="S168" s="565"/>
      <c r="T168" s="566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5"/>
      <c r="R169" s="565"/>
      <c r="S169" s="565"/>
      <c r="T169" s="566"/>
      <c r="U169" s="34"/>
      <c r="V169" s="34"/>
      <c r="W169" s="35" t="s">
        <v>69</v>
      </c>
      <c r="X169" s="555">
        <v>85</v>
      </c>
      <c r="Y169" s="556">
        <f t="shared" si="10"/>
        <v>88.2</v>
      </c>
      <c r="Z169" s="36">
        <f>IFERROR(IF(Y169=0,"",ROUNDUP(Y169/H169,0)*0.00902),"")</f>
        <v>0.18942000000000001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90.05952380952381</v>
      </c>
      <c r="BN169" s="64">
        <f t="shared" si="12"/>
        <v>93.45</v>
      </c>
      <c r="BO169" s="64">
        <f t="shared" si="13"/>
        <v>0.15331890331890333</v>
      </c>
      <c r="BP169" s="64">
        <f t="shared" si="14"/>
        <v>0.15909090909090909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8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5"/>
      <c r="R170" s="565"/>
      <c r="S170" s="565"/>
      <c r="T170" s="566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5"/>
      <c r="R171" s="565"/>
      <c r="S171" s="565"/>
      <c r="T171" s="566"/>
      <c r="U171" s="34"/>
      <c r="V171" s="34"/>
      <c r="W171" s="35" t="s">
        <v>69</v>
      </c>
      <c r="X171" s="555">
        <v>60</v>
      </c>
      <c r="Y171" s="556">
        <f t="shared" si="10"/>
        <v>63</v>
      </c>
      <c r="Z171" s="36">
        <f>IFERROR(IF(Y171=0,"",ROUNDUP(Y171/H171,0)*0.00902),"")</f>
        <v>0.1353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62.714285714285708</v>
      </c>
      <c r="BN171" s="64">
        <f t="shared" si="12"/>
        <v>65.849999999999994</v>
      </c>
      <c r="BO171" s="64">
        <f t="shared" si="13"/>
        <v>0.10822510822510822</v>
      </c>
      <c r="BP171" s="64">
        <f t="shared" si="14"/>
        <v>0.11363636363636365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7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5"/>
      <c r="R173" s="565"/>
      <c r="S173" s="565"/>
      <c r="T173" s="566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8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5"/>
      <c r="R175" s="565"/>
      <c r="S175" s="565"/>
      <c r="T175" s="566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5"/>
      <c r="R176" s="565"/>
      <c r="S176" s="565"/>
      <c r="T176" s="566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6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5"/>
      <c r="R177" s="565"/>
      <c r="S177" s="565"/>
      <c r="T177" s="566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5"/>
      <c r="R178" s="565"/>
      <c r="S178" s="565"/>
      <c r="T178" s="566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5"/>
      <c r="R179" s="565"/>
      <c r="S179" s="565"/>
      <c r="T179" s="566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5"/>
      <c r="R180" s="565"/>
      <c r="S180" s="565"/>
      <c r="T180" s="566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8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70"/>
      <c r="P181" s="567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34.523809523809518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36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0.32472000000000001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70"/>
      <c r="P182" s="567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145</v>
      </c>
      <c r="Y182" s="557">
        <f>IFERROR(SUM(Y167:Y180),"0")</f>
        <v>151.19999999999999</v>
      </c>
      <c r="Z182" s="37"/>
      <c r="AA182" s="558"/>
      <c r="AB182" s="558"/>
      <c r="AC182" s="558"/>
    </row>
    <row r="183" spans="1:68" ht="14.25" customHeight="1" x14ac:dyDescent="0.25">
      <c r="A183" s="576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5"/>
      <c r="R185" s="565"/>
      <c r="S185" s="565"/>
      <c r="T185" s="566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5"/>
      <c r="R186" s="565"/>
      <c r="S186" s="565"/>
      <c r="T186" s="566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70"/>
      <c r="P187" s="567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70"/>
      <c r="P188" s="567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6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5"/>
      <c r="R190" s="565"/>
      <c r="S190" s="565"/>
      <c r="T190" s="566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68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70"/>
      <c r="P191" s="567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70"/>
      <c r="P192" s="567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77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6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5"/>
      <c r="R195" s="565"/>
      <c r="S195" s="565"/>
      <c r="T195" s="566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6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5"/>
      <c r="R196" s="565"/>
      <c r="S196" s="565"/>
      <c r="T196" s="566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68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70"/>
      <c r="P197" s="567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70"/>
      <c r="P198" s="567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6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5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5"/>
      <c r="R200" s="565"/>
      <c r="S200" s="565"/>
      <c r="T200" s="566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6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5"/>
      <c r="R201" s="565"/>
      <c r="S201" s="565"/>
      <c r="T201" s="566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68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70"/>
      <c r="P202" s="567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70"/>
      <c r="P203" s="567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6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55">
        <v>385</v>
      </c>
      <c r="Y205" s="556">
        <f t="shared" ref="Y205:Y212" si="15">IFERROR(IF(X205="",0,CEILING((X205/$H205),1)*$H205),"")</f>
        <v>388.8</v>
      </c>
      <c r="Z205" s="36">
        <f>IFERROR(IF(Y205=0,"",ROUNDUP(Y205/H205,0)*0.00902),"")</f>
        <v>0.64944000000000002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398.5462962962963</v>
      </c>
      <c r="BN205" s="64">
        <f t="shared" ref="BN205:BN212" si="17">IFERROR(Y205*I205/H205,"0")</f>
        <v>402.47999999999996</v>
      </c>
      <c r="BO205" s="64">
        <f t="shared" ref="BO205:BO212" si="18">IFERROR(1/J205*(X205/H205),"0")</f>
        <v>0.54012345679012341</v>
      </c>
      <c r="BP205" s="64">
        <f t="shared" ref="BP205:BP212" si="19">IFERROR(1/J205*(Y205/H205),"0")</f>
        <v>0.54545454545454541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55">
        <v>320</v>
      </c>
      <c r="Y206" s="556">
        <f t="shared" si="15"/>
        <v>324</v>
      </c>
      <c r="Z206" s="36">
        <f>IFERROR(IF(Y206=0,"",ROUNDUP(Y206/H206,0)*0.00902),"")</f>
        <v>0.54120000000000001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331.25925925925924</v>
      </c>
      <c r="BN206" s="64">
        <f t="shared" si="17"/>
        <v>335.4</v>
      </c>
      <c r="BO206" s="64">
        <f t="shared" si="18"/>
        <v>0.44893378226711556</v>
      </c>
      <c r="BP206" s="64">
        <f t="shared" si="19"/>
        <v>0.45454545454545453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55">
        <v>165</v>
      </c>
      <c r="Y207" s="556">
        <f t="shared" si="15"/>
        <v>167.4</v>
      </c>
      <c r="Z207" s="36">
        <f>IFERROR(IF(Y207=0,"",ROUNDUP(Y207/H207,0)*0.00902),"")</f>
        <v>0.27961999999999998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170.80555555555554</v>
      </c>
      <c r="BN207" s="64">
        <f t="shared" si="17"/>
        <v>173.29</v>
      </c>
      <c r="BO207" s="64">
        <f t="shared" si="18"/>
        <v>0.23148148148148148</v>
      </c>
      <c r="BP207" s="64">
        <f t="shared" si="19"/>
        <v>0.23484848484848486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55">
        <v>380</v>
      </c>
      <c r="Y208" s="556">
        <f t="shared" si="15"/>
        <v>383.40000000000003</v>
      </c>
      <c r="Z208" s="36">
        <f>IFERROR(IF(Y208=0,"",ROUNDUP(Y208/H208,0)*0.00902),"")</f>
        <v>0.64041999999999999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393.37037037037032</v>
      </c>
      <c r="BN208" s="64">
        <f t="shared" si="17"/>
        <v>396.89</v>
      </c>
      <c r="BO208" s="64">
        <f t="shared" si="18"/>
        <v>0.53310886644219979</v>
      </c>
      <c r="BP208" s="64">
        <f t="shared" si="19"/>
        <v>0.53787878787878785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6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3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5"/>
      <c r="R211" s="565"/>
      <c r="S211" s="565"/>
      <c r="T211" s="566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5"/>
      <c r="R212" s="565"/>
      <c r="S212" s="565"/>
      <c r="T212" s="566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8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70"/>
      <c r="P213" s="567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231.48148148148147</v>
      </c>
      <c r="Y213" s="557">
        <f>IFERROR(Y205/H205,"0")+IFERROR(Y206/H206,"0")+IFERROR(Y207/H207,"0")+IFERROR(Y208/H208,"0")+IFERROR(Y209/H209,"0")+IFERROR(Y210/H210,"0")+IFERROR(Y211/H211,"0")+IFERROR(Y212/H212,"0")</f>
        <v>234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2.1106800000000003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70"/>
      <c r="P214" s="567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1250</v>
      </c>
      <c r="Y214" s="557">
        <f>IFERROR(SUM(Y205:Y212),"0")</f>
        <v>1263.5999999999999</v>
      </c>
      <c r="Z214" s="37"/>
      <c r="AA214" s="558"/>
      <c r="AB214" s="558"/>
      <c r="AC214" s="558"/>
    </row>
    <row r="215" spans="1:68" ht="14.25" customHeight="1" x14ac:dyDescent="0.25">
      <c r="A215" s="576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5"/>
      <c r="R217" s="565"/>
      <c r="S217" s="565"/>
      <c r="T217" s="566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5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5"/>
      <c r="R221" s="565"/>
      <c r="S221" s="565"/>
      <c r="T221" s="566"/>
      <c r="U221" s="34"/>
      <c r="V221" s="34"/>
      <c r="W221" s="35" t="s">
        <v>69</v>
      </c>
      <c r="X221" s="555">
        <v>16</v>
      </c>
      <c r="Y221" s="556">
        <f t="shared" si="20"/>
        <v>16.8</v>
      </c>
      <c r="Z221" s="36">
        <f t="shared" si="25"/>
        <v>4.5569999999999999E-2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17.680000000000003</v>
      </c>
      <c r="BN221" s="64">
        <f t="shared" si="22"/>
        <v>18.564000000000004</v>
      </c>
      <c r="BO221" s="64">
        <f t="shared" si="23"/>
        <v>3.6630036630036632E-2</v>
      </c>
      <c r="BP221" s="64">
        <f t="shared" si="24"/>
        <v>3.8461538461538471E-2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6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5"/>
      <c r="R223" s="565"/>
      <c r="S223" s="565"/>
      <c r="T223" s="566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5"/>
      <c r="R224" s="565"/>
      <c r="S224" s="565"/>
      <c r="T224" s="566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8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70"/>
      <c r="P225" s="567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6.666666666666667</v>
      </c>
      <c r="Y225" s="557">
        <f>IFERROR(Y216/H216,"0")+IFERROR(Y217/H217,"0")+IFERROR(Y218/H218,"0")+IFERROR(Y219/H219,"0")+IFERROR(Y220/H220,"0")+IFERROR(Y221/H221,"0")+IFERROR(Y222/H222,"0")+IFERROR(Y223/H223,"0")+IFERROR(Y224/H224,"0")</f>
        <v>7.0000000000000009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4.5569999999999999E-2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70"/>
      <c r="P226" s="567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16</v>
      </c>
      <c r="Y226" s="557">
        <f>IFERROR(SUM(Y216:Y224),"0")</f>
        <v>16.8</v>
      </c>
      <c r="Z226" s="37"/>
      <c r="AA226" s="558"/>
      <c r="AB226" s="558"/>
      <c r="AC226" s="558"/>
    </row>
    <row r="227" spans="1:68" ht="14.25" customHeight="1" x14ac:dyDescent="0.25">
      <c r="A227" s="576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6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5"/>
      <c r="R228" s="565"/>
      <c r="S228" s="565"/>
      <c r="T228" s="566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5"/>
      <c r="R229" s="565"/>
      <c r="S229" s="565"/>
      <c r="T229" s="566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68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70"/>
      <c r="P230" s="567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70"/>
      <c r="P231" s="567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77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6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8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1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7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8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6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8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5"/>
      <c r="R242" s="565"/>
      <c r="S242" s="565"/>
      <c r="T242" s="566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8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70"/>
      <c r="P243" s="567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70"/>
      <c r="P244" s="567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6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5"/>
      <c r="R246" s="565"/>
      <c r="S246" s="565"/>
      <c r="T246" s="566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70"/>
      <c r="P247" s="567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70"/>
      <c r="P248" s="567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6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5"/>
      <c r="R250" s="565"/>
      <c r="S250" s="565"/>
      <c r="T250" s="566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8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70"/>
      <c r="P251" s="567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70"/>
      <c r="P252" s="567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6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81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5"/>
      <c r="R257" s="565"/>
      <c r="S257" s="565"/>
      <c r="T257" s="566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2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5"/>
      <c r="R258" s="565"/>
      <c r="S258" s="565"/>
      <c r="T258" s="566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70"/>
      <c r="P259" s="567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70"/>
      <c r="P260" s="567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77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6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5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8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55">
        <v>110</v>
      </c>
      <c r="Y265" s="556">
        <f>IFERROR(IF(X265="",0,CEILING((X265/$H265),1)*$H265),"")</f>
        <v>118.80000000000001</v>
      </c>
      <c r="Z265" s="36">
        <f>IFERROR(IF(Y265=0,"",ROUNDUP(Y265/H265,0)*0.01898),"")</f>
        <v>0.20877999999999999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114.17592592592594</v>
      </c>
      <c r="BN265" s="64">
        <f>IFERROR(Y265*I265/H265,"0")</f>
        <v>123.31000000000002</v>
      </c>
      <c r="BO265" s="64">
        <f>IFERROR(1/J265*(X265/H265),"0")</f>
        <v>0.15914351851851852</v>
      </c>
      <c r="BP265" s="64">
        <f>IFERROR(1/J265*(Y265/H265),"0")</f>
        <v>0.171875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83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5"/>
      <c r="R266" s="565"/>
      <c r="S266" s="565"/>
      <c r="T266" s="566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5"/>
      <c r="R267" s="565"/>
      <c r="S267" s="565"/>
      <c r="T267" s="566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8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70"/>
      <c r="P268" s="567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10.185185185185185</v>
      </c>
      <c r="Y268" s="557">
        <f>IFERROR(Y263/H263,"0")+IFERROR(Y264/H264,"0")+IFERROR(Y265/H265,"0")+IFERROR(Y266/H266,"0")+IFERROR(Y267/H267,"0")</f>
        <v>11</v>
      </c>
      <c r="Z268" s="557">
        <f>IFERROR(IF(Z263="",0,Z263),"0")+IFERROR(IF(Z264="",0,Z264),"0")+IFERROR(IF(Z265="",0,Z265),"0")+IFERROR(IF(Z266="",0,Z266),"0")+IFERROR(IF(Z267="",0,Z267),"0")</f>
        <v>0.20877999999999999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70"/>
      <c r="P269" s="567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110</v>
      </c>
      <c r="Y269" s="557">
        <f>IFERROR(SUM(Y263:Y267),"0")</f>
        <v>118.80000000000001</v>
      </c>
      <c r="Z269" s="37"/>
      <c r="AA269" s="558"/>
      <c r="AB269" s="558"/>
      <c r="AC269" s="558"/>
    </row>
    <row r="270" spans="1:68" ht="16.5" customHeight="1" x14ac:dyDescent="0.25">
      <c r="A270" s="577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6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6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5"/>
      <c r="R272" s="565"/>
      <c r="S272" s="565"/>
      <c r="T272" s="566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82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6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5"/>
      <c r="R274" s="565"/>
      <c r="S274" s="565"/>
      <c r="T274" s="566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86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5"/>
      <c r="R275" s="565"/>
      <c r="S275" s="565"/>
      <c r="T275" s="566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68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70"/>
      <c r="P276" s="567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70"/>
      <c r="P277" s="567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77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6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5"/>
      <c r="R280" s="565"/>
      <c r="S280" s="565"/>
      <c r="T280" s="566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5"/>
      <c r="R281" s="565"/>
      <c r="S281" s="565"/>
      <c r="T281" s="566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70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5"/>
      <c r="R282" s="565"/>
      <c r="S282" s="565"/>
      <c r="T282" s="566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68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70"/>
      <c r="P283" s="567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70"/>
      <c r="P284" s="567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77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6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5"/>
      <c r="R287" s="565"/>
      <c r="S287" s="565"/>
      <c r="T287" s="566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5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5"/>
      <c r="R288" s="565"/>
      <c r="S288" s="565"/>
      <c r="T288" s="566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68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70"/>
      <c r="P289" s="567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70"/>
      <c r="P290" s="567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6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5"/>
      <c r="R292" s="565"/>
      <c r="S292" s="565"/>
      <c r="T292" s="566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5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5"/>
      <c r="R293" s="565"/>
      <c r="S293" s="565"/>
      <c r="T293" s="566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8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70"/>
      <c r="P294" s="567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70"/>
      <c r="P295" s="567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77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6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62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2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55">
        <v>50</v>
      </c>
      <c r="Y299" s="556">
        <f t="shared" si="31"/>
        <v>54</v>
      </c>
      <c r="Z299" s="36">
        <f>IFERROR(IF(Y299=0,"",ROUNDUP(Y299/H299,0)*0.01898),"")</f>
        <v>9.4899999999999998E-2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51.898148148148145</v>
      </c>
      <c r="BN299" s="64">
        <f t="shared" si="33"/>
        <v>56.05</v>
      </c>
      <c r="BO299" s="64">
        <f t="shared" si="34"/>
        <v>7.2337962962962965E-2</v>
      </c>
      <c r="BP299" s="64">
        <f t="shared" si="35"/>
        <v>7.8125E-2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7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5"/>
      <c r="R301" s="565"/>
      <c r="S301" s="565"/>
      <c r="T301" s="566"/>
      <c r="U301" s="34"/>
      <c r="V301" s="34"/>
      <c r="W301" s="35" t="s">
        <v>69</v>
      </c>
      <c r="X301" s="555">
        <v>70</v>
      </c>
      <c r="Y301" s="556">
        <f t="shared" si="31"/>
        <v>75.600000000000009</v>
      </c>
      <c r="Z301" s="36">
        <f>IFERROR(IF(Y301=0,"",ROUNDUP(Y301/H301,0)*0.01898),"")</f>
        <v>0.13286000000000001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72.657407407407405</v>
      </c>
      <c r="BN301" s="64">
        <f t="shared" si="33"/>
        <v>78.47</v>
      </c>
      <c r="BO301" s="64">
        <f t="shared" si="34"/>
        <v>0.10127314814814814</v>
      </c>
      <c r="BP301" s="64">
        <f t="shared" si="35"/>
        <v>0.109375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8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5"/>
      <c r="R302" s="565"/>
      <c r="S302" s="565"/>
      <c r="T302" s="566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7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5"/>
      <c r="R303" s="565"/>
      <c r="S303" s="565"/>
      <c r="T303" s="566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68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70"/>
      <c r="P304" s="567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11.111111111111111</v>
      </c>
      <c r="Y304" s="557">
        <f>IFERROR(Y298/H298,"0")+IFERROR(Y299/H299,"0")+IFERROR(Y300/H300,"0")+IFERROR(Y301/H301,"0")+IFERROR(Y302/H302,"0")+IFERROR(Y303/H303,"0")</f>
        <v>12</v>
      </c>
      <c r="Z304" s="557">
        <f>IFERROR(IF(Z298="",0,Z298),"0")+IFERROR(IF(Z299="",0,Z299),"0")+IFERROR(IF(Z300="",0,Z300),"0")+IFERROR(IF(Z301="",0,Z301),"0")+IFERROR(IF(Z302="",0,Z302),"0")+IFERROR(IF(Z303="",0,Z303),"0")</f>
        <v>0.22776000000000002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70"/>
      <c r="P305" s="567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120</v>
      </c>
      <c r="Y305" s="557">
        <f>IFERROR(SUM(Y298:Y303),"0")</f>
        <v>129.60000000000002</v>
      </c>
      <c r="Z305" s="37"/>
      <c r="AA305" s="558"/>
      <c r="AB305" s="558"/>
      <c r="AC305" s="558"/>
    </row>
    <row r="306" spans="1:68" ht="14.25" customHeight="1" x14ac:dyDescent="0.25">
      <c r="A306" s="576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5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55">
        <v>185</v>
      </c>
      <c r="Y307" s="556">
        <f t="shared" ref="Y307:Y312" si="36">IFERROR(IF(X307="",0,CEILING((X307/$H307),1)*$H307),"")</f>
        <v>189</v>
      </c>
      <c r="Z307" s="36">
        <f>IFERROR(IF(Y307=0,"",ROUNDUP(Y307/H307,0)*0.00902),"")</f>
        <v>0.40590000000000004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196.01190476190476</v>
      </c>
      <c r="BN307" s="64">
        <f t="shared" ref="BN307:BN312" si="38">IFERROR(Y307*I307/H307,"0")</f>
        <v>200.25</v>
      </c>
      <c r="BO307" s="64">
        <f t="shared" ref="BO307:BO312" si="39">IFERROR(1/J307*(X307/H307),"0")</f>
        <v>0.33369408369408365</v>
      </c>
      <c r="BP307" s="64">
        <f t="shared" ref="BP307:BP312" si="40">IFERROR(1/J307*(Y307/H307),"0")</f>
        <v>0.34090909090909094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55">
        <v>170</v>
      </c>
      <c r="Y308" s="556">
        <f t="shared" si="36"/>
        <v>172.20000000000002</v>
      </c>
      <c r="Z308" s="36">
        <f>IFERROR(IF(Y308=0,"",ROUNDUP(Y308/H308,0)*0.00902),"")</f>
        <v>0.36982000000000004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180.11904761904762</v>
      </c>
      <c r="BN308" s="64">
        <f t="shared" si="38"/>
        <v>182.45000000000002</v>
      </c>
      <c r="BO308" s="64">
        <f t="shared" si="39"/>
        <v>0.30663780663780665</v>
      </c>
      <c r="BP308" s="64">
        <f t="shared" si="40"/>
        <v>0.31060606060606061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5"/>
      <c r="R310" s="565"/>
      <c r="S310" s="565"/>
      <c r="T310" s="566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5"/>
      <c r="R311" s="565"/>
      <c r="S311" s="565"/>
      <c r="T311" s="566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7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5"/>
      <c r="R312" s="565"/>
      <c r="S312" s="565"/>
      <c r="T312" s="566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68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70"/>
      <c r="P313" s="567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84.523809523809518</v>
      </c>
      <c r="Y313" s="557">
        <f>IFERROR(Y307/H307,"0")+IFERROR(Y308/H308,"0")+IFERROR(Y309/H309,"0")+IFERROR(Y310/H310,"0")+IFERROR(Y311/H311,"0")+IFERROR(Y312/H312,"0")</f>
        <v>86</v>
      </c>
      <c r="Z313" s="557">
        <f>IFERROR(IF(Z307="",0,Z307),"0")+IFERROR(IF(Z308="",0,Z308),"0")+IFERROR(IF(Z309="",0,Z309),"0")+IFERROR(IF(Z310="",0,Z310),"0")+IFERROR(IF(Z311="",0,Z311),"0")+IFERROR(IF(Z312="",0,Z312),"0")</f>
        <v>0.77572000000000008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70"/>
      <c r="P314" s="567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355</v>
      </c>
      <c r="Y314" s="557">
        <f>IFERROR(SUM(Y307:Y312),"0")</f>
        <v>361.20000000000005</v>
      </c>
      <c r="Z314" s="37"/>
      <c r="AA314" s="558"/>
      <c r="AB314" s="558"/>
      <c r="AC314" s="558"/>
    </row>
    <row r="315" spans="1:68" ht="14.25" customHeight="1" x14ac:dyDescent="0.25">
      <c r="A315" s="576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8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5"/>
      <c r="R316" s="565"/>
      <c r="S316" s="565"/>
      <c r="T316" s="566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6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5"/>
      <c r="R317" s="565"/>
      <c r="S317" s="565"/>
      <c r="T317" s="566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69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5"/>
      <c r="R318" s="565"/>
      <c r="S318" s="565"/>
      <c r="T318" s="566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5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5"/>
      <c r="R319" s="565"/>
      <c r="S319" s="565"/>
      <c r="T319" s="566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68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70"/>
      <c r="P320" s="567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70"/>
      <c r="P321" s="567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6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5"/>
      <c r="R323" s="565"/>
      <c r="S323" s="565"/>
      <c r="T323" s="566"/>
      <c r="U323" s="34"/>
      <c r="V323" s="34"/>
      <c r="W323" s="35" t="s">
        <v>69</v>
      </c>
      <c r="X323" s="555">
        <v>24</v>
      </c>
      <c r="Y323" s="556">
        <f>IFERROR(IF(X323="",0,CEILING((X323/$H323),1)*$H323),"")</f>
        <v>25.200000000000003</v>
      </c>
      <c r="Z323" s="36">
        <f>IFERROR(IF(Y323=0,"",ROUNDUP(Y323/H323,0)*0.01898),"")</f>
        <v>5.6940000000000004E-2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25.411428571428573</v>
      </c>
      <c r="BN323" s="64">
        <f>IFERROR(Y323*I323/H323,"0")</f>
        <v>26.682000000000002</v>
      </c>
      <c r="BO323" s="64">
        <f>IFERROR(1/J323*(X323/H323),"0")</f>
        <v>4.4642857142857144E-2</v>
      </c>
      <c r="BP323" s="64">
        <f>IFERROR(1/J323*(Y323/H323),"0")</f>
        <v>4.6875E-2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5"/>
      <c r="R324" s="565"/>
      <c r="S324" s="565"/>
      <c r="T324" s="566"/>
      <c r="U324" s="34"/>
      <c r="V324" s="34"/>
      <c r="W324" s="35" t="s">
        <v>69</v>
      </c>
      <c r="X324" s="555">
        <v>212</v>
      </c>
      <c r="Y324" s="556">
        <f>IFERROR(IF(X324="",0,CEILING((X324/$H324),1)*$H324),"")</f>
        <v>218.4</v>
      </c>
      <c r="Z324" s="36">
        <f>IFERROR(IF(Y324=0,"",ROUNDUP(Y324/H324,0)*0.01898),"")</f>
        <v>0.53144000000000002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225.4266666666667</v>
      </c>
      <c r="BN324" s="64">
        <f>IFERROR(Y324*I324/H324,"0")</f>
        <v>232.23200000000003</v>
      </c>
      <c r="BO324" s="64">
        <f>IFERROR(1/J324*(X324/H324),"0")</f>
        <v>0.42467948717948717</v>
      </c>
      <c r="BP324" s="64">
        <f>IFERROR(1/J324*(Y324/H324),"0")</f>
        <v>0.4375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6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5"/>
      <c r="R325" s="565"/>
      <c r="S325" s="565"/>
      <c r="T325" s="566"/>
      <c r="U325" s="34"/>
      <c r="V325" s="34"/>
      <c r="W325" s="35" t="s">
        <v>69</v>
      </c>
      <c r="X325" s="555">
        <v>46</v>
      </c>
      <c r="Y325" s="556">
        <f>IFERROR(IF(X325="",0,CEILING((X325/$H325),1)*$H325),"")</f>
        <v>50.400000000000006</v>
      </c>
      <c r="Z325" s="36">
        <f>IFERROR(IF(Y325=0,"",ROUNDUP(Y325/H325,0)*0.01898),"")</f>
        <v>0.11388000000000001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48.705238095238094</v>
      </c>
      <c r="BN325" s="64">
        <f>IFERROR(Y325*I325/H325,"0")</f>
        <v>53.364000000000004</v>
      </c>
      <c r="BO325" s="64">
        <f>IFERROR(1/J325*(X325/H325),"0")</f>
        <v>8.5565476190476192E-2</v>
      </c>
      <c r="BP325" s="64">
        <f>IFERROR(1/J325*(Y325/H325),"0")</f>
        <v>9.375E-2</v>
      </c>
    </row>
    <row r="326" spans="1:68" x14ac:dyDescent="0.2">
      <c r="A326" s="568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70"/>
      <c r="P326" s="567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35.512820512820511</v>
      </c>
      <c r="Y326" s="557">
        <f>IFERROR(Y323/H323,"0")+IFERROR(Y324/H324,"0")+IFERROR(Y325/H325,"0")</f>
        <v>37</v>
      </c>
      <c r="Z326" s="557">
        <f>IFERROR(IF(Z323="",0,Z323),"0")+IFERROR(IF(Z324="",0,Z324),"0")+IFERROR(IF(Z325="",0,Z325),"0")</f>
        <v>0.70226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70"/>
      <c r="P327" s="567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282</v>
      </c>
      <c r="Y327" s="557">
        <f>IFERROR(SUM(Y323:Y325),"0")</f>
        <v>294</v>
      </c>
      <c r="Z327" s="37"/>
      <c r="AA327" s="558"/>
      <c r="AB327" s="558"/>
      <c r="AC327" s="558"/>
    </row>
    <row r="328" spans="1:68" ht="14.25" customHeight="1" x14ac:dyDescent="0.25">
      <c r="A328" s="576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5"/>
      <c r="R330" s="565"/>
      <c r="S330" s="565"/>
      <c r="T330" s="566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8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5"/>
      <c r="R331" s="565"/>
      <c r="S331" s="565"/>
      <c r="T331" s="566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5"/>
      <c r="R332" s="565"/>
      <c r="S332" s="565"/>
      <c r="T332" s="566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68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70"/>
      <c r="P333" s="567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70"/>
      <c r="P334" s="567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6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5"/>
      <c r="R336" s="565"/>
      <c r="S336" s="565"/>
      <c r="T336" s="566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8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5"/>
      <c r="R337" s="565"/>
      <c r="S337" s="565"/>
      <c r="T337" s="566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5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5"/>
      <c r="R338" s="565"/>
      <c r="S338" s="565"/>
      <c r="T338" s="566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68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70"/>
      <c r="P339" s="567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70"/>
      <c r="P340" s="567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77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6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6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5"/>
      <c r="R343" s="565"/>
      <c r="S343" s="565"/>
      <c r="T343" s="566"/>
      <c r="U343" s="34"/>
      <c r="V343" s="34"/>
      <c r="W343" s="35" t="s">
        <v>69</v>
      </c>
      <c r="X343" s="555">
        <v>70</v>
      </c>
      <c r="Y343" s="556">
        <f>IFERROR(IF(X343="",0,CEILING((X343/$H343),1)*$H343),"")</f>
        <v>72.899999999999991</v>
      </c>
      <c r="Z343" s="36">
        <f>IFERROR(IF(Y343=0,"",ROUNDUP(Y343/H343,0)*0.01898),"")</f>
        <v>0.17082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74.269135802469137</v>
      </c>
      <c r="BN343" s="64">
        <f>IFERROR(Y343*I343/H343,"0")</f>
        <v>77.345999999999989</v>
      </c>
      <c r="BO343" s="64">
        <f>IFERROR(1/J343*(X343/H343),"0")</f>
        <v>0.13503086419753088</v>
      </c>
      <c r="BP343" s="64">
        <f>IFERROR(1/J343*(Y343/H343),"0")</f>
        <v>0.140625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6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5"/>
      <c r="R344" s="565"/>
      <c r="S344" s="565"/>
      <c r="T344" s="566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68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5"/>
      <c r="R345" s="565"/>
      <c r="S345" s="565"/>
      <c r="T345" s="566"/>
      <c r="U345" s="34"/>
      <c r="V345" s="34"/>
      <c r="W345" s="35" t="s">
        <v>69</v>
      </c>
      <c r="X345" s="555">
        <v>10.5</v>
      </c>
      <c r="Y345" s="556">
        <f>IFERROR(IF(X345="",0,CEILING((X345/$H345),1)*$H345),"")</f>
        <v>10.5</v>
      </c>
      <c r="Z345" s="36">
        <f>IFERROR(IF(Y345=0,"",ROUNDUP(Y345/H345,0)*0.00651),"")</f>
        <v>3.2550000000000003E-2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11.7</v>
      </c>
      <c r="BN345" s="64">
        <f>IFERROR(Y345*I345/H345,"0")</f>
        <v>11.7</v>
      </c>
      <c r="BO345" s="64">
        <f>IFERROR(1/J345*(X345/H345),"0")</f>
        <v>2.7472527472527476E-2</v>
      </c>
      <c r="BP345" s="64">
        <f>IFERROR(1/J345*(Y345/H345),"0")</f>
        <v>2.7472527472527476E-2</v>
      </c>
    </row>
    <row r="346" spans="1:68" x14ac:dyDescent="0.2">
      <c r="A346" s="568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70"/>
      <c r="P346" s="567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13.641975308641976</v>
      </c>
      <c r="Y346" s="557">
        <f>IFERROR(Y343/H343,"0")+IFERROR(Y344/H344,"0")+IFERROR(Y345/H345,"0")</f>
        <v>14</v>
      </c>
      <c r="Z346" s="557">
        <f>IFERROR(IF(Z343="",0,Z343),"0")+IFERROR(IF(Z344="",0,Z344),"0")+IFERROR(IF(Z345="",0,Z345),"0")</f>
        <v>0.20337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70"/>
      <c r="P347" s="567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80.5</v>
      </c>
      <c r="Y347" s="557">
        <f>IFERROR(SUM(Y343:Y345),"0")</f>
        <v>83.399999999999991</v>
      </c>
      <c r="Z347" s="37"/>
      <c r="AA347" s="558"/>
      <c r="AB347" s="558"/>
      <c r="AC347" s="558"/>
    </row>
    <row r="348" spans="1:68" ht="27.75" customHeight="1" x14ac:dyDescent="0.2">
      <c r="A348" s="605" t="s">
        <v>562</v>
      </c>
      <c r="B348" s="606"/>
      <c r="C348" s="606"/>
      <c r="D348" s="606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  <c r="Y348" s="606"/>
      <c r="Z348" s="606"/>
      <c r="AA348" s="48"/>
      <c r="AB348" s="48"/>
      <c r="AC348" s="48"/>
    </row>
    <row r="349" spans="1:68" ht="16.5" customHeight="1" x14ac:dyDescent="0.25">
      <c r="A349" s="577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6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55">
        <v>3035</v>
      </c>
      <c r="Y351" s="556">
        <f t="shared" ref="Y351:Y357" si="41">IFERROR(IF(X351="",0,CEILING((X351/$H351),1)*$H351),"")</f>
        <v>3045</v>
      </c>
      <c r="Z351" s="36">
        <f>IFERROR(IF(Y351=0,"",ROUNDUP(Y351/H351,0)*0.02175),"")</f>
        <v>4.4152499999999995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3130.0966666666668</v>
      </c>
      <c r="BN351" s="64">
        <f t="shared" ref="BN351:BN357" si="43">IFERROR(Y351*I351/H351,"0")</f>
        <v>3140.4100000000003</v>
      </c>
      <c r="BO351" s="64">
        <f t="shared" ref="BO351:BO357" si="44">IFERROR(1/J351*(X351/H351),"0")</f>
        <v>4.2152777777777777</v>
      </c>
      <c r="BP351" s="64">
        <f t="shared" ref="BP351:BP357" si="45">IFERROR(1/J351*(Y351/H351),"0")</f>
        <v>4.2291666666666661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5"/>
      <c r="R352" s="565"/>
      <c r="S352" s="565"/>
      <c r="T352" s="566"/>
      <c r="U352" s="34"/>
      <c r="V352" s="34"/>
      <c r="W352" s="35" t="s">
        <v>69</v>
      </c>
      <c r="X352" s="555">
        <v>1740</v>
      </c>
      <c r="Y352" s="556">
        <f t="shared" si="41"/>
        <v>1740</v>
      </c>
      <c r="Z352" s="36">
        <f>IFERROR(IF(Y352=0,"",ROUNDUP(Y352/H352,0)*0.02175),"")</f>
        <v>2.5229999999999997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1794.5200000000002</v>
      </c>
      <c r="BN352" s="64">
        <f t="shared" si="43"/>
        <v>1794.5200000000002</v>
      </c>
      <c r="BO352" s="64">
        <f t="shared" si="44"/>
        <v>2.4166666666666665</v>
      </c>
      <c r="BP352" s="64">
        <f t="shared" si="45"/>
        <v>2.4166666666666665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5"/>
      <c r="R353" s="565"/>
      <c r="S353" s="565"/>
      <c r="T353" s="566"/>
      <c r="U353" s="34"/>
      <c r="V353" s="34"/>
      <c r="W353" s="35" t="s">
        <v>69</v>
      </c>
      <c r="X353" s="555">
        <v>2980</v>
      </c>
      <c r="Y353" s="556">
        <f t="shared" si="41"/>
        <v>2985</v>
      </c>
      <c r="Z353" s="36">
        <f>IFERROR(IF(Y353=0,"",ROUNDUP(Y353/H353,0)*0.02175),"")</f>
        <v>4.3282499999999997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3073.3733333333334</v>
      </c>
      <c r="BN353" s="64">
        <f t="shared" si="43"/>
        <v>3078.53</v>
      </c>
      <c r="BO353" s="64">
        <f t="shared" si="44"/>
        <v>4.1388888888888884</v>
      </c>
      <c r="BP353" s="64">
        <f t="shared" si="45"/>
        <v>4.145833333333333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64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6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5"/>
      <c r="R355" s="565"/>
      <c r="S355" s="565"/>
      <c r="T355" s="566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5"/>
      <c r="R356" s="565"/>
      <c r="S356" s="565"/>
      <c r="T356" s="566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6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5"/>
      <c r="R357" s="565"/>
      <c r="S357" s="565"/>
      <c r="T357" s="566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68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70"/>
      <c r="P358" s="567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517</v>
      </c>
      <c r="Y358" s="557">
        <f>IFERROR(Y351/H351,"0")+IFERROR(Y352/H352,"0")+IFERROR(Y353/H353,"0")+IFERROR(Y354/H354,"0")+IFERROR(Y355/H355,"0")+IFERROR(Y356/H356,"0")+IFERROR(Y357/H357,"0")</f>
        <v>518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11.266499999999999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70"/>
      <c r="P359" s="567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7755</v>
      </c>
      <c r="Y359" s="557">
        <f>IFERROR(SUM(Y351:Y357),"0")</f>
        <v>7770</v>
      </c>
      <c r="Z359" s="37"/>
      <c r="AA359" s="558"/>
      <c r="AB359" s="558"/>
      <c r="AC359" s="558"/>
    </row>
    <row r="360" spans="1:68" ht="14.25" customHeight="1" x14ac:dyDescent="0.25">
      <c r="A360" s="576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5"/>
      <c r="R361" s="565"/>
      <c r="S361" s="565"/>
      <c r="T361" s="566"/>
      <c r="U361" s="34"/>
      <c r="V361" s="34"/>
      <c r="W361" s="35" t="s">
        <v>69</v>
      </c>
      <c r="X361" s="555">
        <v>1095</v>
      </c>
      <c r="Y361" s="556">
        <f>IFERROR(IF(X361="",0,CEILING((X361/$H361),1)*$H361),"")</f>
        <v>1095</v>
      </c>
      <c r="Z361" s="36">
        <f>IFERROR(IF(Y361=0,"",ROUNDUP(Y361/H361,0)*0.02175),"")</f>
        <v>1.58775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1129.3100000000002</v>
      </c>
      <c r="BN361" s="64">
        <f>IFERROR(Y361*I361/H361,"0")</f>
        <v>1129.3100000000002</v>
      </c>
      <c r="BO361" s="64">
        <f>IFERROR(1/J361*(X361/H361),"0")</f>
        <v>1.5208333333333333</v>
      </c>
      <c r="BP361" s="64">
        <f>IFERROR(1/J361*(Y361/H361),"0")</f>
        <v>1.5208333333333333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63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5"/>
      <c r="R362" s="565"/>
      <c r="S362" s="565"/>
      <c r="T362" s="566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70"/>
      <c r="P363" s="567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73</v>
      </c>
      <c r="Y363" s="557">
        <f>IFERROR(Y361/H361,"0")+IFERROR(Y362/H362,"0")</f>
        <v>73</v>
      </c>
      <c r="Z363" s="557">
        <f>IFERROR(IF(Z361="",0,Z361),"0")+IFERROR(IF(Z362="",0,Z362),"0")</f>
        <v>1.58775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70"/>
      <c r="P364" s="567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1095</v>
      </c>
      <c r="Y364" s="557">
        <f>IFERROR(SUM(Y361:Y362),"0")</f>
        <v>1095</v>
      </c>
      <c r="Z364" s="37"/>
      <c r="AA364" s="558"/>
      <c r="AB364" s="558"/>
      <c r="AC364" s="558"/>
    </row>
    <row r="365" spans="1:68" ht="14.25" customHeight="1" x14ac:dyDescent="0.25">
      <c r="A365" s="576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8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5"/>
      <c r="R366" s="565"/>
      <c r="S366" s="565"/>
      <c r="T366" s="566"/>
      <c r="U366" s="34"/>
      <c r="V366" s="34"/>
      <c r="W366" s="35" t="s">
        <v>69</v>
      </c>
      <c r="X366" s="555">
        <v>332</v>
      </c>
      <c r="Y366" s="556">
        <f>IFERROR(IF(X366="",0,CEILING((X366/$H366),1)*$H366),"")</f>
        <v>333</v>
      </c>
      <c r="Z366" s="36">
        <f>IFERROR(IF(Y366=0,"",ROUNDUP(Y366/H366,0)*0.01898),"")</f>
        <v>0.70226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350.44444444444446</v>
      </c>
      <c r="BN366" s="64">
        <f>IFERROR(Y366*I366/H366,"0")</f>
        <v>351.5</v>
      </c>
      <c r="BO366" s="64">
        <f>IFERROR(1/J366*(X366/H366),"0")</f>
        <v>0.57638888888888884</v>
      </c>
      <c r="BP366" s="64">
        <f>IFERROR(1/J366*(Y366/H366),"0")</f>
        <v>0.578125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62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5"/>
      <c r="R367" s="565"/>
      <c r="S367" s="565"/>
      <c r="T367" s="566"/>
      <c r="U367" s="34"/>
      <c r="V367" s="34"/>
      <c r="W367" s="35" t="s">
        <v>69</v>
      </c>
      <c r="X367" s="555">
        <v>32</v>
      </c>
      <c r="Y367" s="556">
        <f>IFERROR(IF(X367="",0,CEILING((X367/$H367),1)*$H367),"")</f>
        <v>36</v>
      </c>
      <c r="Z367" s="36">
        <f>IFERROR(IF(Y367=0,"",ROUNDUP(Y367/H367,0)*0.01898),"")</f>
        <v>7.5920000000000001E-2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33.75644444444444</v>
      </c>
      <c r="BN367" s="64">
        <f>IFERROR(Y367*I367/H367,"0")</f>
        <v>37.975999999999999</v>
      </c>
      <c r="BO367" s="64">
        <f>IFERROR(1/J367*(X367/H367),"0")</f>
        <v>5.5555555555555552E-2</v>
      </c>
      <c r="BP367" s="64">
        <f>IFERROR(1/J367*(Y367/H367),"0")</f>
        <v>6.25E-2</v>
      </c>
    </row>
    <row r="368" spans="1:68" x14ac:dyDescent="0.2">
      <c r="A368" s="568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70"/>
      <c r="P368" s="567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40.444444444444443</v>
      </c>
      <c r="Y368" s="557">
        <f>IFERROR(Y366/H366,"0")+IFERROR(Y367/H367,"0")</f>
        <v>41</v>
      </c>
      <c r="Z368" s="557">
        <f>IFERROR(IF(Z366="",0,Z366),"0")+IFERROR(IF(Z367="",0,Z367),"0")</f>
        <v>0.77817999999999998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70"/>
      <c r="P369" s="567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364</v>
      </c>
      <c r="Y369" s="557">
        <f>IFERROR(SUM(Y366:Y367),"0")</f>
        <v>369</v>
      </c>
      <c r="Z369" s="37"/>
      <c r="AA369" s="558"/>
      <c r="AB369" s="558"/>
      <c r="AC369" s="558"/>
    </row>
    <row r="370" spans="1:68" ht="14.25" customHeight="1" x14ac:dyDescent="0.25">
      <c r="A370" s="576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7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5"/>
      <c r="R371" s="565"/>
      <c r="S371" s="565"/>
      <c r="T371" s="566"/>
      <c r="U371" s="34"/>
      <c r="V371" s="34"/>
      <c r="W371" s="35" t="s">
        <v>69</v>
      </c>
      <c r="X371" s="555">
        <v>124</v>
      </c>
      <c r="Y371" s="556">
        <f>IFERROR(IF(X371="",0,CEILING((X371/$H371),1)*$H371),"")</f>
        <v>126</v>
      </c>
      <c r="Z371" s="36">
        <f>IFERROR(IF(Y371=0,"",ROUNDUP(Y371/H371,0)*0.01898),"")</f>
        <v>0.26572000000000001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130.8062222222222</v>
      </c>
      <c r="BN371" s="64">
        <f>IFERROR(Y371*I371/H371,"0")</f>
        <v>132.916</v>
      </c>
      <c r="BO371" s="64">
        <f>IFERROR(1/J371*(X371/H371),"0")</f>
        <v>0.21527777777777779</v>
      </c>
      <c r="BP371" s="64">
        <f>IFERROR(1/J371*(Y371/H371),"0")</f>
        <v>0.21875</v>
      </c>
    </row>
    <row r="372" spans="1:68" x14ac:dyDescent="0.2">
      <c r="A372" s="568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70"/>
      <c r="P372" s="567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13.777777777777779</v>
      </c>
      <c r="Y372" s="557">
        <f>IFERROR(Y371/H371,"0")</f>
        <v>14</v>
      </c>
      <c r="Z372" s="557">
        <f>IFERROR(IF(Z371="",0,Z371),"0")</f>
        <v>0.26572000000000001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70"/>
      <c r="P373" s="567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124</v>
      </c>
      <c r="Y373" s="557">
        <f>IFERROR(SUM(Y371:Y371),"0")</f>
        <v>126</v>
      </c>
      <c r="Z373" s="37"/>
      <c r="AA373" s="558"/>
      <c r="AB373" s="558"/>
      <c r="AC373" s="558"/>
    </row>
    <row r="374" spans="1:68" ht="16.5" customHeight="1" x14ac:dyDescent="0.25">
      <c r="A374" s="577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6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79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5"/>
      <c r="R376" s="565"/>
      <c r="S376" s="565"/>
      <c r="T376" s="566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5"/>
      <c r="R377" s="565"/>
      <c r="S377" s="565"/>
      <c r="T377" s="566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70"/>
      <c r="P378" s="567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70"/>
      <c r="P379" s="567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6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86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5"/>
      <c r="R381" s="565"/>
      <c r="S381" s="565"/>
      <c r="T381" s="566"/>
      <c r="U381" s="34"/>
      <c r="V381" s="34"/>
      <c r="W381" s="35" t="s">
        <v>69</v>
      </c>
      <c r="X381" s="555">
        <v>120</v>
      </c>
      <c r="Y381" s="556">
        <f>IFERROR(IF(X381="",0,CEILING((X381/$H381),1)*$H381),"")</f>
        <v>122.64</v>
      </c>
      <c r="Z381" s="36">
        <f>IFERROR(IF(Y381=0,"",ROUNDUP(Y381/H381,0)*0.00902),"")</f>
        <v>0.25256000000000001</v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126.84931506849315</v>
      </c>
      <c r="BN381" s="64">
        <f>IFERROR(Y381*I381/H381,"0")</f>
        <v>129.64000000000001</v>
      </c>
      <c r="BO381" s="64">
        <f>IFERROR(1/J381*(X381/H381),"0")</f>
        <v>0.20755500207555003</v>
      </c>
      <c r="BP381" s="64">
        <f>IFERROR(1/J381*(Y381/H381),"0")</f>
        <v>0.21212121212121213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8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5"/>
      <c r="R382" s="565"/>
      <c r="S382" s="565"/>
      <c r="T382" s="566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68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70"/>
      <c r="P383" s="567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27.397260273972602</v>
      </c>
      <c r="Y383" s="557">
        <f>IFERROR(Y381/H381,"0")+IFERROR(Y382/H382,"0")</f>
        <v>28</v>
      </c>
      <c r="Z383" s="557">
        <f>IFERROR(IF(Z381="",0,Z381),"0")+IFERROR(IF(Z382="",0,Z382),"0")</f>
        <v>0.25256000000000001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70"/>
      <c r="P384" s="567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120</v>
      </c>
      <c r="Y384" s="557">
        <f>IFERROR(SUM(Y381:Y382),"0")</f>
        <v>122.64</v>
      </c>
      <c r="Z384" s="37"/>
      <c r="AA384" s="558"/>
      <c r="AB384" s="558"/>
      <c r="AC384" s="558"/>
    </row>
    <row r="385" spans="1:68" ht="14.25" customHeight="1" x14ac:dyDescent="0.25">
      <c r="A385" s="576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8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5"/>
      <c r="R386" s="565"/>
      <c r="S386" s="565"/>
      <c r="T386" s="566"/>
      <c r="U386" s="34"/>
      <c r="V386" s="34"/>
      <c r="W386" s="35" t="s">
        <v>69</v>
      </c>
      <c r="X386" s="555">
        <v>600</v>
      </c>
      <c r="Y386" s="556">
        <f>IFERROR(IF(X386="",0,CEILING((X386/$H386),1)*$H386),"")</f>
        <v>603</v>
      </c>
      <c r="Z386" s="36">
        <f>IFERROR(IF(Y386=0,"",ROUNDUP(Y386/H386,0)*0.01898),"")</f>
        <v>1.27166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632.93333333333328</v>
      </c>
      <c r="BN386" s="64">
        <f>IFERROR(Y386*I386/H386,"0")</f>
        <v>636.09799999999996</v>
      </c>
      <c r="BO386" s="64">
        <f>IFERROR(1/J386*(X386/H386),"0")</f>
        <v>1.0416666666666667</v>
      </c>
      <c r="BP386" s="64">
        <f>IFERROR(1/J386*(Y386/H386),"0")</f>
        <v>1.046875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5"/>
      <c r="R387" s="565"/>
      <c r="S387" s="565"/>
      <c r="T387" s="566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5"/>
      <c r="R388" s="565"/>
      <c r="S388" s="565"/>
      <c r="T388" s="566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68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70"/>
      <c r="P389" s="567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66.666666666666671</v>
      </c>
      <c r="Y389" s="557">
        <f>IFERROR(Y386/H386,"0")+IFERROR(Y387/H387,"0")+IFERROR(Y388/H388,"0")</f>
        <v>67</v>
      </c>
      <c r="Z389" s="557">
        <f>IFERROR(IF(Z386="",0,Z386),"0")+IFERROR(IF(Z387="",0,Z387),"0")+IFERROR(IF(Z388="",0,Z388),"0")</f>
        <v>1.27166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70"/>
      <c r="P390" s="567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600</v>
      </c>
      <c r="Y390" s="557">
        <f>IFERROR(SUM(Y386:Y388),"0")</f>
        <v>603</v>
      </c>
      <c r="Z390" s="37"/>
      <c r="AA390" s="558"/>
      <c r="AB390" s="558"/>
      <c r="AC390" s="558"/>
    </row>
    <row r="391" spans="1:68" ht="27.75" customHeight="1" x14ac:dyDescent="0.2">
      <c r="A391" s="605" t="s">
        <v>616</v>
      </c>
      <c r="B391" s="606"/>
      <c r="C391" s="606"/>
      <c r="D391" s="606"/>
      <c r="E391" s="606"/>
      <c r="F391" s="606"/>
      <c r="G391" s="606"/>
      <c r="H391" s="606"/>
      <c r="I391" s="606"/>
      <c r="J391" s="606"/>
      <c r="K391" s="606"/>
      <c r="L391" s="606"/>
      <c r="M391" s="606"/>
      <c r="N391" s="606"/>
      <c r="O391" s="606"/>
      <c r="P391" s="606"/>
      <c r="Q391" s="606"/>
      <c r="R391" s="606"/>
      <c r="S391" s="606"/>
      <c r="T391" s="606"/>
      <c r="U391" s="606"/>
      <c r="V391" s="606"/>
      <c r="W391" s="606"/>
      <c r="X391" s="606"/>
      <c r="Y391" s="606"/>
      <c r="Z391" s="606"/>
      <c r="AA391" s="48"/>
      <c r="AB391" s="48"/>
      <c r="AC391" s="48"/>
    </row>
    <row r="392" spans="1:68" ht="16.5" customHeight="1" x14ac:dyDescent="0.25">
      <c r="A392" s="577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6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55">
        <v>235</v>
      </c>
      <c r="Y394" s="556">
        <f t="shared" ref="Y394:Y402" si="46">IFERROR(IF(X394="",0,CEILING((X394/$H394),1)*$H394),"")</f>
        <v>237.60000000000002</v>
      </c>
      <c r="Z394" s="36">
        <f>IFERROR(IF(Y394=0,"",ROUNDUP(Y394/H394,0)*0.00902),"")</f>
        <v>0.39688000000000001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243.26851851851848</v>
      </c>
      <c r="BN394" s="64">
        <f t="shared" ref="BN394:BN402" si="48">IFERROR(Y394*I394/H394,"0")</f>
        <v>245.96</v>
      </c>
      <c r="BO394" s="64">
        <f t="shared" ref="BO394:BO402" si="49">IFERROR(1/J394*(X394/H394),"0")</f>
        <v>0.32968574635241304</v>
      </c>
      <c r="BP394" s="64">
        <f t="shared" ref="BP394:BP402" si="50">IFERROR(1/J394*(Y394/H394),"0")</f>
        <v>0.33333333333333337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5"/>
      <c r="R395" s="565"/>
      <c r="S395" s="565"/>
      <c r="T395" s="566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6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5"/>
      <c r="R396" s="565"/>
      <c r="S396" s="565"/>
      <c r="T396" s="566"/>
      <c r="U396" s="34"/>
      <c r="V396" s="34"/>
      <c r="W396" s="35" t="s">
        <v>69</v>
      </c>
      <c r="X396" s="555">
        <v>115</v>
      </c>
      <c r="Y396" s="556">
        <f t="shared" si="46"/>
        <v>118.80000000000001</v>
      </c>
      <c r="Z396" s="36">
        <f>IFERROR(IF(Y396=0,"",ROUNDUP(Y396/H396,0)*0.00902),"")</f>
        <v>0.19844000000000001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119.04629629629629</v>
      </c>
      <c r="BN396" s="64">
        <f t="shared" si="48"/>
        <v>122.98</v>
      </c>
      <c r="BO396" s="64">
        <f t="shared" si="49"/>
        <v>0.16133557800224466</v>
      </c>
      <c r="BP396" s="64">
        <f t="shared" si="50"/>
        <v>0.16666666666666669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5"/>
      <c r="R400" s="565"/>
      <c r="S400" s="565"/>
      <c r="T400" s="566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5"/>
      <c r="R401" s="565"/>
      <c r="S401" s="565"/>
      <c r="T401" s="566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8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5"/>
      <c r="R402" s="565"/>
      <c r="S402" s="565"/>
      <c r="T402" s="566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68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70"/>
      <c r="P403" s="567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64.81481481481481</v>
      </c>
      <c r="Y403" s="557">
        <f>IFERROR(Y394/H394,"0")+IFERROR(Y395/H395,"0")+IFERROR(Y396/H396,"0")+IFERROR(Y397/H397,"0")+IFERROR(Y398/H398,"0")+IFERROR(Y399/H399,"0")+IFERROR(Y400/H400,"0")+IFERROR(Y401/H401,"0")+IFERROR(Y402/H402,"0")</f>
        <v>66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0.59532000000000007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70"/>
      <c r="P404" s="567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350</v>
      </c>
      <c r="Y404" s="557">
        <f>IFERROR(SUM(Y394:Y402),"0")</f>
        <v>356.40000000000003</v>
      </c>
      <c r="Z404" s="37"/>
      <c r="AA404" s="558"/>
      <c r="AB404" s="558"/>
      <c r="AC404" s="558"/>
    </row>
    <row r="405" spans="1:68" ht="14.25" customHeight="1" x14ac:dyDescent="0.25">
      <c r="A405" s="576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7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5"/>
      <c r="R406" s="565"/>
      <c r="S406" s="565"/>
      <c r="T406" s="566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84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5"/>
      <c r="R407" s="565"/>
      <c r="S407" s="565"/>
      <c r="T407" s="566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70"/>
      <c r="P408" s="567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70"/>
      <c r="P409" s="567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77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6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6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5"/>
      <c r="R412" s="565"/>
      <c r="S412" s="565"/>
      <c r="T412" s="566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68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70"/>
      <c r="P413" s="567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70"/>
      <c r="P414" s="567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6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7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5"/>
      <c r="R416" s="565"/>
      <c r="S416" s="565"/>
      <c r="T416" s="566"/>
      <c r="U416" s="34"/>
      <c r="V416" s="34"/>
      <c r="W416" s="35" t="s">
        <v>69</v>
      </c>
      <c r="X416" s="555">
        <v>285</v>
      </c>
      <c r="Y416" s="556">
        <f>IFERROR(IF(X416="",0,CEILING((X416/$H416),1)*$H416),"")</f>
        <v>286.20000000000005</v>
      </c>
      <c r="Z416" s="36">
        <f>IFERROR(IF(Y416=0,"",ROUNDUP(Y416/H416,0)*0.00902),"")</f>
        <v>0.47806000000000004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295.02777777777771</v>
      </c>
      <c r="BN416" s="64">
        <f>IFERROR(Y416*I416/H416,"0")</f>
        <v>296.27000000000004</v>
      </c>
      <c r="BO416" s="64">
        <f>IFERROR(1/J416*(X416/H416),"0")</f>
        <v>0.39983164983164982</v>
      </c>
      <c r="BP416" s="64">
        <f>IFERROR(1/J416*(Y416/H416),"0")</f>
        <v>0.4015151515151516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5"/>
      <c r="R417" s="565"/>
      <c r="S417" s="565"/>
      <c r="T417" s="566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5"/>
      <c r="R418" s="565"/>
      <c r="S418" s="565"/>
      <c r="T418" s="566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5"/>
      <c r="R419" s="565"/>
      <c r="S419" s="565"/>
      <c r="T419" s="566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70"/>
      <c r="P420" s="567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52.777777777777771</v>
      </c>
      <c r="Y420" s="557">
        <f>IFERROR(Y416/H416,"0")+IFERROR(Y417/H417,"0")+IFERROR(Y418/H418,"0")+IFERROR(Y419/H419,"0")</f>
        <v>53.000000000000007</v>
      </c>
      <c r="Z420" s="557">
        <f>IFERROR(IF(Z416="",0,Z416),"0")+IFERROR(IF(Z417="",0,Z417),"0")+IFERROR(IF(Z418="",0,Z418),"0")+IFERROR(IF(Z419="",0,Z419),"0")</f>
        <v>0.47806000000000004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70"/>
      <c r="P421" s="567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285</v>
      </c>
      <c r="Y421" s="557">
        <f>IFERROR(SUM(Y416:Y419),"0")</f>
        <v>286.20000000000005</v>
      </c>
      <c r="Z421" s="37"/>
      <c r="AA421" s="558"/>
      <c r="AB421" s="558"/>
      <c r="AC421" s="558"/>
    </row>
    <row r="422" spans="1:68" ht="16.5" customHeight="1" x14ac:dyDescent="0.25">
      <c r="A422" s="577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6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5"/>
      <c r="R424" s="565"/>
      <c r="S424" s="565"/>
      <c r="T424" s="566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68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70"/>
      <c r="P425" s="567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70"/>
      <c r="P426" s="567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605" t="s">
        <v>667</v>
      </c>
      <c r="B427" s="606"/>
      <c r="C427" s="606"/>
      <c r="D427" s="606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  <c r="Y427" s="606"/>
      <c r="Z427" s="606"/>
      <c r="AA427" s="48"/>
      <c r="AB427" s="48"/>
      <c r="AC427" s="48"/>
    </row>
    <row r="428" spans="1:68" ht="16.5" customHeight="1" x14ac:dyDescent="0.25">
      <c r="A428" s="577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6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63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5"/>
      <c r="R430" s="565"/>
      <c r="S430" s="565"/>
      <c r="T430" s="566"/>
      <c r="U430" s="34"/>
      <c r="V430" s="34"/>
      <c r="W430" s="35" t="s">
        <v>69</v>
      </c>
      <c r="X430" s="555">
        <v>25</v>
      </c>
      <c r="Y430" s="556">
        <f t="shared" ref="Y430:Y441" si="52">IFERROR(IF(X430="",0,CEILING((X430/$H430),1)*$H430),"")</f>
        <v>26.400000000000002</v>
      </c>
      <c r="Z430" s="36">
        <f t="shared" ref="Z430:Z436" si="53">IFERROR(IF(Y430=0,"",ROUNDUP(Y430/H430,0)*0.01196),"")</f>
        <v>5.9799999999999999E-2</v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26.657196969696969</v>
      </c>
      <c r="BN430" s="64">
        <f t="shared" ref="BN430:BN441" si="55">IFERROR(Y430*I430/H430,"0")</f>
        <v>28.15</v>
      </c>
      <c r="BO430" s="64">
        <f t="shared" ref="BO430:BO441" si="56">IFERROR(1/J430*(X430/H430),"0")</f>
        <v>4.5527389277389273E-2</v>
      </c>
      <c r="BP430" s="64">
        <f t="shared" ref="BP430:BP441" si="57">IFERROR(1/J430*(Y430/H430),"0")</f>
        <v>4.807692307692308E-2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8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5"/>
      <c r="R431" s="565"/>
      <c r="S431" s="565"/>
      <c r="T431" s="566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8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5"/>
      <c r="R432" s="565"/>
      <c r="S432" s="565"/>
      <c r="T432" s="566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6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55">
        <v>55</v>
      </c>
      <c r="Y433" s="556">
        <f t="shared" si="52"/>
        <v>58.080000000000005</v>
      </c>
      <c r="Z433" s="36">
        <f t="shared" si="53"/>
        <v>0.13156000000000001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58.645833333333329</v>
      </c>
      <c r="BN433" s="64">
        <f t="shared" si="55"/>
        <v>61.93</v>
      </c>
      <c r="BO433" s="64">
        <f t="shared" si="56"/>
        <v>0.10016025641025642</v>
      </c>
      <c r="BP433" s="64">
        <f t="shared" si="57"/>
        <v>0.10576923076923078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5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5"/>
      <c r="R434" s="565"/>
      <c r="S434" s="565"/>
      <c r="T434" s="566"/>
      <c r="U434" s="34"/>
      <c r="V434" s="34"/>
      <c r="W434" s="35" t="s">
        <v>69</v>
      </c>
      <c r="X434" s="555">
        <v>430</v>
      </c>
      <c r="Y434" s="556">
        <f t="shared" si="52"/>
        <v>432.96000000000004</v>
      </c>
      <c r="Z434" s="36">
        <f t="shared" si="53"/>
        <v>0.98072000000000004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458.50378787878788</v>
      </c>
      <c r="BN434" s="64">
        <f t="shared" si="55"/>
        <v>461.66</v>
      </c>
      <c r="BO434" s="64">
        <f t="shared" si="56"/>
        <v>0.78307109557109555</v>
      </c>
      <c r="BP434" s="64">
        <f t="shared" si="57"/>
        <v>0.78846153846153855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5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55">
        <v>495</v>
      </c>
      <c r="Y436" s="556">
        <f t="shared" si="52"/>
        <v>496.32000000000005</v>
      </c>
      <c r="Z436" s="36">
        <f t="shared" si="53"/>
        <v>1.1242399999999999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527.8125</v>
      </c>
      <c r="BN436" s="64">
        <f t="shared" si="55"/>
        <v>529.22</v>
      </c>
      <c r="BO436" s="64">
        <f t="shared" si="56"/>
        <v>0.90144230769230771</v>
      </c>
      <c r="BP436" s="64">
        <f t="shared" si="57"/>
        <v>0.90384615384615385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8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5"/>
      <c r="R437" s="565"/>
      <c r="S437" s="565"/>
      <c r="T437" s="566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6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5"/>
      <c r="R439" s="565"/>
      <c r="S439" s="565"/>
      <c r="T439" s="566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2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5"/>
      <c r="R440" s="565"/>
      <c r="S440" s="565"/>
      <c r="T440" s="566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5"/>
      <c r="R441" s="565"/>
      <c r="S441" s="565"/>
      <c r="T441" s="566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70"/>
      <c r="P442" s="567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190.34090909090909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192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2.2963199999999997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70"/>
      <c r="P443" s="567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1005</v>
      </c>
      <c r="Y443" s="557">
        <f>IFERROR(SUM(Y430:Y441),"0")</f>
        <v>1013.7600000000001</v>
      </c>
      <c r="Z443" s="37"/>
      <c r="AA443" s="558"/>
      <c r="AB443" s="558"/>
      <c r="AC443" s="558"/>
    </row>
    <row r="444" spans="1:68" ht="14.25" customHeight="1" x14ac:dyDescent="0.25">
      <c r="A444" s="576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8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5"/>
      <c r="R445" s="565"/>
      <c r="S445" s="565"/>
      <c r="T445" s="566"/>
      <c r="U445" s="34"/>
      <c r="V445" s="34"/>
      <c r="W445" s="35" t="s">
        <v>69</v>
      </c>
      <c r="X445" s="555">
        <v>245</v>
      </c>
      <c r="Y445" s="556">
        <f>IFERROR(IF(X445="",0,CEILING((X445/$H445),1)*$H445),"")</f>
        <v>248.16000000000003</v>
      </c>
      <c r="Z445" s="36">
        <f>IFERROR(IF(Y445=0,"",ROUNDUP(Y445/H445,0)*0.01196),"")</f>
        <v>0.56211999999999995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261.24053030303025</v>
      </c>
      <c r="BN445" s="64">
        <f>IFERROR(Y445*I445/H445,"0")</f>
        <v>264.61</v>
      </c>
      <c r="BO445" s="64">
        <f>IFERROR(1/J445*(X445/H445),"0")</f>
        <v>0.44616841491841491</v>
      </c>
      <c r="BP445" s="64">
        <f>IFERROR(1/J445*(Y445/H445),"0")</f>
        <v>0.45192307692307693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2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5"/>
      <c r="R446" s="565"/>
      <c r="S446" s="565"/>
      <c r="T446" s="566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5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5"/>
      <c r="R447" s="565"/>
      <c r="S447" s="565"/>
      <c r="T447" s="566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70"/>
      <c r="P448" s="567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46.401515151515149</v>
      </c>
      <c r="Y448" s="557">
        <f>IFERROR(Y445/H445,"0")+IFERROR(Y446/H446,"0")+IFERROR(Y447/H447,"0")</f>
        <v>47</v>
      </c>
      <c r="Z448" s="557">
        <f>IFERROR(IF(Z445="",0,Z445),"0")+IFERROR(IF(Z446="",0,Z446),"0")+IFERROR(IF(Z447="",0,Z447),"0")</f>
        <v>0.56211999999999995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70"/>
      <c r="P449" s="567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245</v>
      </c>
      <c r="Y449" s="557">
        <f>IFERROR(SUM(Y445:Y447),"0")</f>
        <v>248.16000000000003</v>
      </c>
      <c r="Z449" s="37"/>
      <c r="AA449" s="558"/>
      <c r="AB449" s="558"/>
      <c r="AC449" s="558"/>
    </row>
    <row r="450" spans="1:68" ht="14.25" customHeight="1" x14ac:dyDescent="0.25">
      <c r="A450" s="576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55">
        <v>75</v>
      </c>
      <c r="Y451" s="556">
        <f t="shared" ref="Y451:Y456" si="58">IFERROR(IF(X451="",0,CEILING((X451/$H451),1)*$H451),"")</f>
        <v>79.2</v>
      </c>
      <c r="Z451" s="36">
        <f>IFERROR(IF(Y451=0,"",ROUNDUP(Y451/H451,0)*0.01196),"")</f>
        <v>0.1794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79.971590909090907</v>
      </c>
      <c r="BN451" s="64">
        <f t="shared" ref="BN451:BN456" si="60">IFERROR(Y451*I451/H451,"0")</f>
        <v>84.45</v>
      </c>
      <c r="BO451" s="64">
        <f t="shared" ref="BO451:BO456" si="61">IFERROR(1/J451*(X451/H451),"0")</f>
        <v>0.13658216783216784</v>
      </c>
      <c r="BP451" s="64">
        <f t="shared" ref="BP451:BP456" si="62">IFERROR(1/J451*(Y451/H451),"0")</f>
        <v>0.14423076923076925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8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5"/>
      <c r="R452" s="565"/>
      <c r="S452" s="565"/>
      <c r="T452" s="566"/>
      <c r="U452" s="34"/>
      <c r="V452" s="34"/>
      <c r="W452" s="35" t="s">
        <v>69</v>
      </c>
      <c r="X452" s="555">
        <v>20</v>
      </c>
      <c r="Y452" s="556">
        <f t="shared" si="58"/>
        <v>21.12</v>
      </c>
      <c r="Z452" s="36">
        <f>IFERROR(IF(Y452=0,"",ROUNDUP(Y452/H452,0)*0.01196),"")</f>
        <v>4.7840000000000001E-2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21.325757575757574</v>
      </c>
      <c r="BN452" s="64">
        <f t="shared" si="60"/>
        <v>22.52</v>
      </c>
      <c r="BO452" s="64">
        <f t="shared" si="61"/>
        <v>3.6421911421911424E-2</v>
      </c>
      <c r="BP452" s="64">
        <f t="shared" si="62"/>
        <v>3.8461538461538464E-2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8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5"/>
      <c r="R453" s="565"/>
      <c r="S453" s="565"/>
      <c r="T453" s="566"/>
      <c r="U453" s="34"/>
      <c r="V453" s="34"/>
      <c r="W453" s="35" t="s">
        <v>69</v>
      </c>
      <c r="X453" s="555">
        <v>35</v>
      </c>
      <c r="Y453" s="556">
        <f t="shared" si="58"/>
        <v>36.96</v>
      </c>
      <c r="Z453" s="36">
        <f>IFERROR(IF(Y453=0,"",ROUNDUP(Y453/H453,0)*0.01196),"")</f>
        <v>8.3720000000000003E-2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37.320075757575751</v>
      </c>
      <c r="BN453" s="64">
        <f t="shared" si="60"/>
        <v>39.409999999999997</v>
      </c>
      <c r="BO453" s="64">
        <f t="shared" si="61"/>
        <v>6.3738344988344992E-2</v>
      </c>
      <c r="BP453" s="64">
        <f t="shared" si="62"/>
        <v>6.7307692307692318E-2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8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5"/>
      <c r="R454" s="565"/>
      <c r="S454" s="565"/>
      <c r="T454" s="566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8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5"/>
      <c r="R455" s="565"/>
      <c r="S455" s="565"/>
      <c r="T455" s="566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8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5"/>
      <c r="R456" s="565"/>
      <c r="S456" s="565"/>
      <c r="T456" s="566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70"/>
      <c r="P457" s="567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24.621212121212121</v>
      </c>
      <c r="Y457" s="557">
        <f>IFERROR(Y451/H451,"0")+IFERROR(Y452/H452,"0")+IFERROR(Y453/H453,"0")+IFERROR(Y454/H454,"0")+IFERROR(Y455/H455,"0")+IFERROR(Y456/H456,"0")</f>
        <v>26</v>
      </c>
      <c r="Z457" s="557">
        <f>IFERROR(IF(Z451="",0,Z451),"0")+IFERROR(IF(Z452="",0,Z452),"0")+IFERROR(IF(Z453="",0,Z453),"0")+IFERROR(IF(Z454="",0,Z454),"0")+IFERROR(IF(Z455="",0,Z455),"0")+IFERROR(IF(Z456="",0,Z456),"0")</f>
        <v>0.31096000000000001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70"/>
      <c r="P458" s="567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130</v>
      </c>
      <c r="Y458" s="557">
        <f>IFERROR(SUM(Y451:Y456),"0")</f>
        <v>137.28</v>
      </c>
      <c r="Z458" s="37"/>
      <c r="AA458" s="558"/>
      <c r="AB458" s="558"/>
      <c r="AC458" s="558"/>
    </row>
    <row r="459" spans="1:68" ht="14.25" customHeight="1" x14ac:dyDescent="0.25">
      <c r="A459" s="576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68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5"/>
      <c r="R460" s="565"/>
      <c r="S460" s="565"/>
      <c r="T460" s="566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70"/>
      <c r="P461" s="567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70"/>
      <c r="P462" s="567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605" t="s">
        <v>722</v>
      </c>
      <c r="B463" s="606"/>
      <c r="C463" s="606"/>
      <c r="D463" s="606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  <c r="Y463" s="606"/>
      <c r="Z463" s="606"/>
      <c r="AA463" s="48"/>
      <c r="AB463" s="48"/>
      <c r="AC463" s="48"/>
    </row>
    <row r="464" spans="1:68" ht="16.5" customHeight="1" x14ac:dyDescent="0.25">
      <c r="A464" s="577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6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82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9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5"/>
      <c r="R467" s="565"/>
      <c r="S467" s="565"/>
      <c r="T467" s="566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8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5"/>
      <c r="R468" s="565"/>
      <c r="S468" s="565"/>
      <c r="T468" s="566"/>
      <c r="U468" s="34"/>
      <c r="V468" s="34"/>
      <c r="W468" s="35" t="s">
        <v>69</v>
      </c>
      <c r="X468" s="555">
        <v>20</v>
      </c>
      <c r="Y468" s="556">
        <f>IFERROR(IF(X468="",0,CEILING((X468/$H468),1)*$H468),"")</f>
        <v>24</v>
      </c>
      <c r="Z468" s="36">
        <f>IFERROR(IF(Y468=0,"",ROUNDUP(Y468/H468,0)*0.01898),"")</f>
        <v>3.7960000000000001E-2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20.683333333333334</v>
      </c>
      <c r="BN468" s="64">
        <f>IFERROR(Y468*I468/H468,"0")</f>
        <v>24.820000000000004</v>
      </c>
      <c r="BO468" s="64">
        <f>IFERROR(1/J468*(X468/H468),"0")</f>
        <v>2.6041666666666668E-2</v>
      </c>
      <c r="BP468" s="64">
        <f>IFERROR(1/J468*(Y468/H468),"0")</f>
        <v>3.125E-2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79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5"/>
      <c r="R469" s="565"/>
      <c r="S469" s="565"/>
      <c r="T469" s="566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70"/>
      <c r="P470" s="567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1.6666666666666667</v>
      </c>
      <c r="Y470" s="557">
        <f>IFERROR(Y466/H466,"0")+IFERROR(Y467/H467,"0")+IFERROR(Y468/H468,"0")+IFERROR(Y469/H469,"0")</f>
        <v>2</v>
      </c>
      <c r="Z470" s="557">
        <f>IFERROR(IF(Z466="",0,Z466),"0")+IFERROR(IF(Z467="",0,Z467),"0")+IFERROR(IF(Z468="",0,Z468),"0")+IFERROR(IF(Z469="",0,Z469),"0")</f>
        <v>3.7960000000000001E-2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70"/>
      <c r="P471" s="567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20</v>
      </c>
      <c r="Y471" s="557">
        <f>IFERROR(SUM(Y466:Y469),"0")</f>
        <v>24</v>
      </c>
      <c r="Z471" s="37"/>
      <c r="AA471" s="558"/>
      <c r="AB471" s="558"/>
      <c r="AC471" s="558"/>
    </row>
    <row r="472" spans="1:68" ht="14.25" customHeight="1" x14ac:dyDescent="0.25">
      <c r="A472" s="576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5"/>
      <c r="R473" s="565"/>
      <c r="S473" s="565"/>
      <c r="T473" s="566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81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5"/>
      <c r="R474" s="565"/>
      <c r="S474" s="565"/>
      <c r="T474" s="566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70"/>
      <c r="P475" s="567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70"/>
      <c r="P476" s="567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6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5"/>
      <c r="R478" s="565"/>
      <c r="S478" s="565"/>
      <c r="T478" s="566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8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70"/>
      <c r="P480" s="567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70"/>
      <c r="P481" s="567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6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6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70"/>
      <c r="P484" s="567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70"/>
      <c r="P485" s="567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6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6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5"/>
      <c r="R487" s="565"/>
      <c r="S487" s="565"/>
      <c r="T487" s="566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0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5"/>
      <c r="R488" s="565"/>
      <c r="S488" s="565"/>
      <c r="T488" s="566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70"/>
      <c r="P489" s="567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70"/>
      <c r="P490" s="567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77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6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79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5"/>
      <c r="R493" s="565"/>
      <c r="S493" s="565"/>
      <c r="T493" s="566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70"/>
      <c r="P494" s="567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70"/>
      <c r="P495" s="567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636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637"/>
      <c r="P496" s="571" t="s">
        <v>758</v>
      </c>
      <c r="Q496" s="572"/>
      <c r="R496" s="572"/>
      <c r="S496" s="572"/>
      <c r="T496" s="572"/>
      <c r="U496" s="572"/>
      <c r="V496" s="573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17998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18175.439999999999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637"/>
      <c r="P497" s="571" t="s">
        <v>759</v>
      </c>
      <c r="Q497" s="572"/>
      <c r="R497" s="572"/>
      <c r="S497" s="572"/>
      <c r="T497" s="572"/>
      <c r="U497" s="572"/>
      <c r="V497" s="573"/>
      <c r="W497" s="37" t="s">
        <v>69</v>
      </c>
      <c r="X497" s="557">
        <f>IFERROR(SUM(BM22:BM493),"0")</f>
        <v>18727.907175029522</v>
      </c>
      <c r="Y497" s="557">
        <f>IFERROR(SUM(BN22:BN493),"0")</f>
        <v>18913.918000000005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637"/>
      <c r="P498" s="571" t="s">
        <v>760</v>
      </c>
      <c r="Q498" s="572"/>
      <c r="R498" s="572"/>
      <c r="S498" s="572"/>
      <c r="T498" s="572"/>
      <c r="U498" s="572"/>
      <c r="V498" s="573"/>
      <c r="W498" s="37" t="s">
        <v>761</v>
      </c>
      <c r="X498" s="38">
        <f>ROUNDUP(SUM(BO22:BO493),0)</f>
        <v>28</v>
      </c>
      <c r="Y498" s="38">
        <f>ROUNDUP(SUM(BP22:BP493),0)</f>
        <v>28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637"/>
      <c r="P499" s="571" t="s">
        <v>762</v>
      </c>
      <c r="Q499" s="572"/>
      <c r="R499" s="572"/>
      <c r="S499" s="572"/>
      <c r="T499" s="572"/>
      <c r="U499" s="572"/>
      <c r="V499" s="573"/>
      <c r="W499" s="37" t="s">
        <v>69</v>
      </c>
      <c r="X499" s="557">
        <f>GrossWeightTotal+PalletQtyTotal*25</f>
        <v>19427.907175029522</v>
      </c>
      <c r="Y499" s="557">
        <f>GrossWeightTotalR+PalletQtyTotalR*25</f>
        <v>19613.918000000005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637"/>
      <c r="P500" s="571" t="s">
        <v>763</v>
      </c>
      <c r="Q500" s="572"/>
      <c r="R500" s="572"/>
      <c r="S500" s="572"/>
      <c r="T500" s="572"/>
      <c r="U500" s="572"/>
      <c r="V500" s="573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1930.5368089968547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1955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637"/>
      <c r="P501" s="571" t="s">
        <v>764</v>
      </c>
      <c r="Q501" s="572"/>
      <c r="R501" s="572"/>
      <c r="S501" s="572"/>
      <c r="T501" s="572"/>
      <c r="U501" s="572"/>
      <c r="V501" s="573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31.354070000000004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79" t="s">
        <v>101</v>
      </c>
      <c r="D503" s="581"/>
      <c r="E503" s="581"/>
      <c r="F503" s="581"/>
      <c r="G503" s="581"/>
      <c r="H503" s="582"/>
      <c r="I503" s="579" t="s">
        <v>268</v>
      </c>
      <c r="J503" s="581"/>
      <c r="K503" s="581"/>
      <c r="L503" s="581"/>
      <c r="M503" s="581"/>
      <c r="N503" s="581"/>
      <c r="O503" s="581"/>
      <c r="P503" s="581"/>
      <c r="Q503" s="581"/>
      <c r="R503" s="582"/>
      <c r="S503" s="579" t="s">
        <v>562</v>
      </c>
      <c r="T503" s="582"/>
      <c r="U503" s="579" t="s">
        <v>616</v>
      </c>
      <c r="V503" s="581"/>
      <c r="W503" s="582"/>
      <c r="X503" s="552" t="s">
        <v>667</v>
      </c>
      <c r="Y503" s="579" t="s">
        <v>722</v>
      </c>
      <c r="Z503" s="582"/>
      <c r="AB503" s="52"/>
      <c r="AC503" s="52"/>
      <c r="AF503" s="553"/>
    </row>
    <row r="504" spans="1:32" ht="14.25" customHeight="1" thickTop="1" x14ac:dyDescent="0.2">
      <c r="A504" s="710" t="s">
        <v>767</v>
      </c>
      <c r="B504" s="579" t="s">
        <v>63</v>
      </c>
      <c r="C504" s="579" t="s">
        <v>102</v>
      </c>
      <c r="D504" s="579" t="s">
        <v>119</v>
      </c>
      <c r="E504" s="579" t="s">
        <v>170</v>
      </c>
      <c r="F504" s="579" t="s">
        <v>192</v>
      </c>
      <c r="G504" s="579" t="s">
        <v>229</v>
      </c>
      <c r="H504" s="579" t="s">
        <v>101</v>
      </c>
      <c r="I504" s="579" t="s">
        <v>269</v>
      </c>
      <c r="J504" s="579" t="s">
        <v>327</v>
      </c>
      <c r="K504" s="579" t="s">
        <v>387</v>
      </c>
      <c r="L504" s="579" t="s">
        <v>428</v>
      </c>
      <c r="M504" s="579" t="s">
        <v>444</v>
      </c>
      <c r="N504" s="553"/>
      <c r="O504" s="579" t="s">
        <v>455</v>
      </c>
      <c r="P504" s="579" t="s">
        <v>464</v>
      </c>
      <c r="Q504" s="579" t="s">
        <v>477</v>
      </c>
      <c r="R504" s="579" t="s">
        <v>552</v>
      </c>
      <c r="S504" s="579" t="s">
        <v>563</v>
      </c>
      <c r="T504" s="579" t="s">
        <v>598</v>
      </c>
      <c r="U504" s="579" t="s">
        <v>617</v>
      </c>
      <c r="V504" s="579" t="s">
        <v>648</v>
      </c>
      <c r="W504" s="579" t="s">
        <v>663</v>
      </c>
      <c r="X504" s="579" t="s">
        <v>667</v>
      </c>
      <c r="Y504" s="579" t="s">
        <v>722</v>
      </c>
      <c r="Z504" s="579" t="s">
        <v>754</v>
      </c>
      <c r="AB504" s="52"/>
      <c r="AC504" s="52"/>
      <c r="AF504" s="553"/>
    </row>
    <row r="505" spans="1:32" ht="13.5" customHeight="1" thickBot="1" x14ac:dyDescent="0.25">
      <c r="A505" s="711"/>
      <c r="B505" s="580"/>
      <c r="C505" s="580"/>
      <c r="D505" s="580"/>
      <c r="E505" s="580"/>
      <c r="F505" s="580"/>
      <c r="G505" s="580"/>
      <c r="H505" s="580"/>
      <c r="I505" s="580"/>
      <c r="J505" s="580"/>
      <c r="K505" s="580"/>
      <c r="L505" s="580"/>
      <c r="M505" s="580"/>
      <c r="N505" s="553"/>
      <c r="O505" s="580"/>
      <c r="P505" s="580"/>
      <c r="Q505" s="580"/>
      <c r="R505" s="580"/>
      <c r="S505" s="580"/>
      <c r="T505" s="580"/>
      <c r="U505" s="580"/>
      <c r="V505" s="580"/>
      <c r="W505" s="580"/>
      <c r="X505" s="580"/>
      <c r="Y505" s="580"/>
      <c r="Z505" s="580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619.6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471.20000000000005</v>
      </c>
      <c r="E506" s="46">
        <f>IFERROR(Y85*1,"0")+IFERROR(Y86*1,"0")+IFERROR(Y87*1,"0")+IFERROR(Y88*1,"0")+IFERROR(Y92*1,"0")+IFERROR(Y93*1,"0")+IFERROR(Y94*1,"0")+IFERROR(Y95*1,"0")</f>
        <v>1106.0999999999999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1282.4999999999998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126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151.19999999999999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1280.3999999999999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118.80000000000001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784.80000000000007</v>
      </c>
      <c r="R506" s="46">
        <f>IFERROR(Y343*1,"0")+IFERROR(Y344*1,"0")+IFERROR(Y345*1,"0")</f>
        <v>83.399999999999991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9360</v>
      </c>
      <c r="T506" s="46">
        <f>IFERROR(Y376*1,"0")+IFERROR(Y377*1,"0")+IFERROR(Y381*1,"0")+IFERROR(Y382*1,"0")+IFERROR(Y386*1,"0")+IFERROR(Y387*1,"0")+IFERROR(Y388*1,"0")</f>
        <v>725.64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356.40000000000003</v>
      </c>
      <c r="V506" s="46">
        <f>IFERROR(Y412*1,"0")+IFERROR(Y416*1,"0")+IFERROR(Y417*1,"0")+IFERROR(Y418*1,"0")+IFERROR(Y419*1,"0")</f>
        <v>286.20000000000005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1399.2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24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P404:V404"/>
    <mergeCell ref="A457:O458"/>
    <mergeCell ref="A378:O379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P424:T424"/>
    <mergeCell ref="D345:E345"/>
    <mergeCell ref="A215:Z215"/>
    <mergeCell ref="P329:T329"/>
    <mergeCell ref="D406:E406"/>
    <mergeCell ref="P251:V251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2026-01-06T08:20:05Z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