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3994C52-A3A2-44DC-9B7E-B47843BC8C8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4" i="1" l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Y487" i="1" s="1"/>
  <c r="P485" i="1"/>
  <c r="X483" i="1"/>
  <c r="Y482" i="1"/>
  <c r="X482" i="1"/>
  <c r="BP481" i="1"/>
  <c r="BO481" i="1"/>
  <c r="BN481" i="1"/>
  <c r="BM481" i="1"/>
  <c r="Z481" i="1"/>
  <c r="Z482" i="1" s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Y469" i="1" s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Y424" i="1"/>
  <c r="X424" i="1"/>
  <c r="BP423" i="1"/>
  <c r="BO423" i="1"/>
  <c r="BN423" i="1"/>
  <c r="BM423" i="1"/>
  <c r="Z423" i="1"/>
  <c r="Z424" i="1" s="1"/>
  <c r="Y423" i="1"/>
  <c r="Y425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89" i="1"/>
  <c r="Y388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Y293" i="1" s="1"/>
  <c r="P291" i="1"/>
  <c r="X289" i="1"/>
  <c r="X288" i="1"/>
  <c r="BP287" i="1"/>
  <c r="BO287" i="1"/>
  <c r="BN287" i="1"/>
  <c r="BM287" i="1"/>
  <c r="Z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N199" i="1"/>
  <c r="BM199" i="1"/>
  <c r="Z199" i="1"/>
  <c r="Z201" i="1" s="1"/>
  <c r="Y199" i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Y180" i="1" s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4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94" i="1" s="1"/>
  <c r="X24" i="1"/>
  <c r="BP23" i="1"/>
  <c r="BO23" i="1"/>
  <c r="BN23" i="1"/>
  <c r="BM23" i="1"/>
  <c r="Z23" i="1"/>
  <c r="Y23" i="1"/>
  <c r="P23" i="1"/>
  <c r="BO22" i="1"/>
  <c r="X496" i="1" s="1"/>
  <c r="BM22" i="1"/>
  <c r="X495" i="1" s="1"/>
  <c r="X497" i="1" s="1"/>
  <c r="Y22" i="1"/>
  <c r="B504" i="1" s="1"/>
  <c r="P22" i="1"/>
  <c r="H10" i="1"/>
  <c r="A9" i="1"/>
  <c r="F10" i="1" s="1"/>
  <c r="D7" i="1"/>
  <c r="Q6" i="1"/>
  <c r="P2" i="1"/>
  <c r="Y24" i="1" l="1"/>
  <c r="Y32" i="1"/>
  <c r="Y36" i="1"/>
  <c r="Y44" i="1"/>
  <c r="Y48" i="1"/>
  <c r="D504" i="1"/>
  <c r="Y58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504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87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BP299" i="1"/>
  <c r="BN299" i="1"/>
  <c r="Z299" i="1"/>
  <c r="Y303" i="1"/>
  <c r="BP307" i="1"/>
  <c r="BN307" i="1"/>
  <c r="Z307" i="1"/>
  <c r="Z312" i="1" s="1"/>
  <c r="BP311" i="1"/>
  <c r="BN311" i="1"/>
  <c r="Z311" i="1"/>
  <c r="Y313" i="1"/>
  <c r="Y320" i="1"/>
  <c r="BP315" i="1"/>
  <c r="BN315" i="1"/>
  <c r="Z315" i="1"/>
  <c r="Y319" i="1"/>
  <c r="BP323" i="1"/>
  <c r="BN323" i="1"/>
  <c r="Z323" i="1"/>
  <c r="Z325" i="1" s="1"/>
  <c r="Y325" i="1"/>
  <c r="H504" i="1"/>
  <c r="H9" i="1"/>
  <c r="A10" i="1"/>
  <c r="F9" i="1"/>
  <c r="J9" i="1"/>
  <c r="Z22" i="1"/>
  <c r="Z24" i="1" s="1"/>
  <c r="BN22" i="1"/>
  <c r="BP22" i="1"/>
  <c r="X498" i="1"/>
  <c r="Y25" i="1"/>
  <c r="Z28" i="1"/>
  <c r="Z31" i="1" s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504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Y153" i="1"/>
  <c r="BP167" i="1"/>
  <c r="BN167" i="1"/>
  <c r="Z167" i="1"/>
  <c r="Z180" i="1" s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Z186" i="1" s="1"/>
  <c r="Y196" i="1"/>
  <c r="BP205" i="1"/>
  <c r="BN205" i="1"/>
  <c r="Z205" i="1"/>
  <c r="Z212" i="1" s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2" i="1" s="1"/>
  <c r="BP238" i="1"/>
  <c r="BN238" i="1"/>
  <c r="Z238" i="1"/>
  <c r="Y242" i="1"/>
  <c r="BP254" i="1"/>
  <c r="BN254" i="1"/>
  <c r="Z254" i="1"/>
  <c r="Z258" i="1" s="1"/>
  <c r="Y258" i="1"/>
  <c r="BP263" i="1"/>
  <c r="BN263" i="1"/>
  <c r="Z263" i="1"/>
  <c r="Y267" i="1"/>
  <c r="BP272" i="1"/>
  <c r="BN272" i="1"/>
  <c r="Z272" i="1"/>
  <c r="Z275" i="1" s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BP331" i="1"/>
  <c r="BN331" i="1"/>
  <c r="Z331" i="1"/>
  <c r="Y333" i="1"/>
  <c r="Y338" i="1"/>
  <c r="BP335" i="1"/>
  <c r="BN335" i="1"/>
  <c r="Z335" i="1"/>
  <c r="Y339" i="1"/>
  <c r="BP344" i="1"/>
  <c r="BN344" i="1"/>
  <c r="Z344" i="1"/>
  <c r="BP351" i="1"/>
  <c r="BN351" i="1"/>
  <c r="Z351" i="1"/>
  <c r="Z357" i="1" s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I504" i="1"/>
  <c r="Y164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L504" i="1"/>
  <c r="BP265" i="1"/>
  <c r="BN265" i="1"/>
  <c r="Z265" i="1"/>
  <c r="Z267" i="1" s="1"/>
  <c r="BP274" i="1"/>
  <c r="BN274" i="1"/>
  <c r="Z274" i="1"/>
  <c r="O504" i="1"/>
  <c r="Y282" i="1"/>
  <c r="BP279" i="1"/>
  <c r="BN279" i="1"/>
  <c r="Z279" i="1"/>
  <c r="Z282" i="1" s="1"/>
  <c r="BP292" i="1"/>
  <c r="BN292" i="1"/>
  <c r="Z292" i="1"/>
  <c r="Z293" i="1" s="1"/>
  <c r="Y294" i="1"/>
  <c r="Y304" i="1"/>
  <c r="BP297" i="1"/>
  <c r="BN297" i="1"/>
  <c r="Z297" i="1"/>
  <c r="Z303" i="1" s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Z332" i="1" s="1"/>
  <c r="BP337" i="1"/>
  <c r="BN337" i="1"/>
  <c r="Z337" i="1"/>
  <c r="R504" i="1"/>
  <c r="Y346" i="1"/>
  <c r="Y345" i="1"/>
  <c r="BP342" i="1"/>
  <c r="BN342" i="1"/>
  <c r="Z342" i="1"/>
  <c r="Z345" i="1" s="1"/>
  <c r="BP376" i="1"/>
  <c r="BN376" i="1"/>
  <c r="Z376" i="1"/>
  <c r="Z377" i="1" s="1"/>
  <c r="Y378" i="1"/>
  <c r="Y383" i="1"/>
  <c r="BP380" i="1"/>
  <c r="BN380" i="1"/>
  <c r="Z380" i="1"/>
  <c r="Z382" i="1" s="1"/>
  <c r="Y382" i="1"/>
  <c r="Q50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Y403" i="1"/>
  <c r="BP396" i="1"/>
  <c r="BN396" i="1"/>
  <c r="Z396" i="1"/>
  <c r="Z402" i="1" s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Z441" i="1" s="1"/>
  <c r="BP436" i="1"/>
  <c r="BN436" i="1"/>
  <c r="Z436" i="1"/>
  <c r="BP440" i="1"/>
  <c r="BN440" i="1"/>
  <c r="Z440" i="1"/>
  <c r="Y447" i="1"/>
  <c r="BP444" i="1"/>
  <c r="BN444" i="1"/>
  <c r="Z444" i="1"/>
  <c r="Z447" i="1" s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469" i="1" l="1"/>
  <c r="Z224" i="1"/>
  <c r="Z57" i="1"/>
  <c r="Y495" i="1"/>
  <c r="Z319" i="1"/>
  <c r="Y498" i="1"/>
  <c r="Z456" i="1"/>
  <c r="Z419" i="1"/>
  <c r="Z338" i="1"/>
  <c r="Y494" i="1"/>
  <c r="Y496" i="1"/>
  <c r="Z153" i="1"/>
  <c r="Z88" i="1"/>
  <c r="Z499" i="1" s="1"/>
  <c r="Z75" i="1"/>
  <c r="Y497" i="1" l="1"/>
</calcChain>
</file>

<file path=xl/sharedStrings.xml><?xml version="1.0" encoding="utf-8"?>
<sst xmlns="http://schemas.openxmlformats.org/spreadsheetml/2006/main" count="2259" uniqueCount="776">
  <si>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</si>
  <si>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</si>
  <si>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</si>
  <si>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</si>
  <si>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</si>
  <si>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</si>
  <si>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</si>
  <si>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</si>
  <si>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</si>
  <si>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</si>
  <si>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</si>
  <si>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</si>
  <si>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</si>
  <si>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</si>
  <si>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</si>
  <si>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</si>
  <si>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</si>
  <si>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</si>
  <si>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</si>
  <si>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</si>
  <si>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</si>
  <si>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</si>
  <si>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</si>
  <si>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</si>
  <si>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</si>
  <si>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</si>
  <si>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</si>
  <si>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</si>
  <si>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</si>
  <si>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</si>
  <si>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</si>
  <si>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</si>
  <si>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</si>
  <si>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</si>
  <si>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</si>
  <si>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</si>
  <si>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</si>
  <si>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</si>
  <si>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</si>
  <si>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</si>
  <si>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</si>
  <si>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</si>
  <si>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</si>
  <si>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</si>
  <si>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</si>
  <si>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</si>
  <si>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</si>
  <si>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</si>
  <si>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</si>
  <si>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</si>
  <si>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</si>
  <si>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</si>
  <si>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</si>
  <si>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</si>
  <si>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</si>
  <si>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</si>
  <si>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</si>
  <si>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</si>
  <si>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</si>
  <si>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</si>
  <si>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</si>
  <si>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</si>
  <si>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</si>
  <si>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</si>
  <si>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</si>
  <si>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</si>
  <si>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</si>
  <si>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</si>
  <si>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</si>
  <si>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</si>
  <si>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</si>
  <si>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</si>
  <si>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</si>
  <si>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</si>
  <si>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</si>
  <si>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</si>
  <si>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</si>
  <si>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</si>
  <si>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</si>
  <si>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</si>
  <si>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</si>
  <si>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</si>
  <si>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Д-RU.РА10.В.84355/25, ЕАЭС N RU Д-RU.РА11.В.72353/25</t>
  </si>
  <si>
    <t>Короб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</si>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</sst>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11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74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4" customWidth="1"/>
    <col min="19" max="19" width="6.140625" style="54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4" customWidth="1"/>
    <col min="25" max="25" width="11" style="544" customWidth="1"/>
    <col min="26" max="26" width="10" style="544" customWidth="1"/>
    <col min="27" max="27" width="11.5703125" style="544" customWidth="1"/>
    <col min="28" max="28" width="10.42578125" style="544" customWidth="1"/>
    <col min="29" max="29" width="30" style="54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4" customWidth="1"/>
    <col min="34" max="34" width="9.140625" style="544" customWidth="1"/>
    <col min="35" max="16384" width="9.140625" style="544"/>
  </cols>
  <sheetData>
    <row r="1" spans="1:32" s="548" customFormat="1" ht="45" customHeight="1" x14ac:dyDescent="0.2">
      <c r="A1" s="41"/>
      <c r="B1" s="41"/>
      <c r="C1" s="41"/>
      <c r="D1" s="631" t="s">
        <v>0</v>
      </c>
      <c r="E1" s="581"/>
      <c r="F1" s="581"/>
      <c r="G1" s="12" t="s">
        <v>1</v>
      </c>
      <c r="H1" s="631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8" customFormat="1" ht="23.45" customHeight="1" x14ac:dyDescent="0.2">
      <c r="A5" s="677" t="s">
        <v>8</v>
      </c>
      <c r="B5" s="678"/>
      <c r="C5" s="679"/>
      <c r="D5" s="635"/>
      <c r="E5" s="636"/>
      <c r="F5" s="837" t="s">
        <v>9</v>
      </c>
      <c r="G5" s="679"/>
      <c r="H5" s="635"/>
      <c r="I5" s="793"/>
      <c r="J5" s="793"/>
      <c r="K5" s="793"/>
      <c r="L5" s="793"/>
      <c r="M5" s="636"/>
      <c r="N5" s="58"/>
      <c r="P5" s="24" t="s">
        <v>10</v>
      </c>
      <c r="Q5" s="850">
        <v>46040</v>
      </c>
      <c r="R5" s="674"/>
      <c r="T5" s="723" t="s">
        <v>11</v>
      </c>
      <c r="U5" s="691"/>
      <c r="V5" s="724" t="s">
        <v>12</v>
      </c>
      <c r="W5" s="674"/>
      <c r="AB5" s="51"/>
      <c r="AC5" s="51"/>
      <c r="AD5" s="51"/>
      <c r="AE5" s="51"/>
    </row>
    <row r="6" spans="1:32" s="548" customFormat="1" ht="24" customHeight="1" x14ac:dyDescent="0.2">
      <c r="A6" s="677" t="s">
        <v>13</v>
      </c>
      <c r="B6" s="678"/>
      <c r="C6" s="679"/>
      <c r="D6" s="794" t="s">
        <v>14</v>
      </c>
      <c r="E6" s="795"/>
      <c r="F6" s="795"/>
      <c r="G6" s="795"/>
      <c r="H6" s="795"/>
      <c r="I6" s="795"/>
      <c r="J6" s="795"/>
      <c r="K6" s="795"/>
      <c r="L6" s="795"/>
      <c r="M6" s="674"/>
      <c r="N6" s="59"/>
      <c r="P6" s="24" t="s">
        <v>15</v>
      </c>
      <c r="Q6" s="861" t="str">
        <f>IF(Q5=0," ",CHOOSE(WEEKDAY(Q5,2),"Понедельник","Вторник","Среда","Четверг","Пятница","Суббота","Воскресенье"))</f>
        <v>Воскресенье</v>
      </c>
      <c r="R6" s="559"/>
      <c r="T6" s="728" t="s">
        <v>16</v>
      </c>
      <c r="U6" s="691"/>
      <c r="V6" s="778" t="s">
        <v>17</v>
      </c>
      <c r="W6" s="596"/>
      <c r="AB6" s="51"/>
      <c r="AC6" s="51"/>
      <c r="AD6" s="51"/>
      <c r="AE6" s="51"/>
    </row>
    <row r="7" spans="1:32" s="548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4"/>
      <c r="U7" s="691"/>
      <c r="V7" s="779"/>
      <c r="W7" s="780"/>
      <c r="AB7" s="51"/>
      <c r="AC7" s="51"/>
      <c r="AD7" s="51"/>
      <c r="AE7" s="51"/>
    </row>
    <row r="8" spans="1:32" s="548" customFormat="1" ht="25.5" customHeight="1" x14ac:dyDescent="0.2">
      <c r="A8" s="872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5">
        <v>0.375</v>
      </c>
      <c r="R8" s="611"/>
      <c r="T8" s="564"/>
      <c r="U8" s="691"/>
      <c r="V8" s="779"/>
      <c r="W8" s="780"/>
      <c r="AB8" s="51"/>
      <c r="AC8" s="51"/>
      <c r="AD8" s="51"/>
      <c r="AE8" s="51"/>
    </row>
    <row r="9" spans="1:32" s="548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699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9"/>
      <c r="P9" s="26" t="s">
        <v>21</v>
      </c>
      <c r="Q9" s="670"/>
      <c r="R9" s="671"/>
      <c r="T9" s="564"/>
      <c r="U9" s="691"/>
      <c r="V9" s="781"/>
      <c r="W9" s="782"/>
      <c r="X9" s="43"/>
      <c r="Y9" s="43"/>
      <c r="Z9" s="43"/>
      <c r="AA9" s="43"/>
      <c r="AB9" s="51"/>
      <c r="AC9" s="51"/>
      <c r="AD9" s="51"/>
      <c r="AE9" s="51"/>
    </row>
    <row r="10" spans="1:32" s="548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699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8" t="str">
        <f>IFERROR(VLOOKUP($D$10,Proxy,2,FALSE),"")</f>
        <v/>
      </c>
      <c r="I10" s="564"/>
      <c r="J10" s="564"/>
      <c r="K10" s="564"/>
      <c r="L10" s="564"/>
      <c r="M10" s="564"/>
      <c r="N10" s="547"/>
      <c r="P10" s="26" t="s">
        <v>22</v>
      </c>
      <c r="Q10" s="729"/>
      <c r="R10" s="730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3"/>
      <c r="R11" s="674"/>
      <c r="U11" s="24" t="s">
        <v>27</v>
      </c>
      <c r="V11" s="808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8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85"/>
      <c r="R12" s="611"/>
      <c r="S12" s="23"/>
      <c r="U12" s="24"/>
      <c r="V12" s="581"/>
      <c r="W12" s="564"/>
      <c r="AB12" s="51"/>
      <c r="AC12" s="51"/>
      <c r="AD12" s="51"/>
      <c r="AE12" s="51"/>
    </row>
    <row r="13" spans="1:32" s="548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08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8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8" customFormat="1" ht="22.5" customHeight="1" x14ac:dyDescent="0.2">
      <c r="A15" s="745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08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9"/>
      <c r="Q16" s="709"/>
      <c r="R16" s="709"/>
      <c r="S16" s="709"/>
      <c r="T16" s="7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5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69" t="s">
        <v>51</v>
      </c>
      <c r="V17" s="679"/>
      <c r="W17" s="592" t="s">
        <v>52</v>
      </c>
      <c r="X17" s="592" t="s">
        <v>53</v>
      </c>
      <c r="Y17" s="870" t="s">
        <v>54</v>
      </c>
      <c r="Z17" s="791" t="s">
        <v>55</v>
      </c>
      <c r="AA17" s="769" t="s">
        <v>56</v>
      </c>
      <c r="AB17" s="769" t="s">
        <v>57</v>
      </c>
      <c r="AC17" s="769" t="s">
        <v>58</v>
      </c>
      <c r="AD17" s="769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3"/>
      <c r="X18" s="593"/>
      <c r="Y18" s="871"/>
      <c r="Z18" s="792"/>
      <c r="AA18" s="770"/>
      <c r="AB18" s="770"/>
      <c r="AC18" s="770"/>
      <c r="AD18" s="834"/>
      <c r="AE18" s="835"/>
      <c r="AF18" s="836"/>
      <c r="AG18" s="66"/>
      <c r="BD18" s="65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48"/>
      <c r="AB19" s="48"/>
      <c r="AC19" s="48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84</v>
      </c>
      <c r="B28" s="54" t="s">
        <v>85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5"/>
      <c r="AB33" s="545"/>
      <c r="AC33" s="54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48"/>
      <c r="AB37" s="48"/>
      <c r="AC37" s="48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5"/>
      <c r="AB39" s="545"/>
      <c r="AC39" s="54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70</v>
      </c>
      <c r="Y40" s="552">
        <f>IFERROR(IF(X40="",0,CEILING((X40/$H40),1)*$H40),"")</f>
        <v>75.600000000000009</v>
      </c>
      <c r="Z40" s="36">
        <f>IFERROR(IF(Y40=0,"",ROUNDUP(Y40/H40,0)*0.01898),"")</f>
        <v>0.13286000000000001</v>
      </c>
      <c r="AA40" s="56"/>
      <c r="AB40" s="57"/>
      <c r="AC40" s="83" t="s">
        <v>107</v>
      </c>
      <c r="AG40" s="64"/>
      <c r="AJ40" s="68" t="s">
        <v>83</v>
      </c>
      <c r="AK40" s="68">
        <v>86.4</v>
      </c>
      <c r="BB40" s="84" t="s">
        <v>1</v>
      </c>
      <c r="BM40" s="64">
        <f>IFERROR(X40*I40/H40,"0")</f>
        <v>72.657407407407405</v>
      </c>
      <c r="BN40" s="64">
        <f>IFERROR(Y40*I40/H40,"0")</f>
        <v>78.47</v>
      </c>
      <c r="BO40" s="64">
        <f>IFERROR(1/J40*(X40/H40),"0")</f>
        <v>0.10127314814814814</v>
      </c>
      <c r="BP40" s="64">
        <f>IFERROR(1/J40*(Y40/H40),"0")</f>
        <v>0.109375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81</v>
      </c>
      <c r="N41" s="33"/>
      <c r="O41" s="32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83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81</v>
      </c>
      <c r="N42" s="33"/>
      <c r="O42" s="32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37" t="s">
        <v>76</v>
      </c>
      <c r="X43" s="553">
        <f>IFERROR(X40/H40,"0")+IFERROR(X41/H41,"0")+IFERROR(X42/H42,"0")</f>
        <v>6.481481481481481</v>
      </c>
      <c r="Y43" s="553">
        <f>IFERROR(Y40/H40,"0")+IFERROR(Y41/H41,"0")+IFERROR(Y42/H42,"0")</f>
        <v>7</v>
      </c>
      <c r="Z43" s="553">
        <f>IFERROR(IF(Z40="",0,Z40),"0")+IFERROR(IF(Z41="",0,Z41),"0")+IFERROR(IF(Z42="",0,Z42),"0")</f>
        <v>0.13286000000000001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37" t="s">
        <v>69</v>
      </c>
      <c r="X44" s="553">
        <f>IFERROR(SUM(X40:X42),"0")</f>
        <v>70</v>
      </c>
      <c r="Y44" s="553">
        <f>IFERROR(SUM(Y40:Y42),"0")</f>
        <v>75.600000000000009</v>
      </c>
      <c r="Z44" s="37"/>
      <c r="AA44" s="554"/>
      <c r="AB44" s="554"/>
      <c r="AC44" s="55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5"/>
      <c r="AB45" s="545"/>
      <c r="AC45" s="54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/>
      <c r="M46" s="33" t="s">
        <v>81</v>
      </c>
      <c r="N46" s="33"/>
      <c r="O46" s="32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5"/>
      <c r="AB50" s="545"/>
      <c r="AC50" s="54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/>
      <c r="M51" s="33" t="s">
        <v>81</v>
      </c>
      <c r="N51" s="33"/>
      <c r="O51" s="32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50</v>
      </c>
      <c r="Y52" s="552">
        <f t="shared" si="0"/>
        <v>54</v>
      </c>
      <c r="Z52" s="36">
        <f>IFERROR(IF(Y52=0,"",ROUNDUP(Y52/H52,0)*0.01898),"")</f>
        <v>9.4899999999999998E-2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51.898148148148145</v>
      </c>
      <c r="BN52" s="64">
        <f t="shared" si="2"/>
        <v>56.05</v>
      </c>
      <c r="BO52" s="64">
        <f t="shared" si="3"/>
        <v>7.2337962962962965E-2</v>
      </c>
      <c r="BP52" s="64">
        <f t="shared" si="4"/>
        <v>7.8125E-2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/>
      <c r="M55" s="33" t="s">
        <v>88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 t="s">
        <v>111</v>
      </c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45</v>
      </c>
      <c r="Y56" s="552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135</v>
      </c>
      <c r="AG56" s="64"/>
      <c r="AJ56" s="68" t="s">
        <v>83</v>
      </c>
      <c r="AK56" s="68">
        <v>54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37" t="s">
        <v>76</v>
      </c>
      <c r="X57" s="553">
        <f>IFERROR(X51/H51,"0")+IFERROR(X52/H52,"0")+IFERROR(X53/H53,"0")+IFERROR(X54/H54,"0")+IFERROR(X55/H55,"0")+IFERROR(X56/H56,"0")</f>
        <v>14.62962962962963</v>
      </c>
      <c r="Y57" s="553">
        <f>IFERROR(Y51/H51,"0")+IFERROR(Y52/H52,"0")+IFERROR(Y53/H53,"0")+IFERROR(Y54/H54,"0")+IFERROR(Y55/H55,"0")+IFERROR(Y56/H56,"0")</f>
        <v>15</v>
      </c>
      <c r="Z57" s="553">
        <f>IFERROR(IF(Z51="",0,Z51),"0")+IFERROR(IF(Z52="",0,Z52),"0")+IFERROR(IF(Z53="",0,Z53),"0")+IFERROR(IF(Z54="",0,Z54),"0")+IFERROR(IF(Z55="",0,Z55),"0")+IFERROR(IF(Z56="",0,Z56),"0")</f>
        <v>0.18509999999999999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37" t="s">
        <v>69</v>
      </c>
      <c r="X58" s="553">
        <f>IFERROR(SUM(X51:X56),"0")</f>
        <v>95</v>
      </c>
      <c r="Y58" s="553">
        <f>IFERROR(SUM(Y51:Y56),"0")</f>
        <v>99</v>
      </c>
      <c r="Z58" s="37"/>
      <c r="AA58" s="554"/>
      <c r="AB58" s="554"/>
      <c r="AC58" s="55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5"/>
      <c r="AB59" s="545"/>
      <c r="AC59" s="54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86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81</v>
      </c>
      <c r="N61" s="33"/>
      <c r="O61" s="32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 t="s">
        <v>80</v>
      </c>
      <c r="M62" s="33" t="s">
        <v>106</v>
      </c>
      <c r="N62" s="33"/>
      <c r="O62" s="32">
        <v>50</v>
      </c>
      <c r="P62" s="82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83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37" t="s">
        <v>76</v>
      </c>
      <c r="X63" s="553">
        <f>IFERROR(X60/H60,"0")+IFERROR(X61/H61,"0")+IFERROR(X62/H62,"0")</f>
        <v>0</v>
      </c>
      <c r="Y63" s="553">
        <f>IFERROR(Y60/H60,"0")+IFERROR(Y61/H61,"0")+IFERROR(Y62/H62,"0")</f>
        <v>0</v>
      </c>
      <c r="Z63" s="553">
        <f>IFERROR(IF(Z60="",0,Z60),"0")+IFERROR(IF(Z61="",0,Z61),"0")+IFERROR(IF(Z62="",0,Z62),"0")</f>
        <v>0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37" t="s">
        <v>69</v>
      </c>
      <c r="X64" s="553">
        <f>IFERROR(SUM(X60:X62),"0")</f>
        <v>0</v>
      </c>
      <c r="Y64" s="553">
        <f>IFERROR(SUM(Y60:Y62),"0")</f>
        <v>0</v>
      </c>
      <c r="Z64" s="37"/>
      <c r="AA64" s="554"/>
      <c r="AB64" s="554"/>
      <c r="AC64" s="55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5"/>
      <c r="AB65" s="545"/>
      <c r="AC65" s="54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5"/>
      <c r="AB70" s="545"/>
      <c r="AC70" s="545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81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/>
      <c r="M72" s="33" t="s">
        <v>81</v>
      </c>
      <c r="N72" s="33"/>
      <c r="O72" s="32">
        <v>40</v>
      </c>
      <c r="P72" s="8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81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5"/>
      <c r="AB77" s="545"/>
      <c r="AC77" s="545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/>
      <c r="M78" s="33" t="s">
        <v>88</v>
      </c>
      <c r="N78" s="33"/>
      <c r="O78" s="32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/>
      <c r="M79" s="33" t="s">
        <v>81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5"/>
      <c r="AB83" s="545"/>
      <c r="AC83" s="545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88</v>
      </c>
      <c r="N84" s="33"/>
      <c r="O84" s="32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80</v>
      </c>
      <c r="Y84" s="552">
        <f>IFERROR(IF(X84="",0,CEILING((X84/$H84),1)*$H84),"")</f>
        <v>86.4</v>
      </c>
      <c r="Z84" s="36">
        <f>IFERROR(IF(Y84=0,"",ROUNDUP(Y84/H84,0)*0.01898),"")</f>
        <v>0.15184</v>
      </c>
      <c r="AA84" s="56"/>
      <c r="AB84" s="57"/>
      <c r="AC84" s="125" t="s">
        <v>171</v>
      </c>
      <c r="AG84" s="64"/>
      <c r="AJ84" s="68" t="s">
        <v>83</v>
      </c>
      <c r="AK84" s="68">
        <v>86.4</v>
      </c>
      <c r="BB84" s="126" t="s">
        <v>1</v>
      </c>
      <c r="BM84" s="64">
        <f>IFERROR(X84*I84/H84,"0")</f>
        <v>83.037037037037038</v>
      </c>
      <c r="BN84" s="64">
        <f>IFERROR(Y84*I84/H84,"0")</f>
        <v>89.68</v>
      </c>
      <c r="BO84" s="64">
        <f>IFERROR(1/J84*(X84/H84),"0")</f>
        <v>0.11574074074074073</v>
      </c>
      <c r="BP84" s="64">
        <f>IFERROR(1/J84*(Y84/H84),"0")</f>
        <v>0.125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81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88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45</v>
      </c>
      <c r="Y87" s="552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171</v>
      </c>
      <c r="AG87" s="64"/>
      <c r="AJ87" s="68" t="s">
        <v>83</v>
      </c>
      <c r="AK87" s="68">
        <v>54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37" t="s">
        <v>76</v>
      </c>
      <c r="X88" s="553">
        <f>IFERROR(X84/H84,"0")+IFERROR(X85/H85,"0")+IFERROR(X86/H86,"0")+IFERROR(X87/H87,"0")</f>
        <v>17.407407407407405</v>
      </c>
      <c r="Y88" s="553">
        <f>IFERROR(Y84/H84,"0")+IFERROR(Y85/H85,"0")+IFERROR(Y86/H86,"0")+IFERROR(Y87/H87,"0")</f>
        <v>18</v>
      </c>
      <c r="Z88" s="553">
        <f>IFERROR(IF(Z84="",0,Z84),"0")+IFERROR(IF(Z85="",0,Z85),"0")+IFERROR(IF(Z86="",0,Z86),"0")+IFERROR(IF(Z87="",0,Z87),"0")</f>
        <v>0.24204000000000001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37" t="s">
        <v>69</v>
      </c>
      <c r="X89" s="553">
        <f>IFERROR(SUM(X84:X87),"0")</f>
        <v>125</v>
      </c>
      <c r="Y89" s="553">
        <f>IFERROR(SUM(Y84:Y87),"0")</f>
        <v>131.4</v>
      </c>
      <c r="Z89" s="37"/>
      <c r="AA89" s="554"/>
      <c r="AB89" s="554"/>
      <c r="AC89" s="55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5"/>
      <c r="AB90" s="545"/>
      <c r="AC90" s="545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/>
      <c r="M91" s="33" t="s">
        <v>88</v>
      </c>
      <c r="N91" s="33"/>
      <c r="O91" s="32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0</v>
      </c>
      <c r="Y91" s="55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81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88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/>
      <c r="M94" s="33" t="s">
        <v>81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37" t="s">
        <v>76</v>
      </c>
      <c r="X95" s="553">
        <f>IFERROR(X91/H91,"0")+IFERROR(X92/H92,"0")+IFERROR(X93/H93,"0")+IFERROR(X94/H94,"0")</f>
        <v>0</v>
      </c>
      <c r="Y95" s="553">
        <f>IFERROR(Y91/H91,"0")+IFERROR(Y92/H92,"0")+IFERROR(Y93/H93,"0")+IFERROR(Y94/H94,"0")</f>
        <v>0</v>
      </c>
      <c r="Z95" s="553">
        <f>IFERROR(IF(Z91="",0,Z91),"0")+IFERROR(IF(Z92="",0,Z92),"0")+IFERROR(IF(Z93="",0,Z93),"0")+IFERROR(IF(Z94="",0,Z94),"0")</f>
        <v>0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37" t="s">
        <v>69</v>
      </c>
      <c r="X96" s="553">
        <f>IFERROR(SUM(X91:X94),"0")</f>
        <v>0</v>
      </c>
      <c r="Y96" s="553">
        <f>IFERROR(SUM(Y91:Y94),"0")</f>
        <v>0</v>
      </c>
      <c r="Z96" s="37"/>
      <c r="AA96" s="554"/>
      <c r="AB96" s="554"/>
      <c r="AC96" s="55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83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/>
      <c r="M101" s="33" t="s">
        <v>81</v>
      </c>
      <c r="N101" s="33"/>
      <c r="O101" s="32">
        <v>50</v>
      </c>
      <c r="P101" s="8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81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83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81</v>
      </c>
      <c r="N103" s="33"/>
      <c r="O103" s="32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/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120</v>
      </c>
      <c r="Y114" s="552">
        <f>IFERROR(IF(X114="",0,CEILING((X114/$H114),1)*$H114),"")</f>
        <v>121.5</v>
      </c>
      <c r="Z114" s="36">
        <f>IFERROR(IF(Y114=0,"",ROUNDUP(Y114/H114,0)*0.01898),"")</f>
        <v>0.28470000000000001</v>
      </c>
      <c r="AA114" s="56"/>
      <c r="AB114" s="57"/>
      <c r="AC114" s="159" t="s">
        <v>216</v>
      </c>
      <c r="AG114" s="64"/>
      <c r="AJ114" s="68"/>
      <c r="AK114" s="68">
        <v>0</v>
      </c>
      <c r="BB114" s="160" t="s">
        <v>1</v>
      </c>
      <c r="BM114" s="64">
        <f>IFERROR(X114*I114/H114,"0")</f>
        <v>127.22962962962963</v>
      </c>
      <c r="BN114" s="64">
        <f>IFERROR(Y114*I114/H114,"0")</f>
        <v>128.82</v>
      </c>
      <c r="BO114" s="64">
        <f>IFERROR(1/J114*(X114/H114),"0")</f>
        <v>0.23148148148148148</v>
      </c>
      <c r="BP114" s="64">
        <f>IFERROR(1/J114*(Y114/H114),"0")</f>
        <v>0.234375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/>
      <c r="M115" s="33" t="s">
        <v>88</v>
      </c>
      <c r="N115" s="33"/>
      <c r="O115" s="32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/>
      <c r="M116" s="33" t="s">
        <v>88</v>
      </c>
      <c r="N116" s="33"/>
      <c r="O116" s="32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16.2</v>
      </c>
      <c r="Y116" s="552">
        <f>IFERROR(IF(X116="",0,CEILING((X116/$H116),1)*$H116),"")</f>
        <v>16.200000000000003</v>
      </c>
      <c r="Z116" s="36">
        <f>IFERROR(IF(Y116=0,"",ROUNDUP(Y116/H116,0)*0.00651),"")</f>
        <v>3.9059999999999997E-2</v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17.711999999999996</v>
      </c>
      <c r="BN116" s="64">
        <f>IFERROR(Y116*I116/H116,"0")</f>
        <v>17.712000000000003</v>
      </c>
      <c r="BO116" s="64">
        <f>IFERROR(1/J116*(X116/H116),"0")</f>
        <v>3.2967032967032968E-2</v>
      </c>
      <c r="BP116" s="64">
        <f>IFERROR(1/J116*(Y116/H116),"0")</f>
        <v>3.2967032967032975E-2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80</v>
      </c>
      <c r="M117" s="33" t="s">
        <v>81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83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37" t="s">
        <v>76</v>
      </c>
      <c r="X118" s="553">
        <f>IFERROR(X114/H114,"0")+IFERROR(X115/H115,"0")+IFERROR(X116/H116,"0")+IFERROR(X117/H117,"0")</f>
        <v>20.814814814814813</v>
      </c>
      <c r="Y118" s="553">
        <f>IFERROR(Y114/H114,"0")+IFERROR(Y115/H115,"0")+IFERROR(Y116/H116,"0")+IFERROR(Y117/H117,"0")</f>
        <v>21</v>
      </c>
      <c r="Z118" s="553">
        <f>IFERROR(IF(Z114="",0,Z114),"0")+IFERROR(IF(Z115="",0,Z115),"0")+IFERROR(IF(Z116="",0,Z116),"0")+IFERROR(IF(Z117="",0,Z117),"0")</f>
        <v>0.32375999999999999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37" t="s">
        <v>69</v>
      </c>
      <c r="X119" s="553">
        <f>IFERROR(SUM(X114:X117),"0")</f>
        <v>136.19999999999999</v>
      </c>
      <c r="Y119" s="553">
        <f>IFERROR(SUM(Y114:Y117),"0")</f>
        <v>137.69999999999999</v>
      </c>
      <c r="Z119" s="37"/>
      <c r="AA119" s="554"/>
      <c r="AB119" s="554"/>
      <c r="AC119" s="55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80</v>
      </c>
      <c r="M121" s="33" t="s">
        <v>81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83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/>
      <c r="M126" s="33" t="s">
        <v>96</v>
      </c>
      <c r="N126" s="33"/>
      <c r="O126" s="32">
        <v>90</v>
      </c>
      <c r="P12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/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/>
      <c r="M143" s="33" t="s">
        <v>106</v>
      </c>
      <c r="N143" s="33"/>
      <c r="O143" s="32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/>
      <c r="M147" s="33" t="s">
        <v>106</v>
      </c>
      <c r="N147" s="33"/>
      <c r="O147" s="32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/>
      <c r="M151" s="33" t="s">
        <v>68</v>
      </c>
      <c r="N151" s="33"/>
      <c r="O151" s="32">
        <v>40</v>
      </c>
      <c r="P151" s="87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9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81</v>
      </c>
      <c r="N156" s="33"/>
      <c r="O156" s="32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48"/>
      <c r="AB159" s="48"/>
      <c r="AC159" s="48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83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20</v>
      </c>
      <c r="Y167" s="552">
        <f t="shared" si="10"/>
        <v>21</v>
      </c>
      <c r="Z167" s="36">
        <f>IFERROR(IF(Y167=0,"",ROUNDUP(Y167/H167,0)*0.00902),"")</f>
        <v>4.5100000000000001E-2</v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21.19047619047619</v>
      </c>
      <c r="BN167" s="64">
        <f t="shared" si="12"/>
        <v>22.25</v>
      </c>
      <c r="BO167" s="64">
        <f t="shared" si="13"/>
        <v>3.6075036075036072E-2</v>
      </c>
      <c r="BP167" s="64">
        <f t="shared" si="14"/>
        <v>3.787878787878788E-2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20</v>
      </c>
      <c r="Y168" s="552">
        <f t="shared" si="10"/>
        <v>21</v>
      </c>
      <c r="Z168" s="36">
        <f>IFERROR(IF(Y168=0,"",ROUNDUP(Y168/H168,0)*0.00902),"")</f>
        <v>4.5100000000000001E-2</v>
      </c>
      <c r="AA168" s="56"/>
      <c r="AB168" s="57"/>
      <c r="AC168" s="205" t="s">
        <v>279</v>
      </c>
      <c r="AG168" s="64"/>
      <c r="AJ168" s="68" t="s">
        <v>83</v>
      </c>
      <c r="AK168" s="68">
        <v>50.4</v>
      </c>
      <c r="BB168" s="206" t="s">
        <v>1</v>
      </c>
      <c r="BM168" s="64">
        <f t="shared" si="11"/>
        <v>20.904761904761902</v>
      </c>
      <c r="BN168" s="64">
        <f t="shared" si="12"/>
        <v>21.95</v>
      </c>
      <c r="BO168" s="64">
        <f t="shared" si="13"/>
        <v>3.6075036075036072E-2</v>
      </c>
      <c r="BP168" s="64">
        <f t="shared" si="14"/>
        <v>3.787878787878788E-2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290</v>
      </c>
      <c r="M172" s="33" t="s">
        <v>68</v>
      </c>
      <c r="N172" s="33"/>
      <c r="O172" s="32">
        <v>40</v>
      </c>
      <c r="P172" s="5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83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7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290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83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9.5238095238095237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9.0200000000000002E-2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37" t="s">
        <v>69</v>
      </c>
      <c r="X181" s="553">
        <f>IFERROR(SUM(X166:X179),"0")</f>
        <v>40</v>
      </c>
      <c r="Y181" s="553">
        <f>IFERROR(SUM(Y166:Y179),"0")</f>
        <v>42</v>
      </c>
      <c r="Z181" s="37"/>
      <c r="AA181" s="554"/>
      <c r="AB181" s="554"/>
      <c r="AC181" s="55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/>
      <c r="M195" s="33" t="s">
        <v>106</v>
      </c>
      <c r="N195" s="33"/>
      <c r="O195" s="32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150</v>
      </c>
      <c r="Y204" s="552">
        <f t="shared" ref="Y204:Y211" si="15">IFERROR(IF(X204="",0,CEILING((X204/$H204),1)*$H204),"")</f>
        <v>151.20000000000002</v>
      </c>
      <c r="Z204" s="36">
        <f>IFERROR(IF(Y204=0,"",ROUNDUP(Y204/H204,0)*0.00902),"")</f>
        <v>0.25256000000000001</v>
      </c>
      <c r="AA204" s="56"/>
      <c r="AB204" s="57"/>
      <c r="AC204" s="245" t="s">
        <v>335</v>
      </c>
      <c r="AG204" s="64"/>
      <c r="AJ204" s="68" t="s">
        <v>83</v>
      </c>
      <c r="AK204" s="68">
        <v>64.8</v>
      </c>
      <c r="BB204" s="246" t="s">
        <v>1</v>
      </c>
      <c r="BM204" s="64">
        <f t="shared" ref="BM204:BM211" si="16">IFERROR(X204*I204/H204,"0")</f>
        <v>155.27777777777777</v>
      </c>
      <c r="BN204" s="64">
        <f t="shared" ref="BN204:BN211" si="17">IFERROR(Y204*I204/H204,"0")</f>
        <v>156.52000000000001</v>
      </c>
      <c r="BO204" s="64">
        <f t="shared" ref="BO204:BO211" si="18">IFERROR(1/J204*(X204/H204),"0")</f>
        <v>0.21043771043771042</v>
      </c>
      <c r="BP204" s="64">
        <f t="shared" ref="BP204:BP211" si="19">IFERROR(1/J204*(Y204/H204),"0")</f>
        <v>0.21212121212121213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80</v>
      </c>
      <c r="Y205" s="552">
        <f t="shared" si="15"/>
        <v>81</v>
      </c>
      <c r="Z205" s="36">
        <f>IFERROR(IF(Y205=0,"",ROUNDUP(Y205/H205,0)*0.00902),"")</f>
        <v>0.1353</v>
      </c>
      <c r="AA205" s="56"/>
      <c r="AB205" s="57"/>
      <c r="AC205" s="247" t="s">
        <v>338</v>
      </c>
      <c r="AG205" s="64"/>
      <c r="AJ205" s="68" t="s">
        <v>83</v>
      </c>
      <c r="AK205" s="68">
        <v>64.8</v>
      </c>
      <c r="BB205" s="248" t="s">
        <v>1</v>
      </c>
      <c r="BM205" s="64">
        <f t="shared" si="16"/>
        <v>82.81481481481481</v>
      </c>
      <c r="BN205" s="64">
        <f t="shared" si="17"/>
        <v>83.85</v>
      </c>
      <c r="BO205" s="64">
        <f t="shared" si="18"/>
        <v>0.11223344556677889</v>
      </c>
      <c r="BP205" s="64">
        <f t="shared" si="19"/>
        <v>0.11363636363636363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100</v>
      </c>
      <c r="Y206" s="552">
        <f t="shared" si="15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341</v>
      </c>
      <c r="AG206" s="64"/>
      <c r="AJ206" s="68" t="s">
        <v>83</v>
      </c>
      <c r="AK206" s="68">
        <v>64.8</v>
      </c>
      <c r="BB206" s="250" t="s">
        <v>1</v>
      </c>
      <c r="BM206" s="64">
        <f t="shared" si="16"/>
        <v>103.5185185185185</v>
      </c>
      <c r="BN206" s="64">
        <f t="shared" si="17"/>
        <v>106.21</v>
      </c>
      <c r="BO206" s="64">
        <f t="shared" si="18"/>
        <v>0.14029180695847362</v>
      </c>
      <c r="BP206" s="64">
        <f t="shared" si="19"/>
        <v>0.14393939393939395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50</v>
      </c>
      <c r="Y207" s="552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344</v>
      </c>
      <c r="AG207" s="64"/>
      <c r="AJ207" s="68" t="s">
        <v>83</v>
      </c>
      <c r="AK207" s="68">
        <v>64.8</v>
      </c>
      <c r="BB207" s="252" t="s">
        <v>1</v>
      </c>
      <c r="BM207" s="64">
        <f t="shared" si="16"/>
        <v>51.759259259259252</v>
      </c>
      <c r="BN207" s="64">
        <f t="shared" si="17"/>
        <v>55.9</v>
      </c>
      <c r="BO207" s="64">
        <f t="shared" si="18"/>
        <v>7.0145903479236812E-2</v>
      </c>
      <c r="BP207" s="64">
        <f t="shared" si="19"/>
        <v>7.575757575757576E-2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290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83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 t="s">
        <v>290</v>
      </c>
      <c r="M210" s="33" t="s">
        <v>68</v>
      </c>
      <c r="N210" s="33"/>
      <c r="O210" s="32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83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290</v>
      </c>
      <c r="M211" s="33" t="s">
        <v>68</v>
      </c>
      <c r="N211" s="33"/>
      <c r="O211" s="32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83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70.370370370370367</v>
      </c>
      <c r="Y212" s="553">
        <f>IFERROR(Y204/H204,"0")+IFERROR(Y205/H205,"0")+IFERROR(Y206/H206,"0")+IFERROR(Y207/H207,"0")+IFERROR(Y208/H208,"0")+IFERROR(Y209/H209,"0")+IFERROR(Y210/H210,"0")+IFERROR(Y211/H211,"0")</f>
        <v>72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0.64944000000000002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37" t="s">
        <v>69</v>
      </c>
      <c r="X213" s="553">
        <f>IFERROR(SUM(X204:X211),"0")</f>
        <v>380</v>
      </c>
      <c r="Y213" s="553">
        <f>IFERROR(SUM(Y204:Y211),"0")</f>
        <v>388.8</v>
      </c>
      <c r="Z213" s="37"/>
      <c r="AA213" s="554"/>
      <c r="AB213" s="554"/>
      <c r="AC213" s="55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20</v>
      </c>
      <c r="Y215" s="552">
        <f t="shared" ref="Y215:Y223" si="20">IFERROR(IF(X215="",0,CEILING((X215/$H215),1)*$H215),"")</f>
        <v>24.299999999999997</v>
      </c>
      <c r="Z215" s="36">
        <f>IFERROR(IF(Y215=0,"",ROUNDUP(Y215/H215,0)*0.01898),"")</f>
        <v>5.6940000000000004E-2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21.219753086419754</v>
      </c>
      <c r="BN215" s="64">
        <f t="shared" ref="BN215:BN223" si="22">IFERROR(Y215*I215/H215,"0")</f>
        <v>25.781999999999996</v>
      </c>
      <c r="BO215" s="64">
        <f t="shared" ref="BO215:BO223" si="23">IFERROR(1/J215*(X215/H215),"0")</f>
        <v>3.8580246913580252E-2</v>
      </c>
      <c r="BP215" s="64">
        <f t="shared" ref="BP215:BP223" si="24">IFERROR(1/J215*(Y215/H215),"0")</f>
        <v>4.6875E-2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81</v>
      </c>
      <c r="N216" s="33"/>
      <c r="O216" s="32">
        <v>40</v>
      </c>
      <c r="P216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81</v>
      </c>
      <c r="N217" s="33"/>
      <c r="O217" s="32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83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80</v>
      </c>
      <c r="M218" s="33" t="s">
        <v>81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83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/>
      <c r="M219" s="33" t="s">
        <v>88</v>
      </c>
      <c r="N219" s="33"/>
      <c r="O219" s="32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80</v>
      </c>
      <c r="M220" s="33" t="s">
        <v>81</v>
      </c>
      <c r="N220" s="33"/>
      <c r="O220" s="32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14.4</v>
      </c>
      <c r="Y220" s="552">
        <f t="shared" si="20"/>
        <v>14.399999999999999</v>
      </c>
      <c r="Z220" s="36">
        <f t="shared" si="25"/>
        <v>3.9059999999999997E-2</v>
      </c>
      <c r="AA220" s="56"/>
      <c r="AB220" s="57"/>
      <c r="AC220" s="271" t="s">
        <v>361</v>
      </c>
      <c r="AG220" s="64"/>
      <c r="AJ220" s="68" t="s">
        <v>83</v>
      </c>
      <c r="AK220" s="68">
        <v>33.6</v>
      </c>
      <c r="BB220" s="272" t="s">
        <v>1</v>
      </c>
      <c r="BM220" s="64">
        <f t="shared" si="21"/>
        <v>15.912000000000001</v>
      </c>
      <c r="BN220" s="64">
        <f t="shared" si="22"/>
        <v>15.912000000000001</v>
      </c>
      <c r="BO220" s="64">
        <f t="shared" si="23"/>
        <v>3.2967032967032968E-2</v>
      </c>
      <c r="BP220" s="64">
        <f t="shared" si="24"/>
        <v>3.2967032967032968E-2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/>
      <c r="M221" s="33" t="s">
        <v>81</v>
      </c>
      <c r="N221" s="33"/>
      <c r="O221" s="32">
        <v>45</v>
      </c>
      <c r="P221" s="5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0</v>
      </c>
      <c r="Y221" s="552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80</v>
      </c>
      <c r="M222" s="33" t="s">
        <v>88</v>
      </c>
      <c r="N222" s="33"/>
      <c r="O222" s="32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83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80</v>
      </c>
      <c r="M223" s="33" t="s">
        <v>81</v>
      </c>
      <c r="N223" s="33"/>
      <c r="O223" s="32">
        <v>40</v>
      </c>
      <c r="P223" s="66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83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8.4691358024691361</v>
      </c>
      <c r="Y224" s="553">
        <f>IFERROR(Y215/H215,"0")+IFERROR(Y216/H216,"0")+IFERROR(Y217/H217,"0")+IFERROR(Y218/H218,"0")+IFERROR(Y219/H219,"0")+IFERROR(Y220/H220,"0")+IFERROR(Y221/H221,"0")+IFERROR(Y222/H222,"0")+IFERROR(Y223/H223,"0")</f>
        <v>9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9.6000000000000002E-2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37" t="s">
        <v>69</v>
      </c>
      <c r="X225" s="553">
        <f>IFERROR(SUM(X215:X223),"0")</f>
        <v>34.4</v>
      </c>
      <c r="Y225" s="553">
        <f>IFERROR(SUM(Y215:Y223),"0")</f>
        <v>38.699999999999996</v>
      </c>
      <c r="Z225" s="37"/>
      <c r="AA225" s="554"/>
      <c r="AB225" s="554"/>
      <c r="AC225" s="55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80</v>
      </c>
      <c r="M227" s="33" t="s">
        <v>88</v>
      </c>
      <c r="N227" s="33"/>
      <c r="O227" s="32">
        <v>40</v>
      </c>
      <c r="P227" s="7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83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 t="s">
        <v>80</v>
      </c>
      <c r="M228" s="33" t="s">
        <v>81</v>
      </c>
      <c r="N228" s="33"/>
      <c r="O228" s="32">
        <v>40</v>
      </c>
      <c r="P228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83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83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81</v>
      </c>
      <c r="N245" s="33"/>
      <c r="O245" s="32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100</v>
      </c>
      <c r="Y264" s="552">
        <f>IFERROR(IF(X264="",0,CEILING((X264/$H264),1)*$H264),"")</f>
        <v>108</v>
      </c>
      <c r="Z264" s="36">
        <f>IFERROR(IF(Y264=0,"",ROUNDUP(Y264/H264,0)*0.01898),"")</f>
        <v>0.1898</v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103.79629629629629</v>
      </c>
      <c r="BN264" s="64">
        <f>IFERROR(Y264*I264/H264,"0")</f>
        <v>112.1</v>
      </c>
      <c r="BO264" s="64">
        <f>IFERROR(1/J264*(X264/H264),"0")</f>
        <v>0.14467592592592593</v>
      </c>
      <c r="BP264" s="64">
        <f>IFERROR(1/J264*(Y264/H264),"0")</f>
        <v>0.15625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/>
      <c r="M266" s="33" t="s">
        <v>106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37" t="s">
        <v>76</v>
      </c>
      <c r="X267" s="553">
        <f>IFERROR(X262/H262,"0")+IFERROR(X263/H263,"0")+IFERROR(X264/H264,"0")+IFERROR(X265/H265,"0")+IFERROR(X266/H266,"0")</f>
        <v>9.2592592592592595</v>
      </c>
      <c r="Y267" s="553">
        <f>IFERROR(Y262/H262,"0")+IFERROR(Y263/H263,"0")+IFERROR(Y264/H264,"0")+IFERROR(Y265/H265,"0")+IFERROR(Y266/H266,"0")</f>
        <v>10</v>
      </c>
      <c r="Z267" s="553">
        <f>IFERROR(IF(Z262="",0,Z262),"0")+IFERROR(IF(Z263="",0,Z263),"0")+IFERROR(IF(Z264="",0,Z264),"0")+IFERROR(IF(Z265="",0,Z265),"0")+IFERROR(IF(Z266="",0,Z266),"0")</f>
        <v>0.1898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37" t="s">
        <v>69</v>
      </c>
      <c r="X268" s="553">
        <f>IFERROR(SUM(X262:X266),"0")</f>
        <v>100</v>
      </c>
      <c r="Y268" s="553">
        <f>IFERROR(SUM(Y262:Y266),"0")</f>
        <v>108</v>
      </c>
      <c r="Z268" s="37"/>
      <c r="AA268" s="554"/>
      <c r="AB268" s="554"/>
      <c r="AC268" s="55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81</v>
      </c>
      <c r="N271" s="33"/>
      <c r="O271" s="32">
        <v>35</v>
      </c>
      <c r="P271" s="61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81</v>
      </c>
      <c r="N272" s="33"/>
      <c r="O272" s="32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81</v>
      </c>
      <c r="N273" s="33"/>
      <c r="O273" s="32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81</v>
      </c>
      <c r="N279" s="33"/>
      <c r="O279" s="32">
        <v>45</v>
      </c>
      <c r="P279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 t="s">
        <v>80</v>
      </c>
      <c r="M280" s="33" t="s">
        <v>88</v>
      </c>
      <c r="N280" s="33"/>
      <c r="O280" s="32">
        <v>40</v>
      </c>
      <c r="P280" s="6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83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/>
      <c r="M281" s="33" t="s">
        <v>81</v>
      </c>
      <c r="N281" s="33"/>
      <c r="O281" s="32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/>
      <c r="M291" s="33" t="s">
        <v>81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81</v>
      </c>
      <c r="N292" s="33"/>
      <c r="O292" s="32">
        <v>45</v>
      </c>
      <c r="P292" s="8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/>
      <c r="M298" s="33" t="s">
        <v>81</v>
      </c>
      <c r="N298" s="33"/>
      <c r="O298" s="32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81</v>
      </c>
      <c r="N300" s="33"/>
      <c r="O300" s="32">
        <v>55</v>
      </c>
      <c r="P300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/>
      <c r="M301" s="33" t="s">
        <v>106</v>
      </c>
      <c r="N301" s="33"/>
      <c r="O301" s="32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/>
      <c r="AK302" s="68">
        <v>0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5"/>
      <c r="AB305" s="545"/>
      <c r="AC305" s="545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/>
      <c r="M306" s="33" t="s">
        <v>68</v>
      </c>
      <c r="N306" s="33"/>
      <c r="O306" s="32">
        <v>35</v>
      </c>
      <c r="P306" s="7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35</v>
      </c>
      <c r="Y306" s="552">
        <f t="shared" ref="Y306:Y311" si="36">IFERROR(IF(X306="",0,CEILING((X306/$H306),1)*$H306),"")</f>
        <v>37.800000000000004</v>
      </c>
      <c r="Z306" s="36">
        <f>IFERROR(IF(Y306=0,"",ROUNDUP(Y306/H306,0)*0.00902),"")</f>
        <v>8.1180000000000002E-2</v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ref="BM306:BM311" si="37">IFERROR(X306*I306/H306,"0")</f>
        <v>37.083333333333329</v>
      </c>
      <c r="BN306" s="64">
        <f t="shared" ref="BN306:BN311" si="38">IFERROR(Y306*I306/H306,"0")</f>
        <v>40.050000000000004</v>
      </c>
      <c r="BO306" s="64">
        <f t="shared" ref="BO306:BO311" si="39">IFERROR(1/J306*(X306/H306),"0")</f>
        <v>6.3131313131313122E-2</v>
      </c>
      <c r="BP306" s="64">
        <f t="shared" ref="BP306:BP311" si="40">IFERROR(1/J306*(Y306/H306),"0")</f>
        <v>6.8181818181818177E-2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40</v>
      </c>
      <c r="P307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290</v>
      </c>
      <c r="M310" s="33" t="s">
        <v>68</v>
      </c>
      <c r="N310" s="33"/>
      <c r="O310" s="32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83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80</v>
      </c>
      <c r="M311" s="33" t="s">
        <v>68</v>
      </c>
      <c r="N311" s="33"/>
      <c r="O311" s="32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83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37" t="s">
        <v>76</v>
      </c>
      <c r="X312" s="553">
        <f>IFERROR(X306/H306,"0")+IFERROR(X307/H307,"0")+IFERROR(X308/H308,"0")+IFERROR(X309/H309,"0")+IFERROR(X310/H310,"0")+IFERROR(X311/H311,"0")</f>
        <v>8.3333333333333321</v>
      </c>
      <c r="Y312" s="553">
        <f>IFERROR(Y306/H306,"0")+IFERROR(Y307/H307,"0")+IFERROR(Y308/H308,"0")+IFERROR(Y309/H309,"0")+IFERROR(Y310/H310,"0")+IFERROR(Y311/H311,"0")</f>
        <v>9</v>
      </c>
      <c r="Z312" s="553">
        <f>IFERROR(IF(Z306="",0,Z306),"0")+IFERROR(IF(Z307="",0,Z307),"0")+IFERROR(IF(Z308="",0,Z308),"0")+IFERROR(IF(Z309="",0,Z309),"0")+IFERROR(IF(Z310="",0,Z310),"0")+IFERROR(IF(Z311="",0,Z311),"0")</f>
        <v>8.1180000000000002E-2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37" t="s">
        <v>69</v>
      </c>
      <c r="X313" s="553">
        <f>IFERROR(SUM(X306:X311),"0")</f>
        <v>35</v>
      </c>
      <c r="Y313" s="553">
        <f>IFERROR(SUM(Y306:Y311),"0")</f>
        <v>37.800000000000004</v>
      </c>
      <c r="Z313" s="37"/>
      <c r="AA313" s="554"/>
      <c r="AB313" s="554"/>
      <c r="AC313" s="55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5"/>
      <c r="AB314" s="545"/>
      <c r="AC314" s="545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/>
      <c r="M315" s="33" t="s">
        <v>81</v>
      </c>
      <c r="N315" s="33"/>
      <c r="O315" s="32">
        <v>40</v>
      </c>
      <c r="P315" s="5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81</v>
      </c>
      <c r="N316" s="33"/>
      <c r="O316" s="32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81</v>
      </c>
      <c r="N317" s="33"/>
      <c r="O317" s="32">
        <v>40</v>
      </c>
      <c r="P317" s="84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/>
      <c r="M318" s="33" t="s">
        <v>81</v>
      </c>
      <c r="N318" s="33"/>
      <c r="O318" s="32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5"/>
      <c r="AB321" s="545"/>
      <c r="AC321" s="545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81</v>
      </c>
      <c r="N322" s="33"/>
      <c r="O322" s="32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83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81</v>
      </c>
      <c r="N323" s="33"/>
      <c r="O323" s="32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40</v>
      </c>
      <c r="Y323" s="552">
        <f>IFERROR(IF(X323="",0,CEILING((X323/$H323),1)*$H323),"")</f>
        <v>46.8</v>
      </c>
      <c r="Z323" s="36">
        <f>IFERROR(IF(Y323=0,"",ROUNDUP(Y323/H323,0)*0.01898),"")</f>
        <v>0.11388000000000001</v>
      </c>
      <c r="AA323" s="56"/>
      <c r="AB323" s="57"/>
      <c r="AC323" s="381" t="s">
        <v>524</v>
      </c>
      <c r="AG323" s="64"/>
      <c r="AJ323" s="68" t="s">
        <v>83</v>
      </c>
      <c r="AK323" s="68">
        <v>62.4</v>
      </c>
      <c r="BB323" s="382" t="s">
        <v>1</v>
      </c>
      <c r="BM323" s="64">
        <f>IFERROR(X323*I323/H323,"0")</f>
        <v>42.533333333333331</v>
      </c>
      <c r="BN323" s="64">
        <f>IFERROR(Y323*I323/H323,"0")</f>
        <v>49.764000000000003</v>
      </c>
      <c r="BO323" s="64">
        <f>IFERROR(1/J323*(X323/H323),"0")</f>
        <v>8.0128205128205135E-2</v>
      </c>
      <c r="BP323" s="64">
        <f>IFERROR(1/J323*(Y323/H323),"0")</f>
        <v>9.375E-2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/>
      <c r="M324" s="33" t="s">
        <v>88</v>
      </c>
      <c r="N324" s="33"/>
      <c r="O324" s="32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37" t="s">
        <v>76</v>
      </c>
      <c r="X325" s="553">
        <f>IFERROR(X322/H322,"0")+IFERROR(X323/H323,"0")+IFERROR(X324/H324,"0")</f>
        <v>5.1282051282051286</v>
      </c>
      <c r="Y325" s="553">
        <f>IFERROR(Y322/H322,"0")+IFERROR(Y323/H323,"0")+IFERROR(Y324/H324,"0")</f>
        <v>6</v>
      </c>
      <c r="Z325" s="553">
        <f>IFERROR(IF(Z322="",0,Z322),"0")+IFERROR(IF(Z323="",0,Z323),"0")+IFERROR(IF(Z324="",0,Z324),"0")</f>
        <v>0.11388000000000001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37" t="s">
        <v>69</v>
      </c>
      <c r="X326" s="553">
        <f>IFERROR(SUM(X322:X324),"0")</f>
        <v>40</v>
      </c>
      <c r="Y326" s="553">
        <f>IFERROR(SUM(Y322:Y324),"0")</f>
        <v>46.8</v>
      </c>
      <c r="Z326" s="37"/>
      <c r="AA326" s="554"/>
      <c r="AB326" s="554"/>
      <c r="AC326" s="55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5"/>
      <c r="AB327" s="545"/>
      <c r="AC327" s="545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 t="s">
        <v>80</v>
      </c>
      <c r="M330" s="33" t="s">
        <v>96</v>
      </c>
      <c r="N330" s="33"/>
      <c r="O330" s="32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83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5"/>
      <c r="AB334" s="545"/>
      <c r="AC334" s="545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5"/>
      <c r="AB341" s="545"/>
      <c r="AC341" s="545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/>
      <c r="M342" s="33" t="s">
        <v>88</v>
      </c>
      <c r="N342" s="33"/>
      <c r="O342" s="32">
        <v>45</v>
      </c>
      <c r="P342" s="8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80</v>
      </c>
      <c r="M343" s="33" t="s">
        <v>81</v>
      </c>
      <c r="N343" s="33"/>
      <c r="O343" s="32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12.6</v>
      </c>
      <c r="Y343" s="552">
        <f>IFERROR(IF(X343="",0,CEILING((X343/$H343),1)*$H343),"")</f>
        <v>12.600000000000001</v>
      </c>
      <c r="Z343" s="36">
        <f>IFERROR(IF(Y343=0,"",ROUNDUP(Y343/H343,0)*0.00651),"")</f>
        <v>3.9059999999999997E-2</v>
      </c>
      <c r="AA343" s="56"/>
      <c r="AB343" s="57"/>
      <c r="AC343" s="401" t="s">
        <v>552</v>
      </c>
      <c r="AG343" s="64"/>
      <c r="AJ343" s="68" t="s">
        <v>83</v>
      </c>
      <c r="AK343" s="68">
        <v>29.4</v>
      </c>
      <c r="BB343" s="402" t="s">
        <v>1</v>
      </c>
      <c r="BM343" s="64">
        <f>IFERROR(X343*I343/H343,"0")</f>
        <v>14.111999999999998</v>
      </c>
      <c r="BN343" s="64">
        <f>IFERROR(Y343*I343/H343,"0")</f>
        <v>14.112</v>
      </c>
      <c r="BO343" s="64">
        <f>IFERROR(1/J343*(X343/H343),"0")</f>
        <v>3.2967032967032968E-2</v>
      </c>
      <c r="BP343" s="64">
        <f>IFERROR(1/J343*(Y343/H343),"0")</f>
        <v>3.2967032967032968E-2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80</v>
      </c>
      <c r="M344" s="33" t="s">
        <v>88</v>
      </c>
      <c r="N344" s="33"/>
      <c r="O344" s="32">
        <v>40</v>
      </c>
      <c r="P344" s="8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0</v>
      </c>
      <c r="Y344" s="5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555</v>
      </c>
      <c r="AG344" s="64"/>
      <c r="AJ344" s="68" t="s">
        <v>83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37" t="s">
        <v>76</v>
      </c>
      <c r="X345" s="553">
        <f>IFERROR(X342/H342,"0")+IFERROR(X343/H343,"0")+IFERROR(X344/H344,"0")</f>
        <v>6</v>
      </c>
      <c r="Y345" s="553">
        <f>IFERROR(Y342/H342,"0")+IFERROR(Y343/H343,"0")+IFERROR(Y344/H344,"0")</f>
        <v>6</v>
      </c>
      <c r="Z345" s="553">
        <f>IFERROR(IF(Z342="",0,Z342),"0")+IFERROR(IF(Z343="",0,Z343),"0")+IFERROR(IF(Z344="",0,Z344),"0")</f>
        <v>3.9059999999999997E-2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37" t="s">
        <v>69</v>
      </c>
      <c r="X346" s="553">
        <f>IFERROR(SUM(X342:X344),"0")</f>
        <v>12.6</v>
      </c>
      <c r="Y346" s="553">
        <f>IFERROR(SUM(Y342:Y344),"0")</f>
        <v>12.600000000000001</v>
      </c>
      <c r="Z346" s="37"/>
      <c r="AA346" s="554"/>
      <c r="AB346" s="554"/>
      <c r="AC346" s="55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48"/>
      <c r="AB347" s="48"/>
      <c r="AC347" s="48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5"/>
      <c r="AB349" s="545"/>
      <c r="AC349" s="545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225</v>
      </c>
      <c r="Y350" s="552">
        <f t="shared" ref="Y350:Y356" si="41">IFERROR(IF(X350="",0,CEILING((X350/$H350),1)*$H350),"")</f>
        <v>225</v>
      </c>
      <c r="Z350" s="36">
        <f>IFERROR(IF(Y350=0,"",ROUNDUP(Y350/H350,0)*0.02175),"")</f>
        <v>0.32624999999999998</v>
      </c>
      <c r="AA350" s="56"/>
      <c r="AB350" s="57"/>
      <c r="AC350" s="405" t="s">
        <v>560</v>
      </c>
      <c r="AG350" s="64"/>
      <c r="AJ350" s="68" t="s">
        <v>83</v>
      </c>
      <c r="AK350" s="68">
        <v>120</v>
      </c>
      <c r="BB350" s="406" t="s">
        <v>1</v>
      </c>
      <c r="BM350" s="64">
        <f t="shared" ref="BM350:BM356" si="42">IFERROR(X350*I350/H350,"0")</f>
        <v>232.05</v>
      </c>
      <c r="BN350" s="64">
        <f t="shared" ref="BN350:BN356" si="43">IFERROR(Y350*I350/H350,"0")</f>
        <v>232.05</v>
      </c>
      <c r="BO350" s="64">
        <f t="shared" ref="BO350:BO356" si="44">IFERROR(1/J350*(X350/H350),"0")</f>
        <v>0.3125</v>
      </c>
      <c r="BP350" s="64">
        <f t="shared" ref="BP350:BP356" si="45">IFERROR(1/J350*(Y350/H350),"0")</f>
        <v>0.3125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0</v>
      </c>
      <c r="Y351" s="552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83</v>
      </c>
      <c r="AK351" s="68">
        <v>120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300</v>
      </c>
      <c r="Y352" s="552">
        <f t="shared" si="41"/>
        <v>300</v>
      </c>
      <c r="Z352" s="36">
        <f>IFERROR(IF(Y352=0,"",ROUNDUP(Y352/H352,0)*0.02175),"")</f>
        <v>0.43499999999999994</v>
      </c>
      <c r="AA352" s="56"/>
      <c r="AB352" s="57"/>
      <c r="AC352" s="409" t="s">
        <v>566</v>
      </c>
      <c r="AG352" s="64"/>
      <c r="AJ352" s="68" t="s">
        <v>83</v>
      </c>
      <c r="AK352" s="68">
        <v>120</v>
      </c>
      <c r="BB352" s="410" t="s">
        <v>1</v>
      </c>
      <c r="BM352" s="64">
        <f t="shared" si="42"/>
        <v>309.39999999999998</v>
      </c>
      <c r="BN352" s="64">
        <f t="shared" si="43"/>
        <v>309.39999999999998</v>
      </c>
      <c r="BO352" s="64">
        <f t="shared" si="44"/>
        <v>0.41666666666666663</v>
      </c>
      <c r="BP352" s="64">
        <f t="shared" si="45"/>
        <v>0.41666666666666663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88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0</v>
      </c>
      <c r="Y353" s="552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2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/>
      <c r="M356" s="33" t="s">
        <v>68</v>
      </c>
      <c r="N356" s="33"/>
      <c r="O356" s="32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37" t="s">
        <v>76</v>
      </c>
      <c r="X357" s="553">
        <f>IFERROR(X350/H350,"0")+IFERROR(X351/H351,"0")+IFERROR(X352/H352,"0")+IFERROR(X353/H353,"0")+IFERROR(X354/H354,"0")+IFERROR(X355/H355,"0")+IFERROR(X356/H356,"0")</f>
        <v>35</v>
      </c>
      <c r="Y357" s="553">
        <f>IFERROR(Y350/H350,"0")+IFERROR(Y351/H351,"0")+IFERROR(Y352/H352,"0")+IFERROR(Y353/H353,"0")+IFERROR(Y354/H354,"0")+IFERROR(Y355/H355,"0")+IFERROR(Y356/H356,"0")</f>
        <v>35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0.76124999999999998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37" t="s">
        <v>69</v>
      </c>
      <c r="X358" s="553">
        <f>IFERROR(SUM(X350:X356),"0")</f>
        <v>525</v>
      </c>
      <c r="Y358" s="553">
        <f>IFERROR(SUM(Y350:Y356),"0")</f>
        <v>525</v>
      </c>
      <c r="Z358" s="37"/>
      <c r="AA358" s="554"/>
      <c r="AB358" s="554"/>
      <c r="AC358" s="55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5"/>
      <c r="AB359" s="545"/>
      <c r="AC359" s="545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50</v>
      </c>
      <c r="Y360" s="552">
        <f>IFERROR(IF(X360="",0,CEILING((X360/$H360),1)*$H360),"")</f>
        <v>60</v>
      </c>
      <c r="Z360" s="36">
        <f>IFERROR(IF(Y360=0,"",ROUNDUP(Y360/H360,0)*0.02175),"")</f>
        <v>8.6999999999999994E-2</v>
      </c>
      <c r="AA360" s="56"/>
      <c r="AB360" s="57"/>
      <c r="AC360" s="419" t="s">
        <v>579</v>
      </c>
      <c r="AG360" s="64"/>
      <c r="AJ360" s="68" t="s">
        <v>83</v>
      </c>
      <c r="AK360" s="68">
        <v>120</v>
      </c>
      <c r="BB360" s="420" t="s">
        <v>1</v>
      </c>
      <c r="BM360" s="64">
        <f>IFERROR(X360*I360/H360,"0")</f>
        <v>51.56666666666667</v>
      </c>
      <c r="BN360" s="64">
        <f>IFERROR(Y360*I360/H360,"0")</f>
        <v>61.88</v>
      </c>
      <c r="BO360" s="64">
        <f>IFERROR(1/J360*(X360/H360),"0")</f>
        <v>6.9444444444444448E-2</v>
      </c>
      <c r="BP360" s="64">
        <f>IFERROR(1/J360*(Y360/H360),"0")</f>
        <v>8.3333333333333329E-2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37" t="s">
        <v>76</v>
      </c>
      <c r="X362" s="553">
        <f>IFERROR(X360/H360,"0")+IFERROR(X361/H361,"0")</f>
        <v>3.3333333333333335</v>
      </c>
      <c r="Y362" s="553">
        <f>IFERROR(Y360/H360,"0")+IFERROR(Y361/H361,"0")</f>
        <v>4</v>
      </c>
      <c r="Z362" s="553">
        <f>IFERROR(IF(Z360="",0,Z360),"0")+IFERROR(IF(Z361="",0,Z361),"0")</f>
        <v>8.6999999999999994E-2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37" t="s">
        <v>69</v>
      </c>
      <c r="X363" s="553">
        <f>IFERROR(SUM(X360:X361),"0")</f>
        <v>50</v>
      </c>
      <c r="Y363" s="553">
        <f>IFERROR(SUM(Y360:Y361),"0")</f>
        <v>60</v>
      </c>
      <c r="Z363" s="37"/>
      <c r="AA363" s="554"/>
      <c r="AB363" s="554"/>
      <c r="AC363" s="55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5"/>
      <c r="AB364" s="545"/>
      <c r="AC364" s="545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/>
      <c r="M365" s="33" t="s">
        <v>81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/>
      <c r="M366" s="33" t="s">
        <v>81</v>
      </c>
      <c r="N366" s="33"/>
      <c r="O366" s="32">
        <v>40</v>
      </c>
      <c r="P366" s="5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5"/>
      <c r="AB369" s="545"/>
      <c r="AC369" s="545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81</v>
      </c>
      <c r="N370" s="33"/>
      <c r="O370" s="32">
        <v>40</v>
      </c>
      <c r="P370" s="8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5"/>
      <c r="AB374" s="545"/>
      <c r="AC374" s="545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/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5"/>
      <c r="AB379" s="545"/>
      <c r="AC379" s="545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5"/>
      <c r="AB384" s="545"/>
      <c r="AC384" s="545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/>
      <c r="M385" s="33" t="s">
        <v>81</v>
      </c>
      <c r="N385" s="33"/>
      <c r="O385" s="32">
        <v>40</v>
      </c>
      <c r="P385" s="8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0</v>
      </c>
      <c r="Y385" s="55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/>
      <c r="M386" s="33" t="s">
        <v>81</v>
      </c>
      <c r="N386" s="33"/>
      <c r="O386" s="32">
        <v>40</v>
      </c>
      <c r="P386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81</v>
      </c>
      <c r="N387" s="33"/>
      <c r="O387" s="32">
        <v>40</v>
      </c>
      <c r="P387" s="7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37" t="s">
        <v>76</v>
      </c>
      <c r="X388" s="553">
        <f>IFERROR(X385/H385,"0")+IFERROR(X386/H386,"0")+IFERROR(X387/H387,"0")</f>
        <v>0</v>
      </c>
      <c r="Y388" s="553">
        <f>IFERROR(Y385/H385,"0")+IFERROR(Y386/H386,"0")+IFERROR(Y387/H387,"0")</f>
        <v>0</v>
      </c>
      <c r="Z388" s="553">
        <f>IFERROR(IF(Z385="",0,Z385),"0")+IFERROR(IF(Z386="",0,Z386),"0")+IFERROR(IF(Z387="",0,Z387),"0")</f>
        <v>0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37" t="s">
        <v>69</v>
      </c>
      <c r="X389" s="553">
        <f>IFERROR(SUM(X385:X387),"0")</f>
        <v>0</v>
      </c>
      <c r="Y389" s="553">
        <f>IFERROR(SUM(Y385:Y387),"0")</f>
        <v>0</v>
      </c>
      <c r="Z389" s="37"/>
      <c r="AA389" s="554"/>
      <c r="AB389" s="554"/>
      <c r="AC389" s="55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48"/>
      <c r="AB390" s="48"/>
      <c r="AC390" s="48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5"/>
      <c r="AB392" s="545"/>
      <c r="AC392" s="545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/>
      <c r="M395" s="33" t="s">
        <v>68</v>
      </c>
      <c r="N395" s="33"/>
      <c r="O395" s="32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 t="s">
        <v>290</v>
      </c>
      <c r="M397" s="33" t="s">
        <v>68</v>
      </c>
      <c r="N397" s="33"/>
      <c r="O397" s="32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 t="s">
        <v>83</v>
      </c>
      <c r="AK397" s="68">
        <v>37.799999999999997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0</v>
      </c>
      <c r="Y402" s="553">
        <f>IFERROR(Y393/H393,"0")+IFERROR(Y394/H394,"0")+IFERROR(Y395/H395,"0")+IFERROR(Y396/H396,"0")+IFERROR(Y397/H397,"0")+IFERROR(Y398/H398,"0")+IFERROR(Y399/H399,"0")+IFERROR(Y400/H400,"0")+IFERROR(Y401/H401,"0")</f>
        <v>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37" t="s">
        <v>69</v>
      </c>
      <c r="X403" s="553">
        <f>IFERROR(SUM(X393:X401),"0")</f>
        <v>0</v>
      </c>
      <c r="Y403" s="553">
        <f>IFERROR(SUM(Y393:Y401),"0")</f>
        <v>0</v>
      </c>
      <c r="Z403" s="37"/>
      <c r="AA403" s="554"/>
      <c r="AB403" s="554"/>
      <c r="AC403" s="55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5"/>
      <c r="AB404" s="545"/>
      <c r="AC404" s="545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/>
      <c r="M405" s="33" t="s">
        <v>81</v>
      </c>
      <c r="N405" s="33"/>
      <c r="O405" s="32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/>
      <c r="M406" s="33" t="s">
        <v>81</v>
      </c>
      <c r="N406" s="33"/>
      <c r="O406" s="32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5"/>
      <c r="AB410" s="545"/>
      <c r="AC410" s="545"/>
    </row>
    <row r="411" spans="1:68" ht="27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5"/>
      <c r="AB414" s="545"/>
      <c r="AC414" s="545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/>
      <c r="M415" s="33" t="s">
        <v>106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15</v>
      </c>
      <c r="Y415" s="552">
        <f>IFERROR(IF(X415="",0,CEILING((X415/$H415),1)*$H415),"")</f>
        <v>16.200000000000003</v>
      </c>
      <c r="Z415" s="36">
        <f>IFERROR(IF(Y415=0,"",ROUNDUP(Y415/H415,0)*0.00902),"")</f>
        <v>2.7060000000000001E-2</v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15.527777777777775</v>
      </c>
      <c r="BN415" s="64">
        <f>IFERROR(Y415*I415/H415,"0")</f>
        <v>16.77</v>
      </c>
      <c r="BO415" s="64">
        <f>IFERROR(1/J415*(X415/H415),"0")</f>
        <v>2.1043771043771045E-2</v>
      </c>
      <c r="BP415" s="64">
        <f>IFERROR(1/J415*(Y415/H415),"0")</f>
        <v>2.2727272727272731E-2</v>
      </c>
    </row>
    <row r="416" spans="1:68" ht="27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37" t="s">
        <v>76</v>
      </c>
      <c r="X419" s="553">
        <f>IFERROR(X415/H415,"0")+IFERROR(X416/H416,"0")+IFERROR(X417/H417,"0")+IFERROR(X418/H418,"0")</f>
        <v>2.7777777777777777</v>
      </c>
      <c r="Y419" s="553">
        <f>IFERROR(Y415/H415,"0")+IFERROR(Y416/H416,"0")+IFERROR(Y417/H417,"0")+IFERROR(Y418/H418,"0")</f>
        <v>3.0000000000000004</v>
      </c>
      <c r="Z419" s="553">
        <f>IFERROR(IF(Z415="",0,Z415),"0")+IFERROR(IF(Z416="",0,Z416),"0")+IFERROR(IF(Z417="",0,Z417),"0")+IFERROR(IF(Z418="",0,Z418),"0")</f>
        <v>2.7060000000000001E-2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37" t="s">
        <v>69</v>
      </c>
      <c r="X420" s="553">
        <f>IFERROR(SUM(X415:X418),"0")</f>
        <v>15</v>
      </c>
      <c r="Y420" s="553">
        <f>IFERROR(SUM(Y415:Y418),"0")</f>
        <v>16.200000000000003</v>
      </c>
      <c r="Z420" s="37"/>
      <c r="AA420" s="554"/>
      <c r="AB420" s="554"/>
      <c r="AC420" s="55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5"/>
      <c r="AB422" s="545"/>
      <c r="AC422" s="545"/>
    </row>
    <row r="423" spans="1:68" ht="27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48"/>
      <c r="AB426" s="48"/>
      <c r="AC426" s="48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5"/>
      <c r="AB428" s="545"/>
      <c r="AC428" s="545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83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10</v>
      </c>
      <c r="Y432" s="552">
        <f t="shared" si="52"/>
        <v>10.56</v>
      </c>
      <c r="Z432" s="36">
        <f t="shared" si="53"/>
        <v>2.392E-2</v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54"/>
        <v>10.662878787878787</v>
      </c>
      <c r="BN432" s="64">
        <f t="shared" si="55"/>
        <v>11.26</v>
      </c>
      <c r="BO432" s="64">
        <f t="shared" si="56"/>
        <v>1.8210955710955712E-2</v>
      </c>
      <c r="BP432" s="64">
        <f t="shared" si="57"/>
        <v>1.9230769230769232E-2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81</v>
      </c>
      <c r="N433" s="33"/>
      <c r="O433" s="32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160</v>
      </c>
      <c r="Y433" s="552">
        <f t="shared" si="52"/>
        <v>163.68</v>
      </c>
      <c r="Z433" s="36">
        <f t="shared" si="53"/>
        <v>0.37075999999999998</v>
      </c>
      <c r="AA433" s="56"/>
      <c r="AB433" s="57"/>
      <c r="AC433" s="485" t="s">
        <v>673</v>
      </c>
      <c r="AG433" s="64"/>
      <c r="AJ433" s="68" t="s">
        <v>83</v>
      </c>
      <c r="AK433" s="68">
        <v>42.24</v>
      </c>
      <c r="BB433" s="486" t="s">
        <v>1</v>
      </c>
      <c r="BM433" s="64">
        <f t="shared" si="54"/>
        <v>170.60606060606059</v>
      </c>
      <c r="BN433" s="64">
        <f t="shared" si="55"/>
        <v>174.53</v>
      </c>
      <c r="BO433" s="64">
        <f t="shared" si="56"/>
        <v>0.29137529137529139</v>
      </c>
      <c r="BP433" s="64">
        <f t="shared" si="57"/>
        <v>0.29807692307692307</v>
      </c>
    </row>
    <row r="434" spans="1:68" ht="16.5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120</v>
      </c>
      <c r="Y435" s="552">
        <f t="shared" si="52"/>
        <v>121.44000000000001</v>
      </c>
      <c r="Z435" s="36">
        <f t="shared" si="53"/>
        <v>0.27507999999999999</v>
      </c>
      <c r="AA435" s="56"/>
      <c r="AB435" s="57"/>
      <c r="AC435" s="489" t="s">
        <v>679</v>
      </c>
      <c r="AG435" s="64"/>
      <c r="AJ435" s="68" t="s">
        <v>83</v>
      </c>
      <c r="AK435" s="68">
        <v>42.24</v>
      </c>
      <c r="BB435" s="490" t="s">
        <v>1</v>
      </c>
      <c r="BM435" s="64">
        <f t="shared" si="54"/>
        <v>127.95454545454545</v>
      </c>
      <c r="BN435" s="64">
        <f t="shared" si="55"/>
        <v>129.49</v>
      </c>
      <c r="BO435" s="64">
        <f t="shared" si="56"/>
        <v>0.21853146853146854</v>
      </c>
      <c r="BP435" s="64">
        <f t="shared" si="57"/>
        <v>0.22115384615384617</v>
      </c>
    </row>
    <row r="436" spans="1:68" ht="27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81</v>
      </c>
      <c r="N436" s="33"/>
      <c r="O436" s="32">
        <v>60</v>
      </c>
      <c r="P436" s="8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54.924242424242422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56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0.66975999999999991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37" t="s">
        <v>69</v>
      </c>
      <c r="X442" s="553">
        <f>IFERROR(SUM(X429:X440),"0")</f>
        <v>290</v>
      </c>
      <c r="Y442" s="553">
        <f>IFERROR(SUM(Y429:Y440),"0")</f>
        <v>295.68</v>
      </c>
      <c r="Z442" s="37"/>
      <c r="AA442" s="554"/>
      <c r="AB442" s="554"/>
      <c r="AC442" s="55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5"/>
      <c r="AB443" s="545"/>
      <c r="AC443" s="545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/>
      <c r="M444" s="33" t="s">
        <v>81</v>
      </c>
      <c r="N444" s="33"/>
      <c r="O444" s="32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120</v>
      </c>
      <c r="Y444" s="552">
        <f>IFERROR(IF(X444="",0,CEILING((X444/$H444),1)*$H444),"")</f>
        <v>121.44000000000001</v>
      </c>
      <c r="Z444" s="36">
        <f>IFERROR(IF(Y444=0,"",ROUNDUP(Y444/H444,0)*0.01196),"")</f>
        <v>0.27507999999999999</v>
      </c>
      <c r="AA444" s="56"/>
      <c r="AB444" s="57"/>
      <c r="AC444" s="501" t="s">
        <v>693</v>
      </c>
      <c r="AG444" s="64"/>
      <c r="AJ444" s="68"/>
      <c r="AK444" s="68">
        <v>0</v>
      </c>
      <c r="BB444" s="502" t="s">
        <v>1</v>
      </c>
      <c r="BM444" s="64">
        <f>IFERROR(X444*I444/H444,"0")</f>
        <v>127.95454545454545</v>
      </c>
      <c r="BN444" s="64">
        <f>IFERROR(Y444*I444/H444,"0")</f>
        <v>129.49</v>
      </c>
      <c r="BO444" s="64">
        <f>IFERROR(1/J444*(X444/H444),"0")</f>
        <v>0.21853146853146854</v>
      </c>
      <c r="BP444" s="64">
        <f>IFERROR(1/J444*(Y444/H444),"0")</f>
        <v>0.22115384615384617</v>
      </c>
    </row>
    <row r="445" spans="1:68" ht="16.5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81</v>
      </c>
      <c r="N445" s="33"/>
      <c r="O445" s="32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37" t="s">
        <v>76</v>
      </c>
      <c r="X447" s="553">
        <f>IFERROR(X444/H444,"0")+IFERROR(X445/H445,"0")+IFERROR(X446/H446,"0")</f>
        <v>22.727272727272727</v>
      </c>
      <c r="Y447" s="553">
        <f>IFERROR(Y444/H444,"0")+IFERROR(Y445/H445,"0")+IFERROR(Y446/H446,"0")</f>
        <v>23</v>
      </c>
      <c r="Z447" s="553">
        <f>IFERROR(IF(Z444="",0,Z444),"0")+IFERROR(IF(Z445="",0,Z445),"0")+IFERROR(IF(Z446="",0,Z446),"0")</f>
        <v>0.27507999999999999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37" t="s">
        <v>69</v>
      </c>
      <c r="X448" s="553">
        <f>IFERROR(SUM(X444:X446),"0")</f>
        <v>120</v>
      </c>
      <c r="Y448" s="553">
        <f>IFERROR(SUM(Y444:Y446),"0")</f>
        <v>121.44000000000001</v>
      </c>
      <c r="Z448" s="37"/>
      <c r="AA448" s="554"/>
      <c r="AB448" s="554"/>
      <c r="AC448" s="55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5"/>
      <c r="AB449" s="545"/>
      <c r="AC449" s="545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/>
      <c r="M450" s="33" t="s">
        <v>106</v>
      </c>
      <c r="N450" s="33"/>
      <c r="O450" s="32">
        <v>70</v>
      </c>
      <c r="P450" s="71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30</v>
      </c>
      <c r="Y450" s="552">
        <f t="shared" ref="Y450:Y455" si="58">IFERROR(IF(X450="",0,CEILING((X450/$H450),1)*$H450),"")</f>
        <v>31.68</v>
      </c>
      <c r="Z450" s="36">
        <f>IFERROR(IF(Y450=0,"",ROUNDUP(Y450/H450,0)*0.01196),"")</f>
        <v>7.1760000000000004E-2</v>
      </c>
      <c r="AA450" s="56"/>
      <c r="AB450" s="57"/>
      <c r="AC450" s="507" t="s">
        <v>700</v>
      </c>
      <c r="AG450" s="64"/>
      <c r="AJ450" s="68"/>
      <c r="AK450" s="68">
        <v>0</v>
      </c>
      <c r="BB450" s="508" t="s">
        <v>1</v>
      </c>
      <c r="BM450" s="64">
        <f t="shared" ref="BM450:BM455" si="59">IFERROR(X450*I450/H450,"0")</f>
        <v>31.988636363636363</v>
      </c>
      <c r="BN450" s="64">
        <f t="shared" ref="BN450:BN455" si="60">IFERROR(Y450*I450/H450,"0")</f>
        <v>33.779999999999994</v>
      </c>
      <c r="BO450" s="64">
        <f t="shared" ref="BO450:BO455" si="61">IFERROR(1/J450*(X450/H450),"0")</f>
        <v>5.4632867132867136E-2</v>
      </c>
      <c r="BP450" s="64">
        <f t="shared" ref="BP450:BP455" si="62">IFERROR(1/J450*(Y450/H450),"0")</f>
        <v>5.7692307692307696E-2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0</v>
      </c>
      <c r="Y451" s="552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83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45</v>
      </c>
      <c r="Y452" s="552">
        <f t="shared" si="58"/>
        <v>47.52</v>
      </c>
      <c r="Z452" s="36">
        <f>IFERROR(IF(Y452=0,"",ROUNDUP(Y452/H452,0)*0.01196),"")</f>
        <v>0.10764</v>
      </c>
      <c r="AA452" s="56"/>
      <c r="AB452" s="57"/>
      <c r="AC452" s="511" t="s">
        <v>706</v>
      </c>
      <c r="AG452" s="64"/>
      <c r="AJ452" s="68" t="s">
        <v>83</v>
      </c>
      <c r="AK452" s="68">
        <v>42.24</v>
      </c>
      <c r="BB452" s="512" t="s">
        <v>1</v>
      </c>
      <c r="BM452" s="64">
        <f t="shared" si="59"/>
        <v>47.98295454545454</v>
      </c>
      <c r="BN452" s="64">
        <f t="shared" si="60"/>
        <v>50.669999999999995</v>
      </c>
      <c r="BO452" s="64">
        <f t="shared" si="61"/>
        <v>8.1949300699300689E-2</v>
      </c>
      <c r="BP452" s="64">
        <f t="shared" si="62"/>
        <v>8.6538461538461536E-2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37" t="s">
        <v>76</v>
      </c>
      <c r="X456" s="553">
        <f>IFERROR(X450/H450,"0")+IFERROR(X451/H451,"0")+IFERROR(X452/H452,"0")+IFERROR(X453/H453,"0")+IFERROR(X454/H454,"0")+IFERROR(X455/H455,"0")</f>
        <v>14.204545454545453</v>
      </c>
      <c r="Y456" s="553">
        <f>IFERROR(Y450/H450,"0")+IFERROR(Y451/H451,"0")+IFERROR(Y452/H452,"0")+IFERROR(Y453/H453,"0")+IFERROR(Y454/H454,"0")+IFERROR(Y455/H455,"0")</f>
        <v>15</v>
      </c>
      <c r="Z456" s="553">
        <f>IFERROR(IF(Z450="",0,Z450),"0")+IFERROR(IF(Z451="",0,Z451),"0")+IFERROR(IF(Z452="",0,Z452),"0")+IFERROR(IF(Z453="",0,Z453),"0")+IFERROR(IF(Z454="",0,Z454),"0")+IFERROR(IF(Z455="",0,Z455),"0")</f>
        <v>0.1794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37" t="s">
        <v>69</v>
      </c>
      <c r="X457" s="553">
        <f>IFERROR(SUM(X450:X455),"0")</f>
        <v>75</v>
      </c>
      <c r="Y457" s="553">
        <f>IFERROR(SUM(Y450:Y455),"0")</f>
        <v>79.2</v>
      </c>
      <c r="Z457" s="37"/>
      <c r="AA457" s="554"/>
      <c r="AB457" s="554"/>
      <c r="AC457" s="55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5"/>
      <c r="AB458" s="545"/>
      <c r="AC458" s="545"/>
    </row>
    <row r="459" spans="1:68" ht="27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81</v>
      </c>
      <c r="N459" s="33"/>
      <c r="O459" s="32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48"/>
      <c r="AB462" s="48"/>
      <c r="AC462" s="48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5"/>
      <c r="AB464" s="545"/>
      <c r="AC464" s="545"/>
    </row>
    <row r="465" spans="1:68" ht="27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81</v>
      </c>
      <c r="N465" s="33"/>
      <c r="O465" s="32">
        <v>55</v>
      </c>
      <c r="P465" s="81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0</v>
      </c>
      <c r="Y467" s="55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725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81</v>
      </c>
      <c r="N468" s="33"/>
      <c r="O468" s="32">
        <v>55</v>
      </c>
      <c r="P468" s="60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37" t="s">
        <v>76</v>
      </c>
      <c r="X469" s="553">
        <f>IFERROR(X465/H465,"0")+IFERROR(X466/H466,"0")+IFERROR(X467/H467,"0")+IFERROR(X468/H468,"0")</f>
        <v>0</v>
      </c>
      <c r="Y469" s="553">
        <f>IFERROR(Y465/H465,"0")+IFERROR(Y466/H466,"0")+IFERROR(Y467/H467,"0")+IFERROR(Y468/H468,"0")</f>
        <v>0</v>
      </c>
      <c r="Z469" s="553">
        <f>IFERROR(IF(Z465="",0,Z465),"0")+IFERROR(IF(Z466="",0,Z466),"0")+IFERROR(IF(Z467="",0,Z467),"0")+IFERROR(IF(Z468="",0,Z468),"0")</f>
        <v>0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37" t="s">
        <v>69</v>
      </c>
      <c r="X470" s="553">
        <f>IFERROR(SUM(X465:X468),"0")</f>
        <v>0</v>
      </c>
      <c r="Y470" s="553">
        <f>IFERROR(SUM(Y465:Y468),"0")</f>
        <v>0</v>
      </c>
      <c r="Z470" s="37"/>
      <c r="AA470" s="554"/>
      <c r="AB470" s="554"/>
      <c r="AC470" s="55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5"/>
      <c r="AB471" s="545"/>
      <c r="AC471" s="545"/>
    </row>
    <row r="472" spans="1:68" ht="27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5"/>
      <c r="AB476" s="545"/>
      <c r="AC476" s="545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5"/>
      <c r="AB480" s="545"/>
      <c r="AC480" s="545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/>
      <c r="M481" s="33" t="s">
        <v>88</v>
      </c>
      <c r="N481" s="33"/>
      <c r="O481" s="32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160</v>
      </c>
      <c r="Y481" s="552">
        <f>IFERROR(IF(X481="",0,CEILING((X481/$H481),1)*$H481),"")</f>
        <v>162</v>
      </c>
      <c r="Z481" s="36">
        <f>IFERROR(IF(Y481=0,"",ROUNDUP(Y481/H481,0)*0.01898),"")</f>
        <v>0.34164</v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168.78222222222223</v>
      </c>
      <c r="BN481" s="64">
        <f>IFERROR(Y481*I481/H481,"0")</f>
        <v>170.892</v>
      </c>
      <c r="BO481" s="64">
        <f>IFERROR(1/J481*(X481/H481),"0")</f>
        <v>0.27777777777777779</v>
      </c>
      <c r="BP481" s="64">
        <f>IFERROR(1/J481*(Y481/H481),"0")</f>
        <v>0.28125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37" t="s">
        <v>76</v>
      </c>
      <c r="X482" s="553">
        <f>IFERROR(X481/H481,"0")</f>
        <v>17.777777777777779</v>
      </c>
      <c r="Y482" s="553">
        <f>IFERROR(Y481/H481,"0")</f>
        <v>18</v>
      </c>
      <c r="Z482" s="553">
        <f>IFERROR(IF(Z481="",0,Z481),"0")</f>
        <v>0.34164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37" t="s">
        <v>69</v>
      </c>
      <c r="X483" s="553">
        <f>IFERROR(SUM(X481:X481),"0")</f>
        <v>160</v>
      </c>
      <c r="Y483" s="553">
        <f>IFERROR(SUM(Y481:Y481),"0")</f>
        <v>162</v>
      </c>
      <c r="Z483" s="37"/>
      <c r="AA483" s="554"/>
      <c r="AB483" s="554"/>
      <c r="AC483" s="55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5"/>
      <c r="AB484" s="545"/>
      <c r="AC484" s="545"/>
    </row>
    <row r="485" spans="1:68" ht="27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81</v>
      </c>
      <c r="N485" s="33"/>
      <c r="O485" s="32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81</v>
      </c>
      <c r="N486" s="33"/>
      <c r="O486" s="32">
        <v>40</v>
      </c>
      <c r="P486" s="84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5"/>
      <c r="AB490" s="545"/>
      <c r="AC490" s="545"/>
    </row>
    <row r="491" spans="1:68" ht="27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2303.1999999999998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2377.9199999999996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37" t="s">
        <v>69</v>
      </c>
      <c r="X495" s="553">
        <f>IFERROR(SUM(BM22:BM491),"0")</f>
        <v>2410.9328346160009</v>
      </c>
      <c r="Y495" s="553">
        <f>IFERROR(SUM(BN22:BN491),"0")</f>
        <v>2489.1439999999998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37" t="s">
        <v>753</v>
      </c>
      <c r="X496" s="38">
        <f>ROUNDUP(SUM(BO22:BO491),0)</f>
        <v>4</v>
      </c>
      <c r="Y496" s="38">
        <f>ROUNDUP(SUM(BP22:BP491),0)</f>
        <v>4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37" t="s">
        <v>69</v>
      </c>
      <c r="X497" s="553">
        <f>GrossWeightTotal+PalletQtyTotal*25</f>
        <v>2510.9328346160009</v>
      </c>
      <c r="Y497" s="553">
        <f>GrossWeightTotalR+PalletQtyTotalR*25</f>
        <v>2589.1439999999998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327.16239624572961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337</v>
      </c>
      <c r="Z498" s="37"/>
      <c r="AA498" s="554"/>
      <c r="AB498" s="554"/>
      <c r="AC498" s="55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4.4845100000000011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3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543" t="s">
        <v>661</v>
      </c>
      <c r="Y501" s="602" t="s">
        <v>716</v>
      </c>
      <c r="Z501" s="641"/>
      <c r="AB501" s="52"/>
      <c r="AC501" s="52"/>
      <c r="AF501" s="544"/>
    </row>
    <row r="502" spans="1:32" ht="14.25" customHeight="1" thickTop="1" x14ac:dyDescent="0.2">
      <c r="A502" s="881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544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52"/>
      <c r="AC502" s="52"/>
      <c r="AF502" s="544"/>
    </row>
    <row r="503" spans="1:32" ht="13.5" customHeight="1" thickBot="1" x14ac:dyDescent="0.25">
      <c r="A503" s="882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544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52"/>
      <c r="AC503" s="52"/>
      <c r="AF503" s="544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75.600000000000009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99</v>
      </c>
      <c r="E504" s="46">
        <f>IFERROR(Y84*1,"0")+IFERROR(Y85*1,"0")+IFERROR(Y86*1,"0")+IFERROR(Y87*1,"0")+IFERROR(Y91*1,"0")+IFERROR(Y92*1,"0")+IFERROR(Y93*1,"0")+IFERROR(Y94*1,"0")</f>
        <v>131.4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137.69999999999999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42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427.5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108</v>
      </c>
      <c r="M504" s="46">
        <f>IFERROR(Y271*1,"0")+IFERROR(Y272*1,"0")+IFERROR(Y273*1,"0")+IFERROR(Y274*1,"0")</f>
        <v>0</v>
      </c>
      <c r="N504" s="544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84.6</v>
      </c>
      <c r="R504" s="46">
        <f>IFERROR(Y342*1,"0")+IFERROR(Y343*1,"0")+IFERROR(Y344*1,"0")</f>
        <v>12.600000000000001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585</v>
      </c>
      <c r="T504" s="46">
        <f>IFERROR(Y375*1,"0")+IFERROR(Y376*1,"0")+IFERROR(Y380*1,"0")+IFERROR(Y381*1,"0")+IFERROR(Y385*1,"0")+IFERROR(Y386*1,"0")+IFERROR(Y387*1,"0")</f>
        <v>0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46">
        <f>IFERROR(Y411*1,"0")+IFERROR(Y415*1,"0")+IFERROR(Y416*1,"0")+IFERROR(Y417*1,"0")+IFERROR(Y418*1,"0")</f>
        <v>16.200000000000003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496.32</v>
      </c>
      <c r="Y504" s="46">
        <f>IFERROR(Y465*1,"0")+IFERROR(Y466*1,"0")+IFERROR(Y467*1,"0")+IFERROR(Y468*1,"0")+IFERROR(Y472*1,"0")+IFERROR(Y473*1,"0")+IFERROR(Y477*1,"0")+IFERROR(Y481*1,"0")+IFERROR(Y485*1,"0")+IFERROR(Y486*1,"0")</f>
        <v>162</v>
      </c>
      <c r="Z504" s="46">
        <f>IFERROR(Y491*1,"0")</f>
        <v>0</v>
      </c>
      <c r="AB504" s="52"/>
      <c r="AC504" s="52"/>
      <c r="AF504" s="544"/>
    </row>
  </sheetData>
  <sheetProtection algorithmName="SHA-512" hashValue="kLuM4elFkHsvDutM8r2IezAzqSwc3vv1V4jIUjJh5/r62h1EgdEGNrqhmkb7vEdQmcFIKbffq8w723gUm2d0vA==" saltValue="khSGmEZQ4DOL85nvU5Xg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I502:I503"/>
    <mergeCell ref="G502:G503"/>
    <mergeCell ref="D110:E110"/>
    <mergeCell ref="A502:A503"/>
    <mergeCell ref="P365:T365"/>
    <mergeCell ref="A8:C8"/>
    <mergeCell ref="P385:T385"/>
    <mergeCell ref="D355:E355"/>
    <mergeCell ref="P163:V163"/>
    <mergeCell ref="P360:T360"/>
    <mergeCell ref="P138:V138"/>
    <mergeCell ref="P151:T151"/>
    <mergeCell ref="P76:V76"/>
    <mergeCell ref="D395:E395"/>
    <mergeCell ref="A10:C10"/>
    <mergeCell ref="P126:T126"/>
    <mergeCell ref="A364:Z364"/>
    <mergeCell ref="P218:T218"/>
    <mergeCell ref="P69:V69"/>
    <mergeCell ref="A21:Z21"/>
    <mergeCell ref="A192:Z192"/>
    <mergeCell ref="D184:E184"/>
    <mergeCell ref="D121:E121"/>
    <mergeCell ref="D42:E42"/>
    <mergeCell ref="D17:E18"/>
    <mergeCell ref="D173:E173"/>
    <mergeCell ref="D344:E344"/>
    <mergeCell ref="P71:T71"/>
    <mergeCell ref="X17:X18"/>
    <mergeCell ref="V12:W12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D266:E266"/>
    <mergeCell ref="U17:V17"/>
    <mergeCell ref="Y17:Y18"/>
    <mergeCell ref="D331:E331"/>
    <mergeCell ref="P372:V372"/>
    <mergeCell ref="A426:Z426"/>
    <mergeCell ref="A428:Z428"/>
    <mergeCell ref="P425:V425"/>
    <mergeCell ref="P307:T307"/>
    <mergeCell ref="A163:O164"/>
    <mergeCell ref="N17:N18"/>
    <mergeCell ref="P72:T72"/>
    <mergeCell ref="Q5:R5"/>
    <mergeCell ref="F17:F18"/>
    <mergeCell ref="P199:T199"/>
    <mergeCell ref="P303:V303"/>
    <mergeCell ref="P370:T370"/>
    <mergeCell ref="P297:T297"/>
    <mergeCell ref="P435:T435"/>
    <mergeCell ref="P291:T291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Q6:R6"/>
    <mergeCell ref="P200:T200"/>
    <mergeCell ref="A118:O119"/>
    <mergeCell ref="P292:T292"/>
    <mergeCell ref="D102:E102"/>
    <mergeCell ref="J502:J503"/>
    <mergeCell ref="D249:E249"/>
    <mergeCell ref="P262:T262"/>
    <mergeCell ref="P433:T433"/>
    <mergeCell ref="A349:Z349"/>
    <mergeCell ref="D170:E170"/>
    <mergeCell ref="A476:Z476"/>
    <mergeCell ref="D468:E468"/>
    <mergeCell ref="A31:O32"/>
    <mergeCell ref="D107:E107"/>
    <mergeCell ref="D234:E234"/>
    <mergeCell ref="D405:E405"/>
    <mergeCell ref="A447:O448"/>
    <mergeCell ref="P436:T436"/>
    <mergeCell ref="P81:V81"/>
    <mergeCell ref="A487:O488"/>
    <mergeCell ref="A33:Z33"/>
    <mergeCell ref="A269:Z269"/>
    <mergeCell ref="A424:O425"/>
    <mergeCell ref="P419:V419"/>
    <mergeCell ref="P145:V145"/>
    <mergeCell ref="A231:Z231"/>
    <mergeCell ref="D54:E54"/>
    <mergeCell ref="P283:V283"/>
    <mergeCell ref="A20:Z20"/>
    <mergeCell ref="A125:Z125"/>
    <mergeCell ref="P371:V371"/>
    <mergeCell ref="D452:E452"/>
    <mergeCell ref="P493:V493"/>
    <mergeCell ref="P358:V358"/>
    <mergeCell ref="P110:T110"/>
    <mergeCell ref="A348:Z348"/>
    <mergeCell ref="D218:E218"/>
    <mergeCell ref="P197:V197"/>
    <mergeCell ref="A258:O259"/>
    <mergeCell ref="A347:Z347"/>
    <mergeCell ref="P289:V289"/>
    <mergeCell ref="A314:Z314"/>
    <mergeCell ref="P68:V68"/>
    <mergeCell ref="P439:T439"/>
    <mergeCell ref="D271:E271"/>
    <mergeCell ref="A484:Z484"/>
    <mergeCell ref="P444:T444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P442:V442"/>
    <mergeCell ref="A463:Z463"/>
    <mergeCell ref="P67:T67"/>
    <mergeCell ref="D430:E430"/>
    <mergeCell ref="P119:V119"/>
    <mergeCell ref="D455:E455"/>
    <mergeCell ref="D175:E175"/>
    <mergeCell ref="P253:T253"/>
    <mergeCell ref="D221:E221"/>
    <mergeCell ref="V11:W11"/>
    <mergeCell ref="P469:V469"/>
    <mergeCell ref="P486:T486"/>
    <mergeCell ref="P342:T342"/>
    <mergeCell ref="P317:T317"/>
    <mergeCell ref="D152:E152"/>
    <mergeCell ref="P2:W3"/>
    <mergeCell ref="P498:V498"/>
    <mergeCell ref="A57:O58"/>
    <mergeCell ref="P127:T127"/>
    <mergeCell ref="D241:E241"/>
    <mergeCell ref="P298:T298"/>
    <mergeCell ref="P54:T54"/>
    <mergeCell ref="D437:E437"/>
    <mergeCell ref="P418:T418"/>
    <mergeCell ref="D228:E228"/>
    <mergeCell ref="A371:O372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323:E323"/>
    <mergeCell ref="D223:E223"/>
    <mergeCell ref="D279:E279"/>
    <mergeCell ref="D394:E394"/>
    <mergeCell ref="D450:E450"/>
    <mergeCell ref="M17:M18"/>
    <mergeCell ref="A409:Z409"/>
    <mergeCell ref="O17:O18"/>
    <mergeCell ref="P336:T336"/>
    <mergeCell ref="P187:V187"/>
    <mergeCell ref="P258:V258"/>
    <mergeCell ref="A248:Z248"/>
    <mergeCell ref="P430:T430"/>
    <mergeCell ref="P494:V494"/>
    <mergeCell ref="P102:T102"/>
    <mergeCell ref="P417:T417"/>
    <mergeCell ref="P456:V456"/>
    <mergeCell ref="D177:E177"/>
    <mergeCell ref="A106:Z106"/>
    <mergeCell ref="P183:T183"/>
    <mergeCell ref="P354:T354"/>
    <mergeCell ref="A404:Z404"/>
    <mergeCell ref="P62:T62"/>
    <mergeCell ref="P121:T121"/>
    <mergeCell ref="D29:E29"/>
    <mergeCell ref="D23:E23"/>
    <mergeCell ref="D216:E216"/>
    <mergeCell ref="D265:E265"/>
    <mergeCell ref="P344:T344"/>
    <mergeCell ref="U502:U503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A284:Z284"/>
    <mergeCell ref="P301:T301"/>
    <mergeCell ref="D385:E385"/>
    <mergeCell ref="P178:T178"/>
    <mergeCell ref="P34:T34"/>
    <mergeCell ref="I501:R501"/>
    <mergeCell ref="D86:E86"/>
    <mergeCell ref="D257:E257"/>
    <mergeCell ref="D151:E151"/>
    <mergeCell ref="A362:O363"/>
    <mergeCell ref="P107:T107"/>
    <mergeCell ref="D150:E150"/>
    <mergeCell ref="P129:V129"/>
    <mergeCell ref="P63:V63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Q13:R13"/>
    <mergeCell ref="P134:V134"/>
    <mergeCell ref="A155:Z155"/>
    <mergeCell ref="P268:V268"/>
    <mergeCell ref="D318:E318"/>
    <mergeCell ref="P339:V339"/>
    <mergeCell ref="A391:Z391"/>
    <mergeCell ref="P101:T101"/>
    <mergeCell ref="A128:O129"/>
    <mergeCell ref="D215:E215"/>
    <mergeCell ref="D386:E386"/>
    <mergeCell ref="P250:V250"/>
    <mergeCell ref="A402:O403"/>
    <mergeCell ref="P465:T465"/>
    <mergeCell ref="P415:T415"/>
    <mergeCell ref="P479:V479"/>
    <mergeCell ref="H5:M5"/>
    <mergeCell ref="P31:V31"/>
    <mergeCell ref="P158:V158"/>
    <mergeCell ref="A214:Z214"/>
    <mergeCell ref="D317:E317"/>
    <mergeCell ref="A285:Z285"/>
    <mergeCell ref="A341:Z341"/>
    <mergeCell ref="D6:M6"/>
    <mergeCell ref="A75:O76"/>
    <mergeCell ref="P175:T175"/>
    <mergeCell ref="P95:V95"/>
    <mergeCell ref="P162:T162"/>
    <mergeCell ref="D143:E143"/>
    <mergeCell ref="A278:Z278"/>
    <mergeCell ref="P227:T227"/>
    <mergeCell ref="P177:T177"/>
    <mergeCell ref="P93:T93"/>
    <mergeCell ref="D85:E85"/>
    <mergeCell ref="D207:E207"/>
    <mergeCell ref="D256:E256"/>
    <mergeCell ref="P335:T335"/>
    <mergeCell ref="D299:E299"/>
    <mergeCell ref="D222:E222"/>
    <mergeCell ref="G17:G18"/>
    <mergeCell ref="V6:W9"/>
    <mergeCell ref="P256:T256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A359:Z359"/>
    <mergeCell ref="D415:E415"/>
    <mergeCell ref="P257:T257"/>
    <mergeCell ref="D194:E194"/>
    <mergeCell ref="Z17:Z18"/>
    <mergeCell ref="A90:Z90"/>
    <mergeCell ref="A277:Z277"/>
    <mergeCell ref="P44:V44"/>
    <mergeCell ref="A390:Z390"/>
    <mergeCell ref="P396:T396"/>
    <mergeCell ref="P398:T398"/>
    <mergeCell ref="D370:E370"/>
    <mergeCell ref="AC17:AC18"/>
    <mergeCell ref="P485:T485"/>
    <mergeCell ref="P108:T108"/>
    <mergeCell ref="P279:T279"/>
    <mergeCell ref="D393:E393"/>
    <mergeCell ref="D418:E418"/>
    <mergeCell ref="P472:T472"/>
    <mergeCell ref="P254:T254"/>
    <mergeCell ref="A104:O105"/>
    <mergeCell ref="P343:T343"/>
    <mergeCell ref="A460:O461"/>
    <mergeCell ref="P318:T318"/>
    <mergeCell ref="AB17:AB18"/>
    <mergeCell ref="D446:E446"/>
    <mergeCell ref="D439:E439"/>
    <mergeCell ref="D481:E481"/>
    <mergeCell ref="P57:V57"/>
    <mergeCell ref="A295:Z295"/>
    <mergeCell ref="P399:T399"/>
    <mergeCell ref="P242:V242"/>
    <mergeCell ref="P413:V413"/>
    <mergeCell ref="P407:V407"/>
    <mergeCell ref="A232:Z232"/>
    <mergeCell ref="P382:V382"/>
    <mergeCell ref="W502:W503"/>
    <mergeCell ref="A489:Z489"/>
    <mergeCell ref="A160:Z160"/>
    <mergeCell ref="A464:Z464"/>
    <mergeCell ref="A141:Z141"/>
    <mergeCell ref="A144:O145"/>
    <mergeCell ref="H10:M10"/>
    <mergeCell ref="AA17:AA18"/>
    <mergeCell ref="A135:Z135"/>
    <mergeCell ref="C502:C503"/>
    <mergeCell ref="E502:E503"/>
    <mergeCell ref="S501:T501"/>
    <mergeCell ref="P357:V357"/>
    <mergeCell ref="A182:Z182"/>
    <mergeCell ref="A296:Z296"/>
    <mergeCell ref="D459:E459"/>
    <mergeCell ref="P123:V123"/>
    <mergeCell ref="D136:E136"/>
    <mergeCell ref="P46:T46"/>
    <mergeCell ref="D434:E434"/>
    <mergeCell ref="P482:V482"/>
    <mergeCell ref="T502:T503"/>
    <mergeCell ref="A412:O413"/>
    <mergeCell ref="V502:V503"/>
    <mergeCell ref="D502:D503"/>
    <mergeCell ref="D114:E114"/>
    <mergeCell ref="F502:F503"/>
    <mergeCell ref="L502:L503"/>
    <mergeCell ref="P143:T143"/>
    <mergeCell ref="D51:E51"/>
    <mergeCell ref="P235:T235"/>
    <mergeCell ref="P306:T306"/>
    <mergeCell ref="P477:T477"/>
    <mergeCell ref="P157:V157"/>
    <mergeCell ref="P213:V213"/>
    <mergeCell ref="P207:T207"/>
    <mergeCell ref="P299:T299"/>
    <mergeCell ref="P326:V326"/>
    <mergeCell ref="P393:T393"/>
    <mergeCell ref="P457:V457"/>
    <mergeCell ref="A82:Z82"/>
    <mergeCell ref="P330:T330"/>
    <mergeCell ref="P395:T395"/>
    <mergeCell ref="D438:E438"/>
    <mergeCell ref="A340:Z340"/>
    <mergeCell ref="A146:Z146"/>
    <mergeCell ref="D204:E204"/>
    <mergeCell ref="P217:T217"/>
    <mergeCell ref="J9:M9"/>
    <mergeCell ref="P440:T440"/>
    <mergeCell ref="P446:T446"/>
    <mergeCell ref="P389:V389"/>
    <mergeCell ref="A388:O389"/>
    <mergeCell ref="D62:E62"/>
    <mergeCell ref="D56:E56"/>
    <mergeCell ref="D127:E127"/>
    <mergeCell ref="P206:T206"/>
    <mergeCell ref="P233:T233"/>
    <mergeCell ref="D176:E176"/>
    <mergeCell ref="A38:Z38"/>
    <mergeCell ref="H17:H18"/>
    <mergeCell ref="D440:E440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D61:E61"/>
    <mergeCell ref="P115:T115"/>
    <mergeCell ref="D254:E254"/>
    <mergeCell ref="A15:M15"/>
    <mergeCell ref="P238:T238"/>
    <mergeCell ref="A427:Z427"/>
    <mergeCell ref="A88:O89"/>
    <mergeCell ref="A153:O154"/>
    <mergeCell ref="D477:E477"/>
    <mergeCell ref="A193:Z193"/>
    <mergeCell ref="P204:T204"/>
    <mergeCell ref="P179:T179"/>
    <mergeCell ref="A198:Z198"/>
    <mergeCell ref="A369:Z369"/>
    <mergeCell ref="P375:T375"/>
    <mergeCell ref="P459:T459"/>
    <mergeCell ref="D465:E465"/>
    <mergeCell ref="P156:T156"/>
    <mergeCell ref="A80:O81"/>
    <mergeCell ref="P105:V105"/>
    <mergeCell ref="P61:T61"/>
    <mergeCell ref="D200:E200"/>
    <mergeCell ref="D436:E436"/>
    <mergeCell ref="D292:E292"/>
    <mergeCell ref="S502:S503"/>
    <mergeCell ref="P80:V80"/>
    <mergeCell ref="D74:E74"/>
    <mergeCell ref="P87:T87"/>
    <mergeCell ref="A203:Z203"/>
    <mergeCell ref="D335:E335"/>
    <mergeCell ref="P451:T451"/>
    <mergeCell ref="P245:T245"/>
    <mergeCell ref="D286:E286"/>
    <mergeCell ref="P491:T491"/>
    <mergeCell ref="P322:T322"/>
    <mergeCell ref="D132:E132"/>
    <mergeCell ref="P211:T211"/>
    <mergeCell ref="D399:E399"/>
    <mergeCell ref="P309:T309"/>
    <mergeCell ref="A377:O378"/>
    <mergeCell ref="D178:E178"/>
    <mergeCell ref="P225:V225"/>
    <mergeCell ref="D172:E172"/>
    <mergeCell ref="P461:V461"/>
    <mergeCell ref="P324:T324"/>
    <mergeCell ref="A441:O442"/>
    <mergeCell ref="A261:Z261"/>
    <mergeCell ref="P338:V338"/>
    <mergeCell ref="T5:U5"/>
    <mergeCell ref="V5:W5"/>
    <mergeCell ref="D46:E46"/>
    <mergeCell ref="P294:V294"/>
    <mergeCell ref="A490:Z490"/>
    <mergeCell ref="D40:E40"/>
    <mergeCell ref="A224:O225"/>
    <mergeCell ref="D233:E233"/>
    <mergeCell ref="P361:T361"/>
    <mergeCell ref="P212:V212"/>
    <mergeCell ref="Q8:R8"/>
    <mergeCell ref="D183:E183"/>
    <mergeCell ref="P311:T311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P499:V499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D109:E109"/>
    <mergeCell ref="D280:E280"/>
    <mergeCell ref="D467:E467"/>
    <mergeCell ref="A480:Z480"/>
    <mergeCell ref="P25:V25"/>
    <mergeCell ref="P356:T356"/>
    <mergeCell ref="P383:V383"/>
    <mergeCell ref="A37:Z37"/>
    <mergeCell ref="A379:Z379"/>
    <mergeCell ref="D485:E485"/>
    <mergeCell ref="P320:V320"/>
    <mergeCell ref="P447:V447"/>
    <mergeCell ref="D137:E137"/>
    <mergeCell ref="P216:T216"/>
    <mergeCell ref="P387:T387"/>
    <mergeCell ref="D454:E454"/>
    <mergeCell ref="P185:T185"/>
    <mergeCell ref="D416:E416"/>
    <mergeCell ref="D93:E93"/>
    <mergeCell ref="D264:E264"/>
    <mergeCell ref="A133:O134"/>
    <mergeCell ref="D220:E220"/>
    <mergeCell ref="P497:V497"/>
    <mergeCell ref="P288:V288"/>
    <mergeCell ref="D328:E328"/>
    <mergeCell ref="A188:Z188"/>
    <mergeCell ref="A443:Z443"/>
    <mergeCell ref="P313:V313"/>
    <mergeCell ref="P202:V202"/>
    <mergeCell ref="P380:T380"/>
    <mergeCell ref="D491:E491"/>
    <mergeCell ref="P483:V483"/>
    <mergeCell ref="D227:E227"/>
    <mergeCell ref="P492:V492"/>
    <mergeCell ref="P495:V495"/>
    <mergeCell ref="P496:V496"/>
    <mergeCell ref="C501:H501"/>
    <mergeCell ref="D169:E169"/>
    <mergeCell ref="A312:O313"/>
    <mergeCell ref="P353:T353"/>
    <mergeCell ref="X502:X503"/>
    <mergeCell ref="Z502:Z503"/>
    <mergeCell ref="R502:R503"/>
    <mergeCell ref="P132:T132"/>
    <mergeCell ref="A122:O123"/>
    <mergeCell ref="P367:V367"/>
    <mergeCell ref="D330:E330"/>
    <mergeCell ref="P304:V304"/>
    <mergeCell ref="P181:V181"/>
    <mergeCell ref="A421:Z421"/>
    <mergeCell ref="A201:O202"/>
    <mergeCell ref="D350:E350"/>
    <mergeCell ref="P408:V408"/>
    <mergeCell ref="A338:O339"/>
    <mergeCell ref="A138:O139"/>
    <mergeCell ref="P208:T208"/>
    <mergeCell ref="D396:E396"/>
    <mergeCell ref="P450:T450"/>
    <mergeCell ref="A325:O326"/>
    <mergeCell ref="D352:E352"/>
    <mergeCell ref="A494:O499"/>
    <mergeCell ref="A5:C5"/>
    <mergeCell ref="P412:V412"/>
    <mergeCell ref="P64:V64"/>
    <mergeCell ref="P406:T406"/>
    <mergeCell ref="P191:V191"/>
    <mergeCell ref="P362:V362"/>
    <mergeCell ref="D179:E179"/>
    <mergeCell ref="U501:W501"/>
    <mergeCell ref="P420:V420"/>
    <mergeCell ref="D166:E166"/>
    <mergeCell ref="D337:E337"/>
    <mergeCell ref="A410:Z410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401:E401"/>
    <mergeCell ref="D168:E168"/>
    <mergeCell ref="D466:E466"/>
    <mergeCell ref="A6:C6"/>
    <mergeCell ref="D309:E309"/>
    <mergeCell ref="D453:E453"/>
    <mergeCell ref="P416:T416"/>
    <mergeCell ref="P167:T167"/>
    <mergeCell ref="P142:T142"/>
    <mergeCell ref="D148:E148"/>
    <mergeCell ref="A161:Z161"/>
    <mergeCell ref="D324:E324"/>
    <mergeCell ref="P117:T117"/>
    <mergeCell ref="P55:T55"/>
    <mergeCell ref="D115:E115"/>
    <mergeCell ref="D311:E311"/>
    <mergeCell ref="Q12:R12"/>
    <mergeCell ref="P280:T280"/>
    <mergeCell ref="P169:T169"/>
    <mergeCell ref="P411:T411"/>
    <mergeCell ref="A68:O69"/>
    <mergeCell ref="P196:V196"/>
    <mergeCell ref="A43:O44"/>
    <mergeCell ref="P133:V133"/>
    <mergeCell ref="P66:T66"/>
    <mergeCell ref="D9:E9"/>
    <mergeCell ref="P137:T137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P376:T376"/>
    <mergeCell ref="P467:T467"/>
    <mergeCell ref="P53:T53"/>
    <mergeCell ref="D167:E167"/>
    <mergeCell ref="P351:T351"/>
    <mergeCell ref="A419:O420"/>
    <mergeCell ref="P264:T264"/>
    <mergeCell ref="P239:T239"/>
    <mergeCell ref="P186:V186"/>
    <mergeCell ref="P75:V75"/>
    <mergeCell ref="A98:Z98"/>
    <mergeCell ref="D52:E52"/>
    <mergeCell ref="D27:E27"/>
    <mergeCell ref="P15:T16"/>
    <mergeCell ref="D116:E116"/>
    <mergeCell ref="D91:E91"/>
    <mergeCell ref="P470:V470"/>
    <mergeCell ref="D72:E72"/>
    <mergeCell ref="A120:Z120"/>
    <mergeCell ref="D235:E235"/>
    <mergeCell ref="P276:V276"/>
    <mergeCell ref="Q9:R9"/>
    <mergeCell ref="P267:V267"/>
    <mergeCell ref="D451:E451"/>
    <mergeCell ref="D255:E255"/>
    <mergeCell ref="A113:Z113"/>
    <mergeCell ref="P36:V36"/>
    <mergeCell ref="F9:G9"/>
    <mergeCell ref="P23:T23"/>
    <mergeCell ref="D162:E162"/>
    <mergeCell ref="P219:T219"/>
    <mergeCell ref="P272:T272"/>
    <mergeCell ref="D156:E156"/>
    <mergeCell ref="P210:T210"/>
    <mergeCell ref="A196:O197"/>
    <mergeCell ref="A275:O276"/>
    <mergeCell ref="A267:O268"/>
    <mergeCell ref="P308:T308"/>
    <mergeCell ref="A367:O368"/>
    <mergeCell ref="D398:E398"/>
    <mergeCell ref="Y502:Y503"/>
    <mergeCell ref="A482:O483"/>
    <mergeCell ref="P286:T286"/>
    <mergeCell ref="D329:E329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P350:T350"/>
    <mergeCell ref="P201:V201"/>
    <mergeCell ref="P139:V139"/>
    <mergeCell ref="P481:T481"/>
    <mergeCell ref="D306:E306"/>
    <mergeCell ref="P189:T189"/>
    <mergeCell ref="A319:O320"/>
    <mergeCell ref="P424:V424"/>
    <mergeCell ref="A246:O247"/>
    <mergeCell ref="P287:T287"/>
    <mergeCell ref="P281:T281"/>
    <mergeCell ref="P352:T352"/>
    <mergeCell ref="D1:F1"/>
    <mergeCell ref="P190:V190"/>
    <mergeCell ref="P466:T466"/>
    <mergeCell ref="A456:O457"/>
    <mergeCell ref="P488:V488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P346:V346"/>
    <mergeCell ref="A165:Z165"/>
    <mergeCell ref="A293:O294"/>
    <mergeCell ref="P112:V112"/>
    <mergeCell ref="D100:E100"/>
    <mergeCell ref="P17:T18"/>
    <mergeCell ref="A471:Z471"/>
    <mergeCell ref="A77:Z77"/>
    <mergeCell ref="P194:T194"/>
    <mergeCell ref="A180:O181"/>
    <mergeCell ref="P52:T52"/>
    <mergeCell ref="Y501:Z501"/>
    <mergeCell ref="P475:V475"/>
    <mergeCell ref="D356:E356"/>
    <mergeCell ref="P502:P503"/>
    <mergeCell ref="P164:V164"/>
    <mergeCell ref="H502:H503"/>
    <mergeCell ref="A45:Z45"/>
    <mergeCell ref="A458:Z458"/>
    <mergeCell ref="P35:V35"/>
    <mergeCell ref="P333:V333"/>
    <mergeCell ref="P273:T273"/>
    <mergeCell ref="D316:E316"/>
    <mergeCell ref="D387:E387"/>
    <mergeCell ref="D272:E272"/>
    <mergeCell ref="P400:T400"/>
    <mergeCell ref="D210:E210"/>
    <mergeCell ref="D381:E381"/>
    <mergeCell ref="A250:O251"/>
    <mergeCell ref="D308:E308"/>
    <mergeCell ref="A492:O493"/>
    <mergeCell ref="D87:E87"/>
    <mergeCell ref="P166:T166"/>
    <mergeCell ref="D147:E147"/>
    <mergeCell ref="D209:E209"/>
    <mergeCell ref="A303:O304"/>
    <mergeCell ref="D94:E94"/>
    <mergeCell ref="D361:E361"/>
    <mergeCell ref="D417:E417"/>
    <mergeCell ref="A474:O475"/>
    <mergeCell ref="A392:Z392"/>
    <mergeCell ref="P148:T148"/>
    <mergeCell ref="A47:O48"/>
    <mergeCell ref="P240:T240"/>
    <mergeCell ref="D354:E354"/>
    <mergeCell ref="A332:O333"/>
    <mergeCell ref="P460:V460"/>
    <mergeCell ref="P337:T337"/>
    <mergeCell ref="D274:E274"/>
    <mergeCell ref="D245:E245"/>
    <mergeCell ref="D301:E301"/>
    <mergeCell ref="D380:E380"/>
    <mergeCell ref="P116:T116"/>
    <mergeCell ref="D445:E445"/>
    <mergeCell ref="P103:T103"/>
    <mergeCell ref="P401:T401"/>
    <mergeCell ref="A469:O470"/>
    <mergeCell ref="P168:T168"/>
    <mergeCell ref="D211:E211"/>
    <mergeCell ref="P487:V487"/>
    <mergeCell ref="P266:T266"/>
    <mergeCell ref="A212:O213"/>
    <mergeCell ref="P331:T331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67:E67"/>
    <mergeCell ref="D5:E5"/>
    <mergeCell ref="A140:Z140"/>
    <mergeCell ref="D7:M7"/>
    <mergeCell ref="A373:Z373"/>
    <mergeCell ref="D365:E365"/>
    <mergeCell ref="P236:T236"/>
    <mergeCell ref="D79:E79"/>
    <mergeCell ref="P92:T92"/>
    <mergeCell ref="D315:E315"/>
    <mergeCell ref="P394:T394"/>
    <mergeCell ref="D302:E302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D253:E253"/>
    <mergeCell ref="D53:E53"/>
    <mergeCell ref="P381:T381"/>
    <mergeCell ref="Q502:Q50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154:V154"/>
    <mergeCell ref="A321:Z321"/>
    <mergeCell ref="P325:V325"/>
    <mergeCell ref="D142:E142"/>
    <mergeCell ref="D429:E429"/>
    <mergeCell ref="P473:T473"/>
    <mergeCell ref="A462:Z462"/>
    <mergeCell ref="P56:T56"/>
    <mergeCell ref="V10:W10"/>
    <mergeCell ref="D195:E195"/>
    <mergeCell ref="D189:E189"/>
    <mergeCell ref="A124:Z124"/>
    <mergeCell ref="A229:O230"/>
    <mergeCell ref="P99:T99"/>
    <mergeCell ref="D287:E287"/>
    <mergeCell ref="P170:T170"/>
    <mergeCell ref="D66:E66"/>
    <mergeCell ref="D126:E126"/>
    <mergeCell ref="W17:W18"/>
    <mergeCell ref="A50:Z50"/>
    <mergeCell ref="P118:V118"/>
    <mergeCell ref="P251:V251"/>
    <mergeCell ref="A70:Z70"/>
    <mergeCell ref="P42:T42"/>
    <mergeCell ref="A26:Z26"/>
    <mergeCell ref="I17:I18"/>
    <mergeCell ref="A12:M12"/>
    <mergeCell ref="A14:M14"/>
    <mergeCell ref="P51:T51"/>
    <mergeCell ref="P58:V58"/>
    <mergeCell ref="A13:M13"/>
    <mergeCell ref="D486:E486"/>
    <mergeCell ref="P86:T86"/>
    <mergeCell ref="D78:E78"/>
    <mergeCell ref="P328:T328"/>
    <mergeCell ref="D205:E205"/>
    <mergeCell ref="D376:E376"/>
    <mergeCell ref="P455:T455"/>
    <mergeCell ref="P249:T249"/>
    <mergeCell ref="R1:T1"/>
    <mergeCell ref="P172:T172"/>
    <mergeCell ref="P28:T28"/>
    <mergeCell ref="D71:E71"/>
    <mergeCell ref="P150:T150"/>
    <mergeCell ref="P221:T221"/>
    <mergeCell ref="A345:O346"/>
    <mergeCell ref="P215:T215"/>
    <mergeCell ref="D307:E307"/>
    <mergeCell ref="P386:T386"/>
    <mergeCell ref="P432:T432"/>
    <mergeCell ref="P229:V229"/>
    <mergeCell ref="A282:O283"/>
    <mergeCell ref="P30:T30"/>
    <mergeCell ref="D73:E73"/>
    <mergeCell ref="P152:T152"/>
    <mergeCell ref="H9:I9"/>
    <mergeCell ref="P224:V224"/>
    <mergeCell ref="A49:Z49"/>
    <mergeCell ref="P24:V24"/>
    <mergeCell ref="D281:E281"/>
    <mergeCell ref="P89:V89"/>
    <mergeCell ref="A334:Z334"/>
    <mergeCell ref="P454:T454"/>
    <mergeCell ref="D297:E297"/>
    <mergeCell ref="P88:V88"/>
    <mergeCell ref="P259:V259"/>
    <mergeCell ref="P153:V153"/>
    <mergeCell ref="P220:T220"/>
    <mergeCell ref="A65:Z65"/>
    <mergeCell ref="D263:E263"/>
    <mergeCell ref="D238:E238"/>
    <mergeCell ref="P402:V402"/>
    <mergeCell ref="P452:T452"/>
    <mergeCell ref="P377:V377"/>
    <mergeCell ref="P448:V448"/>
    <mergeCell ref="P230:V230"/>
    <mergeCell ref="A63:O64"/>
    <mergeCell ref="B17:B18"/>
    <mergeCell ref="P441:V441"/>
    <mergeCell ref="P79:T79"/>
    <mergeCell ref="D473:E473"/>
    <mergeCell ref="D60:E60"/>
    <mergeCell ref="P73:T73"/>
    <mergeCell ref="P315:T315"/>
    <mergeCell ref="P437:T437"/>
    <mergeCell ref="A190:O191"/>
    <mergeCell ref="D423:E423"/>
    <mergeCell ref="D174:E174"/>
    <mergeCell ref="P302:T302"/>
    <mergeCell ref="D472:E472"/>
    <mergeCell ref="A83:Z83"/>
    <mergeCell ref="A270:Z270"/>
    <mergeCell ref="D131:E131"/>
    <mergeCell ref="A260:Z260"/>
    <mergeCell ref="A407:O408"/>
    <mergeCell ref="P366:T366"/>
    <mergeCell ref="A422:Z422"/>
    <mergeCell ref="D360:E360"/>
    <mergeCell ref="D431:E431"/>
    <mergeCell ref="P468:T468"/>
    <mergeCell ref="P316:T316"/>
    <mergeCell ref="D406:E406"/>
    <mergeCell ref="P453:T45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0:X41 X56 X62 X84 X87 X99 X102 X117 X121 X166 X168 X172 X177 X204:X207 X209:X211 X217:X218 X220 X222:X223 X227:X228 X240 X280 X310:X311 X322:X323 X330 X343:X344 X350:X352 X360 X397 X429 X433 X435 X451:X452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iUuMrGsnHwpUIgFasM/uNuxTJMiLI1xOLsEYLuKUypWRY/sYGa9bURCCNjYSnKEjOCFoqkWQyGJxnU6AeGkLuw==" saltValue="iiJsdSXTNSAb46Fai2WHS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2026-01-15T07:00:39Z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