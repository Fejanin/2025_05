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158702A-D1E7-4129-8A89-B2C619FC02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O506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X390" i="1"/>
  <c r="Y389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Q506" i="1" s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Y283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Y284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Y213" i="1" s="1"/>
  <c r="P205" i="1"/>
  <c r="X203" i="1"/>
  <c r="X202" i="1"/>
  <c r="BO201" i="1"/>
  <c r="BM201" i="1"/>
  <c r="Y201" i="1"/>
  <c r="Y203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6" i="1" s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2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4" i="1" s="1"/>
  <c r="P148" i="1"/>
  <c r="X146" i="1"/>
  <c r="X145" i="1"/>
  <c r="BO144" i="1"/>
  <c r="BM144" i="1"/>
  <c r="Y144" i="1"/>
  <c r="Y146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6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2" i="1" s="1"/>
  <c r="P27" i="1"/>
  <c r="X25" i="1"/>
  <c r="X496" i="1" s="1"/>
  <c r="X24" i="1"/>
  <c r="X500" i="1" s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Z30" i="1"/>
  <c r="BN30" i="1"/>
  <c r="Y33" i="1"/>
  <c r="C506" i="1"/>
  <c r="Z42" i="1"/>
  <c r="Z44" i="1" s="1"/>
  <c r="BN42" i="1"/>
  <c r="BP42" i="1"/>
  <c r="Y45" i="1"/>
  <c r="D506" i="1"/>
  <c r="Z53" i="1"/>
  <c r="Z58" i="1" s="1"/>
  <c r="BN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Y77" i="1"/>
  <c r="BP72" i="1"/>
  <c r="Y76" i="1"/>
  <c r="BP80" i="1"/>
  <c r="BN80" i="1"/>
  <c r="Z80" i="1"/>
  <c r="Z81" i="1" s="1"/>
  <c r="Y82" i="1"/>
  <c r="E506" i="1"/>
  <c r="Y90" i="1"/>
  <c r="BP85" i="1"/>
  <c r="BN85" i="1"/>
  <c r="Z85" i="1"/>
  <c r="Y89" i="1"/>
  <c r="BP93" i="1"/>
  <c r="BN93" i="1"/>
  <c r="Z93" i="1"/>
  <c r="BP102" i="1"/>
  <c r="BN102" i="1"/>
  <c r="Z102" i="1"/>
  <c r="H9" i="1"/>
  <c r="Y24" i="1"/>
  <c r="Y59" i="1"/>
  <c r="BP74" i="1"/>
  <c r="BN74" i="1"/>
  <c r="Z74" i="1"/>
  <c r="Z76" i="1" s="1"/>
  <c r="BP87" i="1"/>
  <c r="BN87" i="1"/>
  <c r="Z87" i="1"/>
  <c r="BP95" i="1"/>
  <c r="BN95" i="1"/>
  <c r="Z95" i="1"/>
  <c r="Y97" i="1"/>
  <c r="F506" i="1"/>
  <c r="Y105" i="1"/>
  <c r="BP100" i="1"/>
  <c r="BN100" i="1"/>
  <c r="Z100" i="1"/>
  <c r="Z105" i="1" s="1"/>
  <c r="BP104" i="1"/>
  <c r="BN104" i="1"/>
  <c r="Z104" i="1"/>
  <c r="Y106" i="1"/>
  <c r="Y112" i="1"/>
  <c r="Y113" i="1"/>
  <c r="BP108" i="1"/>
  <c r="BN108" i="1"/>
  <c r="Z108" i="1"/>
  <c r="Z110" i="1"/>
  <c r="BN110" i="1"/>
  <c r="Z116" i="1"/>
  <c r="Z119" i="1" s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Z139" i="1" s="1"/>
  <c r="BN137" i="1"/>
  <c r="BP137" i="1"/>
  <c r="Y140" i="1"/>
  <c r="H506" i="1"/>
  <c r="Z144" i="1"/>
  <c r="Z145" i="1" s="1"/>
  <c r="BN144" i="1"/>
  <c r="BP144" i="1"/>
  <c r="Y145" i="1"/>
  <c r="Z148" i="1"/>
  <c r="BN148" i="1"/>
  <c r="BP148" i="1"/>
  <c r="Z150" i="1"/>
  <c r="BN150" i="1"/>
  <c r="Z152" i="1"/>
  <c r="BN152" i="1"/>
  <c r="Y155" i="1"/>
  <c r="I506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Z186" i="1"/>
  <c r="BN186" i="1"/>
  <c r="Y187" i="1"/>
  <c r="Z190" i="1"/>
  <c r="Z191" i="1" s="1"/>
  <c r="BN190" i="1"/>
  <c r="BP190" i="1"/>
  <c r="Y191" i="1"/>
  <c r="Z195" i="1"/>
  <c r="Z197" i="1" s="1"/>
  <c r="BN195" i="1"/>
  <c r="BP195" i="1"/>
  <c r="Y198" i="1"/>
  <c r="Z201" i="1"/>
  <c r="Z202" i="1" s="1"/>
  <c r="BN201" i="1"/>
  <c r="BP201" i="1"/>
  <c r="Z205" i="1"/>
  <c r="BN205" i="1"/>
  <c r="BP205" i="1"/>
  <c r="Z207" i="1"/>
  <c r="BN207" i="1"/>
  <c r="Z209" i="1"/>
  <c r="BN209" i="1"/>
  <c r="Z211" i="1"/>
  <c r="BN211" i="1"/>
  <c r="Y214" i="1"/>
  <c r="Y225" i="1"/>
  <c r="BP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BP288" i="1"/>
  <c r="BN288" i="1"/>
  <c r="Z288" i="1"/>
  <c r="Z289" i="1" s="1"/>
  <c r="Y290" i="1"/>
  <c r="Y295" i="1"/>
  <c r="BP292" i="1"/>
  <c r="BN292" i="1"/>
  <c r="Z292" i="1"/>
  <c r="Z294" i="1" s="1"/>
  <c r="Y294" i="1"/>
  <c r="BP352" i="1"/>
  <c r="BN352" i="1"/>
  <c r="Z352" i="1"/>
  <c r="Z358" i="1" s="1"/>
  <c r="S506" i="1"/>
  <c r="Y358" i="1"/>
  <c r="BP356" i="1"/>
  <c r="BN356" i="1"/>
  <c r="Z356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Y442" i="1"/>
  <c r="Y129" i="1"/>
  <c r="Y197" i="1"/>
  <c r="BP218" i="1"/>
  <c r="BN218" i="1"/>
  <c r="Z218" i="1"/>
  <c r="Z225" i="1" s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BP274" i="1"/>
  <c r="BN274" i="1"/>
  <c r="Z274" i="1"/>
  <c r="BP301" i="1"/>
  <c r="BN301" i="1"/>
  <c r="Z301" i="1"/>
  <c r="BP309" i="1"/>
  <c r="BN309" i="1"/>
  <c r="Z309" i="1"/>
  <c r="Y313" i="1"/>
  <c r="BP317" i="1"/>
  <c r="BN317" i="1"/>
  <c r="Z317" i="1"/>
  <c r="Z320" i="1" s="1"/>
  <c r="Y321" i="1"/>
  <c r="BP325" i="1"/>
  <c r="BN325" i="1"/>
  <c r="Z325" i="1"/>
  <c r="Y327" i="1"/>
  <c r="Y334" i="1"/>
  <c r="BP329" i="1"/>
  <c r="BN329" i="1"/>
  <c r="Z329" i="1"/>
  <c r="Y333" i="1"/>
  <c r="BP337" i="1"/>
  <c r="BN337" i="1"/>
  <c r="Z337" i="1"/>
  <c r="Z339" i="1" s="1"/>
  <c r="Y339" i="1"/>
  <c r="BP377" i="1"/>
  <c r="BN377" i="1"/>
  <c r="Z377" i="1"/>
  <c r="Z378" i="1" s="1"/>
  <c r="Y379" i="1"/>
  <c r="Y384" i="1"/>
  <c r="BP381" i="1"/>
  <c r="BN381" i="1"/>
  <c r="Z381" i="1"/>
  <c r="Z383" i="1" s="1"/>
  <c r="Y383" i="1"/>
  <c r="K506" i="1"/>
  <c r="Y244" i="1"/>
  <c r="L506" i="1"/>
  <c r="Y268" i="1"/>
  <c r="BP267" i="1"/>
  <c r="BN267" i="1"/>
  <c r="Z267" i="1"/>
  <c r="Y269" i="1"/>
  <c r="M506" i="1"/>
  <c r="Y277" i="1"/>
  <c r="BP272" i="1"/>
  <c r="BN272" i="1"/>
  <c r="Z272" i="1"/>
  <c r="Z276" i="1" s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Z313" i="1" s="1"/>
  <c r="BP311" i="1"/>
  <c r="BN311" i="1"/>
  <c r="Z311" i="1"/>
  <c r="Y320" i="1"/>
  <c r="BP319" i="1"/>
  <c r="BN319" i="1"/>
  <c r="Z319" i="1"/>
  <c r="Y326" i="1"/>
  <c r="BP323" i="1"/>
  <c r="BN323" i="1"/>
  <c r="Z323" i="1"/>
  <c r="BP331" i="1"/>
  <c r="BN331" i="1"/>
  <c r="Z331" i="1"/>
  <c r="Y340" i="1"/>
  <c r="Z346" i="1"/>
  <c r="BP344" i="1"/>
  <c r="BN344" i="1"/>
  <c r="Z344" i="1"/>
  <c r="Y359" i="1"/>
  <c r="BP354" i="1"/>
  <c r="BN354" i="1"/>
  <c r="Z354" i="1"/>
  <c r="BP362" i="1"/>
  <c r="BN362" i="1"/>
  <c r="Z362" i="1"/>
  <c r="Z363" i="1" s="1"/>
  <c r="Y364" i="1"/>
  <c r="Y369" i="1"/>
  <c r="BP366" i="1"/>
  <c r="BN366" i="1"/>
  <c r="Z366" i="1"/>
  <c r="Z368" i="1" s="1"/>
  <c r="Z389" i="1"/>
  <c r="BP387" i="1"/>
  <c r="BN387" i="1"/>
  <c r="Z387" i="1"/>
  <c r="U506" i="1"/>
  <c r="BP397" i="1"/>
  <c r="BN397" i="1"/>
  <c r="Z397" i="1"/>
  <c r="BP401" i="1"/>
  <c r="BN401" i="1"/>
  <c r="Z401" i="1"/>
  <c r="Y408" i="1"/>
  <c r="BP418" i="1"/>
  <c r="BN418" i="1"/>
  <c r="Z418" i="1"/>
  <c r="BP454" i="1"/>
  <c r="BN454" i="1"/>
  <c r="Z454" i="1"/>
  <c r="BP468" i="1"/>
  <c r="BN468" i="1"/>
  <c r="Z468" i="1"/>
  <c r="BP434" i="1"/>
  <c r="BN434" i="1"/>
  <c r="Z434" i="1"/>
  <c r="BP438" i="1"/>
  <c r="BN438" i="1"/>
  <c r="Z438" i="1"/>
  <c r="Z448" i="1"/>
  <c r="BP446" i="1"/>
  <c r="BN446" i="1"/>
  <c r="Z446" i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Z442" i="1" l="1"/>
  <c r="Z420" i="1"/>
  <c r="Z187" i="1"/>
  <c r="Z181" i="1"/>
  <c r="Z154" i="1"/>
  <c r="Z112" i="1"/>
  <c r="Y500" i="1"/>
  <c r="Z64" i="1"/>
  <c r="Y498" i="1"/>
  <c r="Z470" i="1"/>
  <c r="Z326" i="1"/>
  <c r="Z333" i="1"/>
  <c r="Z213" i="1"/>
  <c r="Z96" i="1"/>
  <c r="Z89" i="1"/>
  <c r="Z501" i="1" s="1"/>
  <c r="Y496" i="1"/>
  <c r="Y497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<sst xmlns="http://schemas.openxmlformats.org/spreadsheetml/2006/main" count="2385" uniqueCount="784">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</sst>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6" zoomScaleNormal="100" zoomScaleSheetLayoutView="100" workbookViewId="0">
      <selection activeCell="AA503" sqref="AA50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60</v>
      </c>
      <c r="Y53" s="556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62.277777777777779</v>
      </c>
      <c r="BN53" s="64">
        <f t="shared" si="2"/>
        <v>67.260000000000005</v>
      </c>
      <c r="BO53" s="64">
        <f t="shared" si="3"/>
        <v>8.6805555555555552E-2</v>
      </c>
      <c r="BP53" s="64">
        <f t="shared" si="4"/>
        <v>9.3750000000000014E-2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13</v>
      </c>
      <c r="Y57" s="556">
        <f t="shared" si="0"/>
        <v>13.5</v>
      </c>
      <c r="Z57" s="36">
        <f>IFERROR(IF(Y57=0,"",ROUNDUP(Y57/H57,0)*0.00902),"")</f>
        <v>2.7060000000000001E-2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13.548888888888889</v>
      </c>
      <c r="BN57" s="64">
        <f t="shared" si="2"/>
        <v>14.07</v>
      </c>
      <c r="BO57" s="64">
        <f t="shared" si="3"/>
        <v>2.1885521885521887E-2</v>
      </c>
      <c r="BP57" s="64">
        <f t="shared" si="4"/>
        <v>2.2727272727272728E-2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8.4444444444444446</v>
      </c>
      <c r="Y58" s="557">
        <f>IFERROR(Y52/H52,"0")+IFERROR(Y53/H53,"0")+IFERROR(Y54/H54,"0")+IFERROR(Y55/H55,"0")+IFERROR(Y56/H56,"0")+IFERROR(Y57/H57,"0")</f>
        <v>9</v>
      </c>
      <c r="Z58" s="557">
        <f>IFERROR(IF(Z52="",0,Z52),"0")+IFERROR(IF(Z53="",0,Z53),"0")+IFERROR(IF(Z54="",0,Z54),"0")+IFERROR(IF(Z55="",0,Z55),"0")+IFERROR(IF(Z56="",0,Z56),"0")+IFERROR(IF(Z57="",0,Z57),"0")</f>
        <v>0.14094000000000001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73</v>
      </c>
      <c r="Y59" s="557">
        <f>IFERROR(SUM(Y52:Y57),"0")</f>
        <v>78.300000000000011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40</v>
      </c>
      <c r="Y85" s="556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41.518518518518519</v>
      </c>
      <c r="BN85" s="64">
        <f>IFERROR(Y85*I85/H85,"0")</f>
        <v>44.84</v>
      </c>
      <c r="BO85" s="64">
        <f>IFERROR(1/J85*(X85/H85),"0")</f>
        <v>5.7870370370370364E-2</v>
      </c>
      <c r="BP85" s="64">
        <f>IFERROR(1/J85*(Y85/H85),"0")</f>
        <v>6.25E-2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3.7037037037037033</v>
      </c>
      <c r="Y89" s="557">
        <f>IFERROR(Y85/H85,"0")+IFERROR(Y86/H86,"0")+IFERROR(Y87/H87,"0")+IFERROR(Y88/H88,"0")</f>
        <v>4</v>
      </c>
      <c r="Z89" s="557">
        <f>IFERROR(IF(Z85="",0,Z85),"0")+IFERROR(IF(Z86="",0,Z86),"0")+IFERROR(IF(Z87="",0,Z87),"0")+IFERROR(IF(Z88="",0,Z88),"0")</f>
        <v>7.5920000000000001E-2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40</v>
      </c>
      <c r="Y90" s="557">
        <f>IFERROR(SUM(Y85:Y88),"0")</f>
        <v>43.2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50</v>
      </c>
      <c r="Y92" s="556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6.1728395061728394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0.13286000000000001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50</v>
      </c>
      <c r="Y97" s="557">
        <f>IFERROR(SUM(Y92:Y95),"0")</f>
        <v>56.699999999999996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20</v>
      </c>
      <c r="Y100" s="556">
        <f>IFERROR(IF(X100="",0,CEILING((X100/$H100),1)*$H100),"")</f>
        <v>21.6</v>
      </c>
      <c r="Z100" s="36">
        <f>IFERROR(IF(Y100=0,"",ROUNDUP(Y100/H100,0)*0.01898),"")</f>
        <v>3.7960000000000001E-2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20.75925925925926</v>
      </c>
      <c r="BN100" s="64">
        <f>IFERROR(Y100*I100/H100,"0")</f>
        <v>22.42</v>
      </c>
      <c r="BO100" s="64">
        <f>IFERROR(1/J100*(X100/H100),"0")</f>
        <v>2.8935185185185182E-2</v>
      </c>
      <c r="BP100" s="64">
        <f>IFERROR(1/J100*(Y100/H100),"0")</f>
        <v>3.125E-2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1.8518518518518516</v>
      </c>
      <c r="Y105" s="557">
        <f>IFERROR(Y100/H100,"0")+IFERROR(Y101/H101,"0")+IFERROR(Y102/H102,"0")+IFERROR(Y103/H103,"0")+IFERROR(Y104/H104,"0")</f>
        <v>2</v>
      </c>
      <c r="Z105" s="557">
        <f>IFERROR(IF(Z100="",0,Z100),"0")+IFERROR(IF(Z101="",0,Z101),"0")+IFERROR(IF(Z102="",0,Z102),"0")+IFERROR(IF(Z103="",0,Z103),"0")+IFERROR(IF(Z104="",0,Z104),"0")</f>
        <v>3.7960000000000001E-2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20</v>
      </c>
      <c r="Y106" s="557">
        <f>IFERROR(SUM(Y100:Y104),"0")</f>
        <v>21.6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40</v>
      </c>
      <c r="Y111" s="556">
        <f>IFERROR(IF(X111="",0,CEILING((X111/$H111),1)*$H111),"")</f>
        <v>40.799999999999997</v>
      </c>
      <c r="Z111" s="36">
        <f>IFERROR(IF(Y111=0,"",ROUNDUP(Y111/H111,0)*0.00651),"")</f>
        <v>0.11067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43</v>
      </c>
      <c r="BN111" s="64">
        <f>IFERROR(Y111*I111/H111,"0")</f>
        <v>43.86</v>
      </c>
      <c r="BO111" s="64">
        <f>IFERROR(1/J111*(X111/H111),"0")</f>
        <v>9.1575091575091583E-2</v>
      </c>
      <c r="BP111" s="64">
        <f>IFERROR(1/J111*(Y111/H111),"0")</f>
        <v>9.3406593406593408E-2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16.666666666666668</v>
      </c>
      <c r="Y112" s="557">
        <f>IFERROR(Y108/H108,"0")+IFERROR(Y109/H109,"0")+IFERROR(Y110/H110,"0")+IFERROR(Y111/H111,"0")</f>
        <v>17</v>
      </c>
      <c r="Z112" s="557">
        <f>IFERROR(IF(Z108="",0,Z108),"0")+IFERROR(IF(Z109="",0,Z109),"0")+IFERROR(IF(Z110="",0,Z110),"0")+IFERROR(IF(Z111="",0,Z111),"0")</f>
        <v>0.11067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40</v>
      </c>
      <c r="Y113" s="557">
        <f>IFERROR(SUM(Y108:Y111),"0")</f>
        <v>40.799999999999997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80</v>
      </c>
      <c r="Y115" s="556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9.8765432098765444</v>
      </c>
      <c r="Y119" s="557">
        <f>IFERROR(Y115/H115,"0")+IFERROR(Y116/H116,"0")+IFERROR(Y117/H117,"0")+IFERROR(Y118/H118,"0")</f>
        <v>10</v>
      </c>
      <c r="Z119" s="557">
        <f>IFERROR(IF(Z115="",0,Z115),"0")+IFERROR(IF(Z116="",0,Z116),"0")+IFERROR(IF(Z117="",0,Z117),"0")+IFERROR(IF(Z118="",0,Z118),"0")</f>
        <v>0.1898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80</v>
      </c>
      <c r="Y120" s="557">
        <f>IFERROR(SUM(Y115:Y118),"0")</f>
        <v>81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52</v>
      </c>
      <c r="Y132" s="556">
        <f>IFERROR(IF(X132="",0,CEILING((X132/$H132),1)*$H132),"")</f>
        <v>53.199999999999996</v>
      </c>
      <c r="Z132" s="36">
        <f>IFERROR(IF(Y132=0,"",ROUNDUP(Y132/H132,0)*0.00651),"")</f>
        <v>0.12369000000000001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56.977142857142859</v>
      </c>
      <c r="BN132" s="64">
        <f>IFERROR(Y132*I132/H132,"0")</f>
        <v>58.291999999999994</v>
      </c>
      <c r="BO132" s="64">
        <f>IFERROR(1/J132*(X132/H132),"0")</f>
        <v>0.10204081632653063</v>
      </c>
      <c r="BP132" s="64">
        <f>IFERROR(1/J132*(Y132/H132),"0")</f>
        <v>0.1043956043956044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18.571428571428573</v>
      </c>
      <c r="Y134" s="557">
        <f>IFERROR(Y132/H132,"0")+IFERROR(Y133/H133,"0")</f>
        <v>19</v>
      </c>
      <c r="Z134" s="557">
        <f>IFERROR(IF(Z132="",0,Z132),"0")+IFERROR(IF(Z133="",0,Z133),"0")</f>
        <v>0.12369000000000001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52</v>
      </c>
      <c r="Y135" s="557">
        <f>IFERROR(SUM(Y132:Y133),"0")</f>
        <v>53.199999999999996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20</v>
      </c>
      <c r="Y169" s="556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21.19047619047619</v>
      </c>
      <c r="BN169" s="64">
        <f t="shared" si="12"/>
        <v>22.25</v>
      </c>
      <c r="BO169" s="64">
        <f t="shared" si="13"/>
        <v>3.6075036075036072E-2</v>
      </c>
      <c r="BP169" s="64">
        <f t="shared" si="14"/>
        <v>3.787878787878788E-2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30</v>
      </c>
      <c r="Y171" s="556">
        <f t="shared" si="10"/>
        <v>33.6</v>
      </c>
      <c r="Z171" s="36">
        <f>IFERROR(IF(Y171=0,"",ROUNDUP(Y171/H171,0)*0.00902),"")</f>
        <v>7.2160000000000002E-2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31.357142857142854</v>
      </c>
      <c r="BN171" s="64">
        <f t="shared" si="12"/>
        <v>35.119999999999997</v>
      </c>
      <c r="BO171" s="64">
        <f t="shared" si="13"/>
        <v>5.4112554112554112E-2</v>
      </c>
      <c r="BP171" s="64">
        <f t="shared" si="14"/>
        <v>6.0606060606060608E-2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13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0.11726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50</v>
      </c>
      <c r="Y182" s="557">
        <f>IFERROR(SUM(Y167:Y180),"0")</f>
        <v>54.6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110</v>
      </c>
      <c r="Y205" s="556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80</v>
      </c>
      <c r="Y206" s="556">
        <f t="shared" si="15"/>
        <v>81</v>
      </c>
      <c r="Z206" s="36">
        <f>IFERROR(IF(Y206=0,"",ROUNDUP(Y206/H206,0)*0.00902),"")</f>
        <v>0.1353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82.81481481481481</v>
      </c>
      <c r="BN206" s="64">
        <f t="shared" si="17"/>
        <v>83.85</v>
      </c>
      <c r="BO206" s="64">
        <f t="shared" si="18"/>
        <v>0.11223344556677889</v>
      </c>
      <c r="BP206" s="64">
        <f t="shared" si="19"/>
        <v>0.11363636363636363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90</v>
      </c>
      <c r="Y207" s="556">
        <f t="shared" si="15"/>
        <v>91.800000000000011</v>
      </c>
      <c r="Z207" s="36">
        <f>IFERROR(IF(Y207=0,"",ROUNDUP(Y207/H207,0)*0.00902),"")</f>
        <v>0.15334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93.166666666666657</v>
      </c>
      <c r="BN207" s="64">
        <f t="shared" si="17"/>
        <v>95.03</v>
      </c>
      <c r="BO207" s="64">
        <f t="shared" si="18"/>
        <v>0.12626262626262624</v>
      </c>
      <c r="BP207" s="64">
        <f t="shared" si="19"/>
        <v>0.12878787878787878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120</v>
      </c>
      <c r="Y208" s="556">
        <f t="shared" si="15"/>
        <v>124.2</v>
      </c>
      <c r="Z208" s="36">
        <f>IFERROR(IF(Y208=0,"",ROUNDUP(Y208/H208,0)*0.00902),"")</f>
        <v>0.20746000000000001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124.2222222222222</v>
      </c>
      <c r="BN208" s="64">
        <f t="shared" si="17"/>
        <v>128.57</v>
      </c>
      <c r="BO208" s="64">
        <f t="shared" si="18"/>
        <v>0.16835016835016836</v>
      </c>
      <c r="BP208" s="64">
        <f t="shared" si="19"/>
        <v>0.17424242424242425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74.074074074074076</v>
      </c>
      <c r="Y213" s="557">
        <f>IFERROR(Y205/H205,"0")+IFERROR(Y206/H206,"0")+IFERROR(Y207/H207,"0")+IFERROR(Y208/H208,"0")+IFERROR(Y209/H209,"0")+IFERROR(Y210/H210,"0")+IFERROR(Y211/H211,"0")+IFERROR(Y212/H212,"0")</f>
        <v>76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0.68552000000000002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400</v>
      </c>
      <c r="Y214" s="557">
        <f>IFERROR(SUM(Y205:Y212),"0")</f>
        <v>410.40000000000003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30</v>
      </c>
      <c r="Y218" s="556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31.703448275862076</v>
      </c>
      <c r="BN218" s="64">
        <f t="shared" si="22"/>
        <v>36.776000000000003</v>
      </c>
      <c r="BO218" s="64">
        <f t="shared" si="23"/>
        <v>5.387931034482759E-2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40</v>
      </c>
      <c r="Y223" s="556">
        <f t="shared" si="20"/>
        <v>40.799999999999997</v>
      </c>
      <c r="Z223" s="36">
        <f t="shared" si="25"/>
        <v>0.11067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44.20000000000001</v>
      </c>
      <c r="BN223" s="64">
        <f t="shared" si="22"/>
        <v>45.084000000000003</v>
      </c>
      <c r="BO223" s="64">
        <f t="shared" si="23"/>
        <v>9.1575091575091583E-2</v>
      </c>
      <c r="BP223" s="64">
        <f t="shared" si="24"/>
        <v>9.3406593406593408E-2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20.114942528735632</v>
      </c>
      <c r="Y225" s="557">
        <f>IFERROR(Y216/H216,"0")+IFERROR(Y217/H217,"0")+IFERROR(Y218/H218,"0")+IFERROR(Y219/H219,"0")+IFERROR(Y220/H220,"0")+IFERROR(Y221/H221,"0")+IFERROR(Y222/H222,"0")+IFERROR(Y223/H223,"0")+IFERROR(Y224/H224,"0")</f>
        <v>21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0.18659000000000001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70</v>
      </c>
      <c r="Y226" s="557">
        <f>IFERROR(SUM(Y216:Y224),"0")</f>
        <v>75.599999999999994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6000</v>
      </c>
      <c r="Y316" s="556">
        <f>IFERROR(IF(X316="",0,CEILING((X316/$H316),1)*$H316),"")</f>
        <v>6006</v>
      </c>
      <c r="Z316" s="36">
        <f>IFERROR(IF(Y316=0,"",ROUNDUP(Y316/H316,0)*0.01898),"")</f>
        <v>14.614600000000001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6375.3846153846152</v>
      </c>
      <c r="BN316" s="64">
        <f>IFERROR(Y316*I316/H316,"0")</f>
        <v>6381.76</v>
      </c>
      <c r="BO316" s="64">
        <f>IFERROR(1/J316*(X316/H316),"0")</f>
        <v>12.01923076923077</v>
      </c>
      <c r="BP316" s="64">
        <f>IFERROR(1/J316*(Y316/H316),"0")</f>
        <v>12.03125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769.23076923076928</v>
      </c>
      <c r="Y320" s="557">
        <f>IFERROR(Y316/H316,"0")+IFERROR(Y317/H317,"0")+IFERROR(Y318/H318,"0")+IFERROR(Y319/H319,"0")</f>
        <v>770</v>
      </c>
      <c r="Z320" s="557">
        <f>IFERROR(IF(Z316="",0,Z316),"0")+IFERROR(IF(Z317="",0,Z317),"0")+IFERROR(IF(Z318="",0,Z318),"0")+IFERROR(IF(Z319="",0,Z319),"0")</f>
        <v>14.614600000000001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6000</v>
      </c>
      <c r="Y321" s="557">
        <f>IFERROR(SUM(Y316:Y319),"0")</f>
        <v>6006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60</v>
      </c>
      <c r="Y324" s="556">
        <f>IFERROR(IF(X324="",0,CEILING((X324/$H324),1)*$H324),"")</f>
        <v>62.4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63.800000000000004</v>
      </c>
      <c r="BN324" s="64">
        <f>IFERROR(Y324*I324/H324,"0")</f>
        <v>66.352000000000004</v>
      </c>
      <c r="BO324" s="64">
        <f>IFERROR(1/J324*(X324/H324),"0")</f>
        <v>0.1201923076923077</v>
      </c>
      <c r="BP324" s="64">
        <f>IFERROR(1/J324*(Y324/H324),"0")</f>
        <v>0.125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7.6923076923076925</v>
      </c>
      <c r="Y326" s="557">
        <f>IFERROR(Y323/H323,"0")+IFERROR(Y324/H324,"0")+IFERROR(Y325/H325,"0")</f>
        <v>8</v>
      </c>
      <c r="Z326" s="557">
        <f>IFERROR(IF(Z323="",0,Z323),"0")+IFERROR(IF(Z324="",0,Z324),"0")+IFERROR(IF(Z325="",0,Z325),"0")</f>
        <v>0.15184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60</v>
      </c>
      <c r="Y327" s="557">
        <f>IFERROR(SUM(Y323:Y325),"0")</f>
        <v>62.4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30</v>
      </c>
      <c r="Y343" s="556">
        <f>IFERROR(IF(X343="",0,CEILING((X343/$H343),1)*$H343),"")</f>
        <v>32.4</v>
      </c>
      <c r="Z343" s="36">
        <f>IFERROR(IF(Y343=0,"",ROUNDUP(Y343/H343,0)*0.01898),"")</f>
        <v>7.5920000000000001E-2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31.829629629629629</v>
      </c>
      <c r="BN343" s="64">
        <f>IFERROR(Y343*I343/H343,"0")</f>
        <v>34.375999999999998</v>
      </c>
      <c r="BO343" s="64">
        <f>IFERROR(1/J343*(X343/H343),"0")</f>
        <v>5.7870370370370371E-2</v>
      </c>
      <c r="BP343" s="64">
        <f>IFERROR(1/J343*(Y343/H343),"0")</f>
        <v>6.25E-2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3.7037037037037037</v>
      </c>
      <c r="Y346" s="557">
        <f>IFERROR(Y343/H343,"0")+IFERROR(Y344/H344,"0")+IFERROR(Y345/H345,"0")</f>
        <v>4</v>
      </c>
      <c r="Z346" s="557">
        <f>IFERROR(IF(Z343="",0,Z343),"0")+IFERROR(IF(Z344="",0,Z344),"0")+IFERROR(IF(Z345="",0,Z345),"0")</f>
        <v>7.5920000000000001E-2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30</v>
      </c>
      <c r="Y347" s="557">
        <f>IFERROR(SUM(Y343:Y345),"0")</f>
        <v>32.4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2750</v>
      </c>
      <c r="Y351" s="556">
        <f t="shared" ref="Y351:Y357" si="41">IFERROR(IF(X351="",0,CEILING((X351/$H351),1)*$H351),"")</f>
        <v>2760</v>
      </c>
      <c r="Z351" s="36">
        <f>IFERROR(IF(Y351=0,"",ROUNDUP(Y351/H351,0)*0.02175),"")</f>
        <v>4.0019999999999998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2836.1666666666665</v>
      </c>
      <c r="BN351" s="64">
        <f t="shared" ref="BN351:BN357" si="43">IFERROR(Y351*I351/H351,"0")</f>
        <v>2846.4800000000005</v>
      </c>
      <c r="BO351" s="64">
        <f t="shared" ref="BO351:BO357" si="44">IFERROR(1/J351*(X351/H351),"0")</f>
        <v>3.8194444444444446</v>
      </c>
      <c r="BP351" s="64">
        <f t="shared" ref="BP351:BP357" si="45">IFERROR(1/J351*(Y351/H351),"0")</f>
        <v>3.833333333333333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300</v>
      </c>
      <c r="Y352" s="556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6750</v>
      </c>
      <c r="Y354" s="556">
        <f t="shared" si="41"/>
        <v>6750</v>
      </c>
      <c r="Z354" s="36">
        <f>IFERROR(IF(Y354=0,"",ROUNDUP(Y354/H354,0)*0.02175),"")</f>
        <v>9.7874999999999996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6961.5</v>
      </c>
      <c r="BN354" s="64">
        <f t="shared" si="43"/>
        <v>6961.5</v>
      </c>
      <c r="BO354" s="64">
        <f t="shared" si="44"/>
        <v>9.375</v>
      </c>
      <c r="BP354" s="64">
        <f t="shared" si="45"/>
        <v>9.375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25</v>
      </c>
      <c r="Y356" s="556">
        <f t="shared" si="41"/>
        <v>25</v>
      </c>
      <c r="Z356" s="36">
        <f>IFERROR(IF(Y356=0,"",ROUNDUP(Y356/H356,0)*0.00902),"")</f>
        <v>4.5100000000000001E-2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25.95</v>
      </c>
      <c r="BN356" s="64">
        <f t="shared" si="43"/>
        <v>25.95</v>
      </c>
      <c r="BO356" s="64">
        <f t="shared" si="44"/>
        <v>3.787878787878788E-2</v>
      </c>
      <c r="BP356" s="64">
        <f t="shared" si="45"/>
        <v>3.787878787878788E-2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658.33333333333337</v>
      </c>
      <c r="Y358" s="557">
        <f>IFERROR(Y351/H351,"0")+IFERROR(Y352/H352,"0")+IFERROR(Y353/H353,"0")+IFERROR(Y354/H354,"0")+IFERROR(Y355/H355,"0")+IFERROR(Y356/H356,"0")+IFERROR(Y357/H357,"0")</f>
        <v>659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14.269599999999999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9825</v>
      </c>
      <c r="Y359" s="557">
        <f>IFERROR(SUM(Y351:Y357),"0")</f>
        <v>9835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750</v>
      </c>
      <c r="Y361" s="556">
        <f>IFERROR(IF(X361="",0,CEILING((X361/$H361),1)*$H361),"")</f>
        <v>750</v>
      </c>
      <c r="Z361" s="36">
        <f>IFERROR(IF(Y361=0,"",ROUNDUP(Y361/H361,0)*0.02175),"")</f>
        <v>1.0874999999999999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773.5</v>
      </c>
      <c r="BN361" s="64">
        <f>IFERROR(Y361*I361/H361,"0")</f>
        <v>773.5</v>
      </c>
      <c r="BO361" s="64">
        <f>IFERROR(1/J361*(X361/H361),"0")</f>
        <v>1.0416666666666665</v>
      </c>
      <c r="BP361" s="64">
        <f>IFERROR(1/J361*(Y361/H361),"0")</f>
        <v>1.0416666666666665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50</v>
      </c>
      <c r="Y363" s="557">
        <f>IFERROR(Y361/H361,"0")+IFERROR(Y362/H362,"0")</f>
        <v>50</v>
      </c>
      <c r="Z363" s="557">
        <f>IFERROR(IF(Z361="",0,Z361),"0")+IFERROR(IF(Z362="",0,Z362),"0")</f>
        <v>1.0874999999999999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750</v>
      </c>
      <c r="Y364" s="557">
        <f>IFERROR(SUM(Y361:Y362),"0")</f>
        <v>750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200</v>
      </c>
      <c r="Y367" s="556">
        <f>IFERROR(IF(X367="",0,CEILING((X367/$H367),1)*$H367),"")</f>
        <v>207</v>
      </c>
      <c r="Z367" s="36">
        <f>IFERROR(IF(Y367=0,"",ROUNDUP(Y367/H367,0)*0.01898),"")</f>
        <v>0.43653999999999998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210.97777777777776</v>
      </c>
      <c r="BN367" s="64">
        <f>IFERROR(Y367*I367/H367,"0")</f>
        <v>218.36199999999999</v>
      </c>
      <c r="BO367" s="64">
        <f>IFERROR(1/J367*(X367/H367),"0")</f>
        <v>0.34722222222222221</v>
      </c>
      <c r="BP367" s="64">
        <f>IFERROR(1/J367*(Y367/H367),"0")</f>
        <v>0.359375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22.222222222222221</v>
      </c>
      <c r="Y368" s="557">
        <f>IFERROR(Y366/H366,"0")+IFERROR(Y367/H367,"0")</f>
        <v>23</v>
      </c>
      <c r="Z368" s="557">
        <f>IFERROR(IF(Z366="",0,Z366),"0")+IFERROR(IF(Z367="",0,Z367),"0")</f>
        <v>0.43653999999999998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200</v>
      </c>
      <c r="Y369" s="557">
        <f>IFERROR(SUM(Y366:Y367),"0")</f>
        <v>207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20</v>
      </c>
      <c r="Y371" s="556">
        <f>IFERROR(IF(X371="",0,CEILING((X371/$H371),1)*$H371),"")</f>
        <v>27</v>
      </c>
      <c r="Z371" s="36">
        <f>IFERROR(IF(Y371=0,"",ROUNDUP(Y371/H371,0)*0.01898),"")</f>
        <v>5.6940000000000004E-2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21.097777777777779</v>
      </c>
      <c r="BN371" s="64">
        <f>IFERROR(Y371*I371/H371,"0")</f>
        <v>28.481999999999996</v>
      </c>
      <c r="BO371" s="64">
        <f>IFERROR(1/J371*(X371/H371),"0")</f>
        <v>3.4722222222222224E-2</v>
      </c>
      <c r="BP371" s="64">
        <f>IFERROR(1/J371*(Y371/H371),"0")</f>
        <v>4.6875E-2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2.2222222222222223</v>
      </c>
      <c r="Y372" s="557">
        <f>IFERROR(Y371/H371,"0")</f>
        <v>3</v>
      </c>
      <c r="Z372" s="557">
        <f>IFERROR(IF(Z371="",0,Z371),"0")</f>
        <v>5.6940000000000004E-2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20</v>
      </c>
      <c r="Y373" s="557">
        <f>IFERROR(SUM(Y371:Y371),"0")</f>
        <v>27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12</v>
      </c>
      <c r="Y381" s="556">
        <f>IFERROR(IF(X381="",0,CEILING((X381/$H381),1)*$H381),"")</f>
        <v>13.14</v>
      </c>
      <c r="Z381" s="36">
        <f>IFERROR(IF(Y381=0,"",ROUNDUP(Y381/H381,0)*0.00902),"")</f>
        <v>2.7060000000000001E-2</v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12.684931506849315</v>
      </c>
      <c r="BN381" s="64">
        <f>IFERROR(Y381*I381/H381,"0")</f>
        <v>13.89</v>
      </c>
      <c r="BO381" s="64">
        <f>IFERROR(1/J381*(X381/H381),"0")</f>
        <v>2.0755500207555001E-2</v>
      </c>
      <c r="BP381" s="64">
        <f>IFERROR(1/J381*(Y381/H381),"0")</f>
        <v>2.2727272727272728E-2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2.7397260273972601</v>
      </c>
      <c r="Y383" s="557">
        <f>IFERROR(Y381/H381,"0")+IFERROR(Y382/H382,"0")</f>
        <v>3</v>
      </c>
      <c r="Z383" s="557">
        <f>IFERROR(IF(Z381="",0,Z381),"0")+IFERROR(IF(Z382="",0,Z382),"0")</f>
        <v>2.7060000000000001E-2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12</v>
      </c>
      <c r="Y384" s="557">
        <f>IFERROR(SUM(Y381:Y382),"0")</f>
        <v>13.14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20</v>
      </c>
      <c r="Y386" s="556">
        <f>IFERROR(IF(X386="",0,CEILING((X386/$H386),1)*$H386),"")</f>
        <v>27</v>
      </c>
      <c r="Z386" s="36">
        <f>IFERROR(IF(Y386=0,"",ROUNDUP(Y386/H386,0)*0.01898),"")</f>
        <v>5.6940000000000004E-2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21.097777777777779</v>
      </c>
      <c r="BN386" s="64">
        <f>IFERROR(Y386*I386/H386,"0")</f>
        <v>28.481999999999996</v>
      </c>
      <c r="BO386" s="64">
        <f>IFERROR(1/J386*(X386/H386),"0")</f>
        <v>3.4722222222222224E-2</v>
      </c>
      <c r="BP386" s="64">
        <f>IFERROR(1/J386*(Y386/H386),"0")</f>
        <v>4.6875E-2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2.2222222222222223</v>
      </c>
      <c r="Y389" s="557">
        <f>IFERROR(Y386/H386,"0")+IFERROR(Y387/H387,"0")+IFERROR(Y388/H388,"0")</f>
        <v>3</v>
      </c>
      <c r="Z389" s="557">
        <f>IFERROR(IF(Z386="",0,Z386),"0")+IFERROR(IF(Z387="",0,Z387),"0")+IFERROR(IF(Z388="",0,Z388),"0")</f>
        <v>5.6940000000000004E-2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20</v>
      </c>
      <c r="Y390" s="557">
        <f>IFERROR(SUM(Y386:Y388),"0")</f>
        <v>27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50</v>
      </c>
      <c r="Y394" s="556">
        <f t="shared" ref="Y394:Y402" si="46">IFERROR(IF(X394="",0,CEILING((X394/$H394),1)*$H394),"")</f>
        <v>54</v>
      </c>
      <c r="Z394" s="36">
        <f>IFERROR(IF(Y394=0,"",ROUNDUP(Y394/H394,0)*0.00902),"")</f>
        <v>9.0200000000000002E-2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51.759259259259252</v>
      </c>
      <c r="BN394" s="64">
        <f t="shared" ref="BN394:BN402" si="48">IFERROR(Y394*I394/H394,"0")</f>
        <v>55.9</v>
      </c>
      <c r="BO394" s="64">
        <f t="shared" ref="BO394:BO402" si="49">IFERROR(1/J394*(X394/H394),"0")</f>
        <v>7.0145903479236812E-2</v>
      </c>
      <c r="BP394" s="64">
        <f t="shared" ref="BP394:BP402" si="50">IFERROR(1/J394*(Y394/H394),"0")</f>
        <v>7.575757575757576E-2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9.2592592592592595</v>
      </c>
      <c r="Y403" s="557">
        <f>IFERROR(Y394/H394,"0")+IFERROR(Y395/H395,"0")+IFERROR(Y396/H396,"0")+IFERROR(Y397/H397,"0")+IFERROR(Y398/H398,"0")+IFERROR(Y399/H399,"0")+IFERROR(Y400/H400,"0")+IFERROR(Y401/H401,"0")+IFERROR(Y402/H402,"0")</f>
        <v>10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9.0200000000000002E-2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50</v>
      </c>
      <c r="Y404" s="557">
        <f>IFERROR(SUM(Y394:Y402),"0")</f>
        <v>54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50</v>
      </c>
      <c r="Y416" s="556">
        <f>IFERROR(IF(X416="",0,CEILING((X416/$H416),1)*$H416),"")</f>
        <v>54</v>
      </c>
      <c r="Z416" s="36">
        <f>IFERROR(IF(Y416=0,"",ROUNDUP(Y416/H416,0)*0.00902),"")</f>
        <v>9.0200000000000002E-2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51.759259259259252</v>
      </c>
      <c r="BN416" s="64">
        <f>IFERROR(Y416*I416/H416,"0")</f>
        <v>55.9</v>
      </c>
      <c r="BO416" s="64">
        <f>IFERROR(1/J416*(X416/H416),"0")</f>
        <v>7.0145903479236812E-2</v>
      </c>
      <c r="BP416" s="64">
        <f>IFERROR(1/J416*(Y416/H416),"0")</f>
        <v>7.575757575757576E-2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9.2592592592592595</v>
      </c>
      <c r="Y420" s="557">
        <f>IFERROR(Y416/H416,"0")+IFERROR(Y417/H417,"0")+IFERROR(Y418/H418,"0")+IFERROR(Y419/H419,"0")</f>
        <v>10</v>
      </c>
      <c r="Z420" s="557">
        <f>IFERROR(IF(Z416="",0,Z416),"0")+IFERROR(IF(Z417="",0,Z417),"0")+IFERROR(IF(Z418="",0,Z418),"0")+IFERROR(IF(Z419="",0,Z419),"0")</f>
        <v>9.0200000000000002E-2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50</v>
      </c>
      <c r="Y421" s="557">
        <f>IFERROR(SUM(Y416:Y419),"0")</f>
        <v>54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110</v>
      </c>
      <c r="Y436" s="556">
        <f t="shared" si="52"/>
        <v>110.88000000000001</v>
      </c>
      <c r="Z436" s="36">
        <f t="shared" si="53"/>
        <v>0.25115999999999999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117.29166666666666</v>
      </c>
      <c r="BN436" s="64">
        <f t="shared" si="55"/>
        <v>118.23</v>
      </c>
      <c r="BO436" s="64">
        <f t="shared" si="56"/>
        <v>0.20032051282051283</v>
      </c>
      <c r="BP436" s="64">
        <f t="shared" si="57"/>
        <v>0.20192307692307693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20.833333333333332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21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0.25115999999999999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110</v>
      </c>
      <c r="Y443" s="557">
        <f>IFERROR(SUM(Y430:Y441),"0")</f>
        <v>110.88000000000001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40</v>
      </c>
      <c r="Y451" s="556">
        <f t="shared" ref="Y451:Y456" si="58">IFERROR(IF(X451="",0,CEILING((X451/$H451),1)*$H451),"")</f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42.651515151515149</v>
      </c>
      <c r="BN451" s="64">
        <f t="shared" ref="BN451:BN456" si="60">IFERROR(Y451*I451/H451,"0")</f>
        <v>45.04</v>
      </c>
      <c r="BO451" s="64">
        <f t="shared" ref="BO451:BO456" si="61">IFERROR(1/J451*(X451/H451),"0")</f>
        <v>7.2843822843822847E-2</v>
      </c>
      <c r="BP451" s="64">
        <f t="shared" ref="BP451:BP456" si="62">IFERROR(1/J451*(Y451/H451),"0")</f>
        <v>7.6923076923076927E-2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30</v>
      </c>
      <c r="Y453" s="556">
        <f t="shared" si="58"/>
        <v>31.68</v>
      </c>
      <c r="Z453" s="36">
        <f>IFERROR(IF(Y453=0,"",ROUNDUP(Y453/H453,0)*0.01196),"")</f>
        <v>7.1760000000000004E-2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31.988636363636363</v>
      </c>
      <c r="BN453" s="64">
        <f t="shared" si="60"/>
        <v>33.779999999999994</v>
      </c>
      <c r="BO453" s="64">
        <f t="shared" si="61"/>
        <v>5.4632867132867136E-2</v>
      </c>
      <c r="BP453" s="64">
        <f t="shared" si="62"/>
        <v>5.7692307692307696E-2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13.257575757575758</v>
      </c>
      <c r="Y457" s="557">
        <f>IFERROR(Y451/H451,"0")+IFERROR(Y452/H452,"0")+IFERROR(Y453/H453,"0")+IFERROR(Y454/H454,"0")+IFERROR(Y455/H455,"0")+IFERROR(Y456/H456,"0")</f>
        <v>14</v>
      </c>
      <c r="Z457" s="557">
        <f>IFERROR(IF(Z451="",0,Z451),"0")+IFERROR(IF(Z452="",0,Z452),"0")+IFERROR(IF(Z453="",0,Z453),"0")+IFERROR(IF(Z454="",0,Z454),"0")+IFERROR(IF(Z455="",0,Z455),"0")+IFERROR(IF(Z456="",0,Z456),"0")</f>
        <v>0.16744000000000001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70</v>
      </c>
      <c r="Y458" s="557">
        <f>IFERROR(SUM(Y451:Y456),"0")</f>
        <v>73.92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18072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18168.139999999996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18857.315377723044</v>
      </c>
      <c r="Y497" s="557">
        <f>IFERROR(SUM(BN22:BN493),"0")</f>
        <v>18958.234000000004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30</v>
      </c>
      <c r="Y498" s="38">
        <f>ROUNDUP(SUM(BP22:BP493),0)</f>
        <v>30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19607.315377723044</v>
      </c>
      <c r="Y499" s="557">
        <f>GrossWeightTotalR+PalletQtyTotalR*25</f>
        <v>19708.234000000004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1742.3571907253217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1756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33.177149999999997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78.300000000000011</v>
      </c>
      <c r="E506" s="46">
        <f>IFERROR(Y85*1,"0")+IFERROR(Y86*1,"0")+IFERROR(Y87*1,"0")+IFERROR(Y88*1,"0")+IFERROR(Y92*1,"0")+IFERROR(Y93*1,"0")+IFERROR(Y94*1,"0")+IFERROR(Y95*1,"0")</f>
        <v>99.9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143.4</v>
      </c>
      <c r="G506" s="46">
        <f>IFERROR(Y127*1,"0")+IFERROR(Y128*1,"0")+IFERROR(Y132*1,"0")+IFERROR(Y133*1,"0")+IFERROR(Y137*1,"0")+IFERROR(Y138*1,"0")</f>
        <v>53.199999999999996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54.6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486.00000000000006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6068.4</v>
      </c>
      <c r="R506" s="46">
        <f>IFERROR(Y343*1,"0")+IFERROR(Y344*1,"0")+IFERROR(Y345*1,"0")</f>
        <v>32.4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10819</v>
      </c>
      <c r="T506" s="46">
        <f>IFERROR(Y376*1,"0")+IFERROR(Y377*1,"0")+IFERROR(Y381*1,"0")+IFERROR(Y382*1,"0")+IFERROR(Y386*1,"0")+IFERROR(Y387*1,"0")+IFERROR(Y388*1,"0")</f>
        <v>40.14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54</v>
      </c>
      <c r="V506" s="46">
        <f>IFERROR(Y412*1,"0")+IFERROR(Y416*1,"0")+IFERROR(Y417*1,"0")+IFERROR(Y418*1,"0")+IFERROR(Y419*1,"0")</f>
        <v>54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184.8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2026-01-06T07:55:39Z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