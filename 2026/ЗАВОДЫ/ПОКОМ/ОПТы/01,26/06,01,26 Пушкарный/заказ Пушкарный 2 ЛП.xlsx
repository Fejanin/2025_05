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1D3C92F-0029-4A7B-9622-AD55A222EDA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Z197" i="1" l="1"/>
  <c r="H9" i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2" i="1" l="1"/>
  <c r="Z276" i="1"/>
  <c r="Z268" i="1"/>
  <c r="Z259" i="1"/>
  <c r="Y497" i="1"/>
  <c r="Z313" i="1"/>
  <c r="Z119" i="1"/>
  <c r="Z389" i="1"/>
  <c r="Z403" i="1"/>
  <c r="Z470" i="1"/>
  <c r="Z326" i="1"/>
  <c r="Z243" i="1"/>
  <c r="Z501" i="1" s="1"/>
  <c r="Y496" i="1"/>
  <c r="Y498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<sst xmlns="http://schemas.openxmlformats.org/spreadsheetml/2006/main" count="2385" uniqueCount="784">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</sst>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120</v>
      </c>
      <c r="Y43" s="556">
        <f>IFERROR(IF(X43="",0,CEILING((X43/$H43),1)*$H43),"")</f>
        <v>120</v>
      </c>
      <c r="Z43" s="36">
        <f>IFERROR(IF(Y43=0,"",ROUNDUP(Y43/H43,0)*0.00902),"")</f>
        <v>0.27060000000000001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125.70000000000002</v>
      </c>
      <c r="BN43" s="64">
        <f>IFERROR(Y43*I43/H43,"0")</f>
        <v>125.70000000000002</v>
      </c>
      <c r="BO43" s="64">
        <f>IFERROR(1/J43*(X43/H43),"0")</f>
        <v>0.22727272727272729</v>
      </c>
      <c r="BP43" s="64">
        <f>IFERROR(1/J43*(Y43/H43),"0")</f>
        <v>0.22727272727272729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30</v>
      </c>
      <c r="Y44" s="557">
        <f>IFERROR(Y41/H41,"0")+IFERROR(Y42/H42,"0")+IFERROR(Y43/H43,"0")</f>
        <v>30</v>
      </c>
      <c r="Z44" s="557">
        <f>IFERROR(IF(Z41="",0,Z41),"0")+IFERROR(IF(Z42="",0,Z42),"0")+IFERROR(IF(Z43="",0,Z43),"0")</f>
        <v>0.27060000000000001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120</v>
      </c>
      <c r="Y45" s="557">
        <f>IFERROR(SUM(Y41:Y43),"0")</f>
        <v>120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100</v>
      </c>
      <c r="Y52" s="556">
        <f t="shared" ref="Y52:Y57" si="0">IFERROR(IF(X52="",0,CEILING((X52/$H52),1)*$H52),"")</f>
        <v>100.8</v>
      </c>
      <c r="Z52" s="36">
        <f>IFERROR(IF(Y52=0,"",ROUNDUP(Y52/H52,0)*0.01898),"")</f>
        <v>0.17082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103.66071428571429</v>
      </c>
      <c r="BN52" s="64">
        <f t="shared" ref="BN52:BN57" si="2">IFERROR(Y52*I52/H52,"0")</f>
        <v>104.49000000000001</v>
      </c>
      <c r="BO52" s="64">
        <f t="shared" ref="BO52:BO57" si="3">IFERROR(1/J52*(X52/H52),"0")</f>
        <v>0.13950892857142858</v>
      </c>
      <c r="BP52" s="64">
        <f t="shared" ref="BP52:BP57" si="4">IFERROR(1/J52*(Y52/H52),"0")</f>
        <v>0.140625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2400</v>
      </c>
      <c r="Y53" s="556">
        <f t="shared" si="0"/>
        <v>2408.4</v>
      </c>
      <c r="Z53" s="36">
        <f>IFERROR(IF(Y53=0,"",ROUNDUP(Y53/H53,0)*0.01898),"")</f>
        <v>4.2325400000000002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2491.1111111111113</v>
      </c>
      <c r="BN53" s="64">
        <f t="shared" si="2"/>
        <v>2499.8300000000004</v>
      </c>
      <c r="BO53" s="64">
        <f t="shared" si="3"/>
        <v>3.4722222222222219</v>
      </c>
      <c r="BP53" s="64">
        <f t="shared" si="4"/>
        <v>3.484375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1080</v>
      </c>
      <c r="Y57" s="556">
        <f t="shared" si="0"/>
        <v>1080</v>
      </c>
      <c r="Z57" s="36">
        <f>IFERROR(IF(Y57=0,"",ROUNDUP(Y57/H57,0)*0.00902),"")</f>
        <v>2.1648000000000001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1125.6000000000001</v>
      </c>
      <c r="BN57" s="64">
        <f t="shared" si="2"/>
        <v>1125.6000000000001</v>
      </c>
      <c r="BO57" s="64">
        <f t="shared" si="3"/>
        <v>1.8181818181818183</v>
      </c>
      <c r="BP57" s="64">
        <f t="shared" si="4"/>
        <v>1.8181818181818183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471.15079365079362</v>
      </c>
      <c r="Y58" s="557">
        <f>IFERROR(Y52/H52,"0")+IFERROR(Y53/H53,"0")+IFERROR(Y54/H54,"0")+IFERROR(Y55/H55,"0")+IFERROR(Y56/H56,"0")+IFERROR(Y57/H57,"0")</f>
        <v>472</v>
      </c>
      <c r="Z58" s="557">
        <f>IFERROR(IF(Z52="",0,Z52),"0")+IFERROR(IF(Z53="",0,Z53),"0")+IFERROR(IF(Z54="",0,Z54),"0")+IFERROR(IF(Z55="",0,Z55),"0")+IFERROR(IF(Z56="",0,Z56),"0")+IFERROR(IF(Z57="",0,Z57),"0")</f>
        <v>6.5681600000000007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3580</v>
      </c>
      <c r="Y59" s="557">
        <f>IFERROR(SUM(Y52:Y57),"0")</f>
        <v>3589.2000000000003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1300</v>
      </c>
      <c r="Y61" s="556">
        <f>IFERROR(IF(X61="",0,CEILING((X61/$H61),1)*$H61),"")</f>
        <v>1306.8000000000002</v>
      </c>
      <c r="Z61" s="36">
        <f>IFERROR(IF(Y61=0,"",ROUNDUP(Y61/H61,0)*0.01898),"")</f>
        <v>2.2965800000000001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1349.351851851852</v>
      </c>
      <c r="BN61" s="64">
        <f>IFERROR(Y61*I61/H61,"0")</f>
        <v>1356.41</v>
      </c>
      <c r="BO61" s="64">
        <f>IFERROR(1/J61*(X61/H61),"0")</f>
        <v>1.880787037037037</v>
      </c>
      <c r="BP61" s="64">
        <f>IFERROR(1/J61*(Y61/H61),"0")</f>
        <v>1.8906250000000002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270</v>
      </c>
      <c r="Y63" s="556">
        <f>IFERROR(IF(X63="",0,CEILING((X63/$H63),1)*$H63),"")</f>
        <v>270</v>
      </c>
      <c r="Z63" s="36">
        <f>IFERROR(IF(Y63=0,"",ROUNDUP(Y63/H63,0)*0.00651),"")</f>
        <v>0.65100000000000002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288</v>
      </c>
      <c r="BN63" s="64">
        <f>IFERROR(Y63*I63/H63,"0")</f>
        <v>288</v>
      </c>
      <c r="BO63" s="64">
        <f>IFERROR(1/J63*(X63/H63),"0")</f>
        <v>0.5494505494505495</v>
      </c>
      <c r="BP63" s="64">
        <f>IFERROR(1/J63*(Y63/H63),"0")</f>
        <v>0.5494505494505495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220.37037037037038</v>
      </c>
      <c r="Y64" s="557">
        <f>IFERROR(Y61/H61,"0")+IFERROR(Y62/H62,"0")+IFERROR(Y63/H63,"0")</f>
        <v>221</v>
      </c>
      <c r="Z64" s="557">
        <f>IFERROR(IF(Z61="",0,Z61),"0")+IFERROR(IF(Z62="",0,Z62),"0")+IFERROR(IF(Z63="",0,Z63),"0")</f>
        <v>2.9475800000000003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1570</v>
      </c>
      <c r="Y65" s="557">
        <f>IFERROR(SUM(Y61:Y63),"0")</f>
        <v>1576.8000000000002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500</v>
      </c>
      <c r="Y115" s="556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61.728395061728399</v>
      </c>
      <c r="Y119" s="557">
        <f>IFERROR(Y115/H115,"0")+IFERROR(Y116/H116,"0")+IFERROR(Y117/H117,"0")+IFERROR(Y118/H118,"0")</f>
        <v>62</v>
      </c>
      <c r="Z119" s="557">
        <f>IFERROR(IF(Z115="",0,Z115),"0")+IFERROR(IF(Z116="",0,Z116),"0")+IFERROR(IF(Z117="",0,Z117),"0")+IFERROR(IF(Z118="",0,Z118),"0")</f>
        <v>1.17676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500</v>
      </c>
      <c r="Y120" s="557">
        <f>IFERROR(SUM(Y115:Y118),"0")</f>
        <v>502.2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150</v>
      </c>
      <c r="Y152" s="556">
        <f t="shared" si="5"/>
        <v>153</v>
      </c>
      <c r="Z152" s="36">
        <f>IFERROR(IF(Y152=0,"",ROUNDUP(Y152/H152,0)*0.01898),"")</f>
        <v>0.32266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159.33333333333334</v>
      </c>
      <c r="BN152" s="64">
        <f t="shared" si="7"/>
        <v>162.52000000000001</v>
      </c>
      <c r="BO152" s="64">
        <f t="shared" si="8"/>
        <v>0.26041666666666669</v>
      </c>
      <c r="BP152" s="64">
        <f t="shared" si="9"/>
        <v>0.265625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16.666666666666668</v>
      </c>
      <c r="Y154" s="557">
        <f>IFERROR(Y148/H148,"0")+IFERROR(Y149/H149,"0")+IFERROR(Y150/H150,"0")+IFERROR(Y151/H151,"0")+IFERROR(Y152/H152,"0")+IFERROR(Y153/H153,"0")</f>
        <v>17</v>
      </c>
      <c r="Z154" s="557">
        <f>IFERROR(IF(Z148="",0,Z148),"0")+IFERROR(IF(Z149="",0,Z149),"0")+IFERROR(IF(Z150="",0,Z150),"0")+IFERROR(IF(Z151="",0,Z151),"0")+IFERROR(IF(Z152="",0,Z152),"0")+IFERROR(IF(Z153="",0,Z153),"0")</f>
        <v>0.32266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150</v>
      </c>
      <c r="Y155" s="557">
        <f>IFERROR(SUM(Y148:Y153),"0")</f>
        <v>153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50</v>
      </c>
      <c r="Y169" s="556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50</v>
      </c>
      <c r="Y182" s="557">
        <f>IFERROR(SUM(Y167:Y180),"0")</f>
        <v>50.400000000000006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150</v>
      </c>
      <c r="Y206" s="556">
        <f t="shared" si="15"/>
        <v>151.20000000000002</v>
      </c>
      <c r="Z206" s="36">
        <f>IFERROR(IF(Y206=0,"",ROUNDUP(Y206/H206,0)*0.00902),"")</f>
        <v>0.25256000000000001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155.27777777777777</v>
      </c>
      <c r="BN206" s="64">
        <f t="shared" si="17"/>
        <v>156.52000000000001</v>
      </c>
      <c r="BO206" s="64">
        <f t="shared" si="18"/>
        <v>0.21043771043771042</v>
      </c>
      <c r="BP206" s="64">
        <f t="shared" si="19"/>
        <v>0.21212121212121213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150</v>
      </c>
      <c r="Y207" s="556">
        <f t="shared" si="15"/>
        <v>151.20000000000002</v>
      </c>
      <c r="Z207" s="36">
        <f>IFERROR(IF(Y207=0,"",ROUNDUP(Y207/H207,0)*0.00902),"")</f>
        <v>0.25256000000000001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155.27777777777777</v>
      </c>
      <c r="BN207" s="64">
        <f t="shared" si="17"/>
        <v>156.52000000000001</v>
      </c>
      <c r="BO207" s="64">
        <f t="shared" si="18"/>
        <v>0.21043771043771042</v>
      </c>
      <c r="BP207" s="64">
        <f t="shared" si="19"/>
        <v>0.21212121212121213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150</v>
      </c>
      <c r="Y208" s="556">
        <f t="shared" si="15"/>
        <v>151.20000000000002</v>
      </c>
      <c r="Z208" s="36">
        <f>IFERROR(IF(Y208=0,"",ROUNDUP(Y208/H208,0)*0.00902),"")</f>
        <v>0.25256000000000001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155.27777777777777</v>
      </c>
      <c r="BN208" s="64">
        <f t="shared" si="17"/>
        <v>156.52000000000001</v>
      </c>
      <c r="BO208" s="64">
        <f t="shared" si="18"/>
        <v>0.21043771043771042</v>
      </c>
      <c r="BP208" s="64">
        <f t="shared" si="19"/>
        <v>0.21212121212121213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83.333333333333329</v>
      </c>
      <c r="Y213" s="557">
        <f>IFERROR(Y205/H205,"0")+IFERROR(Y206/H206,"0")+IFERROR(Y207/H207,"0")+IFERROR(Y208/H208,"0")+IFERROR(Y209/H209,"0")+IFERROR(Y210/H210,"0")+IFERROR(Y211/H211,"0")+IFERROR(Y212/H212,"0")</f>
        <v>84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0.75768000000000002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450</v>
      </c>
      <c r="Y214" s="557">
        <f>IFERROR(SUM(Y205:Y212),"0")</f>
        <v>453.6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300</v>
      </c>
      <c r="Y265" s="556">
        <f>IFERROR(IF(X265="",0,CEILING((X265/$H265),1)*$H265),"")</f>
        <v>302.40000000000003</v>
      </c>
      <c r="Z265" s="36">
        <f>IFERROR(IF(Y265=0,"",ROUNDUP(Y265/H265,0)*0.01898),"")</f>
        <v>0.53144000000000002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311.38888888888891</v>
      </c>
      <c r="BN265" s="64">
        <f>IFERROR(Y265*I265/H265,"0")</f>
        <v>313.88</v>
      </c>
      <c r="BO265" s="64">
        <f>IFERROR(1/J265*(X265/H265),"0")</f>
        <v>0.43402777777777773</v>
      </c>
      <c r="BP265" s="64">
        <f>IFERROR(1/J265*(Y265/H265),"0")</f>
        <v>0.4375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27.777777777777775</v>
      </c>
      <c r="Y268" s="557">
        <f>IFERROR(Y263/H263,"0")+IFERROR(Y264/H264,"0")+IFERROR(Y265/H265,"0")+IFERROR(Y266/H266,"0")+IFERROR(Y267/H267,"0")</f>
        <v>28</v>
      </c>
      <c r="Z268" s="557">
        <f>IFERROR(IF(Z263="",0,Z263),"0")+IFERROR(IF(Z264="",0,Z264),"0")+IFERROR(IF(Z265="",0,Z265),"0")+IFERROR(IF(Z266="",0,Z266),"0")+IFERROR(IF(Z267="",0,Z267),"0")</f>
        <v>0.53144000000000002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300</v>
      </c>
      <c r="Y269" s="557">
        <f>IFERROR(SUM(Y263:Y267),"0")</f>
        <v>302.40000000000003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2400</v>
      </c>
      <c r="Y298" s="556">
        <f t="shared" ref="Y298:Y303" si="31">IFERROR(IF(X298="",0,CEILING((X298/$H298),1)*$H298),"")</f>
        <v>2408.4</v>
      </c>
      <c r="Z298" s="36">
        <f>IFERROR(IF(Y298=0,"",ROUNDUP(Y298/H298,0)*0.01898),"")</f>
        <v>4.2325400000000002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2491.1111111111113</v>
      </c>
      <c r="BN298" s="64">
        <f t="shared" ref="BN298:BN303" si="33">IFERROR(Y298*I298/H298,"0")</f>
        <v>2499.8300000000004</v>
      </c>
      <c r="BO298" s="64">
        <f t="shared" ref="BO298:BO303" si="34">IFERROR(1/J298*(X298/H298),"0")</f>
        <v>3.4722222222222219</v>
      </c>
      <c r="BP298" s="64">
        <f t="shared" ref="BP298:BP303" si="35">IFERROR(1/J298*(Y298/H298),"0")</f>
        <v>3.484375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222.2222222222222</v>
      </c>
      <c r="Y304" s="557">
        <f>IFERROR(Y298/H298,"0")+IFERROR(Y299/H299,"0")+IFERROR(Y300/H300,"0")+IFERROR(Y301/H301,"0")+IFERROR(Y302/H302,"0")+IFERROR(Y303/H303,"0")</f>
        <v>223</v>
      </c>
      <c r="Z304" s="557">
        <f>IFERROR(IF(Z298="",0,Z298),"0")+IFERROR(IF(Z299="",0,Z299),"0")+IFERROR(IF(Z300="",0,Z300),"0")+IFERROR(IF(Z301="",0,Z301),"0")+IFERROR(IF(Z302="",0,Z302),"0")+IFERROR(IF(Z303="",0,Z303),"0")</f>
        <v>4.2325400000000002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2400</v>
      </c>
      <c r="Y305" s="557">
        <f>IFERROR(SUM(Y298:Y303),"0")</f>
        <v>2408.4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400</v>
      </c>
      <c r="Y307" s="556">
        <f t="shared" ref="Y307:Y312" si="36">IFERROR(IF(X307="",0,CEILING((X307/$H307),1)*$H307),"")</f>
        <v>403.20000000000005</v>
      </c>
      <c r="Z307" s="36">
        <f>IFERROR(IF(Y307=0,"",ROUNDUP(Y307/H307,0)*0.00902),"")</f>
        <v>0.86592000000000002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423.8095238095238</v>
      </c>
      <c r="BN307" s="64">
        <f t="shared" ref="BN307:BN312" si="38">IFERROR(Y307*I307/H307,"0")</f>
        <v>427.20000000000005</v>
      </c>
      <c r="BO307" s="64">
        <f t="shared" ref="BO307:BO312" si="39">IFERROR(1/J307*(X307/H307),"0")</f>
        <v>0.72150072150072153</v>
      </c>
      <c r="BP307" s="64">
        <f t="shared" ref="BP307:BP312" si="40">IFERROR(1/J307*(Y307/H307),"0")</f>
        <v>0.72727272727272729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400</v>
      </c>
      <c r="Y308" s="556">
        <f t="shared" si="36"/>
        <v>403.20000000000005</v>
      </c>
      <c r="Z308" s="36">
        <f>IFERROR(IF(Y308=0,"",ROUNDUP(Y308/H308,0)*0.00902),"")</f>
        <v>0.86592000000000002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423.8095238095238</v>
      </c>
      <c r="BN308" s="64">
        <f t="shared" si="38"/>
        <v>427.20000000000005</v>
      </c>
      <c r="BO308" s="64">
        <f t="shared" si="39"/>
        <v>0.72150072150072153</v>
      </c>
      <c r="BP308" s="64">
        <f t="shared" si="40"/>
        <v>0.72727272727272729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42</v>
      </c>
      <c r="Y310" s="556">
        <f t="shared" si="36"/>
        <v>42</v>
      </c>
      <c r="Z310" s="36">
        <f>IFERROR(IF(Y310=0,"",ROUNDUP(Y310/H310,0)*0.00502),"")</f>
        <v>0.1004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44.599999999999994</v>
      </c>
      <c r="BN310" s="64">
        <f t="shared" si="38"/>
        <v>44.599999999999994</v>
      </c>
      <c r="BO310" s="64">
        <f t="shared" si="39"/>
        <v>8.5470085470085472E-2</v>
      </c>
      <c r="BP310" s="64">
        <f t="shared" si="40"/>
        <v>8.5470085470085472E-2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210.47619047619048</v>
      </c>
      <c r="Y313" s="557">
        <f>IFERROR(Y307/H307,"0")+IFERROR(Y308/H308,"0")+IFERROR(Y309/H309,"0")+IFERROR(Y310/H310,"0")+IFERROR(Y311/H311,"0")+IFERROR(Y312/H312,"0")</f>
        <v>212</v>
      </c>
      <c r="Z313" s="557">
        <f>IFERROR(IF(Z307="",0,Z307),"0")+IFERROR(IF(Z308="",0,Z308),"0")+IFERROR(IF(Z309="",0,Z309),"0")+IFERROR(IF(Z310="",0,Z310),"0")+IFERROR(IF(Z311="",0,Z311),"0")+IFERROR(IF(Z312="",0,Z312),"0")</f>
        <v>1.8322400000000001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842</v>
      </c>
      <c r="Y314" s="557">
        <f>IFERROR(SUM(Y307:Y312),"0")</f>
        <v>848.40000000000009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300</v>
      </c>
      <c r="Y324" s="556">
        <f>IFERROR(IF(X324="",0,CEILING((X324/$H324),1)*$H324),"")</f>
        <v>304.2</v>
      </c>
      <c r="Z324" s="36">
        <f>IFERROR(IF(Y324=0,"",ROUNDUP(Y324/H324,0)*0.01898),"")</f>
        <v>0.74021999999999999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319.00000000000006</v>
      </c>
      <c r="BN324" s="64">
        <f>IFERROR(Y324*I324/H324,"0")</f>
        <v>323.46600000000001</v>
      </c>
      <c r="BO324" s="64">
        <f>IFERROR(1/J324*(X324/H324),"0")</f>
        <v>0.60096153846153844</v>
      </c>
      <c r="BP324" s="64">
        <f>IFERROR(1/J324*(Y324/H324),"0")</f>
        <v>0.609375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70</v>
      </c>
      <c r="Y325" s="556">
        <f>IFERROR(IF(X325="",0,CEILING((X325/$H325),1)*$H325),"")</f>
        <v>75.600000000000009</v>
      </c>
      <c r="Z325" s="36">
        <f>IFERROR(IF(Y325=0,"",ROUNDUP(Y325/H325,0)*0.01898),"")</f>
        <v>0.17082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74.116666666666674</v>
      </c>
      <c r="BN325" s="64">
        <f>IFERROR(Y325*I325/H325,"0")</f>
        <v>80.046000000000006</v>
      </c>
      <c r="BO325" s="64">
        <f>IFERROR(1/J325*(X325/H325),"0")</f>
        <v>0.13020833333333331</v>
      </c>
      <c r="BP325" s="64">
        <f>IFERROR(1/J325*(Y325/H325),"0")</f>
        <v>0.140625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46.794871794871796</v>
      </c>
      <c r="Y326" s="557">
        <f>IFERROR(Y323/H323,"0")+IFERROR(Y324/H324,"0")+IFERROR(Y325/H325,"0")</f>
        <v>48</v>
      </c>
      <c r="Z326" s="557">
        <f>IFERROR(IF(Z323="",0,Z323),"0")+IFERROR(IF(Z324="",0,Z324),"0")+IFERROR(IF(Z325="",0,Z325),"0")</f>
        <v>0.91103999999999996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370</v>
      </c>
      <c r="Y327" s="557">
        <f>IFERROR(SUM(Y323:Y325),"0")</f>
        <v>379.8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70</v>
      </c>
      <c r="Y344" s="556">
        <f>IFERROR(IF(X344="",0,CEILING((X344/$H344),1)*$H344),"")</f>
        <v>71.400000000000006</v>
      </c>
      <c r="Z344" s="36">
        <f>IFERROR(IF(Y344=0,"",ROUNDUP(Y344/H344,0)*0.00651),"")</f>
        <v>0.22134000000000001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78.399999999999991</v>
      </c>
      <c r="BN344" s="64">
        <f>IFERROR(Y344*I344/H344,"0")</f>
        <v>79.968000000000004</v>
      </c>
      <c r="BO344" s="64">
        <f>IFERROR(1/J344*(X344/H344),"0")</f>
        <v>0.18315018315018314</v>
      </c>
      <c r="BP344" s="64">
        <f>IFERROR(1/J344*(Y344/H344),"0")</f>
        <v>0.18681318681318682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33.333333333333329</v>
      </c>
      <c r="Y346" s="557">
        <f>IFERROR(Y343/H343,"0")+IFERROR(Y344/H344,"0")+IFERROR(Y345/H345,"0")</f>
        <v>34</v>
      </c>
      <c r="Z346" s="557">
        <f>IFERROR(IF(Z343="",0,Z343),"0")+IFERROR(IF(Z344="",0,Z344),"0")+IFERROR(IF(Z345="",0,Z345),"0")</f>
        <v>0.22134000000000001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70</v>
      </c>
      <c r="Y347" s="557">
        <f>IFERROR(SUM(Y343:Y345),"0")</f>
        <v>71.400000000000006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2500</v>
      </c>
      <c r="Y352" s="556">
        <f t="shared" si="41"/>
        <v>2505</v>
      </c>
      <c r="Z352" s="36">
        <f>IFERROR(IF(Y352=0,"",ROUNDUP(Y352/H352,0)*0.02175),"")</f>
        <v>3.6322499999999995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2578.3333333333335</v>
      </c>
      <c r="BN352" s="64">
        <f t="shared" si="43"/>
        <v>2583.4899999999998</v>
      </c>
      <c r="BO352" s="64">
        <f t="shared" si="44"/>
        <v>3.4722222222222219</v>
      </c>
      <c r="BP352" s="64">
        <f t="shared" si="45"/>
        <v>3.4791666666666665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166.66666666666666</v>
      </c>
      <c r="Y358" s="557">
        <f>IFERROR(Y351/H351,"0")+IFERROR(Y352/H352,"0")+IFERROR(Y353/H353,"0")+IFERROR(Y354/H354,"0")+IFERROR(Y355/H355,"0")+IFERROR(Y356/H356,"0")+IFERROR(Y357/H357,"0")</f>
        <v>167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3.6322499999999995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2500</v>
      </c>
      <c r="Y359" s="557">
        <f>IFERROR(SUM(Y351:Y357),"0")</f>
        <v>2505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2970</v>
      </c>
      <c r="Y361" s="556">
        <f>IFERROR(IF(X361="",0,CEILING((X361/$H361),1)*$H361),"")</f>
        <v>2970</v>
      </c>
      <c r="Z361" s="36">
        <f>IFERROR(IF(Y361=0,"",ROUNDUP(Y361/H361,0)*0.02175),"")</f>
        <v>4.3064999999999998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3063.06</v>
      </c>
      <c r="BN361" s="64">
        <f>IFERROR(Y361*I361/H361,"0")</f>
        <v>3063.06</v>
      </c>
      <c r="BO361" s="64">
        <f>IFERROR(1/J361*(X361/H361),"0")</f>
        <v>4.125</v>
      </c>
      <c r="BP361" s="64">
        <f>IFERROR(1/J361*(Y361/H361),"0")</f>
        <v>4.125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198</v>
      </c>
      <c r="Y363" s="557">
        <f>IFERROR(Y361/H361,"0")+IFERROR(Y362/H362,"0")</f>
        <v>198</v>
      </c>
      <c r="Z363" s="557">
        <f>IFERROR(IF(Z361="",0,Z361),"0")+IFERROR(IF(Z362="",0,Z362),"0")</f>
        <v>4.3064999999999998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2970</v>
      </c>
      <c r="Y364" s="557">
        <f>IFERROR(SUM(Y361:Y362),"0")</f>
        <v>2970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300</v>
      </c>
      <c r="Y366" s="55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316.66666666666669</v>
      </c>
      <c r="BN366" s="64">
        <f>IFERROR(Y366*I366/H366,"0")</f>
        <v>323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33.333333333333336</v>
      </c>
      <c r="Y368" s="557">
        <f>IFERROR(Y366/H366,"0")+IFERROR(Y367/H367,"0")</f>
        <v>34</v>
      </c>
      <c r="Z368" s="557">
        <f>IFERROR(IF(Z366="",0,Z366),"0")+IFERROR(IF(Z367="",0,Z367),"0")</f>
        <v>0.64532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300</v>
      </c>
      <c r="Y369" s="557">
        <f>IFERROR(SUM(Y366:Y367),"0")</f>
        <v>306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550</v>
      </c>
      <c r="Y431" s="556">
        <f t="shared" si="52"/>
        <v>554.4</v>
      </c>
      <c r="Z431" s="36">
        <f t="shared" si="53"/>
        <v>1.2558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586.45833333333326</v>
      </c>
      <c r="BN431" s="64">
        <f t="shared" si="55"/>
        <v>591.15</v>
      </c>
      <c r="BO431" s="64">
        <f t="shared" si="56"/>
        <v>1.0016025641025641</v>
      </c>
      <c r="BP431" s="64">
        <f t="shared" si="57"/>
        <v>1.0096153846153846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550</v>
      </c>
      <c r="Y436" s="556">
        <f t="shared" si="52"/>
        <v>554.4</v>
      </c>
      <c r="Z436" s="36">
        <f t="shared" si="53"/>
        <v>1.2558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586.45833333333326</v>
      </c>
      <c r="BN436" s="64">
        <f t="shared" si="55"/>
        <v>591.15</v>
      </c>
      <c r="BO436" s="64">
        <f t="shared" si="56"/>
        <v>1.0016025641025641</v>
      </c>
      <c r="BP436" s="64">
        <f t="shared" si="57"/>
        <v>1.0096153846153846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208.33333333333331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209.99999999999997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2.5116000000000001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1100</v>
      </c>
      <c r="Y443" s="557">
        <f>IFERROR(SUM(Y430:Y441),"0")</f>
        <v>1108.8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150</v>
      </c>
      <c r="Y451" s="556">
        <f t="shared" ref="Y451:Y456" si="58">IFERROR(IF(X451="",0,CEILING((X451/$H451),1)*$H451),"")</f>
        <v>153.12</v>
      </c>
      <c r="Z451" s="36">
        <f>IFERROR(IF(Y451=0,"",ROUNDUP(Y451/H451,0)*0.01196),"")</f>
        <v>0.34683999999999998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159.94318181818181</v>
      </c>
      <c r="BN451" s="64">
        <f t="shared" ref="BN451:BN456" si="60">IFERROR(Y451*I451/H451,"0")</f>
        <v>163.26999999999998</v>
      </c>
      <c r="BO451" s="64">
        <f t="shared" ref="BO451:BO456" si="61">IFERROR(1/J451*(X451/H451),"0")</f>
        <v>0.27316433566433568</v>
      </c>
      <c r="BP451" s="64">
        <f t="shared" ref="BP451:BP456" si="62">IFERROR(1/J451*(Y451/H451),"0")</f>
        <v>0.27884615384615385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200</v>
      </c>
      <c r="Y453" s="556">
        <f t="shared" si="58"/>
        <v>200.64000000000001</v>
      </c>
      <c r="Z453" s="36">
        <f>IFERROR(IF(Y453=0,"",ROUNDUP(Y453/H453,0)*0.01196),"")</f>
        <v>0.45448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213.25757575757575</v>
      </c>
      <c r="BN453" s="64">
        <f t="shared" si="60"/>
        <v>213.94</v>
      </c>
      <c r="BO453" s="64">
        <f t="shared" si="61"/>
        <v>0.36421911421911418</v>
      </c>
      <c r="BP453" s="64">
        <f t="shared" si="62"/>
        <v>0.36538461538461542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66.287878787878782</v>
      </c>
      <c r="Y457" s="557">
        <f>IFERROR(Y451/H451,"0")+IFERROR(Y452/H452,"0")+IFERROR(Y453/H453,"0")+IFERROR(Y454/H454,"0")+IFERROR(Y455/H455,"0")+IFERROR(Y456/H456,"0")</f>
        <v>67</v>
      </c>
      <c r="Z457" s="557">
        <f>IFERROR(IF(Z451="",0,Z451),"0")+IFERROR(IF(Z452="",0,Z452),"0")+IFERROR(IF(Z453="",0,Z453),"0")+IFERROR(IF(Z454="",0,Z454),"0")+IFERROR(IF(Z455="",0,Z455),"0")+IFERROR(IF(Z456="",0,Z456),"0")</f>
        <v>0.80132000000000003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350</v>
      </c>
      <c r="Y458" s="557">
        <f>IFERROR(SUM(Y451:Y456),"0")</f>
        <v>353.76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600</v>
      </c>
      <c r="Y478" s="556">
        <f>IFERROR(IF(X478="",0,CEILING((X478/$H478),1)*$H478),"")</f>
        <v>600.6</v>
      </c>
      <c r="Z478" s="36">
        <f>IFERROR(IF(Y478=0,"",ROUNDUP(Y478/H478,0)*0.00902),"")</f>
        <v>1.28986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635.71428571428567</v>
      </c>
      <c r="BN478" s="64">
        <f>IFERROR(Y478*I478/H478,"0")</f>
        <v>636.35</v>
      </c>
      <c r="BO478" s="64">
        <f>IFERROR(1/J478*(X478/H478),"0")</f>
        <v>1.0822510822510822</v>
      </c>
      <c r="BP478" s="64">
        <f>IFERROR(1/J478*(Y478/H478),"0")</f>
        <v>1.0833333333333333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142.85714285714286</v>
      </c>
      <c r="Y480" s="557">
        <f>IFERROR(Y478/H478,"0")+IFERROR(Y479/H479,"0")</f>
        <v>143</v>
      </c>
      <c r="Z480" s="557">
        <f>IFERROR(IF(Z478="",0,Z478),"0")+IFERROR(IF(Z479="",0,Z479),"0")</f>
        <v>1.28986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600</v>
      </c>
      <c r="Y481" s="557">
        <f>IFERROR(SUM(Y478:Y479),"0")</f>
        <v>600.6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18222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18299.759999999995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18997.817415424081</v>
      </c>
      <c r="Y497" s="557">
        <f>IFERROR(SUM(BN22:BN493),"0")</f>
        <v>19079.566000000006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29</v>
      </c>
      <c r="Y498" s="38">
        <f>ROUNDUP(SUM(BP22:BP493),0)</f>
        <v>29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19722.817415424081</v>
      </c>
      <c r="Y499" s="557">
        <f>GrossWeightTotalR+PalletQtyTotalR*25</f>
        <v>19804.566000000006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2251.2370715704046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2262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33.067130000000006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120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5166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502.2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153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453.6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302.40000000000003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3636.6</v>
      </c>
      <c r="R506" s="46">
        <f>IFERROR(Y343*1,"0")+IFERROR(Y344*1,"0")+IFERROR(Y345*1,"0")</f>
        <v>71.400000000000006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5781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1462.5600000000002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600.6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2026-01-06T07:56:47Z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