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07B601D-A8D4-4333-B033-65A5500A4C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503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Y406" i="1" s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Y376" i="1" s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Y357" i="1" s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Y338" i="1" s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Y282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Y259" i="1" s="1"/>
  <c r="P253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X243" i="1"/>
  <c r="X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Y202" i="1" s="1"/>
  <c r="P199" i="1"/>
  <c r="X197" i="1"/>
  <c r="X196" i="1"/>
  <c r="BO195" i="1"/>
  <c r="BM195" i="1"/>
  <c r="Y195" i="1"/>
  <c r="BP195" i="1" s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1" i="1" s="1"/>
  <c r="P166" i="1"/>
  <c r="X164" i="1"/>
  <c r="X163" i="1"/>
  <c r="BO162" i="1"/>
  <c r="BM162" i="1"/>
  <c r="Y162" i="1"/>
  <c r="I503" i="1" s="1"/>
  <c r="P162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503" i="1" s="1"/>
  <c r="P142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1" i="1"/>
  <c r="Y43" i="1"/>
  <c r="Y58" i="1"/>
  <c r="Y64" i="1"/>
  <c r="Y68" i="1"/>
  <c r="Y76" i="1"/>
  <c r="Y80" i="1"/>
  <c r="Y89" i="1"/>
  <c r="Y95" i="1"/>
  <c r="Y104" i="1"/>
  <c r="Y112" i="1"/>
  <c r="Y118" i="1"/>
  <c r="Y129" i="1"/>
  <c r="Y133" i="1"/>
  <c r="Y139" i="1"/>
  <c r="Y144" i="1"/>
  <c r="Y154" i="1"/>
  <c r="Y158" i="1"/>
  <c r="Y164" i="1"/>
  <c r="Y180" i="1"/>
  <c r="Y186" i="1"/>
  <c r="Y197" i="1"/>
  <c r="Y201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3" i="1"/>
  <c r="Y242" i="1"/>
  <c r="BP233" i="1"/>
  <c r="BN233" i="1"/>
  <c r="Z233" i="1"/>
  <c r="BP237" i="1"/>
  <c r="BN237" i="1"/>
  <c r="Z237" i="1"/>
  <c r="H9" i="1"/>
  <c r="B503" i="1"/>
  <c r="X494" i="1"/>
  <c r="X495" i="1"/>
  <c r="Z23" i="1"/>
  <c r="Z24" i="1" s="1"/>
  <c r="BN23" i="1"/>
  <c r="Y494" i="1" s="1"/>
  <c r="Y24" i="1"/>
  <c r="X493" i="1"/>
  <c r="Z27" i="1"/>
  <c r="BN27" i="1"/>
  <c r="BP27" i="1"/>
  <c r="Y495" i="1" s="1"/>
  <c r="Z29" i="1"/>
  <c r="BN29" i="1"/>
  <c r="C503" i="1"/>
  <c r="Z41" i="1"/>
  <c r="Z43" i="1" s="1"/>
  <c r="BN41" i="1"/>
  <c r="Y44" i="1"/>
  <c r="D503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8" i="1" s="1"/>
  <c r="BN66" i="1"/>
  <c r="BP66" i="1"/>
  <c r="Z72" i="1"/>
  <c r="Z75" i="1" s="1"/>
  <c r="BN72" i="1"/>
  <c r="Z74" i="1"/>
  <c r="BN74" i="1"/>
  <c r="Z78" i="1"/>
  <c r="Z80" i="1" s="1"/>
  <c r="BN78" i="1"/>
  <c r="BP78" i="1"/>
  <c r="E503" i="1"/>
  <c r="Z85" i="1"/>
  <c r="Z88" i="1" s="1"/>
  <c r="BN85" i="1"/>
  <c r="Z87" i="1"/>
  <c r="BN87" i="1"/>
  <c r="Y88" i="1"/>
  <c r="Z91" i="1"/>
  <c r="BN91" i="1"/>
  <c r="BP91" i="1"/>
  <c r="Z93" i="1"/>
  <c r="BN93" i="1"/>
  <c r="F503" i="1"/>
  <c r="Z100" i="1"/>
  <c r="Z104" i="1" s="1"/>
  <c r="BN100" i="1"/>
  <c r="Z102" i="1"/>
  <c r="BN102" i="1"/>
  <c r="Y105" i="1"/>
  <c r="Z108" i="1"/>
  <c r="Z111" i="1" s="1"/>
  <c r="BN108" i="1"/>
  <c r="Z110" i="1"/>
  <c r="BN110" i="1"/>
  <c r="Z114" i="1"/>
  <c r="Z118" i="1" s="1"/>
  <c r="BN114" i="1"/>
  <c r="BP114" i="1"/>
  <c r="Z116" i="1"/>
  <c r="BN116" i="1"/>
  <c r="G503" i="1"/>
  <c r="Z127" i="1"/>
  <c r="Z128" i="1" s="1"/>
  <c r="BN127" i="1"/>
  <c r="Y128" i="1"/>
  <c r="Z131" i="1"/>
  <c r="Z133" i="1" s="1"/>
  <c r="BN131" i="1"/>
  <c r="BP131" i="1"/>
  <c r="Z137" i="1"/>
  <c r="Z138" i="1" s="1"/>
  <c r="BN137" i="1"/>
  <c r="Z142" i="1"/>
  <c r="Z144" i="1" s="1"/>
  <c r="BN142" i="1"/>
  <c r="BP142" i="1"/>
  <c r="Y145" i="1"/>
  <c r="Z148" i="1"/>
  <c r="Z153" i="1" s="1"/>
  <c r="BN148" i="1"/>
  <c r="Z150" i="1"/>
  <c r="BN150" i="1"/>
  <c r="Z152" i="1"/>
  <c r="BN152" i="1"/>
  <c r="Z156" i="1"/>
  <c r="Z157" i="1" s="1"/>
  <c r="BN156" i="1"/>
  <c r="BP156" i="1"/>
  <c r="Z162" i="1"/>
  <c r="Z163" i="1" s="1"/>
  <c r="BN162" i="1"/>
  <c r="BP162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4" i="1"/>
  <c r="Z186" i="1" s="1"/>
  <c r="BN184" i="1"/>
  <c r="J503" i="1"/>
  <c r="Z195" i="1"/>
  <c r="Z196" i="1" s="1"/>
  <c r="BN195" i="1"/>
  <c r="Y196" i="1"/>
  <c r="Z199" i="1"/>
  <c r="Z201" i="1" s="1"/>
  <c r="BN199" i="1"/>
  <c r="BP199" i="1"/>
  <c r="Y213" i="1"/>
  <c r="Z205" i="1"/>
  <c r="Z212" i="1" s="1"/>
  <c r="BN205" i="1"/>
  <c r="Z207" i="1"/>
  <c r="BN207" i="1"/>
  <c r="Z209" i="1"/>
  <c r="BN209" i="1"/>
  <c r="Z211" i="1"/>
  <c r="BN211" i="1"/>
  <c r="Y212" i="1"/>
  <c r="Y225" i="1"/>
  <c r="BP218" i="1"/>
  <c r="BN218" i="1"/>
  <c r="Z218" i="1"/>
  <c r="BP222" i="1"/>
  <c r="BN222" i="1"/>
  <c r="Z222" i="1"/>
  <c r="Y229" i="1"/>
  <c r="BP235" i="1"/>
  <c r="BN235" i="1"/>
  <c r="Z235" i="1"/>
  <c r="Z239" i="1"/>
  <c r="BN239" i="1"/>
  <c r="Z241" i="1"/>
  <c r="BN241" i="1"/>
  <c r="Z245" i="1"/>
  <c r="Z246" i="1" s="1"/>
  <c r="BN245" i="1"/>
  <c r="BP245" i="1"/>
  <c r="Y246" i="1"/>
  <c r="Z249" i="1"/>
  <c r="Z250" i="1" s="1"/>
  <c r="BN249" i="1"/>
  <c r="BP249" i="1"/>
  <c r="Y250" i="1"/>
  <c r="Z253" i="1"/>
  <c r="Z258" i="1" s="1"/>
  <c r="BN253" i="1"/>
  <c r="BP253" i="1"/>
  <c r="Z255" i="1"/>
  <c r="BN255" i="1"/>
  <c r="Z257" i="1"/>
  <c r="BN257" i="1"/>
  <c r="Y258" i="1"/>
  <c r="Z262" i="1"/>
  <c r="BN262" i="1"/>
  <c r="Z264" i="1"/>
  <c r="BN264" i="1"/>
  <c r="BP273" i="1"/>
  <c r="BN273" i="1"/>
  <c r="Z273" i="1"/>
  <c r="Y283" i="1"/>
  <c r="BP287" i="1"/>
  <c r="BN287" i="1"/>
  <c r="Z287" i="1"/>
  <c r="Z288" i="1" s="1"/>
  <c r="Y289" i="1"/>
  <c r="Y294" i="1"/>
  <c r="BP291" i="1"/>
  <c r="BN291" i="1"/>
  <c r="Z291" i="1"/>
  <c r="Z293" i="1" s="1"/>
  <c r="Q5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4" i="1"/>
  <c r="BP341" i="1"/>
  <c r="BN341" i="1"/>
  <c r="Z341" i="1"/>
  <c r="Z344" i="1" s="1"/>
  <c r="BP351" i="1"/>
  <c r="BN351" i="1"/>
  <c r="Z351" i="1"/>
  <c r="BP355" i="1"/>
  <c r="BN355" i="1"/>
  <c r="Z355" i="1"/>
  <c r="Y362" i="1"/>
  <c r="BP359" i="1"/>
  <c r="BN359" i="1"/>
  <c r="Z359" i="1"/>
  <c r="Z361" i="1" s="1"/>
  <c r="Y366" i="1"/>
  <c r="BP380" i="1"/>
  <c r="BN380" i="1"/>
  <c r="Z380" i="1"/>
  <c r="Z381" i="1" s="1"/>
  <c r="Y382" i="1"/>
  <c r="Y387" i="1"/>
  <c r="BP384" i="1"/>
  <c r="BN384" i="1"/>
  <c r="Z384" i="1"/>
  <c r="BP394" i="1"/>
  <c r="BN394" i="1"/>
  <c r="Z394" i="1"/>
  <c r="BP398" i="1"/>
  <c r="BN398" i="1"/>
  <c r="Z398" i="1"/>
  <c r="BP415" i="1"/>
  <c r="BN415" i="1"/>
  <c r="Z415" i="1"/>
  <c r="L503" i="1"/>
  <c r="Y267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Z302" i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BP330" i="1"/>
  <c r="BN330" i="1"/>
  <c r="Z330" i="1"/>
  <c r="Y332" i="1"/>
  <c r="Y337" i="1"/>
  <c r="BP334" i="1"/>
  <c r="BN334" i="1"/>
  <c r="Z334" i="1"/>
  <c r="Z337" i="1" s="1"/>
  <c r="BP343" i="1"/>
  <c r="BN343" i="1"/>
  <c r="Z343" i="1"/>
  <c r="Y345" i="1"/>
  <c r="Y356" i="1"/>
  <c r="BP349" i="1"/>
  <c r="BN349" i="1"/>
  <c r="Z349" i="1"/>
  <c r="S503" i="1"/>
  <c r="BP353" i="1"/>
  <c r="BN353" i="1"/>
  <c r="Z353" i="1"/>
  <c r="BP365" i="1"/>
  <c r="BN365" i="1"/>
  <c r="Z365" i="1"/>
  <c r="Z366" i="1" s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Z418" i="1" s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Y447" i="1"/>
  <c r="BP451" i="1"/>
  <c r="BN451" i="1"/>
  <c r="Z451" i="1"/>
  <c r="Y455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P503" i="1"/>
  <c r="Y288" i="1"/>
  <c r="Y303" i="1"/>
  <c r="V503" i="1"/>
  <c r="Y412" i="1"/>
  <c r="Y419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BP453" i="1"/>
  <c r="BN453" i="1"/>
  <c r="Z453" i="1"/>
  <c r="Y468" i="1"/>
  <c r="BP467" i="1"/>
  <c r="BN467" i="1"/>
  <c r="Z467" i="1"/>
  <c r="Y469" i="1"/>
  <c r="Y474" i="1"/>
  <c r="BP471" i="1"/>
  <c r="BN471" i="1"/>
  <c r="Z471" i="1"/>
  <c r="Z473" i="1" s="1"/>
  <c r="Y486" i="1"/>
  <c r="Y503" i="1"/>
  <c r="Y440" i="1"/>
  <c r="Y496" i="1" l="1"/>
  <c r="Z356" i="1"/>
  <c r="Z267" i="1"/>
  <c r="Y493" i="1"/>
  <c r="Z440" i="1"/>
  <c r="Z455" i="1"/>
  <c r="Z446" i="1"/>
  <c r="Z401" i="1"/>
  <c r="Z318" i="1"/>
  <c r="Z387" i="1"/>
  <c r="Z180" i="1"/>
  <c r="Z95" i="1"/>
  <c r="Z31" i="1"/>
  <c r="Z498" i="1" s="1"/>
  <c r="Y497" i="1"/>
  <c r="X496" i="1"/>
  <c r="Z242" i="1"/>
</calcChain>
</file>

<file path=xl/sharedStrings.xml><?xml version="1.0" encoding="utf-8"?>
<sst xmlns="http://schemas.openxmlformats.org/spreadsheetml/2006/main" count="2302" uniqueCount="773">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</sst>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149</v>
      </c>
      <c r="Y91" s="550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158.08716049382716</v>
      </c>
      <c r="BN91" s="64">
        <f>IFERROR(Y91*I91/H91,"0")</f>
        <v>163.286</v>
      </c>
      <c r="BO91" s="64">
        <f>IFERROR(1/J91*(X91/H91),"0")</f>
        <v>0.28742283950617287</v>
      </c>
      <c r="BP91" s="64">
        <f>IFERROR(1/J91*(Y91/H91),"0")</f>
        <v>0.296875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18.395061728395063</v>
      </c>
      <c r="Y95" s="551">
        <f>IFERROR(Y91/H91,"0")+IFERROR(Y92/H92,"0")+IFERROR(Y93/H93,"0")+IFERROR(Y94/H94,"0")</f>
        <v>19</v>
      </c>
      <c r="Z95" s="551">
        <f>IFERROR(IF(Z91="",0,Z91),"0")+IFERROR(IF(Z92="",0,Z92),"0")+IFERROR(IF(Z93="",0,Z93),"0")+IFERROR(IF(Z94="",0,Z94),"0")</f>
        <v>0.36062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149</v>
      </c>
      <c r="Y96" s="551">
        <f>IFERROR(SUM(Y91:Y94),"0")</f>
        <v>153.9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150</v>
      </c>
      <c r="Y114" s="550">
        <f>IFERROR(IF(X114="",0,CEILING((X114/$H114),1)*$H114),"")</f>
        <v>153.9</v>
      </c>
      <c r="Z114" s="36">
        <f>IFERROR(IF(Y114=0,"",ROUNDUP(Y114/H114,0)*0.01898),"")</f>
        <v>0.36062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159.03703703703701</v>
      </c>
      <c r="BN114" s="64">
        <f>IFERROR(Y114*I114/H114,"0")</f>
        <v>163.172</v>
      </c>
      <c r="BO114" s="64">
        <f>IFERROR(1/J114*(X114/H114),"0")</f>
        <v>0.28935185185185186</v>
      </c>
      <c r="BP114" s="64">
        <f>IFERROR(1/J114*(Y114/H114),"0")</f>
        <v>0.296875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18.518518518518519</v>
      </c>
      <c r="Y118" s="551">
        <f>IFERROR(Y114/H114,"0")+IFERROR(Y115/H115,"0")+IFERROR(Y116/H116,"0")+IFERROR(Y117/H117,"0")</f>
        <v>19</v>
      </c>
      <c r="Z118" s="551">
        <f>IFERROR(IF(Z114="",0,Z114),"0")+IFERROR(IF(Z115="",0,Z115),"0")+IFERROR(IF(Z116="",0,Z116),"0")+IFERROR(IF(Z117="",0,Z117),"0")</f>
        <v>0.36062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150</v>
      </c>
      <c r="Y119" s="551">
        <f>IFERROR(SUM(Y114:Y117),"0")</f>
        <v>153.9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125</v>
      </c>
      <c r="Y220" s="550">
        <f t="shared" si="20"/>
        <v>127.19999999999999</v>
      </c>
      <c r="Z220" s="36">
        <f t="shared" si="25"/>
        <v>0.34503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138.125</v>
      </c>
      <c r="BN220" s="64">
        <f t="shared" si="22"/>
        <v>140.55599999999998</v>
      </c>
      <c r="BO220" s="64">
        <f t="shared" si="23"/>
        <v>0.28617216117216121</v>
      </c>
      <c r="BP220" s="64">
        <f t="shared" si="24"/>
        <v>0.29120879120879123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115</v>
      </c>
      <c r="Y221" s="550">
        <f t="shared" si="20"/>
        <v>115.19999999999999</v>
      </c>
      <c r="Z221" s="36">
        <f t="shared" si="25"/>
        <v>0.31247999999999998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127.07500000000002</v>
      </c>
      <c r="BN221" s="64">
        <f t="shared" si="22"/>
        <v>127.29600000000001</v>
      </c>
      <c r="BO221" s="64">
        <f t="shared" si="23"/>
        <v>0.26327838827838834</v>
      </c>
      <c r="BP221" s="64">
        <f t="shared" si="24"/>
        <v>0.26373626373626374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100</v>
      </c>
      <c r="Y224" s="551">
        <f>IFERROR(Y215/H215,"0")+IFERROR(Y216/H216,"0")+IFERROR(Y217/H217,"0")+IFERROR(Y218/H218,"0")+IFERROR(Y219/H219,"0")+IFERROR(Y220/H220,"0")+IFERROR(Y221/H221,"0")+IFERROR(Y222/H222,"0")+IFERROR(Y223/H223,"0")</f>
        <v>101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0.65751000000000004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240</v>
      </c>
      <c r="Y225" s="551">
        <f>IFERROR(SUM(Y215:Y223),"0")</f>
        <v>242.39999999999998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57</v>
      </c>
      <c r="Y280" s="550">
        <f>IFERROR(IF(X280="",0,CEILING((X280/$H280),1)*$H280),"")</f>
        <v>57.599999999999994</v>
      </c>
      <c r="Z280" s="36">
        <f>IFERROR(IF(Y280=0,"",ROUNDUP(Y280/H280,0)*0.00651),"")</f>
        <v>0.15623999999999999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62.985000000000007</v>
      </c>
      <c r="BN280" s="64">
        <f>IFERROR(Y280*I280/H280,"0")</f>
        <v>63.648000000000003</v>
      </c>
      <c r="BO280" s="64">
        <f>IFERROR(1/J280*(X280/H280),"0")</f>
        <v>0.1304945054945055</v>
      </c>
      <c r="BP280" s="64">
        <f>IFERROR(1/J280*(Y280/H280),"0")</f>
        <v>0.13186813186813187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67</v>
      </c>
      <c r="Y281" s="550">
        <f>IFERROR(IF(X281="",0,CEILING((X281/$H281),1)*$H281),"")</f>
        <v>67.2</v>
      </c>
      <c r="Z281" s="36">
        <f>IFERROR(IF(Y281=0,"",ROUNDUP(Y281/H281,0)*0.00651),"")</f>
        <v>0.18228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72.025000000000006</v>
      </c>
      <c r="BN281" s="64">
        <f>IFERROR(Y281*I281/H281,"0")</f>
        <v>72.240000000000009</v>
      </c>
      <c r="BO281" s="64">
        <f>IFERROR(1/J281*(X281/H281),"0")</f>
        <v>0.1533882783882784</v>
      </c>
      <c r="BP281" s="64">
        <f>IFERROR(1/J281*(Y281/H281),"0")</f>
        <v>0.15384615384615388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51.666666666666671</v>
      </c>
      <c r="Y282" s="551">
        <f>IFERROR(Y279/H279,"0")+IFERROR(Y280/H280,"0")+IFERROR(Y281/H281,"0")</f>
        <v>52</v>
      </c>
      <c r="Z282" s="551">
        <f>IFERROR(IF(Z279="",0,Z279),"0")+IFERROR(IF(Z280="",0,Z280),"0")+IFERROR(IF(Z281="",0,Z281),"0")</f>
        <v>0.33851999999999999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124</v>
      </c>
      <c r="Y283" s="551">
        <f>IFERROR(SUM(Y279:Y281),"0")</f>
        <v>124.8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97</v>
      </c>
      <c r="Y322" s="550">
        <f>IFERROR(IF(X322="",0,CEILING((X322/$H322),1)*$H322),"")</f>
        <v>101.39999999999999</v>
      </c>
      <c r="Z322" s="36">
        <f>IFERROR(IF(Y322=0,"",ROUNDUP(Y322/H322,0)*0.01898),"")</f>
        <v>0.24674000000000001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103.14333333333335</v>
      </c>
      <c r="BN322" s="64">
        <f>IFERROR(Y322*I322/H322,"0")</f>
        <v>107.82199999999999</v>
      </c>
      <c r="BO322" s="64">
        <f>IFERROR(1/J322*(X322/H322),"0")</f>
        <v>0.19431089743589744</v>
      </c>
      <c r="BP322" s="64">
        <f>IFERROR(1/J322*(Y322/H322),"0")</f>
        <v>0.203125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12.435897435897436</v>
      </c>
      <c r="Y324" s="551">
        <f>IFERROR(Y321/H321,"0")+IFERROR(Y322/H322,"0")+IFERROR(Y323/H323,"0")</f>
        <v>13</v>
      </c>
      <c r="Z324" s="551">
        <f>IFERROR(IF(Z321="",0,Z321),"0")+IFERROR(IF(Z322="",0,Z322),"0")+IFERROR(IF(Z323="",0,Z323),"0")</f>
        <v>0.24674000000000001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97</v>
      </c>
      <c r="Y325" s="551">
        <f>IFERROR(SUM(Y321:Y323),"0")</f>
        <v>101.39999999999999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202</v>
      </c>
      <c r="Y349" s="550">
        <f t="shared" ref="Y349:Y355" si="36">IFERROR(IF(X349="",0,CEILING((X349/$H349),1)*$H349),"")</f>
        <v>210</v>
      </c>
      <c r="Z349" s="36">
        <f>IFERROR(IF(Y349=0,"",ROUNDUP(Y349/H349,0)*0.02175),"")</f>
        <v>0.30449999999999999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208.32933333333332</v>
      </c>
      <c r="BN349" s="64">
        <f t="shared" ref="BN349:BN355" si="38">IFERROR(Y349*I349/H349,"0")</f>
        <v>216.58</v>
      </c>
      <c r="BO349" s="64">
        <f t="shared" ref="BO349:BO355" si="39">IFERROR(1/J349*(X349/H349),"0")</f>
        <v>0.28055555555555556</v>
      </c>
      <c r="BP349" s="64">
        <f t="shared" ref="BP349:BP355" si="40">IFERROR(1/J349*(Y349/H349),"0")</f>
        <v>0.29166666666666663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188</v>
      </c>
      <c r="Y352" s="550">
        <f t="shared" si="36"/>
        <v>195</v>
      </c>
      <c r="Z352" s="36">
        <f>IFERROR(IF(Y352=0,"",ROUNDUP(Y352/H352,0)*0.02175),"")</f>
        <v>0.28275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193.89066666666668</v>
      </c>
      <c r="BN352" s="64">
        <f t="shared" si="38"/>
        <v>201.11</v>
      </c>
      <c r="BO352" s="64">
        <f t="shared" si="39"/>
        <v>0.26111111111111107</v>
      </c>
      <c r="BP352" s="64">
        <f t="shared" si="40"/>
        <v>0.27083333333333331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26</v>
      </c>
      <c r="Y356" s="551">
        <f>IFERROR(Y349/H349,"0")+IFERROR(Y350/H350,"0")+IFERROR(Y351/H351,"0")+IFERROR(Y352/H352,"0")+IFERROR(Y353/H353,"0")+IFERROR(Y354/H354,"0")+IFERROR(Y355/H355,"0")</f>
        <v>27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0.58725000000000005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390</v>
      </c>
      <c r="Y357" s="551">
        <f>IFERROR(SUM(Y349:Y355),"0")</f>
        <v>405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198</v>
      </c>
      <c r="Y359" s="550">
        <f>IFERROR(IF(X359="",0,CEILING((X359/$H359),1)*$H359),"")</f>
        <v>210</v>
      </c>
      <c r="Z359" s="36">
        <f>IFERROR(IF(Y359=0,"",ROUNDUP(Y359/H359,0)*0.02175),"")</f>
        <v>0.30449999999999999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204.20400000000001</v>
      </c>
      <c r="BN359" s="64">
        <f>IFERROR(Y359*I359/H359,"0")</f>
        <v>216.58</v>
      </c>
      <c r="BO359" s="64">
        <f>IFERROR(1/J359*(X359/H359),"0")</f>
        <v>0.27499999999999997</v>
      </c>
      <c r="BP359" s="64">
        <f>IFERROR(1/J359*(Y359/H359),"0")</f>
        <v>0.29166666666666663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13.2</v>
      </c>
      <c r="Y361" s="551">
        <f>IFERROR(Y359/H359,"0")+IFERROR(Y360/H360,"0")</f>
        <v>14</v>
      </c>
      <c r="Z361" s="551">
        <f>IFERROR(IF(Z359="",0,Z359),"0")+IFERROR(IF(Z360="",0,Z360),"0")</f>
        <v>0.30449999999999999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198</v>
      </c>
      <c r="Y362" s="551">
        <f>IFERROR(SUM(Y359:Y360),"0")</f>
        <v>210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377</v>
      </c>
      <c r="Y434" s="550">
        <f t="shared" si="47"/>
        <v>380.16</v>
      </c>
      <c r="Z434" s="36">
        <f t="shared" si="48"/>
        <v>0.86112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401.99053030303025</v>
      </c>
      <c r="BN434" s="64">
        <f t="shared" si="50"/>
        <v>405.35999999999996</v>
      </c>
      <c r="BO434" s="64">
        <f t="shared" si="51"/>
        <v>0.68655303030303028</v>
      </c>
      <c r="BP434" s="64">
        <f t="shared" si="52"/>
        <v>0.69230769230769229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71.401515151515142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72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0.86112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377</v>
      </c>
      <c r="Y441" s="551">
        <f>IFERROR(SUM(Y428:Y439),"0")</f>
        <v>380.16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150</v>
      </c>
      <c r="Y443" s="550">
        <f>IFERROR(IF(X443="",0,CEILING((X443/$H443),1)*$H443),"")</f>
        <v>153.12</v>
      </c>
      <c r="Z443" s="36">
        <f>IFERROR(IF(Y443=0,"",ROUNDUP(Y443/H443,0)*0.01196),"")</f>
        <v>0.34683999999999998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159.94318181818181</v>
      </c>
      <c r="BN443" s="64">
        <f>IFERROR(Y443*I443/H443,"0")</f>
        <v>163.26999999999998</v>
      </c>
      <c r="BO443" s="64">
        <f>IFERROR(1/J443*(X443/H443),"0")</f>
        <v>0.27316433566433568</v>
      </c>
      <c r="BP443" s="64">
        <f>IFERROR(1/J443*(Y443/H443),"0")</f>
        <v>0.27884615384615385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28.409090909090907</v>
      </c>
      <c r="Y446" s="551">
        <f>IFERROR(Y443/H443,"0")+IFERROR(Y444/H444,"0")+IFERROR(Y445/H445,"0")</f>
        <v>29</v>
      </c>
      <c r="Z446" s="551">
        <f>IFERROR(IF(Z443="",0,Z443),"0")+IFERROR(IF(Z444="",0,Z444),"0")+IFERROR(IF(Z445="",0,Z445),"0")</f>
        <v>0.34683999999999998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150</v>
      </c>
      <c r="Y447" s="551">
        <f>IFERROR(SUM(Y443:Y445),"0")</f>
        <v>153.12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74</v>
      </c>
      <c r="Y449" s="550">
        <f t="shared" ref="Y449:Y454" si="53">IFERROR(IF(X449="",0,CEILING((X449/$H449),1)*$H449),"")</f>
        <v>79.2</v>
      </c>
      <c r="Z449" s="36">
        <f>IFERROR(IF(Y449=0,"",ROUNDUP(Y449/H449,0)*0.01196),"")</f>
        <v>0.1794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78.905303030303031</v>
      </c>
      <c r="BN449" s="64">
        <f t="shared" ref="BN449:BN454" si="55">IFERROR(Y449*I449/H449,"0")</f>
        <v>84.45</v>
      </c>
      <c r="BO449" s="64">
        <f t="shared" ref="BO449:BO454" si="56">IFERROR(1/J449*(X449/H449),"0")</f>
        <v>0.13476107226107226</v>
      </c>
      <c r="BP449" s="64">
        <f t="shared" ref="BP449:BP454" si="57">IFERROR(1/J449*(Y449/H449),"0")</f>
        <v>0.14423076923076925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73</v>
      </c>
      <c r="Y450" s="550">
        <f t="shared" si="53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77.839015151515156</v>
      </c>
      <c r="BN450" s="64">
        <f t="shared" si="55"/>
        <v>78.819999999999993</v>
      </c>
      <c r="BO450" s="64">
        <f t="shared" si="56"/>
        <v>0.13293997668997667</v>
      </c>
      <c r="BP450" s="64">
        <f t="shared" si="57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103</v>
      </c>
      <c r="Y451" s="550">
        <f t="shared" si="53"/>
        <v>105.60000000000001</v>
      </c>
      <c r="Z451" s="36">
        <f>IFERROR(IF(Y451=0,"",ROUNDUP(Y451/H451,0)*0.01196),"")</f>
        <v>0.2392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109.8276515151515</v>
      </c>
      <c r="BN451" s="64">
        <f t="shared" si="55"/>
        <v>112.6</v>
      </c>
      <c r="BO451" s="64">
        <f t="shared" si="56"/>
        <v>0.18757284382284384</v>
      </c>
      <c r="BP451" s="64">
        <f t="shared" si="57"/>
        <v>0.19230769230769232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47.348484848484844</v>
      </c>
      <c r="Y455" s="551">
        <f>IFERROR(Y449/H449,"0")+IFERROR(Y450/H450,"0")+IFERROR(Y451/H451,"0")+IFERROR(Y452/H452,"0")+IFERROR(Y453/H453,"0")+IFERROR(Y454/H454,"0")</f>
        <v>49</v>
      </c>
      <c r="Z455" s="551">
        <f>IFERROR(IF(Z449="",0,Z449),"0")+IFERROR(IF(Z450="",0,Z450),"0")+IFERROR(IF(Z451="",0,Z451),"0")+IFERROR(IF(Z452="",0,Z452),"0")+IFERROR(IF(Z453="",0,Z453),"0")+IFERROR(IF(Z454="",0,Z454),"0")</f>
        <v>0.58604000000000001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250</v>
      </c>
      <c r="Y456" s="551">
        <f>IFERROR(SUM(Y449:Y454),"0")</f>
        <v>258.72000000000003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2125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2183.4000000000005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2255.4072126823789</v>
      </c>
      <c r="Y494" s="551">
        <f>IFERROR(SUM(BN22:BN490),"0")</f>
        <v>2316.79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4</v>
      </c>
      <c r="Y495" s="38">
        <f>ROUNDUP(SUM(BP22:BP490),0)</f>
        <v>4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2355.4072126823789</v>
      </c>
      <c r="Y496" s="551">
        <f>GrossWeightTotalR+PalletQtyTotalR*25</f>
        <v>2416.79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387.37523525856864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395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4.6497599999999997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153.9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153.9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242.39999999999998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124.8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101.39999999999999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615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792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2026-01-21T10:58:08Z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