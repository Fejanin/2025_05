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41C187C7-01CF-4EE1-8F5D-70996B001F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Заказ!$D$1:$D$60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7" i="102" l="1"/>
  <c r="G43" i="102"/>
  <c r="H58" i="102" l="1"/>
  <c r="H34" i="102" l="1"/>
  <c r="H59" i="102" l="1"/>
  <c r="H57" i="102"/>
  <c r="H54" i="102"/>
  <c r="H53" i="102"/>
  <c r="H18" i="102" l="1"/>
  <c r="H19" i="102"/>
  <c r="H20" i="102"/>
  <c r="G3" i="102" l="1"/>
  <c r="H26" i="102"/>
  <c r="H27" i="102"/>
  <c r="H28" i="102"/>
  <c r="H29" i="102"/>
  <c r="H30" i="102"/>
  <c r="H31" i="102"/>
  <c r="H32" i="102"/>
  <c r="H33" i="102"/>
  <c r="H35" i="102"/>
  <c r="H36" i="102"/>
  <c r="H37" i="102"/>
  <c r="H38" i="102"/>
  <c r="H39" i="102"/>
  <c r="H40" i="102"/>
  <c r="H41" i="102"/>
  <c r="H42" i="102"/>
  <c r="H25" i="102"/>
  <c r="H24" i="102"/>
  <c r="H23" i="102"/>
  <c r="H22" i="102"/>
  <c r="H21" i="102"/>
  <c r="H46" i="102" l="1"/>
  <c r="H45" i="102" s="1"/>
  <c r="H49" i="102" l="1"/>
  <c r="H56" i="102" l="1"/>
  <c r="H55" i="102"/>
  <c r="H52" i="102"/>
  <c r="H51" i="102"/>
  <c r="H48" i="102"/>
  <c r="H47" i="102" l="1"/>
  <c r="H4" i="102"/>
  <c r="H5" i="102" l="1"/>
  <c r="H6" i="102" l="1"/>
  <c r="H7" i="102"/>
  <c r="H8" i="102" l="1"/>
  <c r="H9" i="102"/>
  <c r="H10" i="102"/>
  <c r="H11" i="102"/>
  <c r="H12" i="102"/>
  <c r="H13" i="102"/>
  <c r="H14" i="102"/>
  <c r="H15" i="102"/>
  <c r="H16" i="102"/>
  <c r="H17" i="102"/>
  <c r="H44" i="102"/>
  <c r="H3" i="102" l="1"/>
  <c r="H43" i="102"/>
  <c r="AD8" i="102"/>
  <c r="AD9" i="102"/>
  <c r="AD10" i="102"/>
  <c r="AD11" i="102"/>
  <c r="AD12" i="102"/>
  <c r="AD13" i="102"/>
  <c r="AD14" i="102"/>
  <c r="AD15" i="102"/>
  <c r="AD16" i="102"/>
  <c r="AD17" i="102"/>
  <c r="AD19" i="102"/>
  <c r="AD20" i="102"/>
  <c r="AF20" i="102"/>
  <c r="AF19" i="102"/>
  <c r="AF17" i="102"/>
  <c r="AF16" i="102"/>
  <c r="AF15" i="102"/>
  <c r="AF14" i="102"/>
  <c r="AF13" i="102"/>
  <c r="AF12" i="102"/>
  <c r="AF11" i="102"/>
  <c r="AF10" i="102"/>
  <c r="AF9" i="102"/>
  <c r="AF8" i="102"/>
  <c r="AF44" i="102"/>
  <c r="H60" i="102" l="1"/>
  <c r="AF43" i="102"/>
  <c r="AD3" i="102"/>
  <c r="AF3" i="102"/>
  <c r="AD44" i="102" l="1"/>
  <c r="AD43" i="102" l="1"/>
  <c r="G60" i="102"/>
</calcChain>
</file>

<file path=xl/sharedStrings.xml><?xml version="1.0" encoding="utf-8"?>
<sst xmlns="http://schemas.openxmlformats.org/spreadsheetml/2006/main" count="151" uniqueCount="142">
  <si>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</si>
  <si>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</si>
  <si>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</si>
  <si>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</si>
  <si>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</si>
  <si>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</si>
  <si>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</si>
  <si>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</si>
  <si>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</si>
  <si>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</si>
  <si>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</si>
  <si>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</si>
  <si>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</si>
  <si>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</si>
  <si>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</si>
  <si>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</si>
  <si>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</si>
  <si>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</si>
  <si>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</si>
  <si>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</si>
  <si>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</si>
  <si>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</si>
  <si>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</si>
  <si>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</si>
  <si>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</si>
  <si>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</si>
  <si>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</si>
  <si>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</si>
  <si>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</si>
  <si>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</si>
  <si>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</si>
  <si>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</si>
  <si>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</si>
  <si>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</si>
  <si>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</si>
  <si>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</si>
  <si>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</si>
  <si>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</si>
  <si>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</si>
  <si>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</si>
  <si>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</si>
  <si>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</si>
  <si>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</si>
  <si>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</si>
  <si>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</si>
  <si>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</si>
  <si>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</si>
  <si>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</si>
  <si>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</si>
  <si>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</si>
  <si>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</si>
  <si>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</si>
  <si>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</si>
  <si>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</si>
  <si>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</si>
  <si>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</si>
  <si>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</si>
  <si>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</si>
  <si>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</si>
  <si>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</si>
  <si>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</si>
  <si>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</si>
  <si>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</si>
  <si>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</si>
  <si>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</si>
  <si>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</si>
  <si>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</si>
  <si>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</si>
  <si>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</si>
  <si>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</si>
  <si>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</si>
  <si>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</si>
  <si>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</si>
  <si>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</si>
  <si>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</si>
  <si>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</si>
  <si>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</si>
  <si>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</si>
  <si>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</si>
  <si>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</si>
  <si>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</si>
  <si>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</si>
  <si>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</si>
  <si>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</si>
  <si>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</si>
  <si>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</si>
  <si>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</si>
  <si>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</si>
  <si>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</si>
  <si>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</si>
  <si>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</si>
  <si>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</si>
  <si>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</si>
  <si>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</si>
  <si>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</si>
  <si>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КРЫЛЫШКИ ГОРЯЧАЯ ШТУЧКА ОСТРЫЕ К ПИВУ 300г 1\12, кг</t>
  </si>
  <si>
    <t>ЧЕБУПЕЛИ ГОРЯЧАЯ ШТУЧКА ВЕТЧ\СЫР 300г 1\12, кг</t>
  </si>
  <si>
    <t>ЧЕБУПЕЛИ ГОРЯЧАЯ ШТУЧКА СОЧНОЕ МЯСО 240г 1\12, кг</t>
  </si>
  <si>
    <t>ЧЕБУПИЦЦА ГОРЯЧАЯ ШТУЧКА ПЕППЕРОНИ  250г 1\12, кг</t>
  </si>
  <si>
    <t>ЧЕБУРЕКИ ГОРЯЧАЯ ШТУЧКА СВ\ГОВ 360Г 1/10, шт</t>
  </si>
  <si>
    <t>Наименование в заказнике Полякова</t>
  </si>
  <si>
    <t>В ДОКТОРСКАЯ/филейная ОСОБАЯ 2,6 ОСОБЫЙ РЕЦЕПТ, кг</t>
  </si>
  <si>
    <t>В ДУГУШКА МОЛОЧНАЯ (0,800кг) ОР, кг</t>
  </si>
  <si>
    <t>В ДУГУШКА СО ШПИКОМ (0,800кг) ОР, кг</t>
  </si>
  <si>
    <t>В МОЛОЧНАЯ  ВЯЗАНКА ВЕКТОР 1,3 СТАРОДВОР, кг</t>
  </si>
  <si>
    <t>В МОЛОЧНАЯ ОСОБАЯ 2,6 ОР, кг</t>
  </si>
  <si>
    <t>В ОСОБАЯ СО ШПИКОМ 2,60 ОСОБЫЙ РЕЦЕПТ, кг</t>
  </si>
  <si>
    <t>В СЛИВОЧНАЯ  ВЯЗАНКА ВЕКТОР 1,3 СТАРОДВОР, кг</t>
  </si>
  <si>
    <t>В ФИЛЕЙСКАЯ ВЯЗАНКА СТАРОДВОР 1,3, кг</t>
  </si>
  <si>
    <t>ДОКТОРСКАЯ ВЯЗАНКА СТАРОДВОР 1,3, кг</t>
  </si>
  <si>
    <t>ШТ ВАР ВАЗЯНКА ФИЛЕЙСКАЯ  0,450 1/10, кг</t>
  </si>
  <si>
    <t>ВЕТЧИНА ДУГУШКА СТАРОДВОРЬЕ 0,8, кг</t>
  </si>
  <si>
    <t>ВЕТЧИНА НЕЖНАЯ 2,6 ОСОБЫЙ РЕЦЕПТ, кг</t>
  </si>
  <si>
    <t>ВЕТЧИНА филейская 1,3  ВЯЗАНКА ВЕКТОР, кг</t>
  </si>
  <si>
    <t>К БАЛЫКБУРГСКАЯ 0,7 ТМ БАВАРУШКА, кг</t>
  </si>
  <si>
    <t>К ДУГУШКА рубленная  ЗАПЕЧЁННАЯ 0,850 СТАРОД, кг</t>
  </si>
  <si>
    <t>К ДУГУШКА САЛЯМИ ЗАПЕЧЁННАЯ 0,850 СТАРОД, кг</t>
  </si>
  <si>
    <t>К ДУГУШКА СЕРВЕЛАТ ЗАПЕЧЁННЫЙ 0,850 СТАРОД, кг</t>
  </si>
  <si>
    <t>К МЯСОРУБСКАЯ С ГРУДИН В/К 0,7 СТАРОДВОРЬЕ, кг</t>
  </si>
  <si>
    <t>К САЛЯМИ ФИЛЕЙБУРГСКАЯ зернистая  0,7 ТМ БАВАРУШКА , кг</t>
  </si>
  <si>
    <t>К САЛЯМИ ФИЛЕЙБУРГСКАЯ с сочным окороком  0,7 ТМ БАВАРУШКА, кг</t>
  </si>
  <si>
    <t>К САЛЯМИ ФИЛЕЙБУРГСКАЯ с чесноком душистым  0,7 ТМ БАВАРУШКА , кг</t>
  </si>
  <si>
    <t>К СЕРВЕЛАТ ЗЕРНИСТЫЙ СТАРОДВОРЬЕ 0,700, кг</t>
  </si>
  <si>
    <t>К СЕРВЕЛАТ ПРАЖСКИЙ 0,75 КОЛБ СТАН, кг</t>
  </si>
  <si>
    <t>К СЕРВЕЛАТ РИЖСКИЙ 0,75 КОЛБ СТАН, кг</t>
  </si>
  <si>
    <t>ШТ БАЛЫКБУРГСКАЯ С БАЛЫКОМ 0,350 СРЕЗ СТАРОДВ.1/6, кг</t>
  </si>
  <si>
    <t>ШТ СЕРВЕЛАТ ФИЛЕЙБУРГСКИЙ С ГРУДИНК. 0,350 СТАРОДВ1/6, кг</t>
  </si>
  <si>
    <t>ШТ СЕРВЕЛАТ ФИЛЕЙБУРГСКИЙ С ПРЯНОСТЯМИ. 0,350 СТАРОДВ1/6, кг</t>
  </si>
  <si>
    <t>САРДЕЛИ МУСУЛЬМАНСКИЕ РУЗКОМ 1,0, кг</t>
  </si>
  <si>
    <t>САРДЕЛИ НЕЖНЫЕ 1,0 СТАРОДВОРЬЕ, кг</t>
  </si>
  <si>
    <t>САРДЕЛИ СОЧНЫЕ 1,5 ОСОБЫЙ РЕЦЕПТ , кг</t>
  </si>
  <si>
    <t>СОСИСКИ МОЛОЧНЫЕ ВЯЗАНКА 1,0 СТАРОДВОР (МОЛОКУШИ), кг</t>
  </si>
  <si>
    <t>ШТ СОСИСКИ МОЛОЧНЫЕ ВЯЗАНКА 0.450 СТАРОДВОР (МОЛОКУШИ) 1/6, кг</t>
  </si>
  <si>
    <t>СОСИСКИ МОЛОЧНЫЕ ДЛЯ ЗАВТРАКА  1.0 ОР В, кг</t>
  </si>
  <si>
    <t>СОСИСКИ МОЛОЧНЫЕ ОРИГИНАЛЬНЫЕ ТМ ОСОБЫЙ РЕЦЕПТ 1,3, кг</t>
  </si>
  <si>
    <t>ШТ СОСИСКИ СЛИВОЧНЫЕ  ВЯЗАНКА ,0,450 СТАРОДВОР (СЛИВУШКИ)1/6, кг</t>
  </si>
  <si>
    <t xml:space="preserve"> 017  Сосиски Вязанка Сливочные, Вязанка амицел ВЕС.ПОКОМ</t>
  </si>
  <si>
    <t>017</t>
  </si>
  <si>
    <t>СОСИСКИ СЛИВОЧНЫЕ  ВЯЗАНКА 1,0 СТАРОДВОР (СЛИВУШКИ), кг</t>
  </si>
  <si>
    <t>ШТ СОСИСКИ СОЧИНКИ С ГРУДИНКОЙ/С ОКОРОКОМ СТАРОДВОРЬЕ 0,4 (в кор=6 шт), кг</t>
  </si>
  <si>
    <t>пельмени бульмени с мясом 0,430 1/16</t>
  </si>
  <si>
    <t>Заказ Полякова 27.01.26.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</si>
</sst>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  <font>
      <sz val="8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0" borderId="16" xfId="0" applyBorder="1" applyAlignment="1">
      <alignment horizontal="center" vertical="center"/>
    </xf>
    <xf numFmtId="0" fontId="8" fillId="7" borderId="6" xfId="0" applyFont="1" applyFill="1" applyBorder="1" applyAlignment="1">
      <alignment vertical="top" wrapText="1"/>
    </xf>
    <xf numFmtId="0" fontId="8" fillId="7" borderId="5" xfId="0" applyFont="1" applyFill="1" applyBorder="1" applyAlignment="1">
      <alignment vertical="top" wrapText="1"/>
    </xf>
    <xf numFmtId="0" fontId="8" fillId="7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0" fillId="0" borderId="22" xfId="0" applyNumberForma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1" fontId="0" fillId="0" borderId="23" xfId="0" applyNumberFormat="1" applyFill="1" applyBorder="1" applyAlignment="1">
      <alignment horizontal="center" vertical="center" wrapText="1"/>
    </xf>
    <xf numFmtId="1" fontId="0" fillId="0" borderId="24" xfId="0" applyNumberForma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vertical="top" wrapText="1"/>
    </xf>
    <xf numFmtId="0" fontId="8" fillId="7" borderId="24" xfId="0" applyFont="1" applyFill="1" applyBorder="1" applyAlignment="1">
      <alignment vertical="top" wrapText="1"/>
    </xf>
    <xf numFmtId="0" fontId="4" fillId="0" borderId="4" xfId="0" applyFont="1" applyFill="1" applyBorder="1" applyAlignment="1">
      <alignment vertical="top" wrapText="1"/>
    </xf>
    <xf numFmtId="0" fontId="0" fillId="0" borderId="13" xfId="0" applyFill="1" applyBorder="1" applyAlignment="1">
      <alignment vertical="top" wrapText="1"/>
    </xf>
    <xf numFmtId="0" fontId="4" fillId="0" borderId="5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10" fillId="7" borderId="25" xfId="0" applyFont="1" applyFill="1" applyBorder="1" applyAlignment="1">
      <alignment horizontal="left" vertical="top" wrapText="1" indent="5"/>
    </xf>
    <xf numFmtId="0" fontId="10" fillId="8" borderId="25" xfId="0" applyFont="1" applyFill="1" applyBorder="1" applyAlignment="1">
      <alignment horizontal="left" vertical="top" wrapText="1" indent="5"/>
    </xf>
    <xf numFmtId="0" fontId="10" fillId="8" borderId="25" xfId="0" applyFont="1" applyFill="1" applyBorder="1" applyAlignment="1">
      <alignment horizontal="left" vertical="top" wrapText="1" indent="4"/>
    </xf>
    <xf numFmtId="0" fontId="8" fillId="7" borderId="21" xfId="0" applyFont="1" applyFill="1" applyBorder="1" applyAlignment="1">
      <alignment vertical="top" wrapText="1"/>
    </xf>
    <xf numFmtId="0" fontId="10" fillId="8" borderId="0" xfId="0" applyFont="1" applyFill="1" applyBorder="1" applyAlignment="1">
      <alignment horizontal="left" vertical="top" wrapText="1" indent="4"/>
    </xf>
    <xf numFmtId="1" fontId="0" fillId="0" borderId="26" xfId="0" applyNumberFormat="1" applyFill="1" applyBorder="1" applyAlignment="1">
      <alignment horizontal="center" vertical="center" wrapText="1"/>
    </xf>
    <xf numFmtId="4" fontId="4" fillId="0" borderId="2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>
    <outlinePr applyStyles="1" summaryBelow="0" summaryRight="0"/>
  </sheetPr>
  <dimension ref="A1:AF60"/>
  <sheetViews>
    <sheetView tabSelected="1" zoomScale="80" zoomScaleNormal="80" workbookViewId="0">
      <selection activeCell="T24" sqref="T24"/>
    </sheetView>
  </sheetViews>
  <sheetFormatPr defaultRowHeight="15" outlineLevelRow="1" x14ac:dyDescent="0.25"/>
  <cols>
    <col min="1" max="1" width="12" customWidth="1"/>
    <col min="2" max="2" width="12" style="32" customWidth="1"/>
    <col min="3" max="3" width="86.85546875" style="1" customWidth="1"/>
    <col min="4" max="4" width="38.42578125" style="1" hidden="1" customWidth="1"/>
    <col min="5" max="5" width="12.5703125" style="1" customWidth="1"/>
    <col min="6" max="6" width="8.85546875" style="1" customWidth="1"/>
    <col min="7" max="7" width="15.85546875" style="1" customWidth="1"/>
    <col min="8" max="8" width="16" style="1" customWidth="1"/>
    <col min="9" max="9" width="10.7109375" style="1" customWidth="1"/>
    <col min="10" max="24" width="9.140625" style="1"/>
    <col min="25" max="26" width="9.140625" style="2"/>
    <col min="27" max="27" width="9.140625" style="1"/>
    <col min="28" max="32" width="9.140625" style="1" hidden="1" customWidth="1"/>
  </cols>
  <sheetData>
    <row r="1" spans="1:32" ht="19.5" thickBot="1" x14ac:dyDescent="0.3">
      <c r="C1" s="49" t="s">
        <v>141</v>
      </c>
      <c r="D1" s="49"/>
    </row>
    <row r="2" spans="1:32" ht="32.25" thickBot="1" x14ac:dyDescent="0.3">
      <c r="C2" s="23"/>
      <c r="D2" s="31" t="s">
        <v>100</v>
      </c>
      <c r="E2" s="31" t="s">
        <v>38</v>
      </c>
      <c r="F2" s="25"/>
      <c r="G2" s="25" t="s">
        <v>0</v>
      </c>
      <c r="H2" s="26" t="s">
        <v>19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5"/>
      <c r="AA2" s="4"/>
      <c r="AB2" s="19" t="s">
        <v>1</v>
      </c>
      <c r="AC2" s="14"/>
      <c r="AD2" s="19" t="s">
        <v>14</v>
      </c>
      <c r="AE2" s="14"/>
      <c r="AF2" s="20" t="s">
        <v>15</v>
      </c>
    </row>
    <row r="3" spans="1:32" s="3" customFormat="1" ht="19.5" thickBot="1" x14ac:dyDescent="0.3">
      <c r="B3" s="33"/>
      <c r="C3" s="22" t="s">
        <v>2</v>
      </c>
      <c r="D3" s="22"/>
      <c r="E3" s="17"/>
      <c r="F3" s="17"/>
      <c r="G3" s="27">
        <f>SUM(G4:G42)</f>
        <v>15774</v>
      </c>
      <c r="H3" s="57">
        <f>SUM(H4:H42)</f>
        <v>15266.400000000001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7"/>
      <c r="AA3" s="6"/>
      <c r="AB3" s="12"/>
      <c r="AC3" s="15"/>
      <c r="AD3" s="13">
        <f>SUM(AD4:AD20)</f>
        <v>11.202500000000001</v>
      </c>
      <c r="AE3" s="15"/>
      <c r="AF3" s="13" t="e">
        <f>SUM(AF4:AF20)</f>
        <v>#REF!</v>
      </c>
    </row>
    <row r="4" spans="1:32" ht="16.5" customHeight="1" outlineLevel="1" x14ac:dyDescent="0.25">
      <c r="A4">
        <v>18</v>
      </c>
      <c r="B4" s="32" t="s">
        <v>40</v>
      </c>
      <c r="C4" s="68" t="s">
        <v>39</v>
      </c>
      <c r="D4" s="68"/>
      <c r="E4" s="47">
        <v>3287</v>
      </c>
      <c r="F4" s="40">
        <v>1</v>
      </c>
      <c r="G4" s="58"/>
      <c r="H4" s="43">
        <f t="shared" ref="H4" si="0">G4*F4</f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8"/>
      <c r="AB4" s="11"/>
      <c r="AC4" s="8"/>
      <c r="AD4" s="11"/>
      <c r="AE4" s="8"/>
      <c r="AF4" s="11"/>
    </row>
    <row r="5" spans="1:32" ht="16.5" customHeight="1" outlineLevel="1" x14ac:dyDescent="0.25">
      <c r="A5">
        <v>235</v>
      </c>
      <c r="B5" s="32" t="s">
        <v>23</v>
      </c>
      <c r="C5" s="69" t="s">
        <v>20</v>
      </c>
      <c r="D5" s="72" t="s">
        <v>106</v>
      </c>
      <c r="E5" s="47">
        <v>3423</v>
      </c>
      <c r="F5" s="40">
        <v>1</v>
      </c>
      <c r="G5" s="10">
        <v>1500</v>
      </c>
      <c r="H5" s="16">
        <f t="shared" ref="H5" si="1">G5*F5</f>
        <v>1500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8"/>
      <c r="AB5" s="11"/>
      <c r="AC5" s="8"/>
      <c r="AD5" s="11"/>
      <c r="AE5" s="8"/>
      <c r="AF5" s="11"/>
    </row>
    <row r="6" spans="1:32" ht="16.5" customHeight="1" outlineLevel="1" x14ac:dyDescent="0.25">
      <c r="A6">
        <v>230</v>
      </c>
      <c r="B6" s="32" t="s">
        <v>24</v>
      </c>
      <c r="C6" s="70" t="s">
        <v>21</v>
      </c>
      <c r="D6" s="72" t="s">
        <v>105</v>
      </c>
      <c r="E6" s="47">
        <v>3422</v>
      </c>
      <c r="F6" s="40">
        <v>1</v>
      </c>
      <c r="G6" s="10">
        <v>3000</v>
      </c>
      <c r="H6" s="16">
        <f t="shared" ref="H6:H7" si="2">G6*F6</f>
        <v>3000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8"/>
      <c r="AB6" s="11"/>
      <c r="AC6" s="8"/>
      <c r="AD6" s="11"/>
      <c r="AE6" s="8"/>
      <c r="AF6" s="11"/>
    </row>
    <row r="7" spans="1:32" ht="16.5" customHeight="1" outlineLevel="1" x14ac:dyDescent="0.25">
      <c r="A7">
        <v>219</v>
      </c>
      <c r="B7" s="32" t="s">
        <v>25</v>
      </c>
      <c r="C7" s="70" t="s">
        <v>22</v>
      </c>
      <c r="D7" s="72" t="s">
        <v>101</v>
      </c>
      <c r="E7" s="47">
        <v>3420</v>
      </c>
      <c r="F7" s="40">
        <v>1</v>
      </c>
      <c r="G7" s="10">
        <v>2000</v>
      </c>
      <c r="H7" s="16">
        <f t="shared" si="2"/>
        <v>2000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9"/>
      <c r="AA7" s="8"/>
      <c r="AB7" s="11"/>
      <c r="AC7" s="8"/>
      <c r="AD7" s="11"/>
      <c r="AE7" s="8"/>
      <c r="AF7" s="11"/>
    </row>
    <row r="8" spans="1:32" ht="16.5" customHeight="1" outlineLevel="1" x14ac:dyDescent="0.25">
      <c r="B8" s="32" t="s">
        <v>26</v>
      </c>
      <c r="C8" s="70" t="s">
        <v>3</v>
      </c>
      <c r="D8" s="73" t="s">
        <v>111</v>
      </c>
      <c r="E8" s="47">
        <v>2035</v>
      </c>
      <c r="F8" s="56">
        <v>1</v>
      </c>
      <c r="G8" s="10">
        <v>700</v>
      </c>
      <c r="H8" s="16">
        <f t="shared" ref="H8:H9" si="3">G8*F8</f>
        <v>700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8"/>
      <c r="AB8" s="11">
        <v>1</v>
      </c>
      <c r="AC8" s="8"/>
      <c r="AD8" s="11">
        <f t="shared" ref="AD8:AD9" si="4">AB8*F8</f>
        <v>1</v>
      </c>
      <c r="AE8" s="8"/>
      <c r="AF8" s="11" t="e">
        <f>AB8*#REF!</f>
        <v>#REF!</v>
      </c>
    </row>
    <row r="9" spans="1:32" ht="16.5" customHeight="1" outlineLevel="1" x14ac:dyDescent="0.25">
      <c r="B9" s="32" t="s">
        <v>36</v>
      </c>
      <c r="C9" s="70" t="s">
        <v>4</v>
      </c>
      <c r="D9" s="73" t="s">
        <v>112</v>
      </c>
      <c r="E9" s="47">
        <v>126</v>
      </c>
      <c r="F9" s="56">
        <v>1</v>
      </c>
      <c r="G9" s="10">
        <v>2800</v>
      </c>
      <c r="H9" s="16">
        <f t="shared" si="3"/>
        <v>2800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8"/>
      <c r="AB9" s="11">
        <v>1</v>
      </c>
      <c r="AC9" s="8"/>
      <c r="AD9" s="11">
        <f t="shared" si="4"/>
        <v>1</v>
      </c>
      <c r="AE9" s="8"/>
      <c r="AF9" s="11" t="e">
        <f>AB9*#REF!</f>
        <v>#REF!</v>
      </c>
    </row>
    <row r="10" spans="1:32" ht="16.5" customHeight="1" outlineLevel="1" x14ac:dyDescent="0.25">
      <c r="B10" s="32" t="s">
        <v>27</v>
      </c>
      <c r="C10" s="70" t="s">
        <v>5</v>
      </c>
      <c r="D10" s="72" t="s">
        <v>102</v>
      </c>
      <c r="E10" s="47">
        <v>2010</v>
      </c>
      <c r="F10" s="56">
        <v>1</v>
      </c>
      <c r="G10" s="10">
        <v>450</v>
      </c>
      <c r="H10" s="16">
        <f t="shared" ref="H10:H20" si="5">G10*F10</f>
        <v>450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9"/>
      <c r="AA10" s="8"/>
      <c r="AB10" s="11">
        <v>1</v>
      </c>
      <c r="AC10" s="8"/>
      <c r="AD10" s="11">
        <f t="shared" ref="AD10:AD15" si="6">AB10*F10</f>
        <v>1</v>
      </c>
      <c r="AE10" s="8"/>
      <c r="AF10" s="11" t="e">
        <f>AB10*#REF!</f>
        <v>#REF!</v>
      </c>
    </row>
    <row r="11" spans="1:32" ht="16.5" customHeight="1" outlineLevel="1" x14ac:dyDescent="0.25">
      <c r="B11" s="32" t="s">
        <v>28</v>
      </c>
      <c r="C11" s="70" t="s">
        <v>6</v>
      </c>
      <c r="D11" s="73" t="s">
        <v>115</v>
      </c>
      <c r="E11" s="47">
        <v>2150</v>
      </c>
      <c r="F11" s="56">
        <v>1</v>
      </c>
      <c r="G11" s="10">
        <v>250</v>
      </c>
      <c r="H11" s="16">
        <f t="shared" si="5"/>
        <v>250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8"/>
      <c r="AB11" s="11">
        <v>1</v>
      </c>
      <c r="AC11" s="8"/>
      <c r="AD11" s="11">
        <f t="shared" si="6"/>
        <v>1</v>
      </c>
      <c r="AE11" s="8"/>
      <c r="AF11" s="11" t="e">
        <f>AB11*#REF!</f>
        <v>#REF!</v>
      </c>
    </row>
    <row r="12" spans="1:32" ht="16.5" customHeight="1" outlineLevel="1" x14ac:dyDescent="0.25">
      <c r="B12" s="32" t="s">
        <v>29</v>
      </c>
      <c r="C12" s="70" t="s">
        <v>7</v>
      </c>
      <c r="D12" s="73" t="s">
        <v>116</v>
      </c>
      <c r="E12" s="47">
        <v>2158</v>
      </c>
      <c r="F12" s="56">
        <v>1</v>
      </c>
      <c r="G12" s="10">
        <v>250</v>
      </c>
      <c r="H12" s="16">
        <f t="shared" si="5"/>
        <v>250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8"/>
      <c r="AB12" s="11">
        <v>1</v>
      </c>
      <c r="AC12" s="8"/>
      <c r="AD12" s="11">
        <f t="shared" si="6"/>
        <v>1</v>
      </c>
      <c r="AE12" s="8"/>
      <c r="AF12" s="11" t="e">
        <f>AB12*#REF!</f>
        <v>#REF!</v>
      </c>
    </row>
    <row r="13" spans="1:32" ht="16.5" customHeight="1" outlineLevel="1" x14ac:dyDescent="0.25">
      <c r="B13" s="32" t="s">
        <v>30</v>
      </c>
      <c r="C13" s="70" t="s">
        <v>8</v>
      </c>
      <c r="D13" s="73" t="s">
        <v>117</v>
      </c>
      <c r="E13" s="47">
        <v>2151</v>
      </c>
      <c r="F13" s="56">
        <v>1</v>
      </c>
      <c r="G13" s="10">
        <v>250</v>
      </c>
      <c r="H13" s="16">
        <f t="shared" si="5"/>
        <v>250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8"/>
      <c r="AB13" s="11">
        <v>1</v>
      </c>
      <c r="AC13" s="8"/>
      <c r="AD13" s="11">
        <f t="shared" si="6"/>
        <v>1</v>
      </c>
      <c r="AE13" s="8"/>
      <c r="AF13" s="11" t="e">
        <f>AB13*#REF!</f>
        <v>#REF!</v>
      </c>
    </row>
    <row r="14" spans="1:32" ht="16.5" customHeight="1" outlineLevel="1" x14ac:dyDescent="0.25">
      <c r="B14" s="32" t="s">
        <v>31</v>
      </c>
      <c r="C14" s="70" t="s">
        <v>9</v>
      </c>
      <c r="D14" s="73" t="s">
        <v>129</v>
      </c>
      <c r="E14" s="47">
        <v>1051</v>
      </c>
      <c r="F14" s="56">
        <v>1</v>
      </c>
      <c r="G14" s="10">
        <v>350</v>
      </c>
      <c r="H14" s="16">
        <f t="shared" si="5"/>
        <v>350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8"/>
      <c r="AB14" s="11">
        <v>1</v>
      </c>
      <c r="AC14" s="8"/>
      <c r="AD14" s="11">
        <f t="shared" si="6"/>
        <v>1</v>
      </c>
      <c r="AE14" s="8"/>
      <c r="AF14" s="11" t="e">
        <f>AB14*#REF!</f>
        <v>#REF!</v>
      </c>
    </row>
    <row r="15" spans="1:32" ht="16.5" customHeight="1" outlineLevel="1" x14ac:dyDescent="0.25">
      <c r="B15" s="32" t="s">
        <v>32</v>
      </c>
      <c r="C15" s="70" t="s">
        <v>10</v>
      </c>
      <c r="D15" s="73" t="s">
        <v>130</v>
      </c>
      <c r="E15" s="47">
        <v>2287</v>
      </c>
      <c r="F15" s="56">
        <v>1</v>
      </c>
      <c r="G15" s="10">
        <v>500</v>
      </c>
      <c r="H15" s="16">
        <f t="shared" si="5"/>
        <v>500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9"/>
      <c r="AA15" s="8"/>
      <c r="AB15" s="11">
        <v>1</v>
      </c>
      <c r="AC15" s="8"/>
      <c r="AD15" s="11">
        <f t="shared" si="6"/>
        <v>1</v>
      </c>
      <c r="AE15" s="8"/>
      <c r="AF15" s="11" t="e">
        <f>AB15*#REF!</f>
        <v>#REF!</v>
      </c>
    </row>
    <row r="16" spans="1:32" ht="16.5" customHeight="1" outlineLevel="1" x14ac:dyDescent="0.25">
      <c r="B16" s="32" t="s">
        <v>33</v>
      </c>
      <c r="C16" s="70" t="s">
        <v>11</v>
      </c>
      <c r="D16" s="47"/>
      <c r="E16" s="47">
        <v>2360</v>
      </c>
      <c r="F16" s="56">
        <v>1</v>
      </c>
      <c r="G16" s="10"/>
      <c r="H16" s="16">
        <f t="shared" si="5"/>
        <v>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8"/>
      <c r="AB16" s="11">
        <v>1</v>
      </c>
      <c r="AC16" s="8"/>
      <c r="AD16" s="11">
        <f t="shared" ref="AD16:AD19" si="7">AB16*F16</f>
        <v>1</v>
      </c>
      <c r="AE16" s="8"/>
      <c r="AF16" s="11" t="e">
        <f>AB16*#REF!</f>
        <v>#REF!</v>
      </c>
    </row>
    <row r="17" spans="2:32" ht="16.5" customHeight="1" outlineLevel="1" x14ac:dyDescent="0.25">
      <c r="B17" s="32" t="s">
        <v>34</v>
      </c>
      <c r="C17" s="70" t="s">
        <v>16</v>
      </c>
      <c r="D17" s="73" t="s">
        <v>113</v>
      </c>
      <c r="E17" s="47">
        <v>2828</v>
      </c>
      <c r="F17" s="56">
        <v>1</v>
      </c>
      <c r="G17" s="10">
        <v>100</v>
      </c>
      <c r="H17" s="16">
        <f t="shared" si="5"/>
        <v>100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8"/>
      <c r="AB17" s="11">
        <v>1</v>
      </c>
      <c r="AC17" s="8"/>
      <c r="AD17" s="11">
        <f t="shared" si="7"/>
        <v>1</v>
      </c>
      <c r="AE17" s="8"/>
      <c r="AF17" s="11" t="e">
        <f>AB17*#REF!</f>
        <v>#REF!</v>
      </c>
    </row>
    <row r="18" spans="2:32" ht="16.5" customHeight="1" outlineLevel="1" x14ac:dyDescent="0.25">
      <c r="B18" s="32" t="s">
        <v>94</v>
      </c>
      <c r="C18" s="70" t="s">
        <v>93</v>
      </c>
      <c r="D18" s="72" t="s">
        <v>114</v>
      </c>
      <c r="E18" s="47">
        <v>2612</v>
      </c>
      <c r="F18" s="28">
        <v>1</v>
      </c>
      <c r="G18" s="10">
        <v>400</v>
      </c>
      <c r="H18" s="16">
        <f t="shared" si="5"/>
        <v>400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8"/>
      <c r="AB18" s="11"/>
      <c r="AC18" s="8"/>
      <c r="AD18" s="11"/>
      <c r="AE18" s="8"/>
      <c r="AF18" s="11"/>
    </row>
    <row r="19" spans="2:32" ht="16.5" customHeight="1" outlineLevel="1" x14ac:dyDescent="0.25">
      <c r="B19" s="32" t="s">
        <v>37</v>
      </c>
      <c r="C19" s="70" t="s">
        <v>18</v>
      </c>
      <c r="D19" s="72" t="s">
        <v>110</v>
      </c>
      <c r="E19" s="47">
        <v>2815</v>
      </c>
      <c r="F19" s="56">
        <v>0.45</v>
      </c>
      <c r="G19" s="10">
        <v>100</v>
      </c>
      <c r="H19" s="16">
        <f t="shared" si="5"/>
        <v>45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9"/>
      <c r="AA19" s="8"/>
      <c r="AB19" s="11">
        <v>0.45</v>
      </c>
      <c r="AC19" s="8"/>
      <c r="AD19" s="11">
        <f t="shared" si="7"/>
        <v>0.20250000000000001</v>
      </c>
      <c r="AE19" s="8"/>
      <c r="AF19" s="11" t="e">
        <f>AB19*#REF!</f>
        <v>#REF!</v>
      </c>
    </row>
    <row r="20" spans="2:32" ht="16.5" customHeight="1" outlineLevel="1" x14ac:dyDescent="0.25">
      <c r="B20" s="32" t="s">
        <v>35</v>
      </c>
      <c r="C20" s="70" t="s">
        <v>17</v>
      </c>
      <c r="D20" s="72" t="s">
        <v>108</v>
      </c>
      <c r="E20" s="47">
        <v>2829</v>
      </c>
      <c r="F20" s="56">
        <v>1</v>
      </c>
      <c r="G20" s="10">
        <v>100</v>
      </c>
      <c r="H20" s="16">
        <f t="shared" si="5"/>
        <v>100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8"/>
      <c r="AB20" s="11">
        <v>1</v>
      </c>
      <c r="AC20" s="8"/>
      <c r="AD20" s="11">
        <f t="shared" ref="AD20" si="8">AB20*F20</f>
        <v>1</v>
      </c>
      <c r="AE20" s="8"/>
      <c r="AF20" s="11" t="e">
        <f>AB20*#REF!</f>
        <v>#REF!</v>
      </c>
    </row>
    <row r="21" spans="2:32" ht="16.5" customHeight="1" outlineLevel="1" x14ac:dyDescent="0.25">
      <c r="B21" s="32" t="s">
        <v>50</v>
      </c>
      <c r="C21" s="70" t="s">
        <v>51</v>
      </c>
      <c r="D21" s="72" t="s">
        <v>103</v>
      </c>
      <c r="E21" s="71">
        <v>2182</v>
      </c>
      <c r="F21" s="54">
        <v>1</v>
      </c>
      <c r="G21" s="10">
        <v>40</v>
      </c>
      <c r="H21" s="16">
        <f t="shared" ref="H21:H42" si="9">G21*F21</f>
        <v>40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8"/>
      <c r="AB21" s="53"/>
      <c r="AC21" s="8"/>
      <c r="AD21" s="11"/>
      <c r="AE21" s="8"/>
      <c r="AF21" s="11"/>
    </row>
    <row r="22" spans="2:32" ht="16.5" customHeight="1" outlineLevel="1" x14ac:dyDescent="0.25">
      <c r="B22" s="32" t="s">
        <v>52</v>
      </c>
      <c r="C22" s="70" t="s">
        <v>53</v>
      </c>
      <c r="D22" s="72" t="s">
        <v>104</v>
      </c>
      <c r="E22" s="71">
        <v>2830</v>
      </c>
      <c r="F22" s="54">
        <v>1</v>
      </c>
      <c r="G22" s="10">
        <v>250</v>
      </c>
      <c r="H22" s="16">
        <f t="shared" si="9"/>
        <v>250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8"/>
      <c r="AB22" s="53"/>
      <c r="AC22" s="8"/>
      <c r="AD22" s="11"/>
      <c r="AE22" s="8"/>
      <c r="AF22" s="11"/>
    </row>
    <row r="23" spans="2:32" ht="16.5" customHeight="1" outlineLevel="1" x14ac:dyDescent="0.25">
      <c r="B23" s="32" t="s">
        <v>54</v>
      </c>
      <c r="C23" s="70" t="s">
        <v>55</v>
      </c>
      <c r="D23" s="72" t="s">
        <v>118</v>
      </c>
      <c r="E23" s="71">
        <v>2756</v>
      </c>
      <c r="F23" s="54">
        <v>1</v>
      </c>
      <c r="G23" s="10">
        <v>100</v>
      </c>
      <c r="H23" s="16">
        <f t="shared" si="9"/>
        <v>100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8"/>
      <c r="AB23" s="53"/>
      <c r="AC23" s="8"/>
      <c r="AD23" s="11"/>
      <c r="AE23" s="8"/>
      <c r="AF23" s="11"/>
    </row>
    <row r="24" spans="2:32" ht="16.5" customHeight="1" outlineLevel="1" x14ac:dyDescent="0.25">
      <c r="B24" s="32" t="s">
        <v>56</v>
      </c>
      <c r="C24" s="70" t="s">
        <v>57</v>
      </c>
      <c r="D24" s="72" t="s">
        <v>119</v>
      </c>
      <c r="E24" s="71">
        <v>2614</v>
      </c>
      <c r="F24" s="54">
        <v>1</v>
      </c>
      <c r="G24" s="10">
        <v>200</v>
      </c>
      <c r="H24" s="16">
        <f t="shared" si="9"/>
        <v>200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8"/>
      <c r="AB24" s="53"/>
      <c r="AC24" s="8"/>
      <c r="AD24" s="11"/>
      <c r="AE24" s="8"/>
      <c r="AF24" s="11"/>
    </row>
    <row r="25" spans="2:32" ht="16.5" customHeight="1" outlineLevel="1" x14ac:dyDescent="0.25">
      <c r="B25" s="32" t="s">
        <v>58</v>
      </c>
      <c r="C25" s="70" t="s">
        <v>59</v>
      </c>
      <c r="D25" s="72" t="s">
        <v>120</v>
      </c>
      <c r="E25" s="71">
        <v>2613</v>
      </c>
      <c r="F25" s="54">
        <v>1</v>
      </c>
      <c r="G25" s="10">
        <v>150</v>
      </c>
      <c r="H25" s="16">
        <f t="shared" si="9"/>
        <v>150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8"/>
      <c r="AB25" s="53"/>
      <c r="AC25" s="8"/>
      <c r="AD25" s="11"/>
      <c r="AE25" s="8"/>
      <c r="AF25" s="11"/>
    </row>
    <row r="26" spans="2:32" ht="16.5" customHeight="1" outlineLevel="1" x14ac:dyDescent="0.25">
      <c r="B26" s="32" t="s">
        <v>60</v>
      </c>
      <c r="C26" s="70" t="s">
        <v>61</v>
      </c>
      <c r="D26" s="72" t="s">
        <v>121</v>
      </c>
      <c r="E26" s="71">
        <v>2615</v>
      </c>
      <c r="F26" s="55">
        <v>1</v>
      </c>
      <c r="G26" s="10">
        <v>60</v>
      </c>
      <c r="H26" s="16">
        <f t="shared" si="9"/>
        <v>60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8"/>
      <c r="AB26" s="53"/>
      <c r="AC26" s="8"/>
      <c r="AD26" s="11"/>
      <c r="AE26" s="8"/>
      <c r="AF26" s="11"/>
    </row>
    <row r="27" spans="2:32" ht="16.5" customHeight="1" outlineLevel="1" x14ac:dyDescent="0.25">
      <c r="B27" s="32" t="s">
        <v>62</v>
      </c>
      <c r="C27" s="70" t="s">
        <v>63</v>
      </c>
      <c r="D27" s="72" t="s">
        <v>122</v>
      </c>
      <c r="E27" s="71">
        <v>1820</v>
      </c>
      <c r="F27" s="54">
        <v>1</v>
      </c>
      <c r="G27" s="10">
        <v>50</v>
      </c>
      <c r="H27" s="16">
        <f t="shared" si="9"/>
        <v>50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8"/>
      <c r="AB27" s="53"/>
      <c r="AC27" s="8"/>
      <c r="AD27" s="11"/>
      <c r="AE27" s="8"/>
      <c r="AF27" s="11"/>
    </row>
    <row r="28" spans="2:32" ht="16.5" customHeight="1" outlineLevel="1" x14ac:dyDescent="0.25">
      <c r="B28" s="32" t="s">
        <v>64</v>
      </c>
      <c r="C28" s="70" t="s">
        <v>65</v>
      </c>
      <c r="D28" s="72" t="s">
        <v>123</v>
      </c>
      <c r="E28" s="47">
        <v>2805</v>
      </c>
      <c r="F28" s="56">
        <v>1</v>
      </c>
      <c r="G28" s="10">
        <v>100</v>
      </c>
      <c r="H28" s="16">
        <f t="shared" si="9"/>
        <v>100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9"/>
      <c r="AA28" s="8"/>
      <c r="AB28" s="53"/>
      <c r="AC28" s="8"/>
      <c r="AD28" s="11"/>
      <c r="AE28" s="8"/>
      <c r="AF28" s="11"/>
    </row>
    <row r="29" spans="2:32" ht="16.5" customHeight="1" outlineLevel="1" x14ac:dyDescent="0.25">
      <c r="B29" s="32" t="s">
        <v>66</v>
      </c>
      <c r="C29" s="70" t="s">
        <v>67</v>
      </c>
      <c r="D29" s="72" t="s">
        <v>124</v>
      </c>
      <c r="E29" s="47" t="s">
        <v>68</v>
      </c>
      <c r="F29" s="56">
        <v>1</v>
      </c>
      <c r="G29" s="10">
        <v>200</v>
      </c>
      <c r="H29" s="16">
        <f t="shared" si="9"/>
        <v>200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8"/>
      <c r="AB29" s="53"/>
      <c r="AC29" s="8"/>
      <c r="AD29" s="11"/>
      <c r="AE29" s="8"/>
      <c r="AF29" s="11"/>
    </row>
    <row r="30" spans="2:32" ht="16.5" customHeight="1" outlineLevel="1" x14ac:dyDescent="0.25">
      <c r="B30" s="32" t="s">
        <v>69</v>
      </c>
      <c r="C30" s="70" t="s">
        <v>70</v>
      </c>
      <c r="D30" s="72" t="s">
        <v>125</v>
      </c>
      <c r="E30" s="47">
        <v>2604</v>
      </c>
      <c r="F30" s="56">
        <v>0.35</v>
      </c>
      <c r="G30" s="10">
        <v>72</v>
      </c>
      <c r="H30" s="16">
        <f t="shared" si="9"/>
        <v>25.2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9"/>
      <c r="Z30" s="9"/>
      <c r="AA30" s="8"/>
      <c r="AB30" s="53"/>
      <c r="AC30" s="8"/>
      <c r="AD30" s="11"/>
      <c r="AE30" s="8"/>
      <c r="AF30" s="11"/>
    </row>
    <row r="31" spans="2:32" ht="16.5" customHeight="1" outlineLevel="1" x14ac:dyDescent="0.25">
      <c r="B31" s="32" t="s">
        <v>71</v>
      </c>
      <c r="C31" s="70" t="s">
        <v>72</v>
      </c>
      <c r="D31" s="72" t="s">
        <v>126</v>
      </c>
      <c r="E31" s="47">
        <v>2603</v>
      </c>
      <c r="F31" s="56">
        <v>0.35</v>
      </c>
      <c r="G31" s="10">
        <v>72</v>
      </c>
      <c r="H31" s="16">
        <f t="shared" si="9"/>
        <v>25.2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9"/>
      <c r="Z31" s="9"/>
      <c r="AA31" s="8"/>
      <c r="AB31" s="53"/>
      <c r="AC31" s="8"/>
      <c r="AD31" s="11"/>
      <c r="AE31" s="8"/>
      <c r="AF31" s="11"/>
    </row>
    <row r="32" spans="2:32" ht="16.5" customHeight="1" outlineLevel="1" x14ac:dyDescent="0.25">
      <c r="B32" s="32" t="s">
        <v>73</v>
      </c>
      <c r="C32" s="70" t="s">
        <v>74</v>
      </c>
      <c r="D32" s="72" t="s">
        <v>127</v>
      </c>
      <c r="E32" s="47">
        <v>2602</v>
      </c>
      <c r="F32" s="56">
        <v>0.35</v>
      </c>
      <c r="G32" s="10"/>
      <c r="H32" s="16">
        <f t="shared" si="9"/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9"/>
      <c r="Z32" s="9"/>
      <c r="AA32" s="8"/>
      <c r="AB32" s="53"/>
      <c r="AC32" s="8"/>
      <c r="AD32" s="11"/>
      <c r="AE32" s="8"/>
      <c r="AF32" s="11"/>
    </row>
    <row r="33" spans="2:32" ht="16.5" customHeight="1" outlineLevel="1" x14ac:dyDescent="0.25">
      <c r="B33" s="32" t="s">
        <v>75</v>
      </c>
      <c r="C33" s="70" t="s">
        <v>76</v>
      </c>
      <c r="D33" s="72" t="s">
        <v>131</v>
      </c>
      <c r="E33" s="47">
        <v>1523</v>
      </c>
      <c r="F33" s="56">
        <v>1</v>
      </c>
      <c r="G33" s="10">
        <v>300</v>
      </c>
      <c r="H33" s="16">
        <f t="shared" si="9"/>
        <v>300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"/>
      <c r="Z33" s="9"/>
      <c r="AA33" s="8"/>
      <c r="AB33" s="53"/>
      <c r="AC33" s="8"/>
      <c r="AD33" s="11"/>
      <c r="AE33" s="8"/>
      <c r="AF33" s="11"/>
    </row>
    <row r="34" spans="2:32" ht="16.5" customHeight="1" outlineLevel="1" x14ac:dyDescent="0.25">
      <c r="B34" s="32" t="s">
        <v>137</v>
      </c>
      <c r="C34" s="70" t="s">
        <v>136</v>
      </c>
      <c r="D34" s="72" t="s">
        <v>138</v>
      </c>
      <c r="E34" s="47">
        <v>1721</v>
      </c>
      <c r="F34" s="56">
        <v>1</v>
      </c>
      <c r="G34" s="10"/>
      <c r="H34" s="16">
        <f t="shared" si="9"/>
        <v>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9"/>
      <c r="Z34" s="9"/>
      <c r="AA34" s="8"/>
      <c r="AB34" s="53"/>
      <c r="AC34" s="8"/>
      <c r="AD34" s="11"/>
      <c r="AE34" s="8"/>
      <c r="AF34" s="11"/>
    </row>
    <row r="35" spans="2:32" ht="16.5" customHeight="1" outlineLevel="1" x14ac:dyDescent="0.25">
      <c r="B35" s="32" t="s">
        <v>77</v>
      </c>
      <c r="C35" s="70" t="s">
        <v>78</v>
      </c>
      <c r="D35" s="72" t="s">
        <v>132</v>
      </c>
      <c r="E35" s="47">
        <v>1718</v>
      </c>
      <c r="F35" s="56">
        <v>0.45</v>
      </c>
      <c r="G35" s="10">
        <v>180</v>
      </c>
      <c r="H35" s="16">
        <f t="shared" si="9"/>
        <v>81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/>
      <c r="Z35" s="9"/>
      <c r="AA35" s="8"/>
      <c r="AB35" s="53"/>
      <c r="AC35" s="8"/>
      <c r="AD35" s="11"/>
      <c r="AE35" s="8"/>
      <c r="AF35" s="11"/>
    </row>
    <row r="36" spans="2:32" ht="16.5" customHeight="1" outlineLevel="1" x14ac:dyDescent="0.25">
      <c r="B36" s="32" t="s">
        <v>79</v>
      </c>
      <c r="C36" s="70" t="s">
        <v>80</v>
      </c>
      <c r="D36" s="72" t="s">
        <v>134</v>
      </c>
      <c r="E36" s="47">
        <v>246</v>
      </c>
      <c r="F36" s="56">
        <v>1</v>
      </c>
      <c r="G36" s="10">
        <v>200</v>
      </c>
      <c r="H36" s="16">
        <f t="shared" si="9"/>
        <v>200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8"/>
      <c r="AB36" s="53"/>
      <c r="AC36" s="8"/>
      <c r="AD36" s="11"/>
      <c r="AE36" s="8"/>
      <c r="AF36" s="11"/>
    </row>
    <row r="37" spans="2:32" ht="16.5" customHeight="1" outlineLevel="1" x14ac:dyDescent="0.25">
      <c r="B37" s="32" t="s">
        <v>81</v>
      </c>
      <c r="C37" s="70" t="s">
        <v>82</v>
      </c>
      <c r="D37" s="72" t="s">
        <v>135</v>
      </c>
      <c r="E37" s="47">
        <v>1720</v>
      </c>
      <c r="F37" s="56">
        <v>0.45</v>
      </c>
      <c r="G37" s="10">
        <v>200</v>
      </c>
      <c r="H37" s="16">
        <f t="shared" si="9"/>
        <v>90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9"/>
      <c r="AA37" s="8"/>
      <c r="AB37" s="53"/>
      <c r="AC37" s="8"/>
      <c r="AD37" s="11"/>
      <c r="AE37" s="8"/>
      <c r="AF37" s="11"/>
    </row>
    <row r="38" spans="2:32" ht="16.5" customHeight="1" outlineLevel="1" x14ac:dyDescent="0.25">
      <c r="B38" s="32" t="s">
        <v>83</v>
      </c>
      <c r="C38" s="70" t="s">
        <v>84</v>
      </c>
      <c r="D38" s="72" t="s">
        <v>139</v>
      </c>
      <c r="E38" s="47">
        <v>2618</v>
      </c>
      <c r="F38" s="56">
        <v>0.4</v>
      </c>
      <c r="G38" s="10">
        <v>250</v>
      </c>
      <c r="H38" s="16">
        <f t="shared" si="9"/>
        <v>100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9"/>
      <c r="AA38" s="8"/>
      <c r="AB38" s="53"/>
      <c r="AC38" s="8"/>
      <c r="AD38" s="11"/>
      <c r="AE38" s="8"/>
      <c r="AF38" s="11"/>
    </row>
    <row r="39" spans="2:32" ht="16.5" customHeight="1" outlineLevel="1" x14ac:dyDescent="0.25">
      <c r="B39" s="32" t="s">
        <v>85</v>
      </c>
      <c r="C39" s="70" t="s">
        <v>86</v>
      </c>
      <c r="D39" s="72" t="s">
        <v>133</v>
      </c>
      <c r="E39" s="47">
        <v>2074</v>
      </c>
      <c r="F39" s="56">
        <v>1</v>
      </c>
      <c r="G39" s="10"/>
      <c r="H39" s="16">
        <f t="shared" si="9"/>
        <v>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"/>
      <c r="Z39" s="9"/>
      <c r="AA39" s="8"/>
      <c r="AB39" s="53"/>
      <c r="AC39" s="8"/>
      <c r="AD39" s="11"/>
      <c r="AE39" s="8"/>
      <c r="AF39" s="11"/>
    </row>
    <row r="40" spans="2:32" ht="16.5" customHeight="1" outlineLevel="1" x14ac:dyDescent="0.25">
      <c r="B40" s="32" t="s">
        <v>88</v>
      </c>
      <c r="C40" s="47" t="s">
        <v>87</v>
      </c>
      <c r="D40" s="73" t="s">
        <v>107</v>
      </c>
      <c r="E40" s="47">
        <v>2928</v>
      </c>
      <c r="F40" s="40">
        <v>1</v>
      </c>
      <c r="G40" s="10">
        <v>300</v>
      </c>
      <c r="H40" s="16">
        <f t="shared" si="9"/>
        <v>300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  <c r="Z40" s="9"/>
      <c r="AA40" s="8"/>
      <c r="AB40" s="53"/>
      <c r="AC40" s="8"/>
      <c r="AD40" s="11"/>
      <c r="AE40" s="8"/>
      <c r="AF40" s="11"/>
    </row>
    <row r="41" spans="2:32" ht="16.5" customHeight="1" outlineLevel="1" x14ac:dyDescent="0.25">
      <c r="B41" s="32" t="s">
        <v>89</v>
      </c>
      <c r="C41" s="70" t="s">
        <v>90</v>
      </c>
      <c r="D41" s="73" t="s">
        <v>109</v>
      </c>
      <c r="E41" s="47">
        <v>722</v>
      </c>
      <c r="F41" s="56">
        <v>1</v>
      </c>
      <c r="G41" s="10">
        <v>300</v>
      </c>
      <c r="H41" s="16">
        <f t="shared" si="9"/>
        <v>300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9"/>
      <c r="Z41" s="9"/>
      <c r="AA41" s="8"/>
      <c r="AB41" s="53"/>
      <c r="AC41" s="8"/>
      <c r="AD41" s="11"/>
      <c r="AE41" s="8"/>
      <c r="AF41" s="11"/>
    </row>
    <row r="42" spans="2:32" ht="16.5" customHeight="1" outlineLevel="1" x14ac:dyDescent="0.25">
      <c r="B42" s="32" t="s">
        <v>91</v>
      </c>
      <c r="C42" s="70" t="s">
        <v>92</v>
      </c>
      <c r="D42" s="47"/>
      <c r="E42" s="47">
        <v>227</v>
      </c>
      <c r="F42" s="56">
        <v>1</v>
      </c>
      <c r="G42" s="10"/>
      <c r="H42" s="59">
        <f t="shared" si="9"/>
        <v>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9"/>
      <c r="Z42" s="9"/>
      <c r="AA42" s="8"/>
      <c r="AB42" s="53"/>
      <c r="AC42" s="8"/>
      <c r="AD42" s="11"/>
      <c r="AE42" s="8"/>
      <c r="AF42" s="11"/>
    </row>
    <row r="43" spans="2:32" s="3" customFormat="1" ht="19.5" hidden="1" collapsed="1" thickBot="1" x14ac:dyDescent="0.3">
      <c r="B43" s="32"/>
      <c r="C43" s="22" t="s">
        <v>13</v>
      </c>
      <c r="D43" s="22"/>
      <c r="E43" s="17"/>
      <c r="F43" s="27"/>
      <c r="G43" s="17">
        <f>G44</f>
        <v>250</v>
      </c>
      <c r="H43" s="30">
        <f>SUM(H44:H44)</f>
        <v>250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7"/>
      <c r="Z43" s="7"/>
      <c r="AA43" s="6"/>
      <c r="AB43" s="12"/>
      <c r="AC43" s="15"/>
      <c r="AD43" s="13">
        <f>SUM(AD44:AD44)</f>
        <v>1</v>
      </c>
      <c r="AE43" s="15"/>
      <c r="AF43" s="13" t="e">
        <f>SUM(AF44:AF44)</f>
        <v>#REF!</v>
      </c>
    </row>
    <row r="44" spans="2:32" ht="16.5" hidden="1" customHeight="1" outlineLevel="1" thickBot="1" x14ac:dyDescent="0.3">
      <c r="C44" s="24" t="s">
        <v>12</v>
      </c>
      <c r="D44" s="73" t="s">
        <v>128</v>
      </c>
      <c r="E44" s="48"/>
      <c r="F44" s="29">
        <v>1</v>
      </c>
      <c r="G44" s="79">
        <v>250</v>
      </c>
      <c r="H44" s="16">
        <f t="shared" ref="H44" si="10">G44*F44</f>
        <v>250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8"/>
      <c r="AB44" s="11">
        <v>1</v>
      </c>
      <c r="AC44" s="8"/>
      <c r="AD44" s="11">
        <f t="shared" ref="AD44" si="11">AB44*F44</f>
        <v>1</v>
      </c>
      <c r="AE44" s="8"/>
      <c r="AF44" s="11" t="e">
        <f>AB44*#REF!</f>
        <v>#REF!</v>
      </c>
    </row>
    <row r="45" spans="2:32" s="3" customFormat="1" ht="19.5" hidden="1" collapsed="1" thickBot="1" x14ac:dyDescent="0.3">
      <c r="B45" s="33"/>
      <c r="C45" s="50" t="s">
        <v>48</v>
      </c>
      <c r="D45" s="50"/>
      <c r="E45" s="17"/>
      <c r="F45" s="17"/>
      <c r="G45" s="10"/>
      <c r="H45" s="21">
        <f>H46</f>
        <v>0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6"/>
      <c r="Z45" s="46"/>
      <c r="AA45" s="45"/>
      <c r="AB45" s="45"/>
      <c r="AC45" s="45"/>
      <c r="AD45" s="45"/>
      <c r="AE45" s="45"/>
      <c r="AF45" s="45"/>
    </row>
    <row r="46" spans="2:32" ht="16.5" hidden="1" customHeight="1" outlineLevel="1" thickBot="1" x14ac:dyDescent="0.3">
      <c r="C46" s="51" t="s">
        <v>49</v>
      </c>
      <c r="D46" s="51"/>
      <c r="E46" s="52">
        <v>8487</v>
      </c>
      <c r="F46" s="42">
        <v>1</v>
      </c>
      <c r="G46" s="10"/>
      <c r="H46" s="43">
        <f>G46*F46</f>
        <v>0</v>
      </c>
    </row>
    <row r="47" spans="2:32" s="3" customFormat="1" ht="19.5" hidden="1" collapsed="1" thickBot="1" x14ac:dyDescent="0.3">
      <c r="B47" s="33"/>
      <c r="C47" s="27" t="s">
        <v>41</v>
      </c>
      <c r="D47" s="27"/>
      <c r="E47" s="27"/>
      <c r="F47" s="27"/>
      <c r="G47" s="27">
        <f>SUM(G48:G59)</f>
        <v>1252</v>
      </c>
      <c r="H47" s="57">
        <f>SUM(H48:H59)</f>
        <v>316.60000000000002</v>
      </c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6"/>
      <c r="Z47" s="46"/>
      <c r="AA47" s="45"/>
      <c r="AB47" s="45"/>
      <c r="AC47" s="45"/>
      <c r="AD47" s="45"/>
      <c r="AE47" s="45"/>
      <c r="AF47" s="45"/>
    </row>
    <row r="48" spans="2:32" ht="16.5" hidden="1" customHeight="1" outlineLevel="1" x14ac:dyDescent="0.25">
      <c r="C48" s="35" t="s">
        <v>42</v>
      </c>
      <c r="D48" s="74" t="s">
        <v>42</v>
      </c>
      <c r="E48" s="64"/>
      <c r="F48" s="61">
        <v>0.25</v>
      </c>
      <c r="G48" s="10"/>
      <c r="H48" s="43">
        <f>G48*F48</f>
        <v>0</v>
      </c>
    </row>
    <row r="49" spans="3:32" ht="16.5" hidden="1" customHeight="1" outlineLevel="1" x14ac:dyDescent="0.25">
      <c r="C49" s="36" t="s">
        <v>47</v>
      </c>
      <c r="D49" s="66"/>
      <c r="E49" s="60"/>
      <c r="F49" s="62">
        <v>0.25</v>
      </c>
      <c r="G49" s="10"/>
      <c r="H49" s="16">
        <f>G49*F49</f>
        <v>0</v>
      </c>
    </row>
    <row r="50" spans="3:32" ht="16.5" hidden="1" customHeight="1" outlineLevel="1" x14ac:dyDescent="0.25">
      <c r="C50" s="36" t="s">
        <v>95</v>
      </c>
      <c r="D50" s="74" t="s">
        <v>95</v>
      </c>
      <c r="E50" s="60"/>
      <c r="F50" s="62">
        <v>0.3</v>
      </c>
      <c r="G50" s="10">
        <v>120</v>
      </c>
      <c r="H50" s="16"/>
    </row>
    <row r="51" spans="3:32" ht="16.5" hidden="1" customHeight="1" outlineLevel="1" x14ac:dyDescent="0.25">
      <c r="C51" s="36" t="s">
        <v>43</v>
      </c>
      <c r="D51" s="74" t="s">
        <v>43</v>
      </c>
      <c r="E51" s="60"/>
      <c r="F51" s="62">
        <v>0.3</v>
      </c>
      <c r="G51" s="10">
        <v>120</v>
      </c>
      <c r="H51" s="16">
        <f t="shared" ref="H51:H59" si="12">G51*F51</f>
        <v>36</v>
      </c>
    </row>
    <row r="52" spans="3:32" ht="18.75" hidden="1" customHeight="1" outlineLevel="1" x14ac:dyDescent="0.25">
      <c r="C52" s="36" t="s">
        <v>44</v>
      </c>
      <c r="D52" s="74" t="s">
        <v>44</v>
      </c>
      <c r="E52" s="60"/>
      <c r="F52" s="62">
        <v>0.25</v>
      </c>
      <c r="G52" s="10">
        <v>240</v>
      </c>
      <c r="H52" s="16">
        <f t="shared" si="12"/>
        <v>60</v>
      </c>
    </row>
    <row r="53" spans="3:32" ht="18.75" hidden="1" customHeight="1" outlineLevel="1" x14ac:dyDescent="0.25">
      <c r="C53" s="36" t="s">
        <v>96</v>
      </c>
      <c r="D53" s="74" t="s">
        <v>96</v>
      </c>
      <c r="E53" s="60"/>
      <c r="F53" s="62">
        <v>0.3</v>
      </c>
      <c r="G53" s="10"/>
      <c r="H53" s="16">
        <f t="shared" si="12"/>
        <v>0</v>
      </c>
    </row>
    <row r="54" spans="3:32" ht="18.75" hidden="1" customHeight="1" outlineLevel="1" x14ac:dyDescent="0.25">
      <c r="C54" s="36" t="s">
        <v>97</v>
      </c>
      <c r="D54" s="74" t="s">
        <v>97</v>
      </c>
      <c r="E54" s="60"/>
      <c r="F54" s="62">
        <v>0.24</v>
      </c>
      <c r="G54" s="10">
        <v>120</v>
      </c>
      <c r="H54" s="16">
        <f t="shared" si="12"/>
        <v>28.799999999999997</v>
      </c>
    </row>
    <row r="55" spans="3:32" ht="16.5" hidden="1" customHeight="1" outlineLevel="1" x14ac:dyDescent="0.25">
      <c r="C55" s="36" t="s">
        <v>45</v>
      </c>
      <c r="D55" s="74" t="s">
        <v>45</v>
      </c>
      <c r="E55" s="60"/>
      <c r="F55" s="62">
        <v>0.25</v>
      </c>
      <c r="G55" s="10">
        <v>180</v>
      </c>
      <c r="H55" s="16">
        <f t="shared" si="12"/>
        <v>45</v>
      </c>
    </row>
    <row r="56" spans="3:32" ht="16.5" hidden="1" customHeight="1" outlineLevel="1" x14ac:dyDescent="0.25">
      <c r="C56" s="36" t="s">
        <v>46</v>
      </c>
      <c r="D56" s="74" t="s">
        <v>46</v>
      </c>
      <c r="E56" s="60"/>
      <c r="F56" s="62">
        <v>0.25</v>
      </c>
      <c r="G56" s="10">
        <v>240</v>
      </c>
      <c r="H56" s="16">
        <f t="shared" si="12"/>
        <v>60</v>
      </c>
    </row>
    <row r="57" spans="3:32" ht="16.5" hidden="1" customHeight="1" outlineLevel="1" x14ac:dyDescent="0.25">
      <c r="C57" s="36" t="s">
        <v>98</v>
      </c>
      <c r="D57" s="74" t="s">
        <v>98</v>
      </c>
      <c r="E57" s="60"/>
      <c r="F57" s="62">
        <v>0.25</v>
      </c>
      <c r="G57" s="10">
        <v>72</v>
      </c>
      <c r="H57" s="16">
        <f t="shared" si="12"/>
        <v>18</v>
      </c>
    </row>
    <row r="58" spans="3:32" ht="16.5" hidden="1" customHeight="1" outlineLevel="1" x14ac:dyDescent="0.25">
      <c r="C58" s="75"/>
      <c r="D58" s="76" t="s">
        <v>140</v>
      </c>
      <c r="E58" s="77"/>
      <c r="F58" s="78">
        <v>0.43</v>
      </c>
      <c r="G58" s="10">
        <v>160</v>
      </c>
      <c r="H58" s="59">
        <f t="shared" si="12"/>
        <v>68.8</v>
      </c>
    </row>
    <row r="59" spans="3:32" ht="16.5" hidden="1" customHeight="1" outlineLevel="1" thickBot="1" x14ac:dyDescent="0.3">
      <c r="C59" s="37" t="s">
        <v>99</v>
      </c>
      <c r="D59" s="67"/>
      <c r="E59" s="65"/>
      <c r="F59" s="63">
        <v>0.36</v>
      </c>
      <c r="G59" s="10"/>
      <c r="H59" s="44">
        <f t="shared" si="12"/>
        <v>0</v>
      </c>
    </row>
    <row r="60" spans="3:32" ht="19.5" hidden="1" thickBot="1" x14ac:dyDescent="0.3">
      <c r="C60" s="41"/>
      <c r="D60" s="41"/>
      <c r="E60" s="34"/>
      <c r="F60" s="38"/>
      <c r="G60" s="39">
        <f>G47+G45+G43+G3</f>
        <v>17276</v>
      </c>
      <c r="H60" s="38">
        <f>H47+H45+H43+H3</f>
        <v>15833.000000000002</v>
      </c>
      <c r="AB60" s="18"/>
      <c r="AC60" s="18"/>
      <c r="AD60" s="18"/>
      <c r="AE60" s="18"/>
      <c r="AF60" s="18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2026-01-27T08:31:23Z</dcterms:modified>
</cp:coreProperties>
</file>