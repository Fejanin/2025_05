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918B444C-08FE-4B2E-9AE0-CE28AECFFF6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Y339" i="1" s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Z287" i="1"/>
  <c r="Y287" i="1"/>
  <c r="P287" i="1"/>
  <c r="BO286" i="1"/>
  <c r="BM286" i="1"/>
  <c r="Y286" i="1"/>
  <c r="Y288" i="1" s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BP195" i="1" s="1"/>
  <c r="P195" i="1"/>
  <c r="BO194" i="1"/>
  <c r="BM194" i="1"/>
  <c r="Y194" i="1"/>
  <c r="J504" i="1" s="1"/>
  <c r="P194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X181" i="1"/>
  <c r="X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Y180" i="1" s="1"/>
  <c r="P166" i="1"/>
  <c r="X164" i="1"/>
  <c r="X163" i="1"/>
  <c r="BO162" i="1"/>
  <c r="BM162" i="1"/>
  <c r="Y162" i="1"/>
  <c r="Y163" i="1" s="1"/>
  <c r="P162" i="1"/>
  <c r="X158" i="1"/>
  <c r="X157" i="1"/>
  <c r="BO156" i="1"/>
  <c r="BM156" i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H50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Y201" i="1" l="1"/>
  <c r="BN199" i="1"/>
  <c r="Z199" i="1"/>
  <c r="BP200" i="1"/>
  <c r="BN200" i="1"/>
  <c r="Z200" i="1"/>
  <c r="BP204" i="1"/>
  <c r="BN204" i="1"/>
  <c r="Z204" i="1"/>
  <c r="BP228" i="1"/>
  <c r="BN228" i="1"/>
  <c r="Z228" i="1"/>
  <c r="BP233" i="1"/>
  <c r="BN233" i="1"/>
  <c r="Z233" i="1"/>
  <c r="BP262" i="1"/>
  <c r="BN262" i="1"/>
  <c r="Z262" i="1"/>
  <c r="BP291" i="1"/>
  <c r="BN291" i="1"/>
  <c r="Z291" i="1"/>
  <c r="BP318" i="1"/>
  <c r="BN318" i="1"/>
  <c r="Z318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Z22" i="1"/>
  <c r="BN22" i="1"/>
  <c r="Y25" i="1"/>
  <c r="Z42" i="1"/>
  <c r="BN42" i="1"/>
  <c r="Z60" i="1"/>
  <c r="BN60" i="1"/>
  <c r="Y63" i="1"/>
  <c r="Z74" i="1"/>
  <c r="BN74" i="1"/>
  <c r="Z91" i="1"/>
  <c r="BN91" i="1"/>
  <c r="Z108" i="1"/>
  <c r="BN108" i="1"/>
  <c r="Z127" i="1"/>
  <c r="BN127" i="1"/>
  <c r="Z148" i="1"/>
  <c r="BN148" i="1"/>
  <c r="Z168" i="1"/>
  <c r="BN168" i="1"/>
  <c r="BP176" i="1"/>
  <c r="BN176" i="1"/>
  <c r="Z176" i="1"/>
  <c r="BP216" i="1"/>
  <c r="BN216" i="1"/>
  <c r="Z216" i="1"/>
  <c r="BP241" i="1"/>
  <c r="BN241" i="1"/>
  <c r="Z241" i="1"/>
  <c r="BP273" i="1"/>
  <c r="BN273" i="1"/>
  <c r="Z273" i="1"/>
  <c r="BP306" i="1"/>
  <c r="BN306" i="1"/>
  <c r="Z306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Y213" i="1"/>
  <c r="BP302" i="1"/>
  <c r="BN302" i="1"/>
  <c r="Z302" i="1"/>
  <c r="BP316" i="1"/>
  <c r="BN316" i="1"/>
  <c r="Z316" i="1"/>
  <c r="Y332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X498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Z56" i="1"/>
  <c r="BN56" i="1"/>
  <c r="Z62" i="1"/>
  <c r="BN62" i="1"/>
  <c r="Y68" i="1"/>
  <c r="Z72" i="1"/>
  <c r="BN72" i="1"/>
  <c r="Z78" i="1"/>
  <c r="BN78" i="1"/>
  <c r="BP78" i="1"/>
  <c r="Z87" i="1"/>
  <c r="BN87" i="1"/>
  <c r="Y95" i="1"/>
  <c r="Z93" i="1"/>
  <c r="BN93" i="1"/>
  <c r="Z102" i="1"/>
  <c r="BN102" i="1"/>
  <c r="Z110" i="1"/>
  <c r="BN110" i="1"/>
  <c r="Z116" i="1"/>
  <c r="BN116" i="1"/>
  <c r="G504" i="1"/>
  <c r="Z131" i="1"/>
  <c r="BN131" i="1"/>
  <c r="BP131" i="1"/>
  <c r="Y134" i="1"/>
  <c r="Z142" i="1"/>
  <c r="BN142" i="1"/>
  <c r="BP142" i="1"/>
  <c r="Y145" i="1"/>
  <c r="Y153" i="1"/>
  <c r="Z150" i="1"/>
  <c r="BN150" i="1"/>
  <c r="Z156" i="1"/>
  <c r="Z157" i="1" s="1"/>
  <c r="BN156" i="1"/>
  <c r="BP156" i="1"/>
  <c r="Y157" i="1"/>
  <c r="Z162" i="1"/>
  <c r="Z163" i="1" s="1"/>
  <c r="BN162" i="1"/>
  <c r="BP162" i="1"/>
  <c r="Z166" i="1"/>
  <c r="BN166" i="1"/>
  <c r="BP166" i="1"/>
  <c r="Y181" i="1"/>
  <c r="Z170" i="1"/>
  <c r="BN170" i="1"/>
  <c r="Z174" i="1"/>
  <c r="BN174" i="1"/>
  <c r="Z178" i="1"/>
  <c r="BN178" i="1"/>
  <c r="Y187" i="1"/>
  <c r="Z195" i="1"/>
  <c r="BN195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5" i="1"/>
  <c r="Z246" i="1" s="1"/>
  <c r="BN245" i="1"/>
  <c r="BP245" i="1"/>
  <c r="Y246" i="1"/>
  <c r="Z249" i="1"/>
  <c r="Z250" i="1" s="1"/>
  <c r="BN249" i="1"/>
  <c r="BP249" i="1"/>
  <c r="Y250" i="1"/>
  <c r="Z253" i="1"/>
  <c r="BN253" i="1"/>
  <c r="Z257" i="1"/>
  <c r="BN257" i="1"/>
  <c r="Z264" i="1"/>
  <c r="BN264" i="1"/>
  <c r="Z271" i="1"/>
  <c r="BN271" i="1"/>
  <c r="Y276" i="1"/>
  <c r="Z280" i="1"/>
  <c r="BN280" i="1"/>
  <c r="BP287" i="1"/>
  <c r="BN287" i="1"/>
  <c r="BP298" i="1"/>
  <c r="BN298" i="1"/>
  <c r="Z298" i="1"/>
  <c r="BP308" i="1"/>
  <c r="BN308" i="1"/>
  <c r="Z308" i="1"/>
  <c r="BP322" i="1"/>
  <c r="BN322" i="1"/>
  <c r="Z322" i="1"/>
  <c r="Z325" i="1" s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Y293" i="1"/>
  <c r="Y325" i="1"/>
  <c r="Y389" i="1"/>
  <c r="Y388" i="1"/>
  <c r="Y487" i="1"/>
  <c r="H9" i="1"/>
  <c r="A10" i="1"/>
  <c r="B504" i="1"/>
  <c r="X495" i="1"/>
  <c r="X496" i="1"/>
  <c r="Z23" i="1"/>
  <c r="Z24" i="1" s="1"/>
  <c r="BN23" i="1"/>
  <c r="BP23" i="1"/>
  <c r="Y24" i="1"/>
  <c r="X494" i="1"/>
  <c r="Z27" i="1"/>
  <c r="BN27" i="1"/>
  <c r="BP27" i="1"/>
  <c r="Z29" i="1"/>
  <c r="BN29" i="1"/>
  <c r="Y32" i="1"/>
  <c r="C504" i="1"/>
  <c r="Z41" i="1"/>
  <c r="BN41" i="1"/>
  <c r="BP41" i="1"/>
  <c r="Y44" i="1"/>
  <c r="D504" i="1"/>
  <c r="Y58" i="1"/>
  <c r="Z52" i="1"/>
  <c r="BN52" i="1"/>
  <c r="Z54" i="1"/>
  <c r="BN54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504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3" i="1"/>
  <c r="Y122" i="1"/>
  <c r="BP121" i="1"/>
  <c r="BN121" i="1"/>
  <c r="Z121" i="1"/>
  <c r="Z122" i="1" s="1"/>
  <c r="F9" i="1"/>
  <c r="J9" i="1"/>
  <c r="Y57" i="1"/>
  <c r="BP61" i="1"/>
  <c r="BN61" i="1"/>
  <c r="Z61" i="1"/>
  <c r="BP73" i="1"/>
  <c r="BN73" i="1"/>
  <c r="Z73" i="1"/>
  <c r="BP86" i="1"/>
  <c r="BN86" i="1"/>
  <c r="Z86" i="1"/>
  <c r="BP94" i="1"/>
  <c r="BN94" i="1"/>
  <c r="Z94" i="1"/>
  <c r="Y96" i="1"/>
  <c r="F504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Z126" i="1"/>
  <c r="Z128" i="1" s="1"/>
  <c r="BN126" i="1"/>
  <c r="BP126" i="1"/>
  <c r="Y129" i="1"/>
  <c r="Z132" i="1"/>
  <c r="BN132" i="1"/>
  <c r="BP132" i="1"/>
  <c r="Z136" i="1"/>
  <c r="Z138" i="1" s="1"/>
  <c r="BN136" i="1"/>
  <c r="BP136" i="1"/>
  <c r="Y139" i="1"/>
  <c r="Z143" i="1"/>
  <c r="Z144" i="1" s="1"/>
  <c r="BN143" i="1"/>
  <c r="BP143" i="1"/>
  <c r="Y144" i="1"/>
  <c r="Z147" i="1"/>
  <c r="Z153" i="1" s="1"/>
  <c r="BN147" i="1"/>
  <c r="BP147" i="1"/>
  <c r="Z149" i="1"/>
  <c r="BN149" i="1"/>
  <c r="Z151" i="1"/>
  <c r="BN151" i="1"/>
  <c r="Y154" i="1"/>
  <c r="I504" i="1"/>
  <c r="Y164" i="1"/>
  <c r="Z167" i="1"/>
  <c r="Z180" i="1" s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3" i="1"/>
  <c r="BN183" i="1"/>
  <c r="BP183" i="1"/>
  <c r="Z185" i="1"/>
  <c r="BN185" i="1"/>
  <c r="Y186" i="1"/>
  <c r="Z189" i="1"/>
  <c r="Z190" i="1" s="1"/>
  <c r="BN189" i="1"/>
  <c r="BP189" i="1"/>
  <c r="Y190" i="1"/>
  <c r="Z194" i="1"/>
  <c r="BN194" i="1"/>
  <c r="BP194" i="1"/>
  <c r="Y197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BP274" i="1"/>
  <c r="BN274" i="1"/>
  <c r="Z274" i="1"/>
  <c r="O504" i="1"/>
  <c r="Y282" i="1"/>
  <c r="BP279" i="1"/>
  <c r="BN279" i="1"/>
  <c r="Z279" i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BP337" i="1"/>
  <c r="BN337" i="1"/>
  <c r="Z337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Y382" i="1"/>
  <c r="Q504" i="1"/>
  <c r="Y128" i="1"/>
  <c r="Y196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BP281" i="1"/>
  <c r="BN281" i="1"/>
  <c r="Z281" i="1"/>
  <c r="Y283" i="1"/>
  <c r="P504" i="1"/>
  <c r="Y289" i="1"/>
  <c r="BP286" i="1"/>
  <c r="BN286" i="1"/>
  <c r="Z286" i="1"/>
  <c r="Z288" i="1" s="1"/>
  <c r="BP299" i="1"/>
  <c r="BN299" i="1"/>
  <c r="Z299" i="1"/>
  <c r="Y303" i="1"/>
  <c r="BP307" i="1"/>
  <c r="BN307" i="1"/>
  <c r="Z307" i="1"/>
  <c r="BP311" i="1"/>
  <c r="BN311" i="1"/>
  <c r="Z311" i="1"/>
  <c r="Y313" i="1"/>
  <c r="Y320" i="1"/>
  <c r="BP315" i="1"/>
  <c r="BN315" i="1"/>
  <c r="Z315" i="1"/>
  <c r="Y319" i="1"/>
  <c r="BP323" i="1"/>
  <c r="BN323" i="1"/>
  <c r="Z323" i="1"/>
  <c r="BP331" i="1"/>
  <c r="BN331" i="1"/>
  <c r="Z331" i="1"/>
  <c r="Y333" i="1"/>
  <c r="Y338" i="1"/>
  <c r="BP335" i="1"/>
  <c r="BN335" i="1"/>
  <c r="Z335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Y363" i="1"/>
  <c r="Y368" i="1"/>
  <c r="BP365" i="1"/>
  <c r="BN365" i="1"/>
  <c r="Z365" i="1"/>
  <c r="Z367" i="1" s="1"/>
  <c r="BP386" i="1"/>
  <c r="BN386" i="1"/>
  <c r="Z386" i="1"/>
  <c r="Z388" i="1" s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BP452" i="1"/>
  <c r="BN452" i="1"/>
  <c r="Z452" i="1"/>
  <c r="BP466" i="1"/>
  <c r="BN466" i="1"/>
  <c r="Z466" i="1"/>
  <c r="Z469" i="1" s="1"/>
  <c r="BP486" i="1"/>
  <c r="BN486" i="1"/>
  <c r="Z486" i="1"/>
  <c r="Y488" i="1"/>
  <c r="Z504" i="1"/>
  <c r="Y492" i="1"/>
  <c r="BP491" i="1"/>
  <c r="BN491" i="1"/>
  <c r="Z491" i="1"/>
  <c r="Z492" i="1" s="1"/>
  <c r="Y493" i="1"/>
  <c r="Y441" i="1"/>
  <c r="Z487" i="1" l="1"/>
  <c r="Z362" i="1"/>
  <c r="Z407" i="1"/>
  <c r="Z319" i="1"/>
  <c r="Z312" i="1"/>
  <c r="Z275" i="1"/>
  <c r="Z267" i="1"/>
  <c r="Z133" i="1"/>
  <c r="Z63" i="1"/>
  <c r="Z57" i="1"/>
  <c r="Z43" i="1"/>
  <c r="Z258" i="1"/>
  <c r="Z201" i="1"/>
  <c r="Y495" i="1"/>
  <c r="Y494" i="1"/>
  <c r="Z447" i="1"/>
  <c r="Z441" i="1"/>
  <c r="Z402" i="1"/>
  <c r="Z357" i="1"/>
  <c r="Z338" i="1"/>
  <c r="Z242" i="1"/>
  <c r="Z382" i="1"/>
  <c r="Z196" i="1"/>
  <c r="Y496" i="1"/>
  <c r="Z80" i="1"/>
  <c r="Z456" i="1"/>
  <c r="Z419" i="1"/>
  <c r="Z332" i="1"/>
  <c r="Z303" i="1"/>
  <c r="Z282" i="1"/>
  <c r="X497" i="1"/>
  <c r="Z345" i="1"/>
  <c r="Z224" i="1"/>
  <c r="Z186" i="1"/>
  <c r="Z104" i="1"/>
  <c r="Z95" i="1"/>
  <c r="Z88" i="1"/>
  <c r="Z75" i="1"/>
  <c r="Z31" i="1"/>
  <c r="Y498" i="1"/>
  <c r="Z499" i="1" l="1"/>
  <c r="Y497" i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<sst xmlns="http://schemas.openxmlformats.org/spreadsheetml/2006/main" count="2363" uniqueCount="776">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</sst>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76" zoomScaleNormal="100" zoomScaleSheetLayoutView="100" workbookViewId="0">
      <selection activeCell="Y500" sqref="Y50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1" t="s">
        <v>0</v>
      </c>
      <c r="E1" s="582"/>
      <c r="F1" s="582"/>
      <c r="G1" s="12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5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80"/>
      <c r="W7" s="781"/>
      <c r="AB7" s="51"/>
      <c r="AC7" s="51"/>
      <c r="AD7" s="51"/>
      <c r="AE7" s="51"/>
    </row>
    <row r="8" spans="1:32" s="545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6">
        <v>0.41666666666666669</v>
      </c>
      <c r="R8" s="611"/>
      <c r="T8" s="564"/>
      <c r="U8" s="691"/>
      <c r="V8" s="780"/>
      <c r="W8" s="781"/>
      <c r="AB8" s="51"/>
      <c r="AC8" s="51"/>
      <c r="AD8" s="51"/>
      <c r="AE8" s="51"/>
    </row>
    <row r="9" spans="1:32" s="545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3"/>
      <c r="P9" s="26" t="s">
        <v>21</v>
      </c>
      <c r="Q9" s="670"/>
      <c r="R9" s="671"/>
      <c r="T9" s="564"/>
      <c r="U9" s="691"/>
      <c r="V9" s="782"/>
      <c r="W9" s="783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6"/>
      <c r="R12" s="611"/>
      <c r="S12" s="23"/>
      <c r="U12" s="24"/>
      <c r="V12" s="582"/>
      <c r="W12" s="564"/>
      <c r="AB12" s="51"/>
      <c r="AC12" s="51"/>
      <c r="AD12" s="51"/>
      <c r="AE12" s="51"/>
    </row>
    <row r="13" spans="1:32" s="545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10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1"/>
      <c r="Q16" s="711"/>
      <c r="R16" s="711"/>
      <c r="S16" s="711"/>
      <c r="T16" s="7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400</v>
      </c>
      <c r="Y40" s="552">
        <f>IFERROR(IF(X40="",0,CEILING((X40/$H40),1)*$H40),"")</f>
        <v>410.40000000000003</v>
      </c>
      <c r="Z40" s="36">
        <f>IFERROR(IF(Y40=0,"",ROUNDUP(Y40/H40,0)*0.01898),"")</f>
        <v>0.72123999999999999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415.18518518518516</v>
      </c>
      <c r="BN40" s="64">
        <f>IFERROR(Y40*I40/H40,"0")</f>
        <v>425.98</v>
      </c>
      <c r="BO40" s="64">
        <f>IFERROR(1/J40*(X40/H40),"0")</f>
        <v>0.57870370370370372</v>
      </c>
      <c r="BP40" s="64">
        <f>IFERROR(1/J40*(Y40/H40),"0")</f>
        <v>0.59375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160</v>
      </c>
      <c r="Y41" s="552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77.037037037037038</v>
      </c>
      <c r="Y43" s="553">
        <f>IFERROR(Y40/H40,"0")+IFERROR(Y41/H41,"0")+IFERROR(Y42/H42,"0")</f>
        <v>78</v>
      </c>
      <c r="Z43" s="553">
        <f>IFERROR(IF(Z40="",0,Z40),"0")+IFERROR(IF(Z41="",0,Z41),"0")+IFERROR(IF(Z42="",0,Z42),"0")</f>
        <v>1.0820400000000001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560</v>
      </c>
      <c r="Y44" s="553">
        <f>IFERROR(SUM(Y40:Y42),"0")</f>
        <v>570.40000000000009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200</v>
      </c>
      <c r="Y52" s="55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360</v>
      </c>
      <c r="Y56" s="552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98.518518518518519</v>
      </c>
      <c r="Y57" s="553">
        <f>IFERROR(Y51/H51,"0")+IFERROR(Y52/H52,"0")+IFERROR(Y53/H53,"0")+IFERROR(Y54/H54,"0")+IFERROR(Y55/H55,"0")+IFERROR(Y56/H56,"0")</f>
        <v>99</v>
      </c>
      <c r="Z57" s="553">
        <f>IFERROR(IF(Z51="",0,Z51),"0")+IFERROR(IF(Z52="",0,Z52),"0")+IFERROR(IF(Z53="",0,Z53),"0")+IFERROR(IF(Z54="",0,Z54),"0")+IFERROR(IF(Z55="",0,Z55),"0")+IFERROR(IF(Z56="",0,Z56),"0")</f>
        <v>1.08222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560</v>
      </c>
      <c r="Y58" s="553">
        <f>IFERROR(SUM(Y51:Y56),"0")</f>
        <v>565.20000000000005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400</v>
      </c>
      <c r="Y60" s="552">
        <f>IFERROR(IF(X60="",0,CEILING((X60/$H60),1)*$H60),"")</f>
        <v>410.40000000000003</v>
      </c>
      <c r="Z60" s="36">
        <f>IFERROR(IF(Y60=0,"",ROUNDUP(Y60/H60,0)*0.01898),"")</f>
        <v>0.72123999999999999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415.18518518518516</v>
      </c>
      <c r="BN60" s="64">
        <f>IFERROR(Y60*I60/H60,"0")</f>
        <v>425.98</v>
      </c>
      <c r="BO60" s="64">
        <f>IFERROR(1/J60*(X60/H60),"0")</f>
        <v>0.57870370370370372</v>
      </c>
      <c r="BP60" s="64">
        <f>IFERROR(1/J60*(Y60/H60),"0")</f>
        <v>0.59375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108</v>
      </c>
      <c r="Y62" s="552">
        <f>IFERROR(IF(X62="",0,CEILING((X62/$H62),1)*$H62),"")</f>
        <v>108</v>
      </c>
      <c r="Z62" s="36">
        <f>IFERROR(IF(Y62=0,"",ROUNDUP(Y62/H62,0)*0.00651),"")</f>
        <v>0.26040000000000002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115.19999999999997</v>
      </c>
      <c r="BN62" s="64">
        <f>IFERROR(Y62*I62/H62,"0")</f>
        <v>115.19999999999997</v>
      </c>
      <c r="BO62" s="64">
        <f>IFERROR(1/J62*(X62/H62),"0")</f>
        <v>0.2197802197802198</v>
      </c>
      <c r="BP62" s="64">
        <f>IFERROR(1/J62*(Y62/H62),"0")</f>
        <v>0.2197802197802198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77.037037037037038</v>
      </c>
      <c r="Y63" s="553">
        <f>IFERROR(Y60/H60,"0")+IFERROR(Y61/H61,"0")+IFERROR(Y62/H62,"0")</f>
        <v>78</v>
      </c>
      <c r="Z63" s="553">
        <f>IFERROR(IF(Z60="",0,Z60),"0")+IFERROR(IF(Z61="",0,Z61),"0")+IFERROR(IF(Z62="",0,Z62),"0")</f>
        <v>0.98164000000000007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508</v>
      </c>
      <c r="Y64" s="553">
        <f>IFERROR(SUM(Y60:Y62),"0")</f>
        <v>518.40000000000009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280</v>
      </c>
      <c r="Y84" s="552">
        <f>IFERROR(IF(X84="",0,CEILING((X84/$H84),1)*$H84),"")</f>
        <v>280.8</v>
      </c>
      <c r="Z84" s="36">
        <f>IFERROR(IF(Y84=0,"",ROUNDUP(Y84/H84,0)*0.01898),"")</f>
        <v>0.49348000000000003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290.62962962962962</v>
      </c>
      <c r="BN84" s="64">
        <f>IFERROR(Y84*I84/H84,"0")</f>
        <v>291.46000000000004</v>
      </c>
      <c r="BO84" s="64">
        <f>IFERROR(1/J84*(X84/H84),"0")</f>
        <v>0.40509259259259256</v>
      </c>
      <c r="BP84" s="64">
        <f>IFERROR(1/J84*(Y84/H84),"0")</f>
        <v>0.40625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157.5</v>
      </c>
      <c r="Y87" s="552">
        <f>IFERROR(IF(X87="",0,CEILING((X87/$H87),1)*$H87),"")</f>
        <v>157.5</v>
      </c>
      <c r="Z87" s="36">
        <f>IFERROR(IF(Y87=0,"",ROUNDUP(Y87/H87,0)*0.00902),"")</f>
        <v>0.31569999999999998</v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164.15</v>
      </c>
      <c r="BN87" s="64">
        <f>IFERROR(Y87*I87/H87,"0")</f>
        <v>164.15</v>
      </c>
      <c r="BO87" s="64">
        <f>IFERROR(1/J87*(X87/H87),"0")</f>
        <v>0.26515151515151514</v>
      </c>
      <c r="BP87" s="64">
        <f>IFERROR(1/J87*(Y87/H87),"0")</f>
        <v>0.26515151515151514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60.925925925925924</v>
      </c>
      <c r="Y88" s="553">
        <f>IFERROR(Y84/H84,"0")+IFERROR(Y85/H85,"0")+IFERROR(Y86/H86,"0")+IFERROR(Y87/H87,"0")</f>
        <v>61</v>
      </c>
      <c r="Z88" s="553">
        <f>IFERROR(IF(Z84="",0,Z84),"0")+IFERROR(IF(Z85="",0,Z85),"0")+IFERROR(IF(Z86="",0,Z86),"0")+IFERROR(IF(Z87="",0,Z87),"0")</f>
        <v>0.80918000000000001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437.5</v>
      </c>
      <c r="Y89" s="553">
        <f>IFERROR(SUM(Y84:Y87),"0")</f>
        <v>438.3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150</v>
      </c>
      <c r="Y91" s="55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64.8</v>
      </c>
      <c r="Y93" s="552">
        <f>IFERROR(IF(X93="",0,CEILING((X93/$H93),1)*$H93),"")</f>
        <v>64.800000000000011</v>
      </c>
      <c r="Z93" s="36">
        <f>IFERROR(IF(Y93=0,"",ROUNDUP(Y93/H93,0)*0.00651),"")</f>
        <v>0.15623999999999999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70.847999999999985</v>
      </c>
      <c r="BN93" s="64">
        <f>IFERROR(Y93*I93/H93,"0")</f>
        <v>70.848000000000013</v>
      </c>
      <c r="BO93" s="64">
        <f>IFERROR(1/J93*(X93/H93),"0")</f>
        <v>0.13186813186813187</v>
      </c>
      <c r="BP93" s="64">
        <f>IFERROR(1/J93*(Y93/H93),"0")</f>
        <v>0.1318681318681319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99</v>
      </c>
      <c r="Y94" s="552">
        <f>IFERROR(IF(X94="",0,CEILING((X94/$H94),1)*$H94),"")</f>
        <v>99</v>
      </c>
      <c r="Z94" s="36">
        <f>IFERROR(IF(Y94=0,"",ROUNDUP(Y94/H94,0)*0.00651),"")</f>
        <v>0.32550000000000001</v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111.9</v>
      </c>
      <c r="BN94" s="64">
        <f>IFERROR(Y94*I94/H94,"0")</f>
        <v>111.9</v>
      </c>
      <c r="BO94" s="64">
        <f>IFERROR(1/J94*(X94/H94),"0")</f>
        <v>0.27472527472527475</v>
      </c>
      <c r="BP94" s="64">
        <f>IFERROR(1/J94*(Y94/H94),"0")</f>
        <v>0.27472527472527475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92.518518518518519</v>
      </c>
      <c r="Y95" s="553">
        <f>IFERROR(Y91/H91,"0")+IFERROR(Y92/H92,"0")+IFERROR(Y93/H93,"0")+IFERROR(Y94/H94,"0")</f>
        <v>93</v>
      </c>
      <c r="Z95" s="553">
        <f>IFERROR(IF(Z91="",0,Z91),"0")+IFERROR(IF(Z92="",0,Z92),"0")+IFERROR(IF(Z93="",0,Z93),"0")+IFERROR(IF(Z94="",0,Z94),"0")</f>
        <v>0.84236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313.8</v>
      </c>
      <c r="Y96" s="553">
        <f>IFERROR(SUM(Y91:Y94),"0")</f>
        <v>317.70000000000005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50</v>
      </c>
      <c r="Y99" s="552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150</v>
      </c>
      <c r="Y101" s="552">
        <f>IFERROR(IF(X101="",0,CEILING((X101/$H101),1)*$H101),"")</f>
        <v>150</v>
      </c>
      <c r="Z101" s="36">
        <f>IFERROR(IF(Y101=0,"",ROUNDUP(Y101/H101,0)*0.00902),"")</f>
        <v>0.36080000000000001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157.6</v>
      </c>
      <c r="BN101" s="64">
        <f>IFERROR(Y101*I101/H101,"0")</f>
        <v>157.6</v>
      </c>
      <c r="BO101" s="64">
        <f>IFERROR(1/J101*(X101/H101),"0")</f>
        <v>0.30303030303030304</v>
      </c>
      <c r="BP101" s="64">
        <f>IFERROR(1/J101*(Y101/H101),"0")</f>
        <v>0.30303030303030304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22.5</v>
      </c>
      <c r="Y102" s="552">
        <f>IFERROR(IF(X102="",0,CEILING((X102/$H102),1)*$H102),"")</f>
        <v>22.5</v>
      </c>
      <c r="Z102" s="36">
        <f>IFERROR(IF(Y102=0,"",ROUNDUP(Y102/H102,0)*0.00902),"")</f>
        <v>4.5100000000000001E-2</v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23.450000000000003</v>
      </c>
      <c r="BN102" s="64">
        <f>IFERROR(Y102*I102/H102,"0")</f>
        <v>23.450000000000003</v>
      </c>
      <c r="BO102" s="64">
        <f>IFERROR(1/J102*(X102/H102),"0")</f>
        <v>3.787878787878788E-2</v>
      </c>
      <c r="BP102" s="64">
        <f>IFERROR(1/J102*(Y102/H102),"0")</f>
        <v>3.787878787878788E-2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49.629629629629633</v>
      </c>
      <c r="Y104" s="553">
        <f>IFERROR(Y99/H99,"0")+IFERROR(Y100/H100,"0")+IFERROR(Y101/H101,"0")+IFERROR(Y102/H102,"0")+IFERROR(Y103/H103,"0")</f>
        <v>50</v>
      </c>
      <c r="Z104" s="553">
        <f>IFERROR(IF(Z99="",0,Z99),"0")+IFERROR(IF(Z100="",0,Z100),"0")+IFERROR(IF(Z101="",0,Z101),"0")+IFERROR(IF(Z102="",0,Z102),"0")+IFERROR(IF(Z103="",0,Z103),"0")</f>
        <v>0.50080000000000002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222.5</v>
      </c>
      <c r="Y105" s="553">
        <f>IFERROR(SUM(Y99:Y103),"0")</f>
        <v>226.5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24</v>
      </c>
      <c r="Y109" s="552">
        <f>IFERROR(IF(X109="",0,CEILING((X109/$H109),1)*$H109),"")</f>
        <v>24</v>
      </c>
      <c r="Z109" s="36">
        <f>IFERROR(IF(Y109=0,"",ROUNDUP(Y109/H109,0)*0.00502),"")</f>
        <v>5.0200000000000002E-2</v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25</v>
      </c>
      <c r="BN109" s="64">
        <f>IFERROR(Y109*I109/H109,"0")</f>
        <v>25</v>
      </c>
      <c r="BO109" s="64">
        <f>IFERROR(1/J109*(X109/H109),"0")</f>
        <v>4.2735042735042736E-2</v>
      </c>
      <c r="BP109" s="64">
        <f>IFERROR(1/J109*(Y109/H109),"0")</f>
        <v>4.2735042735042736E-2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10</v>
      </c>
      <c r="Y111" s="553">
        <f>IFERROR(Y107/H107,"0")+IFERROR(Y108/H108,"0")+IFERROR(Y109/H109,"0")+IFERROR(Y110/H110,"0")</f>
        <v>10</v>
      </c>
      <c r="Z111" s="553">
        <f>IFERROR(IF(Z107="",0,Z107),"0")+IFERROR(IF(Z108="",0,Z108),"0")+IFERROR(IF(Z109="",0,Z109),"0")+IFERROR(IF(Z110="",0,Z110),"0")</f>
        <v>5.0200000000000002E-2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24</v>
      </c>
      <c r="Y112" s="553">
        <f>IFERROR(SUM(Y107:Y110),"0")</f>
        <v>24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120</v>
      </c>
      <c r="Y114" s="552">
        <f>IFERROR(IF(X114="",0,CEILING((X114/$H114),1)*$H114),"")</f>
        <v>121.5</v>
      </c>
      <c r="Z114" s="36">
        <f>IFERROR(IF(Y114=0,"",ROUNDUP(Y114/H114,0)*0.01898),"")</f>
        <v>0.28470000000000001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127.22962962962963</v>
      </c>
      <c r="BN114" s="64">
        <f>IFERROR(Y114*I114/H114,"0")</f>
        <v>128.82</v>
      </c>
      <c r="BO114" s="64">
        <f>IFERROR(1/J114*(X114/H114),"0")</f>
        <v>0.23148148148148148</v>
      </c>
      <c r="BP114" s="64">
        <f>IFERROR(1/J114*(Y114/H114),"0")</f>
        <v>0.234375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108.9</v>
      </c>
      <c r="Y115" s="552">
        <f>IFERROR(IF(X115="",0,CEILING((X115/$H115),1)*$H115),"")</f>
        <v>108.9</v>
      </c>
      <c r="Z115" s="36">
        <f>IFERROR(IF(Y115=0,"",ROUNDUP(Y115/H115,0)*0.00651),"")</f>
        <v>0.35805000000000003</v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122.43</v>
      </c>
      <c r="BN115" s="64">
        <f>IFERROR(Y115*I115/H115,"0")</f>
        <v>122.43</v>
      </c>
      <c r="BO115" s="64">
        <f>IFERROR(1/J115*(X115/H115),"0")</f>
        <v>0.30219780219780223</v>
      </c>
      <c r="BP115" s="64">
        <f>IFERROR(1/J115*(Y115/H115),"0")</f>
        <v>0.30219780219780223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81</v>
      </c>
      <c r="Y116" s="552">
        <f>IFERROR(IF(X116="",0,CEILING((X116/$H116),1)*$H116),"")</f>
        <v>81</v>
      </c>
      <c r="Z116" s="36">
        <f>IFERROR(IF(Y116=0,"",ROUNDUP(Y116/H116,0)*0.00651),"")</f>
        <v>0.1953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88.559999999999988</v>
      </c>
      <c r="BN116" s="64">
        <f>IFERROR(Y116*I116/H116,"0")</f>
        <v>88.559999999999988</v>
      </c>
      <c r="BO116" s="64">
        <f>IFERROR(1/J116*(X116/H116),"0")</f>
        <v>0.16483516483516483</v>
      </c>
      <c r="BP116" s="64">
        <f>IFERROR(1/J116*(Y116/H116),"0")</f>
        <v>0.16483516483516483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99.81481481481481</v>
      </c>
      <c r="Y118" s="553">
        <f>IFERROR(Y114/H114,"0")+IFERROR(Y115/H115,"0")+IFERROR(Y116/H116,"0")+IFERROR(Y117/H117,"0")</f>
        <v>100</v>
      </c>
      <c r="Z118" s="553">
        <f>IFERROR(IF(Z114="",0,Z114),"0")+IFERROR(IF(Z115="",0,Z115),"0")+IFERROR(IF(Z116="",0,Z116),"0")+IFERROR(IF(Z117="",0,Z117),"0")</f>
        <v>0.83805000000000007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309.89999999999998</v>
      </c>
      <c r="Y119" s="553">
        <f>IFERROR(SUM(Y114:Y117),"0")</f>
        <v>311.39999999999998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64</v>
      </c>
      <c r="Y127" s="552">
        <f>IFERROR(IF(X127="",0,CEILING((X127/$H127),1)*$H127),"")</f>
        <v>64</v>
      </c>
      <c r="Z127" s="36">
        <f>IFERROR(IF(Y127=0,"",ROUNDUP(Y127/H127,0)*0.00651),"")</f>
        <v>0.13020000000000001</v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67.599999999999994</v>
      </c>
      <c r="BN127" s="64">
        <f>IFERROR(Y127*I127/H127,"0")</f>
        <v>67.599999999999994</v>
      </c>
      <c r="BO127" s="64">
        <f>IFERROR(1/J127*(X127/H127),"0")</f>
        <v>0.1098901098901099</v>
      </c>
      <c r="BP127" s="64">
        <f>IFERROR(1/J127*(Y127/H127),"0")</f>
        <v>0.1098901098901099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20</v>
      </c>
      <c r="Y128" s="553">
        <f>IFERROR(Y126/H126,"0")+IFERROR(Y127/H127,"0")</f>
        <v>20</v>
      </c>
      <c r="Z128" s="553">
        <f>IFERROR(IF(Z126="",0,Z126),"0")+IFERROR(IF(Z127="",0,Z127),"0")</f>
        <v>0.13020000000000001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64</v>
      </c>
      <c r="Y129" s="553">
        <f>IFERROR(SUM(Y126:Y127),"0")</f>
        <v>64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16.8</v>
      </c>
      <c r="Y132" s="552">
        <f>IFERROR(IF(X132="",0,CEILING((X132/$H132),1)*$H132),"")</f>
        <v>16.799999999999997</v>
      </c>
      <c r="Z132" s="36">
        <f>IFERROR(IF(Y132=0,"",ROUNDUP(Y132/H132,0)*0.00651),"")</f>
        <v>3.9059999999999997E-2</v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18.408000000000001</v>
      </c>
      <c r="BN132" s="64">
        <f>IFERROR(Y132*I132/H132,"0")</f>
        <v>18.407999999999998</v>
      </c>
      <c r="BO132" s="64">
        <f>IFERROR(1/J132*(X132/H132),"0")</f>
        <v>3.2967032967032975E-2</v>
      </c>
      <c r="BP132" s="64">
        <f>IFERROR(1/J132*(Y132/H132),"0")</f>
        <v>3.2967032967032968E-2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6.0000000000000009</v>
      </c>
      <c r="Y133" s="553">
        <f>IFERROR(Y131/H131,"0")+IFERROR(Y132/H132,"0")</f>
        <v>5.9999999999999991</v>
      </c>
      <c r="Z133" s="553">
        <f>IFERROR(IF(Z131="",0,Z131),"0")+IFERROR(IF(Z132="",0,Z132),"0")</f>
        <v>3.9059999999999997E-2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16.8</v>
      </c>
      <c r="Y134" s="553">
        <f>IFERROR(SUM(Y131:Y132),"0")</f>
        <v>16.799999999999997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26.4</v>
      </c>
      <c r="Y136" s="552">
        <f>IFERROR(IF(X136="",0,CEILING((X136/$H136),1)*$H136),"")</f>
        <v>26.400000000000002</v>
      </c>
      <c r="Z136" s="36">
        <f>IFERROR(IF(Y136=0,"",ROUNDUP(Y136/H136,0)*0.00651),"")</f>
        <v>6.5100000000000005E-2</v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29.079999999999995</v>
      </c>
      <c r="BN136" s="64">
        <f>IFERROR(Y136*I136/H136,"0")</f>
        <v>29.080000000000002</v>
      </c>
      <c r="BO136" s="64">
        <f>IFERROR(1/J136*(X136/H136),"0")</f>
        <v>5.4945054945054937E-2</v>
      </c>
      <c r="BP136" s="64">
        <f>IFERROR(1/J136*(Y136/H136),"0")</f>
        <v>5.4945054945054951E-2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9.9999999999999982</v>
      </c>
      <c r="Y138" s="553">
        <f>IFERROR(Y136/H136,"0")+IFERROR(Y137/H137,"0")</f>
        <v>10</v>
      </c>
      <c r="Z138" s="553">
        <f>IFERROR(IF(Z136="",0,Z136),"0")+IFERROR(IF(Z137="",0,Z137),"0")</f>
        <v>6.5100000000000005E-2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26.4</v>
      </c>
      <c r="Y139" s="553">
        <f>IFERROR(SUM(Y136:Y137),"0")</f>
        <v>26.400000000000002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48</v>
      </c>
      <c r="Y143" s="552">
        <f>IFERROR(IF(X143="",0,CEILING((X143/$H143),1)*$H143),"")</f>
        <v>48</v>
      </c>
      <c r="Z143" s="36">
        <f>IFERROR(IF(Y143=0,"",ROUNDUP(Y143/H143,0)*0.00902),"")</f>
        <v>0.10824</v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50.28</v>
      </c>
      <c r="BN143" s="64">
        <f>IFERROR(Y143*I143/H143,"0")</f>
        <v>50.28</v>
      </c>
      <c r="BO143" s="64">
        <f>IFERROR(1/J143*(X143/H143),"0")</f>
        <v>9.0909090909090912E-2</v>
      </c>
      <c r="BP143" s="64">
        <f>IFERROR(1/J143*(Y143/H143),"0")</f>
        <v>9.0909090909090912E-2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12</v>
      </c>
      <c r="Y144" s="553">
        <f>IFERROR(Y142/H142,"0")+IFERROR(Y143/H143,"0")</f>
        <v>12</v>
      </c>
      <c r="Z144" s="553">
        <f>IFERROR(IF(Z142="",0,Z142),"0")+IFERROR(IF(Z143="",0,Z143),"0")</f>
        <v>0.10824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48</v>
      </c>
      <c r="Y145" s="553">
        <f>IFERROR(SUM(Y142:Y143),"0")</f>
        <v>48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90</v>
      </c>
      <c r="Y147" s="552">
        <f t="shared" ref="Y147:Y152" si="5">IFERROR(IF(X147="",0,CEILING((X147/$H147),1)*$H147),"")</f>
        <v>90</v>
      </c>
      <c r="Z147" s="36">
        <f>IFERROR(IF(Y147=0,"",ROUNDUP(Y147/H147,0)*0.01898),"")</f>
        <v>0.1898</v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95.600000000000009</v>
      </c>
      <c r="BN147" s="64">
        <f t="shared" ref="BN147:BN152" si="7">IFERROR(Y147*I147/H147,"0")</f>
        <v>95.600000000000009</v>
      </c>
      <c r="BO147" s="64">
        <f t="shared" ref="BO147:BO152" si="8">IFERROR(1/J147*(X147/H147),"0")</f>
        <v>0.15625</v>
      </c>
      <c r="BP147" s="64">
        <f t="shared" ref="BP147:BP152" si="9">IFERROR(1/J147*(Y147/H147),"0")</f>
        <v>0.15625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10</v>
      </c>
      <c r="Y153" s="553">
        <f>IFERROR(Y147/H147,"0")+IFERROR(Y148/H148,"0")+IFERROR(Y149/H149,"0")+IFERROR(Y150/H150,"0")+IFERROR(Y151/H151,"0")+IFERROR(Y152/H152,"0")</f>
        <v>10</v>
      </c>
      <c r="Z153" s="553">
        <f>IFERROR(IF(Z147="",0,Z147),"0")+IFERROR(IF(Z148="",0,Z148),"0")+IFERROR(IF(Z149="",0,Z149),"0")+IFERROR(IF(Z150="",0,Z150),"0")+IFERROR(IF(Z151="",0,Z151),"0")+IFERROR(IF(Z152="",0,Z152),"0")</f>
        <v>0.1898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90</v>
      </c>
      <c r="Y154" s="553">
        <f>IFERROR(SUM(Y147:Y152),"0")</f>
        <v>90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40</v>
      </c>
      <c r="Y168" s="552">
        <f t="shared" si="10"/>
        <v>42</v>
      </c>
      <c r="Z168" s="36">
        <f>IFERROR(IF(Y168=0,"",ROUNDUP(Y168/H168,0)*0.00902),"")</f>
        <v>9.0200000000000002E-2</v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41.809523809523803</v>
      </c>
      <c r="BN168" s="64">
        <f t="shared" si="12"/>
        <v>43.9</v>
      </c>
      <c r="BO168" s="64">
        <f t="shared" si="13"/>
        <v>7.2150072150072145E-2</v>
      </c>
      <c r="BP168" s="64">
        <f t="shared" si="14"/>
        <v>7.575757575757576E-2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6.3</v>
      </c>
      <c r="Y170" s="552">
        <f t="shared" si="10"/>
        <v>6.3000000000000007</v>
      </c>
      <c r="Z170" s="36">
        <f>IFERROR(IF(Y170=0,"",ROUNDUP(Y170/H170,0)*0.00502),"")</f>
        <v>1.506E-2</v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6.6899999999999995</v>
      </c>
      <c r="BN170" s="64">
        <f t="shared" si="12"/>
        <v>6.69</v>
      </c>
      <c r="BO170" s="64">
        <f t="shared" si="13"/>
        <v>1.2820512820512822E-2</v>
      </c>
      <c r="BP170" s="64">
        <f t="shared" si="14"/>
        <v>1.2820512820512822E-2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84</v>
      </c>
      <c r="Y172" s="552">
        <f t="shared" si="10"/>
        <v>84</v>
      </c>
      <c r="Z172" s="36">
        <f>IFERROR(IF(Y172=0,"",ROUNDUP(Y172/H172,0)*0.00502),"")</f>
        <v>0.20080000000000001</v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89.199999999999989</v>
      </c>
      <c r="BN172" s="64">
        <f t="shared" si="12"/>
        <v>89.199999999999989</v>
      </c>
      <c r="BO172" s="64">
        <f t="shared" si="13"/>
        <v>0.17094017094017094</v>
      </c>
      <c r="BP172" s="64">
        <f t="shared" si="14"/>
        <v>0.17094017094017094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126</v>
      </c>
      <c r="Y177" s="552">
        <f t="shared" si="10"/>
        <v>126</v>
      </c>
      <c r="Z177" s="36">
        <f>IFERROR(IF(Y177=0,"",ROUNDUP(Y177/H177,0)*0.00502),"")</f>
        <v>0.30120000000000002</v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132.00000000000003</v>
      </c>
      <c r="BN177" s="64">
        <f t="shared" si="12"/>
        <v>132.00000000000003</v>
      </c>
      <c r="BO177" s="64">
        <f t="shared" si="13"/>
        <v>0.25641025641025644</v>
      </c>
      <c r="BP177" s="64">
        <f t="shared" si="14"/>
        <v>0.25641025641025644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112.52380952380952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113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0.60726000000000002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256.3</v>
      </c>
      <c r="Y181" s="553">
        <f>IFERROR(SUM(Y166:Y179),"0")</f>
        <v>258.3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12.6</v>
      </c>
      <c r="Y184" s="552">
        <f>IFERROR(IF(X184="",0,CEILING((X184/$H184),1)*$H184),"")</f>
        <v>12.6</v>
      </c>
      <c r="Z184" s="36">
        <f>IFERROR(IF(Y184=0,"",ROUNDUP(Y184/H184,0)*0.0059),"")</f>
        <v>5.8999999999999997E-2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14.5</v>
      </c>
      <c r="BN184" s="64">
        <f>IFERROR(Y184*I184/H184,"0")</f>
        <v>14.5</v>
      </c>
      <c r="BO184" s="64">
        <f>IFERROR(1/J184*(X184/H184),"0")</f>
        <v>4.6296296296296294E-2</v>
      </c>
      <c r="BP184" s="64">
        <f>IFERROR(1/J184*(Y184/H184),"0")</f>
        <v>4.6296296296296294E-2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8.82</v>
      </c>
      <c r="Y185" s="552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10.15</v>
      </c>
      <c r="BN185" s="64">
        <f>IFERROR(Y185*I185/H185,"0")</f>
        <v>10.15</v>
      </c>
      <c r="BO185" s="64">
        <f>IFERROR(1/J185*(X185/H185),"0")</f>
        <v>3.2407407407407406E-2</v>
      </c>
      <c r="BP185" s="64">
        <f>IFERROR(1/J185*(Y185/H185),"0")</f>
        <v>3.2407407407407406E-2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17</v>
      </c>
      <c r="Y186" s="553">
        <f>IFERROR(Y183/H183,"0")+IFERROR(Y184/H184,"0")+IFERROR(Y185/H185,"0")</f>
        <v>17</v>
      </c>
      <c r="Z186" s="553">
        <f>IFERROR(IF(Z183="",0,Z183),"0")+IFERROR(IF(Z184="",0,Z184),"0")+IFERROR(IF(Z185="",0,Z185),"0")</f>
        <v>0.1003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21.42</v>
      </c>
      <c r="Y187" s="553">
        <f>IFERROR(SUM(Y183:Y185),"0")</f>
        <v>21.42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7.56</v>
      </c>
      <c r="Y189" s="552">
        <f>IFERROR(IF(X189="",0,CEILING((X189/$H189),1)*$H189),"")</f>
        <v>7.5600000000000005</v>
      </c>
      <c r="Z189" s="36">
        <f>IFERROR(IF(Y189=0,"",ROUNDUP(Y189/H189,0)*0.0059),"")</f>
        <v>3.5400000000000001E-2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8.6999999999999993</v>
      </c>
      <c r="BN189" s="64">
        <f>IFERROR(Y189*I189/H189,"0")</f>
        <v>8.6999999999999993</v>
      </c>
      <c r="BO189" s="64">
        <f>IFERROR(1/J189*(X189/H189),"0")</f>
        <v>2.7777777777777776E-2</v>
      </c>
      <c r="BP189" s="64">
        <f>IFERROR(1/J189*(Y189/H189),"0")</f>
        <v>2.7777777777777776E-2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6</v>
      </c>
      <c r="Y190" s="553">
        <f>IFERROR(Y189/H189,"0")</f>
        <v>6</v>
      </c>
      <c r="Z190" s="553">
        <f>IFERROR(IF(Z189="",0,Z189),"0")</f>
        <v>3.5400000000000001E-2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7.56</v>
      </c>
      <c r="Y191" s="553">
        <f>IFERROR(SUM(Y189:Y189),"0")</f>
        <v>7.5600000000000005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15</v>
      </c>
      <c r="Y204" s="552">
        <f t="shared" ref="Y204:Y211" si="15">IFERROR(IF(X204="",0,CEILING((X204/$H204),1)*$H204),"")</f>
        <v>16.200000000000003</v>
      </c>
      <c r="Z204" s="36">
        <f>IFERROR(IF(Y204=0,"",ROUNDUP(Y204/H204,0)*0.00902),"")</f>
        <v>2.7060000000000001E-2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15.527777777777775</v>
      </c>
      <c r="BN204" s="64">
        <f t="shared" ref="BN204:BN211" si="17">IFERROR(Y204*I204/H204,"0")</f>
        <v>16.77</v>
      </c>
      <c r="BO204" s="64">
        <f t="shared" ref="BO204:BO211" si="18">IFERROR(1/J204*(X204/H204),"0")</f>
        <v>2.1043771043771045E-2</v>
      </c>
      <c r="BP204" s="64">
        <f t="shared" ref="BP204:BP211" si="19">IFERROR(1/J204*(Y204/H204),"0")</f>
        <v>2.2727272727272731E-2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60</v>
      </c>
      <c r="Y206" s="552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108</v>
      </c>
      <c r="Y208" s="552">
        <f t="shared" si="15"/>
        <v>108</v>
      </c>
      <c r="Z208" s="36">
        <f>IFERROR(IF(Y208=0,"",ROUNDUP(Y208/H208,0)*0.00502),"")</f>
        <v>0.30120000000000002</v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115.8</v>
      </c>
      <c r="BN208" s="64">
        <f t="shared" si="17"/>
        <v>115.8</v>
      </c>
      <c r="BO208" s="64">
        <f t="shared" si="18"/>
        <v>0.25641025641025644</v>
      </c>
      <c r="BP208" s="64">
        <f t="shared" si="19"/>
        <v>0.25641025641025644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54</v>
      </c>
      <c r="Y209" s="552">
        <f t="shared" si="15"/>
        <v>54</v>
      </c>
      <c r="Z209" s="36">
        <f>IFERROR(IF(Y209=0,"",ROUNDUP(Y209/H209,0)*0.00502),"")</f>
        <v>0.15060000000000001</v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56.999999999999993</v>
      </c>
      <c r="BN209" s="64">
        <f t="shared" si="17"/>
        <v>56.999999999999993</v>
      </c>
      <c r="BO209" s="64">
        <f t="shared" si="18"/>
        <v>0.12820512820512822</v>
      </c>
      <c r="BP209" s="64">
        <f t="shared" si="19"/>
        <v>0.12820512820512822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21.6</v>
      </c>
      <c r="Y211" s="552">
        <f t="shared" si="15"/>
        <v>21.6</v>
      </c>
      <c r="Z211" s="36">
        <f>IFERROR(IF(Y211=0,"",ROUNDUP(Y211/H211,0)*0.00502),"")</f>
        <v>6.0240000000000002E-2</v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22.8</v>
      </c>
      <c r="BN211" s="64">
        <f t="shared" si="17"/>
        <v>22.8</v>
      </c>
      <c r="BO211" s="64">
        <f t="shared" si="18"/>
        <v>5.1282051282051287E-2</v>
      </c>
      <c r="BP211" s="64">
        <f t="shared" si="19"/>
        <v>5.1282051282051287E-2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115.88888888888889</v>
      </c>
      <c r="Y212" s="553">
        <f>IFERROR(Y204/H204,"0")+IFERROR(Y205/H205,"0")+IFERROR(Y206/H206,"0")+IFERROR(Y207/H207,"0")+IFERROR(Y208/H208,"0")+IFERROR(Y209/H209,"0")+IFERROR(Y210/H210,"0")+IFERROR(Y211/H211,"0")</f>
        <v>117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0.64733999999999992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258.60000000000002</v>
      </c>
      <c r="Y213" s="553">
        <f>IFERROR(SUM(Y204:Y211),"0")</f>
        <v>264.60000000000002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96</v>
      </c>
      <c r="Y218" s="552">
        <f t="shared" si="20"/>
        <v>96</v>
      </c>
      <c r="Z218" s="36">
        <f t="shared" ref="Z218:Z223" si="25">IFERROR(IF(Y218=0,"",ROUNDUP(Y218/H218,0)*0.00651),"")</f>
        <v>0.26040000000000002</v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106.8</v>
      </c>
      <c r="BN218" s="64">
        <f t="shared" si="22"/>
        <v>106.8</v>
      </c>
      <c r="BO218" s="64">
        <f t="shared" si="23"/>
        <v>0.2197802197802198</v>
      </c>
      <c r="BP218" s="64">
        <f t="shared" si="24"/>
        <v>0.2197802197802198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132</v>
      </c>
      <c r="Y219" s="552">
        <f t="shared" si="20"/>
        <v>133.20000000000002</v>
      </c>
      <c r="Z219" s="36">
        <f t="shared" si="25"/>
        <v>0.48174</v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150.48000000000002</v>
      </c>
      <c r="BN219" s="64">
        <f t="shared" si="22"/>
        <v>151.84800000000001</v>
      </c>
      <c r="BO219" s="64">
        <f t="shared" si="23"/>
        <v>0.40293040293040294</v>
      </c>
      <c r="BP219" s="64">
        <f t="shared" si="24"/>
        <v>0.4065934065934067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0</v>
      </c>
      <c r="Y220" s="552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132</v>
      </c>
      <c r="Y221" s="552">
        <f t="shared" si="20"/>
        <v>132</v>
      </c>
      <c r="Z221" s="36">
        <f t="shared" si="25"/>
        <v>0.35805000000000003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145.86000000000001</v>
      </c>
      <c r="BN221" s="64">
        <f t="shared" si="22"/>
        <v>145.86000000000001</v>
      </c>
      <c r="BO221" s="64">
        <f t="shared" si="23"/>
        <v>0.30219780219780223</v>
      </c>
      <c r="BP221" s="64">
        <f t="shared" si="24"/>
        <v>0.30219780219780223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80</v>
      </c>
      <c r="Y223" s="552">
        <f t="shared" si="20"/>
        <v>81.599999999999994</v>
      </c>
      <c r="Z223" s="36">
        <f t="shared" si="25"/>
        <v>0.22134000000000001</v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88.6</v>
      </c>
      <c r="BN223" s="64">
        <f t="shared" si="22"/>
        <v>90.371999999999986</v>
      </c>
      <c r="BO223" s="64">
        <f t="shared" si="23"/>
        <v>0.18315018315018317</v>
      </c>
      <c r="BP223" s="64">
        <f t="shared" si="24"/>
        <v>0.18681318681318682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201.66666666666666</v>
      </c>
      <c r="Y224" s="553">
        <f>IFERROR(Y215/H215,"0")+IFERROR(Y216/H216,"0")+IFERROR(Y217/H217,"0")+IFERROR(Y218/H218,"0")+IFERROR(Y219/H219,"0")+IFERROR(Y220/H220,"0")+IFERROR(Y221/H221,"0")+IFERROR(Y222/H222,"0")+IFERROR(Y223/H223,"0")</f>
        <v>203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1.3215300000000001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440</v>
      </c>
      <c r="Y225" s="553">
        <f>IFERROR(SUM(Y215:Y223),"0")</f>
        <v>442.80000000000007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24</v>
      </c>
      <c r="Y228" s="552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10</v>
      </c>
      <c r="Y229" s="553">
        <f>IFERROR(Y227/H227,"0")+IFERROR(Y228/H228,"0")</f>
        <v>10</v>
      </c>
      <c r="Z229" s="553">
        <f>IFERROR(IF(Z227="",0,Z227),"0")+IFERROR(IF(Z228="",0,Z228),"0")</f>
        <v>6.5100000000000005E-2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24</v>
      </c>
      <c r="Y230" s="553">
        <f>IFERROR(SUM(Y227:Y228),"0")</f>
        <v>24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1.8</v>
      </c>
      <c r="Y249" s="552">
        <f>IFERROR(IF(X249="",0,CEILING((X249/$H249),1)*$H249),"")</f>
        <v>1.8</v>
      </c>
      <c r="Z249" s="36">
        <f>IFERROR(IF(Y249=0,"",ROUNDUP(Y249/H249,0)*0.0059),"")</f>
        <v>5.8999999999999999E-3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1.9750000000000001</v>
      </c>
      <c r="BN249" s="64">
        <f>IFERROR(Y249*I249/H249,"0")</f>
        <v>1.9750000000000001</v>
      </c>
      <c r="BO249" s="64">
        <f>IFERROR(1/J249*(X249/H249),"0")</f>
        <v>4.6296296296296294E-3</v>
      </c>
      <c r="BP249" s="64">
        <f>IFERROR(1/J249*(Y249/H249),"0")</f>
        <v>4.6296296296296294E-3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1</v>
      </c>
      <c r="Y250" s="553">
        <f>IFERROR(Y249/H249,"0")</f>
        <v>1</v>
      </c>
      <c r="Z250" s="553">
        <f>IFERROR(IF(Z249="",0,Z249),"0")</f>
        <v>5.8999999999999999E-3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1.8</v>
      </c>
      <c r="Y251" s="553">
        <f>IFERROR(SUM(Y249:Y249),"0")</f>
        <v>1.8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1.98</v>
      </c>
      <c r="Y253" s="552">
        <f>IFERROR(IF(X253="",0,CEILING((X253/$H253),1)*$H253),"")</f>
        <v>1.98</v>
      </c>
      <c r="Z253" s="36">
        <f>IFERROR(IF(Y253=0,"",ROUNDUP(Y253/H253,0)*0.0059),"")</f>
        <v>1.18E-2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2.36</v>
      </c>
      <c r="BN253" s="64">
        <f>IFERROR(Y253*I253/H253,"0")</f>
        <v>2.36</v>
      </c>
      <c r="BO253" s="64">
        <f>IFERROR(1/J253*(X253/H253),"0")</f>
        <v>9.2592592592592587E-3</v>
      </c>
      <c r="BP253" s="64">
        <f>IFERROR(1/J253*(Y253/H253),"0")</f>
        <v>9.2592592592592587E-3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7.2</v>
      </c>
      <c r="Y254" s="552">
        <f>IFERROR(IF(X254="",0,CEILING((X254/$H254),1)*$H254),"")</f>
        <v>7.2</v>
      </c>
      <c r="Z254" s="36">
        <f>IFERROR(IF(Y254=0,"",ROUNDUP(Y254/H254,0)*0.0059),"")</f>
        <v>2.3599999999999999E-2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7.9</v>
      </c>
      <c r="BN254" s="64">
        <f>IFERROR(Y254*I254/H254,"0")</f>
        <v>7.9</v>
      </c>
      <c r="BO254" s="64">
        <f>IFERROR(1/J254*(X254/H254),"0")</f>
        <v>1.8518518518518517E-2</v>
      </c>
      <c r="BP254" s="64">
        <f>IFERROR(1/J254*(Y254/H254),"0")</f>
        <v>1.8518518518518517E-2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3.6</v>
      </c>
      <c r="Y255" s="552">
        <f>IFERROR(IF(X255="",0,CEILING((X255/$H255),1)*$H255),"")</f>
        <v>3.6</v>
      </c>
      <c r="Z255" s="36">
        <f>IFERROR(IF(Y255=0,"",ROUNDUP(Y255/H255,0)*0.0059),"")</f>
        <v>2.3599999999999999E-2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4.3600000000000003</v>
      </c>
      <c r="BN255" s="64">
        <f>IFERROR(Y255*I255/H255,"0")</f>
        <v>4.3600000000000003</v>
      </c>
      <c r="BO255" s="64">
        <f>IFERROR(1/J255*(X255/H255),"0")</f>
        <v>1.8518518518518517E-2</v>
      </c>
      <c r="BP255" s="64">
        <f>IFERROR(1/J255*(Y255/H255),"0")</f>
        <v>1.8518518518518517E-2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5.28</v>
      </c>
      <c r="Y256" s="552">
        <f>IFERROR(IF(X256="",0,CEILING((X256/$H256),1)*$H256),"")</f>
        <v>5.9399999999999995</v>
      </c>
      <c r="Z256" s="36">
        <f>IFERROR(IF(Y256=0,"",ROUNDUP(Y256/H256,0)*0.0059),"")</f>
        <v>3.5400000000000001E-2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6.2933333333333339</v>
      </c>
      <c r="BN256" s="64">
        <f>IFERROR(Y256*I256/H256,"0")</f>
        <v>7.0799999999999992</v>
      </c>
      <c r="BO256" s="64">
        <f>IFERROR(1/J256*(X256/H256),"0")</f>
        <v>2.469135802469136E-2</v>
      </c>
      <c r="BP256" s="64">
        <f>IFERROR(1/J256*(Y256/H256),"0")</f>
        <v>2.7777777777777773E-2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1.98</v>
      </c>
      <c r="Y257" s="552">
        <f>IFERROR(IF(X257="",0,CEILING((X257/$H257),1)*$H257),"")</f>
        <v>1.98</v>
      </c>
      <c r="Z257" s="36">
        <f>IFERROR(IF(Y257=0,"",ROUNDUP(Y257/H257,0)*0.0059),"")</f>
        <v>1.18E-2</v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2.36</v>
      </c>
      <c r="BN257" s="64">
        <f>IFERROR(Y257*I257/H257,"0")</f>
        <v>2.36</v>
      </c>
      <c r="BO257" s="64">
        <f>IFERROR(1/J257*(X257/H257),"0")</f>
        <v>9.2592592592592587E-3</v>
      </c>
      <c r="BP257" s="64">
        <f>IFERROR(1/J257*(Y257/H257),"0")</f>
        <v>9.2592592592592587E-3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17.333333333333336</v>
      </c>
      <c r="Y258" s="553">
        <f>IFERROR(Y253/H253,"0")+IFERROR(Y254/H254,"0")+IFERROR(Y255/H255,"0")+IFERROR(Y256/H256,"0")+IFERROR(Y257/H257,"0")</f>
        <v>18</v>
      </c>
      <c r="Z258" s="553">
        <f>IFERROR(IF(Z253="",0,Z253),"0")+IFERROR(IF(Z254="",0,Z254),"0")+IFERROR(IF(Z255="",0,Z255),"0")+IFERROR(IF(Z256="",0,Z256),"0")+IFERROR(IF(Z257="",0,Z257),"0")</f>
        <v>0.1062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20.04</v>
      </c>
      <c r="Y259" s="553">
        <f>IFERROR(SUM(Y253:Y257),"0")</f>
        <v>20.7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80</v>
      </c>
      <c r="Y262" s="552">
        <f>IFERROR(IF(X262="",0,CEILING((X262/$H262),1)*$H262),"")</f>
        <v>86.4</v>
      </c>
      <c r="Z262" s="36">
        <f>IFERROR(IF(Y262=0,"",ROUNDUP(Y262/H262,0)*0.01898),"")</f>
        <v>0.15184</v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83.037037037037038</v>
      </c>
      <c r="BN262" s="64">
        <f>IFERROR(Y262*I262/H262,"0")</f>
        <v>89.68</v>
      </c>
      <c r="BO262" s="64">
        <f>IFERROR(1/J262*(X262/H262),"0")</f>
        <v>0.11574074074074073</v>
      </c>
      <c r="BP262" s="64">
        <f>IFERROR(1/J262*(Y262/H262),"0")</f>
        <v>0.125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150</v>
      </c>
      <c r="Y264" s="552">
        <f>IFERROR(IF(X264="",0,CEILING((X264/$H264),1)*$H264),"")</f>
        <v>151.20000000000002</v>
      </c>
      <c r="Z264" s="36">
        <f>IFERROR(IF(Y264=0,"",ROUNDUP(Y264/H264,0)*0.01898),"")</f>
        <v>0.26572000000000001</v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155.69444444444446</v>
      </c>
      <c r="BN264" s="64">
        <f>IFERROR(Y264*I264/H264,"0")</f>
        <v>156.94</v>
      </c>
      <c r="BO264" s="64">
        <f>IFERROR(1/J264*(X264/H264),"0")</f>
        <v>0.21701388888888887</v>
      </c>
      <c r="BP264" s="64">
        <f>IFERROR(1/J264*(Y264/H264),"0")</f>
        <v>0.21875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21.296296296296294</v>
      </c>
      <c r="Y267" s="553">
        <f>IFERROR(Y262/H262,"0")+IFERROR(Y263/H263,"0")+IFERROR(Y264/H264,"0")+IFERROR(Y265/H265,"0")+IFERROR(Y266/H266,"0")</f>
        <v>22</v>
      </c>
      <c r="Z267" s="553">
        <f>IFERROR(IF(Z262="",0,Z262),"0")+IFERROR(IF(Z263="",0,Z263),"0")+IFERROR(IF(Z264="",0,Z264),"0")+IFERROR(IF(Z265="",0,Z265),"0")+IFERROR(IF(Z266="",0,Z266),"0")</f>
        <v>0.41756000000000004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230</v>
      </c>
      <c r="Y268" s="553">
        <f>IFERROR(SUM(Y262:Y266),"0")</f>
        <v>237.60000000000002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4.8</v>
      </c>
      <c r="Y279" s="552">
        <f>IFERROR(IF(X279="",0,CEILING((X279/$H279),1)*$H279),"")</f>
        <v>5.4</v>
      </c>
      <c r="Z279" s="36">
        <f>IFERROR(IF(Y279=0,"",ROUNDUP(Y279/H279,0)*0.00651),"")</f>
        <v>1.9529999999999999E-2</v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5.2799999999999994</v>
      </c>
      <c r="BN279" s="64">
        <f>IFERROR(Y279*I279/H279,"0")</f>
        <v>5.94</v>
      </c>
      <c r="BO279" s="64">
        <f>IFERROR(1/J279*(X279/H279),"0")</f>
        <v>1.4652014652014652E-2</v>
      </c>
      <c r="BP279" s="64">
        <f>IFERROR(1/J279*(Y279/H279),"0")</f>
        <v>1.6483516483516484E-2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4.8</v>
      </c>
      <c r="Y280" s="552">
        <f>IFERROR(IF(X280="",0,CEILING((X280/$H280),1)*$H280),"")</f>
        <v>4.8</v>
      </c>
      <c r="Z280" s="36">
        <f>IFERROR(IF(Y280=0,"",ROUNDUP(Y280/H280,0)*0.00651),"")</f>
        <v>1.302E-2</v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5.3040000000000003</v>
      </c>
      <c r="BN280" s="64">
        <f>IFERROR(Y280*I280/H280,"0")</f>
        <v>5.3040000000000003</v>
      </c>
      <c r="BO280" s="64">
        <f>IFERROR(1/J280*(X280/H280),"0")</f>
        <v>1.098901098901099E-2</v>
      </c>
      <c r="BP280" s="64">
        <f>IFERROR(1/J280*(Y280/H280),"0")</f>
        <v>1.098901098901099E-2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4.6666666666666661</v>
      </c>
      <c r="Y282" s="553">
        <f>IFERROR(Y279/H279,"0")+IFERROR(Y280/H280,"0")+IFERROR(Y281/H281,"0")</f>
        <v>5</v>
      </c>
      <c r="Z282" s="553">
        <f>IFERROR(IF(Z279="",0,Z279),"0")+IFERROR(IF(Z280="",0,Z280),"0")+IFERROR(IF(Z281="",0,Z281),"0")</f>
        <v>3.2549999999999996E-2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9.6</v>
      </c>
      <c r="Y283" s="553">
        <f>IFERROR(SUM(Y279:Y281),"0")</f>
        <v>10.199999999999999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100</v>
      </c>
      <c r="Y298" s="552">
        <f t="shared" si="31"/>
        <v>108</v>
      </c>
      <c r="Z298" s="36">
        <f>IFERROR(IF(Y298=0,"",ROUNDUP(Y298/H298,0)*0.01898),"")</f>
        <v>0.1898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103.79629629629629</v>
      </c>
      <c r="BN298" s="64">
        <f t="shared" si="33"/>
        <v>112.1</v>
      </c>
      <c r="BO298" s="64">
        <f t="shared" si="34"/>
        <v>0.14467592592592593</v>
      </c>
      <c r="BP298" s="64">
        <f t="shared" si="35"/>
        <v>0.15625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30</v>
      </c>
      <c r="Y299" s="552">
        <f t="shared" si="31"/>
        <v>32.400000000000006</v>
      </c>
      <c r="Z299" s="36">
        <f>IFERROR(IF(Y299=0,"",ROUNDUP(Y299/H299,0)*0.01898),"")</f>
        <v>5.6940000000000004E-2</v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31.138888888888889</v>
      </c>
      <c r="BN299" s="64">
        <f t="shared" si="33"/>
        <v>33.630000000000003</v>
      </c>
      <c r="BO299" s="64">
        <f t="shared" si="34"/>
        <v>4.3402777777777776E-2</v>
      </c>
      <c r="BP299" s="64">
        <f t="shared" si="35"/>
        <v>4.6875000000000007E-2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650</v>
      </c>
      <c r="Y300" s="552">
        <f t="shared" si="31"/>
        <v>658.80000000000007</v>
      </c>
      <c r="Z300" s="36">
        <f>IFERROR(IF(Y300=0,"",ROUNDUP(Y300/H300,0)*0.01898),"")</f>
        <v>1.15778</v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674.67592592592598</v>
      </c>
      <c r="BN300" s="64">
        <f t="shared" si="33"/>
        <v>683.81000000000006</v>
      </c>
      <c r="BO300" s="64">
        <f t="shared" si="34"/>
        <v>0.94039351851851849</v>
      </c>
      <c r="BP300" s="64">
        <f t="shared" si="35"/>
        <v>0.953125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40</v>
      </c>
      <c r="Y301" s="552">
        <f t="shared" si="31"/>
        <v>40</v>
      </c>
      <c r="Z301" s="36">
        <f>IFERROR(IF(Y301=0,"",ROUNDUP(Y301/H301,0)*0.00902),"")</f>
        <v>9.0200000000000002E-2</v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41.900000000000006</v>
      </c>
      <c r="BN301" s="64">
        <f t="shared" si="33"/>
        <v>41.900000000000006</v>
      </c>
      <c r="BO301" s="64">
        <f t="shared" si="34"/>
        <v>7.575757575757576E-2</v>
      </c>
      <c r="BP301" s="64">
        <f t="shared" si="35"/>
        <v>7.575757575757576E-2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60</v>
      </c>
      <c r="Y302" s="552">
        <f t="shared" si="31"/>
        <v>60</v>
      </c>
      <c r="Z302" s="36">
        <f>IFERROR(IF(Y302=0,"",ROUNDUP(Y302/H302,0)*0.00902),"")</f>
        <v>0.1353</v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62.850000000000009</v>
      </c>
      <c r="BN302" s="64">
        <f t="shared" si="33"/>
        <v>62.850000000000009</v>
      </c>
      <c r="BO302" s="64">
        <f t="shared" si="34"/>
        <v>0.11363636363636365</v>
      </c>
      <c r="BP302" s="64">
        <f t="shared" si="35"/>
        <v>0.11363636363636365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97.222222222222229</v>
      </c>
      <c r="Y303" s="553">
        <f>IFERROR(Y297/H297,"0")+IFERROR(Y298/H298,"0")+IFERROR(Y299/H299,"0")+IFERROR(Y300/H300,"0")+IFERROR(Y301/H301,"0")+IFERROR(Y302/H302,"0")</f>
        <v>99</v>
      </c>
      <c r="Z303" s="553">
        <f>IFERROR(IF(Z297="",0,Z297),"0")+IFERROR(IF(Z298="",0,Z298),"0")+IFERROR(IF(Z299="",0,Z299),"0")+IFERROR(IF(Z300="",0,Z300),"0")+IFERROR(IF(Z301="",0,Z301),"0")+IFERROR(IF(Z302="",0,Z302),"0")</f>
        <v>1.63002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880</v>
      </c>
      <c r="Y304" s="553">
        <f>IFERROR(SUM(Y297:Y302),"0")</f>
        <v>899.2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250</v>
      </c>
      <c r="Y306" s="552">
        <f t="shared" ref="Y306:Y311" si="36">IFERROR(IF(X306="",0,CEILING((X306/$H306),1)*$H306),"")</f>
        <v>252</v>
      </c>
      <c r="Z306" s="36">
        <f>IFERROR(IF(Y306=0,"",ROUNDUP(Y306/H306,0)*0.00902),"")</f>
        <v>0.54120000000000001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264.88095238095235</v>
      </c>
      <c r="BN306" s="64">
        <f t="shared" ref="BN306:BN311" si="38">IFERROR(Y306*I306/H306,"0")</f>
        <v>267</v>
      </c>
      <c r="BO306" s="64">
        <f t="shared" ref="BO306:BO311" si="39">IFERROR(1/J306*(X306/H306),"0")</f>
        <v>0.45093795093795092</v>
      </c>
      <c r="BP306" s="64">
        <f t="shared" ref="BP306:BP311" si="40">IFERROR(1/J306*(Y306/H306),"0")</f>
        <v>0.45454545454545459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300</v>
      </c>
      <c r="Y307" s="552">
        <f t="shared" si="36"/>
        <v>302.40000000000003</v>
      </c>
      <c r="Z307" s="36">
        <f>IFERROR(IF(Y307=0,"",ROUNDUP(Y307/H307,0)*0.00902),"")</f>
        <v>0.64944000000000002</v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317.85714285714283</v>
      </c>
      <c r="BN307" s="64">
        <f t="shared" si="38"/>
        <v>320.40000000000003</v>
      </c>
      <c r="BO307" s="64">
        <f t="shared" si="39"/>
        <v>0.54112554112554112</v>
      </c>
      <c r="BP307" s="64">
        <f t="shared" si="40"/>
        <v>0.54545454545454541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63</v>
      </c>
      <c r="Y309" s="552">
        <f t="shared" si="36"/>
        <v>63</v>
      </c>
      <c r="Z309" s="36">
        <f>IFERROR(IF(Y309=0,"",ROUNDUP(Y309/H309,0)*0.00502),"")</f>
        <v>0.15060000000000001</v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66.900000000000006</v>
      </c>
      <c r="BN309" s="64">
        <f t="shared" si="38"/>
        <v>66.900000000000006</v>
      </c>
      <c r="BO309" s="64">
        <f t="shared" si="39"/>
        <v>0.12820512820512822</v>
      </c>
      <c r="BP309" s="64">
        <f t="shared" si="40"/>
        <v>0.12820512820512822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63</v>
      </c>
      <c r="Y310" s="552">
        <f t="shared" si="36"/>
        <v>63</v>
      </c>
      <c r="Z310" s="36">
        <f>IFERROR(IF(Y310=0,"",ROUNDUP(Y310/H310,0)*0.00502),"")</f>
        <v>0.15060000000000001</v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66.000000000000014</v>
      </c>
      <c r="BN310" s="64">
        <f t="shared" si="38"/>
        <v>66.000000000000014</v>
      </c>
      <c r="BO310" s="64">
        <f t="shared" si="39"/>
        <v>0.12820512820512822</v>
      </c>
      <c r="BP310" s="64">
        <f t="shared" si="40"/>
        <v>0.12820512820512822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72</v>
      </c>
      <c r="Y311" s="552">
        <f t="shared" si="36"/>
        <v>72</v>
      </c>
      <c r="Z311" s="36">
        <f>IFERROR(IF(Y311=0,"",ROUNDUP(Y311/H311,0)*0.00651),"")</f>
        <v>0.26040000000000002</v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81.11999999999999</v>
      </c>
      <c r="BN311" s="64">
        <f t="shared" si="38"/>
        <v>81.11999999999999</v>
      </c>
      <c r="BO311" s="64">
        <f t="shared" si="39"/>
        <v>0.2197802197802198</v>
      </c>
      <c r="BP311" s="64">
        <f t="shared" si="40"/>
        <v>0.2197802197802198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230.95238095238096</v>
      </c>
      <c r="Y312" s="553">
        <f>IFERROR(Y306/H306,"0")+IFERROR(Y307/H307,"0")+IFERROR(Y308/H308,"0")+IFERROR(Y309/H309,"0")+IFERROR(Y310/H310,"0")+IFERROR(Y311/H311,"0")</f>
        <v>232</v>
      </c>
      <c r="Z312" s="553">
        <f>IFERROR(IF(Z306="",0,Z306),"0")+IFERROR(IF(Z307="",0,Z307),"0")+IFERROR(IF(Z308="",0,Z308),"0")+IFERROR(IF(Z309="",0,Z309),"0")+IFERROR(IF(Z310="",0,Z310),"0")+IFERROR(IF(Z311="",0,Z311),"0")</f>
        <v>1.7522400000000002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748</v>
      </c>
      <c r="Y313" s="553">
        <f>IFERROR(SUM(Y306:Y311),"0")</f>
        <v>752.40000000000009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800</v>
      </c>
      <c r="Y315" s="552">
        <f>IFERROR(IF(X315="",0,CEILING((X315/$H315),1)*$H315),"")</f>
        <v>803.4</v>
      </c>
      <c r="Z315" s="36">
        <f>IFERROR(IF(Y315=0,"",ROUNDUP(Y315/H315,0)*0.01898),"")</f>
        <v>1.9549400000000001</v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850.0512820512821</v>
      </c>
      <c r="BN315" s="64">
        <f>IFERROR(Y315*I315/H315,"0")</f>
        <v>853.66399999999999</v>
      </c>
      <c r="BO315" s="64">
        <f>IFERROR(1/J315*(X315/H315),"0")</f>
        <v>1.6025641025641026</v>
      </c>
      <c r="BP315" s="64">
        <f>IFERROR(1/J315*(Y315/H315),"0")</f>
        <v>1.609375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150</v>
      </c>
      <c r="Y318" s="552">
        <f>IFERROR(IF(X318="",0,CEILING((X318/$H318),1)*$H318),"")</f>
        <v>150</v>
      </c>
      <c r="Z318" s="36">
        <f>IFERROR(IF(Y318=0,"",ROUNDUP(Y318/H318,0)*0.00651),"")</f>
        <v>0.32550000000000001</v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162.29999999999998</v>
      </c>
      <c r="BN318" s="64">
        <f>IFERROR(Y318*I318/H318,"0")</f>
        <v>162.29999999999998</v>
      </c>
      <c r="BO318" s="64">
        <f>IFERROR(1/J318*(X318/H318),"0")</f>
        <v>0.27472527472527475</v>
      </c>
      <c r="BP318" s="64">
        <f>IFERROR(1/J318*(Y318/H318),"0")</f>
        <v>0.27472527472527475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152.56410256410257</v>
      </c>
      <c r="Y319" s="553">
        <f>IFERROR(Y315/H315,"0")+IFERROR(Y316/H316,"0")+IFERROR(Y317/H317,"0")+IFERROR(Y318/H318,"0")</f>
        <v>153</v>
      </c>
      <c r="Z319" s="553">
        <f>IFERROR(IF(Z315="",0,Z315),"0")+IFERROR(IF(Z316="",0,Z316),"0")+IFERROR(IF(Z317="",0,Z317),"0")+IFERROR(IF(Z318="",0,Z318),"0")</f>
        <v>2.28044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950</v>
      </c>
      <c r="Y320" s="553">
        <f>IFERROR(SUM(Y315:Y318),"0")</f>
        <v>953.4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100</v>
      </c>
      <c r="Y322" s="552">
        <f>IFERROR(IF(X322="",0,CEILING((X322/$H322),1)*$H322),"")</f>
        <v>100.80000000000001</v>
      </c>
      <c r="Z322" s="36">
        <f>IFERROR(IF(Y322=0,"",ROUNDUP(Y322/H322,0)*0.01898),"")</f>
        <v>0.22776000000000002</v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105.88095238095238</v>
      </c>
      <c r="BN322" s="64">
        <f>IFERROR(Y322*I322/H322,"0")</f>
        <v>106.72800000000001</v>
      </c>
      <c r="BO322" s="64">
        <f>IFERROR(1/J322*(X322/H322),"0")</f>
        <v>0.18601190476190477</v>
      </c>
      <c r="BP322" s="64">
        <f>IFERROR(1/J322*(Y322/H322),"0")</f>
        <v>0.1875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120</v>
      </c>
      <c r="Y323" s="552">
        <f>IFERROR(IF(X323="",0,CEILING((X323/$H323),1)*$H323),"")</f>
        <v>124.8</v>
      </c>
      <c r="Z323" s="36">
        <f>IFERROR(IF(Y323=0,"",ROUNDUP(Y323/H323,0)*0.01898),"")</f>
        <v>0.30368000000000001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127.60000000000001</v>
      </c>
      <c r="BN323" s="64">
        <f>IFERROR(Y323*I323/H323,"0")</f>
        <v>132.70400000000001</v>
      </c>
      <c r="BO323" s="64">
        <f>IFERROR(1/J323*(X323/H323),"0")</f>
        <v>0.24038461538461539</v>
      </c>
      <c r="BP323" s="64">
        <f>IFERROR(1/J323*(Y323/H323),"0")</f>
        <v>0.25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140</v>
      </c>
      <c r="Y324" s="552">
        <f>IFERROR(IF(X324="",0,CEILING((X324/$H324),1)*$H324),"")</f>
        <v>142.80000000000001</v>
      </c>
      <c r="Z324" s="36">
        <f>IFERROR(IF(Y324=0,"",ROUNDUP(Y324/H324,0)*0.01898),"")</f>
        <v>0.32266</v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148.23333333333335</v>
      </c>
      <c r="BN324" s="64">
        <f>IFERROR(Y324*I324/H324,"0")</f>
        <v>151.19800000000001</v>
      </c>
      <c r="BO324" s="64">
        <f>IFERROR(1/J324*(X324/H324),"0")</f>
        <v>0.26041666666666663</v>
      </c>
      <c r="BP324" s="64">
        <f>IFERROR(1/J324*(Y324/H324),"0")</f>
        <v>0.265625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43.956043956043956</v>
      </c>
      <c r="Y325" s="553">
        <f>IFERROR(Y322/H322,"0")+IFERROR(Y323/H323,"0")+IFERROR(Y324/H324,"0")</f>
        <v>45</v>
      </c>
      <c r="Z325" s="553">
        <f>IFERROR(IF(Z322="",0,Z322),"0")+IFERROR(IF(Z323="",0,Z323),"0")+IFERROR(IF(Z324="",0,Z324),"0")</f>
        <v>0.85410000000000008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360</v>
      </c>
      <c r="Y326" s="553">
        <f>IFERROR(SUM(Y322:Y324),"0")</f>
        <v>368.40000000000003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6</v>
      </c>
      <c r="Y328" s="552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6.5328947368421053</v>
      </c>
      <c r="BN328" s="64">
        <f>IFERROR(Y328*I328/H328,"0")</f>
        <v>6.62</v>
      </c>
      <c r="BO328" s="64">
        <f>IFERROR(1/J328*(X328/H328),"0")</f>
        <v>1.4952153110047847E-2</v>
      </c>
      <c r="BP328" s="64">
        <f>IFERROR(1/J328*(Y328/H328),"0")</f>
        <v>1.5151515151515152E-2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6</v>
      </c>
      <c r="Y329" s="552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6.4539473684210531</v>
      </c>
      <c r="BN329" s="64">
        <f>IFERROR(Y329*I329/H329,"0")</f>
        <v>6.5399999999999991</v>
      </c>
      <c r="BO329" s="64">
        <f>IFERROR(1/J329*(X329/H329),"0")</f>
        <v>1.4952153110047847E-2</v>
      </c>
      <c r="BP329" s="64">
        <f>IFERROR(1/J329*(Y329/H329),"0")</f>
        <v>1.5151515151515152E-2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2.5499999999999998</v>
      </c>
      <c r="Y330" s="552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2.9550000000000001</v>
      </c>
      <c r="BN330" s="64">
        <f>IFERROR(Y330*I330/H330,"0")</f>
        <v>2.9550000000000001</v>
      </c>
      <c r="BO330" s="64">
        <f>IFERROR(1/J330*(X330/H330),"0")</f>
        <v>5.4945054945054949E-3</v>
      </c>
      <c r="BP330" s="64">
        <f>IFERROR(1/J330*(Y330/H330),"0")</f>
        <v>5.4945054945054949E-3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25.5</v>
      </c>
      <c r="Y331" s="552">
        <f>IFERROR(IF(X331="",0,CEILING((X331/$H331),1)*$H331),"")</f>
        <v>25.5</v>
      </c>
      <c r="Z331" s="36">
        <f>IFERROR(IF(Y331=0,"",ROUNDUP(Y331/H331,0)*0.00651),"")</f>
        <v>6.5100000000000005E-2</v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28.8</v>
      </c>
      <c r="BN331" s="64">
        <f>IFERROR(Y331*I331/H331,"0")</f>
        <v>28.8</v>
      </c>
      <c r="BO331" s="64">
        <f>IFERROR(1/J331*(X331/H331),"0")</f>
        <v>5.4945054945054951E-2</v>
      </c>
      <c r="BP331" s="64">
        <f>IFERROR(1/J331*(Y331/H331),"0")</f>
        <v>5.4945054945054951E-2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14.947368421052632</v>
      </c>
      <c r="Y332" s="553">
        <f>IFERROR(Y328/H328,"0")+IFERROR(Y329/H329,"0")+IFERROR(Y330/H330,"0")+IFERROR(Y331/H331,"0")</f>
        <v>15</v>
      </c>
      <c r="Z332" s="553">
        <f>IFERROR(IF(Z328="",0,Z328),"0")+IFERROR(IF(Z329="",0,Z329),"0")+IFERROR(IF(Z330="",0,Z330),"0")+IFERROR(IF(Z331="",0,Z331),"0")</f>
        <v>0.10769000000000001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40.049999999999997</v>
      </c>
      <c r="Y333" s="553">
        <f>IFERROR(SUM(Y328:Y331),"0")</f>
        <v>40.21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20</v>
      </c>
      <c r="Y335" s="552">
        <f>IFERROR(IF(X335="",0,CEILING((X335/$H335),1)*$H335),"")</f>
        <v>20</v>
      </c>
      <c r="Z335" s="36">
        <f>IFERROR(IF(Y335=0,"",ROUNDUP(Y335/H335,0)*0.00474),"")</f>
        <v>4.7400000000000005E-2</v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22.400000000000002</v>
      </c>
      <c r="BN335" s="64">
        <f>IFERROR(Y335*I335/H335,"0")</f>
        <v>22.400000000000002</v>
      </c>
      <c r="BO335" s="64">
        <f>IFERROR(1/J335*(X335/H335),"0")</f>
        <v>4.2016806722689072E-2</v>
      </c>
      <c r="BP335" s="64">
        <f>IFERROR(1/J335*(Y335/H335),"0")</f>
        <v>4.2016806722689072E-2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10</v>
      </c>
      <c r="Y336" s="552">
        <f>IFERROR(IF(X336="",0,CEILING((X336/$H336),1)*$H336),"")</f>
        <v>10</v>
      </c>
      <c r="Z336" s="36">
        <f>IFERROR(IF(Y336=0,"",ROUNDUP(Y336/H336,0)*0.00474),"")</f>
        <v>2.3700000000000002E-2</v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11.200000000000001</v>
      </c>
      <c r="BN336" s="64">
        <f>IFERROR(Y336*I336/H336,"0")</f>
        <v>11.200000000000001</v>
      </c>
      <c r="BO336" s="64">
        <f>IFERROR(1/J336*(X336/H336),"0")</f>
        <v>2.1008403361344536E-2</v>
      </c>
      <c r="BP336" s="64">
        <f>IFERROR(1/J336*(Y336/H336),"0")</f>
        <v>2.1008403361344536E-2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26</v>
      </c>
      <c r="Y337" s="552">
        <f>IFERROR(IF(X337="",0,CEILING((X337/$H337),1)*$H337),"")</f>
        <v>26</v>
      </c>
      <c r="Z337" s="36">
        <f>IFERROR(IF(Y337=0,"",ROUNDUP(Y337/H337,0)*0.00474),"")</f>
        <v>6.1620000000000001E-2</v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29.120000000000005</v>
      </c>
      <c r="BN337" s="64">
        <f>IFERROR(Y337*I337/H337,"0")</f>
        <v>29.120000000000005</v>
      </c>
      <c r="BO337" s="64">
        <f>IFERROR(1/J337*(X337/H337),"0")</f>
        <v>5.4621848739495799E-2</v>
      </c>
      <c r="BP337" s="64">
        <f>IFERROR(1/J337*(Y337/H337),"0")</f>
        <v>5.4621848739495799E-2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28</v>
      </c>
      <c r="Y338" s="553">
        <f>IFERROR(Y335/H335,"0")+IFERROR(Y336/H336,"0")+IFERROR(Y337/H337,"0")</f>
        <v>28</v>
      </c>
      <c r="Z338" s="553">
        <f>IFERROR(IF(Z335="",0,Z335),"0")+IFERROR(IF(Z336="",0,Z336),"0")+IFERROR(IF(Z337="",0,Z337),"0")</f>
        <v>0.13272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56</v>
      </c>
      <c r="Y339" s="553">
        <f>IFERROR(SUM(Y335:Y337),"0")</f>
        <v>56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80</v>
      </c>
      <c r="Y342" s="552">
        <f>IFERROR(IF(X342="",0,CEILING((X342/$H342),1)*$H342),"")</f>
        <v>81</v>
      </c>
      <c r="Z342" s="36">
        <f>IFERROR(IF(Y342=0,"",ROUNDUP(Y342/H342,0)*0.01898),"")</f>
        <v>0.1898</v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84.879012345679016</v>
      </c>
      <c r="BN342" s="64">
        <f>IFERROR(Y342*I342/H342,"0")</f>
        <v>85.94</v>
      </c>
      <c r="BO342" s="64">
        <f>IFERROR(1/J342*(X342/H342),"0")</f>
        <v>0.15432098765432101</v>
      </c>
      <c r="BP342" s="64">
        <f>IFERROR(1/J342*(Y342/H342),"0")</f>
        <v>0.15625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178.5</v>
      </c>
      <c r="Y343" s="552">
        <f>IFERROR(IF(X343="",0,CEILING((X343/$H343),1)*$H343),"")</f>
        <v>178.5</v>
      </c>
      <c r="Z343" s="36">
        <f>IFERROR(IF(Y343=0,"",ROUNDUP(Y343/H343,0)*0.00651),"")</f>
        <v>0.55335000000000001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199.92</v>
      </c>
      <c r="BN343" s="64">
        <f>IFERROR(Y343*I343/H343,"0")</f>
        <v>199.92</v>
      </c>
      <c r="BO343" s="64">
        <f>IFERROR(1/J343*(X343/H343),"0")</f>
        <v>0.46703296703296709</v>
      </c>
      <c r="BP343" s="64">
        <f>IFERROR(1/J343*(Y343/H343),"0")</f>
        <v>0.46703296703296709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126</v>
      </c>
      <c r="Y344" s="552">
        <f>IFERROR(IF(X344="",0,CEILING((X344/$H344),1)*$H344),"")</f>
        <v>126</v>
      </c>
      <c r="Z344" s="36">
        <f>IFERROR(IF(Y344=0,"",ROUNDUP(Y344/H344,0)*0.00651),"")</f>
        <v>0.3906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140.39999999999998</v>
      </c>
      <c r="BN344" s="64">
        <f>IFERROR(Y344*I344/H344,"0")</f>
        <v>140.39999999999998</v>
      </c>
      <c r="BO344" s="64">
        <f>IFERROR(1/J344*(X344/H344),"0")</f>
        <v>0.32967032967032972</v>
      </c>
      <c r="BP344" s="64">
        <f>IFERROR(1/J344*(Y344/H344),"0")</f>
        <v>0.32967032967032972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154.87654320987656</v>
      </c>
      <c r="Y345" s="553">
        <f>IFERROR(Y342/H342,"0")+IFERROR(Y343/H343,"0")+IFERROR(Y344/H344,"0")</f>
        <v>155</v>
      </c>
      <c r="Z345" s="553">
        <f>IFERROR(IF(Z342="",0,Z342),"0")+IFERROR(IF(Z343="",0,Z343),"0")+IFERROR(IF(Z344="",0,Z344),"0")</f>
        <v>1.13375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384.5</v>
      </c>
      <c r="Y346" s="553">
        <f>IFERROR(SUM(Y342:Y344),"0")</f>
        <v>385.5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90</v>
      </c>
      <c r="Y350" s="552">
        <f t="shared" ref="Y350:Y356" si="41">IFERROR(IF(X350="",0,CEILING((X350/$H350),1)*$H350),"")</f>
        <v>90</v>
      </c>
      <c r="Z350" s="36">
        <f>IFERROR(IF(Y350=0,"",ROUNDUP(Y350/H350,0)*0.02175),"")</f>
        <v>0.1305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92.82</v>
      </c>
      <c r="BN350" s="64">
        <f t="shared" ref="BN350:BN356" si="43">IFERROR(Y350*I350/H350,"0")</f>
        <v>92.82</v>
      </c>
      <c r="BO350" s="64">
        <f t="shared" ref="BO350:BO356" si="44">IFERROR(1/J350*(X350/H350),"0")</f>
        <v>0.125</v>
      </c>
      <c r="BP350" s="64">
        <f t="shared" ref="BP350:BP356" si="45">IFERROR(1/J350*(Y350/H350),"0")</f>
        <v>0.125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120</v>
      </c>
      <c r="Y351" s="552">
        <f t="shared" si="41"/>
        <v>120</v>
      </c>
      <c r="Z351" s="36">
        <f>IFERROR(IF(Y351=0,"",ROUNDUP(Y351/H351,0)*0.02175),"")</f>
        <v>0.17399999999999999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123.76</v>
      </c>
      <c r="BN351" s="64">
        <f t="shared" si="43"/>
        <v>123.76</v>
      </c>
      <c r="BO351" s="64">
        <f t="shared" si="44"/>
        <v>0.16666666666666666</v>
      </c>
      <c r="BP351" s="64">
        <f t="shared" si="45"/>
        <v>0.16666666666666666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300</v>
      </c>
      <c r="Y352" s="552">
        <f t="shared" si="41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309.39999999999998</v>
      </c>
      <c r="BN352" s="64">
        <f t="shared" si="43"/>
        <v>309.39999999999998</v>
      </c>
      <c r="BO352" s="64">
        <f t="shared" si="44"/>
        <v>0.41666666666666663</v>
      </c>
      <c r="BP352" s="64">
        <f t="shared" si="45"/>
        <v>0.41666666666666663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34</v>
      </c>
      <c r="Y357" s="553">
        <f>IFERROR(Y350/H350,"0")+IFERROR(Y351/H351,"0")+IFERROR(Y352/H352,"0")+IFERROR(Y353/H353,"0")+IFERROR(Y354/H354,"0")+IFERROR(Y355/H355,"0")+IFERROR(Y356/H356,"0")</f>
        <v>34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0.73949999999999994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510</v>
      </c>
      <c r="Y358" s="553">
        <f>IFERROR(SUM(Y350:Y356),"0")</f>
        <v>510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800</v>
      </c>
      <c r="Y360" s="552">
        <f>IFERROR(IF(X360="",0,CEILING((X360/$H360),1)*$H360),"")</f>
        <v>810</v>
      </c>
      <c r="Z360" s="36">
        <f>IFERROR(IF(Y360=0,"",ROUNDUP(Y360/H360,0)*0.02175),"")</f>
        <v>1.1744999999999999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825.06666666666672</v>
      </c>
      <c r="BN360" s="64">
        <f>IFERROR(Y360*I360/H360,"0")</f>
        <v>835.38</v>
      </c>
      <c r="BO360" s="64">
        <f>IFERROR(1/J360*(X360/H360),"0")</f>
        <v>1.1111111111111112</v>
      </c>
      <c r="BP360" s="64">
        <f>IFERROR(1/J360*(Y360/H360),"0")</f>
        <v>1.125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53.333333333333336</v>
      </c>
      <c r="Y362" s="553">
        <f>IFERROR(Y360/H360,"0")+IFERROR(Y361/H361,"0")</f>
        <v>54</v>
      </c>
      <c r="Z362" s="553">
        <f>IFERROR(IF(Z360="",0,Z360),"0")+IFERROR(IF(Z361="",0,Z361),"0")</f>
        <v>1.1744999999999999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800</v>
      </c>
      <c r="Y363" s="553">
        <f>IFERROR(SUM(Y360:Y361),"0")</f>
        <v>810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18</v>
      </c>
      <c r="Y365" s="552">
        <f>IFERROR(IF(X365="",0,CEILING((X365/$H365),1)*$H365),"")</f>
        <v>18</v>
      </c>
      <c r="Z365" s="36">
        <f>IFERROR(IF(Y365=0,"",ROUNDUP(Y365/H365,0)*0.01898),"")</f>
        <v>3.7960000000000001E-2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19</v>
      </c>
      <c r="BN365" s="64">
        <f>IFERROR(Y365*I365/H365,"0")</f>
        <v>19</v>
      </c>
      <c r="BO365" s="64">
        <f>IFERROR(1/J365*(X365/H365),"0")</f>
        <v>3.125E-2</v>
      </c>
      <c r="BP365" s="64">
        <f>IFERROR(1/J365*(Y365/H365),"0")</f>
        <v>3.125E-2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2</v>
      </c>
      <c r="Y367" s="553">
        <f>IFERROR(Y365/H365,"0")+IFERROR(Y366/H366,"0")</f>
        <v>2</v>
      </c>
      <c r="Z367" s="553">
        <f>IFERROR(IF(Z365="",0,Z365),"0")+IFERROR(IF(Z366="",0,Z366),"0")</f>
        <v>3.7960000000000001E-2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18</v>
      </c>
      <c r="Y368" s="553">
        <f>IFERROR(SUM(Y365:Y366),"0")</f>
        <v>18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75</v>
      </c>
      <c r="Y376" s="552">
        <f>IFERROR(IF(X376="",0,CEILING((X376/$H376),1)*$H376),"")</f>
        <v>76</v>
      </c>
      <c r="Z376" s="36">
        <f>IFERROR(IF(Y376=0,"",ROUNDUP(Y376/H376,0)*0.00902),"")</f>
        <v>0.17138</v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78.562500000000014</v>
      </c>
      <c r="BN376" s="64">
        <f>IFERROR(Y376*I376/H376,"0")</f>
        <v>79.610000000000014</v>
      </c>
      <c r="BO376" s="64">
        <f>IFERROR(1/J376*(X376/H376),"0")</f>
        <v>0.14204545454545456</v>
      </c>
      <c r="BP376" s="64">
        <f>IFERROR(1/J376*(Y376/H376),"0")</f>
        <v>0.14393939393939395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18.75</v>
      </c>
      <c r="Y377" s="553">
        <f>IFERROR(Y375/H375,"0")+IFERROR(Y376/H376,"0")</f>
        <v>19</v>
      </c>
      <c r="Z377" s="553">
        <f>IFERROR(IF(Z375="",0,Z375),"0")+IFERROR(IF(Z376="",0,Z376),"0")</f>
        <v>0.17138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75</v>
      </c>
      <c r="Y378" s="553">
        <f>IFERROR(SUM(Y375:Y376),"0")</f>
        <v>76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400</v>
      </c>
      <c r="Y385" s="552">
        <f>IFERROR(IF(X385="",0,CEILING((X385/$H385),1)*$H385),"")</f>
        <v>405</v>
      </c>
      <c r="Z385" s="36">
        <f>IFERROR(IF(Y385=0,"",ROUNDUP(Y385/H385,0)*0.01898),"")</f>
        <v>0.85409999999999997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421.95555555555552</v>
      </c>
      <c r="BN385" s="64">
        <f>IFERROR(Y385*I385/H385,"0")</f>
        <v>427.22999999999996</v>
      </c>
      <c r="BO385" s="64">
        <f>IFERROR(1/J385*(X385/H385),"0")</f>
        <v>0.69444444444444442</v>
      </c>
      <c r="BP385" s="64">
        <f>IFERROR(1/J385*(Y385/H385),"0")</f>
        <v>0.703125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72</v>
      </c>
      <c r="Y387" s="552">
        <f>IFERROR(IF(X387="",0,CEILING((X387/$H387),1)*$H387),"")</f>
        <v>72</v>
      </c>
      <c r="Z387" s="36">
        <f>IFERROR(IF(Y387=0,"",ROUNDUP(Y387/H387,0)*0.00651),"")</f>
        <v>0.1953</v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79.920000000000016</v>
      </c>
      <c r="BN387" s="64">
        <f>IFERROR(Y387*I387/H387,"0")</f>
        <v>79.920000000000016</v>
      </c>
      <c r="BO387" s="64">
        <f>IFERROR(1/J387*(X387/H387),"0")</f>
        <v>0.16483516483516486</v>
      </c>
      <c r="BP387" s="64">
        <f>IFERROR(1/J387*(Y387/H387),"0")</f>
        <v>0.16483516483516486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74.444444444444443</v>
      </c>
      <c r="Y388" s="553">
        <f>IFERROR(Y385/H385,"0")+IFERROR(Y386/H386,"0")+IFERROR(Y387/H387,"0")</f>
        <v>75</v>
      </c>
      <c r="Z388" s="553">
        <f>IFERROR(IF(Z385="",0,Z385),"0")+IFERROR(IF(Z386="",0,Z386),"0")+IFERROR(IF(Z387="",0,Z387),"0")</f>
        <v>1.0493999999999999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472</v>
      </c>
      <c r="Y389" s="553">
        <f>IFERROR(SUM(Y385:Y387),"0")</f>
        <v>477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8.4</v>
      </c>
      <c r="Y397" s="552">
        <f t="shared" si="46"/>
        <v>8.4</v>
      </c>
      <c r="Z397" s="36">
        <f t="shared" si="51"/>
        <v>2.0080000000000001E-2</v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8.92</v>
      </c>
      <c r="BN397" s="64">
        <f t="shared" si="48"/>
        <v>8.92</v>
      </c>
      <c r="BO397" s="64">
        <f t="shared" si="49"/>
        <v>1.7094017094017096E-2</v>
      </c>
      <c r="BP397" s="64">
        <f t="shared" si="50"/>
        <v>1.7094017094017096E-2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4</v>
      </c>
      <c r="Y402" s="553">
        <f>IFERROR(Y393/H393,"0")+IFERROR(Y394/H394,"0")+IFERROR(Y395/H395,"0")+IFERROR(Y396/H396,"0")+IFERROR(Y397/H397,"0")+IFERROR(Y398/H398,"0")+IFERROR(Y399/H399,"0")+IFERROR(Y400/H400,"0")+IFERROR(Y401/H401,"0")</f>
        <v>4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2.0080000000000001E-2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8.4</v>
      </c>
      <c r="Y403" s="553">
        <f>IFERROR(SUM(Y393:Y401),"0")</f>
        <v>8.4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25</v>
      </c>
      <c r="Y415" s="552">
        <f>IFERROR(IF(X415="",0,CEILING((X415/$H415),1)*$H415),"")</f>
        <v>27</v>
      </c>
      <c r="Z415" s="36">
        <f>IFERROR(IF(Y415=0,"",ROUNDUP(Y415/H415,0)*0.00902),"")</f>
        <v>4.5100000000000001E-2</v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25.879629629629626</v>
      </c>
      <c r="BN415" s="64">
        <f>IFERROR(Y415*I415/H415,"0")</f>
        <v>27.95</v>
      </c>
      <c r="BO415" s="64">
        <f>IFERROR(1/J415*(X415/H415),"0")</f>
        <v>3.5072951739618406E-2</v>
      </c>
      <c r="BP415" s="64">
        <f>IFERROR(1/J415*(Y415/H415),"0")</f>
        <v>3.787878787878788E-2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4.6296296296296298</v>
      </c>
      <c r="Y419" s="553">
        <f>IFERROR(Y415/H415,"0")+IFERROR(Y416/H416,"0")+IFERROR(Y417/H417,"0")+IFERROR(Y418/H418,"0")</f>
        <v>5</v>
      </c>
      <c r="Z419" s="553">
        <f>IFERROR(IF(Z415="",0,Z415),"0")+IFERROR(IF(Z416="",0,Z416),"0")+IFERROR(IF(Z417="",0,Z417),"0")+IFERROR(IF(Z418="",0,Z418),"0")</f>
        <v>4.5100000000000001E-2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25</v>
      </c>
      <c r="Y420" s="553">
        <f>IFERROR(SUM(Y415:Y418),"0")</f>
        <v>27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150</v>
      </c>
      <c r="Y431" s="552">
        <f t="shared" si="52"/>
        <v>153.12</v>
      </c>
      <c r="Z431" s="36">
        <f t="shared" si="53"/>
        <v>0.34683999999999998</v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159.94318181818181</v>
      </c>
      <c r="BN431" s="64">
        <f t="shared" si="55"/>
        <v>163.26999999999998</v>
      </c>
      <c r="BO431" s="64">
        <f t="shared" si="56"/>
        <v>0.27316433566433568</v>
      </c>
      <c r="BP431" s="64">
        <f t="shared" si="57"/>
        <v>0.27884615384615385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50</v>
      </c>
      <c r="Y435" s="552">
        <f t="shared" si="52"/>
        <v>52.800000000000004</v>
      </c>
      <c r="Z435" s="36">
        <f t="shared" si="53"/>
        <v>0.1196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53.314393939393938</v>
      </c>
      <c r="BN435" s="64">
        <f t="shared" si="55"/>
        <v>56.3</v>
      </c>
      <c r="BO435" s="64">
        <f t="shared" si="56"/>
        <v>9.1054778554778545E-2</v>
      </c>
      <c r="BP435" s="64">
        <f t="shared" si="57"/>
        <v>9.6153846153846159E-2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9.6</v>
      </c>
      <c r="Y437" s="552">
        <f t="shared" si="52"/>
        <v>9.6</v>
      </c>
      <c r="Z437" s="36">
        <f>IFERROR(IF(Y437=0,"",ROUNDUP(Y437/H437,0)*0.00902),"")</f>
        <v>1.804E-2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13.82</v>
      </c>
      <c r="BN437" s="64">
        <f t="shared" si="55"/>
        <v>13.82</v>
      </c>
      <c r="BO437" s="64">
        <f t="shared" si="56"/>
        <v>1.5151515151515152E-2</v>
      </c>
      <c r="BP437" s="64">
        <f t="shared" si="57"/>
        <v>1.5151515151515152E-2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9.6</v>
      </c>
      <c r="Y440" s="552">
        <f t="shared" si="52"/>
        <v>9.6</v>
      </c>
      <c r="Z440" s="36">
        <f>IFERROR(IF(Y440=0,"",ROUNDUP(Y440/H440,0)*0.00902),"")</f>
        <v>1.804E-2</v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13.82</v>
      </c>
      <c r="BN440" s="64">
        <f t="shared" si="55"/>
        <v>13.82</v>
      </c>
      <c r="BO440" s="64">
        <f t="shared" si="56"/>
        <v>1.5151515151515152E-2</v>
      </c>
      <c r="BP440" s="64">
        <f t="shared" si="57"/>
        <v>1.5151515151515152E-2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41.878787878787875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43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0.50251999999999997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219.2</v>
      </c>
      <c r="Y442" s="553">
        <f>IFERROR(SUM(Y429:Y440),"0")</f>
        <v>225.12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350</v>
      </c>
      <c r="Y444" s="552">
        <f>IFERROR(IF(X444="",0,CEILING((X444/$H444),1)*$H444),"")</f>
        <v>353.76</v>
      </c>
      <c r="Z444" s="36">
        <f>IFERROR(IF(Y444=0,"",ROUNDUP(Y444/H444,0)*0.01196),"")</f>
        <v>0.80132000000000003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373.20075757575756</v>
      </c>
      <c r="BN444" s="64">
        <f>IFERROR(Y444*I444/H444,"0")</f>
        <v>377.21</v>
      </c>
      <c r="BO444" s="64">
        <f>IFERROR(1/J444*(X444/H444),"0")</f>
        <v>0.63738344988344986</v>
      </c>
      <c r="BP444" s="64">
        <f>IFERROR(1/J444*(Y444/H444),"0")</f>
        <v>0.64423076923076927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66.287878787878782</v>
      </c>
      <c r="Y447" s="553">
        <f>IFERROR(Y444/H444,"0")+IFERROR(Y445/H445,"0")+IFERROR(Y446/H446,"0")</f>
        <v>67</v>
      </c>
      <c r="Z447" s="553">
        <f>IFERROR(IF(Z444="",0,Z444),"0")+IFERROR(IF(Z445="",0,Z445),"0")+IFERROR(IF(Z446="",0,Z446),"0")</f>
        <v>0.80132000000000003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350</v>
      </c>
      <c r="Y448" s="553">
        <f>IFERROR(SUM(Y444:Y446),"0")</f>
        <v>353.76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120</v>
      </c>
      <c r="Y450" s="552">
        <f t="shared" ref="Y450:Y455" si="58">IFERROR(IF(X450="",0,CEILING((X450/$H450),1)*$H450),"")</f>
        <v>121.44000000000001</v>
      </c>
      <c r="Z450" s="36">
        <f>IFERROR(IF(Y450=0,"",ROUNDUP(Y450/H450,0)*0.01196),"")</f>
        <v>0.27507999999999999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127.95454545454545</v>
      </c>
      <c r="BN450" s="64">
        <f t="shared" ref="BN450:BN455" si="60">IFERROR(Y450*I450/H450,"0")</f>
        <v>129.49</v>
      </c>
      <c r="BO450" s="64">
        <f t="shared" ref="BO450:BO455" si="61">IFERROR(1/J450*(X450/H450),"0")</f>
        <v>0.21853146853146854</v>
      </c>
      <c r="BP450" s="64">
        <f t="shared" ref="BP450:BP455" si="62">IFERROR(1/J450*(Y450/H450),"0")</f>
        <v>0.22115384615384617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50</v>
      </c>
      <c r="Y451" s="552">
        <f t="shared" si="58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53.314393939393938</v>
      </c>
      <c r="BN451" s="64">
        <f t="shared" si="60"/>
        <v>56.3</v>
      </c>
      <c r="BO451" s="64">
        <f t="shared" si="61"/>
        <v>9.1054778554778545E-2</v>
      </c>
      <c r="BP451" s="64">
        <f t="shared" si="62"/>
        <v>9.6153846153846159E-2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0</v>
      </c>
      <c r="Y452" s="552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19.2</v>
      </c>
      <c r="Y453" s="552">
        <f t="shared" si="58"/>
        <v>19.2</v>
      </c>
      <c r="Z453" s="36">
        <f>IFERROR(IF(Y453=0,"",ROUNDUP(Y453/H453,0)*0.00902),"")</f>
        <v>3.6080000000000001E-2</v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27.64</v>
      </c>
      <c r="BN453" s="64">
        <f t="shared" si="60"/>
        <v>27.64</v>
      </c>
      <c r="BO453" s="64">
        <f t="shared" si="61"/>
        <v>3.0303030303030304E-2</v>
      </c>
      <c r="BP453" s="64">
        <f t="shared" si="62"/>
        <v>3.0303030303030304E-2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14.4</v>
      </c>
      <c r="Y454" s="552">
        <f t="shared" si="58"/>
        <v>14.399999999999999</v>
      </c>
      <c r="Z454" s="36">
        <f>IFERROR(IF(Y454=0,"",ROUNDUP(Y454/H454,0)*0.00902),"")</f>
        <v>2.7060000000000001E-2</v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20.010000000000002</v>
      </c>
      <c r="BN454" s="64">
        <f t="shared" si="60"/>
        <v>20.009999999999998</v>
      </c>
      <c r="BO454" s="64">
        <f t="shared" si="61"/>
        <v>2.2727272727272728E-2</v>
      </c>
      <c r="BP454" s="64">
        <f t="shared" si="62"/>
        <v>2.2727272727272728E-2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19.2</v>
      </c>
      <c r="Y455" s="552">
        <f t="shared" si="58"/>
        <v>19.2</v>
      </c>
      <c r="Z455" s="36">
        <f>IFERROR(IF(Y455=0,"",ROUNDUP(Y455/H455,0)*0.00902),"")</f>
        <v>3.6080000000000001E-2</v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26.68</v>
      </c>
      <c r="BN455" s="64">
        <f t="shared" si="60"/>
        <v>26.68</v>
      </c>
      <c r="BO455" s="64">
        <f t="shared" si="61"/>
        <v>3.0303030303030304E-2</v>
      </c>
      <c r="BP455" s="64">
        <f t="shared" si="62"/>
        <v>3.0303030303030304E-2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43.196969696969695</v>
      </c>
      <c r="Y456" s="553">
        <f>IFERROR(Y450/H450,"0")+IFERROR(Y451/H451,"0")+IFERROR(Y452/H452,"0")+IFERROR(Y453/H453,"0")+IFERROR(Y454/H454,"0")+IFERROR(Y455/H455,"0")</f>
        <v>44</v>
      </c>
      <c r="Z456" s="553">
        <f>IFERROR(IF(Z450="",0,Z450),"0")+IFERROR(IF(Z451="",0,Z451),"0")+IFERROR(IF(Z452="",0,Z452),"0")+IFERROR(IF(Z453="",0,Z453),"0")+IFERROR(IF(Z454="",0,Z454),"0")+IFERROR(IF(Z455="",0,Z455),"0")</f>
        <v>0.49390000000000001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222.79999999999998</v>
      </c>
      <c r="Y457" s="553">
        <f>IFERROR(SUM(Y450:Y455),"0")</f>
        <v>227.04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80</v>
      </c>
      <c r="Y477" s="552">
        <f>IFERROR(IF(X477="",0,CEILING((X477/$H477),1)*$H477),"")</f>
        <v>81.599999999999994</v>
      </c>
      <c r="Z477" s="36">
        <f>IFERROR(IF(Y477=0,"",ROUNDUP(Y477/H477,0)*0.00902),"")</f>
        <v>0.15334</v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84.166666666666671</v>
      </c>
      <c r="BN477" s="64">
        <f>IFERROR(Y477*I477/H477,"0")</f>
        <v>85.85</v>
      </c>
      <c r="BO477" s="64">
        <f>IFERROR(1/J477*(X477/H477),"0")</f>
        <v>0.12626262626262627</v>
      </c>
      <c r="BP477" s="64">
        <f>IFERROR(1/J477*(Y477/H477),"0")</f>
        <v>0.12878787878787878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16.666666666666668</v>
      </c>
      <c r="Y478" s="553">
        <f>IFERROR(Y477/H477,"0")</f>
        <v>17</v>
      </c>
      <c r="Z478" s="553">
        <f>IFERROR(IF(Z477="",0,Z477),"0")</f>
        <v>0.15334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80</v>
      </c>
      <c r="Y479" s="553">
        <f>IFERROR(SUM(Y477:Y477),"0")</f>
        <v>81.599999999999994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10649.17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10775.11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11295.880665843255</v>
      </c>
      <c r="Y495" s="553">
        <f>IFERROR(SUM(BN22:BN491),"0")</f>
        <v>11427.939999999995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20</v>
      </c>
      <c r="Y496" s="38">
        <f>ROUNDUP(SUM(BP22:BP491),0)</f>
        <v>20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11795.880665843255</v>
      </c>
      <c r="Y497" s="553">
        <f>GrossWeightTotalR+PalletQtyTotalR*25</f>
        <v>11927.939999999995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2212.5635146205318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2230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23.137990000000002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8" t="s">
        <v>661</v>
      </c>
      <c r="Y501" s="602" t="s">
        <v>716</v>
      </c>
      <c r="Z501" s="641"/>
      <c r="AB501" s="52"/>
      <c r="AC501" s="52"/>
      <c r="AF501" s="549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9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9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9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570.40000000000009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1083.6000000000001</v>
      </c>
      <c r="E504" s="46">
        <f>IFERROR(Y84*1,"0")+IFERROR(Y85*1,"0")+IFERROR(Y86*1,"0")+IFERROR(Y87*1,"0")+IFERROR(Y91*1,"0")+IFERROR(Y92*1,"0")+IFERROR(Y93*1,"0")+IFERROR(Y94*1,"0")</f>
        <v>756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561.9</v>
      </c>
      <c r="G504" s="46">
        <f>IFERROR(Y126*1,"0")+IFERROR(Y127*1,"0")+IFERROR(Y131*1,"0")+IFERROR(Y132*1,"0")+IFERROR(Y136*1,"0")+IFERROR(Y137*1,"0")</f>
        <v>107.2</v>
      </c>
      <c r="H504" s="46">
        <f>IFERROR(Y142*1,"0")+IFERROR(Y143*1,"0")+IFERROR(Y147*1,"0")+IFERROR(Y148*1,"0")+IFERROR(Y149*1,"0")+IFERROR(Y150*1,"0")+IFERROR(Y151*1,"0")+IFERROR(Y152*1,"0")+IFERROR(Y156*1,"0")</f>
        <v>138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287.28000000000003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731.40000000000009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22.5</v>
      </c>
      <c r="L504" s="46">
        <f>IFERROR(Y262*1,"0")+IFERROR(Y263*1,"0")+IFERROR(Y264*1,"0")+IFERROR(Y265*1,"0")+IFERROR(Y266*1,"0")</f>
        <v>237.60000000000002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10.199999999999999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3069.6100000000006</v>
      </c>
      <c r="R504" s="46">
        <f>IFERROR(Y342*1,"0")+IFERROR(Y343*1,"0")+IFERROR(Y344*1,"0")</f>
        <v>385.5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1338</v>
      </c>
      <c r="T504" s="46">
        <f>IFERROR(Y375*1,"0")+IFERROR(Y376*1,"0")+IFERROR(Y380*1,"0")+IFERROR(Y381*1,"0")+IFERROR(Y385*1,"0")+IFERROR(Y386*1,"0")+IFERROR(Y387*1,"0")</f>
        <v>553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8.4</v>
      </c>
      <c r="V504" s="46">
        <f>IFERROR(Y411*1,"0")+IFERROR(Y415*1,"0")+IFERROR(Y416*1,"0")+IFERROR(Y417*1,"0")+IFERROR(Y418*1,"0")</f>
        <v>27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805.92000000000007</v>
      </c>
      <c r="Y504" s="46">
        <f>IFERROR(Y465*1,"0")+IFERROR(Y466*1,"0")+IFERROR(Y467*1,"0")+IFERROR(Y468*1,"0")+IFERROR(Y472*1,"0")+IFERROR(Y473*1,"0")+IFERROR(Y477*1,"0")+IFERROR(Y481*1,"0")+IFERROR(Y485*1,"0")+IFERROR(Y486*1,"0")</f>
        <v>81.599999999999994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2026-01-20T10:00:06Z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