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8BCD4CC-67B0-4934-B671-AEF947D0D9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Y324" i="1"/>
  <c r="H499" i="1"/>
  <c r="F9" i="1"/>
  <c r="J9" i="1"/>
  <c r="Z22" i="1"/>
  <c r="Z24" i="1" s="1"/>
  <c r="BN22" i="1"/>
  <c r="BP22" i="1"/>
  <c r="X493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Z111" i="1" s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Z152" i="1" s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Z266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Z361" i="1"/>
  <c r="BP393" i="1"/>
  <c r="BN393" i="1"/>
  <c r="Z393" i="1"/>
  <c r="Z401" i="1" s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223" i="1" l="1"/>
  <c r="Z337" i="1"/>
  <c r="Y490" i="1"/>
  <c r="Y493" i="1"/>
  <c r="Z464" i="1"/>
  <c r="Z446" i="1"/>
  <c r="Z302" i="1"/>
  <c r="Z281" i="1"/>
  <c r="Z455" i="1"/>
  <c r="Z418" i="1"/>
  <c r="Z118" i="1"/>
  <c r="Z43" i="1"/>
  <c r="Z494" i="1" s="1"/>
  <c r="Y489" i="1"/>
  <c r="Y491" i="1"/>
  <c r="Y492" i="1" l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<sst xmlns="http://schemas.openxmlformats.org/spreadsheetml/2006/main" count="2342" uniqueCount="770">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</sst>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250</v>
      </c>
      <c r="Y40" s="548">
        <f>IFERROR(IF(X40="",0,CEILING((X40/$H40),1)*$H40),"")</f>
        <v>259.20000000000005</v>
      </c>
      <c r="Z40" s="36">
        <f>IFERROR(IF(Y40=0,"",ROUNDUP(Y40/H40,0)*0.01898),"")</f>
        <v>0.45552000000000004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259.4907407407407</v>
      </c>
      <c r="BN40" s="64">
        <f>IFERROR(Y40*I40/H40,"0")</f>
        <v>269.04000000000002</v>
      </c>
      <c r="BO40" s="64">
        <f>IFERROR(1/J40*(X40/H40),"0")</f>
        <v>0.36168981481481477</v>
      </c>
      <c r="BP40" s="64">
        <f>IFERROR(1/J40*(Y40/H40),"0")</f>
        <v>0.37500000000000006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23.148148148148145</v>
      </c>
      <c r="Y43" s="549">
        <f>IFERROR(Y40/H40,"0")+IFERROR(Y41/H41,"0")+IFERROR(Y42/H42,"0")</f>
        <v>24.000000000000004</v>
      </c>
      <c r="Z43" s="549">
        <f>IFERROR(IF(Z40="",0,Z40),"0")+IFERROR(IF(Z41="",0,Z41),"0")+IFERROR(IF(Z42="",0,Z42),"0")</f>
        <v>0.45552000000000004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250</v>
      </c>
      <c r="Y44" s="549">
        <f>IFERROR(SUM(Y40:Y42),"0")</f>
        <v>259.20000000000005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250</v>
      </c>
      <c r="Y52" s="548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23.148148148148145</v>
      </c>
      <c r="Y57" s="549">
        <f>IFERROR(Y51/H51,"0")+IFERROR(Y52/H52,"0")+IFERROR(Y53/H53,"0")+IFERROR(Y54/H54,"0")+IFERROR(Y55/H55,"0")+IFERROR(Y56/H56,"0")</f>
        <v>24.000000000000004</v>
      </c>
      <c r="Z57" s="549">
        <f>IFERROR(IF(Z51="",0,Z51),"0")+IFERROR(IF(Z52="",0,Z52),"0")+IFERROR(IF(Z53="",0,Z53),"0")+IFERROR(IF(Z54="",0,Z54),"0")+IFERROR(IF(Z55="",0,Z55),"0")+IFERROR(IF(Z56="",0,Z56),"0")</f>
        <v>0.45552000000000004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250</v>
      </c>
      <c r="Y58" s="549">
        <f>IFERROR(SUM(Y51:Y56),"0")</f>
        <v>259.20000000000005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35</v>
      </c>
      <c r="Y60" s="548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36.328703703703702</v>
      </c>
      <c r="BN60" s="64">
        <f>IFERROR(Y60*I60/H60,"0")</f>
        <v>44.84</v>
      </c>
      <c r="BO60" s="64">
        <f>IFERROR(1/J60*(X60/H60),"0")</f>
        <v>5.063657407407407E-2</v>
      </c>
      <c r="BP60" s="64">
        <f>IFERROR(1/J60*(Y60/H60),"0")</f>
        <v>6.25E-2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3.2407407407407405</v>
      </c>
      <c r="Y63" s="549">
        <f>IFERROR(Y60/H60,"0")+IFERROR(Y61/H61,"0")+IFERROR(Y62/H62,"0")</f>
        <v>4</v>
      </c>
      <c r="Z63" s="549">
        <f>IFERROR(IF(Z60="",0,Z60),"0")+IFERROR(IF(Z61="",0,Z61),"0")+IFERROR(IF(Z62="",0,Z62),"0")</f>
        <v>7.5920000000000001E-2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35</v>
      </c>
      <c r="Y64" s="549">
        <f>IFERROR(SUM(Y60:Y62),"0")</f>
        <v>43.2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100</v>
      </c>
      <c r="Y78" s="548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105.25641025641028</v>
      </c>
      <c r="BN78" s="64">
        <f>IFERROR(Y78*I78/H78,"0")</f>
        <v>106.73</v>
      </c>
      <c r="BO78" s="64">
        <f>IFERROR(1/J78*(X78/H78),"0")</f>
        <v>0.20032051282051283</v>
      </c>
      <c r="BP78" s="64">
        <f>IFERROR(1/J78*(Y78/H78),"0")</f>
        <v>0.203125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12.820512820512821</v>
      </c>
      <c r="Y80" s="549">
        <f>IFERROR(Y78/H78,"0")+IFERROR(Y79/H79,"0")</f>
        <v>13</v>
      </c>
      <c r="Z80" s="549">
        <f>IFERROR(IF(Z78="",0,Z78),"0")+IFERROR(IF(Z79="",0,Z79),"0")</f>
        <v>0.24674000000000001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100</v>
      </c>
      <c r="Y81" s="549">
        <f>IFERROR(SUM(Y78:Y79),"0")</f>
        <v>101.39999999999999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550</v>
      </c>
      <c r="Y84" s="548">
        <f>IFERROR(IF(X84="",0,CEILING((X84/$H84),1)*$H84),"")</f>
        <v>550.80000000000007</v>
      </c>
      <c r="Z84" s="36">
        <f>IFERROR(IF(Y84=0,"",ROUNDUP(Y84/H84,0)*0.01898),"")</f>
        <v>0.96798000000000006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570.87962962962968</v>
      </c>
      <c r="BN84" s="64">
        <f>IFERROR(Y84*I84/H84,"0")</f>
        <v>571.71000000000015</v>
      </c>
      <c r="BO84" s="64">
        <f>IFERROR(1/J84*(X84/H84),"0")</f>
        <v>0.79571759259259256</v>
      </c>
      <c r="BP84" s="64">
        <f>IFERROR(1/J84*(Y84/H84),"0")</f>
        <v>0.796875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50.925925925925924</v>
      </c>
      <c r="Y88" s="549">
        <f>IFERROR(Y84/H84,"0")+IFERROR(Y85/H85,"0")+IFERROR(Y86/H86,"0")+IFERROR(Y87/H87,"0")</f>
        <v>51</v>
      </c>
      <c r="Z88" s="549">
        <f>IFERROR(IF(Z84="",0,Z84),"0")+IFERROR(IF(Z85="",0,Z85),"0")+IFERROR(IF(Z86="",0,Z86),"0")+IFERROR(IF(Z87="",0,Z87),"0")</f>
        <v>0.96798000000000006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550</v>
      </c>
      <c r="Y89" s="549">
        <f>IFERROR(SUM(Y84:Y87),"0")</f>
        <v>550.80000000000007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464</v>
      </c>
      <c r="Y91" s="548">
        <f>IFERROR(IF(X91="",0,CEILING((X91/$H91),1)*$H91),"")</f>
        <v>469.79999999999995</v>
      </c>
      <c r="Z91" s="36">
        <f>IFERROR(IF(Y91=0,"",ROUNDUP(Y91/H91,0)*0.01898),"")</f>
        <v>1.10084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492.29827160493824</v>
      </c>
      <c r="BN91" s="64">
        <f>IFERROR(Y91*I91/H91,"0")</f>
        <v>498.45199999999994</v>
      </c>
      <c r="BO91" s="64">
        <f>IFERROR(1/J91*(X91/H91),"0")</f>
        <v>0.89506172839506182</v>
      </c>
      <c r="BP91" s="64">
        <f>IFERROR(1/J91*(Y91/H91),"0")</f>
        <v>0.90625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112.5</v>
      </c>
      <c r="Y93" s="548">
        <f>IFERROR(IF(X93="",0,CEILING((X93/$H93),1)*$H93),"")</f>
        <v>113.4</v>
      </c>
      <c r="Z93" s="36">
        <f>IFERROR(IF(Y93=0,"",ROUNDUP(Y93/H93,0)*0.00651),"")</f>
        <v>0.27342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123</v>
      </c>
      <c r="BN93" s="64">
        <f>IFERROR(Y93*I93/H93,"0")</f>
        <v>123.98399999999999</v>
      </c>
      <c r="BO93" s="64">
        <f>IFERROR(1/J93*(X93/H93),"0")</f>
        <v>0.22893772893772893</v>
      </c>
      <c r="BP93" s="64">
        <f>IFERROR(1/J93*(Y93/H93),"0")</f>
        <v>0.23076923076923078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98.950617283950621</v>
      </c>
      <c r="Y95" s="549">
        <f>IFERROR(Y91/H91,"0")+IFERROR(Y92/H92,"0")+IFERROR(Y93/H93,"0")+IFERROR(Y94/H94,"0")</f>
        <v>100</v>
      </c>
      <c r="Z95" s="549">
        <f>IFERROR(IF(Z91="",0,Z91),"0")+IFERROR(IF(Z92="",0,Z92),"0")+IFERROR(IF(Z93="",0,Z93),"0")+IFERROR(IF(Z94="",0,Z94),"0")</f>
        <v>1.37426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576.5</v>
      </c>
      <c r="Y96" s="549">
        <f>IFERROR(SUM(Y91:Y94),"0")</f>
        <v>583.19999999999993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500</v>
      </c>
      <c r="Y99" s="548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46.296296296296291</v>
      </c>
      <c r="Y104" s="549">
        <f>IFERROR(Y99/H99,"0")+IFERROR(Y100/H100,"0")+IFERROR(Y101/H101,"0")+IFERROR(Y102/H102,"0")+IFERROR(Y103/H103,"0")</f>
        <v>47</v>
      </c>
      <c r="Z104" s="549">
        <f>IFERROR(IF(Z99="",0,Z99),"0")+IFERROR(IF(Z100="",0,Z100),"0")+IFERROR(IF(Z101="",0,Z101),"0")+IFERROR(IF(Z102="",0,Z102),"0")+IFERROR(IF(Z103="",0,Z103),"0")</f>
        <v>0.89205999999999996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500</v>
      </c>
      <c r="Y105" s="549">
        <f>IFERROR(SUM(Y99:Y103),"0")</f>
        <v>507.6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805</v>
      </c>
      <c r="Y114" s="548">
        <f>IFERROR(IF(X114="",0,CEILING((X114/$H114),1)*$H114),"")</f>
        <v>810</v>
      </c>
      <c r="Z114" s="36">
        <f>IFERROR(IF(Y114=0,"",ROUNDUP(Y114/H114,0)*0.01898),"")</f>
        <v>1.8980000000000001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853.49876543209871</v>
      </c>
      <c r="BN114" s="64">
        <f>IFERROR(Y114*I114/H114,"0")</f>
        <v>858.8</v>
      </c>
      <c r="BO114" s="64">
        <f>IFERROR(1/J114*(X114/H114),"0")</f>
        <v>1.552854938271605</v>
      </c>
      <c r="BP114" s="64">
        <f>IFERROR(1/J114*(Y114/H114),"0")</f>
        <v>1.5625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112.5</v>
      </c>
      <c r="Y116" s="548">
        <f>IFERROR(IF(X116="",0,CEILING((X116/$H116),1)*$H116),"")</f>
        <v>113.4</v>
      </c>
      <c r="Z116" s="36">
        <f>IFERROR(IF(Y116=0,"",ROUNDUP(Y116/H116,0)*0.00651),"")</f>
        <v>0.27342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123</v>
      </c>
      <c r="BN116" s="64">
        <f>IFERROR(Y116*I116/H116,"0")</f>
        <v>123.98399999999999</v>
      </c>
      <c r="BO116" s="64">
        <f>IFERROR(1/J116*(X116/H116),"0")</f>
        <v>0.22893772893772893</v>
      </c>
      <c r="BP116" s="64">
        <f>IFERROR(1/J116*(Y116/H116),"0")</f>
        <v>0.23076923076923078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141.04938271604939</v>
      </c>
      <c r="Y118" s="549">
        <f>IFERROR(Y114/H114,"0")+IFERROR(Y115/H115,"0")+IFERROR(Y116/H116,"0")+IFERROR(Y117/H117,"0")</f>
        <v>142</v>
      </c>
      <c r="Z118" s="549">
        <f>IFERROR(IF(Z114="",0,Z114),"0")+IFERROR(IF(Z115="",0,Z115),"0")+IFERROR(IF(Z116="",0,Z116),"0")+IFERROR(IF(Z117="",0,Z117),"0")</f>
        <v>2.1714200000000003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917.5</v>
      </c>
      <c r="Y119" s="549">
        <f>IFERROR(SUM(Y114:Y117),"0")</f>
        <v>923.4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70</v>
      </c>
      <c r="Y165" s="548">
        <f t="shared" ref="Y165:Y178" si="5">IFERROR(IF(X165="",0,CEILING((X165/$H165),1)*$H165),"")</f>
        <v>71.400000000000006</v>
      </c>
      <c r="Z165" s="36">
        <f>IFERROR(IF(Y165=0,"",ROUNDUP(Y165/H165,0)*0.00902),"")</f>
        <v>0.15334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74.166666666666657</v>
      </c>
      <c r="BN165" s="64">
        <f t="shared" ref="BN165:BN178" si="7">IFERROR(Y165*I165/H165,"0")</f>
        <v>75.650000000000006</v>
      </c>
      <c r="BO165" s="64">
        <f t="shared" ref="BO165:BO178" si="8">IFERROR(1/J165*(X165/H165),"0")</f>
        <v>0.12626262626262624</v>
      </c>
      <c r="BP165" s="64">
        <f t="shared" ref="BP165:BP178" si="9">IFERROR(1/J165*(Y165/H165),"0")</f>
        <v>0.12878787878787878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30</v>
      </c>
      <c r="Y167" s="548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31.357142857142854</v>
      </c>
      <c r="BN167" s="64">
        <f t="shared" si="7"/>
        <v>35.119999999999997</v>
      </c>
      <c r="BO167" s="64">
        <f t="shared" si="8"/>
        <v>5.4112554112554112E-2</v>
      </c>
      <c r="BP167" s="64">
        <f t="shared" si="9"/>
        <v>6.0606060606060608E-2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23.809523809523807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25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0.22550000000000001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100</v>
      </c>
      <c r="Y180" s="549">
        <f>IFERROR(SUM(Y165:Y178),"0")</f>
        <v>105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230</v>
      </c>
      <c r="Y203" s="548">
        <f t="shared" ref="Y203:Y210" si="10">IFERROR(IF(X203="",0,CEILING((X203/$H203),1)*$H203),"")</f>
        <v>232.20000000000002</v>
      </c>
      <c r="Z203" s="36">
        <f>IFERROR(IF(Y203=0,"",ROUNDUP(Y203/H203,0)*0.00902),"")</f>
        <v>0.38785999999999998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238.09259259259258</v>
      </c>
      <c r="BN203" s="64">
        <f t="shared" ref="BN203:BN210" si="12">IFERROR(Y203*I203/H203,"0")</f>
        <v>240.37</v>
      </c>
      <c r="BO203" s="64">
        <f t="shared" ref="BO203:BO210" si="13">IFERROR(1/J203*(X203/H203),"0")</f>
        <v>0.32267115600448931</v>
      </c>
      <c r="BP203" s="64">
        <f t="shared" ref="BP203:BP210" si="14">IFERROR(1/J203*(Y203/H203),"0")</f>
        <v>0.32575757575757575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90</v>
      </c>
      <c r="Y204" s="548">
        <f t="shared" si="10"/>
        <v>91.800000000000011</v>
      </c>
      <c r="Z204" s="36">
        <f>IFERROR(IF(Y204=0,"",ROUNDUP(Y204/H204,0)*0.00902),"")</f>
        <v>0.15334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93.166666666666657</v>
      </c>
      <c r="BN204" s="64">
        <f t="shared" si="12"/>
        <v>95.03</v>
      </c>
      <c r="BO204" s="64">
        <f t="shared" si="13"/>
        <v>0.12626262626262624</v>
      </c>
      <c r="BP204" s="64">
        <f t="shared" si="14"/>
        <v>0.12878787878787878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200</v>
      </c>
      <c r="Y205" s="548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70</v>
      </c>
      <c r="Y206" s="548">
        <f t="shared" si="10"/>
        <v>70.2</v>
      </c>
      <c r="Z206" s="36">
        <f>IFERROR(IF(Y206=0,"",ROUNDUP(Y206/H206,0)*0.00902),"")</f>
        <v>0.11726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72.462962962962962</v>
      </c>
      <c r="BN206" s="64">
        <f t="shared" si="12"/>
        <v>72.67</v>
      </c>
      <c r="BO206" s="64">
        <f t="shared" si="13"/>
        <v>9.8204264870931535E-2</v>
      </c>
      <c r="BP206" s="64">
        <f t="shared" si="14"/>
        <v>9.8484848484848481E-2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109.25925925925925</v>
      </c>
      <c r="Y211" s="549">
        <f>IFERROR(Y203/H203,"0")+IFERROR(Y204/H204,"0")+IFERROR(Y205/H205,"0")+IFERROR(Y206/H206,"0")+IFERROR(Y207/H207,"0")+IFERROR(Y208/H208,"0")+IFERROR(Y209/H209,"0")+IFERROR(Y210/H210,"0")</f>
        <v>111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1.00122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590</v>
      </c>
      <c r="Y212" s="549">
        <f>IFERROR(SUM(Y203:Y210),"0")</f>
        <v>599.40000000000009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100</v>
      </c>
      <c r="Y215" s="548">
        <f t="shared" si="15"/>
        <v>105.3</v>
      </c>
      <c r="Z215" s="36">
        <f>IFERROR(IF(Y215=0,"",ROUNDUP(Y215/H215,0)*0.01898),"")</f>
        <v>0.24674000000000001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105.87654320987654</v>
      </c>
      <c r="BN215" s="64">
        <f t="shared" si="17"/>
        <v>111.48800000000001</v>
      </c>
      <c r="BO215" s="64">
        <f t="shared" si="18"/>
        <v>0.19290123456790123</v>
      </c>
      <c r="BP215" s="64">
        <f t="shared" si="19"/>
        <v>0.203125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6.4</v>
      </c>
      <c r="Y220" s="548">
        <f t="shared" si="15"/>
        <v>7.1999999999999993</v>
      </c>
      <c r="Z220" s="36">
        <f t="shared" si="20"/>
        <v>1.9529999999999999E-2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7.0720000000000018</v>
      </c>
      <c r="BN220" s="64">
        <f t="shared" si="17"/>
        <v>7.9560000000000004</v>
      </c>
      <c r="BO220" s="64">
        <f t="shared" si="18"/>
        <v>1.4652014652014655E-2</v>
      </c>
      <c r="BP220" s="64">
        <f t="shared" si="19"/>
        <v>1.6483516483516484E-2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15.012345679012345</v>
      </c>
      <c r="Y223" s="549">
        <f>IFERROR(Y214/H214,"0")+IFERROR(Y215/H215,"0")+IFERROR(Y216/H216,"0")+IFERROR(Y217/H217,"0")+IFERROR(Y218/H218,"0")+IFERROR(Y219/H219,"0")+IFERROR(Y220/H220,"0")+IFERROR(Y221/H221,"0")+IFERROR(Y222/H222,"0")</f>
        <v>16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0.26627000000000001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106.4</v>
      </c>
      <c r="Y224" s="549">
        <f>IFERROR(SUM(Y214:Y222),"0")</f>
        <v>112.5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150</v>
      </c>
      <c r="Y321" s="548">
        <f>IFERROR(IF(X321="",0,CEILING((X321/$H321),1)*$H321),"")</f>
        <v>151.20000000000002</v>
      </c>
      <c r="Z321" s="36">
        <f>IFERROR(IF(Y321=0,"",ROUNDUP(Y321/H321,0)*0.01898),"")</f>
        <v>0.34164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158.82142857142856</v>
      </c>
      <c r="BN321" s="64">
        <f>IFERROR(Y321*I321/H321,"0")</f>
        <v>160.09200000000001</v>
      </c>
      <c r="BO321" s="64">
        <f>IFERROR(1/J321*(X321/H321),"0")</f>
        <v>0.27901785714285715</v>
      </c>
      <c r="BP321" s="64">
        <f>IFERROR(1/J321*(Y321/H321),"0")</f>
        <v>0.28125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626</v>
      </c>
      <c r="Y322" s="548">
        <f>IFERROR(IF(X322="",0,CEILING((X322/$H322),1)*$H322),"")</f>
        <v>631.79999999999995</v>
      </c>
      <c r="Z322" s="36">
        <f>IFERROR(IF(Y322=0,"",ROUNDUP(Y322/H322,0)*0.01898),"")</f>
        <v>1.53738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665.64666666666665</v>
      </c>
      <c r="BN322" s="64">
        <f>IFERROR(Y322*I322/H322,"0")</f>
        <v>671.81399999999996</v>
      </c>
      <c r="BO322" s="64">
        <f>IFERROR(1/J322*(X322/H322),"0")</f>
        <v>1.2540064102564104</v>
      </c>
      <c r="BP322" s="64">
        <f>IFERROR(1/J322*(Y322/H322),"0")</f>
        <v>1.265625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95</v>
      </c>
      <c r="Y323" s="548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100.58690476190476</v>
      </c>
      <c r="BN323" s="64">
        <f>IFERROR(Y323*I323/H323,"0")</f>
        <v>106.72800000000001</v>
      </c>
      <c r="BO323" s="64">
        <f>IFERROR(1/J323*(X323/H323),"0")</f>
        <v>0.17671130952380951</v>
      </c>
      <c r="BP323" s="64">
        <f>IFERROR(1/J323*(Y323/H323),"0")</f>
        <v>0.1875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109.42307692307693</v>
      </c>
      <c r="Y324" s="549">
        <f>IFERROR(Y321/H321,"0")+IFERROR(Y322/H322,"0")+IFERROR(Y323/H323,"0")</f>
        <v>111</v>
      </c>
      <c r="Z324" s="549">
        <f>IFERROR(IF(Z321="",0,Z321),"0")+IFERROR(IF(Z322="",0,Z322),"0")+IFERROR(IF(Z323="",0,Z323),"0")</f>
        <v>2.1067800000000001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871</v>
      </c>
      <c r="Y325" s="549">
        <f>IFERROR(SUM(Y321:Y323),"0")</f>
        <v>883.8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66</v>
      </c>
      <c r="Y341" s="548">
        <f>IFERROR(IF(X341="",0,CEILING((X341/$H341),1)*$H341),"")</f>
        <v>72.899999999999991</v>
      </c>
      <c r="Z341" s="36">
        <f>IFERROR(IF(Y341=0,"",ROUNDUP(Y341/H341,0)*0.01898),"")</f>
        <v>0.17082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70.02518518518518</v>
      </c>
      <c r="BN341" s="64">
        <f>IFERROR(Y341*I341/H341,"0")</f>
        <v>77.345999999999989</v>
      </c>
      <c r="BO341" s="64">
        <f>IFERROR(1/J341*(X341/H341),"0")</f>
        <v>0.12731481481481483</v>
      </c>
      <c r="BP341" s="64">
        <f>IFERROR(1/J341*(Y341/H341),"0")</f>
        <v>0.140625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10.5</v>
      </c>
      <c r="Y343" s="548">
        <f>IFERROR(IF(X343="",0,CEILING((X343/$H343),1)*$H343),"")</f>
        <v>10.5</v>
      </c>
      <c r="Z343" s="36">
        <f>IFERROR(IF(Y343=0,"",ROUNDUP(Y343/H343,0)*0.00651),"")</f>
        <v>3.2550000000000003E-2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11.7</v>
      </c>
      <c r="BN343" s="64">
        <f>IFERROR(Y343*I343/H343,"0")</f>
        <v>11.7</v>
      </c>
      <c r="BO343" s="64">
        <f>IFERROR(1/J343*(X343/H343),"0")</f>
        <v>2.7472527472527476E-2</v>
      </c>
      <c r="BP343" s="64">
        <f>IFERROR(1/J343*(Y343/H343),"0")</f>
        <v>2.7472527472527476E-2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13.148148148148149</v>
      </c>
      <c r="Y344" s="549">
        <f>IFERROR(Y341/H341,"0")+IFERROR(Y342/H342,"0")+IFERROR(Y343/H343,"0")</f>
        <v>14</v>
      </c>
      <c r="Z344" s="549">
        <f>IFERROR(IF(Z341="",0,Z341),"0")+IFERROR(IF(Z342="",0,Z342),"0")+IFERROR(IF(Z343="",0,Z343),"0")</f>
        <v>0.20337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76.5</v>
      </c>
      <c r="Y345" s="549">
        <f>IFERROR(SUM(Y341:Y343),"0")</f>
        <v>83.399999999999991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3600</v>
      </c>
      <c r="Y349" s="548">
        <f t="shared" ref="Y349:Y355" si="36">IFERROR(IF(X349="",0,CEILING((X349/$H349),1)*$H349),"")</f>
        <v>3600</v>
      </c>
      <c r="Z349" s="36">
        <f>IFERROR(IF(Y349=0,"",ROUNDUP(Y349/H349,0)*0.02175),"")</f>
        <v>5.22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3712.8</v>
      </c>
      <c r="BN349" s="64">
        <f t="shared" ref="BN349:BN355" si="38">IFERROR(Y349*I349/H349,"0")</f>
        <v>3712.8</v>
      </c>
      <c r="BO349" s="64">
        <f t="shared" ref="BO349:BO355" si="39">IFERROR(1/J349*(X349/H349),"0")</f>
        <v>5</v>
      </c>
      <c r="BP349" s="64">
        <f t="shared" ref="BP349:BP355" si="40">IFERROR(1/J349*(Y349/H349),"0")</f>
        <v>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1895</v>
      </c>
      <c r="Y350" s="548">
        <f t="shared" si="36"/>
        <v>1905</v>
      </c>
      <c r="Z350" s="36">
        <f>IFERROR(IF(Y350=0,"",ROUNDUP(Y350/H350,0)*0.02175),"")</f>
        <v>2.7622499999999999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1954.3766666666668</v>
      </c>
      <c r="BN350" s="64">
        <f t="shared" si="38"/>
        <v>1964.69</v>
      </c>
      <c r="BO350" s="64">
        <f t="shared" si="39"/>
        <v>2.6319444444444442</v>
      </c>
      <c r="BP350" s="64">
        <f t="shared" si="40"/>
        <v>2.645833333333333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1600</v>
      </c>
      <c r="Y351" s="548">
        <f t="shared" si="36"/>
        <v>1605</v>
      </c>
      <c r="Z351" s="36">
        <f>IFERROR(IF(Y351=0,"",ROUNDUP(Y351/H351,0)*0.02175),"")</f>
        <v>2.3272499999999998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1650.1333333333334</v>
      </c>
      <c r="BN351" s="64">
        <f t="shared" si="38"/>
        <v>1655.2900000000002</v>
      </c>
      <c r="BO351" s="64">
        <f t="shared" si="39"/>
        <v>2.2222222222222223</v>
      </c>
      <c r="BP351" s="64">
        <f t="shared" si="40"/>
        <v>2.2291666666666665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473</v>
      </c>
      <c r="Y356" s="549">
        <f>IFERROR(Y349/H349,"0")+IFERROR(Y350/H350,"0")+IFERROR(Y351/H351,"0")+IFERROR(Y352/H352,"0")+IFERROR(Y353/H353,"0")+IFERROR(Y354/H354,"0")+IFERROR(Y355/H355,"0")</f>
        <v>474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10.3095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7095</v>
      </c>
      <c r="Y357" s="549">
        <f>IFERROR(SUM(Y349:Y355),"0")</f>
        <v>7110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750</v>
      </c>
      <c r="Y359" s="548">
        <f>IFERROR(IF(X359="",0,CEILING((X359/$H359),1)*$H359),"")</f>
        <v>750</v>
      </c>
      <c r="Z359" s="36">
        <f>IFERROR(IF(Y359=0,"",ROUNDUP(Y359/H359,0)*0.02175),"")</f>
        <v>1.0874999999999999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773.5</v>
      </c>
      <c r="BN359" s="64">
        <f>IFERROR(Y359*I359/H359,"0")</f>
        <v>773.5</v>
      </c>
      <c r="BO359" s="64">
        <f>IFERROR(1/J359*(X359/H359),"0")</f>
        <v>1.0416666666666665</v>
      </c>
      <c r="BP359" s="64">
        <f>IFERROR(1/J359*(Y359/H359),"0")</f>
        <v>1.0416666666666665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50</v>
      </c>
      <c r="Y361" s="549">
        <f>IFERROR(Y359/H359,"0")+IFERROR(Y360/H360,"0")</f>
        <v>50</v>
      </c>
      <c r="Z361" s="549">
        <f>IFERROR(IF(Z359="",0,Z359),"0")+IFERROR(IF(Z360="",0,Z360),"0")</f>
        <v>1.0874999999999999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750</v>
      </c>
      <c r="Y362" s="549">
        <f>IFERROR(SUM(Y359:Y360),"0")</f>
        <v>750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660</v>
      </c>
      <c r="Y364" s="548">
        <f>IFERROR(IF(X364="",0,CEILING((X364/$H364),1)*$H364),"")</f>
        <v>666</v>
      </c>
      <c r="Z364" s="36">
        <f>IFERROR(IF(Y364=0,"",ROUNDUP(Y364/H364,0)*0.01898),"")</f>
        <v>1.40452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696.66666666666663</v>
      </c>
      <c r="BN364" s="64">
        <f>IFERROR(Y364*I364/H364,"0")</f>
        <v>703</v>
      </c>
      <c r="BO364" s="64">
        <f>IFERROR(1/J364*(X364/H364),"0")</f>
        <v>1.1458333333333333</v>
      </c>
      <c r="BP364" s="64">
        <f>IFERROR(1/J364*(Y364/H364),"0")</f>
        <v>1.15625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250</v>
      </c>
      <c r="Y365" s="548">
        <f>IFERROR(IF(X365="",0,CEILING((X365/$H365),1)*$H365),"")</f>
        <v>252</v>
      </c>
      <c r="Z365" s="36">
        <f>IFERROR(IF(Y365=0,"",ROUNDUP(Y365/H365,0)*0.01898),"")</f>
        <v>0.53144000000000002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263.72222222222223</v>
      </c>
      <c r="BN365" s="64">
        <f>IFERROR(Y365*I365/H365,"0")</f>
        <v>265.83199999999999</v>
      </c>
      <c r="BO365" s="64">
        <f>IFERROR(1/J365*(X365/H365),"0")</f>
        <v>0.43402777777777779</v>
      </c>
      <c r="BP365" s="64">
        <f>IFERROR(1/J365*(Y365/H365),"0")</f>
        <v>0.4375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101.11111111111111</v>
      </c>
      <c r="Y366" s="549">
        <f>IFERROR(Y364/H364,"0")+IFERROR(Y365/H365,"0")</f>
        <v>102</v>
      </c>
      <c r="Z366" s="549">
        <f>IFERROR(IF(Z364="",0,Z364),"0")+IFERROR(IF(Z365="",0,Z365),"0")</f>
        <v>1.9359600000000001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910</v>
      </c>
      <c r="Y367" s="549">
        <f>IFERROR(SUM(Y364:Y365),"0")</f>
        <v>918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250</v>
      </c>
      <c r="Y369" s="548">
        <f>IFERROR(IF(X369="",0,CEILING((X369/$H369),1)*$H369),"")</f>
        <v>252</v>
      </c>
      <c r="Z369" s="36">
        <f>IFERROR(IF(Y369=0,"",ROUNDUP(Y369/H369,0)*0.01898),"")</f>
        <v>0.53144000000000002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263.72222222222223</v>
      </c>
      <c r="BN369" s="64">
        <f>IFERROR(Y369*I369/H369,"0")</f>
        <v>265.83199999999999</v>
      </c>
      <c r="BO369" s="64">
        <f>IFERROR(1/J369*(X369/H369),"0")</f>
        <v>0.43402777777777779</v>
      </c>
      <c r="BP369" s="64">
        <f>IFERROR(1/J369*(Y369/H369),"0")</f>
        <v>0.4375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27.777777777777779</v>
      </c>
      <c r="Y370" s="549">
        <f>IFERROR(Y369/H369,"0")</f>
        <v>28</v>
      </c>
      <c r="Z370" s="549">
        <f>IFERROR(IF(Z369="",0,Z369),"0")</f>
        <v>0.53144000000000002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250</v>
      </c>
      <c r="Y371" s="549">
        <f>IFERROR(SUM(Y369:Y369),"0")</f>
        <v>252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36</v>
      </c>
      <c r="Y374" s="548">
        <f>IFERROR(IF(X374="",0,CEILING((X374/$H374),1)*$H374),"")</f>
        <v>36</v>
      </c>
      <c r="Z374" s="36">
        <f>IFERROR(IF(Y374=0,"",ROUNDUP(Y374/H374,0)*0.01898),"")</f>
        <v>5.6940000000000004E-2</v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37.229999999999997</v>
      </c>
      <c r="BN374" s="64">
        <f>IFERROR(Y374*I374/H374,"0")</f>
        <v>37.229999999999997</v>
      </c>
      <c r="BO374" s="64">
        <f>IFERROR(1/J374*(X374/H374),"0")</f>
        <v>4.6875E-2</v>
      </c>
      <c r="BP374" s="64">
        <f>IFERROR(1/J374*(Y374/H374),"0")</f>
        <v>4.6875E-2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3</v>
      </c>
      <c r="Y376" s="549">
        <f>IFERROR(Y374/H374,"0")+IFERROR(Y375/H375,"0")</f>
        <v>3</v>
      </c>
      <c r="Z376" s="549">
        <f>IFERROR(IF(Z374="",0,Z374),"0")+IFERROR(IF(Z375="",0,Z375),"0")</f>
        <v>5.6940000000000004E-2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36</v>
      </c>
      <c r="Y377" s="549">
        <f>IFERROR(SUM(Y374:Y375),"0")</f>
        <v>36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100</v>
      </c>
      <c r="Y379" s="548">
        <f>IFERROR(IF(X379="",0,CEILING((X379/$H379),1)*$H379),"")</f>
        <v>100.74</v>
      </c>
      <c r="Z379" s="36">
        <f>IFERROR(IF(Y379=0,"",ROUNDUP(Y379/H379,0)*0.00902),"")</f>
        <v>0.20746000000000001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105.70776255707763</v>
      </c>
      <c r="BN379" s="64">
        <f>IFERROR(Y379*I379/H379,"0")</f>
        <v>106.49</v>
      </c>
      <c r="BO379" s="64">
        <f>IFERROR(1/J379*(X379/H379),"0")</f>
        <v>0.17296250172962502</v>
      </c>
      <c r="BP379" s="64">
        <f>IFERROR(1/J379*(Y379/H379),"0")</f>
        <v>0.17424242424242425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22.831050228310502</v>
      </c>
      <c r="Y381" s="549">
        <f>IFERROR(Y379/H379,"0")+IFERROR(Y380/H380,"0")</f>
        <v>23</v>
      </c>
      <c r="Z381" s="549">
        <f>IFERROR(IF(Z379="",0,Z379),"0")+IFERROR(IF(Z380="",0,Z380),"0")</f>
        <v>0.20746000000000001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100</v>
      </c>
      <c r="Y382" s="549">
        <f>IFERROR(SUM(Y379:Y380),"0")</f>
        <v>100.74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1590</v>
      </c>
      <c r="Y384" s="548">
        <f>IFERROR(IF(X384="",0,CEILING((X384/$H384),1)*$H384),"")</f>
        <v>1593</v>
      </c>
      <c r="Z384" s="36">
        <f>IFERROR(IF(Y384=0,"",ROUNDUP(Y384/H384,0)*0.01898),"")</f>
        <v>3.3594599999999999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1677.2733333333333</v>
      </c>
      <c r="BN384" s="64">
        <f>IFERROR(Y384*I384/H384,"0")</f>
        <v>1680.4379999999999</v>
      </c>
      <c r="BO384" s="64">
        <f>IFERROR(1/J384*(X384/H384),"0")</f>
        <v>2.7604166666666665</v>
      </c>
      <c r="BP384" s="64">
        <f>IFERROR(1/J384*(Y384/H384),"0")</f>
        <v>2.765625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176.66666666666666</v>
      </c>
      <c r="Y387" s="549">
        <f>IFERROR(Y384/H384,"0")+IFERROR(Y385/H385,"0")+IFERROR(Y386/H386,"0")</f>
        <v>177</v>
      </c>
      <c r="Z387" s="549">
        <f>IFERROR(IF(Z384="",0,Z384),"0")+IFERROR(IF(Z385="",0,Z385),"0")+IFERROR(IF(Z386="",0,Z386),"0")</f>
        <v>3.3594599999999999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1590</v>
      </c>
      <c r="Y388" s="549">
        <f>IFERROR(SUM(Y384:Y386),"0")</f>
        <v>1593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40</v>
      </c>
      <c r="Y392" s="548">
        <f t="shared" ref="Y392:Y400" si="41">IFERROR(IF(X392="",0,CEILING((X392/$H392),1)*$H392),"")</f>
        <v>43.2</v>
      </c>
      <c r="Z392" s="36">
        <f>IFERROR(IF(Y392=0,"",ROUNDUP(Y392/H392,0)*0.00902),"")</f>
        <v>7.2160000000000002E-2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41.407407407407405</v>
      </c>
      <c r="BN392" s="64">
        <f t="shared" ref="BN392:BN400" si="43">IFERROR(Y392*I392/H392,"0")</f>
        <v>44.72</v>
      </c>
      <c r="BO392" s="64">
        <f t="shared" ref="BO392:BO400" si="44">IFERROR(1/J392*(X392/H392),"0")</f>
        <v>5.6116722783389444E-2</v>
      </c>
      <c r="BP392" s="64">
        <f t="shared" ref="BP392:BP400" si="45">IFERROR(1/J392*(Y392/H392),"0")</f>
        <v>6.0606060606060608E-2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60</v>
      </c>
      <c r="Y394" s="548">
        <f t="shared" si="41"/>
        <v>64.800000000000011</v>
      </c>
      <c r="Z394" s="36">
        <f>IFERROR(IF(Y394=0,"",ROUNDUP(Y394/H394,0)*0.00902),"")</f>
        <v>0.10824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62.1111111111111</v>
      </c>
      <c r="BN394" s="64">
        <f t="shared" si="43"/>
        <v>67.08</v>
      </c>
      <c r="BO394" s="64">
        <f t="shared" si="44"/>
        <v>8.4175084175084181E-2</v>
      </c>
      <c r="BP394" s="64">
        <f t="shared" si="45"/>
        <v>9.0909090909090925E-2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18.518518518518519</v>
      </c>
      <c r="Y401" s="549">
        <f>IFERROR(Y392/H392,"0")+IFERROR(Y393/H393,"0")+IFERROR(Y394/H394,"0")+IFERROR(Y395/H395,"0")+IFERROR(Y396/H396,"0")+IFERROR(Y397/H397,"0")+IFERROR(Y398/H398,"0")+IFERROR(Y399/H399,"0")+IFERROR(Y400/H400,"0")</f>
        <v>20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0.1804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100</v>
      </c>
      <c r="Y402" s="549">
        <f>IFERROR(SUM(Y392:Y400),"0")</f>
        <v>108.00000000000001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170</v>
      </c>
      <c r="Y414" s="548">
        <f>IFERROR(IF(X414="",0,CEILING((X414/$H414),1)*$H414),"")</f>
        <v>172.8</v>
      </c>
      <c r="Z414" s="36">
        <f>IFERROR(IF(Y414=0,"",ROUNDUP(Y414/H414,0)*0.00902),"")</f>
        <v>0.28864000000000001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175.98148148148147</v>
      </c>
      <c r="BN414" s="64">
        <f>IFERROR(Y414*I414/H414,"0")</f>
        <v>178.88</v>
      </c>
      <c r="BO414" s="64">
        <f>IFERROR(1/J414*(X414/H414),"0")</f>
        <v>0.23849607182940516</v>
      </c>
      <c r="BP414" s="64">
        <f>IFERROR(1/J414*(Y414/H414),"0")</f>
        <v>0.24242424242424243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31.481481481481481</v>
      </c>
      <c r="Y418" s="549">
        <f>IFERROR(Y414/H414,"0")+IFERROR(Y415/H415,"0")+IFERROR(Y416/H416,"0")+IFERROR(Y417/H417,"0")</f>
        <v>32</v>
      </c>
      <c r="Z418" s="549">
        <f>IFERROR(IF(Z414="",0,Z414),"0")+IFERROR(IF(Z415="",0,Z415),"0")+IFERROR(IF(Z416="",0,Z416),"0")+IFERROR(IF(Z417="",0,Z417),"0")</f>
        <v>0.28864000000000001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170</v>
      </c>
      <c r="Y419" s="549">
        <f>IFERROR(SUM(Y414:Y417),"0")</f>
        <v>172.8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70</v>
      </c>
      <c r="Y431" s="548">
        <f t="shared" si="47"/>
        <v>73.92</v>
      </c>
      <c r="Z431" s="36">
        <f t="shared" si="48"/>
        <v>0.16744000000000001</v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74.640151515151501</v>
      </c>
      <c r="BN431" s="64">
        <f t="shared" si="50"/>
        <v>78.819999999999993</v>
      </c>
      <c r="BO431" s="64">
        <f t="shared" si="51"/>
        <v>0.12747668997668998</v>
      </c>
      <c r="BP431" s="64">
        <f t="shared" si="52"/>
        <v>0.13461538461538464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580</v>
      </c>
      <c r="Y432" s="548">
        <f t="shared" si="47"/>
        <v>580.80000000000007</v>
      </c>
      <c r="Z432" s="36">
        <f t="shared" si="48"/>
        <v>1.3156000000000001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618.44696969696963</v>
      </c>
      <c r="BN432" s="64">
        <f t="shared" si="50"/>
        <v>619.30000000000007</v>
      </c>
      <c r="BO432" s="64">
        <f t="shared" si="51"/>
        <v>1.0562354312354312</v>
      </c>
      <c r="BP432" s="64">
        <f t="shared" si="52"/>
        <v>1.0576923076923079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470</v>
      </c>
      <c r="Y434" s="548">
        <f t="shared" si="47"/>
        <v>475.20000000000005</v>
      </c>
      <c r="Z434" s="36">
        <f t="shared" si="48"/>
        <v>1.0764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501.155303030303</v>
      </c>
      <c r="BN434" s="64">
        <f t="shared" si="50"/>
        <v>506.7</v>
      </c>
      <c r="BO434" s="64">
        <f t="shared" si="51"/>
        <v>0.85591491841491851</v>
      </c>
      <c r="BP434" s="64">
        <f t="shared" si="52"/>
        <v>0.86538461538461542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212.12121212121212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214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2.5594400000000004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1120</v>
      </c>
      <c r="Y441" s="549">
        <f>IFERROR(SUM(Y428:Y439),"0")</f>
        <v>1129.92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355</v>
      </c>
      <c r="Y443" s="548">
        <f>IFERROR(IF(X443="",0,CEILING((X443/$H443),1)*$H443),"")</f>
        <v>359.04</v>
      </c>
      <c r="Z443" s="36">
        <f>IFERROR(IF(Y443=0,"",ROUNDUP(Y443/H443,0)*0.01196),"")</f>
        <v>0.81328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378.53219696969694</v>
      </c>
      <c r="BN443" s="64">
        <f>IFERROR(Y443*I443/H443,"0")</f>
        <v>382.84000000000003</v>
      </c>
      <c r="BO443" s="64">
        <f>IFERROR(1/J443*(X443/H443),"0")</f>
        <v>0.64648892773892774</v>
      </c>
      <c r="BP443" s="64">
        <f>IFERROR(1/J443*(Y443/H443),"0")</f>
        <v>0.65384615384615385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67.234848484848484</v>
      </c>
      <c r="Y446" s="549">
        <f>IFERROR(Y443/H443,"0")+IFERROR(Y444/H444,"0")+IFERROR(Y445/H445,"0")</f>
        <v>68</v>
      </c>
      <c r="Z446" s="549">
        <f>IFERROR(IF(Z443="",0,Z443),"0")+IFERROR(IF(Z444="",0,Z444),"0")+IFERROR(IF(Z445="",0,Z445),"0")</f>
        <v>0.81328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355</v>
      </c>
      <c r="Y447" s="549">
        <f>IFERROR(SUM(Y443:Y445),"0")</f>
        <v>359.04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110</v>
      </c>
      <c r="Y449" s="548">
        <f t="shared" ref="Y449:Y454" si="53">IFERROR(IF(X449="",0,CEILING((X449/$H449),1)*$H449),"")</f>
        <v>110.88000000000001</v>
      </c>
      <c r="Z449" s="36">
        <f>IFERROR(IF(Y449=0,"",ROUNDUP(Y449/H449,0)*0.01196),"")</f>
        <v>0.25115999999999999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117.29166666666666</v>
      </c>
      <c r="BN449" s="64">
        <f t="shared" ref="BN449:BN454" si="55">IFERROR(Y449*I449/H449,"0")</f>
        <v>118.23</v>
      </c>
      <c r="BO449" s="64">
        <f t="shared" ref="BO449:BO454" si="56">IFERROR(1/J449*(X449/H449),"0")</f>
        <v>0.20032051282051283</v>
      </c>
      <c r="BP449" s="64">
        <f t="shared" ref="BP449:BP454" si="57">IFERROR(1/J449*(Y449/H449),"0")</f>
        <v>0.20192307692307693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240</v>
      </c>
      <c r="Y450" s="548">
        <f t="shared" si="53"/>
        <v>242.88000000000002</v>
      </c>
      <c r="Z450" s="36">
        <f>IFERROR(IF(Y450=0,"",ROUNDUP(Y450/H450,0)*0.01196),"")</f>
        <v>0.55015999999999998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255.90909090909091</v>
      </c>
      <c r="BN450" s="64">
        <f t="shared" si="55"/>
        <v>258.98</v>
      </c>
      <c r="BO450" s="64">
        <f t="shared" si="56"/>
        <v>0.43706293706293708</v>
      </c>
      <c r="BP450" s="64">
        <f t="shared" si="57"/>
        <v>0.44230769230769235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230</v>
      </c>
      <c r="Y451" s="548">
        <f t="shared" si="53"/>
        <v>232.32000000000002</v>
      </c>
      <c r="Z451" s="36">
        <f>IFERROR(IF(Y451=0,"",ROUNDUP(Y451/H451,0)*0.01196),"")</f>
        <v>0.52624000000000004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245.2462121212121</v>
      </c>
      <c r="BN451" s="64">
        <f t="shared" si="55"/>
        <v>247.72</v>
      </c>
      <c r="BO451" s="64">
        <f t="shared" si="56"/>
        <v>0.41885198135198132</v>
      </c>
      <c r="BP451" s="64">
        <f t="shared" si="57"/>
        <v>0.42307692307692313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109.84848484848484</v>
      </c>
      <c r="Y455" s="549">
        <f>IFERROR(Y449/H449,"0")+IFERROR(Y450/H450,"0")+IFERROR(Y451/H451,"0")+IFERROR(Y452/H452,"0")+IFERROR(Y453/H453,"0")+IFERROR(Y454/H454,"0")</f>
        <v>111</v>
      </c>
      <c r="Z455" s="549">
        <f>IFERROR(IF(Z449="",0,Z449),"0")+IFERROR(IF(Z450="",0,Z450),"0")+IFERROR(IF(Z451="",0,Z451),"0")+IFERROR(IF(Z452="",0,Z452),"0")+IFERROR(IF(Z453="",0,Z453),"0")+IFERROR(IF(Z454="",0,Z454),"0")</f>
        <v>1.3275600000000001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580</v>
      </c>
      <c r="Y456" s="549">
        <f>IFERROR(SUM(Y449:Y454),"0")</f>
        <v>586.08000000000004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50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51.708333333333336</v>
      </c>
      <c r="BN462" s="64">
        <f>IFERROR(Y462*I462/H462,"0")</f>
        <v>62.050000000000004</v>
      </c>
      <c r="BO462" s="64">
        <f>IFERROR(1/J462*(X462/H462),"0")</f>
        <v>6.5104166666666671E-2</v>
      </c>
      <c r="BP462" s="64">
        <f>IFERROR(1/J462*(Y462/H462),"0")</f>
        <v>7.8125E-2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4.166666666666667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50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18028.900000000001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18187.68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18835.798672011817</v>
      </c>
      <c r="Y490" s="549">
        <f>IFERROR(SUM(BN22:BN486),"0")</f>
        <v>19002.256000000005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29</v>
      </c>
      <c r="Y491" s="38">
        <f>ROUNDUP(SUM(BP22:BP486),0)</f>
        <v>29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19560.798672011817</v>
      </c>
      <c r="Y492" s="549">
        <f>GrossWeightTotalR+PalletQtyTotalR*25</f>
        <v>19727.256000000005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1967.989943803871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1989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33.195039999999999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259.20000000000005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403.8</v>
      </c>
      <c r="E499" s="46">
        <f>IFERROR(Y84*1,"0")+IFERROR(Y85*1,"0")+IFERROR(Y86*1,"0")+IFERROR(Y87*1,"0")+IFERROR(Y91*1,"0")+IFERROR(Y92*1,"0")+IFERROR(Y93*1,"0")+IFERROR(Y94*1,"0")</f>
        <v>1134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1431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105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711.90000000000009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883.8</v>
      </c>
      <c r="R499" s="46">
        <f>IFERROR(Y341*1,"0")+IFERROR(Y342*1,"0")+IFERROR(Y343*1,"0")</f>
        <v>83.399999999999991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9030</v>
      </c>
      <c r="T499" s="46">
        <f>IFERROR(Y374*1,"0")+IFERROR(Y375*1,"0")+IFERROR(Y379*1,"0")+IFERROR(Y380*1,"0")+IFERROR(Y384*1,"0")+IFERROR(Y385*1,"0")+IFERROR(Y386*1,"0")</f>
        <v>1729.74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108.00000000000001</v>
      </c>
      <c r="V499" s="46">
        <f>IFERROR(Y410*1,"0")+IFERROR(Y414*1,"0")+IFERROR(Y415*1,"0")+IFERROR(Y416*1,"0")+IFERROR(Y417*1,"0")</f>
        <v>172.8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2075.0400000000004</v>
      </c>
      <c r="Y499" s="46">
        <f>IFERROR(Y460*1,"0")+IFERROR(Y461*1,"0")+IFERROR(Y462*1,"0")+IFERROR(Y463*1,"0")+IFERROR(Y467*1,"0")+IFERROR(Y468*1,"0")+IFERROR(Y472*1,"0")+IFERROR(Y476*1,"0")+IFERROR(Y480*1,"0")+IFERROR(Y481*1,"0")</f>
        <v>60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