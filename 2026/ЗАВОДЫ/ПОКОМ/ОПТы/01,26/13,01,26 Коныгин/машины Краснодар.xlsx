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заказы Краснодар\"/>
    </mc:Choice>
  </mc:AlternateContent>
  <xr:revisionPtr revIDLastSave="0" documentId="13_ncr:1_{6D9BB421-9D2D-4FC9-82BC-C8E2EC0ECB3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definedNames>
    <definedName name="_xlnm._FilterDatabase" localSheetId="0" hidden="1">Лист1!$A$1:$G$1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9" i="1" l="1"/>
  <c r="C9" i="1"/>
  <c r="C10" i="1" s="1"/>
  <c r="C15" i="1"/>
  <c r="B15" i="1"/>
  <c r="C14" i="1"/>
  <c r="B14" i="1"/>
  <c r="C13" i="1"/>
  <c r="B13" i="1"/>
  <c r="D9" i="1"/>
  <c r="D10" i="1" s="1"/>
  <c r="F6" i="1" l="1"/>
  <c r="D15" i="1" l="1"/>
  <c r="D14" i="1"/>
  <c r="D13" i="1"/>
  <c r="F7" i="1"/>
  <c r="F8" i="1"/>
  <c r="F5" i="1"/>
  <c r="F4" i="1"/>
  <c r="F2" i="1"/>
  <c r="F3" i="1"/>
  <c r="F9" i="1" l="1"/>
</calcChain>
</file>

<file path=xl/sharedStrings.xml><?xml version="1.0" encoding="utf-8"?>
<sst xmlns="http://schemas.openxmlformats.org/spreadsheetml/2006/main" count="32" uniqueCount="23">
  <si>
    <t>1 машина</t>
  </si>
  <si>
    <t>2 машина</t>
  </si>
  <si>
    <t>3 машина</t>
  </si>
  <si>
    <t xml:space="preserve">ИТОГО: </t>
  </si>
  <si>
    <t>т</t>
  </si>
  <si>
    <t>Заказы</t>
  </si>
  <si>
    <t>Вес нетто</t>
  </si>
  <si>
    <t>Вес брутто</t>
  </si>
  <si>
    <t>паллеты</t>
  </si>
  <si>
    <t>ВЕС</t>
  </si>
  <si>
    <t>еи</t>
  </si>
  <si>
    <t>Номер машины</t>
  </si>
  <si>
    <t>20-ка</t>
  </si>
  <si>
    <t>10-ка</t>
  </si>
  <si>
    <t>Тарасенко</t>
  </si>
  <si>
    <t>Теплова</t>
  </si>
  <si>
    <t>Коныгин</t>
  </si>
  <si>
    <t>Горина</t>
  </si>
  <si>
    <t>Пушкарный</t>
  </si>
  <si>
    <t>Вес нетто, т</t>
  </si>
  <si>
    <t>Вес брутто, кг</t>
  </si>
  <si>
    <t>Обрыньба</t>
  </si>
  <si>
    <t>Коныгин (дозаказ)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</si>
</sst>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/>
    <xf numFmtId="0" fontId="0" fillId="0" borderId="2" xfId="0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0" fontId="0" fillId="3" borderId="0" xfId="0" applyFill="1"/>
    <xf numFmtId="0" fontId="0" fillId="4" borderId="0" xfId="0" applyFill="1"/>
    <xf numFmtId="0" fontId="0" fillId="5" borderId="0" xfId="0" applyFill="1"/>
    <xf numFmtId="164" fontId="0" fillId="2" borderId="4" xfId="0" applyNumberFormat="1" applyFill="1" applyBorder="1"/>
    <xf numFmtId="164" fontId="0" fillId="0" borderId="2" xfId="0" applyNumberFormat="1" applyBorder="1"/>
    <xf numFmtId="164" fontId="0" fillId="0" borderId="1" xfId="0" applyNumberFormat="1" applyBorder="1"/>
    <xf numFmtId="164" fontId="0" fillId="0" borderId="0" xfId="0" applyNumberFormat="1"/>
    <xf numFmtId="0" fontId="0" fillId="0" borderId="2" xfId="0" applyFill="1" applyBorder="1"/>
    <xf numFmtId="0" fontId="0" fillId="0" borderId="1" xfId="0" applyFill="1" applyBorder="1"/>
    <xf numFmtId="0" fontId="0" fillId="0" borderId="0" xfId="0" applyBorder="1"/>
    <xf numFmtId="2" fontId="0" fillId="0" borderId="0" xfId="0" applyNumberFormat="1"/>
    <xf numFmtId="0" fontId="0" fillId="3" borderId="1" xfId="0" applyFill="1" applyBorder="1"/>
    <xf numFmtId="0" fontId="0" fillId="4" borderId="1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"/>
  <sheetViews>
    <sheetView tabSelected="1" zoomScale="145" zoomScaleNormal="145" workbookViewId="0">
      <selection activeCell="K18" sqref="K18"/>
    </sheetView>
  </sheetViews>
  <sheetFormatPr defaultRowHeight="15" x14ac:dyDescent="0.25"/>
  <cols>
    <col min="1" max="1" width="18" bestFit="1" customWidth="1"/>
    <col min="2" max="2" width="11.5703125" bestFit="1" customWidth="1"/>
    <col min="3" max="3" width="13.5703125" bestFit="1" customWidth="1"/>
    <col min="4" max="4" width="8.85546875" customWidth="1"/>
    <col min="5" max="5" width="15.42578125" customWidth="1"/>
    <col min="6" max="6" width="5" style="12" bestFit="1" customWidth="1"/>
    <col min="7" max="7" width="3.28515625" bestFit="1" customWidth="1"/>
  </cols>
  <sheetData>
    <row r="1" spans="1:7" ht="15.75" thickBot="1" x14ac:dyDescent="0.3">
      <c r="A1" s="3" t="s">
        <v>5</v>
      </c>
      <c r="B1" s="4" t="s">
        <v>19</v>
      </c>
      <c r="C1" s="4" t="s">
        <v>20</v>
      </c>
      <c r="D1" s="4" t="s">
        <v>8</v>
      </c>
      <c r="E1" s="4" t="s">
        <v>11</v>
      </c>
      <c r="F1" s="9" t="s">
        <v>9</v>
      </c>
      <c r="G1" s="5" t="s">
        <v>10</v>
      </c>
    </row>
    <row r="2" spans="1:7" x14ac:dyDescent="0.25">
      <c r="A2" s="2" t="s">
        <v>17</v>
      </c>
      <c r="B2" s="2"/>
      <c r="C2" s="2"/>
      <c r="D2" s="2"/>
      <c r="E2" s="13"/>
      <c r="F2" s="10">
        <f t="shared" ref="F2:F8" si="0">ROUND(B2,1)</f>
        <v>0</v>
      </c>
      <c r="G2" s="2" t="s">
        <v>4</v>
      </c>
    </row>
    <row r="3" spans="1:7" x14ac:dyDescent="0.25">
      <c r="A3" s="1" t="s">
        <v>22</v>
      </c>
      <c r="B3" s="1">
        <v>3.839</v>
      </c>
      <c r="C3" s="1">
        <v>4244</v>
      </c>
      <c r="D3" s="1">
        <v>7</v>
      </c>
      <c r="E3" s="17">
        <v>1</v>
      </c>
      <c r="F3" s="11">
        <f t="shared" si="0"/>
        <v>3.8</v>
      </c>
      <c r="G3" s="1" t="s">
        <v>4</v>
      </c>
    </row>
    <row r="4" spans="1:7" x14ac:dyDescent="0.25">
      <c r="A4" s="1" t="s">
        <v>16</v>
      </c>
      <c r="B4" s="1">
        <v>13.166</v>
      </c>
      <c r="C4" s="1">
        <v>14509</v>
      </c>
      <c r="D4" s="1">
        <v>23</v>
      </c>
      <c r="E4" s="17">
        <v>1</v>
      </c>
      <c r="F4" s="11">
        <f t="shared" si="0"/>
        <v>13.2</v>
      </c>
      <c r="G4" s="1" t="s">
        <v>4</v>
      </c>
    </row>
    <row r="5" spans="1:7" x14ac:dyDescent="0.25">
      <c r="A5" s="1" t="s">
        <v>21</v>
      </c>
      <c r="B5" s="1">
        <v>4.1280000000000001</v>
      </c>
      <c r="C5" s="1">
        <v>4511</v>
      </c>
      <c r="D5" s="1">
        <v>7</v>
      </c>
      <c r="E5" s="18">
        <v>2</v>
      </c>
      <c r="F5" s="11">
        <f t="shared" si="0"/>
        <v>4.0999999999999996</v>
      </c>
      <c r="G5" s="1" t="s">
        <v>4</v>
      </c>
    </row>
    <row r="6" spans="1:7" x14ac:dyDescent="0.25">
      <c r="A6" s="1" t="s">
        <v>18</v>
      </c>
      <c r="B6" s="1">
        <v>3.5590000000000002</v>
      </c>
      <c r="C6" s="1">
        <v>3834</v>
      </c>
      <c r="D6" s="1">
        <v>6</v>
      </c>
      <c r="E6" s="18">
        <v>2</v>
      </c>
      <c r="F6" s="11">
        <f t="shared" si="0"/>
        <v>3.6</v>
      </c>
      <c r="G6" s="1" t="s">
        <v>4</v>
      </c>
    </row>
    <row r="7" spans="1:7" x14ac:dyDescent="0.25">
      <c r="A7" s="1" t="s">
        <v>14</v>
      </c>
      <c r="B7" s="1"/>
      <c r="C7" s="1"/>
      <c r="D7" s="1"/>
      <c r="E7" s="14"/>
      <c r="F7" s="11">
        <f t="shared" si="0"/>
        <v>0</v>
      </c>
      <c r="G7" s="1" t="s">
        <v>4</v>
      </c>
    </row>
    <row r="8" spans="1:7" x14ac:dyDescent="0.25">
      <c r="A8" s="1" t="s">
        <v>15</v>
      </c>
      <c r="B8" s="1"/>
      <c r="C8" s="1"/>
      <c r="D8" s="1"/>
      <c r="E8" s="14"/>
      <c r="F8" s="11">
        <f t="shared" si="0"/>
        <v>0</v>
      </c>
      <c r="G8" s="1" t="s">
        <v>4</v>
      </c>
    </row>
    <row r="9" spans="1:7" x14ac:dyDescent="0.25">
      <c r="A9" s="1" t="s">
        <v>3</v>
      </c>
      <c r="B9" s="1">
        <f>SUM(B2:B8)</f>
        <v>24.692</v>
      </c>
      <c r="C9" s="1">
        <f>SUM(C2:C8)</f>
        <v>27098</v>
      </c>
      <c r="D9" s="1">
        <f>SUM(D2:D8)</f>
        <v>43</v>
      </c>
      <c r="E9" s="15"/>
      <c r="F9" s="11">
        <f>SUM(F2:F8)</f>
        <v>24.700000000000003</v>
      </c>
      <c r="G9" s="1" t="s">
        <v>4</v>
      </c>
    </row>
    <row r="10" spans="1:7" x14ac:dyDescent="0.25">
      <c r="C10" s="16">
        <f>C9/19800</f>
        <v>1.3685858585858586</v>
      </c>
      <c r="D10" s="16">
        <f>D9/37</f>
        <v>1.1621621621621621</v>
      </c>
    </row>
    <row r="12" spans="1:7" x14ac:dyDescent="0.25">
      <c r="B12" t="s">
        <v>6</v>
      </c>
      <c r="C12" t="s">
        <v>7</v>
      </c>
      <c r="D12" t="s">
        <v>8</v>
      </c>
    </row>
    <row r="13" spans="1:7" x14ac:dyDescent="0.25">
      <c r="A13" s="6" t="s">
        <v>0</v>
      </c>
      <c r="B13">
        <f>SUMIF(E:E,1,B:B)</f>
        <v>17.004999999999999</v>
      </c>
      <c r="C13">
        <f>SUMIF(E:E,1,C:C)</f>
        <v>18753</v>
      </c>
      <c r="D13">
        <f>SUMIF(E:E,1,D:D)</f>
        <v>30</v>
      </c>
      <c r="E13" t="s">
        <v>12</v>
      </c>
    </row>
    <row r="14" spans="1:7" x14ac:dyDescent="0.25">
      <c r="A14" s="7" t="s">
        <v>1</v>
      </c>
      <c r="B14">
        <f>SUMIF(E:E,2,B:B)</f>
        <v>7.6870000000000003</v>
      </c>
      <c r="C14">
        <f>SUMIF(E:E,2,C:C)</f>
        <v>8345</v>
      </c>
      <c r="D14">
        <f>SUMIF(E:E,2,D:D)</f>
        <v>13</v>
      </c>
      <c r="E14" t="s">
        <v>13</v>
      </c>
    </row>
    <row r="15" spans="1:7" x14ac:dyDescent="0.25">
      <c r="A15" s="8" t="s">
        <v>2</v>
      </c>
      <c r="B15">
        <f>SUMIF(E:E,3,B:B)</f>
        <v>0</v>
      </c>
      <c r="C15">
        <f>SUMIF(E:E,3,C:C)</f>
        <v>0</v>
      </c>
      <c r="D15">
        <f>SUMIF(E:E,3,D:D)</f>
        <v>0</v>
      </c>
      <c r="E15" t="s">
        <v>13</v>
      </c>
    </row>
  </sheetData>
  <sortState xmlns:xlrd2="http://schemas.microsoft.com/office/spreadsheetml/2017/richdata2" ref="A2:G8">
    <sortCondition ref="A2"/>
  </sortState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2026-01-14T06:43:45Z</dcterms:modified>
</cp:coreProperties>
</file>