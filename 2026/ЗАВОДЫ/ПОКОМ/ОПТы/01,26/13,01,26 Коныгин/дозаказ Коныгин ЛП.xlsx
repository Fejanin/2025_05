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223735F-190E-4D3A-87C1-5C0A0DB8498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Z506" i="1" s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Y475" i="1" s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7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Y426" i="1"/>
  <c r="X426" i="1"/>
  <c r="X425" i="1"/>
  <c r="BP424" i="1"/>
  <c r="BO424" i="1"/>
  <c r="BN424" i="1"/>
  <c r="BM424" i="1"/>
  <c r="Z424" i="1"/>
  <c r="Z425" i="1" s="1"/>
  <c r="Y424" i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X390" i="1"/>
  <c r="Y389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Y390" i="1" s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Y368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Y346" i="1"/>
  <c r="X346" i="1"/>
  <c r="BP345" i="1"/>
  <c r="BO345" i="1"/>
  <c r="BN345" i="1"/>
  <c r="BM345" i="1"/>
  <c r="Z345" i="1"/>
  <c r="Y345" i="1"/>
  <c r="P345" i="1"/>
  <c r="BO344" i="1"/>
  <c r="BN344" i="1"/>
  <c r="BM344" i="1"/>
  <c r="Z344" i="1"/>
  <c r="Y344" i="1"/>
  <c r="BP344" i="1" s="1"/>
  <c r="P344" i="1"/>
  <c r="BO343" i="1"/>
  <c r="BM343" i="1"/>
  <c r="Y343" i="1"/>
  <c r="P343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Y333" i="1" s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Y326" i="1" s="1"/>
  <c r="P324" i="1"/>
  <c r="BP323" i="1"/>
  <c r="BO323" i="1"/>
  <c r="BN323" i="1"/>
  <c r="BM323" i="1"/>
  <c r="Z323" i="1"/>
  <c r="Y323" i="1"/>
  <c r="P323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Y294" i="1" s="1"/>
  <c r="P292" i="1"/>
  <c r="X290" i="1"/>
  <c r="X289" i="1"/>
  <c r="BP288" i="1"/>
  <c r="BO288" i="1"/>
  <c r="BN288" i="1"/>
  <c r="BM288" i="1"/>
  <c r="Z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Y277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Y230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Y214" i="1" s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P185" i="1"/>
  <c r="BO184" i="1"/>
  <c r="BM184" i="1"/>
  <c r="Y184" i="1"/>
  <c r="Y188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Y182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4" i="1" s="1"/>
  <c r="P148" i="1"/>
  <c r="X146" i="1"/>
  <c r="X145" i="1"/>
  <c r="BO144" i="1"/>
  <c r="BM144" i="1"/>
  <c r="Y144" i="1"/>
  <c r="Y146" i="1" s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Y135" i="1" s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G506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6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6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Y70" i="1" s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6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6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500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6" i="1"/>
  <c r="X497" i="1"/>
  <c r="X498" i="1"/>
  <c r="Z23" i="1"/>
  <c r="Z24" i="1" s="1"/>
  <c r="BN23" i="1"/>
  <c r="BP23" i="1"/>
  <c r="Y24" i="1"/>
  <c r="X496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Z64" i="1" s="1"/>
  <c r="BN62" i="1"/>
  <c r="BP62" i="1"/>
  <c r="Z68" i="1"/>
  <c r="Z69" i="1" s="1"/>
  <c r="BN68" i="1"/>
  <c r="BP68" i="1"/>
  <c r="Z72" i="1"/>
  <c r="BN72" i="1"/>
  <c r="BP72" i="1"/>
  <c r="Z74" i="1"/>
  <c r="BN74" i="1"/>
  <c r="Y77" i="1"/>
  <c r="Z80" i="1"/>
  <c r="Z81" i="1" s="1"/>
  <c r="BN80" i="1"/>
  <c r="BP80" i="1"/>
  <c r="Z85" i="1"/>
  <c r="Z89" i="1" s="1"/>
  <c r="BN85" i="1"/>
  <c r="BP85" i="1"/>
  <c r="Z87" i="1"/>
  <c r="BN87" i="1"/>
  <c r="Y90" i="1"/>
  <c r="Z93" i="1"/>
  <c r="Z96" i="1" s="1"/>
  <c r="BN93" i="1"/>
  <c r="BP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Y113" i="1"/>
  <c r="Z116" i="1"/>
  <c r="Z119" i="1" s="1"/>
  <c r="BN116" i="1"/>
  <c r="BP116" i="1"/>
  <c r="Z118" i="1"/>
  <c r="BN118" i="1"/>
  <c r="Z122" i="1"/>
  <c r="Z123" i="1" s="1"/>
  <c r="BN122" i="1"/>
  <c r="BP122" i="1"/>
  <c r="Y123" i="1"/>
  <c r="Z127" i="1"/>
  <c r="Z129" i="1" s="1"/>
  <c r="BN127" i="1"/>
  <c r="BP127" i="1"/>
  <c r="Y130" i="1"/>
  <c r="Z133" i="1"/>
  <c r="Z134" i="1" s="1"/>
  <c r="BN133" i="1"/>
  <c r="BP133" i="1"/>
  <c r="Z137" i="1"/>
  <c r="Z139" i="1" s="1"/>
  <c r="BN137" i="1"/>
  <c r="BP137" i="1"/>
  <c r="Y140" i="1"/>
  <c r="H506" i="1"/>
  <c r="Z144" i="1"/>
  <c r="Z145" i="1" s="1"/>
  <c r="BN144" i="1"/>
  <c r="BP144" i="1"/>
  <c r="Y145" i="1"/>
  <c r="Z148" i="1"/>
  <c r="Z154" i="1" s="1"/>
  <c r="BN148" i="1"/>
  <c r="BP148" i="1"/>
  <c r="Z150" i="1"/>
  <c r="BN150" i="1"/>
  <c r="Z152" i="1"/>
  <c r="BN152" i="1"/>
  <c r="Y155" i="1"/>
  <c r="I506" i="1"/>
  <c r="Y165" i="1"/>
  <c r="Z167" i="1"/>
  <c r="Z181" i="1" s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Z187" i="1" s="1"/>
  <c r="BN184" i="1"/>
  <c r="BP184" i="1"/>
  <c r="BP185" i="1"/>
  <c r="BN185" i="1"/>
  <c r="Y187" i="1"/>
  <c r="BP196" i="1"/>
  <c r="BN196" i="1"/>
  <c r="Z196" i="1"/>
  <c r="Z197" i="1" s="1"/>
  <c r="Y198" i="1"/>
  <c r="Y203" i="1"/>
  <c r="BP200" i="1"/>
  <c r="BN200" i="1"/>
  <c r="Z200" i="1"/>
  <c r="Z202" i="1" s="1"/>
  <c r="Y213" i="1"/>
  <c r="BP208" i="1"/>
  <c r="BN208" i="1"/>
  <c r="Z208" i="1"/>
  <c r="BP212" i="1"/>
  <c r="BN212" i="1"/>
  <c r="Z212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BP266" i="1"/>
  <c r="BN266" i="1"/>
  <c r="Z266" i="1"/>
  <c r="BP275" i="1"/>
  <c r="BN275" i="1"/>
  <c r="Z275" i="1"/>
  <c r="O506" i="1"/>
  <c r="Y283" i="1"/>
  <c r="BP280" i="1"/>
  <c r="BN280" i="1"/>
  <c r="Z280" i="1"/>
  <c r="BP293" i="1"/>
  <c r="BN293" i="1"/>
  <c r="Z293" i="1"/>
  <c r="Z294" i="1" s="1"/>
  <c r="Y295" i="1"/>
  <c r="Q506" i="1"/>
  <c r="Y305" i="1"/>
  <c r="BP298" i="1"/>
  <c r="BN298" i="1"/>
  <c r="Z298" i="1"/>
  <c r="BP302" i="1"/>
  <c r="BN302" i="1"/>
  <c r="Z302" i="1"/>
  <c r="Y313" i="1"/>
  <c r="BP310" i="1"/>
  <c r="BN310" i="1"/>
  <c r="Z310" i="1"/>
  <c r="BP318" i="1"/>
  <c r="BN318" i="1"/>
  <c r="Z318" i="1"/>
  <c r="Y327" i="1"/>
  <c r="BP330" i="1"/>
  <c r="BN330" i="1"/>
  <c r="Z330" i="1"/>
  <c r="BP338" i="1"/>
  <c r="BN338" i="1"/>
  <c r="Z338" i="1"/>
  <c r="R506" i="1"/>
  <c r="Y347" i="1"/>
  <c r="BP343" i="1"/>
  <c r="BN343" i="1"/>
  <c r="Z343" i="1"/>
  <c r="Z346" i="1" s="1"/>
  <c r="BP377" i="1"/>
  <c r="BN377" i="1"/>
  <c r="Z377" i="1"/>
  <c r="Z378" i="1" s="1"/>
  <c r="Y379" i="1"/>
  <c r="Y384" i="1"/>
  <c r="BP381" i="1"/>
  <c r="BN381" i="1"/>
  <c r="Z381" i="1"/>
  <c r="Z383" i="1" s="1"/>
  <c r="Y383" i="1"/>
  <c r="F9" i="1"/>
  <c r="J9" i="1"/>
  <c r="Y45" i="1"/>
  <c r="Y496" i="1" s="1"/>
  <c r="Y58" i="1"/>
  <c r="Y89" i="1"/>
  <c r="Y106" i="1"/>
  <c r="Y129" i="1"/>
  <c r="BP206" i="1"/>
  <c r="Y498" i="1" s="1"/>
  <c r="BN206" i="1"/>
  <c r="Y497" i="1" s="1"/>
  <c r="Z206" i="1"/>
  <c r="Z213" i="1" s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Y284" i="1"/>
  <c r="P506" i="1"/>
  <c r="Y290" i="1"/>
  <c r="BP287" i="1"/>
  <c r="BN287" i="1"/>
  <c r="Z287" i="1"/>
  <c r="Z289" i="1" s="1"/>
  <c r="BP300" i="1"/>
  <c r="BN300" i="1"/>
  <c r="Z300" i="1"/>
  <c r="Y304" i="1"/>
  <c r="BP308" i="1"/>
  <c r="BN308" i="1"/>
  <c r="Z308" i="1"/>
  <c r="Z313" i="1" s="1"/>
  <c r="BP312" i="1"/>
  <c r="BN312" i="1"/>
  <c r="Z312" i="1"/>
  <c r="Y314" i="1"/>
  <c r="Y321" i="1"/>
  <c r="BP316" i="1"/>
  <c r="BN316" i="1"/>
  <c r="Z316" i="1"/>
  <c r="Z320" i="1" s="1"/>
  <c r="Y320" i="1"/>
  <c r="BP324" i="1"/>
  <c r="BN324" i="1"/>
  <c r="Z324" i="1"/>
  <c r="Z326" i="1" s="1"/>
  <c r="BP332" i="1"/>
  <c r="BN332" i="1"/>
  <c r="Z332" i="1"/>
  <c r="Y334" i="1"/>
  <c r="Y339" i="1"/>
  <c r="BP336" i="1"/>
  <c r="BN336" i="1"/>
  <c r="Z336" i="1"/>
  <c r="Z339" i="1" s="1"/>
  <c r="BP352" i="1"/>
  <c r="BN352" i="1"/>
  <c r="Z352" i="1"/>
  <c r="Z358" i="1" s="1"/>
  <c r="Y358" i="1"/>
  <c r="BP356" i="1"/>
  <c r="BN356" i="1"/>
  <c r="Z356" i="1"/>
  <c r="BP395" i="1"/>
  <c r="BN395" i="1"/>
  <c r="Z395" i="1"/>
  <c r="Y403" i="1"/>
  <c r="J506" i="1"/>
  <c r="Y197" i="1"/>
  <c r="K506" i="1"/>
  <c r="Y244" i="1"/>
  <c r="L506" i="1"/>
  <c r="Y269" i="1"/>
  <c r="M506" i="1"/>
  <c r="Y276" i="1"/>
  <c r="BP354" i="1"/>
  <c r="BN354" i="1"/>
  <c r="Z354" i="1"/>
  <c r="BP362" i="1"/>
  <c r="BN362" i="1"/>
  <c r="Z362" i="1"/>
  <c r="Z363" i="1" s="1"/>
  <c r="Y364" i="1"/>
  <c r="Y369" i="1"/>
  <c r="BP366" i="1"/>
  <c r="BN366" i="1"/>
  <c r="Z366" i="1"/>
  <c r="Z368" i="1" s="1"/>
  <c r="BP387" i="1"/>
  <c r="BN387" i="1"/>
  <c r="Z387" i="1"/>
  <c r="Z389" i="1" s="1"/>
  <c r="BP397" i="1"/>
  <c r="BN397" i="1"/>
  <c r="Z397" i="1"/>
  <c r="Z403" i="1" s="1"/>
  <c r="BP401" i="1"/>
  <c r="BN401" i="1"/>
  <c r="Z401" i="1"/>
  <c r="Y408" i="1"/>
  <c r="BP418" i="1"/>
  <c r="BN418" i="1"/>
  <c r="Z418" i="1"/>
  <c r="BP454" i="1"/>
  <c r="BN454" i="1"/>
  <c r="Z454" i="1"/>
  <c r="BP399" i="1"/>
  <c r="BN399" i="1"/>
  <c r="Z399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Z420" i="1" s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48" i="1"/>
  <c r="S506" i="1"/>
  <c r="Y359" i="1"/>
  <c r="T506" i="1"/>
  <c r="Y378" i="1"/>
  <c r="U506" i="1"/>
  <c r="Y404" i="1"/>
  <c r="Y425" i="1"/>
  <c r="W506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BP468" i="1"/>
  <c r="BN468" i="1"/>
  <c r="Z468" i="1"/>
  <c r="BP488" i="1"/>
  <c r="BN488" i="1"/>
  <c r="Z488" i="1"/>
  <c r="Z489" i="1" s="1"/>
  <c r="Y490" i="1"/>
  <c r="Y495" i="1"/>
  <c r="Z493" i="1"/>
  <c r="Z494" i="1" s="1"/>
  <c r="BN493" i="1"/>
  <c r="BP493" i="1"/>
  <c r="Y494" i="1"/>
  <c r="Y499" i="1" l="1"/>
  <c r="Z333" i="1"/>
  <c r="Z304" i="1"/>
  <c r="Z112" i="1"/>
  <c r="Z105" i="1"/>
  <c r="Z76" i="1"/>
  <c r="Z58" i="1"/>
  <c r="Z44" i="1"/>
  <c r="Z32" i="1"/>
  <c r="Z501" i="1" s="1"/>
  <c r="Y500" i="1"/>
  <c r="Z470" i="1"/>
  <c r="Z442" i="1"/>
  <c r="Z283" i="1"/>
  <c r="Z225" i="1"/>
  <c r="X499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<sst xmlns="http://schemas.openxmlformats.org/spreadsheetml/2006/main" count="2385" uniqueCount="784">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</sst>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3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100</v>
      </c>
      <c r="Y53" s="55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9.2592592592592595</v>
      </c>
      <c r="Y58" s="557">
        <f>IFERROR(Y52/H52,"0")+IFERROR(Y53/H53,"0")+IFERROR(Y54/H54,"0")+IFERROR(Y55/H55,"0")+IFERROR(Y56/H56,"0")+IFERROR(Y57/H57,"0")</f>
        <v>10</v>
      </c>
      <c r="Z58" s="557">
        <f>IFERROR(IF(Z52="",0,Z52),"0")+IFERROR(IF(Z53="",0,Z53),"0")+IFERROR(IF(Z54="",0,Z54),"0")+IFERROR(IF(Z55="",0,Z55),"0")+IFERROR(IF(Z56="",0,Z56),"0")+IFERROR(IF(Z57="",0,Z57),"0")</f>
        <v>0.1898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100</v>
      </c>
      <c r="Y59" s="557">
        <f>IFERROR(SUM(Y52:Y57),"0")</f>
        <v>108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100</v>
      </c>
      <c r="Y61" s="55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9.2592592592592595</v>
      </c>
      <c r="Y64" s="557">
        <f>IFERROR(Y61/H61,"0")+IFERROR(Y62/H62,"0")+IFERROR(Y63/H63,"0")</f>
        <v>10</v>
      </c>
      <c r="Z64" s="557">
        <f>IFERROR(IF(Z61="",0,Z61),"0")+IFERROR(IF(Z62="",0,Z62),"0")+IFERROR(IF(Z63="",0,Z63),"0")</f>
        <v>0.1898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100</v>
      </c>
      <c r="Y65" s="557">
        <f>IFERROR(SUM(Y61:Y63),"0")</f>
        <v>108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24</v>
      </c>
      <c r="Y221" s="556">
        <f t="shared" si="20"/>
        <v>24</v>
      </c>
      <c r="Z221" s="36">
        <f t="shared" si="25"/>
        <v>6.5100000000000005E-2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26.520000000000003</v>
      </c>
      <c r="BN221" s="64">
        <f t="shared" si="22"/>
        <v>26.520000000000003</v>
      </c>
      <c r="BO221" s="64">
        <f t="shared" si="23"/>
        <v>5.4945054945054951E-2</v>
      </c>
      <c r="BP221" s="64">
        <f t="shared" si="24"/>
        <v>5.4945054945054951E-2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24</v>
      </c>
      <c r="Y222" s="556">
        <f t="shared" si="20"/>
        <v>24</v>
      </c>
      <c r="Z222" s="36">
        <f t="shared" si="25"/>
        <v>6.5100000000000005E-2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26.520000000000003</v>
      </c>
      <c r="BN222" s="64">
        <f t="shared" si="22"/>
        <v>26.520000000000003</v>
      </c>
      <c r="BO222" s="64">
        <f t="shared" si="23"/>
        <v>5.4945054945054951E-2</v>
      </c>
      <c r="BP222" s="64">
        <f t="shared" si="24"/>
        <v>5.4945054945054951E-2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20</v>
      </c>
      <c r="Y225" s="557">
        <f>IFERROR(Y216/H216,"0")+IFERROR(Y217/H217,"0")+IFERROR(Y218/H218,"0")+IFERROR(Y219/H219,"0")+IFERROR(Y220/H220,"0")+IFERROR(Y221/H221,"0")+IFERROR(Y222/H222,"0")+IFERROR(Y223/H223,"0")+IFERROR(Y224/H224,"0")</f>
        <v>20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0.13020000000000001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48</v>
      </c>
      <c r="Y226" s="557">
        <f>IFERROR(SUM(Y216:Y224),"0")</f>
        <v>48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50</v>
      </c>
      <c r="Y265" s="556">
        <f>IFERROR(IF(X265="",0,CEILING((X265/$H265),1)*$H265),"")</f>
        <v>54</v>
      </c>
      <c r="Z265" s="36">
        <f>IFERROR(IF(Y265=0,"",ROUNDUP(Y265/H265,0)*0.01898),"")</f>
        <v>9.4899999999999998E-2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51.898148148148145</v>
      </c>
      <c r="BN265" s="64">
        <f>IFERROR(Y265*I265/H265,"0")</f>
        <v>56.05</v>
      </c>
      <c r="BO265" s="64">
        <f>IFERROR(1/J265*(X265/H265),"0")</f>
        <v>7.2337962962962965E-2</v>
      </c>
      <c r="BP265" s="64">
        <f>IFERROR(1/J265*(Y265/H265),"0")</f>
        <v>7.8125E-2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4.6296296296296298</v>
      </c>
      <c r="Y268" s="557">
        <f>IFERROR(Y263/H263,"0")+IFERROR(Y264/H264,"0")+IFERROR(Y265/H265,"0")+IFERROR(Y266/H266,"0")+IFERROR(Y267/H267,"0")</f>
        <v>5</v>
      </c>
      <c r="Z268" s="557">
        <f>IFERROR(IF(Z263="",0,Z263),"0")+IFERROR(IF(Z264="",0,Z264),"0")+IFERROR(IF(Z265="",0,Z265),"0")+IFERROR(IF(Z266="",0,Z266),"0")+IFERROR(IF(Z267="",0,Z267),"0")</f>
        <v>9.4899999999999998E-2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50</v>
      </c>
      <c r="Y269" s="557">
        <f>IFERROR(SUM(Y263:Y267),"0")</f>
        <v>54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100</v>
      </c>
      <c r="Y300" s="556">
        <f t="shared" si="31"/>
        <v>108</v>
      </c>
      <c r="Z300" s="36">
        <f>IFERROR(IF(Y300=0,"",ROUNDUP(Y300/H300,0)*0.01898),"")</f>
        <v>0.1898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103.79629629629629</v>
      </c>
      <c r="BN300" s="64">
        <f t="shared" si="33"/>
        <v>112.1</v>
      </c>
      <c r="BO300" s="64">
        <f t="shared" si="34"/>
        <v>0.14467592592592593</v>
      </c>
      <c r="BP300" s="64">
        <f t="shared" si="35"/>
        <v>0.15625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9.2592592592592595</v>
      </c>
      <c r="Y304" s="557">
        <f>IFERROR(Y298/H298,"0")+IFERROR(Y299/H299,"0")+IFERROR(Y300/H300,"0")+IFERROR(Y301/H301,"0")+IFERROR(Y302/H302,"0")+IFERROR(Y303/H303,"0")</f>
        <v>10</v>
      </c>
      <c r="Z304" s="557">
        <f>IFERROR(IF(Z298="",0,Z298),"0")+IFERROR(IF(Z299="",0,Z299),"0")+IFERROR(IF(Z300="",0,Z300),"0")+IFERROR(IF(Z301="",0,Z301),"0")+IFERROR(IF(Z302="",0,Z302),"0")+IFERROR(IF(Z303="",0,Z303),"0")</f>
        <v>0.1898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100</v>
      </c>
      <c r="Y305" s="557">
        <f>IFERROR(SUM(Y298:Y303),"0")</f>
        <v>108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29.4</v>
      </c>
      <c r="Y310" s="556">
        <f t="shared" si="36"/>
        <v>29.400000000000002</v>
      </c>
      <c r="Z310" s="36">
        <f>IFERROR(IF(Y310=0,"",ROUNDUP(Y310/H310,0)*0.00502),"")</f>
        <v>7.0280000000000009E-2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31.22</v>
      </c>
      <c r="BN310" s="64">
        <f t="shared" si="38"/>
        <v>31.22</v>
      </c>
      <c r="BO310" s="64">
        <f t="shared" si="39"/>
        <v>5.9829059829059825E-2</v>
      </c>
      <c r="BP310" s="64">
        <f t="shared" si="40"/>
        <v>5.9829059829059839E-2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21</v>
      </c>
      <c r="Y311" s="556">
        <f t="shared" si="36"/>
        <v>21</v>
      </c>
      <c r="Z311" s="36">
        <f>IFERROR(IF(Y311=0,"",ROUNDUP(Y311/H311,0)*0.00502),"")</f>
        <v>5.0200000000000002E-2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22</v>
      </c>
      <c r="BN311" s="64">
        <f t="shared" si="38"/>
        <v>22</v>
      </c>
      <c r="BO311" s="64">
        <f t="shared" si="39"/>
        <v>4.2735042735042736E-2</v>
      </c>
      <c r="BP311" s="64">
        <f t="shared" si="40"/>
        <v>4.2735042735042736E-2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24</v>
      </c>
      <c r="Y313" s="557">
        <f>IFERROR(Y307/H307,"0")+IFERROR(Y308/H308,"0")+IFERROR(Y309/H309,"0")+IFERROR(Y310/H310,"0")+IFERROR(Y311/H311,"0")+IFERROR(Y312/H312,"0")</f>
        <v>24</v>
      </c>
      <c r="Z313" s="557">
        <f>IFERROR(IF(Z307="",0,Z307),"0")+IFERROR(IF(Z308="",0,Z308),"0")+IFERROR(IF(Z309="",0,Z309),"0")+IFERROR(IF(Z310="",0,Z310),"0")+IFERROR(IF(Z311="",0,Z311),"0")+IFERROR(IF(Z312="",0,Z312),"0")</f>
        <v>0.12048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50.4</v>
      </c>
      <c r="Y314" s="557">
        <f>IFERROR(SUM(Y307:Y312),"0")</f>
        <v>50.400000000000006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800</v>
      </c>
      <c r="Y316" s="556">
        <f>IFERROR(IF(X316="",0,CEILING((X316/$H316),1)*$H316),"")</f>
        <v>803.4</v>
      </c>
      <c r="Z316" s="36">
        <f>IFERROR(IF(Y316=0,"",ROUNDUP(Y316/H316,0)*0.01898),"")</f>
        <v>1.9549400000000001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850.0512820512821</v>
      </c>
      <c r="BN316" s="64">
        <f>IFERROR(Y316*I316/H316,"0")</f>
        <v>853.66399999999999</v>
      </c>
      <c r="BO316" s="64">
        <f>IFERROR(1/J316*(X316/H316),"0")</f>
        <v>1.6025641025641026</v>
      </c>
      <c r="BP316" s="64">
        <f>IFERROR(1/J316*(Y316/H316),"0")</f>
        <v>1.609375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102.56410256410257</v>
      </c>
      <c r="Y320" s="557">
        <f>IFERROR(Y316/H316,"0")+IFERROR(Y317/H317,"0")+IFERROR(Y318/H318,"0")+IFERROR(Y319/H319,"0")</f>
        <v>103</v>
      </c>
      <c r="Z320" s="557">
        <f>IFERROR(IF(Z316="",0,Z316),"0")+IFERROR(IF(Z317="",0,Z317),"0")+IFERROR(IF(Z318="",0,Z318),"0")+IFERROR(IF(Z319="",0,Z319),"0")</f>
        <v>1.9549400000000001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800</v>
      </c>
      <c r="Y321" s="557">
        <f>IFERROR(SUM(Y316:Y319),"0")</f>
        <v>803.4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7.65</v>
      </c>
      <c r="Y332" s="556">
        <f>IFERROR(IF(X332="",0,CEILING((X332/$H332),1)*$H332),"")</f>
        <v>7.6499999999999995</v>
      </c>
      <c r="Z332" s="36">
        <f>IFERROR(IF(Y332=0,"",ROUNDUP(Y332/H332,0)*0.00651),"")</f>
        <v>1.9529999999999999E-2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8.64</v>
      </c>
      <c r="BN332" s="64">
        <f>IFERROR(Y332*I332/H332,"0")</f>
        <v>8.6399999999999988</v>
      </c>
      <c r="BO332" s="64">
        <f>IFERROR(1/J332*(X332/H332),"0")</f>
        <v>1.6483516483516487E-2</v>
      </c>
      <c r="BP332" s="64">
        <f>IFERROR(1/J332*(Y332/H332),"0")</f>
        <v>1.6483516483516484E-2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3.0000000000000004</v>
      </c>
      <c r="Y333" s="557">
        <f>IFERROR(Y329/H329,"0")+IFERROR(Y330/H330,"0")+IFERROR(Y331/H331,"0")+IFERROR(Y332/H332,"0")</f>
        <v>3</v>
      </c>
      <c r="Z333" s="557">
        <f>IFERROR(IF(Z329="",0,Z329),"0")+IFERROR(IF(Z330="",0,Z330),"0")+IFERROR(IF(Z331="",0,Z331),"0")+IFERROR(IF(Z332="",0,Z332),"0")</f>
        <v>1.9529999999999999E-2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7.65</v>
      </c>
      <c r="Y334" s="557">
        <f>IFERROR(SUM(Y329:Y332),"0")</f>
        <v>7.6499999999999995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10</v>
      </c>
      <c r="Y336" s="556">
        <f>IFERROR(IF(X336="",0,CEILING((X336/$H336),1)*$H336),"")</f>
        <v>10</v>
      </c>
      <c r="Z336" s="36">
        <f>IFERROR(IF(Y336=0,"",ROUNDUP(Y336/H336,0)*0.00474),"")</f>
        <v>2.3700000000000002E-2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11.200000000000001</v>
      </c>
      <c r="BN336" s="64">
        <f>IFERROR(Y336*I336/H336,"0")</f>
        <v>11.200000000000001</v>
      </c>
      <c r="BO336" s="64">
        <f>IFERROR(1/J336*(X336/H336),"0")</f>
        <v>2.1008403361344536E-2</v>
      </c>
      <c r="BP336" s="64">
        <f>IFERROR(1/J336*(Y336/H336),"0")</f>
        <v>2.1008403361344536E-2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10</v>
      </c>
      <c r="Y337" s="556">
        <f>IFERROR(IF(X337="",0,CEILING((X337/$H337),1)*$H337),"")</f>
        <v>10</v>
      </c>
      <c r="Z337" s="36">
        <f>IFERROR(IF(Y337=0,"",ROUNDUP(Y337/H337,0)*0.00474),"")</f>
        <v>2.3700000000000002E-2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11.200000000000001</v>
      </c>
      <c r="BN337" s="64">
        <f>IFERROR(Y337*I337/H337,"0")</f>
        <v>11.200000000000001</v>
      </c>
      <c r="BO337" s="64">
        <f>IFERROR(1/J337*(X337/H337),"0")</f>
        <v>2.1008403361344536E-2</v>
      </c>
      <c r="BP337" s="64">
        <f>IFERROR(1/J337*(Y337/H337),"0")</f>
        <v>2.1008403361344536E-2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15</v>
      </c>
      <c r="Y338" s="556">
        <f>IFERROR(IF(X338="",0,CEILING((X338/$H338),1)*$H338),"")</f>
        <v>16</v>
      </c>
      <c r="Z338" s="36">
        <f>IFERROR(IF(Y338=0,"",ROUNDUP(Y338/H338,0)*0.00474),"")</f>
        <v>3.7920000000000002E-2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16.8</v>
      </c>
      <c r="BN338" s="64">
        <f>IFERROR(Y338*I338/H338,"0")</f>
        <v>17.920000000000002</v>
      </c>
      <c r="BO338" s="64">
        <f>IFERROR(1/J338*(X338/H338),"0")</f>
        <v>3.1512605042016806E-2</v>
      </c>
      <c r="BP338" s="64">
        <f>IFERROR(1/J338*(Y338/H338),"0")</f>
        <v>3.3613445378151259E-2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17.5</v>
      </c>
      <c r="Y339" s="557">
        <f>IFERROR(Y336/H336,"0")+IFERROR(Y337/H337,"0")+IFERROR(Y338/H338,"0")</f>
        <v>18</v>
      </c>
      <c r="Z339" s="557">
        <f>IFERROR(IF(Z336="",0,Z336),"0")+IFERROR(IF(Z337="",0,Z337),"0")+IFERROR(IF(Z338="",0,Z338),"0")</f>
        <v>8.5320000000000007E-2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35</v>
      </c>
      <c r="Y340" s="557">
        <f>IFERROR(SUM(Y336:Y338),"0")</f>
        <v>36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500</v>
      </c>
      <c r="Y351" s="556">
        <f t="shared" ref="Y351:Y357" si="41">IFERROR(IF(X351="",0,CEILING((X351/$H351),1)*$H351),"")</f>
        <v>510</v>
      </c>
      <c r="Z351" s="36">
        <f>IFERROR(IF(Y351=0,"",ROUNDUP(Y351/H351,0)*0.02175),"")</f>
        <v>0.73949999999999994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515.66666666666663</v>
      </c>
      <c r="BN351" s="64">
        <f t="shared" ref="BN351:BN357" si="43">IFERROR(Y351*I351/H351,"0")</f>
        <v>525.98</v>
      </c>
      <c r="BO351" s="64">
        <f t="shared" ref="BO351:BO357" si="44">IFERROR(1/J351*(X351/H351),"0")</f>
        <v>0.69444444444444442</v>
      </c>
      <c r="BP351" s="64">
        <f t="shared" ref="BP351:BP357" si="45">IFERROR(1/J351*(Y351/H351),"0")</f>
        <v>0.70833333333333326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500</v>
      </c>
      <c r="Y352" s="556">
        <f t="shared" si="41"/>
        <v>510</v>
      </c>
      <c r="Z352" s="36">
        <f>IFERROR(IF(Y352=0,"",ROUNDUP(Y352/H352,0)*0.02175),"")</f>
        <v>0.73949999999999994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515.66666666666663</v>
      </c>
      <c r="BN352" s="64">
        <f t="shared" si="43"/>
        <v>525.98</v>
      </c>
      <c r="BO352" s="64">
        <f t="shared" si="44"/>
        <v>0.69444444444444442</v>
      </c>
      <c r="BP352" s="64">
        <f t="shared" si="45"/>
        <v>0.70833333333333326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750</v>
      </c>
      <c r="Y353" s="556">
        <f t="shared" si="41"/>
        <v>750</v>
      </c>
      <c r="Z353" s="36">
        <f>IFERROR(IF(Y353=0,"",ROUNDUP(Y353/H353,0)*0.02175),"")</f>
        <v>1.0874999999999999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773.5</v>
      </c>
      <c r="BN353" s="64">
        <f t="shared" si="43"/>
        <v>773.5</v>
      </c>
      <c r="BO353" s="64">
        <f t="shared" si="44"/>
        <v>1.0416666666666665</v>
      </c>
      <c r="BP353" s="64">
        <f t="shared" si="45"/>
        <v>1.0416666666666665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116.66666666666667</v>
      </c>
      <c r="Y358" s="557">
        <f>IFERROR(Y351/H351,"0")+IFERROR(Y352/H352,"0")+IFERROR(Y353/H353,"0")+IFERROR(Y354/H354,"0")+IFERROR(Y355/H355,"0")+IFERROR(Y356/H356,"0")+IFERROR(Y357/H357,"0")</f>
        <v>118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2.5664999999999996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1750</v>
      </c>
      <c r="Y359" s="557">
        <f>IFERROR(SUM(Y351:Y357),"0")</f>
        <v>1770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650</v>
      </c>
      <c r="Y361" s="556">
        <f>IFERROR(IF(X361="",0,CEILING((X361/$H361),1)*$H361),"")</f>
        <v>660</v>
      </c>
      <c r="Z361" s="36">
        <f>IFERROR(IF(Y361=0,"",ROUNDUP(Y361/H361,0)*0.02175),"")</f>
        <v>0.95699999999999996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670.36666666666667</v>
      </c>
      <c r="BN361" s="64">
        <f>IFERROR(Y361*I361/H361,"0")</f>
        <v>680.68000000000006</v>
      </c>
      <c r="BO361" s="64">
        <f>IFERROR(1/J361*(X361/H361),"0")</f>
        <v>0.90277777777777779</v>
      </c>
      <c r="BP361" s="64">
        <f>IFERROR(1/J361*(Y361/H361),"0")</f>
        <v>0.91666666666666663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40</v>
      </c>
      <c r="Y362" s="556">
        <f>IFERROR(IF(X362="",0,CEILING((X362/$H362),1)*$H362),"")</f>
        <v>40</v>
      </c>
      <c r="Z362" s="36">
        <f>IFERROR(IF(Y362=0,"",ROUNDUP(Y362/H362,0)*0.00902),"")</f>
        <v>9.0200000000000002E-2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41.900000000000006</v>
      </c>
      <c r="BN362" s="64">
        <f>IFERROR(Y362*I362/H362,"0")</f>
        <v>41.900000000000006</v>
      </c>
      <c r="BO362" s="64">
        <f>IFERROR(1/J362*(X362/H362),"0")</f>
        <v>7.575757575757576E-2</v>
      </c>
      <c r="BP362" s="64">
        <f>IFERROR(1/J362*(Y362/H362),"0")</f>
        <v>7.575757575757576E-2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53.333333333333336</v>
      </c>
      <c r="Y363" s="557">
        <f>IFERROR(Y361/H361,"0")+IFERROR(Y362/H362,"0")</f>
        <v>54</v>
      </c>
      <c r="Z363" s="557">
        <f>IFERROR(IF(Z361="",0,Z361),"0")+IFERROR(IF(Z362="",0,Z362),"0")</f>
        <v>1.0471999999999999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690</v>
      </c>
      <c r="Y364" s="557">
        <f>IFERROR(SUM(Y361:Y362),"0")</f>
        <v>700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8.4</v>
      </c>
      <c r="Y398" s="556">
        <f t="shared" si="46"/>
        <v>8.4</v>
      </c>
      <c r="Z398" s="36">
        <f t="shared" si="51"/>
        <v>2.0080000000000001E-2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8.92</v>
      </c>
      <c r="BN398" s="64">
        <f t="shared" si="48"/>
        <v>8.92</v>
      </c>
      <c r="BO398" s="64">
        <f t="shared" si="49"/>
        <v>1.7094017094017096E-2</v>
      </c>
      <c r="BP398" s="64">
        <f t="shared" si="50"/>
        <v>1.7094017094017096E-2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4</v>
      </c>
      <c r="Y403" s="557">
        <f>IFERROR(Y394/H394,"0")+IFERROR(Y395/H395,"0")+IFERROR(Y396/H396,"0")+IFERROR(Y397/H397,"0")+IFERROR(Y398/H398,"0")+IFERROR(Y399/H399,"0")+IFERROR(Y400/H400,"0")+IFERROR(Y401/H401,"0")+IFERROR(Y402/H402,"0")</f>
        <v>4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2.0080000000000001E-2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8.4</v>
      </c>
      <c r="Y404" s="557">
        <f>IFERROR(SUM(Y394:Y402),"0")</f>
        <v>8.4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100</v>
      </c>
      <c r="Y468" s="556">
        <f>IFERROR(IF(X468="",0,CEILING((X468/$H468),1)*$H468),"")</f>
        <v>108</v>
      </c>
      <c r="Z468" s="36">
        <f>IFERROR(IF(Y468=0,"",ROUNDUP(Y468/H468,0)*0.01898),"")</f>
        <v>0.17082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103.41666666666667</v>
      </c>
      <c r="BN468" s="64">
        <f>IFERROR(Y468*I468/H468,"0")</f>
        <v>111.69</v>
      </c>
      <c r="BO468" s="64">
        <f>IFERROR(1/J468*(X468/H468),"0")</f>
        <v>0.13020833333333334</v>
      </c>
      <c r="BP468" s="64">
        <f>IFERROR(1/J468*(Y468/H468),"0")</f>
        <v>0.140625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8.3333333333333339</v>
      </c>
      <c r="Y470" s="557">
        <f>IFERROR(Y466/H466,"0")+IFERROR(Y467/H467,"0")+IFERROR(Y468/H468,"0")+IFERROR(Y469/H469,"0")</f>
        <v>9</v>
      </c>
      <c r="Z470" s="557">
        <f>IFERROR(IF(Z466="",0,Z466),"0")+IFERROR(IF(Z467="",0,Z467),"0")+IFERROR(IF(Z468="",0,Z468),"0")+IFERROR(IF(Z469="",0,Z469),"0")</f>
        <v>0.17082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100</v>
      </c>
      <c r="Y471" s="557">
        <f>IFERROR(SUM(Y466:Y469),"0")</f>
        <v>108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3839.4500000000003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3909.85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3996.874985754986</v>
      </c>
      <c r="Y497" s="557">
        <f>IFERROR(SUM(BN22:BN493),"0")</f>
        <v>4069.8840000000009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6</v>
      </c>
      <c r="Y498" s="38">
        <f>ROUNDUP(SUM(BP22:BP493),0)</f>
        <v>7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4146.8749857549865</v>
      </c>
      <c r="Y499" s="557">
        <f>GrossWeightTotalR+PalletQtyTotalR*25</f>
        <v>4244.8840000000009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381.8048433048433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388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6.7793699999999992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216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48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54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1005.4499999999999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2470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8.4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108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2026-01-14T06:31:54Z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