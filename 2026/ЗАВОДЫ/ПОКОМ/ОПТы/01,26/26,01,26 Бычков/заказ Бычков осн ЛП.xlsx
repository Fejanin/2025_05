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601D9D9-FA96-4241-96E1-E0F862E398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Y212" i="1" s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0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2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9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1" i="1" s="1"/>
  <c r="P27" i="1"/>
  <c r="X25" i="1"/>
  <c r="X489" i="1" s="1"/>
  <c r="X24" i="1"/>
  <c r="BP23" i="1"/>
  <c r="BO23" i="1"/>
  <c r="BN23" i="1"/>
  <c r="BM23" i="1"/>
  <c r="Z23" i="1"/>
  <c r="Y23" i="1"/>
  <c r="P23" i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493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BP54" i="1"/>
  <c r="BN54" i="1"/>
  <c r="BP56" i="1"/>
  <c r="BN56" i="1"/>
  <c r="Z56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Y111" i="1"/>
  <c r="BP110" i="1"/>
  <c r="BN110" i="1"/>
  <c r="Z110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Z406" i="1"/>
  <c r="H9" i="1"/>
  <c r="Y24" i="1"/>
  <c r="Y44" i="1"/>
  <c r="D499" i="1"/>
  <c r="Y57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9" i="1"/>
  <c r="BP137" i="1"/>
  <c r="BN137" i="1"/>
  <c r="Z137" i="1"/>
  <c r="Z138" i="1" s="1"/>
  <c r="E499" i="1"/>
  <c r="Y88" i="1"/>
  <c r="F499" i="1"/>
  <c r="Y105" i="1"/>
  <c r="G499" i="1"/>
  <c r="Y128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9" i="1"/>
  <c r="Y163" i="1"/>
  <c r="Z166" i="1"/>
  <c r="Z179" i="1" s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Z274" i="1" s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Z311" i="1" s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Y144" i="1"/>
  <c r="J499" i="1"/>
  <c r="Y195" i="1"/>
  <c r="BP204" i="1"/>
  <c r="BN204" i="1"/>
  <c r="Z204" i="1"/>
  <c r="BP208" i="1"/>
  <c r="BN208" i="1"/>
  <c r="Z208" i="1"/>
  <c r="Z211" i="1" s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Z266" i="1"/>
  <c r="BP262" i="1"/>
  <c r="BN262" i="1"/>
  <c r="Z262" i="1"/>
  <c r="Y266" i="1"/>
  <c r="BP271" i="1"/>
  <c r="BN271" i="1"/>
  <c r="Z271" i="1"/>
  <c r="BP280" i="1"/>
  <c r="BN280" i="1"/>
  <c r="Z280" i="1"/>
  <c r="Y282" i="1"/>
  <c r="P499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Z318" i="1" s="1"/>
  <c r="Y318" i="1"/>
  <c r="BP322" i="1"/>
  <c r="BN322" i="1"/>
  <c r="Z322" i="1"/>
  <c r="Z324" i="1" s="1"/>
  <c r="BP330" i="1"/>
  <c r="BN330" i="1"/>
  <c r="Z330" i="1"/>
  <c r="Y332" i="1"/>
  <c r="Y337" i="1"/>
  <c r="BP334" i="1"/>
  <c r="BN334" i="1"/>
  <c r="Z334" i="1"/>
  <c r="Z337" i="1" s="1"/>
  <c r="BP350" i="1"/>
  <c r="BN350" i="1"/>
  <c r="Z350" i="1"/>
  <c r="Z356" i="1" s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Z482" i="1"/>
  <c r="Y499" i="1"/>
  <c r="Y357" i="1"/>
  <c r="T499" i="1"/>
  <c r="Y376" i="1"/>
  <c r="X499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Z464" i="1" s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455" i="1" l="1"/>
  <c r="Z418" i="1"/>
  <c r="Z223" i="1"/>
  <c r="Y493" i="1"/>
  <c r="Z88" i="1"/>
  <c r="Z63" i="1"/>
  <c r="Y490" i="1"/>
  <c r="Z331" i="1"/>
  <c r="Z302" i="1"/>
  <c r="Z281" i="1"/>
  <c r="Z185" i="1"/>
  <c r="Z75" i="1"/>
  <c r="Z57" i="1"/>
  <c r="Z43" i="1"/>
  <c r="Z494" i="1" s="1"/>
  <c r="Y489" i="1"/>
  <c r="Y491" i="1"/>
  <c r="Y492" i="1" l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<sst xmlns="http://schemas.openxmlformats.org/spreadsheetml/2006/main" count="2342" uniqueCount="770">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</sst>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8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50</v>
      </c>
      <c r="Y40" s="548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28</v>
      </c>
      <c r="Y42" s="548">
        <f>IFERROR(IF(X42="",0,CEILING((X42/$H42),1)*$H42),"")</f>
        <v>28</v>
      </c>
      <c r="Z42" s="36">
        <f>IFERROR(IF(Y42=0,"",ROUNDUP(Y42/H42,0)*0.00902),"")</f>
        <v>6.3140000000000002E-2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29.330000000000002</v>
      </c>
      <c r="BN42" s="64">
        <f>IFERROR(Y42*I42/H42,"0")</f>
        <v>29.330000000000002</v>
      </c>
      <c r="BO42" s="64">
        <f>IFERROR(1/J42*(X42/H42),"0")</f>
        <v>5.3030303030303032E-2</v>
      </c>
      <c r="BP42" s="64">
        <f>IFERROR(1/J42*(Y42/H42),"0")</f>
        <v>5.3030303030303032E-2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11.62962962962963</v>
      </c>
      <c r="Y43" s="549">
        <f>IFERROR(Y40/H40,"0")+IFERROR(Y41/H41,"0")+IFERROR(Y42/H42,"0")</f>
        <v>12</v>
      </c>
      <c r="Z43" s="549">
        <f>IFERROR(IF(Z40="",0,Z40),"0")+IFERROR(IF(Z41="",0,Z41),"0")+IFERROR(IF(Z42="",0,Z42),"0")</f>
        <v>0.15804000000000001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78</v>
      </c>
      <c r="Y44" s="549">
        <f>IFERROR(SUM(Y40:Y42),"0")</f>
        <v>82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20</v>
      </c>
      <c r="Y51" s="548">
        <f t="shared" ref="Y51:Y56" si="0">IFERROR(IF(X51="",0,CEILING((X51/$H51),1)*$H51),"")</f>
        <v>22.4</v>
      </c>
      <c r="Z51" s="36">
        <f>IFERROR(IF(Y51=0,"",ROUNDUP(Y51/H51,0)*0.01898),"")</f>
        <v>3.7960000000000001E-2</v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20.732142857142858</v>
      </c>
      <c r="BN51" s="64">
        <f t="shared" ref="BN51:BN56" si="2">IFERROR(Y51*I51/H51,"0")</f>
        <v>23.22</v>
      </c>
      <c r="BO51" s="64">
        <f t="shared" ref="BO51:BO56" si="3">IFERROR(1/J51*(X51/H51),"0")</f>
        <v>2.7901785714285716E-2</v>
      </c>
      <c r="BP51" s="64">
        <f t="shared" ref="BP51:BP56" si="4">IFERROR(1/J51*(Y51/H51),"0")</f>
        <v>3.125E-2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420</v>
      </c>
      <c r="Y52" s="548">
        <f t="shared" si="0"/>
        <v>421.20000000000005</v>
      </c>
      <c r="Z52" s="36">
        <f>IFERROR(IF(Y52=0,"",ROUNDUP(Y52/H52,0)*0.01898),"")</f>
        <v>0.74021999999999999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435.94444444444446</v>
      </c>
      <c r="BN52" s="64">
        <f t="shared" si="2"/>
        <v>437.19000000000005</v>
      </c>
      <c r="BO52" s="64">
        <f t="shared" si="3"/>
        <v>0.60763888888888884</v>
      </c>
      <c r="BP52" s="64">
        <f t="shared" si="4"/>
        <v>0.609375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243</v>
      </c>
      <c r="Y56" s="548">
        <f t="shared" si="0"/>
        <v>243</v>
      </c>
      <c r="Z56" s="36">
        <f>IFERROR(IF(Y56=0,"",ROUNDUP(Y56/H56,0)*0.00902),"")</f>
        <v>0.48708000000000001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253.26000000000002</v>
      </c>
      <c r="BN56" s="64">
        <f t="shared" si="2"/>
        <v>253.26000000000002</v>
      </c>
      <c r="BO56" s="64">
        <f t="shared" si="3"/>
        <v>0.40909090909090912</v>
      </c>
      <c r="BP56" s="64">
        <f t="shared" si="4"/>
        <v>0.40909090909090912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94.674603174603163</v>
      </c>
      <c r="Y57" s="549">
        <f>IFERROR(Y51/H51,"0")+IFERROR(Y52/H52,"0")+IFERROR(Y53/H53,"0")+IFERROR(Y54/H54,"0")+IFERROR(Y55/H55,"0")+IFERROR(Y56/H56,"0")</f>
        <v>95</v>
      </c>
      <c r="Z57" s="549">
        <f>IFERROR(IF(Z51="",0,Z51),"0")+IFERROR(IF(Z52="",0,Z52),"0")+IFERROR(IF(Z53="",0,Z53),"0")+IFERROR(IF(Z54="",0,Z54),"0")+IFERROR(IF(Z55="",0,Z55),"0")+IFERROR(IF(Z56="",0,Z56),"0")</f>
        <v>1.2652600000000001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683</v>
      </c>
      <c r="Y58" s="549">
        <f>IFERROR(SUM(Y51:Y56),"0")</f>
        <v>686.6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380</v>
      </c>
      <c r="Y60" s="548">
        <f>IFERROR(IF(X60="",0,CEILING((X60/$H60),1)*$H60),"")</f>
        <v>388.8</v>
      </c>
      <c r="Z60" s="36">
        <f>IFERROR(IF(Y60=0,"",ROUNDUP(Y60/H60,0)*0.01898),"")</f>
        <v>0.68328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394.42592592592592</v>
      </c>
      <c r="BN60" s="64">
        <f>IFERROR(Y60*I60/H60,"0")</f>
        <v>403.56</v>
      </c>
      <c r="BO60" s="64">
        <f>IFERROR(1/J60*(X60/H60),"0")</f>
        <v>0.54976851851851849</v>
      </c>
      <c r="BP60" s="64">
        <f>IFERROR(1/J60*(Y60/H60),"0")</f>
        <v>0.5625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42.3</v>
      </c>
      <c r="Y62" s="548">
        <f>IFERROR(IF(X62="",0,CEILING((X62/$H62),1)*$H62),"")</f>
        <v>43.2</v>
      </c>
      <c r="Z62" s="36">
        <f>IFERROR(IF(Y62=0,"",ROUNDUP(Y62/H62,0)*0.00651),"")</f>
        <v>0.10416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45.11999999999999</v>
      </c>
      <c r="BN62" s="64">
        <f>IFERROR(Y62*I62/H62,"0")</f>
        <v>46.08</v>
      </c>
      <c r="BO62" s="64">
        <f>IFERROR(1/J62*(X62/H62),"0")</f>
        <v>8.608058608058608E-2</v>
      </c>
      <c r="BP62" s="64">
        <f>IFERROR(1/J62*(Y62/H62),"0")</f>
        <v>8.7912087912087919E-2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50.851851851851848</v>
      </c>
      <c r="Y63" s="549">
        <f>IFERROR(Y60/H60,"0")+IFERROR(Y61/H61,"0")+IFERROR(Y62/H62,"0")</f>
        <v>52</v>
      </c>
      <c r="Z63" s="549">
        <f>IFERROR(IF(Z60="",0,Z60),"0")+IFERROR(IF(Z61="",0,Z61),"0")+IFERROR(IF(Z62="",0,Z62),"0")</f>
        <v>0.78744000000000003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422.3</v>
      </c>
      <c r="Y64" s="549">
        <f>IFERROR(SUM(Y60:Y62),"0")</f>
        <v>432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210</v>
      </c>
      <c r="Y84" s="548">
        <f>IFERROR(IF(X84="",0,CEILING((X84/$H84),1)*$H84),"")</f>
        <v>216</v>
      </c>
      <c r="Z84" s="36">
        <f>IFERROR(IF(Y84=0,"",ROUNDUP(Y84/H84,0)*0.01898),"")</f>
        <v>0.37959999999999999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217.97222222222223</v>
      </c>
      <c r="BN84" s="64">
        <f>IFERROR(Y84*I84/H84,"0")</f>
        <v>224.2</v>
      </c>
      <c r="BO84" s="64">
        <f>IFERROR(1/J84*(X84/H84),"0")</f>
        <v>0.30381944444444442</v>
      </c>
      <c r="BP84" s="64">
        <f>IFERROR(1/J84*(Y84/H84),"0")</f>
        <v>0.3125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94.5</v>
      </c>
      <c r="Y87" s="548">
        <f>IFERROR(IF(X87="",0,CEILING((X87/$H87),1)*$H87),"")</f>
        <v>94.5</v>
      </c>
      <c r="Z87" s="36">
        <f>IFERROR(IF(Y87=0,"",ROUNDUP(Y87/H87,0)*0.00902),"")</f>
        <v>0.18942000000000001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98.490000000000009</v>
      </c>
      <c r="BN87" s="64">
        <f>IFERROR(Y87*I87/H87,"0")</f>
        <v>98.490000000000009</v>
      </c>
      <c r="BO87" s="64">
        <f>IFERROR(1/J87*(X87/H87),"0")</f>
        <v>0.15909090909090909</v>
      </c>
      <c r="BP87" s="64">
        <f>IFERROR(1/J87*(Y87/H87),"0")</f>
        <v>0.15909090909090909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40.444444444444443</v>
      </c>
      <c r="Y88" s="549">
        <f>IFERROR(Y84/H84,"0")+IFERROR(Y85/H85,"0")+IFERROR(Y86/H86,"0")+IFERROR(Y87/H87,"0")</f>
        <v>41</v>
      </c>
      <c r="Z88" s="549">
        <f>IFERROR(IF(Z84="",0,Z84),"0")+IFERROR(IF(Z85="",0,Z85),"0")+IFERROR(IF(Z86="",0,Z86),"0")+IFERROR(IF(Z87="",0,Z87),"0")</f>
        <v>0.56901999999999997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304.5</v>
      </c>
      <c r="Y89" s="549">
        <f>IFERROR(SUM(Y84:Y87),"0")</f>
        <v>310.5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93</v>
      </c>
      <c r="Y91" s="548">
        <f>IFERROR(IF(X91="",0,CEILING((X91/$H91),1)*$H91),"")</f>
        <v>97.199999999999989</v>
      </c>
      <c r="Z91" s="36">
        <f>IFERROR(IF(Y91=0,"",ROUNDUP(Y91/H91,0)*0.01898),"")</f>
        <v>0.22776000000000002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98.671851851851855</v>
      </c>
      <c r="BN91" s="64">
        <f>IFERROR(Y91*I91/H91,"0")</f>
        <v>103.12799999999999</v>
      </c>
      <c r="BO91" s="64">
        <f>IFERROR(1/J91*(X91/H91),"0")</f>
        <v>0.17939814814814817</v>
      </c>
      <c r="BP91" s="64">
        <f>IFERROR(1/J91*(Y91/H91),"0")</f>
        <v>0.1875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15.75</v>
      </c>
      <c r="Y93" s="548">
        <f>IFERROR(IF(X93="",0,CEILING((X93/$H93),1)*$H93),"")</f>
        <v>16.200000000000003</v>
      </c>
      <c r="Z93" s="36">
        <f>IFERROR(IF(Y93=0,"",ROUNDUP(Y93/H93,0)*0.00651),"")</f>
        <v>3.9059999999999997E-2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17.22</v>
      </c>
      <c r="BN93" s="64">
        <f>IFERROR(Y93*I93/H93,"0")</f>
        <v>17.712000000000003</v>
      </c>
      <c r="BO93" s="64">
        <f>IFERROR(1/J93*(X93/H93),"0")</f>
        <v>3.2051282051282055E-2</v>
      </c>
      <c r="BP93" s="64">
        <f>IFERROR(1/J93*(Y93/H93),"0")</f>
        <v>3.2967032967032975E-2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17.314814814814817</v>
      </c>
      <c r="Y95" s="549">
        <f>IFERROR(Y91/H91,"0")+IFERROR(Y92/H92,"0")+IFERROR(Y93/H93,"0")+IFERROR(Y94/H94,"0")</f>
        <v>18</v>
      </c>
      <c r="Z95" s="549">
        <f>IFERROR(IF(Z91="",0,Z91),"0")+IFERROR(IF(Z92="",0,Z92),"0")+IFERROR(IF(Z93="",0,Z93),"0")+IFERROR(IF(Z94="",0,Z94),"0")</f>
        <v>0.26682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108.75</v>
      </c>
      <c r="Y96" s="549">
        <f>IFERROR(SUM(Y91:Y94),"0")</f>
        <v>113.39999999999999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10</v>
      </c>
      <c r="Y99" s="548">
        <f>IFERROR(IF(X99="",0,CEILING((X99/$H99),1)*$H99),"")</f>
        <v>10.8</v>
      </c>
      <c r="Z99" s="36">
        <f>IFERROR(IF(Y99=0,"",ROUNDUP(Y99/H99,0)*0.01898),"")</f>
        <v>1.898E-2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10.37962962962963</v>
      </c>
      <c r="BN99" s="64">
        <f>IFERROR(Y99*I99/H99,"0")</f>
        <v>11.21</v>
      </c>
      <c r="BO99" s="64">
        <f>IFERROR(1/J99*(X99/H99),"0")</f>
        <v>1.4467592592592591E-2</v>
      </c>
      <c r="BP99" s="64">
        <f>IFERROR(1/J99*(Y99/H99),"0")</f>
        <v>1.5625E-2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3.75</v>
      </c>
      <c r="Y101" s="548">
        <f>IFERROR(IF(X101="",0,CEILING((X101/$H101),1)*$H101),"")</f>
        <v>3.75</v>
      </c>
      <c r="Z101" s="36">
        <f>IFERROR(IF(Y101=0,"",ROUNDUP(Y101/H101,0)*0.00902),"")</f>
        <v>9.0200000000000002E-3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3.94</v>
      </c>
      <c r="BN101" s="64">
        <f>IFERROR(Y101*I101/H101,"0")</f>
        <v>3.94</v>
      </c>
      <c r="BO101" s="64">
        <f>IFERROR(1/J101*(X101/H101),"0")</f>
        <v>7.575757575757576E-3</v>
      </c>
      <c r="BP101" s="64">
        <f>IFERROR(1/J101*(Y101/H101),"0")</f>
        <v>7.575757575757576E-3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1.9259259259259258</v>
      </c>
      <c r="Y104" s="549">
        <f>IFERROR(Y99/H99,"0")+IFERROR(Y100/H100,"0")+IFERROR(Y101/H101,"0")+IFERROR(Y102/H102,"0")+IFERROR(Y103/H103,"0")</f>
        <v>2</v>
      </c>
      <c r="Z104" s="549">
        <f>IFERROR(IF(Z99="",0,Z99),"0")+IFERROR(IF(Z100="",0,Z100),"0")+IFERROR(IF(Z101="",0,Z101),"0")+IFERROR(IF(Z102="",0,Z102),"0")+IFERROR(IF(Z103="",0,Z103),"0")</f>
        <v>2.8000000000000001E-2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13.75</v>
      </c>
      <c r="Y105" s="549">
        <f>IFERROR(SUM(Y99:Y103),"0")</f>
        <v>14.55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38</v>
      </c>
      <c r="Y114" s="548">
        <f>IFERROR(IF(X114="",0,CEILING((X114/$H114),1)*$H114),"")</f>
        <v>40.5</v>
      </c>
      <c r="Z114" s="36">
        <f>IFERROR(IF(Y114=0,"",ROUNDUP(Y114/H114,0)*0.01898),"")</f>
        <v>9.4899999999999998E-2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40.289382716049381</v>
      </c>
      <c r="BN114" s="64">
        <f>IFERROR(Y114*I114/H114,"0")</f>
        <v>42.94</v>
      </c>
      <c r="BO114" s="64">
        <f>IFERROR(1/J114*(X114/H114),"0")</f>
        <v>7.3302469135802475E-2</v>
      </c>
      <c r="BP114" s="64">
        <f>IFERROR(1/J114*(Y114/H114),"0")</f>
        <v>7.8125E-2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18</v>
      </c>
      <c r="Y116" s="548">
        <f>IFERROR(IF(X116="",0,CEILING((X116/$H116),1)*$H116),"")</f>
        <v>18.900000000000002</v>
      </c>
      <c r="Z116" s="36">
        <f>IFERROR(IF(Y116=0,"",ROUNDUP(Y116/H116,0)*0.00651),"")</f>
        <v>4.5569999999999999E-2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19.679999999999996</v>
      </c>
      <c r="BN116" s="64">
        <f>IFERROR(Y116*I116/H116,"0")</f>
        <v>20.664000000000001</v>
      </c>
      <c r="BO116" s="64">
        <f>IFERROR(1/J116*(X116/H116),"0")</f>
        <v>3.6630036630036632E-2</v>
      </c>
      <c r="BP116" s="64">
        <f>IFERROR(1/J116*(Y116/H116),"0")</f>
        <v>3.8461538461538464E-2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11.358024691358025</v>
      </c>
      <c r="Y118" s="549">
        <f>IFERROR(Y114/H114,"0")+IFERROR(Y115/H115,"0")+IFERROR(Y116/H116,"0")+IFERROR(Y117/H117,"0")</f>
        <v>12</v>
      </c>
      <c r="Z118" s="549">
        <f>IFERROR(IF(Z114="",0,Z114),"0")+IFERROR(IF(Z115="",0,Z115),"0")+IFERROR(IF(Z116="",0,Z116),"0")+IFERROR(IF(Z117="",0,Z117),"0")</f>
        <v>0.14046999999999998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56</v>
      </c>
      <c r="Y119" s="549">
        <f>IFERROR(SUM(Y114:Y117),"0")</f>
        <v>59.400000000000006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18.399999999999999</v>
      </c>
      <c r="Y127" s="548">
        <f>IFERROR(IF(X127="",0,CEILING((X127/$H127),1)*$H127),"")</f>
        <v>19.200000000000003</v>
      </c>
      <c r="Z127" s="36">
        <f>IFERROR(IF(Y127=0,"",ROUNDUP(Y127/H127,0)*0.00651),"")</f>
        <v>3.9059999999999997E-2</v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19.434999999999995</v>
      </c>
      <c r="BN127" s="64">
        <f>IFERROR(Y127*I127/H127,"0")</f>
        <v>20.279999999999998</v>
      </c>
      <c r="BO127" s="64">
        <f>IFERROR(1/J127*(X127/H127),"0")</f>
        <v>3.1593406593406592E-2</v>
      </c>
      <c r="BP127" s="64">
        <f>IFERROR(1/J127*(Y127/H127),"0")</f>
        <v>3.2967032967032975E-2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5.7499999999999991</v>
      </c>
      <c r="Y128" s="549">
        <f>IFERROR(Y126/H126,"0")+IFERROR(Y127/H127,"0")</f>
        <v>6.0000000000000009</v>
      </c>
      <c r="Z128" s="549">
        <f>IFERROR(IF(Z126="",0,Z126),"0")+IFERROR(IF(Z127="",0,Z127),"0")</f>
        <v>3.9059999999999997E-2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18.399999999999999</v>
      </c>
      <c r="Y129" s="549">
        <f>IFERROR(SUM(Y126:Y127),"0")</f>
        <v>19.200000000000003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10.5</v>
      </c>
      <c r="Y131" s="548">
        <f>IFERROR(IF(X131="",0,CEILING((X131/$H131),1)*$H131),"")</f>
        <v>11.2</v>
      </c>
      <c r="Z131" s="36">
        <f>IFERROR(IF(Y131=0,"",ROUNDUP(Y131/H131,0)*0.00651),"")</f>
        <v>2.6040000000000001E-2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11.505000000000001</v>
      </c>
      <c r="BN131" s="64">
        <f>IFERROR(Y131*I131/H131,"0")</f>
        <v>12.271999999999998</v>
      </c>
      <c r="BO131" s="64">
        <f>IFERROR(1/J131*(X131/H131),"0")</f>
        <v>2.0604395604395608E-2</v>
      </c>
      <c r="BP131" s="64">
        <f>IFERROR(1/J131*(Y131/H131),"0")</f>
        <v>2.197802197802198E-2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3.7500000000000004</v>
      </c>
      <c r="Y133" s="549">
        <f>IFERROR(Y131/H131,"0")+IFERROR(Y132/H132,"0")</f>
        <v>4</v>
      </c>
      <c r="Z133" s="549">
        <f>IFERROR(IF(Z131="",0,Z131),"0")+IFERROR(IF(Z132="",0,Z132),"0")</f>
        <v>2.6040000000000001E-2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10.5</v>
      </c>
      <c r="Y134" s="549">
        <f>IFERROR(SUM(Y131:Y132),"0")</f>
        <v>11.2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75</v>
      </c>
      <c r="Y147" s="548">
        <f>IFERROR(IF(X147="",0,CEILING((X147/$H147),1)*$H147),"")</f>
        <v>75.600000000000009</v>
      </c>
      <c r="Z147" s="36">
        <f>IFERROR(IF(Y147=0,"",ROUNDUP(Y147/H147,0)*0.00902),"")</f>
        <v>0.16236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78.392857142857139</v>
      </c>
      <c r="BN147" s="64">
        <f>IFERROR(Y147*I147/H147,"0")</f>
        <v>79.02</v>
      </c>
      <c r="BO147" s="64">
        <f>IFERROR(1/J147*(X147/H147),"0")</f>
        <v>0.13528138528138528</v>
      </c>
      <c r="BP147" s="64">
        <f>IFERROR(1/J147*(Y147/H147),"0")</f>
        <v>0.13636363636363635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20</v>
      </c>
      <c r="Y150" s="548">
        <f>IFERROR(IF(X150="",0,CEILING((X150/$H150),1)*$H150),"")</f>
        <v>27</v>
      </c>
      <c r="Z150" s="36">
        <f>IFERROR(IF(Y150=0,"",ROUNDUP(Y150/H150,0)*0.01898),"")</f>
        <v>5.6940000000000004E-2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21.244444444444447</v>
      </c>
      <c r="BN150" s="64">
        <f>IFERROR(Y150*I150/H150,"0")</f>
        <v>28.68</v>
      </c>
      <c r="BO150" s="64">
        <f>IFERROR(1/J150*(X150/H150),"0")</f>
        <v>3.4722222222222224E-2</v>
      </c>
      <c r="BP150" s="64">
        <f>IFERROR(1/J150*(Y150/H150),"0")</f>
        <v>4.6875E-2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20.079365079365079</v>
      </c>
      <c r="Y152" s="549">
        <f>IFERROR(Y147/H147,"0")+IFERROR(Y148/H148,"0")+IFERROR(Y149/H149,"0")+IFERROR(Y150/H150,"0")+IFERROR(Y151/H151,"0")</f>
        <v>21</v>
      </c>
      <c r="Z152" s="549">
        <f>IFERROR(IF(Z147="",0,Z147),"0")+IFERROR(IF(Z148="",0,Z148),"0")+IFERROR(IF(Z149="",0,Z149),"0")+IFERROR(IF(Z150="",0,Z150),"0")+IFERROR(IF(Z151="",0,Z151),"0")</f>
        <v>0.21929999999999999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95</v>
      </c>
      <c r="Y153" s="549">
        <f>IFERROR(SUM(Y147:Y151),"0")</f>
        <v>102.60000000000001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20</v>
      </c>
      <c r="Y165" s="548">
        <f t="shared" ref="Y165:Y178" si="5">IFERROR(IF(X165="",0,CEILING((X165/$H165),1)*$H165),"")</f>
        <v>21</v>
      </c>
      <c r="Z165" s="36">
        <f>IFERROR(IF(Y165=0,"",ROUNDUP(Y165/H165,0)*0.00902),"")</f>
        <v>4.5100000000000001E-2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21.19047619047619</v>
      </c>
      <c r="BN165" s="64">
        <f t="shared" ref="BN165:BN178" si="7">IFERROR(Y165*I165/H165,"0")</f>
        <v>22.25</v>
      </c>
      <c r="BO165" s="64">
        <f t="shared" ref="BO165:BO178" si="8">IFERROR(1/J165*(X165/H165),"0")</f>
        <v>3.6075036075036072E-2</v>
      </c>
      <c r="BP165" s="64">
        <f t="shared" ref="BP165:BP178" si="9">IFERROR(1/J165*(Y165/H165),"0")</f>
        <v>3.787878787878788E-2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7</v>
      </c>
      <c r="Y169" s="548">
        <f t="shared" si="5"/>
        <v>8.4</v>
      </c>
      <c r="Z169" s="36">
        <f>IFERROR(IF(Y169=0,"",ROUNDUP(Y169/H169,0)*0.00502),"")</f>
        <v>2.0080000000000001E-2</v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7.4333333333333327</v>
      </c>
      <c r="BN169" s="64">
        <f t="shared" si="7"/>
        <v>8.92</v>
      </c>
      <c r="BO169" s="64">
        <f t="shared" si="8"/>
        <v>1.4245014245014245E-2</v>
      </c>
      <c r="BP169" s="64">
        <f t="shared" si="9"/>
        <v>1.7094017094017096E-2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8.0952380952380949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9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6.5180000000000002E-2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27</v>
      </c>
      <c r="Y180" s="549">
        <f>IFERROR(SUM(Y165:Y178),"0")</f>
        <v>29.4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60</v>
      </c>
      <c r="Y203" s="548">
        <f t="shared" ref="Y203:Y210" si="10">IFERROR(IF(X203="",0,CEILING((X203/$H203),1)*$H203),"")</f>
        <v>64.800000000000011</v>
      </c>
      <c r="Z203" s="36">
        <f>IFERROR(IF(Y203=0,"",ROUNDUP(Y203/H203,0)*0.00902),"")</f>
        <v>0.10824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62.1111111111111</v>
      </c>
      <c r="BN203" s="64">
        <f t="shared" ref="BN203:BN210" si="12">IFERROR(Y203*I203/H203,"0")</f>
        <v>67.08</v>
      </c>
      <c r="BO203" s="64">
        <f t="shared" ref="BO203:BO210" si="13">IFERROR(1/J203*(X203/H203),"0")</f>
        <v>8.4175084175084181E-2</v>
      </c>
      <c r="BP203" s="64">
        <f t="shared" ref="BP203:BP210" si="14">IFERROR(1/J203*(Y203/H203),"0")</f>
        <v>9.0909090909090925E-2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40</v>
      </c>
      <c r="Y204" s="548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40</v>
      </c>
      <c r="Y205" s="548">
        <f t="shared" si="10"/>
        <v>43.2</v>
      </c>
      <c r="Z205" s="36">
        <f>IFERROR(IF(Y205=0,"",ROUNDUP(Y205/H205,0)*0.00902),"")</f>
        <v>7.2160000000000002E-2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41.407407407407405</v>
      </c>
      <c r="BN205" s="64">
        <f t="shared" si="12"/>
        <v>44.72</v>
      </c>
      <c r="BO205" s="64">
        <f t="shared" si="13"/>
        <v>5.6116722783389444E-2</v>
      </c>
      <c r="BP205" s="64">
        <f t="shared" si="14"/>
        <v>6.0606060606060608E-2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40</v>
      </c>
      <c r="Y206" s="548">
        <f t="shared" si="10"/>
        <v>43.2</v>
      </c>
      <c r="Z206" s="36">
        <f>IFERROR(IF(Y206=0,"",ROUNDUP(Y206/H206,0)*0.00902),"")</f>
        <v>7.2160000000000002E-2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41.407407407407405</v>
      </c>
      <c r="BN206" s="64">
        <f t="shared" si="12"/>
        <v>44.72</v>
      </c>
      <c r="BO206" s="64">
        <f t="shared" si="13"/>
        <v>5.6116722783389444E-2</v>
      </c>
      <c r="BP206" s="64">
        <f t="shared" si="14"/>
        <v>6.0606060606060608E-2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33.333333333333329</v>
      </c>
      <c r="Y211" s="549">
        <f>IFERROR(Y203/H203,"0")+IFERROR(Y204/H204,"0")+IFERROR(Y205/H205,"0")+IFERROR(Y206/H206,"0")+IFERROR(Y207/H207,"0")+IFERROR(Y208/H208,"0")+IFERROR(Y209/H209,"0")+IFERROR(Y210/H210,"0")</f>
        <v>36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0.32472000000000001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180</v>
      </c>
      <c r="Y212" s="549">
        <f>IFERROR(SUM(Y203:Y210),"0")</f>
        <v>194.40000000000003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12</v>
      </c>
      <c r="Y217" s="548">
        <f t="shared" si="15"/>
        <v>12</v>
      </c>
      <c r="Z217" s="36">
        <f t="shared" ref="Z217:Z222" si="20">IFERROR(IF(Y217=0,"",ROUNDUP(Y217/H217,0)*0.00651),"")</f>
        <v>3.2550000000000003E-2</v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13.35</v>
      </c>
      <c r="BN217" s="64">
        <f t="shared" si="17"/>
        <v>13.35</v>
      </c>
      <c r="BO217" s="64">
        <f t="shared" si="18"/>
        <v>2.7472527472527476E-2</v>
      </c>
      <c r="BP217" s="64">
        <f t="shared" si="19"/>
        <v>2.7472527472527476E-2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13.5</v>
      </c>
      <c r="Y219" s="548">
        <f t="shared" si="15"/>
        <v>14.399999999999999</v>
      </c>
      <c r="Z219" s="36">
        <f t="shared" si="20"/>
        <v>3.9059999999999997E-2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14.9175</v>
      </c>
      <c r="BN219" s="64">
        <f t="shared" si="17"/>
        <v>15.912000000000001</v>
      </c>
      <c r="BO219" s="64">
        <f t="shared" si="18"/>
        <v>3.0906593406593408E-2</v>
      </c>
      <c r="BP219" s="64">
        <f t="shared" si="19"/>
        <v>3.2967032967032968E-2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13.5</v>
      </c>
      <c r="Y220" s="548">
        <f t="shared" si="15"/>
        <v>14.399999999999999</v>
      </c>
      <c r="Z220" s="36">
        <f t="shared" si="20"/>
        <v>3.9059999999999997E-2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14.9175</v>
      </c>
      <c r="BN220" s="64">
        <f t="shared" si="17"/>
        <v>15.912000000000001</v>
      </c>
      <c r="BO220" s="64">
        <f t="shared" si="18"/>
        <v>3.0906593406593408E-2</v>
      </c>
      <c r="BP220" s="64">
        <f t="shared" si="19"/>
        <v>3.2967032967032968E-2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12</v>
      </c>
      <c r="Y222" s="548">
        <f t="shared" si="15"/>
        <v>12</v>
      </c>
      <c r="Z222" s="36">
        <f t="shared" si="20"/>
        <v>3.2550000000000003E-2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13.290000000000001</v>
      </c>
      <c r="BN222" s="64">
        <f t="shared" si="17"/>
        <v>13.290000000000001</v>
      </c>
      <c r="BO222" s="64">
        <f t="shared" si="18"/>
        <v>2.7472527472527476E-2</v>
      </c>
      <c r="BP222" s="64">
        <f t="shared" si="19"/>
        <v>2.7472527472527476E-2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21.25</v>
      </c>
      <c r="Y223" s="549">
        <f>IFERROR(Y214/H214,"0")+IFERROR(Y215/H215,"0")+IFERROR(Y216/H216,"0")+IFERROR(Y217/H217,"0")+IFERROR(Y218/H218,"0")+IFERROR(Y219/H219,"0")+IFERROR(Y220/H220,"0")+IFERROR(Y221/H221,"0")+IFERROR(Y222/H222,"0")</f>
        <v>22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0.14322000000000001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51</v>
      </c>
      <c r="Y224" s="549">
        <f>IFERROR(SUM(Y214:Y222),"0")</f>
        <v>52.8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20</v>
      </c>
      <c r="Y261" s="548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30</v>
      </c>
      <c r="Y262" s="548">
        <f>IFERROR(IF(X262="",0,CEILING((X262/$H262),1)*$H262),"")</f>
        <v>32.400000000000006</v>
      </c>
      <c r="Z262" s="36">
        <f>IFERROR(IF(Y262=0,"",ROUNDUP(Y262/H262,0)*0.01898),"")</f>
        <v>5.6940000000000004E-2</v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31.138888888888889</v>
      </c>
      <c r="BN262" s="64">
        <f>IFERROR(Y262*I262/H262,"0")</f>
        <v>33.630000000000003</v>
      </c>
      <c r="BO262" s="64">
        <f>IFERROR(1/J262*(X262/H262),"0")</f>
        <v>4.3402777777777776E-2</v>
      </c>
      <c r="BP262" s="64">
        <f>IFERROR(1/J262*(Y262/H262),"0")</f>
        <v>4.6875000000000007E-2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100</v>
      </c>
      <c r="Y263" s="548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103.79629629629629</v>
      </c>
      <c r="BN263" s="64">
        <f>IFERROR(Y263*I263/H263,"0")</f>
        <v>112.1</v>
      </c>
      <c r="BO263" s="64">
        <f>IFERROR(1/J263*(X263/H263),"0")</f>
        <v>0.14467592592592593</v>
      </c>
      <c r="BP263" s="64">
        <f>IFERROR(1/J263*(Y263/H263),"0")</f>
        <v>0.15625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13.888888888888889</v>
      </c>
      <c r="Y266" s="549">
        <f>IFERROR(Y261/H261,"0")+IFERROR(Y262/H262,"0")+IFERROR(Y263/H263,"0")+IFERROR(Y264/H264,"0")+IFERROR(Y265/H265,"0")</f>
        <v>15</v>
      </c>
      <c r="Z266" s="549">
        <f>IFERROR(IF(Z261="",0,Z261),"0")+IFERROR(IF(Z262="",0,Z262),"0")+IFERROR(IF(Z263="",0,Z263),"0")+IFERROR(IF(Z264="",0,Z264),"0")+IFERROR(IF(Z265="",0,Z265),"0")</f>
        <v>0.28470000000000001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150</v>
      </c>
      <c r="Y267" s="549">
        <f>IFERROR(SUM(Y261:Y265),"0")</f>
        <v>162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205</v>
      </c>
      <c r="Y297" s="548">
        <f t="shared" si="26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212.78240740740742</v>
      </c>
      <c r="BN297" s="64">
        <f t="shared" si="28"/>
        <v>212.99</v>
      </c>
      <c r="BO297" s="64">
        <f t="shared" si="29"/>
        <v>0.29658564814814814</v>
      </c>
      <c r="BP297" s="64">
        <f t="shared" si="30"/>
        <v>0.296875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160</v>
      </c>
      <c r="Y298" s="548">
        <f t="shared" si="26"/>
        <v>162</v>
      </c>
      <c r="Z298" s="36">
        <f>IFERROR(IF(Y298=0,"",ROUNDUP(Y298/H298,0)*0.01898),"")</f>
        <v>0.28470000000000001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166.07407407407408</v>
      </c>
      <c r="BN298" s="64">
        <f t="shared" si="28"/>
        <v>168.15</v>
      </c>
      <c r="BO298" s="64">
        <f t="shared" si="29"/>
        <v>0.23148148148148145</v>
      </c>
      <c r="BP298" s="64">
        <f t="shared" si="30"/>
        <v>0.23437499999999997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800</v>
      </c>
      <c r="Y299" s="548">
        <f t="shared" si="26"/>
        <v>810</v>
      </c>
      <c r="Z299" s="36">
        <f>IFERROR(IF(Y299=0,"",ROUNDUP(Y299/H299,0)*0.01898),"")</f>
        <v>1.4235</v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830.37037037037032</v>
      </c>
      <c r="BN299" s="64">
        <f t="shared" si="28"/>
        <v>840.75</v>
      </c>
      <c r="BO299" s="64">
        <f t="shared" si="29"/>
        <v>1.1574074074074074</v>
      </c>
      <c r="BP299" s="64">
        <f t="shared" si="30"/>
        <v>1.171875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12</v>
      </c>
      <c r="Y300" s="548">
        <f t="shared" si="26"/>
        <v>12</v>
      </c>
      <c r="Z300" s="36">
        <f>IFERROR(IF(Y300=0,"",ROUNDUP(Y300/H300,0)*0.00902),"")</f>
        <v>2.7060000000000001E-2</v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12.57</v>
      </c>
      <c r="BN300" s="64">
        <f t="shared" si="28"/>
        <v>12.57</v>
      </c>
      <c r="BO300" s="64">
        <f t="shared" si="29"/>
        <v>2.2727272727272728E-2</v>
      </c>
      <c r="BP300" s="64">
        <f t="shared" si="30"/>
        <v>2.2727272727272728E-2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56</v>
      </c>
      <c r="Y301" s="548">
        <f t="shared" si="26"/>
        <v>56</v>
      </c>
      <c r="Z301" s="36">
        <f>IFERROR(IF(Y301=0,"",ROUNDUP(Y301/H301,0)*0.00902),"")</f>
        <v>0.12628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58.660000000000004</v>
      </c>
      <c r="BN301" s="64">
        <f t="shared" si="28"/>
        <v>58.660000000000004</v>
      </c>
      <c r="BO301" s="64">
        <f t="shared" si="29"/>
        <v>0.10606060606060606</v>
      </c>
      <c r="BP301" s="64">
        <f t="shared" si="30"/>
        <v>0.10606060606060606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124.87037037037037</v>
      </c>
      <c r="Y302" s="549">
        <f>IFERROR(Y296/H296,"0")+IFERROR(Y297/H297,"0")+IFERROR(Y298/H298,"0")+IFERROR(Y299/H299,"0")+IFERROR(Y300/H300,"0")+IFERROR(Y301/H301,"0")</f>
        <v>126</v>
      </c>
      <c r="Z302" s="549">
        <f>IFERROR(IF(Z296="",0,Z296),"0")+IFERROR(IF(Z297="",0,Z297),"0")+IFERROR(IF(Z298="",0,Z298),"0")+IFERROR(IF(Z299="",0,Z299),"0")+IFERROR(IF(Z300="",0,Z300),"0")+IFERROR(IF(Z301="",0,Z301),"0")</f>
        <v>2.2221600000000001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1233</v>
      </c>
      <c r="Y303" s="549">
        <f>IFERROR(SUM(Y296:Y301),"0")</f>
        <v>1245.2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155</v>
      </c>
      <c r="Y305" s="548">
        <f t="shared" ref="Y305:Y310" si="31">IFERROR(IF(X305="",0,CEILING((X305/$H305),1)*$H305),"")</f>
        <v>155.4</v>
      </c>
      <c r="Z305" s="36">
        <f>IFERROR(IF(Y305=0,"",ROUNDUP(Y305/H305,0)*0.00902),"")</f>
        <v>0.33374000000000004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164.22619047619048</v>
      </c>
      <c r="BN305" s="64">
        <f t="shared" ref="BN305:BN310" si="33">IFERROR(Y305*I305/H305,"0")</f>
        <v>164.65</v>
      </c>
      <c r="BO305" s="64">
        <f t="shared" ref="BO305:BO310" si="34">IFERROR(1/J305*(X305/H305),"0")</f>
        <v>0.2795815295815296</v>
      </c>
      <c r="BP305" s="64">
        <f t="shared" ref="BP305:BP310" si="35">IFERROR(1/J305*(Y305/H305),"0")</f>
        <v>0.28030303030303033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260</v>
      </c>
      <c r="Y306" s="548">
        <f t="shared" si="31"/>
        <v>260.40000000000003</v>
      </c>
      <c r="Z306" s="36">
        <f>IFERROR(IF(Y306=0,"",ROUNDUP(Y306/H306,0)*0.00902),"")</f>
        <v>0.55923999999999996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275.47619047619048</v>
      </c>
      <c r="BN306" s="64">
        <f t="shared" si="33"/>
        <v>275.90000000000003</v>
      </c>
      <c r="BO306" s="64">
        <f t="shared" si="34"/>
        <v>0.46897546897546899</v>
      </c>
      <c r="BP306" s="64">
        <f t="shared" si="35"/>
        <v>0.46969696969696978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51.099999999999987</v>
      </c>
      <c r="Y308" s="548">
        <f t="shared" si="31"/>
        <v>52.5</v>
      </c>
      <c r="Z308" s="36">
        <f>IFERROR(IF(Y308=0,"",ROUNDUP(Y308/H308,0)*0.00502),"")</f>
        <v>0.1255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54.263333333333321</v>
      </c>
      <c r="BN308" s="64">
        <f t="shared" si="33"/>
        <v>55.75</v>
      </c>
      <c r="BO308" s="64">
        <f t="shared" si="34"/>
        <v>0.10398860398860396</v>
      </c>
      <c r="BP308" s="64">
        <f t="shared" si="35"/>
        <v>0.10683760683760685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11.9</v>
      </c>
      <c r="Y309" s="548">
        <f t="shared" si="31"/>
        <v>12.600000000000001</v>
      </c>
      <c r="Z309" s="36">
        <f>IFERROR(IF(Y309=0,"",ROUNDUP(Y309/H309,0)*0.00502),"")</f>
        <v>3.0120000000000001E-2</v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12.466666666666669</v>
      </c>
      <c r="BN309" s="64">
        <f t="shared" si="33"/>
        <v>13.200000000000003</v>
      </c>
      <c r="BO309" s="64">
        <f t="shared" si="34"/>
        <v>2.4216524216524222E-2</v>
      </c>
      <c r="BP309" s="64">
        <f t="shared" si="35"/>
        <v>2.5641025641025644E-2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128.8095238095238</v>
      </c>
      <c r="Y311" s="549">
        <f>IFERROR(Y305/H305,"0")+IFERROR(Y306/H306,"0")+IFERROR(Y307/H307,"0")+IFERROR(Y308/H308,"0")+IFERROR(Y309/H309,"0")+IFERROR(Y310/H310,"0")</f>
        <v>130</v>
      </c>
      <c r="Z311" s="549">
        <f>IFERROR(IF(Z305="",0,Z305),"0")+IFERROR(IF(Z306="",0,Z306),"0")+IFERROR(IF(Z307="",0,Z307),"0")+IFERROR(IF(Z308="",0,Z308),"0")+IFERROR(IF(Z309="",0,Z309),"0")+IFERROR(IF(Z310="",0,Z310),"0")</f>
        <v>1.0486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477.99999999999994</v>
      </c>
      <c r="Y312" s="549">
        <f>IFERROR(SUM(Y305:Y310),"0")</f>
        <v>480.90000000000009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4430</v>
      </c>
      <c r="Y314" s="548">
        <f>IFERROR(IF(X314="",0,CEILING((X314/$H314),1)*$H314),"")</f>
        <v>4430.3999999999996</v>
      </c>
      <c r="Z314" s="36">
        <f>IFERROR(IF(Y314=0,"",ROUNDUP(Y314/H314,0)*0.01898),"")</f>
        <v>10.78064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4707.1589743589748</v>
      </c>
      <c r="BN314" s="64">
        <f>IFERROR(Y314*I314/H314,"0")</f>
        <v>4707.5839999999998</v>
      </c>
      <c r="BO314" s="64">
        <f>IFERROR(1/J314*(X314/H314),"0")</f>
        <v>8.874198717948719</v>
      </c>
      <c r="BP314" s="64">
        <f>IFERROR(1/J314*(Y314/H314),"0")</f>
        <v>8.875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14.4</v>
      </c>
      <c r="Y317" s="548">
        <f>IFERROR(IF(X317="",0,CEILING((X317/$H317),1)*$H317),"")</f>
        <v>15</v>
      </c>
      <c r="Z317" s="36">
        <f>IFERROR(IF(Y317=0,"",ROUNDUP(Y317/H317,0)*0.00651),"")</f>
        <v>3.2550000000000003E-2</v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15.580800000000002</v>
      </c>
      <c r="BN317" s="64">
        <f>IFERROR(Y317*I317/H317,"0")</f>
        <v>16.23</v>
      </c>
      <c r="BO317" s="64">
        <f>IFERROR(1/J317*(X317/H317),"0")</f>
        <v>2.6373626373626374E-2</v>
      </c>
      <c r="BP317" s="64">
        <f>IFERROR(1/J317*(Y317/H317),"0")</f>
        <v>2.7472527472527476E-2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572.74871794871797</v>
      </c>
      <c r="Y318" s="549">
        <f>IFERROR(Y314/H314,"0")+IFERROR(Y315/H315,"0")+IFERROR(Y316/H316,"0")+IFERROR(Y317/H317,"0")</f>
        <v>573</v>
      </c>
      <c r="Z318" s="549">
        <f>IFERROR(IF(Z314="",0,Z314),"0")+IFERROR(IF(Z315="",0,Z315),"0")+IFERROR(IF(Z316="",0,Z316),"0")+IFERROR(IF(Z317="",0,Z317),"0")</f>
        <v>10.813190000000001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4444.3999999999996</v>
      </c>
      <c r="Y319" s="549">
        <f>IFERROR(SUM(Y314:Y317),"0")</f>
        <v>4445.3999999999996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245</v>
      </c>
      <c r="Y322" s="548">
        <f>IFERROR(IF(X322="",0,CEILING((X322/$H322),1)*$H322),"")</f>
        <v>249.6</v>
      </c>
      <c r="Z322" s="36">
        <f>IFERROR(IF(Y322=0,"",ROUNDUP(Y322/H322,0)*0.01898),"")</f>
        <v>0.60736000000000001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260.51666666666671</v>
      </c>
      <c r="BN322" s="64">
        <f>IFERROR(Y322*I322/H322,"0")</f>
        <v>265.40800000000002</v>
      </c>
      <c r="BO322" s="64">
        <f>IFERROR(1/J322*(X322/H322),"0")</f>
        <v>0.49078525641025644</v>
      </c>
      <c r="BP322" s="64">
        <f>IFERROR(1/J322*(Y322/H322),"0")</f>
        <v>0.5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80</v>
      </c>
      <c r="Y323" s="548">
        <f>IFERROR(IF(X323="",0,CEILING((X323/$H323),1)*$H323),"")</f>
        <v>84</v>
      </c>
      <c r="Z323" s="36">
        <f>IFERROR(IF(Y323=0,"",ROUNDUP(Y323/H323,0)*0.01898),"")</f>
        <v>0.1898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84.704761904761895</v>
      </c>
      <c r="BN323" s="64">
        <f>IFERROR(Y323*I323/H323,"0")</f>
        <v>88.94</v>
      </c>
      <c r="BO323" s="64">
        <f>IFERROR(1/J323*(X323/H323),"0")</f>
        <v>0.14880952380952381</v>
      </c>
      <c r="BP323" s="64">
        <f>IFERROR(1/J323*(Y323/H323),"0")</f>
        <v>0.15625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40.934065934065934</v>
      </c>
      <c r="Y324" s="549">
        <f>IFERROR(Y321/H321,"0")+IFERROR(Y322/H322,"0")+IFERROR(Y323/H323,"0")</f>
        <v>42</v>
      </c>
      <c r="Z324" s="549">
        <f>IFERROR(IF(Z321="",0,Z321),"0")+IFERROR(IF(Z322="",0,Z322),"0")+IFERROR(IF(Z323="",0,Z323),"0")</f>
        <v>0.79715999999999998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325</v>
      </c>
      <c r="Y325" s="549">
        <f>IFERROR(SUM(Y321:Y323),"0")</f>
        <v>333.6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2.5499999999999998</v>
      </c>
      <c r="Y330" s="548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2.88</v>
      </c>
      <c r="BN330" s="64">
        <f>IFERROR(Y330*I330/H330,"0")</f>
        <v>2.88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1</v>
      </c>
      <c r="Y331" s="549">
        <f>IFERROR(Y327/H327,"0")+IFERROR(Y328/H328,"0")+IFERROR(Y329/H329,"0")+IFERROR(Y330/H330,"0")</f>
        <v>1</v>
      </c>
      <c r="Z331" s="549">
        <f>IFERROR(IF(Z327="",0,Z327),"0")+IFERROR(IF(Z328="",0,Z328),"0")+IFERROR(IF(Z329="",0,Z329),"0")+IFERROR(IF(Z330="",0,Z330),"0")</f>
        <v>6.5100000000000002E-3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2.5499999999999998</v>
      </c>
      <c r="Y332" s="549">
        <f>IFERROR(SUM(Y327:Y330),"0")</f>
        <v>2.5499999999999998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44</v>
      </c>
      <c r="Y341" s="548">
        <f>IFERROR(IF(X341="",0,CEILING((X341/$H341),1)*$H341),"")</f>
        <v>48.599999999999994</v>
      </c>
      <c r="Z341" s="36">
        <f>IFERROR(IF(Y341=0,"",ROUNDUP(Y341/H341,0)*0.01898),"")</f>
        <v>0.11388000000000001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46.683456790123458</v>
      </c>
      <c r="BN341" s="64">
        <f>IFERROR(Y341*I341/H341,"0")</f>
        <v>51.563999999999993</v>
      </c>
      <c r="BO341" s="64">
        <f>IFERROR(1/J341*(X341/H341),"0")</f>
        <v>8.4876543209876545E-2</v>
      </c>
      <c r="BP341" s="64">
        <f>IFERROR(1/J341*(Y341/H341),"0")</f>
        <v>9.375E-2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58.8</v>
      </c>
      <c r="Y342" s="548">
        <f>IFERROR(IF(X342="",0,CEILING((X342/$H342),1)*$H342),"")</f>
        <v>58.800000000000004</v>
      </c>
      <c r="Z342" s="36">
        <f>IFERROR(IF(Y342=0,"",ROUNDUP(Y342/H342,0)*0.00651),"")</f>
        <v>0.18228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65.855999999999995</v>
      </c>
      <c r="BN342" s="64">
        <f>IFERROR(Y342*I342/H342,"0")</f>
        <v>65.855999999999995</v>
      </c>
      <c r="BO342" s="64">
        <f>IFERROR(1/J342*(X342/H342),"0")</f>
        <v>0.15384615384615383</v>
      </c>
      <c r="BP342" s="64">
        <f>IFERROR(1/J342*(Y342/H342),"0")</f>
        <v>0.15384615384615385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51.8</v>
      </c>
      <c r="Y343" s="548">
        <f>IFERROR(IF(X343="",0,CEILING((X343/$H343),1)*$H343),"")</f>
        <v>52.5</v>
      </c>
      <c r="Z343" s="36">
        <f>IFERROR(IF(Y343=0,"",ROUNDUP(Y343/H343,0)*0.00651),"")</f>
        <v>0.16275000000000001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57.719999999999992</v>
      </c>
      <c r="BN343" s="64">
        <f>IFERROR(Y343*I343/H343,"0")</f>
        <v>58.499999999999993</v>
      </c>
      <c r="BO343" s="64">
        <f>IFERROR(1/J343*(X343/H343),"0")</f>
        <v>0.13553113553113552</v>
      </c>
      <c r="BP343" s="64">
        <f>IFERROR(1/J343*(Y343/H343),"0")</f>
        <v>0.13736263736263737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58.098765432098759</v>
      </c>
      <c r="Y344" s="549">
        <f>IFERROR(Y341/H341,"0")+IFERROR(Y342/H342,"0")+IFERROR(Y343/H343,"0")</f>
        <v>59</v>
      </c>
      <c r="Z344" s="549">
        <f>IFERROR(IF(Z341="",0,Z341),"0")+IFERROR(IF(Z342="",0,Z342),"0")+IFERROR(IF(Z343="",0,Z343),"0")</f>
        <v>0.45890999999999998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154.6</v>
      </c>
      <c r="Y345" s="549">
        <f>IFERROR(SUM(Y341:Y343),"0")</f>
        <v>159.9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135</v>
      </c>
      <c r="Y349" s="548">
        <f t="shared" ref="Y349:Y355" si="36">IFERROR(IF(X349="",0,CEILING((X349/$H349),1)*$H349),"")</f>
        <v>135</v>
      </c>
      <c r="Z349" s="36">
        <f>IFERROR(IF(Y349=0,"",ROUNDUP(Y349/H349,0)*0.02175),"")</f>
        <v>0.19574999999999998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139.23000000000002</v>
      </c>
      <c r="BN349" s="64">
        <f t="shared" ref="BN349:BN355" si="38">IFERROR(Y349*I349/H349,"0")</f>
        <v>139.23000000000002</v>
      </c>
      <c r="BO349" s="64">
        <f t="shared" ref="BO349:BO355" si="39">IFERROR(1/J349*(X349/H349),"0")</f>
        <v>0.1875</v>
      </c>
      <c r="BP349" s="64">
        <f t="shared" ref="BP349:BP355" si="40">IFERROR(1/J349*(Y349/H349),"0")</f>
        <v>0.1875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460</v>
      </c>
      <c r="Y350" s="548">
        <f t="shared" si="36"/>
        <v>465</v>
      </c>
      <c r="Z350" s="36">
        <f>IFERROR(IF(Y350=0,"",ROUNDUP(Y350/H350,0)*0.02175),"")</f>
        <v>0.6742499999999999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474.41333333333336</v>
      </c>
      <c r="BN350" s="64">
        <f t="shared" si="38"/>
        <v>479.57</v>
      </c>
      <c r="BO350" s="64">
        <f t="shared" si="39"/>
        <v>0.63888888888888884</v>
      </c>
      <c r="BP350" s="64">
        <f t="shared" si="40"/>
        <v>0.64583333333333326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1270</v>
      </c>
      <c r="Y352" s="548">
        <f t="shared" si="36"/>
        <v>1275</v>
      </c>
      <c r="Z352" s="36">
        <f>IFERROR(IF(Y352=0,"",ROUNDUP(Y352/H352,0)*0.02175),"")</f>
        <v>1.8487499999999999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1309.7933333333335</v>
      </c>
      <c r="BN352" s="64">
        <f t="shared" si="38"/>
        <v>1314.95</v>
      </c>
      <c r="BO352" s="64">
        <f t="shared" si="39"/>
        <v>1.7638888888888888</v>
      </c>
      <c r="BP352" s="64">
        <f t="shared" si="40"/>
        <v>1.7708333333333333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5</v>
      </c>
      <c r="Y355" s="548">
        <f t="shared" si="36"/>
        <v>5</v>
      </c>
      <c r="Z355" s="36">
        <f>IFERROR(IF(Y355=0,"",ROUNDUP(Y355/H355,0)*0.00902),"")</f>
        <v>9.0200000000000002E-3</v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5.19</v>
      </c>
      <c r="BN355" s="64">
        <f t="shared" si="38"/>
        <v>5.19</v>
      </c>
      <c r="BO355" s="64">
        <f t="shared" si="39"/>
        <v>7.575757575757576E-3</v>
      </c>
      <c r="BP355" s="64">
        <f t="shared" si="40"/>
        <v>7.575757575757576E-3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125.33333333333334</v>
      </c>
      <c r="Y356" s="549">
        <f>IFERROR(Y349/H349,"0")+IFERROR(Y350/H350,"0")+IFERROR(Y351/H351,"0")+IFERROR(Y352/H352,"0")+IFERROR(Y353/H353,"0")+IFERROR(Y354/H354,"0")+IFERROR(Y355/H355,"0")</f>
        <v>126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2.72777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1870</v>
      </c>
      <c r="Y357" s="549">
        <f>IFERROR(SUM(Y349:Y355),"0")</f>
        <v>1880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1400</v>
      </c>
      <c r="Y359" s="548">
        <f>IFERROR(IF(X359="",0,CEILING((X359/$H359),1)*$H359),"")</f>
        <v>1410</v>
      </c>
      <c r="Z359" s="36">
        <f>IFERROR(IF(Y359=0,"",ROUNDUP(Y359/H359,0)*0.02175),"")</f>
        <v>2.0444999999999998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1443.8666666666666</v>
      </c>
      <c r="BN359" s="64">
        <f>IFERROR(Y359*I359/H359,"0")</f>
        <v>1454.18</v>
      </c>
      <c r="BO359" s="64">
        <f>IFERROR(1/J359*(X359/H359),"0")</f>
        <v>1.9444444444444442</v>
      </c>
      <c r="BP359" s="64">
        <f>IFERROR(1/J359*(Y359/H359),"0")</f>
        <v>1.9583333333333333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93.333333333333329</v>
      </c>
      <c r="Y361" s="549">
        <f>IFERROR(Y359/H359,"0")+IFERROR(Y360/H360,"0")</f>
        <v>94</v>
      </c>
      <c r="Z361" s="549">
        <f>IFERROR(IF(Z359="",0,Z359),"0")+IFERROR(IF(Z360="",0,Z360),"0")</f>
        <v>2.0444999999999998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1400</v>
      </c>
      <c r="Y362" s="549">
        <f>IFERROR(SUM(Y359:Y360),"0")</f>
        <v>1410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4.1999999999999993</v>
      </c>
      <c r="Y396" s="548">
        <f t="shared" si="41"/>
        <v>4.2</v>
      </c>
      <c r="Z396" s="36">
        <f t="shared" si="46"/>
        <v>1.004E-2</v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4.4599999999999991</v>
      </c>
      <c r="BN396" s="64">
        <f t="shared" si="43"/>
        <v>4.46</v>
      </c>
      <c r="BO396" s="64">
        <f t="shared" si="44"/>
        <v>8.5470085470085461E-3</v>
      </c>
      <c r="BP396" s="64">
        <f t="shared" si="45"/>
        <v>8.5470085470085479E-3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4.1999999999999993</v>
      </c>
      <c r="Y397" s="548">
        <f t="shared" si="41"/>
        <v>4.2</v>
      </c>
      <c r="Z397" s="36">
        <f t="shared" si="46"/>
        <v>1.004E-2</v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4.4599999999999991</v>
      </c>
      <c r="BN397" s="64">
        <f t="shared" si="43"/>
        <v>4.46</v>
      </c>
      <c r="BO397" s="64">
        <f t="shared" si="44"/>
        <v>8.5470085470085461E-3</v>
      </c>
      <c r="BP397" s="64">
        <f t="shared" si="45"/>
        <v>8.5470085470085479E-3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4.1999999999999993</v>
      </c>
      <c r="Y399" s="548">
        <f t="shared" si="41"/>
        <v>4.2</v>
      </c>
      <c r="Z399" s="36">
        <f t="shared" si="46"/>
        <v>1.004E-2</v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4.4599999999999991</v>
      </c>
      <c r="BN399" s="64">
        <f t="shared" si="43"/>
        <v>4.46</v>
      </c>
      <c r="BO399" s="64">
        <f t="shared" si="44"/>
        <v>8.5470085470085461E-3</v>
      </c>
      <c r="BP399" s="64">
        <f t="shared" si="45"/>
        <v>8.5470085470085479E-3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4.1999999999999993</v>
      </c>
      <c r="Y400" s="548">
        <f t="shared" si="41"/>
        <v>4.2</v>
      </c>
      <c r="Z400" s="36">
        <f t="shared" si="46"/>
        <v>1.004E-2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4.4599999999999991</v>
      </c>
      <c r="BN400" s="64">
        <f t="shared" si="43"/>
        <v>4.46</v>
      </c>
      <c r="BO400" s="64">
        <f t="shared" si="44"/>
        <v>8.5470085470085461E-3</v>
      </c>
      <c r="BP400" s="64">
        <f t="shared" si="45"/>
        <v>8.5470085470085479E-3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7.9999999999999982</v>
      </c>
      <c r="Y401" s="549">
        <f>IFERROR(Y392/H392,"0")+IFERROR(Y393/H393,"0")+IFERROR(Y394/H394,"0")+IFERROR(Y395/H395,"0")+IFERROR(Y396/H396,"0")+IFERROR(Y397/H397,"0")+IFERROR(Y398/H398,"0")+IFERROR(Y399/H399,"0")+IFERROR(Y400/H400,"0")</f>
        <v>8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4.0160000000000001E-2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16.799999999999997</v>
      </c>
      <c r="Y402" s="549">
        <f>IFERROR(SUM(Y392:Y400),"0")</f>
        <v>16.8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2.1</v>
      </c>
      <c r="Y417" s="548">
        <f>IFERROR(IF(X417="",0,CEILING((X417/$H417),1)*$H417),"")</f>
        <v>2.1</v>
      </c>
      <c r="Z417" s="36">
        <f>IFERROR(IF(Y417=0,"",ROUNDUP(Y417/H417,0)*0.00502),"")</f>
        <v>5.0200000000000002E-3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2.23</v>
      </c>
      <c r="BN417" s="64">
        <f>IFERROR(Y417*I417/H417,"0")</f>
        <v>2.23</v>
      </c>
      <c r="BO417" s="64">
        <f>IFERROR(1/J417*(X417/H417),"0")</f>
        <v>4.2735042735042739E-3</v>
      </c>
      <c r="BP417" s="64">
        <f>IFERROR(1/J417*(Y417/H417),"0")</f>
        <v>4.2735042735042739E-3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1</v>
      </c>
      <c r="Y418" s="549">
        <f>IFERROR(Y414/H414,"0")+IFERROR(Y415/H415,"0")+IFERROR(Y416/H416,"0")+IFERROR(Y417/H417,"0")</f>
        <v>1</v>
      </c>
      <c r="Z418" s="549">
        <f>IFERROR(IF(Z414="",0,Z414),"0")+IFERROR(IF(Z415="",0,Z415),"0")+IFERROR(IF(Z416="",0,Z416),"0")+IFERROR(IF(Z417="",0,Z417),"0")</f>
        <v>5.0200000000000002E-3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2.1</v>
      </c>
      <c r="Y419" s="549">
        <f>IFERROR(SUM(Y414:Y417),"0")</f>
        <v>2.1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40</v>
      </c>
      <c r="Y428" s="548">
        <f t="shared" ref="Y428:Y439" si="47">IFERROR(IF(X428="",0,CEILING((X428/$H428),1)*$H428),"")</f>
        <v>42.24</v>
      </c>
      <c r="Z428" s="36">
        <f t="shared" ref="Z428:Z434" si="48">IFERROR(IF(Y428=0,"",ROUNDUP(Y428/H428,0)*0.01196),"")</f>
        <v>9.5680000000000001E-2</v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42.651515151515149</v>
      </c>
      <c r="BN428" s="64">
        <f t="shared" ref="BN428:BN439" si="50">IFERROR(Y428*I428/H428,"0")</f>
        <v>45.04</v>
      </c>
      <c r="BO428" s="64">
        <f t="shared" ref="BO428:BO439" si="51">IFERROR(1/J428*(X428/H428),"0")</f>
        <v>7.2843822843822847E-2</v>
      </c>
      <c r="BP428" s="64">
        <f t="shared" ref="BP428:BP439" si="52">IFERROR(1/J428*(Y428/H428),"0")</f>
        <v>7.6923076923076927E-2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</v>
      </c>
      <c r="Y432" s="548">
        <f t="shared" si="47"/>
        <v>15.84</v>
      </c>
      <c r="Z432" s="36">
        <f t="shared" si="48"/>
        <v>3.5880000000000002E-2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15.994318181818182</v>
      </c>
      <c r="BN432" s="64">
        <f t="shared" si="50"/>
        <v>16.889999999999997</v>
      </c>
      <c r="BO432" s="64">
        <f t="shared" si="51"/>
        <v>2.7316433566433568E-2</v>
      </c>
      <c r="BP432" s="64">
        <f t="shared" si="52"/>
        <v>2.8846153846153848E-2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25</v>
      </c>
      <c r="Y434" s="548">
        <f t="shared" si="47"/>
        <v>26.400000000000002</v>
      </c>
      <c r="Z434" s="36">
        <f t="shared" si="48"/>
        <v>5.9799999999999999E-2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26.657196969696969</v>
      </c>
      <c r="BN434" s="64">
        <f t="shared" si="50"/>
        <v>28.15</v>
      </c>
      <c r="BO434" s="64">
        <f t="shared" si="51"/>
        <v>4.5527389277389273E-2</v>
      </c>
      <c r="BP434" s="64">
        <f t="shared" si="52"/>
        <v>4.807692307692308E-2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15.15151515151515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0.19136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80</v>
      </c>
      <c r="Y441" s="549">
        <f>IFERROR(SUM(Y428:Y439),"0")</f>
        <v>84.48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145</v>
      </c>
      <c r="Y443" s="548">
        <f>IFERROR(IF(X443="",0,CEILING((X443/$H443),1)*$H443),"")</f>
        <v>147.84</v>
      </c>
      <c r="Z443" s="36">
        <f>IFERROR(IF(Y443=0,"",ROUNDUP(Y443/H443,0)*0.01196),"")</f>
        <v>0.33488000000000001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154.61174242424241</v>
      </c>
      <c r="BN443" s="64">
        <f>IFERROR(Y443*I443/H443,"0")</f>
        <v>157.63999999999999</v>
      </c>
      <c r="BO443" s="64">
        <f>IFERROR(1/J443*(X443/H443),"0")</f>
        <v>0.26405885780885779</v>
      </c>
      <c r="BP443" s="64">
        <f>IFERROR(1/J443*(Y443/H443),"0")</f>
        <v>0.26923076923076927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27.462121212121211</v>
      </c>
      <c r="Y446" s="549">
        <f>IFERROR(Y443/H443,"0")+IFERROR(Y444/H444,"0")+IFERROR(Y445/H445,"0")</f>
        <v>28</v>
      </c>
      <c r="Z446" s="549">
        <f>IFERROR(IF(Z443="",0,Z443),"0")+IFERROR(IF(Z444="",0,Z444),"0")+IFERROR(IF(Z445="",0,Z445),"0")</f>
        <v>0.33488000000000001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145</v>
      </c>
      <c r="Y447" s="549">
        <f>IFERROR(SUM(Y443:Y445),"0")</f>
        <v>147.84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</v>
      </c>
      <c r="Y449" s="548">
        <f t="shared" ref="Y449:Y454" si="53">IFERROR(IF(X449="",0,CEILING((X449/$H449),1)*$H449),"")</f>
        <v>5.28</v>
      </c>
      <c r="Z449" s="36">
        <f>IFERROR(IF(Y449=0,"",ROUNDUP(Y449/H449,0)*0.01196),"")</f>
        <v>1.196E-2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5.3314393939393936</v>
      </c>
      <c r="BN449" s="64">
        <f t="shared" ref="BN449:BN454" si="55">IFERROR(Y449*I449/H449,"0")</f>
        <v>5.63</v>
      </c>
      <c r="BO449" s="64">
        <f t="shared" ref="BO449:BO454" si="56">IFERROR(1/J449*(X449/H449),"0")</f>
        <v>9.1054778554778559E-3</v>
      </c>
      <c r="BP449" s="64">
        <f t="shared" ref="BP449:BP454" si="57">IFERROR(1/J449*(Y449/H449),"0")</f>
        <v>9.6153846153846159E-3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30</v>
      </c>
      <c r="Y450" s="548">
        <f t="shared" si="53"/>
        <v>31.68</v>
      </c>
      <c r="Z450" s="36">
        <f>IFERROR(IF(Y450=0,"",ROUNDUP(Y450/H450,0)*0.01196),"")</f>
        <v>7.1760000000000004E-2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31.988636363636363</v>
      </c>
      <c r="BN450" s="64">
        <f t="shared" si="55"/>
        <v>33.779999999999994</v>
      </c>
      <c r="BO450" s="64">
        <f t="shared" si="56"/>
        <v>5.4632867132867136E-2</v>
      </c>
      <c r="BP450" s="64">
        <f t="shared" si="57"/>
        <v>5.7692307692307696E-2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40</v>
      </c>
      <c r="Y451" s="548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42.651515151515149</v>
      </c>
      <c r="BN451" s="64">
        <f t="shared" si="55"/>
        <v>45.04</v>
      </c>
      <c r="BO451" s="64">
        <f t="shared" si="56"/>
        <v>7.2843822843822847E-2</v>
      </c>
      <c r="BP451" s="64">
        <f t="shared" si="57"/>
        <v>7.6923076923076927E-2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14.204545454545453</v>
      </c>
      <c r="Y455" s="549">
        <f>IFERROR(Y449/H449,"0")+IFERROR(Y450/H450,"0")+IFERROR(Y451/H451,"0")+IFERROR(Y452/H452,"0")+IFERROR(Y453/H453,"0")+IFERROR(Y454/H454,"0")</f>
        <v>15</v>
      </c>
      <c r="Z455" s="549">
        <f>IFERROR(IF(Z449="",0,Z449),"0")+IFERROR(IF(Z450="",0,Z450),"0")+IFERROR(IF(Z451="",0,Z451),"0")+IFERROR(IF(Z452="",0,Z452),"0")+IFERROR(IF(Z453="",0,Z453),"0")+IFERROR(IF(Z454="",0,Z454),"0")</f>
        <v>0.1794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75</v>
      </c>
      <c r="Y456" s="549">
        <f>IFERROR(SUM(Y449:Y454),"0")</f>
        <v>79.2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50</v>
      </c>
      <c r="Y462" s="548">
        <f>IFERROR(IF(X462="",0,CEILING((X462/$H462),1)*$H462),"")</f>
        <v>60</v>
      </c>
      <c r="Z462" s="36">
        <f>IFERROR(IF(Y462=0,"",ROUNDUP(Y462/H462,0)*0.01898),"")</f>
        <v>9.4899999999999998E-2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51.708333333333336</v>
      </c>
      <c r="BN462" s="64">
        <f>IFERROR(Y462*I462/H462,"0")</f>
        <v>62.050000000000004</v>
      </c>
      <c r="BO462" s="64">
        <f>IFERROR(1/J462*(X462/H462),"0")</f>
        <v>6.5104166666666671E-2</v>
      </c>
      <c r="BP462" s="64">
        <f>IFERROR(1/J462*(Y462/H462),"0")</f>
        <v>7.8125E-2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4.166666666666667</v>
      </c>
      <c r="Y464" s="549">
        <f>IFERROR(Y460/H460,"0")+IFERROR(Y461/H461,"0")+IFERROR(Y462/H462,"0")+IFERROR(Y463/H463,"0")</f>
        <v>5</v>
      </c>
      <c r="Z464" s="549">
        <f>IFERROR(IF(Z460="",0,Z460),"0")+IFERROR(IF(Z461="",0,Z461),"0")+IFERROR(IF(Z462="",0,Z462),"0")+IFERROR(IF(Z463="",0,Z463),"0")</f>
        <v>9.4899999999999998E-2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50</v>
      </c>
      <c r="Y465" s="549">
        <f>IFERROR(SUM(Y460:Y463),"0")</f>
        <v>60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100</v>
      </c>
      <c r="Y472" s="548">
        <f>IFERROR(IF(X472="",0,CEILING((X472/$H472),1)*$H472),"")</f>
        <v>100.8</v>
      </c>
      <c r="Z472" s="36">
        <f>IFERROR(IF(Y472=0,"",ROUNDUP(Y472/H472,0)*0.00902),"")</f>
        <v>0.18942000000000001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105.20833333333334</v>
      </c>
      <c r="BN472" s="64">
        <f>IFERROR(Y472*I472/H472,"0")</f>
        <v>106.05</v>
      </c>
      <c r="BO472" s="64">
        <f>IFERROR(1/J472*(X472/H472),"0")</f>
        <v>0.15782828282828285</v>
      </c>
      <c r="BP472" s="64">
        <f>IFERROR(1/J472*(Y472/H472),"0")</f>
        <v>0.15909090909090909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20.833333333333336</v>
      </c>
      <c r="Y473" s="549">
        <f>IFERROR(Y472/H472,"0")</f>
        <v>21</v>
      </c>
      <c r="Z473" s="549">
        <f>IFERROR(IF(Z472="",0,Z472),"0")</f>
        <v>0.18942000000000001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100</v>
      </c>
      <c r="Y474" s="549">
        <f>IFERROR(SUM(Y472:Y472),"0")</f>
        <v>100.8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30</v>
      </c>
      <c r="Y476" s="548">
        <f>IFERROR(IF(X476="",0,CEILING((X476/$H476),1)*$H476),"")</f>
        <v>36</v>
      </c>
      <c r="Z476" s="36">
        <f>IFERROR(IF(Y476=0,"",ROUNDUP(Y476/H476,0)*0.01898),"")</f>
        <v>7.5920000000000001E-2</v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31.646666666666665</v>
      </c>
      <c r="BN476" s="64">
        <f>IFERROR(Y476*I476/H476,"0")</f>
        <v>37.975999999999999</v>
      </c>
      <c r="BO476" s="64">
        <f>IFERROR(1/J476*(X476/H476),"0")</f>
        <v>5.2083333333333336E-2</v>
      </c>
      <c r="BP476" s="64">
        <f>IFERROR(1/J476*(Y476/H476),"0")</f>
        <v>6.25E-2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3.3333333333333335</v>
      </c>
      <c r="Y477" s="549">
        <f>IFERROR(Y476/H476,"0")</f>
        <v>4</v>
      </c>
      <c r="Z477" s="549">
        <f>IFERROR(IF(Z476="",0,Z476),"0")</f>
        <v>7.5920000000000001E-2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30</v>
      </c>
      <c r="Y478" s="549">
        <f>IFERROR(SUM(Y476:Y476),"0")</f>
        <v>36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12604.649999999998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12754.819999999998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13224.060559512091</v>
      </c>
      <c r="Y490" s="549">
        <f>IFERROR(SUM(BN22:BN486),"0")</f>
        <v>13381.267999999993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22</v>
      </c>
      <c r="Y491" s="38">
        <f>ROUNDUP(SUM(BP22:BP486),0)</f>
        <v>22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13774.060559512091</v>
      </c>
      <c r="Y492" s="549">
        <f>GrossWeightTotalR+PalletQtyTotalR*25</f>
        <v>13931.267999999993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1573.625745242412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1594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25.547129999999996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82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1118.6000000000001</v>
      </c>
      <c r="E499" s="46">
        <f>IFERROR(Y84*1,"0")+IFERROR(Y85*1,"0")+IFERROR(Y86*1,"0")+IFERROR(Y87*1,"0")+IFERROR(Y91*1,"0")+IFERROR(Y92*1,"0")+IFERROR(Y93*1,"0")+IFERROR(Y94*1,"0")</f>
        <v>423.9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73.95</v>
      </c>
      <c r="G499" s="46">
        <f>IFERROR(Y126*1,"0")+IFERROR(Y127*1,"0")+IFERROR(Y131*1,"0")+IFERROR(Y132*1,"0")+IFERROR(Y136*1,"0")+IFERROR(Y137*1,"0")</f>
        <v>30.400000000000002</v>
      </c>
      <c r="H499" s="46">
        <f>IFERROR(Y142*1,"0")+IFERROR(Y143*1,"0")+IFERROR(Y147*1,"0")+IFERROR(Y148*1,"0")+IFERROR(Y149*1,"0")+IFERROR(Y150*1,"0")+IFERROR(Y151*1,"0")+IFERROR(Y155*1,"0")</f>
        <v>102.60000000000001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29.4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247.20000000000005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162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6507.6500000000005</v>
      </c>
      <c r="R499" s="46">
        <f>IFERROR(Y341*1,"0")+IFERROR(Y342*1,"0")+IFERROR(Y343*1,"0")</f>
        <v>159.9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3290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16.8</v>
      </c>
      <c r="V499" s="46">
        <f>IFERROR(Y410*1,"0")+IFERROR(Y414*1,"0")+IFERROR(Y415*1,"0")+IFERROR(Y416*1,"0")+IFERROR(Y417*1,"0")</f>
        <v>2.1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311.52</v>
      </c>
      <c r="Y499" s="46">
        <f>IFERROR(Y460*1,"0")+IFERROR(Y461*1,"0")+IFERROR(Y462*1,"0")+IFERROR(Y463*1,"0")+IFERROR(Y467*1,"0")+IFERROR(Y468*1,"0")+IFERROR(Y472*1,"0")+IFERROR(Y476*1,"0")+IFERROR(Y480*1,"0")+IFERROR(Y481*1,"0")</f>
        <v>196.8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