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2026\ЗАВОДЫ\ПОКОМ\ОПТы\01,26\15,01,26 ПОКОМ КИ ПРС ЛП на погрузку с филиалами 19,01,26\"/>
    </mc:Choice>
  </mc:AlternateContent>
  <xr:revisionPtr revIDLastSave="0" documentId="13_ncr:1_{24BCCF1B-EC8A-43FB-AF05-2DFCD3A0DB64}" xr6:coauthVersionLast="45" xr6:coauthVersionMax="47" xr10:uidLastSave="{00000000-0000-0000-0000-000000000000}"/>
  <bookViews>
    <workbookView xWindow="-120" yWindow="-120" windowWidth="29040" windowHeight="15840" tabRatio="270" xr2:uid="{00000000-000D-0000-FFFF-FFFF00000000}"/>
  </bookViews>
  <sheets>
    <sheet name="TDSheet" sheetId="1" r:id="rId1"/>
  </sheets>
  <externalReferences>
    <externalReference r:id="rId2"/>
  </externalReferences>
  <definedNames>
    <definedName name="_xlnm._FilterDatabase" localSheetId="0" hidden="1">TDSheet!$B$3:$C$3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4" i="1"/>
  <c r="F2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4" i="1"/>
  <c r="D36" i="1" l="1"/>
</calcChain>
</file>

<file path=xl/sharedStrings.xml><?xml version="1.0" encoding="utf-8"?>
<sst xmlns="http://schemas.openxmlformats.org/spreadsheetml/2006/main" count="37" uniqueCount="37">
  <si>
    <t>Товар</t>
  </si>
  <si>
    <t>Номенклатура гермес</t>
  </si>
  <si>
    <t>517  Сосиски С сыром ТМ Ядрена копоть ТС Ядрена копоть в оболочке вискофан в модифицированной газовой среде 0,3 кг. Колбасные изделия вареные из мяса цыплят-бройлеров.Охлажденные ТУ 10.13.14-006-14709788-2017 АО "Стародворские колбасы"</t>
  </si>
  <si>
    <t>023  Колбаса Докторская ГОСТ ТМ Стародворские колбасы ТС Вязанка в оболочке вектор 0,4 кг УВС2. Мясной продукт категории А. Колбасное изделие вареное охлажденное ГОСТ Р 52196-2011</t>
  </si>
  <si>
    <t>Сосиски Молочные ТМ Вязанка в оболочке целлофан в модифицированной газовой среде 0,3 кг. Мясной продукт категории Б.Колбасные изделия вареные. ГОСТ 236702019 ЗАО "Стародворские колбасы"</t>
  </si>
  <si>
    <t>324 Ветчина Филейская ТМ Вязанка ТС Столичная в оболочке полиамид 0,45 кг. Мясной продукт. Вареный продукт из мяса охлажденный ТУ 92130051470978808 ЗАО "Стародворские</t>
  </si>
  <si>
    <t>Сосиски Филейские ТМ Вязанка в оболочке целлофан в модифицированной газовой среде 0,3 кг. Мясной продукт. Колбасные изделия вареные. Охлажденные ТУ 92130031470978808 ЗАО "Стародворские колбасы"</t>
  </si>
  <si>
    <t>Сосиски Филейские Рубленые 0,3кг ТМ Вязанка в оболочке целлофан в модифицированной газовой среде УВС. Мясной продукт. Колбасные изделия вареные охлажденные. ТУ 9213-003-14709788-08 ЗАО "Стародворские колбасы"</t>
  </si>
  <si>
    <t>Сардельки Филейские Вязанка ТМ Вязанка в оболочке NDX в модифицированной газовой среде 0,4 кг. Мясной продукт. Колбасные изделия вареные охлажденные ТУ 92130031470978808 ЗАО "Стародворские колбасы"</t>
  </si>
  <si>
    <t>Сосиски Сливушки по-венски 0,3кг ТМ Вязанка в оболочке амицел в модифицированной газовой среде. Мясной продукт. Колбасные изделия вареные. Охлажденные ТУ 9213-003-14709788-08 ЗАО "Стародворские колбасы"</t>
  </si>
  <si>
    <t>Сардельки Сливушки ТМ Вязанка в оболочке айпил в модифицированной газовой среде 0,33 кг. Мясной продукт. Колбасные изделия вареные охлажденные ТУ 92130031470978808 ЗАО "Стародворские колбасы"</t>
  </si>
  <si>
    <t>273 Сосиски Сочинки с сочной грудинкой ТМ Стародворье в оболочке полиамид в модифицированной газовой среде 0,4 кг. Колбасные изделия вареные из мяса птицы охлажденные ТУ 10.13.14006147097882017 ЗАО "Стародворские колбасы"</t>
  </si>
  <si>
    <t>278 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10.13.14006147097882017 ЗАО "Стародворские колбасы"</t>
  </si>
  <si>
    <t>Колбаса Молочная Стародворская ТМ Стародворье с молоком в оболочке полиамид 0,4 кг. Мясной продукт. Колбасное изделие вареное</t>
  </si>
  <si>
    <t>Колбаса Стародворская ТМ Стародворье с окороком в оболочке полиамид 0,4 кг. Мясной продукт. Колбасное изделие вареное. Охлажденная ТУ 92130031470978808 ЗАО "Стародворские колбасы"</t>
  </si>
  <si>
    <t>Колбаса Филедворская по-стародворски ТМ Стародворье в оболочке полиамид 0,4 кг.Колбасное изделие из мяса цыплят-бройлеров. Охлажденное ТУ "Стародворские колбасы"</t>
  </si>
  <si>
    <t>301 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92130031470978808 ЗАО "Стародворские колбасы"</t>
  </si>
  <si>
    <t>302 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92130031470978808 ЗАО "Стародворские колбасы"</t>
  </si>
  <si>
    <t>Сосиски Венские ТМ Стародворье в оболочке полиамид в модифицированной газовой среде 0,6 кг. Колбасные изделия вареные из мяса цыплят-бройлеров. Охлажденные ТУ 10.13.14-006-14709788-2017 ЗАО "Стародворские колбасы"</t>
  </si>
  <si>
    <t>272 Колбаса варенокопченая из мяса птицы Сервелат Филедворский ТМ Стародворье в оболочке фиброуз в вакуумной упаковке 0,35 кг срез. Колбаса варенокопченая из мяса птицы охлажденная ТУ 92130071470978815 ЗАО "Стародворские колбасы"</t>
  </si>
  <si>
    <t>Колбаса Стародворская Традиционная ТМ Стародворье в оболочке полиамид 0,4 кг.Колбасное изделие вареное из мяса цыплят-бройлеров. Охлажденная ТУ 10.13.14-006-14709788-2017 ЗАО "Стародворские колбасы"</t>
  </si>
  <si>
    <t>062  Колбаса Кракушка пряная с сальцем ТМ Стародворье ТС Баварушка в оболочке черева в вакуумной упаковке 0,3 кг. Мясной продукт. Колбасное изделие полукопченое охлажденное ТУ ЗАО "Стародворские колбасы"</t>
  </si>
  <si>
    <t>Сосиски Баварские ТМ Стародворье в оболочке айпил в модифицированной газовой среде 0,35 кг. Колбасные изделия вареные из мяса цыплятбройлеров охлажденные ТУ 10.13.14006147097882017 ЗАО "Стародворские колбасы"</t>
  </si>
  <si>
    <t>Сосиски Баварские с сыром ТМ Стародворье в оболочке айпил в модифицированной газовой среде 0,35 кг. Колбасные изделия вареные из мяса цыплят бройлеров охлажденные ТУ 10.13.14006147097882017 ЗАО "Стародворские колбасы"</t>
  </si>
  <si>
    <t>Колбаса Филейная ТМ Особый рецепт в оболочке полиамид 0,5 кг. Колбасное изделие вареное из мяса кур. Охлажденное ТУ 10.13.14006147097882017 ЗАО "Стародворские колбасы"</t>
  </si>
  <si>
    <t>115 Колбаса Салями Филейбургская зернистая ТМ Баварушка в оболочке фиброуз в вакуумной упаковке 0,35 кг срез. Мясной продукт. Колбасное изделие варенокопченое охлажденное ТУ 92130041470978808 ЗАО "Стародворские колбасы"</t>
  </si>
  <si>
    <t>117 Колбаса Сервелат Филейбургский с ароматными пряностями ТМ Баварушка в оболочке фиброуз в вакуумной упаковке 0,35 кг срез. Мясной продукт. Колбасное изделие варено-копченое охлажденное ТУ 9213-004-14709788-08 ЗАО "Стародворские колбасы"</t>
  </si>
  <si>
    <t>118 Колбаса Сервелат Филейбургский с филе сочного окорока ТМ Баварушка в оболочке фиброуз в вакуумной упаковке 0,35 кг срез. Мясной продукт. Колбасное изделие варенокопченое охлажденное ТУ 92130041470978808 ЗАО "Стародворские колбасы"</t>
  </si>
  <si>
    <t>361 Колбаса Сервелат Филейбургский с копченой грудинкой ТМ Баварушка в оболочке фиброуз в/у 0,35 кг срез. Мясной продукт. Колбасное изделие варенокопченое охлажденное ТУ</t>
  </si>
  <si>
    <t>100  Сосиски Баварушки ТМ Стародворье ТС Баварушка в оболочке полиамид в модифицированной газовой среде 0,6 кг. Мясной продукт. Колбасные изделия вареные охлажденные ТУ ЗАО "Стародворские колбасы"</t>
  </si>
  <si>
    <t>Сосиски Филейбургские с грудкой ТМ Баварушка в оболочке амицел в модифицированной газовой среде 0,33 кг. Мясной продукт. Колбасные изделия вареные охлажденные ТУ 92130031470978808 ЗАО "Стародворские колбасы"</t>
  </si>
  <si>
    <t>377  Колбаса Молочная Дугушка ТМ Стародворье ТС Дугушка в полиамидной оболочке 0,6 кг. Мясной продукт. Колбасное изделие вареное охлажденное ТУ 9213-003-14709788-08 ЗАО "Стародворские колбасы"</t>
  </si>
  <si>
    <t>285 Паштет печеночный со сливочным маслом ТМ Стародворье ламистер 0,1 кг. Консервы мясные паштетные стерилизованные. ГОСТ Р55336-2012 ЗАО "Лыткаринский МПЗ"</t>
  </si>
  <si>
    <t>043  Ветчина Нежная ТМ Особый рецепт в оболочке полиамид 0,4 кг. Мясной продукт. Вареный продукт из мяса ТУ ЗАО "Стародворские колбасы"</t>
  </si>
  <si>
    <t>заказ, шт</t>
  </si>
  <si>
    <t>кооф</t>
  </si>
  <si>
    <t>ВЕС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</si>
</sst>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₽_-;\-* #,##0.00\ _₽_-;_-* &quot;-&quot;??\ _₽_-;_-@_-"/>
  </numFmts>
  <fonts count="4" x14ac:knownFonts="1">
    <font>
      <sz val="8"/>
      <name val="Arial"/>
    </font>
    <font>
      <b/>
      <sz val="10"/>
      <color rgb="FFFFFFFF"/>
      <name val="Arial"/>
      <family val="2"/>
    </font>
    <font>
      <sz val="8"/>
      <name val="Arial"/>
      <family val="2"/>
      <charset val="204"/>
    </font>
    <font>
      <b/>
      <sz val="8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4574A0"/>
        <bgColor auto="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0" fontId="3" fillId="0" borderId="0" xfId="0" applyFont="1"/>
    <xf numFmtId="0" fontId="1" fillId="2" borderId="1" xfId="0" applyFont="1" applyFill="1" applyBorder="1" applyAlignment="1">
      <alignment horizontal="left" vertical="top" wrapText="1"/>
    </xf>
  </cellXfs>
  <cellStyles count="2">
    <cellStyle name="Обычный" xfId="0" builtinId="0"/>
    <cellStyle name="Финансовый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55;&#1054;&#1050;&#1054;&#1052;_&#1054;&#1089;&#1090;&#1072;&#1085;&#1082;&#1080;&#1085;&#1086;/2025_05/2026/&#1047;&#1040;&#1042;&#1054;&#1044;&#1067;/&#1055;&#1054;&#1050;&#1054;&#1052;/&#1054;&#1055;&#1058;&#1099;/01,26/06,01,26%20&#1055;&#1054;&#1050;&#1054;&#1052;%20&#1050;&#1048;%20&#1055;&#1056;&#1057;%20&#1051;&#1055;%20&#1073;&#1083;&#1080;&#1078;/&#1047;&#1072;&#1082;&#1072;&#1079;%20&#1043;&#1077;&#1088;&#1084;&#1077;&#1089;%20&#1050;&#104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1">
          <cell r="C1" t="str">
            <v>Номенклатура гермес</v>
          </cell>
        </row>
        <row r="3">
          <cell r="D3" t="str">
            <v>заказ, шт</v>
          </cell>
          <cell r="E3" t="str">
            <v>кооф</v>
          </cell>
        </row>
        <row r="4">
          <cell r="C4" t="str">
            <v>517  Сосиски С сыром ТМ Ядрена копоть ТС Ядрена копоть в оболочке вискофан в модифицированной газовой среде 0,3 кг. Колбасные изделия вареные из мяса цыплят-бройлеров.Охлажденные ТУ 10.13.14-006-14709788-2017 АО "Стародворские колбасы"</v>
          </cell>
          <cell r="D4">
            <v>300</v>
          </cell>
          <cell r="E4">
            <v>0.3</v>
          </cell>
        </row>
        <row r="5">
          <cell r="C5" t="str">
            <v>023  Колбаса Докторская ГОСТ ТМ Стародворские колбасы ТС Вязанка в оболочке вектор 0,4 кг УВС2. Мясной продукт категории А. Колбасное изделие вареное охлажденное ГОСТ Р 52196-2011</v>
          </cell>
          <cell r="D5">
            <v>350</v>
          </cell>
          <cell r="E5">
            <v>0.4</v>
          </cell>
        </row>
        <row r="6">
          <cell r="C6" t="str">
            <v>Сосиски Молочные ТМ Вязанка в оболочке целлофан в модифицированной газовой среде 0,3 кг. Мясной продукт категории Б.Колбасные изделия вареные. ГОСТ 236702019 ЗАО "Стародворские колбасы"</v>
          </cell>
          <cell r="D6">
            <v>350</v>
          </cell>
          <cell r="E6">
            <v>0.3</v>
          </cell>
        </row>
        <row r="7">
          <cell r="C7" t="str">
            <v>324 Ветчина Филейская ТМ Вязанка ТС Столичная в оболочке полиамид 0,45 кг. Мясной продукт. Вареный продукт из мяса охлажденный ТУ 92130051470978808 ЗАО "Стародворские</v>
          </cell>
          <cell r="D7">
            <v>350</v>
          </cell>
          <cell r="E7">
            <v>0.45</v>
          </cell>
        </row>
        <row r="8">
          <cell r="C8" t="str">
            <v>Сосиски Филейские ТМ Вязанка в оболочке целлофан в модифицированной газовой среде 0,3 кг. Мясной продукт. Колбасные изделия вареные. Охлажденные ТУ 92130031470978808 ЗАО "Стародворские колбасы"</v>
          </cell>
          <cell r="D8">
            <v>300</v>
          </cell>
          <cell r="E8">
            <v>0.3</v>
          </cell>
        </row>
        <row r="9">
          <cell r="C9" t="str">
            <v>Сосиски Филейские Рубленые 0,3кг ТМ Вязанка в оболочке целлофан в модифицированной газовой среде УВС. Мясной продукт. Колбасные изделия вареные охлажденные. ТУ 9213-003-14709788-08 ЗАО "Стародворские колбасы"</v>
          </cell>
          <cell r="D9">
            <v>300</v>
          </cell>
          <cell r="E9">
            <v>0.3</v>
          </cell>
        </row>
        <row r="10">
          <cell r="C10" t="str">
            <v>Сардельки Филейские Вязанка ТМ Вязанка в оболочке NDX в модифицированной газовой среде 0,4 кг. Мясной продукт. Колбасные изделия вареные охлажденные ТУ 92130031470978808 ЗАО "Стародворские колбасы"</v>
          </cell>
          <cell r="D10">
            <v>300</v>
          </cell>
          <cell r="E10">
            <v>0.4</v>
          </cell>
        </row>
        <row r="11">
          <cell r="C11" t="str">
            <v>Сосиски Сливушки по-венски 0,3кг ТМ Вязанка в оболочке амицел в модифицированной газовой среде. Мясной продукт. Колбасные изделия вареные. Охлажденные ТУ 9213-003-14709788-08 ЗАО "Стародворские колбасы"</v>
          </cell>
          <cell r="D11">
            <v>350</v>
          </cell>
          <cell r="E11">
            <v>0.3</v>
          </cell>
        </row>
        <row r="12">
          <cell r="C12" t="str">
            <v>Сардельки Сливушки ТМ Вязанка в оболочке айпил в модифицированной газовой среде 0,33 кг. Мясной продукт. Колбасные изделия вареные охлажденные ТУ 92130031470978808 ЗАО "Стародворские колбасы"</v>
          </cell>
          <cell r="D12">
            <v>200</v>
          </cell>
          <cell r="E12">
            <v>0.33</v>
          </cell>
        </row>
        <row r="13">
          <cell r="C13" t="str">
            <v>273 Сосиски Сочинки с сочной грудинкой ТМ Стародворье в оболочке полиамид в модифицированной газовой среде 0,4 кг. Колбасные изделия вареные из мяса птицы охлажденные ТУ 10.13.14006147097882017 ЗАО "Стародворские колбасы"</v>
          </cell>
          <cell r="D13">
            <v>200</v>
          </cell>
          <cell r="E13">
            <v>0.4</v>
          </cell>
        </row>
        <row r="14">
          <cell r="C14" t="str">
            <v>278 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10.13.14006147097882017 ЗАО "Стародворские колбасы"</v>
          </cell>
          <cell r="D14">
            <v>350</v>
          </cell>
          <cell r="E14">
            <v>0.4</v>
          </cell>
        </row>
        <row r="15">
          <cell r="C15" t="str">
            <v>Колбаса Молочная Стародворская ТМ Стародворье с молоком в оболочке полиамид 0,4 кг. Мясной продукт. Колбасное изделие вареное</v>
          </cell>
          <cell r="D15">
            <v>300</v>
          </cell>
          <cell r="E15">
            <v>0.4</v>
          </cell>
        </row>
        <row r="16">
          <cell r="C16" t="str">
            <v>Колбаса Стародворская ТМ Стародворье с окороком в оболочке полиамид 0,4 кг. Мясной продукт. Колбасное изделие вареное. Охлажденная ТУ 92130031470978808 ЗАО "Стародворские колбасы"</v>
          </cell>
          <cell r="D16">
            <v>300</v>
          </cell>
          <cell r="E16">
            <v>0.4</v>
          </cell>
        </row>
        <row r="17">
          <cell r="C17" t="str">
            <v>Колбаса Филедворская по-стародворски ТМ Стародворье в оболочке полиамид 0,4 кг.Колбасное изделие из мяса цыплят-бройлеров. Охлажденное ТУ "Стародворские колбасы"</v>
          </cell>
          <cell r="D17">
            <v>300</v>
          </cell>
          <cell r="E17">
            <v>0.4</v>
          </cell>
        </row>
        <row r="18">
          <cell r="C18" t="str">
            <v>301 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92130031470978808 ЗАО "Стародворские колбасы"</v>
          </cell>
          <cell r="D18">
            <v>300</v>
          </cell>
          <cell r="E18">
            <v>0.4</v>
          </cell>
        </row>
        <row r="19">
          <cell r="C19" t="str">
            <v>302 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92130031470978808 ЗАО "Стародворские колбасы"</v>
          </cell>
          <cell r="D19">
            <v>350</v>
          </cell>
          <cell r="E19">
            <v>0.4</v>
          </cell>
        </row>
        <row r="20">
          <cell r="C20" t="str">
            <v>Сосиски Венские ТМ Стародворье в оболочке полиамид в модифицированной газовой среде 0,6 кг. Колбасные изделия вареные из мяса цыплят-бройлеров. Охлажденные ТУ 10.13.14-006-14709788-2017 ЗАО "Стародворские колбасы"</v>
          </cell>
          <cell r="D20">
            <v>350</v>
          </cell>
          <cell r="E20">
            <v>0.6</v>
          </cell>
        </row>
        <row r="21">
          <cell r="C21" t="str">
            <v>Колбаса Стародворская Традиционная ТМ Стародворье в оболочке полиамид 0,4 кг.Колбасное изделие вареное из мяса цыплят-бройлеров. Охлажденная ТУ 10.13.14-006-14709788-2017 ЗАО "Стародворские колбасы"</v>
          </cell>
          <cell r="D21">
            <v>300</v>
          </cell>
          <cell r="E21">
            <v>0.4</v>
          </cell>
        </row>
        <row r="22">
          <cell r="C22" t="str">
            <v>272 Колбаса варенокопченая из мяса птицы Сервелат Филедворский ТМ Стародворье в оболочке фиброуз в вакуумной упаковке 0,35 кг срез. Колбаса варенокопченая из мяса птицы охлажденная ТУ 92130071470978815 ЗАО "Стародворские колбасы"</v>
          </cell>
          <cell r="D22">
            <v>300</v>
          </cell>
          <cell r="E22">
            <v>0.35</v>
          </cell>
        </row>
        <row r="23">
          <cell r="C23" t="str">
            <v>062  Колбаса Кракушка пряная с сальцем ТМ Стародворье ТС Баварушка в оболочке черева в вакуумной упаковке 0,3 кг. Мясной продукт. Колбасное изделие полукопченое охлажденное ТУ ЗАО "Стародворские колбасы"</v>
          </cell>
          <cell r="D23">
            <v>300</v>
          </cell>
          <cell r="E23">
            <v>0.3</v>
          </cell>
        </row>
        <row r="24">
          <cell r="C24" t="str">
            <v>285 Паштет печеночный со сливочным маслом ТМ Стародворье ламистер 0,1 кг. Консервы мясные паштетные стерилизованные. ГОСТ Р55336-2012 ЗАО "Лыткаринский МПЗ"</v>
          </cell>
          <cell r="D24">
            <v>300</v>
          </cell>
          <cell r="E24">
            <v>0.1</v>
          </cell>
        </row>
        <row r="25">
          <cell r="C25" t="str">
            <v>Сосиски Баварские ТМ Стародворье в оболочке айпил в модифицированной газовой среде 0,35 кг. Колбасные изделия вареные из мяса цыплятбройлеров охлажденные ТУ 10.13.14006147097882017 ЗАО "Стародворские колбасы"</v>
          </cell>
          <cell r="D25">
            <v>300</v>
          </cell>
          <cell r="E25">
            <v>0.35</v>
          </cell>
        </row>
        <row r="26">
          <cell r="C26" t="str">
            <v>Сосиски Баварские с сыром ТМ Стародворье в оболочке айпил в модифицированной газовой среде 0,35 кг. Колбасные изделия вареные из мяса цыплят бройлеров охлажденные ТУ 10.13.14006147097882017 ЗАО "Стародворские колбасы"</v>
          </cell>
          <cell r="D26">
            <v>350</v>
          </cell>
          <cell r="E26">
            <v>0.35</v>
          </cell>
        </row>
        <row r="27">
          <cell r="C27" t="str">
            <v>Колбаса Филейная ТМ Особый рецепт в оболочке полиамид 0,5 кг. Колбасное изделие вареное из мяса кур. Охлажденное ТУ 10.13.14006147097882017 ЗАО "Стародворские колбасы"</v>
          </cell>
          <cell r="D27">
            <v>350</v>
          </cell>
          <cell r="E27">
            <v>0.5</v>
          </cell>
        </row>
        <row r="28">
          <cell r="C28" t="str">
            <v>043  Ветчина Нежная ТМ Особый рецепт в оболочке полиамид 0,4 кг. Мясной продукт. Вареный продукт из мяса ТУ ЗАО "Стародворские колбасы"</v>
          </cell>
          <cell r="D28">
            <v>300</v>
          </cell>
          <cell r="E28">
            <v>0.4</v>
          </cell>
        </row>
        <row r="29">
          <cell r="C29" t="str">
            <v>115 Колбаса Салями Филейбургская зернистая ТМ Баварушка в оболочке фиброуз в вакуумной упаковке 0,35 кг срез. Мясной продукт. Колбасное изделие варенокопченое охлажденное ТУ 92130041470978808 ЗАО "Стародворские колбасы"</v>
          </cell>
          <cell r="D29">
            <v>300</v>
          </cell>
          <cell r="E29">
            <v>0.35</v>
          </cell>
        </row>
        <row r="30">
          <cell r="C30" t="str">
            <v>117 Колбаса Сервелат Филейбургский с ароматными пряностями ТМ Баварушка в оболочке фиброуз в вакуумной упаковке 0,35 кг срез. Мясной продукт. Колбасное изделие варено-копченое охлажденное ТУ 9213-004-14709788-08 ЗАО "Стародворские колбасы"</v>
          </cell>
          <cell r="D30">
            <v>300</v>
          </cell>
          <cell r="E30">
            <v>0.35</v>
          </cell>
        </row>
        <row r="31">
          <cell r="C31" t="str">
            <v>118 Колбаса Сервелат Филейбургский с филе сочного окорока ТМ Баварушка в оболочке фиброуз в вакуумной упаковке 0,35 кг срез. Мясной продукт. Колбасное изделие варенокопченое охлажденное ТУ 92130041470978808 ЗАО "Стародворские колбасы"</v>
          </cell>
          <cell r="D31">
            <v>150</v>
          </cell>
          <cell r="E31">
            <v>0.35</v>
          </cell>
        </row>
        <row r="32">
          <cell r="C32" t="str">
            <v>361 Колбаса Сервелат Филейбургский с копченой грудинкой ТМ Баварушка в оболочке фиброуз в/у 0,35 кг срез. Мясной продукт. Колбасное изделие варенокопченое охлажденное ТУ</v>
          </cell>
          <cell r="D32">
            <v>200</v>
          </cell>
          <cell r="E32">
            <v>0.35</v>
          </cell>
        </row>
        <row r="33">
          <cell r="C33" t="str">
            <v>100  Сосиски Баварушки ТМ Стародворье ТС Баварушка в оболочке полиамид в модифицированной газовой среде 0,6 кг. Мясной продукт. Колбасные изделия вареные охлажденные ТУ ЗАО "Стародворские колбасы"</v>
          </cell>
          <cell r="D33">
            <v>200</v>
          </cell>
          <cell r="E33">
            <v>0.6</v>
          </cell>
        </row>
        <row r="34">
          <cell r="C34" t="str">
            <v>Сосиски Филейбургские с грудкой ТМ Баварушка в оболочке амицел в модифицированной газовой среде 0,33 кг. Мясной продукт. Колбасные изделия вареные охлажденные ТУ 92130031470978808 ЗАО "Стародворские колбасы"</v>
          </cell>
          <cell r="D34">
            <v>200</v>
          </cell>
          <cell r="E34">
            <v>0.33</v>
          </cell>
        </row>
        <row r="35">
          <cell r="C35" t="str">
            <v>377  Колбаса Молочная Дугушка ТМ Стародворье ТС Дугушка в полиамидной оболочке 0,6 кг. Мясной продукт. Колбасное изделие вареное охлажденное ТУ 9213-003-14709788-08 ЗАО "Стародворские колбасы"</v>
          </cell>
          <cell r="D35">
            <v>350</v>
          </cell>
          <cell r="E35">
            <v>0.6</v>
          </cell>
        </row>
        <row r="36">
          <cell r="D36">
            <v>9450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 fitToPage="1"/>
  </sheetPr>
  <dimension ref="A1:K44"/>
  <sheetViews>
    <sheetView tabSelected="1" workbookViewId="0">
      <pane xSplit="3" ySplit="3" topLeftCell="D4" activePane="bottomRight" state="frozen"/>
      <selection pane="topRight" activeCell="J1" sqref="J1"/>
      <selection pane="bottomLeft" activeCell="A4" sqref="A4"/>
      <selection pane="bottomRight" activeCell="O7" sqref="O7"/>
    </sheetView>
  </sheetViews>
  <sheetFormatPr defaultColWidth="10.5" defaultRowHeight="11.45" customHeight="1" x14ac:dyDescent="0.2"/>
  <cols>
    <col min="1" max="1" width="3.1640625" customWidth="1"/>
    <col min="2" max="2" width="2.5" style="1" customWidth="1"/>
    <col min="3" max="3" width="73.33203125" style="1" customWidth="1"/>
    <col min="4" max="4" width="12.1640625" customWidth="1"/>
  </cols>
  <sheetData>
    <row r="1" spans="1:11" ht="32.25" customHeight="1" x14ac:dyDescent="0.2">
      <c r="A1" s="2"/>
      <c r="B1" s="10" t="s">
        <v>0</v>
      </c>
      <c r="C1" s="3" t="s">
        <v>1</v>
      </c>
    </row>
    <row r="2" spans="1:11" ht="14.25" customHeight="1" x14ac:dyDescent="0.2">
      <c r="A2" s="2"/>
      <c r="B2" s="10"/>
      <c r="C2" s="3"/>
      <c r="F2" s="9">
        <f>SUM(F4:F102)</f>
        <v>7323.25</v>
      </c>
    </row>
    <row r="3" spans="1:11" ht="12.95" customHeight="1" x14ac:dyDescent="0.2">
      <c r="A3" s="2"/>
      <c r="B3" s="3"/>
      <c r="C3" s="3"/>
      <c r="D3" t="s">
        <v>34</v>
      </c>
      <c r="E3" t="s">
        <v>35</v>
      </c>
      <c r="F3" s="9" t="s">
        <v>36</v>
      </c>
    </row>
    <row r="4" spans="1:11" ht="11.45" customHeight="1" x14ac:dyDescent="0.2">
      <c r="C4" s="4" t="s">
        <v>2</v>
      </c>
      <c r="D4" s="7">
        <v>675</v>
      </c>
      <c r="E4" s="5">
        <f>VLOOKUP(C4,[1]TDSheet!$C:$E,3,0)</f>
        <v>0.3</v>
      </c>
      <c r="F4" s="5">
        <f>E4*D4</f>
        <v>202.5</v>
      </c>
      <c r="G4" s="5"/>
      <c r="H4" s="5"/>
      <c r="I4" s="5"/>
      <c r="J4" s="5"/>
      <c r="K4" s="5"/>
    </row>
    <row r="5" spans="1:11" ht="11.45" customHeight="1" x14ac:dyDescent="0.2">
      <c r="C5" s="4" t="s">
        <v>3</v>
      </c>
      <c r="D5" s="7">
        <v>600</v>
      </c>
      <c r="E5" s="5">
        <f>VLOOKUP(C5,[1]TDSheet!$C:$E,3,0)</f>
        <v>0.4</v>
      </c>
      <c r="F5" s="5">
        <f t="shared" ref="F5:F35" si="0">E5*D5</f>
        <v>240</v>
      </c>
      <c r="G5" s="5"/>
      <c r="H5" s="5"/>
      <c r="I5" s="5"/>
      <c r="J5" s="5"/>
      <c r="K5" s="5"/>
    </row>
    <row r="6" spans="1:11" ht="11.45" customHeight="1" x14ac:dyDescent="0.2">
      <c r="C6" s="4" t="s">
        <v>4</v>
      </c>
      <c r="D6" s="7">
        <v>787.5</v>
      </c>
      <c r="E6" s="5">
        <f>VLOOKUP(C6,[1]TDSheet!$C:$E,3,0)</f>
        <v>0.3</v>
      </c>
      <c r="F6" s="5">
        <f t="shared" si="0"/>
        <v>236.25</v>
      </c>
      <c r="G6" s="5"/>
      <c r="H6" s="5"/>
      <c r="I6" s="5"/>
      <c r="J6" s="5"/>
      <c r="K6" s="5"/>
    </row>
    <row r="7" spans="1:11" ht="11.45" customHeight="1" x14ac:dyDescent="0.2">
      <c r="C7" s="4" t="s">
        <v>5</v>
      </c>
      <c r="D7" s="5">
        <v>600</v>
      </c>
      <c r="E7" s="5">
        <f>VLOOKUP(C7,[1]TDSheet!$C:$E,3,0)</f>
        <v>0.45</v>
      </c>
      <c r="F7" s="5">
        <f t="shared" si="0"/>
        <v>270</v>
      </c>
      <c r="G7" s="5"/>
      <c r="H7" s="5"/>
      <c r="I7" s="5"/>
      <c r="J7" s="5"/>
      <c r="K7" s="5"/>
    </row>
    <row r="8" spans="1:11" ht="11.45" customHeight="1" x14ac:dyDescent="0.2">
      <c r="C8" s="4" t="s">
        <v>6</v>
      </c>
      <c r="D8" s="5">
        <v>675</v>
      </c>
      <c r="E8" s="5">
        <f>VLOOKUP(C8,[1]TDSheet!$C:$E,3,0)</f>
        <v>0.3</v>
      </c>
      <c r="F8" s="5">
        <f t="shared" si="0"/>
        <v>202.5</v>
      </c>
      <c r="G8" s="5"/>
      <c r="H8" s="5"/>
      <c r="I8" s="5"/>
      <c r="J8" s="5"/>
      <c r="K8" s="5"/>
    </row>
    <row r="9" spans="1:11" ht="11.45" customHeight="1" x14ac:dyDescent="0.2">
      <c r="C9" s="4" t="s">
        <v>7</v>
      </c>
      <c r="D9" s="5">
        <v>675</v>
      </c>
      <c r="E9" s="5">
        <f>VLOOKUP(C9,[1]TDSheet!$C:$E,3,0)</f>
        <v>0.3</v>
      </c>
      <c r="F9" s="5">
        <f t="shared" si="0"/>
        <v>202.5</v>
      </c>
      <c r="G9" s="5"/>
      <c r="H9" s="5"/>
      <c r="I9" s="5"/>
      <c r="J9" s="5"/>
      <c r="K9" s="5"/>
    </row>
    <row r="10" spans="1:11" ht="11.45" customHeight="1" x14ac:dyDescent="0.2">
      <c r="C10" s="4" t="s">
        <v>8</v>
      </c>
      <c r="D10" s="5">
        <v>675</v>
      </c>
      <c r="E10" s="5">
        <f>VLOOKUP(C10,[1]TDSheet!$C:$E,3,0)</f>
        <v>0.4</v>
      </c>
      <c r="F10" s="5">
        <f t="shared" si="0"/>
        <v>270</v>
      </c>
      <c r="G10" s="5"/>
      <c r="H10" s="5"/>
      <c r="I10" s="5"/>
      <c r="J10" s="5"/>
      <c r="K10" s="5"/>
    </row>
    <row r="11" spans="1:11" ht="11.45" customHeight="1" x14ac:dyDescent="0.2">
      <c r="C11" s="4" t="s">
        <v>9</v>
      </c>
      <c r="D11" s="5">
        <v>600</v>
      </c>
      <c r="E11" s="5">
        <f>VLOOKUP(C11,[1]TDSheet!$C:$E,3,0)</f>
        <v>0.3</v>
      </c>
      <c r="F11" s="5">
        <f t="shared" si="0"/>
        <v>180</v>
      </c>
      <c r="G11" s="5"/>
      <c r="H11" s="5"/>
      <c r="I11" s="5"/>
      <c r="J11" s="5"/>
      <c r="K11" s="5"/>
    </row>
    <row r="12" spans="1:11" ht="11.45" customHeight="1" x14ac:dyDescent="0.2">
      <c r="C12" s="4" t="s">
        <v>10</v>
      </c>
      <c r="D12" s="5">
        <v>450</v>
      </c>
      <c r="E12" s="5">
        <f>VLOOKUP(C12,[1]TDSheet!$C:$E,3,0)</f>
        <v>0.33</v>
      </c>
      <c r="F12" s="5">
        <f t="shared" si="0"/>
        <v>148.5</v>
      </c>
      <c r="G12" s="5"/>
      <c r="H12" s="5"/>
      <c r="I12" s="5"/>
      <c r="J12" s="5"/>
      <c r="K12" s="5"/>
    </row>
    <row r="13" spans="1:11" ht="11.45" customHeight="1" x14ac:dyDescent="0.2">
      <c r="C13" s="4" t="s">
        <v>11</v>
      </c>
      <c r="D13" s="5">
        <v>450</v>
      </c>
      <c r="E13" s="5">
        <f>VLOOKUP(C13,[1]TDSheet!$C:$E,3,0)</f>
        <v>0.4</v>
      </c>
      <c r="F13" s="5">
        <f t="shared" si="0"/>
        <v>180</v>
      </c>
      <c r="G13" s="5"/>
      <c r="H13" s="5"/>
      <c r="I13" s="5"/>
      <c r="J13" s="5"/>
      <c r="K13" s="5"/>
    </row>
    <row r="14" spans="1:11" ht="11.45" customHeight="1" x14ac:dyDescent="0.2">
      <c r="C14" s="4" t="s">
        <v>12</v>
      </c>
      <c r="D14" s="5">
        <v>600</v>
      </c>
      <c r="E14" s="5">
        <f>VLOOKUP(C14,[1]TDSheet!$C:$E,3,0)</f>
        <v>0.4</v>
      </c>
      <c r="F14" s="5">
        <f t="shared" si="0"/>
        <v>240</v>
      </c>
      <c r="G14" s="5"/>
      <c r="H14" s="5"/>
      <c r="I14" s="5"/>
      <c r="J14" s="5"/>
      <c r="K14" s="5"/>
    </row>
    <row r="15" spans="1:11" ht="11.45" customHeight="1" x14ac:dyDescent="0.2">
      <c r="C15" s="4" t="s">
        <v>13</v>
      </c>
      <c r="D15" s="5">
        <v>675</v>
      </c>
      <c r="E15" s="5">
        <f>VLOOKUP(C15,[1]TDSheet!$C:$E,3,0)</f>
        <v>0.4</v>
      </c>
      <c r="F15" s="5">
        <f t="shared" si="0"/>
        <v>270</v>
      </c>
      <c r="G15" s="5"/>
      <c r="H15" s="5"/>
      <c r="I15" s="5"/>
      <c r="J15" s="5"/>
      <c r="K15" s="5"/>
    </row>
    <row r="16" spans="1:11" ht="11.45" customHeight="1" x14ac:dyDescent="0.2">
      <c r="C16" s="4" t="s">
        <v>14</v>
      </c>
      <c r="D16" s="5">
        <v>675</v>
      </c>
      <c r="E16" s="5">
        <f>VLOOKUP(C16,[1]TDSheet!$C:$E,3,0)</f>
        <v>0.4</v>
      </c>
      <c r="F16" s="5">
        <f t="shared" si="0"/>
        <v>270</v>
      </c>
      <c r="G16" s="5"/>
      <c r="H16" s="5"/>
      <c r="I16" s="5"/>
      <c r="J16" s="5"/>
      <c r="K16" s="5"/>
    </row>
    <row r="17" spans="3:11" ht="11.45" customHeight="1" x14ac:dyDescent="0.2">
      <c r="C17" s="4" t="s">
        <v>15</v>
      </c>
      <c r="D17" s="5">
        <v>675</v>
      </c>
      <c r="E17" s="5">
        <f>VLOOKUP(C17,[1]TDSheet!$C:$E,3,0)</f>
        <v>0.4</v>
      </c>
      <c r="F17" s="5">
        <f t="shared" si="0"/>
        <v>270</v>
      </c>
      <c r="G17" s="5"/>
      <c r="H17" s="5"/>
      <c r="I17" s="5"/>
      <c r="J17" s="5"/>
      <c r="K17" s="5"/>
    </row>
    <row r="18" spans="3:11" ht="11.45" customHeight="1" x14ac:dyDescent="0.2">
      <c r="C18" s="4" t="s">
        <v>16</v>
      </c>
      <c r="D18" s="5">
        <v>675</v>
      </c>
      <c r="E18" s="5">
        <f>VLOOKUP(C18,[1]TDSheet!$C:$E,3,0)</f>
        <v>0.4</v>
      </c>
      <c r="F18" s="5">
        <f t="shared" si="0"/>
        <v>270</v>
      </c>
      <c r="G18" s="5"/>
      <c r="H18" s="5"/>
      <c r="I18" s="5"/>
      <c r="J18" s="5"/>
      <c r="K18" s="5"/>
    </row>
    <row r="19" spans="3:11" ht="11.45" customHeight="1" x14ac:dyDescent="0.2">
      <c r="C19" s="4" t="s">
        <v>17</v>
      </c>
      <c r="D19" s="5">
        <v>600</v>
      </c>
      <c r="E19" s="5">
        <f>VLOOKUP(C19,[1]TDSheet!$C:$E,3,0)</f>
        <v>0.4</v>
      </c>
      <c r="F19" s="5">
        <f t="shared" si="0"/>
        <v>240</v>
      </c>
      <c r="G19" s="5"/>
      <c r="H19" s="5"/>
      <c r="I19" s="5"/>
      <c r="J19" s="5"/>
      <c r="K19" s="5"/>
    </row>
    <row r="20" spans="3:11" ht="11.45" customHeight="1" x14ac:dyDescent="0.2">
      <c r="C20" s="4" t="s">
        <v>18</v>
      </c>
      <c r="D20" s="5">
        <v>600</v>
      </c>
      <c r="E20" s="5">
        <f>VLOOKUP(C20,[1]TDSheet!$C:$E,3,0)</f>
        <v>0.6</v>
      </c>
      <c r="F20" s="5">
        <f t="shared" si="0"/>
        <v>360</v>
      </c>
      <c r="G20" s="5"/>
      <c r="H20" s="5"/>
      <c r="I20" s="5"/>
      <c r="J20" s="5"/>
      <c r="K20" s="5"/>
    </row>
    <row r="21" spans="3:11" ht="11.45" customHeight="1" x14ac:dyDescent="0.2">
      <c r="C21" s="4" t="s">
        <v>20</v>
      </c>
      <c r="D21" s="5">
        <v>675</v>
      </c>
      <c r="E21" s="5">
        <f>VLOOKUP(C21,[1]TDSheet!$C:$E,3,0)</f>
        <v>0.4</v>
      </c>
      <c r="F21" s="5">
        <f t="shared" si="0"/>
        <v>270</v>
      </c>
    </row>
    <row r="22" spans="3:11" ht="11.45" customHeight="1" x14ac:dyDescent="0.2">
      <c r="C22" s="4" t="s">
        <v>19</v>
      </c>
      <c r="D22" s="5">
        <v>675</v>
      </c>
      <c r="E22" s="5">
        <f>VLOOKUP(C22,[1]TDSheet!$C:$E,3,0)</f>
        <v>0.35</v>
      </c>
      <c r="F22" s="5">
        <f t="shared" si="0"/>
        <v>236.24999999999997</v>
      </c>
    </row>
    <row r="23" spans="3:11" ht="11.45" customHeight="1" x14ac:dyDescent="0.2">
      <c r="C23" s="4" t="s">
        <v>21</v>
      </c>
      <c r="D23" s="5">
        <v>675</v>
      </c>
      <c r="E23" s="5">
        <f>VLOOKUP(C23,[1]TDSheet!$C:$E,3,0)</f>
        <v>0.3</v>
      </c>
      <c r="F23" s="5">
        <f t="shared" si="0"/>
        <v>202.5</v>
      </c>
    </row>
    <row r="24" spans="3:11" ht="11.45" customHeight="1" x14ac:dyDescent="0.2">
      <c r="C24" s="4" t="s">
        <v>32</v>
      </c>
      <c r="D24" s="5">
        <v>675</v>
      </c>
      <c r="E24" s="5">
        <f>VLOOKUP(C24,[1]TDSheet!$C:$E,3,0)</f>
        <v>0.1</v>
      </c>
      <c r="F24" s="5">
        <f t="shared" si="0"/>
        <v>67.5</v>
      </c>
    </row>
    <row r="25" spans="3:11" ht="11.45" customHeight="1" x14ac:dyDescent="0.2">
      <c r="C25" s="4" t="s">
        <v>22</v>
      </c>
      <c r="D25" s="5">
        <v>675</v>
      </c>
      <c r="E25" s="5">
        <f>VLOOKUP(C25,[1]TDSheet!$C:$E,3,0)</f>
        <v>0.35</v>
      </c>
      <c r="F25" s="5">
        <f t="shared" si="0"/>
        <v>236.24999999999997</v>
      </c>
    </row>
    <row r="26" spans="3:11" ht="11.45" customHeight="1" x14ac:dyDescent="0.2">
      <c r="C26" s="4" t="s">
        <v>23</v>
      </c>
      <c r="D26" s="5">
        <v>600</v>
      </c>
      <c r="E26" s="5">
        <f>VLOOKUP(C26,[1]TDSheet!$C:$E,3,0)</f>
        <v>0.35</v>
      </c>
      <c r="F26" s="5">
        <f t="shared" si="0"/>
        <v>210</v>
      </c>
    </row>
    <row r="27" spans="3:11" ht="11.45" customHeight="1" x14ac:dyDescent="0.2">
      <c r="C27" s="4" t="s">
        <v>24</v>
      </c>
      <c r="D27" s="5">
        <v>600</v>
      </c>
      <c r="E27" s="5">
        <f>VLOOKUP(C27,[1]TDSheet!$C:$E,3,0)</f>
        <v>0.5</v>
      </c>
      <c r="F27" s="5">
        <f t="shared" si="0"/>
        <v>300</v>
      </c>
    </row>
    <row r="28" spans="3:11" ht="11.45" customHeight="1" x14ac:dyDescent="0.2">
      <c r="C28" s="4" t="s">
        <v>33</v>
      </c>
      <c r="D28" s="5">
        <v>675</v>
      </c>
      <c r="E28" s="5">
        <f>VLOOKUP(C28,[1]TDSheet!$C:$E,3,0)</f>
        <v>0.4</v>
      </c>
      <c r="F28" s="5">
        <f t="shared" si="0"/>
        <v>270</v>
      </c>
    </row>
    <row r="29" spans="3:11" ht="11.45" customHeight="1" x14ac:dyDescent="0.2">
      <c r="C29" s="4" t="s">
        <v>25</v>
      </c>
      <c r="D29" s="5">
        <v>675</v>
      </c>
      <c r="E29" s="5">
        <f>VLOOKUP(C29,[1]TDSheet!$C:$E,3,0)</f>
        <v>0.35</v>
      </c>
      <c r="F29" s="5">
        <f t="shared" si="0"/>
        <v>236.24999999999997</v>
      </c>
    </row>
    <row r="30" spans="3:11" ht="11.45" customHeight="1" x14ac:dyDescent="0.2">
      <c r="C30" s="4" t="s">
        <v>26</v>
      </c>
      <c r="D30" s="5">
        <v>675</v>
      </c>
      <c r="E30" s="5">
        <f>VLOOKUP(C30,[1]TDSheet!$C:$E,3,0)</f>
        <v>0.35</v>
      </c>
      <c r="F30" s="5">
        <f t="shared" si="0"/>
        <v>236.24999999999997</v>
      </c>
    </row>
    <row r="31" spans="3:11" ht="11.45" customHeight="1" x14ac:dyDescent="0.2">
      <c r="C31" s="4" t="s">
        <v>27</v>
      </c>
      <c r="D31" s="5">
        <v>200</v>
      </c>
      <c r="E31" s="5">
        <f>VLOOKUP(C31,[1]TDSheet!$C:$E,3,0)</f>
        <v>0.35</v>
      </c>
      <c r="F31" s="5">
        <f t="shared" si="0"/>
        <v>70</v>
      </c>
    </row>
    <row r="32" spans="3:11" ht="11.45" customHeight="1" x14ac:dyDescent="0.2">
      <c r="C32" s="4" t="s">
        <v>28</v>
      </c>
      <c r="D32" s="5">
        <v>450</v>
      </c>
      <c r="E32" s="5">
        <f>VLOOKUP(C32,[1]TDSheet!$C:$E,3,0)</f>
        <v>0.35</v>
      </c>
      <c r="F32" s="5">
        <f t="shared" si="0"/>
        <v>157.5</v>
      </c>
    </row>
    <row r="33" spans="3:6" ht="11.45" customHeight="1" x14ac:dyDescent="0.2">
      <c r="C33" s="4" t="s">
        <v>29</v>
      </c>
      <c r="D33" s="5">
        <v>450</v>
      </c>
      <c r="E33" s="5">
        <f>VLOOKUP(C33,[1]TDSheet!$C:$E,3,0)</f>
        <v>0.6</v>
      </c>
      <c r="F33" s="5">
        <f t="shared" si="0"/>
        <v>270</v>
      </c>
    </row>
    <row r="34" spans="3:6" ht="11.45" customHeight="1" x14ac:dyDescent="0.2">
      <c r="C34" s="4" t="s">
        <v>30</v>
      </c>
      <c r="D34" s="5">
        <v>450</v>
      </c>
      <c r="E34" s="5">
        <f>VLOOKUP(C34,[1]TDSheet!$C:$E,3,0)</f>
        <v>0.33</v>
      </c>
      <c r="F34" s="5">
        <f t="shared" si="0"/>
        <v>148.5</v>
      </c>
    </row>
    <row r="35" spans="3:6" ht="11.45" customHeight="1" x14ac:dyDescent="0.2">
      <c r="C35" s="6" t="s">
        <v>31</v>
      </c>
      <c r="D35" s="5">
        <v>600</v>
      </c>
      <c r="E35" s="5">
        <f>VLOOKUP(C35,[1]TDSheet!$C:$E,3,0)</f>
        <v>0.6</v>
      </c>
      <c r="F35" s="5">
        <f t="shared" si="0"/>
        <v>360</v>
      </c>
    </row>
    <row r="36" spans="3:6" ht="11.45" customHeight="1" x14ac:dyDescent="0.2">
      <c r="C36" s="4"/>
      <c r="D36" s="8">
        <f>SUM(D4:D35)</f>
        <v>19437.5</v>
      </c>
    </row>
    <row r="37" spans="3:6" ht="11.45" customHeight="1" x14ac:dyDescent="0.2">
      <c r="C37" s="4"/>
    </row>
    <row r="38" spans="3:6" ht="11.45" customHeight="1" x14ac:dyDescent="0.2">
      <c r="C38" s="4"/>
    </row>
    <row r="39" spans="3:6" ht="11.45" customHeight="1" x14ac:dyDescent="0.2">
      <c r="C39" s="4"/>
    </row>
    <row r="40" spans="3:6" ht="11.45" customHeight="1" x14ac:dyDescent="0.2">
      <c r="C40" s="4"/>
    </row>
    <row r="41" spans="3:6" ht="11.45" customHeight="1" x14ac:dyDescent="0.2">
      <c r="C41" s="4"/>
    </row>
    <row r="42" spans="3:6" ht="11.45" customHeight="1" x14ac:dyDescent="0.2">
      <c r="C42" s="4"/>
    </row>
    <row r="43" spans="3:6" ht="11.45" customHeight="1" x14ac:dyDescent="0.2">
      <c r="C43" s="4"/>
    </row>
    <row r="44" spans="3:6" ht="11.45" customHeight="1" x14ac:dyDescent="0.2">
      <c r="C44" s="4"/>
    </row>
  </sheetData>
  <autoFilter ref="B3:C3" xr:uid="{00000000-0009-0000-0000-000000000000}"/>
  <mergeCells count="1">
    <mergeCell ref="B1:B2"/>
  </mergeCells>
  <phoneticPr fontId="2" type="noConversion"/>
  <pageMargins left="0.75" right="1" top="0.75" bottom="1" header="0.5" footer="0.5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Uaer4</cp:lastModifiedBy>
  <cp:lastPrinted>2022-09-28T12:53:59Z</cp:lastPrinted>
  <dcterms:created xsi:type="dcterms:W3CDTF">2022-10-06T06:21:40Z</dcterms:created>
  <dcterms:modified xsi:type="dcterms:W3CDTF">2026-01-23T07:47:15Z</dcterms:modified>
</cp:coreProperties>
</file>