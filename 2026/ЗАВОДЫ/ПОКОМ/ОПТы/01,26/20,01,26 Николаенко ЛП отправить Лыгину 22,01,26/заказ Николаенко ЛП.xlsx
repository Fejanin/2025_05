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0C30ACC2-4390-47E9-8C1D-04C5A199D0C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Y344" i="1" s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BP252" i="1" s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N194" i="1"/>
  <c r="BM194" i="1"/>
  <c r="Z194" i="1"/>
  <c r="Y194" i="1"/>
  <c r="BP194" i="1" s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Y186" i="1" s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Z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Z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1" i="1" s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149" i="1" l="1"/>
  <c r="BN149" i="1"/>
  <c r="Z149" i="1"/>
  <c r="BP177" i="1"/>
  <c r="BN177" i="1"/>
  <c r="Z177" i="1"/>
  <c r="BP219" i="1"/>
  <c r="BN219" i="1"/>
  <c r="Z219" i="1"/>
  <c r="BP254" i="1"/>
  <c r="BN254" i="1"/>
  <c r="Z254" i="1"/>
  <c r="BP286" i="1"/>
  <c r="BN286" i="1"/>
  <c r="Z286" i="1"/>
  <c r="BP315" i="1"/>
  <c r="BN315" i="1"/>
  <c r="Z315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2" i="1"/>
  <c r="BN22" i="1"/>
  <c r="Y25" i="1"/>
  <c r="Z42" i="1"/>
  <c r="BN42" i="1"/>
  <c r="Z61" i="1"/>
  <c r="BN61" i="1"/>
  <c r="Z86" i="1"/>
  <c r="BN86" i="1"/>
  <c r="Z101" i="1"/>
  <c r="BN101" i="1"/>
  <c r="BP107" i="1"/>
  <c r="BN107" i="1"/>
  <c r="Y123" i="1"/>
  <c r="Y122" i="1"/>
  <c r="BP121" i="1"/>
  <c r="BN121" i="1"/>
  <c r="Z121" i="1"/>
  <c r="Z122" i="1" s="1"/>
  <c r="BP126" i="1"/>
  <c r="BN126" i="1"/>
  <c r="Z126" i="1"/>
  <c r="BP169" i="1"/>
  <c r="BN169" i="1"/>
  <c r="Z169" i="1"/>
  <c r="BP207" i="1"/>
  <c r="BN207" i="1"/>
  <c r="Z207" i="1"/>
  <c r="BP236" i="1"/>
  <c r="BN236" i="1"/>
  <c r="Z236" i="1"/>
  <c r="BP265" i="1"/>
  <c r="BN265" i="1"/>
  <c r="Z265" i="1"/>
  <c r="BP301" i="1"/>
  <c r="BN301" i="1"/>
  <c r="Z301" i="1"/>
  <c r="BP327" i="1"/>
  <c r="BN327" i="1"/>
  <c r="Z327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4" i="1"/>
  <c r="Y473" i="1"/>
  <c r="BP472" i="1"/>
  <c r="BN472" i="1"/>
  <c r="Z472" i="1"/>
  <c r="Z473" i="1" s="1"/>
  <c r="Y478" i="1"/>
  <c r="Y477" i="1"/>
  <c r="BP476" i="1"/>
  <c r="BN476" i="1"/>
  <c r="Z476" i="1"/>
  <c r="Z477" i="1" s="1"/>
  <c r="BP480" i="1"/>
  <c r="BN480" i="1"/>
  <c r="Z480" i="1"/>
  <c r="BP299" i="1"/>
  <c r="BN299" i="1"/>
  <c r="Z299" i="1"/>
  <c r="BP309" i="1"/>
  <c r="BN309" i="1"/>
  <c r="Z309" i="1"/>
  <c r="BP323" i="1"/>
  <c r="BN323" i="1"/>
  <c r="Z323" i="1"/>
  <c r="BP342" i="1"/>
  <c r="BN342" i="1"/>
  <c r="Z342" i="1"/>
  <c r="BP343" i="1"/>
  <c r="BN343" i="1"/>
  <c r="Z343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499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68" i="1"/>
  <c r="BN468" i="1"/>
  <c r="Z468" i="1"/>
  <c r="X493" i="1"/>
  <c r="Z28" i="1"/>
  <c r="BN28" i="1"/>
  <c r="Z34" i="1"/>
  <c r="Z35" i="1" s="1"/>
  <c r="BN34" i="1"/>
  <c r="BP34" i="1"/>
  <c r="Y35" i="1"/>
  <c r="Z40" i="1"/>
  <c r="BN40" i="1"/>
  <c r="Y43" i="1"/>
  <c r="Z46" i="1"/>
  <c r="Z47" i="1" s="1"/>
  <c r="BN46" i="1"/>
  <c r="BP46" i="1"/>
  <c r="Y47" i="1"/>
  <c r="Z51" i="1"/>
  <c r="BN51" i="1"/>
  <c r="Y58" i="1"/>
  <c r="Z55" i="1"/>
  <c r="BN55" i="1"/>
  <c r="Y64" i="1"/>
  <c r="Z67" i="1"/>
  <c r="BN67" i="1"/>
  <c r="Z71" i="1"/>
  <c r="BN71" i="1"/>
  <c r="Y76" i="1"/>
  <c r="Z79" i="1"/>
  <c r="BN79" i="1"/>
  <c r="Z84" i="1"/>
  <c r="BN84" i="1"/>
  <c r="Y89" i="1"/>
  <c r="Z92" i="1"/>
  <c r="BN92" i="1"/>
  <c r="Z99" i="1"/>
  <c r="BN99" i="1"/>
  <c r="Z103" i="1"/>
  <c r="BN103" i="1"/>
  <c r="Y111" i="1"/>
  <c r="Z109" i="1"/>
  <c r="BN109" i="1"/>
  <c r="Z117" i="1"/>
  <c r="BN117" i="1"/>
  <c r="Z132" i="1"/>
  <c r="BN132" i="1"/>
  <c r="Y138" i="1"/>
  <c r="Z143" i="1"/>
  <c r="BN143" i="1"/>
  <c r="Z147" i="1"/>
  <c r="BN147" i="1"/>
  <c r="Z151" i="1"/>
  <c r="BN151" i="1"/>
  <c r="Z167" i="1"/>
  <c r="BN167" i="1"/>
  <c r="Z171" i="1"/>
  <c r="BN171" i="1"/>
  <c r="Z175" i="1"/>
  <c r="BN175" i="1"/>
  <c r="Z183" i="1"/>
  <c r="BN183" i="1"/>
  <c r="Z205" i="1"/>
  <c r="BN205" i="1"/>
  <c r="Z209" i="1"/>
  <c r="BN209" i="1"/>
  <c r="Z217" i="1"/>
  <c r="BN217" i="1"/>
  <c r="Z221" i="1"/>
  <c r="BN221" i="1"/>
  <c r="Z234" i="1"/>
  <c r="BN234" i="1"/>
  <c r="Z238" i="1"/>
  <c r="BN238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Z256" i="1"/>
  <c r="BN256" i="1"/>
  <c r="Z263" i="1"/>
  <c r="BN263" i="1"/>
  <c r="Z270" i="1"/>
  <c r="BN270" i="1"/>
  <c r="Z279" i="1"/>
  <c r="BN279" i="1"/>
  <c r="Y292" i="1"/>
  <c r="BP290" i="1"/>
  <c r="BN290" i="1"/>
  <c r="Z290" i="1"/>
  <c r="BP305" i="1"/>
  <c r="BN305" i="1"/>
  <c r="Z305" i="1"/>
  <c r="BP317" i="1"/>
  <c r="BN317" i="1"/>
  <c r="Z317" i="1"/>
  <c r="BP329" i="1"/>
  <c r="BN329" i="1"/>
  <c r="Z329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4" i="1"/>
  <c r="BP460" i="1"/>
  <c r="BN460" i="1"/>
  <c r="Z460" i="1"/>
  <c r="Y331" i="1"/>
  <c r="Y388" i="1"/>
  <c r="Y387" i="1"/>
  <c r="Y482" i="1"/>
  <c r="H9" i="1"/>
  <c r="A10" i="1"/>
  <c r="B499" i="1"/>
  <c r="X490" i="1"/>
  <c r="X491" i="1"/>
  <c r="Z23" i="1"/>
  <c r="Z24" i="1" s="1"/>
  <c r="BN23" i="1"/>
  <c r="BP23" i="1"/>
  <c r="Y24" i="1"/>
  <c r="X489" i="1"/>
  <c r="Z27" i="1"/>
  <c r="BN27" i="1"/>
  <c r="BP27" i="1"/>
  <c r="Z29" i="1"/>
  <c r="BN29" i="1"/>
  <c r="Y32" i="1"/>
  <c r="C499" i="1"/>
  <c r="Z41" i="1"/>
  <c r="BN41" i="1"/>
  <c r="BP41" i="1"/>
  <c r="Y44" i="1"/>
  <c r="D499" i="1"/>
  <c r="Y57" i="1"/>
  <c r="Z52" i="1"/>
  <c r="BN52" i="1"/>
  <c r="BP52" i="1"/>
  <c r="BP62" i="1"/>
  <c r="BN62" i="1"/>
  <c r="Z62" i="1"/>
  <c r="Y69" i="1"/>
  <c r="BP66" i="1"/>
  <c r="BN66" i="1"/>
  <c r="Z66" i="1"/>
  <c r="Y75" i="1"/>
  <c r="BP74" i="1"/>
  <c r="BN74" i="1"/>
  <c r="Z74" i="1"/>
  <c r="Y81" i="1"/>
  <c r="BP78" i="1"/>
  <c r="BN78" i="1"/>
  <c r="Z78" i="1"/>
  <c r="Z80" i="1" s="1"/>
  <c r="BP87" i="1"/>
  <c r="BN87" i="1"/>
  <c r="Z87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BP137" i="1"/>
  <c r="BN137" i="1"/>
  <c r="Z137" i="1"/>
  <c r="Z138" i="1" s="1"/>
  <c r="Y139" i="1"/>
  <c r="Y145" i="1"/>
  <c r="BP142" i="1"/>
  <c r="BN142" i="1"/>
  <c r="Z142" i="1"/>
  <c r="Y153" i="1"/>
  <c r="BP150" i="1"/>
  <c r="BN150" i="1"/>
  <c r="Z150" i="1"/>
  <c r="Y179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9" i="1"/>
  <c r="BP188" i="1"/>
  <c r="BN188" i="1"/>
  <c r="Z188" i="1"/>
  <c r="Z189" i="1" s="1"/>
  <c r="Y190" i="1"/>
  <c r="J499" i="1"/>
  <c r="Y195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Y324" i="1"/>
  <c r="H499" i="1"/>
  <c r="F9" i="1"/>
  <c r="J9" i="1"/>
  <c r="BP54" i="1"/>
  <c r="BN54" i="1"/>
  <c r="BP56" i="1"/>
  <c r="BN56" i="1"/>
  <c r="Z56" i="1"/>
  <c r="Y63" i="1"/>
  <c r="BP60" i="1"/>
  <c r="BN60" i="1"/>
  <c r="Z60" i="1"/>
  <c r="Z63" i="1" s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Z118" i="1" s="1"/>
  <c r="Y118" i="1"/>
  <c r="BP127" i="1"/>
  <c r="BN127" i="1"/>
  <c r="Z127" i="1"/>
  <c r="Z128" i="1" s="1"/>
  <c r="Y129" i="1"/>
  <c r="Y134" i="1"/>
  <c r="BP131" i="1"/>
  <c r="BN131" i="1"/>
  <c r="Z131" i="1"/>
  <c r="BP148" i="1"/>
  <c r="BN148" i="1"/>
  <c r="Z148" i="1"/>
  <c r="Y152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Y275" i="1"/>
  <c r="BP280" i="1"/>
  <c r="BN280" i="1"/>
  <c r="Z280" i="1"/>
  <c r="Y282" i="1"/>
  <c r="P499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50" i="1"/>
  <c r="BN350" i="1"/>
  <c r="Z350" i="1"/>
  <c r="Y356" i="1"/>
  <c r="BP354" i="1"/>
  <c r="BN354" i="1"/>
  <c r="Z354" i="1"/>
  <c r="BP393" i="1"/>
  <c r="BN393" i="1"/>
  <c r="Z393" i="1"/>
  <c r="U499" i="1"/>
  <c r="BP397" i="1"/>
  <c r="BN397" i="1"/>
  <c r="Z397" i="1"/>
  <c r="Y401" i="1"/>
  <c r="BP405" i="1"/>
  <c r="BN405" i="1"/>
  <c r="Z405" i="1"/>
  <c r="Z406" i="1" s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499" i="1"/>
  <c r="Y88" i="1"/>
  <c r="F499" i="1"/>
  <c r="Y105" i="1"/>
  <c r="G499" i="1"/>
  <c r="Y128" i="1"/>
  <c r="I499" i="1"/>
  <c r="Y163" i="1"/>
  <c r="Y201" i="1"/>
  <c r="BP198" i="1"/>
  <c r="BN198" i="1"/>
  <c r="Z198" i="1"/>
  <c r="Z200" i="1" s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Z241" i="1" s="1"/>
  <c r="BP239" i="1"/>
  <c r="BN239" i="1"/>
  <c r="Z239" i="1"/>
  <c r="Y258" i="1"/>
  <c r="BP255" i="1"/>
  <c r="BN255" i="1"/>
  <c r="Z255" i="1"/>
  <c r="L499" i="1"/>
  <c r="BP264" i="1"/>
  <c r="BN264" i="1"/>
  <c r="Z264" i="1"/>
  <c r="BP273" i="1"/>
  <c r="BN273" i="1"/>
  <c r="Z273" i="1"/>
  <c r="Z274" i="1" s="1"/>
  <c r="O499" i="1"/>
  <c r="Y281" i="1"/>
  <c r="BP278" i="1"/>
  <c r="BN278" i="1"/>
  <c r="Z278" i="1"/>
  <c r="BP291" i="1"/>
  <c r="BN291" i="1"/>
  <c r="Z291" i="1"/>
  <c r="Z292" i="1" s="1"/>
  <c r="Y293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499" i="1"/>
  <c r="Y345" i="1"/>
  <c r="BP341" i="1"/>
  <c r="BN341" i="1"/>
  <c r="Z341" i="1"/>
  <c r="BP375" i="1"/>
  <c r="BN375" i="1"/>
  <c r="Z375" i="1"/>
  <c r="Z376" i="1" s="1"/>
  <c r="Y377" i="1"/>
  <c r="Y382" i="1"/>
  <c r="BP379" i="1"/>
  <c r="BN379" i="1"/>
  <c r="Z379" i="1"/>
  <c r="Y381" i="1"/>
  <c r="Q499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Y402" i="1"/>
  <c r="BP395" i="1"/>
  <c r="BN395" i="1"/>
  <c r="Z395" i="1"/>
  <c r="BP399" i="1"/>
  <c r="BN399" i="1"/>
  <c r="Z399" i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Y499" i="1"/>
  <c r="Y357" i="1"/>
  <c r="T499" i="1"/>
  <c r="Y376" i="1"/>
  <c r="X499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1" i="1"/>
  <c r="BN461" i="1"/>
  <c r="Z461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40" i="1"/>
  <c r="Z401" i="1" l="1"/>
  <c r="Z387" i="1"/>
  <c r="Z133" i="1"/>
  <c r="Z75" i="1"/>
  <c r="Z324" i="1"/>
  <c r="Z57" i="1"/>
  <c r="Z43" i="1"/>
  <c r="Z152" i="1"/>
  <c r="Z356" i="1"/>
  <c r="Z179" i="1"/>
  <c r="Z311" i="1"/>
  <c r="Y489" i="1"/>
  <c r="Z464" i="1"/>
  <c r="Z446" i="1"/>
  <c r="Z440" i="1"/>
  <c r="Z361" i="1"/>
  <c r="Z381" i="1"/>
  <c r="Z344" i="1"/>
  <c r="Z331" i="1"/>
  <c r="Z302" i="1"/>
  <c r="Z281" i="1"/>
  <c r="Z257" i="1"/>
  <c r="Z211" i="1"/>
  <c r="Z266" i="1"/>
  <c r="Z104" i="1"/>
  <c r="Z88" i="1"/>
  <c r="Y490" i="1"/>
  <c r="Y491" i="1"/>
  <c r="Z144" i="1"/>
  <c r="Z68" i="1"/>
  <c r="Z223" i="1"/>
  <c r="Z337" i="1"/>
  <c r="Z318" i="1"/>
  <c r="Z111" i="1"/>
  <c r="Z31" i="1"/>
  <c r="Y493" i="1"/>
  <c r="Z455" i="1"/>
  <c r="Z418" i="1"/>
  <c r="Z95" i="1"/>
  <c r="X492" i="1"/>
  <c r="Z494" i="1" l="1"/>
  <c r="Y492" i="1"/>
</calcChain>
</file>

<file path=xl/sharedStrings.xml><?xml version="1.0" encoding="utf-8"?>
<sst xmlns="http://schemas.openxmlformats.org/spreadsheetml/2006/main" count="2240" uniqueCount="770">
  <si>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</si>
  <si>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</si>
  <si>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</si>
  <si>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</si>
  <si>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</si>
  <si>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</si>
  <si>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</si>
  <si>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</si>
  <si>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</si>
  <si>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</si>
  <si>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</si>
  <si>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</si>
  <si>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</si>
  <si>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</si>
  <si>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</si>
  <si>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</si>
  <si>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</si>
  <si>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</si>
  <si>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</si>
  <si>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</si>
  <si>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</si>
  <si>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</si>
  <si>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</si>
  <si>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</si>
  <si>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</si>
  <si>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</si>
  <si>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</si>
  <si>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</si>
  <si>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</si>
  <si>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</si>
  <si>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</si>
  <si>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</si>
  <si>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</si>
  <si>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</si>
  <si>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</si>
  <si>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</si>
  <si>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</si>
  <si>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</si>
  <si>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</si>
  <si>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</si>
  <si>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</si>
  <si>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</si>
  <si>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</si>
  <si>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</si>
  <si>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</si>
  <si>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</si>
  <si>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</si>
  <si>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</si>
  <si>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</si>
  <si>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</si>
  <si>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</si>
  <si>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</si>
  <si>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</si>
  <si>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</si>
  <si>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</si>
  <si>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</si>
  <si>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</si>
  <si>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</si>
  <si>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</si>
  <si>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</si>
  <si>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</si>
  <si>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</si>
  <si>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</si>
  <si>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</si>
  <si>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</si>
  <si>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</si>
  <si>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</si>
  <si>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</si>
  <si>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</si>
  <si>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</si>
  <si>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</si>
  <si>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</si>
  <si>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</si>
  <si>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</si>
  <si>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</si>
  <si>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</si>
  <si>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</si>
  <si>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</si>
  <si>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</si>
  <si>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</si>
  <si>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Короб, мин. 14</t>
  </si>
  <si>
    <t>СК3</t>
  </si>
  <si>
    <t>ЕАЭС N RU Д-RU.РА10.В.84355/25, ЕАЭС N RU Д-RU.РА11.В.72353/25</t>
  </si>
  <si>
    <t>Короб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</si>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</sst>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2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7" t="s">
        <v>0</v>
      </c>
      <c r="E1" s="578"/>
      <c r="F1" s="578"/>
      <c r="G1" s="12" t="s">
        <v>1</v>
      </c>
      <c r="H1" s="627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46"/>
      <c r="C5" s="647"/>
      <c r="D5" s="632"/>
      <c r="E5" s="633"/>
      <c r="F5" s="834" t="s">
        <v>9</v>
      </c>
      <c r="G5" s="647"/>
      <c r="H5" s="632"/>
      <c r="I5" s="777"/>
      <c r="J5" s="777"/>
      <c r="K5" s="777"/>
      <c r="L5" s="777"/>
      <c r="M5" s="633"/>
      <c r="N5" s="58"/>
      <c r="P5" s="24" t="s">
        <v>10</v>
      </c>
      <c r="Q5" s="849">
        <v>46047</v>
      </c>
      <c r="R5" s="671"/>
      <c r="T5" s="714" t="s">
        <v>11</v>
      </c>
      <c r="U5" s="715"/>
      <c r="V5" s="716" t="s">
        <v>12</v>
      </c>
      <c r="W5" s="671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46"/>
      <c r="C6" s="647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1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Воскресенье</v>
      </c>
      <c r="R6" s="555"/>
      <c r="T6" s="720" t="s">
        <v>16</v>
      </c>
      <c r="U6" s="715"/>
      <c r="V6" s="763" t="s">
        <v>17</v>
      </c>
      <c r="W6" s="597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1"/>
      <c r="U7" s="715"/>
      <c r="V7" s="764"/>
      <c r="W7" s="765"/>
      <c r="AB7" s="51"/>
      <c r="AC7" s="51"/>
      <c r="AD7" s="51"/>
      <c r="AE7" s="51"/>
    </row>
    <row r="8" spans="1:32" s="541" customFormat="1" ht="25.5" customHeight="1" x14ac:dyDescent="0.2">
      <c r="A8" s="869" t="s">
        <v>18</v>
      </c>
      <c r="B8" s="566"/>
      <c r="C8" s="567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0">
        <v>0.375</v>
      </c>
      <c r="R8" s="611"/>
      <c r="T8" s="561"/>
      <c r="U8" s="715"/>
      <c r="V8" s="764"/>
      <c r="W8" s="765"/>
      <c r="AB8" s="51"/>
      <c r="AC8" s="51"/>
      <c r="AD8" s="51"/>
      <c r="AE8" s="51"/>
    </row>
    <row r="9" spans="1:32" s="541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8"/>
      <c r="E9" s="569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64"/>
      <c r="R9" s="665"/>
      <c r="T9" s="561"/>
      <c r="U9" s="715"/>
      <c r="V9" s="766"/>
      <c r="W9" s="76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8"/>
      <c r="E10" s="569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6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1"/>
      <c r="R10" s="722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798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680"/>
      <c r="R12" s="611"/>
      <c r="S12" s="23"/>
      <c r="U12" s="24"/>
      <c r="V12" s="578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798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00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4" t="s">
        <v>38</v>
      </c>
      <c r="D17" s="590" t="s">
        <v>39</v>
      </c>
      <c r="E17" s="651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0"/>
      <c r="R17" s="650"/>
      <c r="S17" s="650"/>
      <c r="T17" s="651"/>
      <c r="U17" s="864" t="s">
        <v>51</v>
      </c>
      <c r="V17" s="647"/>
      <c r="W17" s="590" t="s">
        <v>52</v>
      </c>
      <c r="X17" s="590" t="s">
        <v>53</v>
      </c>
      <c r="Y17" s="867" t="s">
        <v>54</v>
      </c>
      <c r="Z17" s="775" t="s">
        <v>55</v>
      </c>
      <c r="AA17" s="754" t="s">
        <v>56</v>
      </c>
      <c r="AB17" s="754" t="s">
        <v>57</v>
      </c>
      <c r="AC17" s="754" t="s">
        <v>58</v>
      </c>
      <c r="AD17" s="75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2"/>
      <c r="E18" s="654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1"/>
      <c r="X18" s="591"/>
      <c r="Y18" s="868"/>
      <c r="Z18" s="776"/>
      <c r="AA18" s="755"/>
      <c r="AB18" s="755"/>
      <c r="AC18" s="755"/>
      <c r="AD18" s="831"/>
      <c r="AE18" s="832"/>
      <c r="AF18" s="833"/>
      <c r="AG18" s="66"/>
      <c r="BD18" s="65"/>
    </row>
    <row r="19" spans="1:68" ht="27.75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 t="s">
        <v>80</v>
      </c>
      <c r="M27" s="33" t="s">
        <v>81</v>
      </c>
      <c r="N27" s="33"/>
      <c r="O27" s="32">
        <v>40</v>
      </c>
      <c r="P27" s="75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 t="s">
        <v>83</v>
      </c>
      <c r="AK27" s="68">
        <v>25.2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84</v>
      </c>
      <c r="B28" s="54" t="s">
        <v>85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30</v>
      </c>
      <c r="Y40" s="548">
        <f>IFERROR(IF(X40="",0,CEILING((X40/$H40),1)*$H40),"")</f>
        <v>32.400000000000006</v>
      </c>
      <c r="Z40" s="36">
        <f>IFERROR(IF(Y40=0,"",ROUNDUP(Y40/H40,0)*0.01898),"")</f>
        <v>5.6940000000000004E-2</v>
      </c>
      <c r="AA40" s="56"/>
      <c r="AB40" s="57"/>
      <c r="AC40" s="83" t="s">
        <v>107</v>
      </c>
      <c r="AG40" s="64"/>
      <c r="AJ40" s="68" t="s">
        <v>83</v>
      </c>
      <c r="AK40" s="68">
        <v>86.4</v>
      </c>
      <c r="BB40" s="84" t="s">
        <v>1</v>
      </c>
      <c r="BM40" s="64">
        <f>IFERROR(X40*I40/H40,"0")</f>
        <v>31.138888888888889</v>
      </c>
      <c r="BN40" s="64">
        <f>IFERROR(Y40*I40/H40,"0")</f>
        <v>33.630000000000003</v>
      </c>
      <c r="BO40" s="64">
        <f>IFERROR(1/J40*(X40/H40),"0")</f>
        <v>4.3402777777777776E-2</v>
      </c>
      <c r="BP40" s="64">
        <f>IFERROR(1/J40*(Y40/H40),"0")</f>
        <v>4.6875000000000007E-2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4">
        <v>4607091385687</v>
      </c>
      <c r="E41" s="555"/>
      <c r="F41" s="546">
        <v>0.4</v>
      </c>
      <c r="G41" s="32">
        <v>10</v>
      </c>
      <c r="H41" s="546">
        <v>4</v>
      </c>
      <c r="I41" s="546">
        <v>4.1900000000000004</v>
      </c>
      <c r="J41" s="32">
        <v>132</v>
      </c>
      <c r="K41" s="32" t="s">
        <v>110</v>
      </c>
      <c r="L41" s="32" t="s">
        <v>111</v>
      </c>
      <c r="M41" s="33" t="s">
        <v>81</v>
      </c>
      <c r="N41" s="33"/>
      <c r="O41" s="32">
        <v>50</v>
      </c>
      <c r="P41" s="80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83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4">
        <v>4680115882539</v>
      </c>
      <c r="E42" s="555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110</v>
      </c>
      <c r="L42" s="32"/>
      <c r="M42" s="33" t="s">
        <v>81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2.7777777777777777</v>
      </c>
      <c r="Y43" s="549">
        <f>IFERROR(Y40/H40,"0")+IFERROR(Y41/H41,"0")+IFERROR(Y42/H42,"0")</f>
        <v>3.0000000000000004</v>
      </c>
      <c r="Z43" s="549">
        <f>IFERROR(IF(Z40="",0,Z40),"0")+IFERROR(IF(Z41="",0,Z41),"0")+IFERROR(IF(Z42="",0,Z42),"0")</f>
        <v>5.6940000000000004E-2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30</v>
      </c>
      <c r="Y44" s="549">
        <f>IFERROR(SUM(Y40:Y42),"0")</f>
        <v>32.400000000000006</v>
      </c>
      <c r="Z44" s="37"/>
      <c r="AA44" s="550"/>
      <c r="AB44" s="550"/>
      <c r="AC44" s="550"/>
    </row>
    <row r="45" spans="1:68" ht="14.25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/>
      <c r="M46" s="33" t="s">
        <v>81</v>
      </c>
      <c r="N46" s="33"/>
      <c r="O46" s="32">
        <v>40</v>
      </c>
      <c r="P46" s="79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/>
      <c r="M51" s="33" t="s">
        <v>81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100</v>
      </c>
      <c r="Y52" s="548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/>
      <c r="M55" s="33" t="s">
        <v>88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 t="s">
        <v>111</v>
      </c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31.5</v>
      </c>
      <c r="Y56" s="548">
        <f t="shared" si="0"/>
        <v>31.5</v>
      </c>
      <c r="Z56" s="36">
        <f>IFERROR(IF(Y56=0,"",ROUNDUP(Y56/H56,0)*0.00902),"")</f>
        <v>6.3140000000000002E-2</v>
      </c>
      <c r="AA56" s="56"/>
      <c r="AB56" s="57"/>
      <c r="AC56" s="101" t="s">
        <v>135</v>
      </c>
      <c r="AG56" s="64"/>
      <c r="AJ56" s="68" t="s">
        <v>83</v>
      </c>
      <c r="AK56" s="68">
        <v>54</v>
      </c>
      <c r="BB56" s="102" t="s">
        <v>1</v>
      </c>
      <c r="BM56" s="64">
        <f t="shared" si="1"/>
        <v>32.830000000000005</v>
      </c>
      <c r="BN56" s="64">
        <f t="shared" si="2"/>
        <v>32.830000000000005</v>
      </c>
      <c r="BO56" s="64">
        <f t="shared" si="3"/>
        <v>5.3030303030303032E-2</v>
      </c>
      <c r="BP56" s="64">
        <f t="shared" si="4"/>
        <v>5.3030303030303032E-2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16.25925925925926</v>
      </c>
      <c r="Y57" s="549">
        <f>IFERROR(Y51/H51,"0")+IFERROR(Y52/H52,"0")+IFERROR(Y53/H53,"0")+IFERROR(Y54/H54,"0")+IFERROR(Y55/H55,"0")+IFERROR(Y56/H56,"0")</f>
        <v>17</v>
      </c>
      <c r="Z57" s="549">
        <f>IFERROR(IF(Z51="",0,Z51),"0")+IFERROR(IF(Z52="",0,Z52),"0")+IFERROR(IF(Z53="",0,Z53),"0")+IFERROR(IF(Z54="",0,Z54),"0")+IFERROR(IF(Z55="",0,Z55),"0")+IFERROR(IF(Z56="",0,Z56),"0")</f>
        <v>0.25294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131.5</v>
      </c>
      <c r="Y58" s="549">
        <f>IFERROR(SUM(Y51:Y56),"0")</f>
        <v>139.5</v>
      </c>
      <c r="Z58" s="37"/>
      <c r="AA58" s="550"/>
      <c r="AB58" s="550"/>
      <c r="AC58" s="550"/>
    </row>
    <row r="59" spans="1:68" ht="14.25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/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0</v>
      </c>
      <c r="Y60" s="548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81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 t="s">
        <v>80</v>
      </c>
      <c r="M62" s="33" t="s">
        <v>106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83</v>
      </c>
      <c r="AK62" s="68">
        <v>37.799999999999997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0</v>
      </c>
      <c r="Y63" s="549">
        <f>IFERROR(Y60/H60,"0")+IFERROR(Y61/H61,"0")+IFERROR(Y62/H62,"0")</f>
        <v>0</v>
      </c>
      <c r="Z63" s="549">
        <f>IFERROR(IF(Z60="",0,Z60),"0")+IFERROR(IF(Z61="",0,Z61),"0")+IFERROR(IF(Z62="",0,Z62),"0")</f>
        <v>0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0</v>
      </c>
      <c r="Y64" s="549">
        <f>IFERROR(SUM(Y60:Y62),"0")</f>
        <v>0</v>
      </c>
      <c r="Z64" s="37"/>
      <c r="AA64" s="550"/>
      <c r="AB64" s="550"/>
      <c r="AC64" s="550"/>
    </row>
    <row r="65" spans="1:68" ht="14.25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81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/>
      <c r="M72" s="33" t="s">
        <v>81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81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/>
      <c r="M78" s="33" t="s">
        <v>88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/>
      <c r="M79" s="33" t="s">
        <v>81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88</v>
      </c>
      <c r="N84" s="33"/>
      <c r="O84" s="32">
        <v>50</v>
      </c>
      <c r="P84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60</v>
      </c>
      <c r="Y84" s="548">
        <f>IFERROR(IF(X84="",0,CEILING((X84/$H84),1)*$H84),"")</f>
        <v>64.800000000000011</v>
      </c>
      <c r="Z84" s="36">
        <f>IFERROR(IF(Y84=0,"",ROUNDUP(Y84/H84,0)*0.01898),"")</f>
        <v>0.11388000000000001</v>
      </c>
      <c r="AA84" s="56"/>
      <c r="AB84" s="57"/>
      <c r="AC84" s="125" t="s">
        <v>171</v>
      </c>
      <c r="AG84" s="64"/>
      <c r="AJ84" s="68" t="s">
        <v>83</v>
      </c>
      <c r="AK84" s="68">
        <v>86.4</v>
      </c>
      <c r="BB84" s="126" t="s">
        <v>1</v>
      </c>
      <c r="BM84" s="64">
        <f>IFERROR(X84*I84/H84,"0")</f>
        <v>62.277777777777779</v>
      </c>
      <c r="BN84" s="64">
        <f>IFERROR(Y84*I84/H84,"0")</f>
        <v>67.260000000000005</v>
      </c>
      <c r="BO84" s="64">
        <f>IFERROR(1/J84*(X84/H84),"0")</f>
        <v>8.6805555555555552E-2</v>
      </c>
      <c r="BP84" s="64">
        <f>IFERROR(1/J84*(Y84/H84),"0")</f>
        <v>9.3750000000000014E-2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81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111</v>
      </c>
      <c r="M87" s="33" t="s">
        <v>88</v>
      </c>
      <c r="N87" s="33"/>
      <c r="O87" s="32">
        <v>50</v>
      </c>
      <c r="P87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31.5</v>
      </c>
      <c r="Y87" s="548">
        <f>IFERROR(IF(X87="",0,CEILING((X87/$H87),1)*$H87),"")</f>
        <v>31.5</v>
      </c>
      <c r="Z87" s="36">
        <f>IFERROR(IF(Y87=0,"",ROUNDUP(Y87/H87,0)*0.00902),"")</f>
        <v>6.3140000000000002E-2</v>
      </c>
      <c r="AA87" s="56"/>
      <c r="AB87" s="57"/>
      <c r="AC87" s="131" t="s">
        <v>171</v>
      </c>
      <c r="AG87" s="64"/>
      <c r="AJ87" s="68" t="s">
        <v>83</v>
      </c>
      <c r="AK87" s="68">
        <v>54</v>
      </c>
      <c r="BB87" s="132" t="s">
        <v>1</v>
      </c>
      <c r="BM87" s="64">
        <f>IFERROR(X87*I87/H87,"0")</f>
        <v>32.830000000000005</v>
      </c>
      <c r="BN87" s="64">
        <f>IFERROR(Y87*I87/H87,"0")</f>
        <v>32.830000000000005</v>
      </c>
      <c r="BO87" s="64">
        <f>IFERROR(1/J87*(X87/H87),"0")</f>
        <v>5.3030303030303032E-2</v>
      </c>
      <c r="BP87" s="64">
        <f>IFERROR(1/J87*(Y87/H87),"0")</f>
        <v>5.3030303030303032E-2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12.555555555555555</v>
      </c>
      <c r="Y88" s="549">
        <f>IFERROR(Y84/H84,"0")+IFERROR(Y85/H85,"0")+IFERROR(Y86/H86,"0")+IFERROR(Y87/H87,"0")</f>
        <v>13</v>
      </c>
      <c r="Z88" s="549">
        <f>IFERROR(IF(Z84="",0,Z84),"0")+IFERROR(IF(Z85="",0,Z85),"0")+IFERROR(IF(Z86="",0,Z86),"0")+IFERROR(IF(Z87="",0,Z87),"0")</f>
        <v>0.17702000000000001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91.5</v>
      </c>
      <c r="Y89" s="549">
        <f>IFERROR(SUM(Y84:Y87),"0")</f>
        <v>96.300000000000011</v>
      </c>
      <c r="Z89" s="37"/>
      <c r="AA89" s="550"/>
      <c r="AB89" s="550"/>
      <c r="AC89" s="550"/>
    </row>
    <row r="90" spans="1:68" ht="14.25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/>
      <c r="M91" s="33" t="s">
        <v>88</v>
      </c>
      <c r="N91" s="33"/>
      <c r="O91" s="32">
        <v>45</v>
      </c>
      <c r="P91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40</v>
      </c>
      <c r="Y91" s="548">
        <f>IFERROR(IF(X91="",0,CEILING((X91/$H91),1)*$H91),"")</f>
        <v>40.5</v>
      </c>
      <c r="Z91" s="36">
        <f>IFERROR(IF(Y91=0,"",ROUNDUP(Y91/H91,0)*0.01898),"")</f>
        <v>9.4899999999999998E-2</v>
      </c>
      <c r="AA91" s="56"/>
      <c r="AB91" s="57"/>
      <c r="AC91" s="133" t="s">
        <v>182</v>
      </c>
      <c r="AG91" s="64"/>
      <c r="AJ91" s="68"/>
      <c r="AK91" s="68">
        <v>0</v>
      </c>
      <c r="BB91" s="134" t="s">
        <v>1</v>
      </c>
      <c r="BM91" s="64">
        <f>IFERROR(X91*I91/H91,"0")</f>
        <v>42.439506172839508</v>
      </c>
      <c r="BN91" s="64">
        <f>IFERROR(Y91*I91/H91,"0")</f>
        <v>42.97</v>
      </c>
      <c r="BO91" s="64">
        <f>IFERROR(1/J91*(X91/H91),"0")</f>
        <v>7.7160493827160503E-2</v>
      </c>
      <c r="BP91" s="64">
        <f>IFERROR(1/J91*(Y91/H91),"0")</f>
        <v>7.8125E-2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81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88</v>
      </c>
      <c r="N93" s="33"/>
      <c r="O93" s="32">
        <v>45</v>
      </c>
      <c r="P93" s="7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/>
      <c r="M94" s="33" t="s">
        <v>81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4.9382716049382722</v>
      </c>
      <c r="Y95" s="549">
        <f>IFERROR(Y91/H91,"0")+IFERROR(Y92/H92,"0")+IFERROR(Y93/H93,"0")+IFERROR(Y94/H94,"0")</f>
        <v>5</v>
      </c>
      <c r="Z95" s="549">
        <f>IFERROR(IF(Z91="",0,Z91),"0")+IFERROR(IF(Z92="",0,Z92),"0")+IFERROR(IF(Z93="",0,Z93),"0")+IFERROR(IF(Z94="",0,Z94),"0")</f>
        <v>9.4899999999999998E-2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40</v>
      </c>
      <c r="Y96" s="549">
        <f>IFERROR(SUM(Y91:Y94),"0")</f>
        <v>40.5</v>
      </c>
      <c r="Z96" s="37"/>
      <c r="AA96" s="550"/>
      <c r="AB96" s="550"/>
      <c r="AC96" s="550"/>
    </row>
    <row r="97" spans="1:68" ht="16.5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0</v>
      </c>
      <c r="Y99" s="548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83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/>
      <c r="M101" s="33" t="s">
        <v>81</v>
      </c>
      <c r="N101" s="33"/>
      <c r="O101" s="32">
        <v>50</v>
      </c>
      <c r="P101" s="8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111</v>
      </c>
      <c r="M102" s="33" t="s">
        <v>81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83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81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0</v>
      </c>
      <c r="Y104" s="549">
        <f>IFERROR(Y99/H99,"0")+IFERROR(Y100/H100,"0")+IFERROR(Y101/H101,"0")+IFERROR(Y102/H102,"0")+IFERROR(Y103/H103,"0")</f>
        <v>0</v>
      </c>
      <c r="Z104" s="549">
        <f>IFERROR(IF(Z99="",0,Z99),"0")+IFERROR(IF(Z100="",0,Z100),"0")+IFERROR(IF(Z101="",0,Z101),"0")+IFERROR(IF(Z102="",0,Z102),"0")+IFERROR(IF(Z103="",0,Z103),"0")</f>
        <v>0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0</v>
      </c>
      <c r="Y105" s="549">
        <f>IFERROR(SUM(Y99:Y103),"0")</f>
        <v>0</v>
      </c>
      <c r="Z105" s="37"/>
      <c r="AA105" s="550"/>
      <c r="AB105" s="550"/>
      <c r="AC105" s="550"/>
    </row>
    <row r="106" spans="1:68" ht="14.25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/>
      <c r="M114" s="33" t="s">
        <v>88</v>
      </c>
      <c r="N114" s="33"/>
      <c r="O114" s="32">
        <v>45</v>
      </c>
      <c r="P114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200</v>
      </c>
      <c r="Y114" s="548">
        <f>IFERROR(IF(X114="",0,CEILING((X114/$H114),1)*$H114),"")</f>
        <v>202.5</v>
      </c>
      <c r="Z114" s="36">
        <f>IFERROR(IF(Y114=0,"",ROUNDUP(Y114/H114,0)*0.01898),"")</f>
        <v>0.47450000000000003</v>
      </c>
      <c r="AA114" s="56"/>
      <c r="AB114" s="57"/>
      <c r="AC114" s="159" t="s">
        <v>216</v>
      </c>
      <c r="AG114" s="64"/>
      <c r="AJ114" s="68"/>
      <c r="AK114" s="68">
        <v>0</v>
      </c>
      <c r="BB114" s="160" t="s">
        <v>1</v>
      </c>
      <c r="BM114" s="64">
        <f>IFERROR(X114*I114/H114,"0")</f>
        <v>212.04938271604939</v>
      </c>
      <c r="BN114" s="64">
        <f>IFERROR(Y114*I114/H114,"0")</f>
        <v>214.7</v>
      </c>
      <c r="BO114" s="64">
        <f>IFERROR(1/J114*(X114/H114),"0")</f>
        <v>0.38580246913580246</v>
      </c>
      <c r="BP114" s="64">
        <f>IFERROR(1/J114*(Y114/H114),"0")</f>
        <v>0.390625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/>
      <c r="M115" s="33" t="s">
        <v>88</v>
      </c>
      <c r="N115" s="33"/>
      <c r="O115" s="32">
        <v>45</v>
      </c>
      <c r="P115" s="7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/>
      <c r="M116" s="33" t="s">
        <v>88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13.5</v>
      </c>
      <c r="Y116" s="548">
        <f>IFERROR(IF(X116="",0,CEILING((X116/$H116),1)*$H116),"")</f>
        <v>13.5</v>
      </c>
      <c r="Z116" s="36">
        <f>IFERROR(IF(Y116=0,"",ROUNDUP(Y116/H116,0)*0.00651),"")</f>
        <v>3.2550000000000003E-2</v>
      </c>
      <c r="AA116" s="56"/>
      <c r="AB116" s="57"/>
      <c r="AC116" s="163" t="s">
        <v>216</v>
      </c>
      <c r="AG116" s="64"/>
      <c r="AJ116" s="68"/>
      <c r="AK116" s="68">
        <v>0</v>
      </c>
      <c r="BB116" s="164" t="s">
        <v>1</v>
      </c>
      <c r="BM116" s="64">
        <f>IFERROR(X116*I116/H116,"0")</f>
        <v>14.759999999999998</v>
      </c>
      <c r="BN116" s="64">
        <f>IFERROR(Y116*I116/H116,"0")</f>
        <v>14.759999999999998</v>
      </c>
      <c r="BO116" s="64">
        <f>IFERROR(1/J116*(X116/H116),"0")</f>
        <v>2.7472527472527476E-2</v>
      </c>
      <c r="BP116" s="64">
        <f>IFERROR(1/J116*(Y116/H116),"0")</f>
        <v>2.7472527472527476E-2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80</v>
      </c>
      <c r="M117" s="33" t="s">
        <v>81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83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29.691358024691358</v>
      </c>
      <c r="Y118" s="549">
        <f>IFERROR(Y114/H114,"0")+IFERROR(Y115/H115,"0")+IFERROR(Y116/H116,"0")+IFERROR(Y117/H117,"0")</f>
        <v>30</v>
      </c>
      <c r="Z118" s="549">
        <f>IFERROR(IF(Z114="",0,Z114),"0")+IFERROR(IF(Z115="",0,Z115),"0")+IFERROR(IF(Z116="",0,Z116),"0")+IFERROR(IF(Z117="",0,Z117),"0")</f>
        <v>0.50705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213.5</v>
      </c>
      <c r="Y119" s="549">
        <f>IFERROR(SUM(Y114:Y117),"0")</f>
        <v>216</v>
      </c>
      <c r="Z119" s="37"/>
      <c r="AA119" s="550"/>
      <c r="AB119" s="550"/>
      <c r="AC119" s="550"/>
    </row>
    <row r="120" spans="1:68" ht="14.25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80</v>
      </c>
      <c r="M121" s="33" t="s">
        <v>81</v>
      </c>
      <c r="N121" s="33"/>
      <c r="O121" s="32">
        <v>40</v>
      </c>
      <c r="P121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83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/>
      <c r="M126" s="33" t="s">
        <v>96</v>
      </c>
      <c r="N126" s="33"/>
      <c r="O126" s="32">
        <v>90</v>
      </c>
      <c r="P126" s="8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/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/>
      <c r="M143" s="33" t="s">
        <v>106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0</v>
      </c>
      <c r="Y152" s="549">
        <f>IFERROR(Y147/H147,"0")+IFERROR(Y148/H148,"0")+IFERROR(Y149/H149,"0")+IFERROR(Y150/H150,"0")+IFERROR(Y151/H151,"0")</f>
        <v>0</v>
      </c>
      <c r="Z152" s="549">
        <f>IFERROR(IF(Z147="",0,Z147),"0")+IFERROR(IF(Z148="",0,Z148),"0")+IFERROR(IF(Z149="",0,Z149),"0")+IFERROR(IF(Z150="",0,Z150),"0")+IFERROR(IF(Z151="",0,Z151),"0")</f>
        <v>0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0</v>
      </c>
      <c r="Y153" s="549">
        <f>IFERROR(SUM(Y147:Y151),"0")</f>
        <v>0</v>
      </c>
      <c r="Z153" s="37"/>
      <c r="AA153" s="550"/>
      <c r="AB153" s="550"/>
      <c r="AC153" s="550"/>
    </row>
    <row r="154" spans="1:68" ht="14.25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81</v>
      </c>
      <c r="N155" s="33"/>
      <c r="O155" s="32">
        <v>45</v>
      </c>
      <c r="P155" s="5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83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111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25</v>
      </c>
      <c r="Y167" s="548">
        <f t="shared" si="5"/>
        <v>25.200000000000003</v>
      </c>
      <c r="Z167" s="36">
        <f>IFERROR(IF(Y167=0,"",ROUNDUP(Y167/H167,0)*0.00902),"")</f>
        <v>5.4120000000000001E-2</v>
      </c>
      <c r="AA167" s="56"/>
      <c r="AB167" s="57"/>
      <c r="AC167" s="203" t="s">
        <v>276</v>
      </c>
      <c r="AG167" s="64"/>
      <c r="AJ167" s="68" t="s">
        <v>83</v>
      </c>
      <c r="AK167" s="68">
        <v>50.4</v>
      </c>
      <c r="BB167" s="204" t="s">
        <v>1</v>
      </c>
      <c r="BM167" s="64">
        <f t="shared" si="6"/>
        <v>26.130952380952376</v>
      </c>
      <c r="BN167" s="64">
        <f t="shared" si="7"/>
        <v>26.34</v>
      </c>
      <c r="BO167" s="64">
        <f t="shared" si="8"/>
        <v>4.5093795093795096E-2</v>
      </c>
      <c r="BP167" s="64">
        <f t="shared" si="9"/>
        <v>4.5454545454545456E-2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40</v>
      </c>
      <c r="P169" s="6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282</v>
      </c>
      <c r="B170" s="54" t="s">
        <v>283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287</v>
      </c>
      <c r="M171" s="33" t="s">
        <v>68</v>
      </c>
      <c r="N171" s="33"/>
      <c r="O171" s="32">
        <v>40</v>
      </c>
      <c r="P171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83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287</v>
      </c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83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5.9523809523809526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6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5.4120000000000001E-2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25</v>
      </c>
      <c r="Y180" s="549">
        <f>IFERROR(SUM(Y165:Y178),"0")</f>
        <v>25.200000000000003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111</v>
      </c>
      <c r="M203" s="33" t="s">
        <v>68</v>
      </c>
      <c r="N203" s="33"/>
      <c r="O203" s="32">
        <v>40</v>
      </c>
      <c r="P203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60</v>
      </c>
      <c r="Y203" s="548">
        <f t="shared" ref="Y203:Y210" si="10">IFERROR(IF(X203="",0,CEILING((X203/$H203),1)*$H203),"")</f>
        <v>64.800000000000011</v>
      </c>
      <c r="Z203" s="36">
        <f>IFERROR(IF(Y203=0,"",ROUNDUP(Y203/H203,0)*0.00902),"")</f>
        <v>0.10824</v>
      </c>
      <c r="AA203" s="56"/>
      <c r="AB203" s="57"/>
      <c r="AC203" s="243" t="s">
        <v>332</v>
      </c>
      <c r="AG203" s="64"/>
      <c r="AJ203" s="68" t="s">
        <v>83</v>
      </c>
      <c r="AK203" s="68">
        <v>64.8</v>
      </c>
      <c r="BB203" s="244" t="s">
        <v>1</v>
      </c>
      <c r="BM203" s="64">
        <f t="shared" ref="BM203:BM210" si="11">IFERROR(X203*I203/H203,"0")</f>
        <v>62.1111111111111</v>
      </c>
      <c r="BN203" s="64">
        <f t="shared" ref="BN203:BN210" si="12">IFERROR(Y203*I203/H203,"0")</f>
        <v>67.08</v>
      </c>
      <c r="BO203" s="64">
        <f t="shared" ref="BO203:BO210" si="13">IFERROR(1/J203*(X203/H203),"0")</f>
        <v>8.4175084175084181E-2</v>
      </c>
      <c r="BP203" s="64">
        <f t="shared" ref="BP203:BP210" si="14">IFERROR(1/J203*(Y203/H203),"0")</f>
        <v>9.0909090909090925E-2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20</v>
      </c>
      <c r="Y204" s="548">
        <f t="shared" si="10"/>
        <v>21.6</v>
      </c>
      <c r="Z204" s="36">
        <f>IFERROR(IF(Y204=0,"",ROUNDUP(Y204/H204,0)*0.00902),"")</f>
        <v>3.6080000000000001E-2</v>
      </c>
      <c r="AA204" s="56"/>
      <c r="AB204" s="57"/>
      <c r="AC204" s="245" t="s">
        <v>335</v>
      </c>
      <c r="AG204" s="64"/>
      <c r="AJ204" s="68" t="s">
        <v>83</v>
      </c>
      <c r="AK204" s="68">
        <v>64.8</v>
      </c>
      <c r="BB204" s="246" t="s">
        <v>1</v>
      </c>
      <c r="BM204" s="64">
        <f t="shared" si="11"/>
        <v>20.703703703703702</v>
      </c>
      <c r="BN204" s="64">
        <f t="shared" si="12"/>
        <v>22.36</v>
      </c>
      <c r="BO204" s="64">
        <f t="shared" si="13"/>
        <v>2.8058361391694722E-2</v>
      </c>
      <c r="BP204" s="64">
        <f t="shared" si="14"/>
        <v>3.0303030303030304E-2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60</v>
      </c>
      <c r="Y205" s="548">
        <f t="shared" si="10"/>
        <v>64.800000000000011</v>
      </c>
      <c r="Z205" s="36">
        <f>IFERROR(IF(Y205=0,"",ROUNDUP(Y205/H205,0)*0.00902),"")</f>
        <v>0.10824</v>
      </c>
      <c r="AA205" s="56"/>
      <c r="AB205" s="57"/>
      <c r="AC205" s="247" t="s">
        <v>338</v>
      </c>
      <c r="AG205" s="64"/>
      <c r="AJ205" s="68" t="s">
        <v>83</v>
      </c>
      <c r="AK205" s="68">
        <v>64.8</v>
      </c>
      <c r="BB205" s="248" t="s">
        <v>1</v>
      </c>
      <c r="BM205" s="64">
        <f t="shared" si="11"/>
        <v>62.1111111111111</v>
      </c>
      <c r="BN205" s="64">
        <f t="shared" si="12"/>
        <v>67.08</v>
      </c>
      <c r="BO205" s="64">
        <f t="shared" si="13"/>
        <v>8.4175084175084181E-2</v>
      </c>
      <c r="BP205" s="64">
        <f t="shared" si="14"/>
        <v>9.0909090909090925E-2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70</v>
      </c>
      <c r="Y206" s="548">
        <f t="shared" si="10"/>
        <v>70.2</v>
      </c>
      <c r="Z206" s="36">
        <f>IFERROR(IF(Y206=0,"",ROUNDUP(Y206/H206,0)*0.00902),"")</f>
        <v>0.11726</v>
      </c>
      <c r="AA206" s="56"/>
      <c r="AB206" s="57"/>
      <c r="AC206" s="249" t="s">
        <v>341</v>
      </c>
      <c r="AG206" s="64"/>
      <c r="AJ206" s="68" t="s">
        <v>83</v>
      </c>
      <c r="AK206" s="68">
        <v>64.8</v>
      </c>
      <c r="BB206" s="250" t="s">
        <v>1</v>
      </c>
      <c r="BM206" s="64">
        <f t="shared" si="11"/>
        <v>72.462962962962962</v>
      </c>
      <c r="BN206" s="64">
        <f t="shared" si="12"/>
        <v>72.67</v>
      </c>
      <c r="BO206" s="64">
        <f t="shared" si="13"/>
        <v>9.8204264870931535E-2</v>
      </c>
      <c r="BP206" s="64">
        <f t="shared" si="14"/>
        <v>9.8484848484848481E-2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4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287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83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 t="s">
        <v>287</v>
      </c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83</v>
      </c>
      <c r="AK209" s="68">
        <v>32.4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287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83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38.888888888888886</v>
      </c>
      <c r="Y211" s="549">
        <f>IFERROR(Y203/H203,"0")+IFERROR(Y204/H204,"0")+IFERROR(Y205/H205,"0")+IFERROR(Y206/H206,"0")+IFERROR(Y207/H207,"0")+IFERROR(Y208/H208,"0")+IFERROR(Y209/H209,"0")+IFERROR(Y210/H210,"0")</f>
        <v>41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0.36982000000000004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210</v>
      </c>
      <c r="Y212" s="549">
        <f>IFERROR(SUM(Y203:Y210),"0")</f>
        <v>221.40000000000003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81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30</v>
      </c>
      <c r="Y214" s="548">
        <f t="shared" ref="Y214:Y222" si="15">IFERROR(IF(X214="",0,CEILING((X214/$H214),1)*$H214),"")</f>
        <v>32.4</v>
      </c>
      <c r="Z214" s="36">
        <f>IFERROR(IF(Y214=0,"",ROUNDUP(Y214/H214,0)*0.01898),"")</f>
        <v>7.5920000000000001E-2</v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31.829629629629629</v>
      </c>
      <c r="BN214" s="64">
        <f t="shared" ref="BN214:BN222" si="17">IFERROR(Y214*I214/H214,"0")</f>
        <v>34.375999999999998</v>
      </c>
      <c r="BO214" s="64">
        <f t="shared" ref="BO214:BO222" si="18">IFERROR(1/J214*(X214/H214),"0")</f>
        <v>5.7870370370370371E-2</v>
      </c>
      <c r="BP214" s="64">
        <f t="shared" ref="BP214:BP222" si="19">IFERROR(1/J214*(Y214/H214),"0")</f>
        <v>6.25E-2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81</v>
      </c>
      <c r="N215" s="33"/>
      <c r="O215" s="32">
        <v>40</v>
      </c>
      <c r="P215" s="5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25</v>
      </c>
      <c r="Y215" s="548">
        <f t="shared" si="15"/>
        <v>32.4</v>
      </c>
      <c r="Z215" s="36">
        <f>IFERROR(IF(Y215=0,"",ROUNDUP(Y215/H215,0)*0.01898),"")</f>
        <v>7.5920000000000001E-2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26.469135802469136</v>
      </c>
      <c r="BN215" s="64">
        <f t="shared" si="17"/>
        <v>34.304000000000002</v>
      </c>
      <c r="BO215" s="64">
        <f t="shared" si="18"/>
        <v>4.8225308641975308E-2</v>
      </c>
      <c r="BP215" s="64">
        <f t="shared" si="19"/>
        <v>6.25E-2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81</v>
      </c>
      <c r="N216" s="33"/>
      <c r="O216" s="32">
        <v>45</v>
      </c>
      <c r="P216" s="72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83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80</v>
      </c>
      <c r="M217" s="33" t="s">
        <v>81</v>
      </c>
      <c r="N217" s="33"/>
      <c r="O217" s="32">
        <v>40</v>
      </c>
      <c r="P217" s="74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7.2</v>
      </c>
      <c r="Y217" s="548">
        <f t="shared" si="15"/>
        <v>7.1999999999999993</v>
      </c>
      <c r="Z217" s="36">
        <f t="shared" ref="Z217:Z222" si="20">IFERROR(IF(Y217=0,"",ROUNDUP(Y217/H217,0)*0.00651),"")</f>
        <v>1.9529999999999999E-2</v>
      </c>
      <c r="AA217" s="56"/>
      <c r="AB217" s="57"/>
      <c r="AC217" s="265" t="s">
        <v>361</v>
      </c>
      <c r="AG217" s="64"/>
      <c r="AJ217" s="68" t="s">
        <v>83</v>
      </c>
      <c r="AK217" s="68">
        <v>33.6</v>
      </c>
      <c r="BB217" s="266" t="s">
        <v>1</v>
      </c>
      <c r="BM217" s="64">
        <f t="shared" si="16"/>
        <v>8.01</v>
      </c>
      <c r="BN217" s="64">
        <f t="shared" si="17"/>
        <v>8.009999999999998</v>
      </c>
      <c r="BO217" s="64">
        <f t="shared" si="18"/>
        <v>1.6483516483516484E-2</v>
      </c>
      <c r="BP217" s="64">
        <f t="shared" si="19"/>
        <v>1.6483516483516484E-2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88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80</v>
      </c>
      <c r="M219" s="33" t="s">
        <v>81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12</v>
      </c>
      <c r="Y219" s="548">
        <f t="shared" si="15"/>
        <v>12</v>
      </c>
      <c r="Z219" s="36">
        <f t="shared" si="20"/>
        <v>3.2550000000000003E-2</v>
      </c>
      <c r="AA219" s="56"/>
      <c r="AB219" s="57"/>
      <c r="AC219" s="269" t="s">
        <v>358</v>
      </c>
      <c r="AG219" s="64"/>
      <c r="AJ219" s="68" t="s">
        <v>83</v>
      </c>
      <c r="AK219" s="68">
        <v>33.6</v>
      </c>
      <c r="BB219" s="270" t="s">
        <v>1</v>
      </c>
      <c r="BM219" s="64">
        <f t="shared" si="16"/>
        <v>13.260000000000002</v>
      </c>
      <c r="BN219" s="64">
        <f t="shared" si="17"/>
        <v>13.260000000000002</v>
      </c>
      <c r="BO219" s="64">
        <f t="shared" si="18"/>
        <v>2.7472527472527476E-2</v>
      </c>
      <c r="BP219" s="64">
        <f t="shared" si="19"/>
        <v>2.7472527472527476E-2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80</v>
      </c>
      <c r="M221" s="33" t="s">
        <v>88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83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80</v>
      </c>
      <c r="M222" s="33" t="s">
        <v>81</v>
      </c>
      <c r="N222" s="33"/>
      <c r="O222" s="32">
        <v>40</v>
      </c>
      <c r="P222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83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14.790123456790123</v>
      </c>
      <c r="Y223" s="549">
        <f>IFERROR(Y214/H214,"0")+IFERROR(Y215/H215,"0")+IFERROR(Y216/H216,"0")+IFERROR(Y217/H217,"0")+IFERROR(Y218/H218,"0")+IFERROR(Y219/H219,"0")+IFERROR(Y220/H220,"0")+IFERROR(Y221/H221,"0")+IFERROR(Y222/H222,"0")</f>
        <v>16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0.20391999999999999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74.2</v>
      </c>
      <c r="Y224" s="549">
        <f>IFERROR(SUM(Y214:Y222),"0")</f>
        <v>84</v>
      </c>
      <c r="Z224" s="37"/>
      <c r="AA224" s="550"/>
      <c r="AB224" s="550"/>
      <c r="AC224" s="550"/>
    </row>
    <row r="225" spans="1:68" ht="14.25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80</v>
      </c>
      <c r="M226" s="33" t="s">
        <v>88</v>
      </c>
      <c r="N226" s="33"/>
      <c r="O226" s="32">
        <v>40</v>
      </c>
      <c r="P226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83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80</v>
      </c>
      <c r="M227" s="33" t="s">
        <v>81</v>
      </c>
      <c r="N227" s="33"/>
      <c r="O227" s="32">
        <v>40</v>
      </c>
      <c r="P227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83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4301012196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/>
      <c r="M235" s="33" t="s">
        <v>106</v>
      </c>
      <c r="N235" s="33"/>
      <c r="O235" s="32">
        <v>55</v>
      </c>
      <c r="P235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4301011824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4301012195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/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4301011722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 t="s">
        <v>83</v>
      </c>
      <c r="AK240" s="68">
        <v>48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81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81</v>
      </c>
      <c r="N270" s="33"/>
      <c r="O270" s="32">
        <v>35</v>
      </c>
      <c r="P270" s="80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81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81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81</v>
      </c>
      <c r="N278" s="33"/>
      <c r="O278" s="32">
        <v>45</v>
      </c>
      <c r="P278" s="8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80</v>
      </c>
      <c r="M279" s="33" t="s">
        <v>88</v>
      </c>
      <c r="N279" s="33"/>
      <c r="O279" s="32">
        <v>40</v>
      </c>
      <c r="P279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83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/>
      <c r="M280" s="33" t="s">
        <v>81</v>
      </c>
      <c r="N280" s="33"/>
      <c r="O280" s="32">
        <v>45</v>
      </c>
      <c r="P280" s="6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/>
      <c r="M290" s="33" t="s">
        <v>81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81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2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81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106</v>
      </c>
      <c r="N298" s="33"/>
      <c r="O298" s="32">
        <v>55</v>
      </c>
      <c r="P298" s="8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81</v>
      </c>
      <c r="N299" s="33"/>
      <c r="O299" s="32">
        <v>55</v>
      </c>
      <c r="P299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/>
      <c r="M300" s="33" t="s">
        <v>106</v>
      </c>
      <c r="N300" s="33"/>
      <c r="O300" s="32">
        <v>55</v>
      </c>
      <c r="P300" s="68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/>
      <c r="M301" s="33" t="s">
        <v>106</v>
      </c>
      <c r="N301" s="33"/>
      <c r="O301" s="32">
        <v>55</v>
      </c>
      <c r="P301" s="8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0</v>
      </c>
      <c r="Y302" s="549">
        <f>IFERROR(Y296/H296,"0")+IFERROR(Y297/H297,"0")+IFERROR(Y298/H298,"0")+IFERROR(Y299/H299,"0")+IFERROR(Y300/H300,"0")+IFERROR(Y301/H301,"0")</f>
        <v>0</v>
      </c>
      <c r="Z302" s="549">
        <f>IFERROR(IF(Z296="",0,Z296),"0")+IFERROR(IF(Z297="",0,Z297),"0")+IFERROR(IF(Z298="",0,Z298),"0")+IFERROR(IF(Z299="",0,Z299),"0")+IFERROR(IF(Z300="",0,Z300),"0")+IFERROR(IF(Z301="",0,Z301),"0")</f>
        <v>0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0</v>
      </c>
      <c r="Y303" s="549">
        <f>IFERROR(SUM(Y296:Y301),"0")</f>
        <v>0</v>
      </c>
      <c r="Z303" s="37"/>
      <c r="AA303" s="550"/>
      <c r="AB303" s="550"/>
      <c r="AC303" s="550"/>
    </row>
    <row r="304" spans="1:68" ht="14.25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/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30</v>
      </c>
      <c r="Y305" s="548">
        <f t="shared" ref="Y305:Y310" si="31">IFERROR(IF(X305="",0,CEILING((X305/$H305),1)*$H305),"")</f>
        <v>33.6</v>
      </c>
      <c r="Z305" s="36">
        <f>IFERROR(IF(Y305=0,"",ROUNDUP(Y305/H305,0)*0.00902),"")</f>
        <v>7.2160000000000002E-2</v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31.785714285714285</v>
      </c>
      <c r="BN305" s="64">
        <f t="shared" ref="BN305:BN310" si="33">IFERROR(Y305*I305/H305,"0")</f>
        <v>35.6</v>
      </c>
      <c r="BO305" s="64">
        <f t="shared" ref="BO305:BO310" si="34">IFERROR(1/J305*(X305/H305),"0")</f>
        <v>5.4112554112554112E-2</v>
      </c>
      <c r="BP305" s="64">
        <f t="shared" ref="BP305:BP310" si="35">IFERROR(1/J305*(Y305/H305),"0")</f>
        <v>6.0606060606060608E-2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/>
      <c r="M306" s="33" t="s">
        <v>68</v>
      </c>
      <c r="N306" s="33"/>
      <c r="O306" s="32">
        <v>40</v>
      </c>
      <c r="P306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287</v>
      </c>
      <c r="M309" s="33" t="s">
        <v>68</v>
      </c>
      <c r="N309" s="33"/>
      <c r="O309" s="32">
        <v>40</v>
      </c>
      <c r="P309" s="72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83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80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83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7.1428571428571423</v>
      </c>
      <c r="Y311" s="549">
        <f>IFERROR(Y305/H305,"0")+IFERROR(Y306/H306,"0")+IFERROR(Y307/H307,"0")+IFERROR(Y308/H308,"0")+IFERROR(Y309/H309,"0")+IFERROR(Y310/H310,"0")</f>
        <v>8</v>
      </c>
      <c r="Z311" s="549">
        <f>IFERROR(IF(Z305="",0,Z305),"0")+IFERROR(IF(Z306="",0,Z306),"0")+IFERROR(IF(Z307="",0,Z307),"0")+IFERROR(IF(Z308="",0,Z308),"0")+IFERROR(IF(Z309="",0,Z309),"0")+IFERROR(IF(Z310="",0,Z310),"0")</f>
        <v>7.2160000000000002E-2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30</v>
      </c>
      <c r="Y312" s="549">
        <f>IFERROR(SUM(Y305:Y310),"0")</f>
        <v>33.6</v>
      </c>
      <c r="Z312" s="37"/>
      <c r="AA312" s="550"/>
      <c r="AB312" s="550"/>
      <c r="AC312" s="550"/>
    </row>
    <row r="313" spans="1:68" ht="14.25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/>
      <c r="M314" s="33" t="s">
        <v>81</v>
      </c>
      <c r="N314" s="33"/>
      <c r="O314" s="32">
        <v>40</v>
      </c>
      <c r="P314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81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81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/>
      <c r="M317" s="33" t="s">
        <v>81</v>
      </c>
      <c r="N317" s="33"/>
      <c r="O317" s="32">
        <v>40</v>
      </c>
      <c r="P317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0</v>
      </c>
      <c r="Y318" s="549">
        <f>IFERROR(Y314/H314,"0")+IFERROR(Y315/H315,"0")+IFERROR(Y316/H316,"0")+IFERROR(Y317/H317,"0")</f>
        <v>0</v>
      </c>
      <c r="Z318" s="549">
        <f>IFERROR(IF(Z314="",0,Z314),"0")+IFERROR(IF(Z315="",0,Z315),"0")+IFERROR(IF(Z316="",0,Z316),"0")+IFERROR(IF(Z317="",0,Z317),"0")</f>
        <v>0</v>
      </c>
      <c r="AA318" s="550"/>
      <c r="AB318" s="550"/>
      <c r="AC318" s="550"/>
    </row>
    <row r="319" spans="1:68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0</v>
      </c>
      <c r="Y319" s="549">
        <f>IFERROR(SUM(Y314:Y317),"0")</f>
        <v>0</v>
      </c>
      <c r="Z319" s="37"/>
      <c r="AA319" s="550"/>
      <c r="AB319" s="550"/>
      <c r="AC319" s="550"/>
    </row>
    <row r="320" spans="1:68" ht="14.25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81</v>
      </c>
      <c r="N321" s="33"/>
      <c r="O321" s="32">
        <v>30</v>
      </c>
      <c r="P321" s="7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83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81</v>
      </c>
      <c r="N322" s="33"/>
      <c r="O322" s="32">
        <v>30</v>
      </c>
      <c r="P322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60</v>
      </c>
      <c r="Y322" s="548">
        <f>IFERROR(IF(X322="",0,CEILING((X322/$H322),1)*$H322),"")</f>
        <v>62.4</v>
      </c>
      <c r="Z322" s="36">
        <f>IFERROR(IF(Y322=0,"",ROUNDUP(Y322/H322,0)*0.01898),"")</f>
        <v>0.15184</v>
      </c>
      <c r="AA322" s="56"/>
      <c r="AB322" s="57"/>
      <c r="AC322" s="379" t="s">
        <v>521</v>
      </c>
      <c r="AG322" s="64"/>
      <c r="AJ322" s="68" t="s">
        <v>83</v>
      </c>
      <c r="AK322" s="68">
        <v>62.4</v>
      </c>
      <c r="BB322" s="380" t="s">
        <v>1</v>
      </c>
      <c r="BM322" s="64">
        <f>IFERROR(X322*I322/H322,"0")</f>
        <v>63.800000000000004</v>
      </c>
      <c r="BN322" s="64">
        <f>IFERROR(Y322*I322/H322,"0")</f>
        <v>66.352000000000004</v>
      </c>
      <c r="BO322" s="64">
        <f>IFERROR(1/J322*(X322/H322),"0")</f>
        <v>0.1201923076923077</v>
      </c>
      <c r="BP322" s="64">
        <f>IFERROR(1/J322*(Y322/H322),"0")</f>
        <v>0.125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/>
      <c r="M323" s="33" t="s">
        <v>88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0</v>
      </c>
      <c r="Y323" s="548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7.6923076923076925</v>
      </c>
      <c r="Y324" s="549">
        <f>IFERROR(Y321/H321,"0")+IFERROR(Y322/H322,"0")+IFERROR(Y323/H323,"0")</f>
        <v>8</v>
      </c>
      <c r="Z324" s="549">
        <f>IFERROR(IF(Z321="",0,Z321),"0")+IFERROR(IF(Z322="",0,Z322),"0")+IFERROR(IF(Z323="",0,Z323),"0")</f>
        <v>0.15184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60</v>
      </c>
      <c r="Y325" s="549">
        <f>IFERROR(SUM(Y321:Y323),"0")</f>
        <v>62.4</v>
      </c>
      <c r="Z325" s="37"/>
      <c r="AA325" s="550"/>
      <c r="AB325" s="550"/>
      <c r="AC325" s="550"/>
    </row>
    <row r="326" spans="1:68" ht="14.25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 t="s">
        <v>80</v>
      </c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83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/>
      <c r="M341" s="33" t="s">
        <v>88</v>
      </c>
      <c r="N341" s="33"/>
      <c r="O341" s="32">
        <v>45</v>
      </c>
      <c r="P341" s="8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80</v>
      </c>
      <c r="M342" s="33" t="s">
        <v>81</v>
      </c>
      <c r="N342" s="33"/>
      <c r="O342" s="32">
        <v>45</v>
      </c>
      <c r="P342" s="8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10.5</v>
      </c>
      <c r="Y342" s="548">
        <f>IFERROR(IF(X342="",0,CEILING((X342/$H342),1)*$H342),"")</f>
        <v>10.5</v>
      </c>
      <c r="Z342" s="36">
        <f>IFERROR(IF(Y342=0,"",ROUNDUP(Y342/H342,0)*0.00651),"")</f>
        <v>3.2550000000000003E-2</v>
      </c>
      <c r="AA342" s="56"/>
      <c r="AB342" s="57"/>
      <c r="AC342" s="399" t="s">
        <v>549</v>
      </c>
      <c r="AG342" s="64"/>
      <c r="AJ342" s="68" t="s">
        <v>83</v>
      </c>
      <c r="AK342" s="68">
        <v>29.4</v>
      </c>
      <c r="BB342" s="400" t="s">
        <v>1</v>
      </c>
      <c r="BM342" s="64">
        <f>IFERROR(X342*I342/H342,"0")</f>
        <v>11.759999999999998</v>
      </c>
      <c r="BN342" s="64">
        <f>IFERROR(Y342*I342/H342,"0")</f>
        <v>11.759999999999998</v>
      </c>
      <c r="BO342" s="64">
        <f>IFERROR(1/J342*(X342/H342),"0")</f>
        <v>2.7472527472527476E-2</v>
      </c>
      <c r="BP342" s="64">
        <f>IFERROR(1/J342*(Y342/H342),"0")</f>
        <v>2.7472527472527476E-2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80</v>
      </c>
      <c r="M343" s="33" t="s">
        <v>88</v>
      </c>
      <c r="N343" s="33"/>
      <c r="O343" s="32">
        <v>40</v>
      </c>
      <c r="P343" s="7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4.1999999999999993</v>
      </c>
      <c r="Y343" s="548">
        <f>IFERROR(IF(X343="",0,CEILING((X343/$H343),1)*$H343),"")</f>
        <v>4.2</v>
      </c>
      <c r="Z343" s="36">
        <f>IFERROR(IF(Y343=0,"",ROUNDUP(Y343/H343,0)*0.00651),"")</f>
        <v>1.302E-2</v>
      </c>
      <c r="AA343" s="56"/>
      <c r="AB343" s="57"/>
      <c r="AC343" s="401" t="s">
        <v>552</v>
      </c>
      <c r="AG343" s="64"/>
      <c r="AJ343" s="68" t="s">
        <v>83</v>
      </c>
      <c r="AK343" s="68">
        <v>29.4</v>
      </c>
      <c r="BB343" s="402" t="s">
        <v>1</v>
      </c>
      <c r="BM343" s="64">
        <f>IFERROR(X343*I343/H343,"0")</f>
        <v>4.6799999999999988</v>
      </c>
      <c r="BN343" s="64">
        <f>IFERROR(Y343*I343/H343,"0")</f>
        <v>4.68</v>
      </c>
      <c r="BO343" s="64">
        <f>IFERROR(1/J343*(X343/H343),"0")</f>
        <v>1.0989010989010988E-2</v>
      </c>
      <c r="BP343" s="64">
        <f>IFERROR(1/J343*(Y343/H343),"0")</f>
        <v>1.098901098901099E-2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7</v>
      </c>
      <c r="Y344" s="549">
        <f>IFERROR(Y341/H341,"0")+IFERROR(Y342/H342,"0")+IFERROR(Y343/H343,"0")</f>
        <v>7</v>
      </c>
      <c r="Z344" s="549">
        <f>IFERROR(IF(Z341="",0,Z341),"0")+IFERROR(IF(Z342="",0,Z342),"0")+IFERROR(IF(Z343="",0,Z343),"0")</f>
        <v>4.5569999999999999E-2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14.7</v>
      </c>
      <c r="Y345" s="549">
        <f>IFERROR(SUM(Y341:Y343),"0")</f>
        <v>14.7</v>
      </c>
      <c r="Z345" s="37"/>
      <c r="AA345" s="550"/>
      <c r="AB345" s="550"/>
      <c r="AC345" s="550"/>
    </row>
    <row r="346" spans="1:68" ht="27.75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83</v>
      </c>
      <c r="AK349" s="68">
        <v>120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83</v>
      </c>
      <c r="AK350" s="68">
        <v>120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4">
        <v>4680115887046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88</v>
      </c>
      <c r="N351" s="33"/>
      <c r="O351" s="32">
        <v>60</v>
      </c>
      <c r="P351" s="69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4">
        <v>4680115884830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100</v>
      </c>
      <c r="Y352" s="548">
        <f t="shared" si="36"/>
        <v>105</v>
      </c>
      <c r="Z352" s="36">
        <f>IFERROR(IF(Y352=0,"",ROUNDUP(Y352/H352,0)*0.02175),"")</f>
        <v>0.15225</v>
      </c>
      <c r="AA352" s="56"/>
      <c r="AB352" s="57"/>
      <c r="AC352" s="409" t="s">
        <v>566</v>
      </c>
      <c r="AG352" s="64"/>
      <c r="AJ352" s="68" t="s">
        <v>83</v>
      </c>
      <c r="AK352" s="68">
        <v>120</v>
      </c>
      <c r="BB352" s="410" t="s">
        <v>1</v>
      </c>
      <c r="BM352" s="64">
        <f t="shared" si="37"/>
        <v>103.13333333333334</v>
      </c>
      <c r="BN352" s="64">
        <f t="shared" si="38"/>
        <v>108.29</v>
      </c>
      <c r="BO352" s="64">
        <f t="shared" si="39"/>
        <v>0.1388888888888889</v>
      </c>
      <c r="BP352" s="64">
        <f t="shared" si="40"/>
        <v>0.14583333333333331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6.666666666666667</v>
      </c>
      <c r="Y356" s="549">
        <f>IFERROR(Y349/H349,"0")+IFERROR(Y350/H350,"0")+IFERROR(Y351/H351,"0")+IFERROR(Y352/H352,"0")+IFERROR(Y353/H353,"0")+IFERROR(Y354/H354,"0")+IFERROR(Y355/H355,"0")</f>
        <v>7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0.15225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100</v>
      </c>
      <c r="Y357" s="549">
        <f>IFERROR(SUM(Y349:Y355),"0")</f>
        <v>105</v>
      </c>
      <c r="Z357" s="37"/>
      <c r="AA357" s="550"/>
      <c r="AB357" s="550"/>
      <c r="AC357" s="550"/>
    </row>
    <row r="358" spans="1:68" ht="14.25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 t="s">
        <v>105</v>
      </c>
      <c r="M359" s="33" t="s">
        <v>106</v>
      </c>
      <c r="N359" s="33"/>
      <c r="O359" s="32">
        <v>50</v>
      </c>
      <c r="P359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150</v>
      </c>
      <c r="Y359" s="548">
        <f>IFERROR(IF(X359="",0,CEILING((X359/$H359),1)*$H359),"")</f>
        <v>150</v>
      </c>
      <c r="Z359" s="36">
        <f>IFERROR(IF(Y359=0,"",ROUNDUP(Y359/H359,0)*0.02175),"")</f>
        <v>0.21749999999999997</v>
      </c>
      <c r="AA359" s="56"/>
      <c r="AB359" s="57"/>
      <c r="AC359" s="417" t="s">
        <v>576</v>
      </c>
      <c r="AG359" s="64"/>
      <c r="AJ359" s="68" t="s">
        <v>83</v>
      </c>
      <c r="AK359" s="68">
        <v>120</v>
      </c>
      <c r="BB359" s="418" t="s">
        <v>1</v>
      </c>
      <c r="BM359" s="64">
        <f>IFERROR(X359*I359/H359,"0")</f>
        <v>154.69999999999999</v>
      </c>
      <c r="BN359" s="64">
        <f>IFERROR(Y359*I359/H359,"0")</f>
        <v>154.69999999999999</v>
      </c>
      <c r="BO359" s="64">
        <f>IFERROR(1/J359*(X359/H359),"0")</f>
        <v>0.20833333333333331</v>
      </c>
      <c r="BP359" s="64">
        <f>IFERROR(1/J359*(Y359/H359),"0")</f>
        <v>0.20833333333333331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8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10</v>
      </c>
      <c r="Y361" s="549">
        <f>IFERROR(Y359/H359,"0")+IFERROR(Y360/H360,"0")</f>
        <v>10</v>
      </c>
      <c r="Z361" s="549">
        <f>IFERROR(IF(Z359="",0,Z359),"0")+IFERROR(IF(Z360="",0,Z360),"0")</f>
        <v>0.21749999999999997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150</v>
      </c>
      <c r="Y362" s="549">
        <f>IFERROR(SUM(Y359:Y360),"0")</f>
        <v>150</v>
      </c>
      <c r="Z362" s="37"/>
      <c r="AA362" s="550"/>
      <c r="AB362" s="550"/>
      <c r="AC362" s="550"/>
    </row>
    <row r="363" spans="1:68" ht="14.25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/>
      <c r="M364" s="33" t="s">
        <v>81</v>
      </c>
      <c r="N364" s="33"/>
      <c r="O364" s="32">
        <v>40</v>
      </c>
      <c r="P364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/>
      <c r="M365" s="33" t="s">
        <v>81</v>
      </c>
      <c r="N365" s="33"/>
      <c r="O365" s="32">
        <v>40</v>
      </c>
      <c r="P365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81</v>
      </c>
      <c r="N369" s="33"/>
      <c r="O369" s="32">
        <v>40</v>
      </c>
      <c r="P369" s="8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/>
      <c r="M374" s="33" t="s">
        <v>68</v>
      </c>
      <c r="N374" s="33"/>
      <c r="O374" s="32">
        <v>60</v>
      </c>
      <c r="P374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50</v>
      </c>
      <c r="Y374" s="548">
        <f>IFERROR(IF(X374="",0,CEILING((X374/$H374),1)*$H374),"")</f>
        <v>60</v>
      </c>
      <c r="Z374" s="36">
        <f>IFERROR(IF(Y374=0,"",ROUNDUP(Y374/H374,0)*0.01898),"")</f>
        <v>9.4899999999999998E-2</v>
      </c>
      <c r="AA374" s="56"/>
      <c r="AB374" s="57"/>
      <c r="AC374" s="427" t="s">
        <v>592</v>
      </c>
      <c r="AG374" s="64"/>
      <c r="AJ374" s="68"/>
      <c r="AK374" s="68">
        <v>0</v>
      </c>
      <c r="BB374" s="428" t="s">
        <v>1</v>
      </c>
      <c r="BM374" s="64">
        <f>IFERROR(X374*I374/H374,"0")</f>
        <v>51.708333333333336</v>
      </c>
      <c r="BN374" s="64">
        <f>IFERROR(Y374*I374/H374,"0")</f>
        <v>62.050000000000004</v>
      </c>
      <c r="BO374" s="64">
        <f>IFERROR(1/J374*(X374/H374),"0")</f>
        <v>6.5104166666666671E-2</v>
      </c>
      <c r="BP374" s="64">
        <f>IFERROR(1/J374*(Y374/H374),"0")</f>
        <v>7.8125E-2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60</v>
      </c>
      <c r="P375" s="7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4.166666666666667</v>
      </c>
      <c r="Y376" s="549">
        <f>IFERROR(Y374/H374,"0")+IFERROR(Y375/H375,"0")</f>
        <v>5</v>
      </c>
      <c r="Z376" s="549">
        <f>IFERROR(IF(Z374="",0,Z374),"0")+IFERROR(IF(Z375="",0,Z375),"0")</f>
        <v>9.4899999999999998E-2</v>
      </c>
      <c r="AA376" s="550"/>
      <c r="AB376" s="550"/>
      <c r="AC376" s="550"/>
    </row>
    <row r="377" spans="1:68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50</v>
      </c>
      <c r="Y377" s="549">
        <f>IFERROR(SUM(Y374:Y375),"0")</f>
        <v>60</v>
      </c>
      <c r="Z377" s="37"/>
      <c r="AA377" s="550"/>
      <c r="AB377" s="550"/>
      <c r="AC377" s="550"/>
    </row>
    <row r="378" spans="1:68" ht="14.25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4301031457</v>
      </c>
      <c r="D379" s="554">
        <v>4607091384802</v>
      </c>
      <c r="E379" s="555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110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4301031303</v>
      </c>
      <c r="D380" s="554">
        <v>4607091384802</v>
      </c>
      <c r="E380" s="555"/>
      <c r="F380" s="546">
        <v>0.73</v>
      </c>
      <c r="G380" s="32">
        <v>6</v>
      </c>
      <c r="H380" s="546">
        <v>4.38</v>
      </c>
      <c r="I380" s="546">
        <v>4.63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35</v>
      </c>
      <c r="P380" s="73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/>
      <c r="M384" s="33" t="s">
        <v>81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603</v>
      </c>
      <c r="B385" s="54" t="s">
        <v>604</v>
      </c>
      <c r="C385" s="31">
        <v>4301052069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81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606</v>
      </c>
      <c r="C386" s="31">
        <v>4301051660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81</v>
      </c>
      <c r="N386" s="33"/>
      <c r="O386" s="32">
        <v>40</v>
      </c>
      <c r="P386" s="58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602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0</v>
      </c>
      <c r="Y387" s="549">
        <f>IFERROR(Y384/H384,"0")+IFERROR(Y385/H385,"0")+IFERROR(Y386/H386,"0")</f>
        <v>0</v>
      </c>
      <c r="Z387" s="549">
        <f>IFERROR(IF(Z384="",0,Z384),"0")+IFERROR(IF(Z385="",0,Z385),"0")+IFERROR(IF(Z386="",0,Z386),"0")</f>
        <v>0</v>
      </c>
      <c r="AA387" s="550"/>
      <c r="AB387" s="550"/>
      <c r="AC387" s="550"/>
    </row>
    <row r="388" spans="1:68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0</v>
      </c>
      <c r="Y388" s="549">
        <f>IFERROR(SUM(Y384:Y386),"0")</f>
        <v>0</v>
      </c>
      <c r="Z388" s="37"/>
      <c r="AA388" s="550"/>
      <c r="AB388" s="550"/>
      <c r="AC388" s="550"/>
    </row>
    <row r="389" spans="1:68" ht="27.75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30</v>
      </c>
      <c r="Y392" s="548">
        <f t="shared" ref="Y392:Y400" si="41">IFERROR(IF(X392="",0,CEILING((X392/$H392),1)*$H392),"")</f>
        <v>32.400000000000006</v>
      </c>
      <c r="Z392" s="36">
        <f>IFERROR(IF(Y392=0,"",ROUNDUP(Y392/H392,0)*0.00902),"")</f>
        <v>5.4120000000000001E-2</v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31.05555555555555</v>
      </c>
      <c r="BN392" s="64">
        <f t="shared" ref="BN392:BN400" si="43">IFERROR(Y392*I392/H392,"0")</f>
        <v>33.54</v>
      </c>
      <c r="BO392" s="64">
        <f t="shared" ref="BO392:BO400" si="44">IFERROR(1/J392*(X392/H392),"0")</f>
        <v>4.208754208754209E-2</v>
      </c>
      <c r="BP392" s="64">
        <f t="shared" ref="BP392:BP400" si="45">IFERROR(1/J392*(Y392/H392),"0")</f>
        <v>4.5454545454545463E-2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7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25</v>
      </c>
      <c r="Y394" s="548">
        <f t="shared" si="41"/>
        <v>27</v>
      </c>
      <c r="Z394" s="36">
        <f>IFERROR(IF(Y394=0,"",ROUNDUP(Y394/H394,0)*0.00902),"")</f>
        <v>4.5100000000000001E-2</v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25.879629629629626</v>
      </c>
      <c r="BN394" s="64">
        <f t="shared" si="43"/>
        <v>27.95</v>
      </c>
      <c r="BO394" s="64">
        <f t="shared" si="44"/>
        <v>3.5072951739618406E-2</v>
      </c>
      <c r="BP394" s="64">
        <f t="shared" si="45"/>
        <v>3.787878787878788E-2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 t="s">
        <v>287</v>
      </c>
      <c r="M396" s="33" t="s">
        <v>68</v>
      </c>
      <c r="N396" s="33"/>
      <c r="O396" s="32">
        <v>50</v>
      </c>
      <c r="P396" s="7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 t="s">
        <v>83</v>
      </c>
      <c r="AK396" s="68">
        <v>37.799999999999997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10.185185185185185</v>
      </c>
      <c r="Y401" s="549">
        <f>IFERROR(Y392/H392,"0")+IFERROR(Y393/H393,"0")+IFERROR(Y394/H394,"0")+IFERROR(Y395/H395,"0")+IFERROR(Y396/H396,"0")+IFERROR(Y397/H397,"0")+IFERROR(Y398/H398,"0")+IFERROR(Y399/H399,"0")+IFERROR(Y400/H400,"0")</f>
        <v>11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9.9220000000000003E-2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55</v>
      </c>
      <c r="Y402" s="549">
        <f>IFERROR(SUM(Y392:Y400),"0")</f>
        <v>59.400000000000006</v>
      </c>
      <c r="Z402" s="37"/>
      <c r="AA402" s="550"/>
      <c r="AB402" s="550"/>
      <c r="AC402" s="550"/>
    </row>
    <row r="403" spans="1:68" ht="14.25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/>
      <c r="M404" s="33" t="s">
        <v>81</v>
      </c>
      <c r="N404" s="33"/>
      <c r="O404" s="32">
        <v>45</v>
      </c>
      <c r="P404" s="5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/>
      <c r="M405" s="33" t="s">
        <v>81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/>
      <c r="M414" s="33" t="s">
        <v>106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30</v>
      </c>
      <c r="Y414" s="548">
        <f>IFERROR(IF(X414="",0,CEILING((X414/$H414),1)*$H414),"")</f>
        <v>32.400000000000006</v>
      </c>
      <c r="Z414" s="36">
        <f>IFERROR(IF(Y414=0,"",ROUNDUP(Y414/H414,0)*0.00902),"")</f>
        <v>5.4120000000000001E-2</v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31.05555555555555</v>
      </c>
      <c r="BN414" s="64">
        <f>IFERROR(Y414*I414/H414,"0")</f>
        <v>33.54</v>
      </c>
      <c r="BO414" s="64">
        <f>IFERROR(1/J414*(X414/H414),"0")</f>
        <v>4.208754208754209E-2</v>
      </c>
      <c r="BP414" s="64">
        <f>IFERROR(1/J414*(Y414/H414),"0")</f>
        <v>4.5454545454545463E-2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5.5555555555555554</v>
      </c>
      <c r="Y418" s="549">
        <f>IFERROR(Y414/H414,"0")+IFERROR(Y415/H415,"0")+IFERROR(Y416/H416,"0")+IFERROR(Y417/H417,"0")</f>
        <v>6.0000000000000009</v>
      </c>
      <c r="Z418" s="549">
        <f>IFERROR(IF(Z414="",0,Z414),"0")+IFERROR(IF(Z415="",0,Z415),"0")+IFERROR(IF(Z416="",0,Z416),"0")+IFERROR(IF(Z417="",0,Z417),"0")</f>
        <v>5.4120000000000001E-2</v>
      </c>
      <c r="AA418" s="550"/>
      <c r="AB418" s="550"/>
      <c r="AC418" s="550"/>
    </row>
    <row r="419" spans="1:68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30</v>
      </c>
      <c r="Y419" s="549">
        <f>IFERROR(SUM(Y414:Y417),"0")</f>
        <v>32.400000000000006</v>
      </c>
      <c r="Z419" s="37"/>
      <c r="AA419" s="550"/>
      <c r="AB419" s="550"/>
      <c r="AC419" s="550"/>
    </row>
    <row r="420" spans="1:68" ht="16.5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40</v>
      </c>
      <c r="Y428" s="548">
        <f t="shared" ref="Y428:Y439" si="47">IFERROR(IF(X428="",0,CEILING((X428/$H428),1)*$H428),"")</f>
        <v>42.24</v>
      </c>
      <c r="Z428" s="36">
        <f t="shared" ref="Z428:Z434" si="48">IFERROR(IF(Y428=0,"",ROUNDUP(Y428/H428,0)*0.01196),"")</f>
        <v>9.5680000000000001E-2</v>
      </c>
      <c r="AA428" s="56"/>
      <c r="AB428" s="57"/>
      <c r="AC428" s="475" t="s">
        <v>107</v>
      </c>
      <c r="AG428" s="64"/>
      <c r="AJ428" s="68" t="s">
        <v>83</v>
      </c>
      <c r="AK428" s="68">
        <v>42.24</v>
      </c>
      <c r="BB428" s="476" t="s">
        <v>1</v>
      </c>
      <c r="BM428" s="64">
        <f t="shared" ref="BM428:BM439" si="49">IFERROR(X428*I428/H428,"0")</f>
        <v>42.651515151515149</v>
      </c>
      <c r="BN428" s="64">
        <f t="shared" ref="BN428:BN439" si="50">IFERROR(Y428*I428/H428,"0")</f>
        <v>45.04</v>
      </c>
      <c r="BO428" s="64">
        <f t="shared" ref="BO428:BO439" si="51">IFERROR(1/J428*(X428/H428),"0")</f>
        <v>7.2843822843822847E-2</v>
      </c>
      <c r="BP428" s="64">
        <f t="shared" ref="BP428:BP439" si="52">IFERROR(1/J428*(Y428/H428),"0")</f>
        <v>7.6923076923076927E-2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81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150</v>
      </c>
      <c r="Y432" s="548">
        <f t="shared" si="47"/>
        <v>153.12</v>
      </c>
      <c r="Z432" s="36">
        <f t="shared" si="48"/>
        <v>0.34683999999999998</v>
      </c>
      <c r="AA432" s="56"/>
      <c r="AB432" s="57"/>
      <c r="AC432" s="483" t="s">
        <v>670</v>
      </c>
      <c r="AG432" s="64"/>
      <c r="AJ432" s="68" t="s">
        <v>83</v>
      </c>
      <c r="AK432" s="68">
        <v>42.24</v>
      </c>
      <c r="BB432" s="484" t="s">
        <v>1</v>
      </c>
      <c r="BM432" s="64">
        <f t="shared" si="49"/>
        <v>159.94318181818181</v>
      </c>
      <c r="BN432" s="64">
        <f t="shared" si="50"/>
        <v>163.26999999999998</v>
      </c>
      <c r="BO432" s="64">
        <f t="shared" si="51"/>
        <v>0.27316433566433568</v>
      </c>
      <c r="BP432" s="64">
        <f t="shared" si="52"/>
        <v>0.27884615384615385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150</v>
      </c>
      <c r="Y434" s="548">
        <f t="shared" si="47"/>
        <v>153.12</v>
      </c>
      <c r="Z434" s="36">
        <f t="shared" si="48"/>
        <v>0.34683999999999998</v>
      </c>
      <c r="AA434" s="56"/>
      <c r="AB434" s="57"/>
      <c r="AC434" s="487" t="s">
        <v>676</v>
      </c>
      <c r="AG434" s="64"/>
      <c r="AJ434" s="68" t="s">
        <v>83</v>
      </c>
      <c r="AK434" s="68">
        <v>42.24</v>
      </c>
      <c r="BB434" s="488" t="s">
        <v>1</v>
      </c>
      <c r="BM434" s="64">
        <f t="shared" si="49"/>
        <v>159.94318181818181</v>
      </c>
      <c r="BN434" s="64">
        <f t="shared" si="50"/>
        <v>163.26999999999998</v>
      </c>
      <c r="BO434" s="64">
        <f t="shared" si="51"/>
        <v>0.27316433566433568</v>
      </c>
      <c r="BP434" s="64">
        <f t="shared" si="52"/>
        <v>0.27884615384615385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81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1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64.393939393939391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66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0.78935999999999995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340</v>
      </c>
      <c r="Y441" s="549">
        <f>IFERROR(SUM(Y428:Y439),"0")</f>
        <v>348.48</v>
      </c>
      <c r="Z441" s="37"/>
      <c r="AA441" s="550"/>
      <c r="AB441" s="550"/>
      <c r="AC441" s="550"/>
    </row>
    <row r="442" spans="1:68" ht="14.25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/>
      <c r="M443" s="33" t="s">
        <v>81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70</v>
      </c>
      <c r="Y443" s="548">
        <f>IFERROR(IF(X443="",0,CEILING((X443/$H443),1)*$H443),"")</f>
        <v>73.92</v>
      </c>
      <c r="Z443" s="36">
        <f>IFERROR(IF(Y443=0,"",ROUNDUP(Y443/H443,0)*0.01196),"")</f>
        <v>0.16744000000000001</v>
      </c>
      <c r="AA443" s="56"/>
      <c r="AB443" s="57"/>
      <c r="AC443" s="499" t="s">
        <v>690</v>
      </c>
      <c r="AG443" s="64"/>
      <c r="AJ443" s="68"/>
      <c r="AK443" s="68">
        <v>0</v>
      </c>
      <c r="BB443" s="500" t="s">
        <v>1</v>
      </c>
      <c r="BM443" s="64">
        <f>IFERROR(X443*I443/H443,"0")</f>
        <v>74.640151515151501</v>
      </c>
      <c r="BN443" s="64">
        <f>IFERROR(Y443*I443/H443,"0")</f>
        <v>78.819999999999993</v>
      </c>
      <c r="BO443" s="64">
        <f>IFERROR(1/J443*(X443/H443),"0")</f>
        <v>0.12747668997668998</v>
      </c>
      <c r="BP443" s="64">
        <f>IFERROR(1/J443*(Y443/H443),"0")</f>
        <v>0.13461538461538464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81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13.257575757575758</v>
      </c>
      <c r="Y446" s="549">
        <f>IFERROR(Y443/H443,"0")+IFERROR(Y444/H444,"0")+IFERROR(Y445/H445,"0")</f>
        <v>14</v>
      </c>
      <c r="Z446" s="549">
        <f>IFERROR(IF(Z443="",0,Z443),"0")+IFERROR(IF(Z444="",0,Z444),"0")+IFERROR(IF(Z445="",0,Z445),"0")</f>
        <v>0.16744000000000001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70</v>
      </c>
      <c r="Y447" s="549">
        <f>IFERROR(SUM(Y443:Y445),"0")</f>
        <v>73.92</v>
      </c>
      <c r="Z447" s="37"/>
      <c r="AA447" s="550"/>
      <c r="AB447" s="550"/>
      <c r="AC447" s="550"/>
    </row>
    <row r="448" spans="1:68" ht="14.25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/>
      <c r="M449" s="33" t="s">
        <v>106</v>
      </c>
      <c r="N449" s="33"/>
      <c r="O449" s="32">
        <v>70</v>
      </c>
      <c r="P449" s="8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/>
      <c r="AK449" s="68">
        <v>0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83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60</v>
      </c>
      <c r="Y451" s="548">
        <f t="shared" si="53"/>
        <v>63.36</v>
      </c>
      <c r="Z451" s="36">
        <f>IFERROR(IF(Y451=0,"",ROUNDUP(Y451/H451,0)*0.01196),"")</f>
        <v>0.14352000000000001</v>
      </c>
      <c r="AA451" s="56"/>
      <c r="AB451" s="57"/>
      <c r="AC451" s="509" t="s">
        <v>703</v>
      </c>
      <c r="AG451" s="64"/>
      <c r="AJ451" s="68" t="s">
        <v>83</v>
      </c>
      <c r="AK451" s="68">
        <v>42.24</v>
      </c>
      <c r="BB451" s="510" t="s">
        <v>1</v>
      </c>
      <c r="BM451" s="64">
        <f t="shared" si="54"/>
        <v>63.977272727272727</v>
      </c>
      <c r="BN451" s="64">
        <f t="shared" si="55"/>
        <v>67.559999999999988</v>
      </c>
      <c r="BO451" s="64">
        <f t="shared" si="56"/>
        <v>0.10926573426573427</v>
      </c>
      <c r="BP451" s="64">
        <f t="shared" si="57"/>
        <v>0.11538461538461539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11.363636363636363</v>
      </c>
      <c r="Y455" s="549">
        <f>IFERROR(Y449/H449,"0")+IFERROR(Y450/H450,"0")+IFERROR(Y451/H451,"0")+IFERROR(Y452/H452,"0")+IFERROR(Y453/H453,"0")+IFERROR(Y454/H454,"0")</f>
        <v>12</v>
      </c>
      <c r="Z455" s="549">
        <f>IFERROR(IF(Z449="",0,Z449),"0")+IFERROR(IF(Z450="",0,Z450),"0")+IFERROR(IF(Z451="",0,Z451),"0")+IFERROR(IF(Z452="",0,Z452),"0")+IFERROR(IF(Z453="",0,Z453),"0")+IFERROR(IF(Z454="",0,Z454),"0")</f>
        <v>0.14352000000000001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60</v>
      </c>
      <c r="Y456" s="549">
        <f>IFERROR(SUM(Y449:Y454),"0")</f>
        <v>63.36</v>
      </c>
      <c r="Z456" s="37"/>
      <c r="AA456" s="550"/>
      <c r="AB456" s="550"/>
      <c r="AC456" s="550"/>
    </row>
    <row r="457" spans="1:68" ht="27.75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81</v>
      </c>
      <c r="N460" s="33"/>
      <c r="O460" s="32">
        <v>55</v>
      </c>
      <c r="P460" s="7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/>
      <c r="M462" s="33" t="s">
        <v>106</v>
      </c>
      <c r="N462" s="33"/>
      <c r="O462" s="32">
        <v>50</v>
      </c>
      <c r="P462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40</v>
      </c>
      <c r="Y462" s="548">
        <f>IFERROR(IF(X462="",0,CEILING((X462/$H462),1)*$H462),"")</f>
        <v>48</v>
      </c>
      <c r="Z462" s="36">
        <f>IFERROR(IF(Y462=0,"",ROUNDUP(Y462/H462,0)*0.01898),"")</f>
        <v>7.5920000000000001E-2</v>
      </c>
      <c r="AA462" s="56"/>
      <c r="AB462" s="57"/>
      <c r="AC462" s="521" t="s">
        <v>719</v>
      </c>
      <c r="AG462" s="64"/>
      <c r="AJ462" s="68"/>
      <c r="AK462" s="68">
        <v>0</v>
      </c>
      <c r="BB462" s="522" t="s">
        <v>1</v>
      </c>
      <c r="BM462" s="64">
        <f>IFERROR(X462*I462/H462,"0")</f>
        <v>41.366666666666667</v>
      </c>
      <c r="BN462" s="64">
        <f>IFERROR(Y462*I462/H462,"0")</f>
        <v>49.640000000000008</v>
      </c>
      <c r="BO462" s="64">
        <f>IFERROR(1/J462*(X462/H462),"0")</f>
        <v>5.2083333333333336E-2</v>
      </c>
      <c r="BP462" s="64">
        <f>IFERROR(1/J462*(Y462/H462),"0")</f>
        <v>6.25E-2</v>
      </c>
    </row>
    <row r="463" spans="1:68" ht="27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81</v>
      </c>
      <c r="N463" s="33"/>
      <c r="O463" s="32">
        <v>55</v>
      </c>
      <c r="P463" s="80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3.3333333333333335</v>
      </c>
      <c r="Y464" s="549">
        <f>IFERROR(Y460/H460,"0")+IFERROR(Y461/H461,"0")+IFERROR(Y462/H462,"0")+IFERROR(Y463/H463,"0")</f>
        <v>4</v>
      </c>
      <c r="Z464" s="549">
        <f>IFERROR(IF(Z460="",0,Z460),"0")+IFERROR(IF(Z461="",0,Z461),"0")+IFERROR(IF(Z462="",0,Z462),"0")+IFERROR(IF(Z463="",0,Z463),"0")</f>
        <v>7.5920000000000001E-2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40</v>
      </c>
      <c r="Y465" s="549">
        <f>IFERROR(SUM(Y460:Y463),"0")</f>
        <v>48</v>
      </c>
      <c r="Z465" s="37"/>
      <c r="AA465" s="550"/>
      <c r="AB465" s="550"/>
      <c r="AC465" s="550"/>
    </row>
    <row r="466" spans="1:68" ht="14.25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6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0</v>
      </c>
      <c r="Y472" s="548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0</v>
      </c>
      <c r="Y473" s="549">
        <f>IFERROR(Y472/H472,"0")</f>
        <v>0</v>
      </c>
      <c r="Z473" s="549">
        <f>IFERROR(IF(Z472="",0,Z472),"0")</f>
        <v>0</v>
      </c>
      <c r="AA473" s="550"/>
      <c r="AB473" s="550"/>
      <c r="AC473" s="550"/>
    </row>
    <row r="474" spans="1:68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0</v>
      </c>
      <c r="Y474" s="549">
        <f>IFERROR(SUM(Y472:Y472),"0")</f>
        <v>0</v>
      </c>
      <c r="Z474" s="37"/>
      <c r="AA474" s="550"/>
      <c r="AB474" s="550"/>
      <c r="AC474" s="550"/>
    </row>
    <row r="475" spans="1:68" ht="14.25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/>
      <c r="M476" s="33" t="s">
        <v>88</v>
      </c>
      <c r="N476" s="33"/>
      <c r="O476" s="32">
        <v>45</v>
      </c>
      <c r="P476" s="6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81</v>
      </c>
      <c r="N480" s="33"/>
      <c r="O480" s="32">
        <v>40</v>
      </c>
      <c r="P480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81</v>
      </c>
      <c r="N481" s="33"/>
      <c r="O481" s="32">
        <v>40</v>
      </c>
      <c r="P481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59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15"/>
      <c r="P489" s="645" t="s">
        <v>744</v>
      </c>
      <c r="Q489" s="646"/>
      <c r="R489" s="646"/>
      <c r="S489" s="646"/>
      <c r="T489" s="646"/>
      <c r="U489" s="646"/>
      <c r="V489" s="647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1815.4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1906.5600000000004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15"/>
      <c r="P490" s="645" t="s">
        <v>745</v>
      </c>
      <c r="Q490" s="646"/>
      <c r="R490" s="646"/>
      <c r="S490" s="646"/>
      <c r="T490" s="646"/>
      <c r="U490" s="646"/>
      <c r="V490" s="647"/>
      <c r="W490" s="37" t="s">
        <v>69</v>
      </c>
      <c r="X490" s="549">
        <f>IFERROR(SUM(BM22:BM486),"0")</f>
        <v>1907.2905499438832</v>
      </c>
      <c r="Y490" s="549">
        <f>IFERROR(SUM(BN22:BN486),"0")</f>
        <v>2002.6219999999998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15"/>
      <c r="P491" s="645" t="s">
        <v>746</v>
      </c>
      <c r="Q491" s="646"/>
      <c r="R491" s="646"/>
      <c r="S491" s="646"/>
      <c r="T491" s="646"/>
      <c r="U491" s="646"/>
      <c r="V491" s="647"/>
      <c r="W491" s="37" t="s">
        <v>747</v>
      </c>
      <c r="X491" s="38">
        <f>ROUNDUP(SUM(BO22:BO486),0)</f>
        <v>4</v>
      </c>
      <c r="Y491" s="38">
        <f>ROUNDUP(SUM(BP22:BP486),0)</f>
        <v>4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5"/>
      <c r="P492" s="645" t="s">
        <v>748</v>
      </c>
      <c r="Q492" s="646"/>
      <c r="R492" s="646"/>
      <c r="S492" s="646"/>
      <c r="T492" s="646"/>
      <c r="U492" s="646"/>
      <c r="V492" s="647"/>
      <c r="W492" s="37" t="s">
        <v>69</v>
      </c>
      <c r="X492" s="549">
        <f>GrossWeightTotal+PalletQtyTotal*25</f>
        <v>2007.2905499438832</v>
      </c>
      <c r="Y492" s="549">
        <f>GrossWeightTotalR+PalletQtyTotalR*25</f>
        <v>2102.6219999999998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5"/>
      <c r="P493" s="645" t="s">
        <v>749</v>
      </c>
      <c r="Q493" s="646"/>
      <c r="R493" s="646"/>
      <c r="S493" s="646"/>
      <c r="T493" s="646"/>
      <c r="U493" s="646"/>
      <c r="V493" s="647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276.61133927800591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289</v>
      </c>
      <c r="Z493" s="37"/>
      <c r="AA493" s="550"/>
      <c r="AB493" s="550"/>
      <c r="AC493" s="550"/>
    </row>
    <row r="494" spans="1:68" ht="14.25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5"/>
      <c r="P494" s="645" t="s">
        <v>750</v>
      </c>
      <c r="Q494" s="646"/>
      <c r="R494" s="646"/>
      <c r="S494" s="646"/>
      <c r="T494" s="646"/>
      <c r="U494" s="646"/>
      <c r="V494" s="647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3.7805099999999996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603" t="s">
        <v>99</v>
      </c>
      <c r="D496" s="669"/>
      <c r="E496" s="669"/>
      <c r="F496" s="669"/>
      <c r="G496" s="669"/>
      <c r="H496" s="639"/>
      <c r="I496" s="603" t="s">
        <v>263</v>
      </c>
      <c r="J496" s="669"/>
      <c r="K496" s="669"/>
      <c r="L496" s="669"/>
      <c r="M496" s="669"/>
      <c r="N496" s="669"/>
      <c r="O496" s="669"/>
      <c r="P496" s="669"/>
      <c r="Q496" s="669"/>
      <c r="R496" s="639"/>
      <c r="S496" s="603" t="s">
        <v>553</v>
      </c>
      <c r="T496" s="639"/>
      <c r="U496" s="603" t="s">
        <v>607</v>
      </c>
      <c r="V496" s="669"/>
      <c r="W496" s="639"/>
      <c r="X496" s="544" t="s">
        <v>658</v>
      </c>
      <c r="Y496" s="603" t="s">
        <v>710</v>
      </c>
      <c r="Z496" s="639"/>
      <c r="AB496" s="52"/>
      <c r="AC496" s="52"/>
      <c r="AF496" s="545"/>
    </row>
    <row r="497" spans="1:32" ht="14.25" customHeight="1" thickTop="1" x14ac:dyDescent="0.2">
      <c r="A497" s="845" t="s">
        <v>753</v>
      </c>
      <c r="B497" s="603" t="s">
        <v>63</v>
      </c>
      <c r="C497" s="603" t="s">
        <v>100</v>
      </c>
      <c r="D497" s="603" t="s">
        <v>117</v>
      </c>
      <c r="E497" s="603" t="s">
        <v>168</v>
      </c>
      <c r="F497" s="603" t="s">
        <v>190</v>
      </c>
      <c r="G497" s="603" t="s">
        <v>227</v>
      </c>
      <c r="H497" s="603" t="s">
        <v>99</v>
      </c>
      <c r="I497" s="603" t="s">
        <v>264</v>
      </c>
      <c r="J497" s="603" t="s">
        <v>319</v>
      </c>
      <c r="K497" s="603" t="s">
        <v>379</v>
      </c>
      <c r="L497" s="603" t="s">
        <v>420</v>
      </c>
      <c r="M497" s="603" t="s">
        <v>436</v>
      </c>
      <c r="N497" s="545"/>
      <c r="O497" s="603" t="s">
        <v>447</v>
      </c>
      <c r="P497" s="603" t="s">
        <v>456</v>
      </c>
      <c r="Q497" s="603" t="s">
        <v>469</v>
      </c>
      <c r="R497" s="603" t="s">
        <v>543</v>
      </c>
      <c r="S497" s="603" t="s">
        <v>554</v>
      </c>
      <c r="T497" s="603" t="s">
        <v>589</v>
      </c>
      <c r="U497" s="603" t="s">
        <v>608</v>
      </c>
      <c r="V497" s="603" t="s">
        <v>639</v>
      </c>
      <c r="W497" s="603" t="s">
        <v>654</v>
      </c>
      <c r="X497" s="603" t="s">
        <v>658</v>
      </c>
      <c r="Y497" s="603" t="s">
        <v>710</v>
      </c>
      <c r="Z497" s="603" t="s">
        <v>740</v>
      </c>
      <c r="AB497" s="52"/>
      <c r="AC497" s="52"/>
      <c r="AF497" s="545"/>
    </row>
    <row r="498" spans="1:32" ht="13.5" customHeight="1" thickBot="1" x14ac:dyDescent="0.25">
      <c r="A498" s="846"/>
      <c r="B498" s="604"/>
      <c r="C498" s="604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545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  <c r="Y498" s="604"/>
      <c r="Z498" s="604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32.400000000000006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139.5</v>
      </c>
      <c r="E499" s="46">
        <f>IFERROR(Y84*1,"0")+IFERROR(Y85*1,"0")+IFERROR(Y86*1,"0")+IFERROR(Y87*1,"0")+IFERROR(Y91*1,"0")+IFERROR(Y92*1,"0")+IFERROR(Y93*1,"0")+IFERROR(Y94*1,"0")</f>
        <v>136.80000000000001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216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0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25.200000000000003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305.40000000000003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0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96</v>
      </c>
      <c r="R499" s="46">
        <f>IFERROR(Y341*1,"0")+IFERROR(Y342*1,"0")+IFERROR(Y343*1,"0")</f>
        <v>14.7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255</v>
      </c>
      <c r="T499" s="46">
        <f>IFERROR(Y374*1,"0")+IFERROR(Y375*1,"0")+IFERROR(Y379*1,"0")+IFERROR(Y380*1,"0")+IFERROR(Y384*1,"0")+IFERROR(Y385*1,"0")+IFERROR(Y386*1,"0")</f>
        <v>60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59.400000000000006</v>
      </c>
      <c r="V499" s="46">
        <f>IFERROR(Y410*1,"0")+IFERROR(Y414*1,"0")+IFERROR(Y415*1,"0")+IFERROR(Y416*1,"0")+IFERROR(Y417*1,"0")</f>
        <v>32.400000000000006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485.76000000000005</v>
      </c>
      <c r="Y499" s="46">
        <f>IFERROR(Y460*1,"0")+IFERROR(Y461*1,"0")+IFERROR(Y462*1,"0")+IFERROR(Y463*1,"0")+IFERROR(Y467*1,"0")+IFERROR(Y468*1,"0")+IFERROR(Y472*1,"0")+IFERROR(Y476*1,"0")+IFERROR(Y480*1,"0")+IFERROR(Y481*1,"0")</f>
        <v>48</v>
      </c>
      <c r="Z499" s="46">
        <f>IFERROR(Y486*1,"0")</f>
        <v>0</v>
      </c>
      <c r="AB499" s="52"/>
      <c r="AC499" s="52"/>
      <c r="AF499" s="545"/>
    </row>
  </sheetData>
  <sheetProtection algorithmName="SHA-512" hashValue="sWJLvuocHP3CFqZKjcj9w5gaXIShKU5M6pBhMC0Hur8wYFfpm+uX3yyMEFgHVH1S+Y8fmoxPEaxIFx5OIsH7Zg==" saltValue="IJQ2mugdV3Rekjpz9dAnU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P138:V138"/>
    <mergeCell ref="P151:T151"/>
    <mergeCell ref="P76:V76"/>
    <mergeCell ref="D395:E395"/>
    <mergeCell ref="P449:T449"/>
    <mergeCell ref="A426:Z426"/>
    <mergeCell ref="A10:C10"/>
    <mergeCell ref="P126:T126"/>
    <mergeCell ref="P361:V361"/>
    <mergeCell ref="A413:Z413"/>
    <mergeCell ref="D17:E18"/>
    <mergeCell ref="X17:X18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P469:V469"/>
    <mergeCell ref="A294:Z294"/>
    <mergeCell ref="D221:E221"/>
    <mergeCell ref="A370:O371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A344:O345"/>
    <mergeCell ref="D310:E310"/>
    <mergeCell ref="P364:T364"/>
    <mergeCell ref="A245:O246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P241:V241"/>
    <mergeCell ref="P62:T62"/>
    <mergeCell ref="D203:E203"/>
    <mergeCell ref="P232:T232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D87:E87"/>
    <mergeCell ref="D445:E445"/>
    <mergeCell ref="D301:E301"/>
    <mergeCell ref="A423:O424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D53:E53"/>
    <mergeCell ref="D351:E351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D486:E486"/>
    <mergeCell ref="P86:T86"/>
    <mergeCell ref="A287:O288"/>
    <mergeCell ref="P328:T328"/>
    <mergeCell ref="P384:T384"/>
    <mergeCell ref="A281:O282"/>
    <mergeCell ref="A378:Z378"/>
    <mergeCell ref="D205:E205"/>
    <mergeCell ref="D78:E78"/>
    <mergeCell ref="P172:T172"/>
    <mergeCell ref="P432:T432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A124:Z124"/>
    <mergeCell ref="D431:E431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0:X41 X56 X62 X84 X87 X99 X102 X117 X121 X165 X167 X171 X176 X203:X206 X208:X210 X216:X217 X219 X221:X222 X226:X227 X240 X279 X309:X310 X321:X322 X329 X342:X343 X349:X350 X352 X359 X396 X428 X432 X434 X450:X451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i9EkOURKIXmMPTJhgIuXmUEb0H/KCL7Nfrch3ZcLMNWVWifibSBBYMkwAUeDAOchl/OxsI6LNGldYt0mUDvfMg==" saltValue="t1cgYgMAEj2yy/9oMrhek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2026-01-22T06:45:29Z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