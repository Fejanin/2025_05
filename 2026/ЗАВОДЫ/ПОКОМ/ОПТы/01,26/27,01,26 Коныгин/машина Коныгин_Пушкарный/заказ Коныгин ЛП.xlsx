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BBBC68E9-F5BC-4291-8F3A-9E60AA298ED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Y469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X499" i="1" s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X412" i="1"/>
  <c r="Y411" i="1"/>
  <c r="X411" i="1"/>
  <c r="BP410" i="1"/>
  <c r="BO410" i="1"/>
  <c r="BN410" i="1"/>
  <c r="BM410" i="1"/>
  <c r="Z410" i="1"/>
  <c r="Z411" i="1" s="1"/>
  <c r="Y410" i="1"/>
  <c r="P410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Y258" i="1" s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Y229" i="1" s="1"/>
  <c r="P226" i="1"/>
  <c r="X224" i="1"/>
  <c r="X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Y223" i="1" s="1"/>
  <c r="P214" i="1"/>
  <c r="X212" i="1"/>
  <c r="X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Y211" i="1" s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Y201" i="1" s="1"/>
  <c r="P198" i="1"/>
  <c r="X196" i="1"/>
  <c r="X195" i="1"/>
  <c r="BO194" i="1"/>
  <c r="BM194" i="1"/>
  <c r="Y194" i="1"/>
  <c r="BP194" i="1" s="1"/>
  <c r="P194" i="1"/>
  <c r="BP193" i="1"/>
  <c r="BO193" i="1"/>
  <c r="BN193" i="1"/>
  <c r="BM193" i="1"/>
  <c r="Z193" i="1"/>
  <c r="Y193" i="1"/>
  <c r="Y195" i="1" s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Y180" i="1" s="1"/>
  <c r="P165" i="1"/>
  <c r="X163" i="1"/>
  <c r="X162" i="1"/>
  <c r="BO161" i="1"/>
  <c r="BM161" i="1"/>
  <c r="Y161" i="1"/>
  <c r="I499" i="1" s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2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Y128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Y31" i="1" s="1"/>
  <c r="P27" i="1"/>
  <c r="X25" i="1"/>
  <c r="X489" i="1" s="1"/>
  <c r="X24" i="1"/>
  <c r="BP23" i="1"/>
  <c r="BO23" i="1"/>
  <c r="BN23" i="1"/>
  <c r="BM23" i="1"/>
  <c r="Z23" i="1"/>
  <c r="Y23" i="1"/>
  <c r="P23" i="1"/>
  <c r="BO22" i="1"/>
  <c r="X491" i="1" s="1"/>
  <c r="BM22" i="1"/>
  <c r="Y22" i="1"/>
  <c r="P22" i="1"/>
  <c r="H10" i="1"/>
  <c r="H9" i="1"/>
  <c r="A9" i="1"/>
  <c r="D7" i="1"/>
  <c r="Q6" i="1"/>
  <c r="P2" i="1"/>
  <c r="Y25" i="1" l="1"/>
  <c r="BP22" i="1"/>
  <c r="BN22" i="1"/>
  <c r="Z22" i="1"/>
  <c r="Z24" i="1" s="1"/>
  <c r="B499" i="1"/>
  <c r="BP30" i="1"/>
  <c r="BN30" i="1"/>
  <c r="Z30" i="1"/>
  <c r="Y32" i="1"/>
  <c r="Y35" i="1"/>
  <c r="BP34" i="1"/>
  <c r="BN34" i="1"/>
  <c r="Z34" i="1"/>
  <c r="Z35" i="1" s="1"/>
  <c r="Y36" i="1"/>
  <c r="C499" i="1"/>
  <c r="Y43" i="1"/>
  <c r="BP40" i="1"/>
  <c r="BN40" i="1"/>
  <c r="Z40" i="1"/>
  <c r="BP53" i="1"/>
  <c r="BN53" i="1"/>
  <c r="Z53" i="1"/>
  <c r="Y57" i="1"/>
  <c r="BP61" i="1"/>
  <c r="BN61" i="1"/>
  <c r="Z61" i="1"/>
  <c r="Z63" i="1" s="1"/>
  <c r="BP73" i="1"/>
  <c r="BN73" i="1"/>
  <c r="Z73" i="1"/>
  <c r="BP86" i="1"/>
  <c r="BN86" i="1"/>
  <c r="Z86" i="1"/>
  <c r="BP94" i="1"/>
  <c r="BN94" i="1"/>
  <c r="Z94" i="1"/>
  <c r="Y96" i="1"/>
  <c r="F499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Y111" i="1"/>
  <c r="BP115" i="1"/>
  <c r="BN115" i="1"/>
  <c r="Z115" i="1"/>
  <c r="Z118" i="1" s="1"/>
  <c r="BP132" i="1"/>
  <c r="BN132" i="1"/>
  <c r="Z132" i="1"/>
  <c r="Z133" i="1" s="1"/>
  <c r="Y134" i="1"/>
  <c r="Y139" i="1"/>
  <c r="BP136" i="1"/>
  <c r="BN136" i="1"/>
  <c r="Z136" i="1"/>
  <c r="Z138" i="1" s="1"/>
  <c r="Y138" i="1"/>
  <c r="F10" i="1"/>
  <c r="J9" i="1"/>
  <c r="F9" i="1"/>
  <c r="A10" i="1"/>
  <c r="X490" i="1"/>
  <c r="X492" i="1" s="1"/>
  <c r="Y24" i="1"/>
  <c r="BP28" i="1"/>
  <c r="BN28" i="1"/>
  <c r="Z28" i="1"/>
  <c r="Z31" i="1" s="1"/>
  <c r="BP42" i="1"/>
  <c r="BN42" i="1"/>
  <c r="Z42" i="1"/>
  <c r="Y44" i="1"/>
  <c r="Y47" i="1"/>
  <c r="BP46" i="1"/>
  <c r="BN46" i="1"/>
  <c r="Z46" i="1"/>
  <c r="Z47" i="1" s="1"/>
  <c r="Y48" i="1"/>
  <c r="D499" i="1"/>
  <c r="Y58" i="1"/>
  <c r="BP51" i="1"/>
  <c r="BN51" i="1"/>
  <c r="Z51" i="1"/>
  <c r="Z57" i="1" s="1"/>
  <c r="BP55" i="1"/>
  <c r="BN55" i="1"/>
  <c r="Z55" i="1"/>
  <c r="Y64" i="1"/>
  <c r="Y63" i="1"/>
  <c r="BP67" i="1"/>
  <c r="BN67" i="1"/>
  <c r="Z67" i="1"/>
  <c r="Z68" i="1" s="1"/>
  <c r="Y69" i="1"/>
  <c r="Y76" i="1"/>
  <c r="BP71" i="1"/>
  <c r="BN71" i="1"/>
  <c r="Z71" i="1"/>
  <c r="Z75" i="1" s="1"/>
  <c r="Y75" i="1"/>
  <c r="BP79" i="1"/>
  <c r="BN79" i="1"/>
  <c r="Z79" i="1"/>
  <c r="Z80" i="1" s="1"/>
  <c r="Y81" i="1"/>
  <c r="E499" i="1"/>
  <c r="Y89" i="1"/>
  <c r="BP84" i="1"/>
  <c r="BN84" i="1"/>
  <c r="Z84" i="1"/>
  <c r="Z88" i="1" s="1"/>
  <c r="Y88" i="1"/>
  <c r="BP92" i="1"/>
  <c r="BN92" i="1"/>
  <c r="Z92" i="1"/>
  <c r="Z95" i="1" s="1"/>
  <c r="BP101" i="1"/>
  <c r="BN101" i="1"/>
  <c r="Z101" i="1"/>
  <c r="BP109" i="1"/>
  <c r="BN109" i="1"/>
  <c r="Z109" i="1"/>
  <c r="Y118" i="1"/>
  <c r="BP117" i="1"/>
  <c r="BN117" i="1"/>
  <c r="Z117" i="1"/>
  <c r="Y119" i="1"/>
  <c r="Y122" i="1"/>
  <c r="BP121" i="1"/>
  <c r="BN121" i="1"/>
  <c r="Z121" i="1"/>
  <c r="Z122" i="1" s="1"/>
  <c r="Y123" i="1"/>
  <c r="G499" i="1"/>
  <c r="Y129" i="1"/>
  <c r="BP126" i="1"/>
  <c r="BN126" i="1"/>
  <c r="Z126" i="1"/>
  <c r="Z128" i="1" s="1"/>
  <c r="Y133" i="1"/>
  <c r="Y145" i="1"/>
  <c r="Y153" i="1"/>
  <c r="Y157" i="1"/>
  <c r="Y163" i="1"/>
  <c r="Y179" i="1"/>
  <c r="Y185" i="1"/>
  <c r="Y196" i="1"/>
  <c r="Y200" i="1"/>
  <c r="Y212" i="1"/>
  <c r="Y224" i="1"/>
  <c r="Y228" i="1"/>
  <c r="Y241" i="1"/>
  <c r="Y257" i="1"/>
  <c r="Y266" i="1"/>
  <c r="BP271" i="1"/>
  <c r="BN271" i="1"/>
  <c r="Z271" i="1"/>
  <c r="Z274" i="1" s="1"/>
  <c r="BP280" i="1"/>
  <c r="BN280" i="1"/>
  <c r="Z280" i="1"/>
  <c r="Y282" i="1"/>
  <c r="P499" i="1"/>
  <c r="Y288" i="1"/>
  <c r="BP285" i="1"/>
  <c r="BN285" i="1"/>
  <c r="Z285" i="1"/>
  <c r="Z287" i="1" s="1"/>
  <c r="BP298" i="1"/>
  <c r="BN298" i="1"/>
  <c r="Z298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Z324" i="1"/>
  <c r="BP322" i="1"/>
  <c r="BN322" i="1"/>
  <c r="Z322" i="1"/>
  <c r="BP330" i="1"/>
  <c r="BN330" i="1"/>
  <c r="Z330" i="1"/>
  <c r="Y332" i="1"/>
  <c r="Y337" i="1"/>
  <c r="BP334" i="1"/>
  <c r="BN334" i="1"/>
  <c r="Z334" i="1"/>
  <c r="BP343" i="1"/>
  <c r="BN343" i="1"/>
  <c r="Z343" i="1"/>
  <c r="Y345" i="1"/>
  <c r="Y356" i="1"/>
  <c r="BP349" i="1"/>
  <c r="BN349" i="1"/>
  <c r="Z349" i="1"/>
  <c r="BP353" i="1"/>
  <c r="BN353" i="1"/>
  <c r="Z353" i="1"/>
  <c r="BP365" i="1"/>
  <c r="BN365" i="1"/>
  <c r="Z365" i="1"/>
  <c r="Z366" i="1" s="1"/>
  <c r="Y367" i="1"/>
  <c r="Y370" i="1"/>
  <c r="BP369" i="1"/>
  <c r="BN369" i="1"/>
  <c r="Z369" i="1"/>
  <c r="Z370" i="1" s="1"/>
  <c r="Y371" i="1"/>
  <c r="T499" i="1"/>
  <c r="Y377" i="1"/>
  <c r="BP374" i="1"/>
  <c r="BN374" i="1"/>
  <c r="Z374" i="1"/>
  <c r="Z376" i="1" s="1"/>
  <c r="BP386" i="1"/>
  <c r="BN386" i="1"/>
  <c r="Z386" i="1"/>
  <c r="Y388" i="1"/>
  <c r="U499" i="1"/>
  <c r="Y401" i="1"/>
  <c r="BP392" i="1"/>
  <c r="BN392" i="1"/>
  <c r="Z392" i="1"/>
  <c r="BP396" i="1"/>
  <c r="BN396" i="1"/>
  <c r="Z396" i="1"/>
  <c r="BP400" i="1"/>
  <c r="BN400" i="1"/>
  <c r="Z400" i="1"/>
  <c r="Y402" i="1"/>
  <c r="Y407" i="1"/>
  <c r="BP404" i="1"/>
  <c r="BN404" i="1"/>
  <c r="Z404" i="1"/>
  <c r="Z406" i="1" s="1"/>
  <c r="J499" i="1"/>
  <c r="S499" i="1"/>
  <c r="X493" i="1"/>
  <c r="H499" i="1"/>
  <c r="Z143" i="1"/>
  <c r="Z144" i="1" s="1"/>
  <c r="BN143" i="1"/>
  <c r="Y144" i="1"/>
  <c r="Z147" i="1"/>
  <c r="BN147" i="1"/>
  <c r="BP147" i="1"/>
  <c r="Z149" i="1"/>
  <c r="BN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5" i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Z183" i="1"/>
  <c r="Z185" i="1" s="1"/>
  <c r="BN183" i="1"/>
  <c r="Z194" i="1"/>
  <c r="Z195" i="1" s="1"/>
  <c r="BN194" i="1"/>
  <c r="Z198" i="1"/>
  <c r="Z200" i="1" s="1"/>
  <c r="BN198" i="1"/>
  <c r="BP198" i="1"/>
  <c r="Z204" i="1"/>
  <c r="Z211" i="1" s="1"/>
  <c r="BN204" i="1"/>
  <c r="Z206" i="1"/>
  <c r="BN206" i="1"/>
  <c r="Z208" i="1"/>
  <c r="BN208" i="1"/>
  <c r="Z210" i="1"/>
  <c r="BN210" i="1"/>
  <c r="Z214" i="1"/>
  <c r="BN214" i="1"/>
  <c r="BP214" i="1"/>
  <c r="Z216" i="1"/>
  <c r="BN216" i="1"/>
  <c r="Z218" i="1"/>
  <c r="BN218" i="1"/>
  <c r="Z220" i="1"/>
  <c r="BN220" i="1"/>
  <c r="Z222" i="1"/>
  <c r="BN222" i="1"/>
  <c r="Z226" i="1"/>
  <c r="Z228" i="1" s="1"/>
  <c r="BN226" i="1"/>
  <c r="BP226" i="1"/>
  <c r="K499" i="1"/>
  <c r="Z233" i="1"/>
  <c r="Z241" i="1" s="1"/>
  <c r="BN233" i="1"/>
  <c r="Z235" i="1"/>
  <c r="BN235" i="1"/>
  <c r="Z237" i="1"/>
  <c r="BN237" i="1"/>
  <c r="Z239" i="1"/>
  <c r="BN239" i="1"/>
  <c r="Y242" i="1"/>
  <c r="Z253" i="1"/>
  <c r="Z257" i="1" s="1"/>
  <c r="BN253" i="1"/>
  <c r="Z255" i="1"/>
  <c r="BN255" i="1"/>
  <c r="L499" i="1"/>
  <c r="Y267" i="1"/>
  <c r="Z262" i="1"/>
  <c r="Z266" i="1" s="1"/>
  <c r="BN262" i="1"/>
  <c r="Z264" i="1"/>
  <c r="BN264" i="1"/>
  <c r="BP273" i="1"/>
  <c r="BN273" i="1"/>
  <c r="Z273" i="1"/>
  <c r="Y275" i="1"/>
  <c r="Y281" i="1"/>
  <c r="BP278" i="1"/>
  <c r="BN278" i="1"/>
  <c r="Z278" i="1"/>
  <c r="Z281" i="1" s="1"/>
  <c r="Y287" i="1"/>
  <c r="BP291" i="1"/>
  <c r="BN291" i="1"/>
  <c r="Z291" i="1"/>
  <c r="Z292" i="1" s="1"/>
  <c r="Y293" i="1"/>
  <c r="Q499" i="1"/>
  <c r="Y303" i="1"/>
  <c r="BP296" i="1"/>
  <c r="BN296" i="1"/>
  <c r="Z296" i="1"/>
  <c r="Z302" i="1" s="1"/>
  <c r="BP300" i="1"/>
  <c r="BN300" i="1"/>
  <c r="Z300" i="1"/>
  <c r="Y311" i="1"/>
  <c r="BP308" i="1"/>
  <c r="BN308" i="1"/>
  <c r="Z308" i="1"/>
  <c r="BP316" i="1"/>
  <c r="BN316" i="1"/>
  <c r="Z316" i="1"/>
  <c r="Y325" i="1"/>
  <c r="Y324" i="1"/>
  <c r="BP328" i="1"/>
  <c r="BN328" i="1"/>
  <c r="Z328" i="1"/>
  <c r="Z331" i="1" s="1"/>
  <c r="BP336" i="1"/>
  <c r="BN336" i="1"/>
  <c r="Z336" i="1"/>
  <c r="Y338" i="1"/>
  <c r="R499" i="1"/>
  <c r="Y344" i="1"/>
  <c r="BP341" i="1"/>
  <c r="BN341" i="1"/>
  <c r="Z341" i="1"/>
  <c r="Z344" i="1" s="1"/>
  <c r="BP351" i="1"/>
  <c r="BN351" i="1"/>
  <c r="Z351" i="1"/>
  <c r="BP355" i="1"/>
  <c r="BN355" i="1"/>
  <c r="Z355" i="1"/>
  <c r="Y357" i="1"/>
  <c r="Y362" i="1"/>
  <c r="BP359" i="1"/>
  <c r="BN359" i="1"/>
  <c r="Z359" i="1"/>
  <c r="Z361" i="1" s="1"/>
  <c r="Y366" i="1"/>
  <c r="Y376" i="1"/>
  <c r="BP380" i="1"/>
  <c r="BN380" i="1"/>
  <c r="Z380" i="1"/>
  <c r="Z381" i="1" s="1"/>
  <c r="Y382" i="1"/>
  <c r="Y387" i="1"/>
  <c r="BP384" i="1"/>
  <c r="BN384" i="1"/>
  <c r="Z384" i="1"/>
  <c r="Z387" i="1" s="1"/>
  <c r="BP394" i="1"/>
  <c r="BN394" i="1"/>
  <c r="Z394" i="1"/>
  <c r="BP398" i="1"/>
  <c r="BN398" i="1"/>
  <c r="Z398" i="1"/>
  <c r="Y406" i="1"/>
  <c r="BP415" i="1"/>
  <c r="BN415" i="1"/>
  <c r="Z415" i="1"/>
  <c r="Z418" i="1" s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Y447" i="1"/>
  <c r="BP451" i="1"/>
  <c r="BN451" i="1"/>
  <c r="Z451" i="1"/>
  <c r="Y455" i="1"/>
  <c r="BP461" i="1"/>
  <c r="BN461" i="1"/>
  <c r="Z461" i="1"/>
  <c r="Y499" i="1"/>
  <c r="Y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M499" i="1"/>
  <c r="Y274" i="1"/>
  <c r="V499" i="1"/>
  <c r="Y412" i="1"/>
  <c r="Y419" i="1"/>
  <c r="BP416" i="1"/>
  <c r="BN416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56" i="1"/>
  <c r="BP449" i="1"/>
  <c r="BN449" i="1"/>
  <c r="Z449" i="1"/>
  <c r="Z455" i="1" s="1"/>
  <c r="BP453" i="1"/>
  <c r="BN453" i="1"/>
  <c r="Z453" i="1"/>
  <c r="Y464" i="1"/>
  <c r="BP463" i="1"/>
  <c r="BN463" i="1"/>
  <c r="Z463" i="1"/>
  <c r="Z464" i="1" s="1"/>
  <c r="Y470" i="1"/>
  <c r="BP467" i="1"/>
  <c r="BN467" i="1"/>
  <c r="Z467" i="1"/>
  <c r="Z469" i="1" s="1"/>
  <c r="Y482" i="1"/>
  <c r="Y440" i="1"/>
  <c r="Z446" i="1" l="1"/>
  <c r="Z401" i="1"/>
  <c r="Z356" i="1"/>
  <c r="Z337" i="1"/>
  <c r="Y493" i="1"/>
  <c r="Z111" i="1"/>
  <c r="Z104" i="1"/>
  <c r="Y491" i="1"/>
  <c r="Z440" i="1"/>
  <c r="Z223" i="1"/>
  <c r="Z179" i="1"/>
  <c r="Z152" i="1"/>
  <c r="Z318" i="1"/>
  <c r="Z43" i="1"/>
  <c r="Z494" i="1" s="1"/>
  <c r="Y490" i="1"/>
  <c r="Y492" i="1" s="1"/>
  <c r="Y489" i="1"/>
</calcChain>
</file>

<file path=xl/sharedStrings.xml><?xml version="1.0" encoding="utf-8"?>
<sst xmlns="http://schemas.openxmlformats.org/spreadsheetml/2006/main" count="2342" uniqueCount="770">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</sst>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66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7" t="s">
        <v>0</v>
      </c>
      <c r="E1" s="578"/>
      <c r="F1" s="578"/>
      <c r="G1" s="12" t="s">
        <v>1</v>
      </c>
      <c r="H1" s="627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46"/>
      <c r="C5" s="647"/>
      <c r="D5" s="632"/>
      <c r="E5" s="633"/>
      <c r="F5" s="834" t="s">
        <v>9</v>
      </c>
      <c r="G5" s="647"/>
      <c r="H5" s="632"/>
      <c r="I5" s="777"/>
      <c r="J5" s="777"/>
      <c r="K5" s="777"/>
      <c r="L5" s="777"/>
      <c r="M5" s="633"/>
      <c r="N5" s="58"/>
      <c r="P5" s="24" t="s">
        <v>10</v>
      </c>
      <c r="Q5" s="849">
        <v>46051</v>
      </c>
      <c r="R5" s="671"/>
      <c r="T5" s="714" t="s">
        <v>11</v>
      </c>
      <c r="U5" s="715"/>
      <c r="V5" s="716" t="s">
        <v>12</v>
      </c>
      <c r="W5" s="671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46"/>
      <c r="C6" s="647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1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Четверг</v>
      </c>
      <c r="R6" s="555"/>
      <c r="T6" s="720" t="s">
        <v>16</v>
      </c>
      <c r="U6" s="715"/>
      <c r="V6" s="763" t="s">
        <v>17</v>
      </c>
      <c r="W6" s="597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1"/>
      <c r="U7" s="715"/>
      <c r="V7" s="764"/>
      <c r="W7" s="765"/>
      <c r="AB7" s="51"/>
      <c r="AC7" s="51"/>
      <c r="AD7" s="51"/>
      <c r="AE7" s="51"/>
    </row>
    <row r="8" spans="1:32" s="541" customFormat="1" ht="25.5" customHeight="1" x14ac:dyDescent="0.2">
      <c r="A8" s="869" t="s">
        <v>18</v>
      </c>
      <c r="B8" s="566"/>
      <c r="C8" s="567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0">
        <v>0.41666666666666669</v>
      </c>
      <c r="R8" s="611"/>
      <c r="T8" s="561"/>
      <c r="U8" s="715"/>
      <c r="V8" s="764"/>
      <c r="W8" s="765"/>
      <c r="AB8" s="51"/>
      <c r="AC8" s="51"/>
      <c r="AD8" s="51"/>
      <c r="AE8" s="51"/>
    </row>
    <row r="9" spans="1:32" s="541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8"/>
      <c r="E9" s="569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64"/>
      <c r="R9" s="665"/>
      <c r="T9" s="561"/>
      <c r="U9" s="715"/>
      <c r="V9" s="766"/>
      <c r="W9" s="76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8"/>
      <c r="E10" s="569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6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1"/>
      <c r="R10" s="722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798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680"/>
      <c r="R12" s="611"/>
      <c r="S12" s="23"/>
      <c r="U12" s="24"/>
      <c r="V12" s="578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798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00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4" t="s">
        <v>38</v>
      </c>
      <c r="D17" s="590" t="s">
        <v>39</v>
      </c>
      <c r="E17" s="651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0"/>
      <c r="R17" s="650"/>
      <c r="S17" s="650"/>
      <c r="T17" s="651"/>
      <c r="U17" s="864" t="s">
        <v>51</v>
      </c>
      <c r="V17" s="647"/>
      <c r="W17" s="590" t="s">
        <v>52</v>
      </c>
      <c r="X17" s="590" t="s">
        <v>53</v>
      </c>
      <c r="Y17" s="867" t="s">
        <v>54</v>
      </c>
      <c r="Z17" s="775" t="s">
        <v>55</v>
      </c>
      <c r="AA17" s="754" t="s">
        <v>56</v>
      </c>
      <c r="AB17" s="754" t="s">
        <v>57</v>
      </c>
      <c r="AC17" s="754" t="s">
        <v>58</v>
      </c>
      <c r="AD17" s="75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2"/>
      <c r="E18" s="654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1"/>
      <c r="X18" s="591"/>
      <c r="Y18" s="868"/>
      <c r="Z18" s="776"/>
      <c r="AA18" s="755"/>
      <c r="AB18" s="755"/>
      <c r="AC18" s="755"/>
      <c r="AD18" s="831"/>
      <c r="AE18" s="832"/>
      <c r="AF18" s="833"/>
      <c r="AG18" s="66"/>
      <c r="BD18" s="65"/>
    </row>
    <row r="19" spans="1:68" ht="27.75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90</v>
      </c>
      <c r="Y40" s="548">
        <f>IFERROR(IF(X40="",0,CEILING((X40/$H40),1)*$H40),"")</f>
        <v>97.2</v>
      </c>
      <c r="Z40" s="36">
        <f>IFERROR(IF(Y40=0,"",ROUNDUP(Y40/H40,0)*0.01898),"")</f>
        <v>0.17082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93.416666666666671</v>
      </c>
      <c r="BN40" s="64">
        <f>IFERROR(Y40*I40/H40,"0")</f>
        <v>100.89</v>
      </c>
      <c r="BO40" s="64">
        <f>IFERROR(1/J40*(X40/H40),"0")</f>
        <v>0.13020833333333331</v>
      </c>
      <c r="BP40" s="64">
        <f>IFERROR(1/J40*(Y40/H40),"0")</f>
        <v>0.140625</v>
      </c>
    </row>
    <row r="41" spans="1:68" ht="27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280</v>
      </c>
      <c r="Y42" s="548">
        <f>IFERROR(IF(X42="",0,CEILING((X42/$H42),1)*$H42),"")</f>
        <v>280</v>
      </c>
      <c r="Z42" s="36">
        <f>IFERROR(IF(Y42=0,"",ROUNDUP(Y42/H42,0)*0.00902),"")</f>
        <v>0.63139999999999996</v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293.3</v>
      </c>
      <c r="BN42" s="64">
        <f>IFERROR(Y42*I42/H42,"0")</f>
        <v>293.3</v>
      </c>
      <c r="BO42" s="64">
        <f>IFERROR(1/J42*(X42/H42),"0")</f>
        <v>0.53030303030303028</v>
      </c>
      <c r="BP42" s="64">
        <f>IFERROR(1/J42*(Y42/H42),"0")</f>
        <v>0.53030303030303028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78.333333333333329</v>
      </c>
      <c r="Y43" s="549">
        <f>IFERROR(Y40/H40,"0")+IFERROR(Y41/H41,"0")+IFERROR(Y42/H42,"0")</f>
        <v>79</v>
      </c>
      <c r="Z43" s="549">
        <f>IFERROR(IF(Z40="",0,Z40),"0")+IFERROR(IF(Z41="",0,Z41),"0")+IFERROR(IF(Z42="",0,Z42),"0")</f>
        <v>0.80221999999999993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370</v>
      </c>
      <c r="Y44" s="549">
        <f>IFERROR(SUM(Y40:Y42),"0")</f>
        <v>377.2</v>
      </c>
      <c r="Z44" s="37"/>
      <c r="AA44" s="550"/>
      <c r="AB44" s="550"/>
      <c r="AC44" s="550"/>
    </row>
    <row r="45" spans="1:68" ht="14.25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9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600</v>
      </c>
      <c r="Y52" s="548">
        <f t="shared" si="0"/>
        <v>604.80000000000007</v>
      </c>
      <c r="Z52" s="36">
        <f>IFERROR(IF(Y52=0,"",ROUNDUP(Y52/H52,0)*0.01898),"")</f>
        <v>1.06288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622.77777777777783</v>
      </c>
      <c r="BN52" s="64">
        <f t="shared" si="2"/>
        <v>627.76</v>
      </c>
      <c r="BO52" s="64">
        <f t="shared" si="3"/>
        <v>0.86805555555555547</v>
      </c>
      <c r="BP52" s="64">
        <f t="shared" si="4"/>
        <v>0.875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90</v>
      </c>
      <c r="Y56" s="548">
        <f t="shared" si="0"/>
        <v>90</v>
      </c>
      <c r="Z56" s="36">
        <f>IFERROR(IF(Y56=0,"",ROUNDUP(Y56/H56,0)*0.00902),"")</f>
        <v>0.1804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93.800000000000011</v>
      </c>
      <c r="BN56" s="64">
        <f t="shared" si="2"/>
        <v>93.800000000000011</v>
      </c>
      <c r="BO56" s="64">
        <f t="shared" si="3"/>
        <v>0.15151515151515152</v>
      </c>
      <c r="BP56" s="64">
        <f t="shared" si="4"/>
        <v>0.15151515151515152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75.555555555555543</v>
      </c>
      <c r="Y57" s="549">
        <f>IFERROR(Y51/H51,"0")+IFERROR(Y52/H52,"0")+IFERROR(Y53/H53,"0")+IFERROR(Y54/H54,"0")+IFERROR(Y55/H55,"0")+IFERROR(Y56/H56,"0")</f>
        <v>76</v>
      </c>
      <c r="Z57" s="549">
        <f>IFERROR(IF(Z51="",0,Z51),"0")+IFERROR(IF(Z52="",0,Z52),"0")+IFERROR(IF(Z53="",0,Z53),"0")+IFERROR(IF(Z54="",0,Z54),"0")+IFERROR(IF(Z55="",0,Z55),"0")+IFERROR(IF(Z56="",0,Z56),"0")</f>
        <v>1.2432799999999999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690</v>
      </c>
      <c r="Y58" s="549">
        <f>IFERROR(SUM(Y51:Y56),"0")</f>
        <v>694.80000000000007</v>
      </c>
      <c r="Z58" s="37"/>
      <c r="AA58" s="550"/>
      <c r="AB58" s="550"/>
      <c r="AC58" s="550"/>
    </row>
    <row r="59" spans="1:68" ht="14.25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100</v>
      </c>
      <c r="Y60" s="548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103.79629629629629</v>
      </c>
      <c r="BN60" s="64">
        <f>IFERROR(Y60*I60/H60,"0")</f>
        <v>112.1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67.5</v>
      </c>
      <c r="Y62" s="548">
        <f>IFERROR(IF(X62="",0,CEILING((X62/$H62),1)*$H62),"")</f>
        <v>67.5</v>
      </c>
      <c r="Z62" s="36">
        <f>IFERROR(IF(Y62=0,"",ROUNDUP(Y62/H62,0)*0.00651),"")</f>
        <v>0.16275000000000001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72</v>
      </c>
      <c r="BN62" s="64">
        <f>IFERROR(Y62*I62/H62,"0")</f>
        <v>72</v>
      </c>
      <c r="BO62" s="64">
        <f>IFERROR(1/J62*(X62/H62),"0")</f>
        <v>0.13736263736263737</v>
      </c>
      <c r="BP62" s="64">
        <f>IFERROR(1/J62*(Y62/H62),"0")</f>
        <v>0.13736263736263737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34.25925925925926</v>
      </c>
      <c r="Y63" s="549">
        <f>IFERROR(Y60/H60,"0")+IFERROR(Y61/H61,"0")+IFERROR(Y62/H62,"0")</f>
        <v>35</v>
      </c>
      <c r="Z63" s="549">
        <f>IFERROR(IF(Z60="",0,Z60),"0")+IFERROR(IF(Z61="",0,Z61),"0")+IFERROR(IF(Z62="",0,Z62),"0")</f>
        <v>0.35255000000000003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167.5</v>
      </c>
      <c r="Y64" s="549">
        <f>IFERROR(SUM(Y60:Y62),"0")</f>
        <v>175.5</v>
      </c>
      <c r="Z64" s="37"/>
      <c r="AA64" s="550"/>
      <c r="AB64" s="550"/>
      <c r="AC64" s="550"/>
    </row>
    <row r="65" spans="1:68" ht="14.25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20</v>
      </c>
      <c r="Y84" s="548">
        <f>IFERROR(IF(X84="",0,CEILING((X84/$H84),1)*$H84),"")</f>
        <v>21.6</v>
      </c>
      <c r="Z84" s="36">
        <f>IFERROR(IF(Y84=0,"",ROUNDUP(Y84/H84,0)*0.01898),"")</f>
        <v>3.7960000000000001E-2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20.75925925925926</v>
      </c>
      <c r="BN84" s="64">
        <f>IFERROR(Y84*I84/H84,"0")</f>
        <v>22.42</v>
      </c>
      <c r="BO84" s="64">
        <f>IFERROR(1/J84*(X84/H84),"0")</f>
        <v>2.8935185185185182E-2</v>
      </c>
      <c r="BP84" s="64">
        <f>IFERROR(1/J84*(Y84/H84),"0")</f>
        <v>3.125E-2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252</v>
      </c>
      <c r="Y86" s="548">
        <f>IFERROR(IF(X86="",0,CEILING((X86/$H86),1)*$H86),"")</f>
        <v>252</v>
      </c>
      <c r="Z86" s="36">
        <f>IFERROR(IF(Y86=0,"",ROUNDUP(Y86/H86,0)*0.00902),"")</f>
        <v>0.56825999999999999</v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263.97000000000003</v>
      </c>
      <c r="BN86" s="64">
        <f>IFERROR(Y86*I86/H86,"0")</f>
        <v>263.97000000000003</v>
      </c>
      <c r="BO86" s="64">
        <f>IFERROR(1/J86*(X86/H86),"0")</f>
        <v>0.47727272727272729</v>
      </c>
      <c r="BP86" s="64">
        <f>IFERROR(1/J86*(Y86/H86),"0")</f>
        <v>0.47727272727272729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64.851851851851848</v>
      </c>
      <c r="Y88" s="549">
        <f>IFERROR(Y84/H84,"0")+IFERROR(Y85/H85,"0")+IFERROR(Y86/H86,"0")+IFERROR(Y87/H87,"0")</f>
        <v>65</v>
      </c>
      <c r="Z88" s="549">
        <f>IFERROR(IF(Z84="",0,Z84),"0")+IFERROR(IF(Z85="",0,Z85),"0")+IFERROR(IF(Z86="",0,Z86),"0")+IFERROR(IF(Z87="",0,Z87),"0")</f>
        <v>0.60621999999999998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272</v>
      </c>
      <c r="Y89" s="549">
        <f>IFERROR(SUM(Y84:Y87),"0")</f>
        <v>273.60000000000002</v>
      </c>
      <c r="Z89" s="37"/>
      <c r="AA89" s="550"/>
      <c r="AB89" s="550"/>
      <c r="AC89" s="550"/>
    </row>
    <row r="90" spans="1:68" ht="14.25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90</v>
      </c>
      <c r="Y91" s="548">
        <f>IFERROR(IF(X91="",0,CEILING((X91/$H91),1)*$H91),"")</f>
        <v>97.199999999999989</v>
      </c>
      <c r="Z91" s="36">
        <f>IFERROR(IF(Y91=0,"",ROUNDUP(Y91/H91,0)*0.01898),"")</f>
        <v>0.22776000000000002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95.48888888888888</v>
      </c>
      <c r="BN91" s="64">
        <f>IFERROR(Y91*I91/H91,"0")</f>
        <v>103.12799999999999</v>
      </c>
      <c r="BO91" s="64">
        <f>IFERROR(1/J91*(X91/H91),"0")</f>
        <v>0.1736111111111111</v>
      </c>
      <c r="BP91" s="64">
        <f>IFERROR(1/J91*(Y91/H91),"0")</f>
        <v>0.1875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108</v>
      </c>
      <c r="Y93" s="548">
        <f>IFERROR(IF(X93="",0,CEILING((X93/$H93),1)*$H93),"")</f>
        <v>108</v>
      </c>
      <c r="Z93" s="36">
        <f>IFERROR(IF(Y93=0,"",ROUNDUP(Y93/H93,0)*0.00651),"")</f>
        <v>0.26040000000000002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118.07999999999998</v>
      </c>
      <c r="BN93" s="64">
        <f>IFERROR(Y93*I93/H93,"0")</f>
        <v>118.07999999999998</v>
      </c>
      <c r="BO93" s="64">
        <f>IFERROR(1/J93*(X93/H93),"0")</f>
        <v>0.2197802197802198</v>
      </c>
      <c r="BP93" s="64">
        <f>IFERROR(1/J93*(Y93/H93),"0")</f>
        <v>0.2197802197802198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79.2</v>
      </c>
      <c r="Y94" s="548">
        <f>IFERROR(IF(X94="",0,CEILING((X94/$H94),1)*$H94),"")</f>
        <v>79.2</v>
      </c>
      <c r="Z94" s="36">
        <f>IFERROR(IF(Y94=0,"",ROUNDUP(Y94/H94,0)*0.00651),"")</f>
        <v>0.26040000000000002</v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89.52000000000001</v>
      </c>
      <c r="BN94" s="64">
        <f>IFERROR(Y94*I94/H94,"0")</f>
        <v>89.52000000000001</v>
      </c>
      <c r="BO94" s="64">
        <f>IFERROR(1/J94*(X94/H94),"0")</f>
        <v>0.2197802197802198</v>
      </c>
      <c r="BP94" s="64">
        <f>IFERROR(1/J94*(Y94/H94),"0")</f>
        <v>0.2197802197802198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91.111111111111114</v>
      </c>
      <c r="Y95" s="549">
        <f>IFERROR(Y91/H91,"0")+IFERROR(Y92/H92,"0")+IFERROR(Y93/H93,"0")+IFERROR(Y94/H94,"0")</f>
        <v>92</v>
      </c>
      <c r="Z95" s="549">
        <f>IFERROR(IF(Z91="",0,Z91),"0")+IFERROR(IF(Z92="",0,Z92),"0")+IFERROR(IF(Z93="",0,Z93),"0")+IFERROR(IF(Z94="",0,Z94),"0")</f>
        <v>0.74856000000000011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277.2</v>
      </c>
      <c r="Y96" s="549">
        <f>IFERROR(SUM(Y91:Y94),"0")</f>
        <v>284.39999999999998</v>
      </c>
      <c r="Z96" s="37"/>
      <c r="AA96" s="550"/>
      <c r="AB96" s="550"/>
      <c r="AC96" s="550"/>
    </row>
    <row r="97" spans="1:68" ht="16.5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30</v>
      </c>
      <c r="Y99" s="548">
        <f>IFERROR(IF(X99="",0,CEILING((X99/$H99),1)*$H99),"")</f>
        <v>32.400000000000006</v>
      </c>
      <c r="Z99" s="36">
        <f>IFERROR(IF(Y99=0,"",ROUNDUP(Y99/H99,0)*0.01898),"")</f>
        <v>5.6940000000000004E-2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31.138888888888889</v>
      </c>
      <c r="BN99" s="64">
        <f>IFERROR(Y99*I99/H99,"0")</f>
        <v>33.630000000000003</v>
      </c>
      <c r="BO99" s="64">
        <f>IFERROR(1/J99*(X99/H99),"0")</f>
        <v>4.3402777777777776E-2</v>
      </c>
      <c r="BP99" s="64">
        <f>IFERROR(1/J99*(Y99/H99),"0")</f>
        <v>4.6875000000000007E-2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105</v>
      </c>
      <c r="Y101" s="548">
        <f>IFERROR(IF(X101="",0,CEILING((X101/$H101),1)*$H101),"")</f>
        <v>105</v>
      </c>
      <c r="Z101" s="36">
        <f>IFERROR(IF(Y101=0,"",ROUNDUP(Y101/H101,0)*0.00902),"")</f>
        <v>0.25256000000000001</v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110.32</v>
      </c>
      <c r="BN101" s="64">
        <f>IFERROR(Y101*I101/H101,"0")</f>
        <v>110.32</v>
      </c>
      <c r="BO101" s="64">
        <f>IFERROR(1/J101*(X101/H101),"0")</f>
        <v>0.21212121212121213</v>
      </c>
      <c r="BP101" s="64">
        <f>IFERROR(1/J101*(Y101/H101),"0")</f>
        <v>0.21212121212121213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67.5</v>
      </c>
      <c r="Y102" s="548">
        <f>IFERROR(IF(X102="",0,CEILING((X102/$H102),1)*$H102),"")</f>
        <v>67.5</v>
      </c>
      <c r="Z102" s="36">
        <f>IFERROR(IF(Y102=0,"",ROUNDUP(Y102/H102,0)*0.00902),"")</f>
        <v>0.1353</v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70.350000000000009</v>
      </c>
      <c r="BN102" s="64">
        <f>IFERROR(Y102*I102/H102,"0")</f>
        <v>70.350000000000009</v>
      </c>
      <c r="BO102" s="64">
        <f>IFERROR(1/J102*(X102/H102),"0")</f>
        <v>0.11363636363636365</v>
      </c>
      <c r="BP102" s="64">
        <f>IFERROR(1/J102*(Y102/H102),"0")</f>
        <v>0.11363636363636365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45.777777777777779</v>
      </c>
      <c r="Y104" s="549">
        <f>IFERROR(Y99/H99,"0")+IFERROR(Y100/H100,"0")+IFERROR(Y101/H101,"0")+IFERROR(Y102/H102,"0")+IFERROR(Y103/H103,"0")</f>
        <v>46</v>
      </c>
      <c r="Z104" s="549">
        <f>IFERROR(IF(Z99="",0,Z99),"0")+IFERROR(IF(Z100="",0,Z100),"0")+IFERROR(IF(Z101="",0,Z101),"0")+IFERROR(IF(Z102="",0,Z102),"0")+IFERROR(IF(Z103="",0,Z103),"0")</f>
        <v>0.44479999999999997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202.5</v>
      </c>
      <c r="Y105" s="549">
        <f>IFERROR(SUM(Y99:Y103),"0")</f>
        <v>204.9</v>
      </c>
      <c r="Z105" s="37"/>
      <c r="AA105" s="550"/>
      <c r="AB105" s="550"/>
      <c r="AC105" s="550"/>
    </row>
    <row r="106" spans="1:68" ht="14.25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12</v>
      </c>
      <c r="Y109" s="548">
        <f>IFERROR(IF(X109="",0,CEILING((X109/$H109),1)*$H109),"")</f>
        <v>12</v>
      </c>
      <c r="Z109" s="36">
        <f>IFERROR(IF(Y109=0,"",ROUNDUP(Y109/H109,0)*0.00502),"")</f>
        <v>2.5100000000000001E-2</v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12.5</v>
      </c>
      <c r="BN109" s="64">
        <f>IFERROR(Y109*I109/H109,"0")</f>
        <v>12.5</v>
      </c>
      <c r="BO109" s="64">
        <f>IFERROR(1/J109*(X109/H109),"0")</f>
        <v>2.1367521367521368E-2</v>
      </c>
      <c r="BP109" s="64">
        <f>IFERROR(1/J109*(Y109/H109),"0")</f>
        <v>2.1367521367521368E-2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5</v>
      </c>
      <c r="Y111" s="549">
        <f>IFERROR(Y107/H107,"0")+IFERROR(Y108/H108,"0")+IFERROR(Y109/H109,"0")+IFERROR(Y110/H110,"0")</f>
        <v>5</v>
      </c>
      <c r="Z111" s="549">
        <f>IFERROR(IF(Z107="",0,Z107),"0")+IFERROR(IF(Z108="",0,Z108),"0")+IFERROR(IF(Z109="",0,Z109),"0")+IFERROR(IF(Z110="",0,Z110),"0")</f>
        <v>2.5100000000000001E-2</v>
      </c>
      <c r="AA111" s="550"/>
      <c r="AB111" s="550"/>
      <c r="AC111" s="550"/>
    </row>
    <row r="112" spans="1:68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12</v>
      </c>
      <c r="Y112" s="549">
        <f>IFERROR(SUM(Y107:Y110),"0")</f>
        <v>12</v>
      </c>
      <c r="Z112" s="37"/>
      <c r="AA112" s="550"/>
      <c r="AB112" s="550"/>
      <c r="AC112" s="550"/>
    </row>
    <row r="113" spans="1:68" ht="14.25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250</v>
      </c>
      <c r="Y114" s="548">
        <f>IFERROR(IF(X114="",0,CEILING((X114/$H114),1)*$H114),"")</f>
        <v>251.1</v>
      </c>
      <c r="Z114" s="36">
        <f>IFERROR(IF(Y114=0,"",ROUNDUP(Y114/H114,0)*0.01898),"")</f>
        <v>0.58838000000000001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265.06172839506172</v>
      </c>
      <c r="BN114" s="64">
        <f>IFERROR(Y114*I114/H114,"0")</f>
        <v>266.22799999999995</v>
      </c>
      <c r="BO114" s="64">
        <f>IFERROR(1/J114*(X114/H114),"0")</f>
        <v>0.48225308641975312</v>
      </c>
      <c r="BP114" s="64">
        <f>IFERROR(1/J114*(Y114/H114),"0")</f>
        <v>0.484375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19.8</v>
      </c>
      <c r="Y115" s="548">
        <f>IFERROR(IF(X115="",0,CEILING((X115/$H115),1)*$H115),"")</f>
        <v>19.8</v>
      </c>
      <c r="Z115" s="36">
        <f>IFERROR(IF(Y115=0,"",ROUNDUP(Y115/H115,0)*0.00651),"")</f>
        <v>6.5100000000000005E-2</v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22.26</v>
      </c>
      <c r="BN115" s="64">
        <f>IFERROR(Y115*I115/H115,"0")</f>
        <v>22.26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54</v>
      </c>
      <c r="Y116" s="548">
        <f>IFERROR(IF(X116="",0,CEILING((X116/$H116),1)*$H116),"")</f>
        <v>54</v>
      </c>
      <c r="Z116" s="36">
        <f>IFERROR(IF(Y116=0,"",ROUNDUP(Y116/H116,0)*0.00651),"")</f>
        <v>0.13020000000000001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59.039999999999992</v>
      </c>
      <c r="BN116" s="64">
        <f>IFERROR(Y116*I116/H116,"0")</f>
        <v>59.039999999999992</v>
      </c>
      <c r="BO116" s="64">
        <f>IFERROR(1/J116*(X116/H116),"0")</f>
        <v>0.1098901098901099</v>
      </c>
      <c r="BP116" s="64">
        <f>IFERROR(1/J116*(Y116/H116),"0")</f>
        <v>0.1098901098901099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60.864197530864203</v>
      </c>
      <c r="Y118" s="549">
        <f>IFERROR(Y114/H114,"0")+IFERROR(Y115/H115,"0")+IFERROR(Y116/H116,"0")+IFERROR(Y117/H117,"0")</f>
        <v>61</v>
      </c>
      <c r="Z118" s="549">
        <f>IFERROR(IF(Z114="",0,Z114),"0")+IFERROR(IF(Z115="",0,Z115),"0")+IFERROR(IF(Z116="",0,Z116),"0")+IFERROR(IF(Z117="",0,Z117),"0")</f>
        <v>0.78368000000000004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323.8</v>
      </c>
      <c r="Y119" s="549">
        <f>IFERROR(SUM(Y114:Y117),"0")</f>
        <v>324.89999999999998</v>
      </c>
      <c r="Z119" s="37"/>
      <c r="AA119" s="550"/>
      <c r="AB119" s="550"/>
      <c r="AC119" s="550"/>
    </row>
    <row r="120" spans="1:68" ht="14.25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48</v>
      </c>
      <c r="Y126" s="548">
        <f>IFERROR(IF(X126="",0,CEILING((X126/$H126),1)*$H126),"")</f>
        <v>48</v>
      </c>
      <c r="Z126" s="36">
        <f>IFERROR(IF(Y126=0,"",ROUNDUP(Y126/H126,0)*0.00651),"")</f>
        <v>9.7650000000000001E-2</v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50.7</v>
      </c>
      <c r="BN126" s="64">
        <f>IFERROR(Y126*I126/H126,"0")</f>
        <v>50.7</v>
      </c>
      <c r="BO126" s="64">
        <f>IFERROR(1/J126*(X126/H126),"0")</f>
        <v>8.241758241758243E-2</v>
      </c>
      <c r="BP126" s="64">
        <f>IFERROR(1/J126*(Y126/H126),"0")</f>
        <v>8.241758241758243E-2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15</v>
      </c>
      <c r="Y128" s="549">
        <f>IFERROR(Y126/H126,"0")+IFERROR(Y127/H127,"0")</f>
        <v>15</v>
      </c>
      <c r="Z128" s="549">
        <f>IFERROR(IF(Z126="",0,Z126),"0")+IFERROR(IF(Z127="",0,Z127),"0")</f>
        <v>9.7650000000000001E-2</v>
      </c>
      <c r="AA128" s="550"/>
      <c r="AB128" s="550"/>
      <c r="AC128" s="550"/>
    </row>
    <row r="129" spans="1:68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48</v>
      </c>
      <c r="Y129" s="549">
        <f>IFERROR(SUM(Y126:Y127),"0")</f>
        <v>48</v>
      </c>
      <c r="Z129" s="37"/>
      <c r="AA129" s="550"/>
      <c r="AB129" s="550"/>
      <c r="AC129" s="550"/>
    </row>
    <row r="130" spans="1:68" ht="14.25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50.4</v>
      </c>
      <c r="Y131" s="548">
        <f>IFERROR(IF(X131="",0,CEILING((X131/$H131),1)*$H131),"")</f>
        <v>50.4</v>
      </c>
      <c r="Z131" s="36">
        <f>IFERROR(IF(Y131=0,"",ROUNDUP(Y131/H131,0)*0.00651),"")</f>
        <v>0.11718000000000001</v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55.223999999999997</v>
      </c>
      <c r="BN131" s="64">
        <f>IFERROR(Y131*I131/H131,"0")</f>
        <v>55.223999999999997</v>
      </c>
      <c r="BO131" s="64">
        <f>IFERROR(1/J131*(X131/H131),"0")</f>
        <v>9.8901098901098911E-2</v>
      </c>
      <c r="BP131" s="64">
        <f>IFERROR(1/J131*(Y131/H131),"0")</f>
        <v>9.8901098901098911E-2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18</v>
      </c>
      <c r="Y133" s="549">
        <f>IFERROR(Y131/H131,"0")+IFERROR(Y132/H132,"0")</f>
        <v>18</v>
      </c>
      <c r="Z133" s="549">
        <f>IFERROR(IF(Z131="",0,Z131),"0")+IFERROR(IF(Z132="",0,Z132),"0")</f>
        <v>0.11718000000000001</v>
      </c>
      <c r="AA133" s="550"/>
      <c r="AB133" s="550"/>
      <c r="AC133" s="550"/>
    </row>
    <row r="134" spans="1:68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50.4</v>
      </c>
      <c r="Y134" s="549">
        <f>IFERROR(SUM(Y131:Y132),"0")</f>
        <v>50.4</v>
      </c>
      <c r="Z134" s="37"/>
      <c r="AA134" s="550"/>
      <c r="AB134" s="550"/>
      <c r="AC134" s="550"/>
    </row>
    <row r="135" spans="1:68" ht="14.25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66</v>
      </c>
      <c r="Y136" s="548">
        <f>IFERROR(IF(X136="",0,CEILING((X136/$H136),1)*$H136),"")</f>
        <v>66</v>
      </c>
      <c r="Z136" s="36">
        <f>IFERROR(IF(Y136=0,"",ROUNDUP(Y136/H136,0)*0.00651),"")</f>
        <v>0.16275000000000001</v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72.699999999999989</v>
      </c>
      <c r="BN136" s="64">
        <f>IFERROR(Y136*I136/H136,"0")</f>
        <v>72.699999999999989</v>
      </c>
      <c r="BO136" s="64">
        <f>IFERROR(1/J136*(X136/H136),"0")</f>
        <v>0.13736263736263737</v>
      </c>
      <c r="BP136" s="64">
        <f>IFERROR(1/J136*(Y136/H136),"0")</f>
        <v>0.13736263736263737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25</v>
      </c>
      <c r="Y138" s="549">
        <f>IFERROR(Y136/H136,"0")+IFERROR(Y137/H137,"0")</f>
        <v>25</v>
      </c>
      <c r="Z138" s="549">
        <f>IFERROR(IF(Z136="",0,Z136),"0")+IFERROR(IF(Z137="",0,Z137),"0")</f>
        <v>0.16275000000000001</v>
      </c>
      <c r="AA138" s="550"/>
      <c r="AB138" s="550"/>
      <c r="AC138" s="550"/>
    </row>
    <row r="139" spans="1:68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66</v>
      </c>
      <c r="Y139" s="549">
        <f>IFERROR(SUM(Y136:Y137),"0")</f>
        <v>66</v>
      </c>
      <c r="Z139" s="37"/>
      <c r="AA139" s="550"/>
      <c r="AB139" s="550"/>
      <c r="AC139" s="550"/>
    </row>
    <row r="140" spans="1:68" ht="16.5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112</v>
      </c>
      <c r="Y143" s="548">
        <f>IFERROR(IF(X143="",0,CEILING((X143/$H143),1)*$H143),"")</f>
        <v>112</v>
      </c>
      <c r="Z143" s="36">
        <f>IFERROR(IF(Y143=0,"",ROUNDUP(Y143/H143,0)*0.00902),"")</f>
        <v>0.25256000000000001</v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117.32000000000001</v>
      </c>
      <c r="BN143" s="64">
        <f>IFERROR(Y143*I143/H143,"0")</f>
        <v>117.32000000000001</v>
      </c>
      <c r="BO143" s="64">
        <f>IFERROR(1/J143*(X143/H143),"0")</f>
        <v>0.21212121212121213</v>
      </c>
      <c r="BP143" s="64">
        <f>IFERROR(1/J143*(Y143/H143),"0")</f>
        <v>0.21212121212121213</v>
      </c>
    </row>
    <row r="144" spans="1:68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28</v>
      </c>
      <c r="Y144" s="549">
        <f>IFERROR(Y142/H142,"0")+IFERROR(Y143/H143,"0")</f>
        <v>28</v>
      </c>
      <c r="Z144" s="549">
        <f>IFERROR(IF(Z142="",0,Z142),"0")+IFERROR(IF(Z143="",0,Z143),"0")</f>
        <v>0.25256000000000001</v>
      </c>
      <c r="AA144" s="550"/>
      <c r="AB144" s="550"/>
      <c r="AC144" s="550"/>
    </row>
    <row r="145" spans="1:68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112</v>
      </c>
      <c r="Y145" s="549">
        <f>IFERROR(SUM(Y142:Y143),"0")</f>
        <v>112</v>
      </c>
      <c r="Z145" s="37"/>
      <c r="AA145" s="550"/>
      <c r="AB145" s="550"/>
      <c r="AC145" s="550"/>
    </row>
    <row r="146" spans="1:68" ht="14.25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80</v>
      </c>
      <c r="Y147" s="548">
        <f>IFERROR(IF(X147="",0,CEILING((X147/$H147),1)*$H147),"")</f>
        <v>84</v>
      </c>
      <c r="Z147" s="36">
        <f>IFERROR(IF(Y147=0,"",ROUNDUP(Y147/H147,0)*0.00902),"")</f>
        <v>0.1804</v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83.619047619047606</v>
      </c>
      <c r="BN147" s="64">
        <f>IFERROR(Y147*I147/H147,"0")</f>
        <v>87.8</v>
      </c>
      <c r="BO147" s="64">
        <f>IFERROR(1/J147*(X147/H147),"0")</f>
        <v>0.14430014430014429</v>
      </c>
      <c r="BP147" s="64">
        <f>IFERROR(1/J147*(Y147/H147),"0")</f>
        <v>0.15151515151515152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19.047619047619047</v>
      </c>
      <c r="Y152" s="549">
        <f>IFERROR(Y147/H147,"0")+IFERROR(Y148/H148,"0")+IFERROR(Y149/H149,"0")+IFERROR(Y150/H150,"0")+IFERROR(Y151/H151,"0")</f>
        <v>20</v>
      </c>
      <c r="Z152" s="549">
        <f>IFERROR(IF(Z147="",0,Z147),"0")+IFERROR(IF(Z148="",0,Z148),"0")+IFERROR(IF(Z149="",0,Z149),"0")+IFERROR(IF(Z150="",0,Z150),"0")+IFERROR(IF(Z151="",0,Z151),"0")</f>
        <v>0.1804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80</v>
      </c>
      <c r="Y153" s="549">
        <f>IFERROR(SUM(Y147:Y151),"0")</f>
        <v>84</v>
      </c>
      <c r="Z153" s="37"/>
      <c r="AA153" s="550"/>
      <c r="AB153" s="550"/>
      <c r="AC153" s="550"/>
    </row>
    <row r="154" spans="1:68" ht="14.25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20</v>
      </c>
      <c r="Y167" s="548">
        <f t="shared" si="5"/>
        <v>21</v>
      </c>
      <c r="Z167" s="36">
        <f>IFERROR(IF(Y167=0,"",ROUNDUP(Y167/H167,0)*0.00902),"")</f>
        <v>4.5100000000000001E-2</v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20.904761904761902</v>
      </c>
      <c r="BN167" s="64">
        <f t="shared" si="7"/>
        <v>21.95</v>
      </c>
      <c r="BO167" s="64">
        <f t="shared" si="8"/>
        <v>3.6075036075036072E-2</v>
      </c>
      <c r="BP167" s="64">
        <f t="shared" si="9"/>
        <v>3.787878787878788E-2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126</v>
      </c>
      <c r="Y169" s="548">
        <f t="shared" si="5"/>
        <v>126</v>
      </c>
      <c r="Z169" s="36">
        <f>IFERROR(IF(Y169=0,"",ROUNDUP(Y169/H169,0)*0.00502),"")</f>
        <v>0.30120000000000002</v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133.80000000000001</v>
      </c>
      <c r="BN169" s="64">
        <f t="shared" si="7"/>
        <v>133.80000000000001</v>
      </c>
      <c r="BO169" s="64">
        <f t="shared" si="8"/>
        <v>0.25641025641025644</v>
      </c>
      <c r="BP169" s="64">
        <f t="shared" si="9"/>
        <v>0.25641025641025644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74.900000000000006</v>
      </c>
      <c r="Y171" s="548">
        <f t="shared" si="5"/>
        <v>75.600000000000009</v>
      </c>
      <c r="Z171" s="36">
        <f>IFERROR(IF(Y171=0,"",ROUNDUP(Y171/H171,0)*0.00502),"")</f>
        <v>0.18071999999999999</v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79.536666666666676</v>
      </c>
      <c r="BN171" s="64">
        <f t="shared" si="7"/>
        <v>80.28</v>
      </c>
      <c r="BO171" s="64">
        <f t="shared" si="8"/>
        <v>0.15242165242165245</v>
      </c>
      <c r="BP171" s="64">
        <f t="shared" si="9"/>
        <v>0.15384615384615385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94.5</v>
      </c>
      <c r="Y176" s="548">
        <f t="shared" si="5"/>
        <v>94.5</v>
      </c>
      <c r="Z176" s="36">
        <f>IFERROR(IF(Y176=0,"",ROUNDUP(Y176/H176,0)*0.00502),"")</f>
        <v>0.22590000000000002</v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99</v>
      </c>
      <c r="BN176" s="64">
        <f t="shared" si="7"/>
        <v>99</v>
      </c>
      <c r="BO176" s="64">
        <f t="shared" si="8"/>
        <v>0.19230769230769232</v>
      </c>
      <c r="BP176" s="64">
        <f t="shared" si="9"/>
        <v>0.19230769230769232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145.42857142857144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146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0.75292000000000003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315.39999999999998</v>
      </c>
      <c r="Y180" s="549">
        <f>IFERROR(SUM(Y165:Y178),"0")</f>
        <v>317.10000000000002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6.3</v>
      </c>
      <c r="Y182" s="548">
        <f>IFERROR(IF(X182="",0,CEILING((X182/$H182),1)*$H182),"")</f>
        <v>6.3</v>
      </c>
      <c r="Z182" s="36">
        <f>IFERROR(IF(Y182=0,"",ROUNDUP(Y182/H182,0)*0.0059),"")</f>
        <v>2.9499999999999998E-2</v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7.25</v>
      </c>
      <c r="BN182" s="64">
        <f>IFERROR(Y182*I182/H182,"0")</f>
        <v>7.25</v>
      </c>
      <c r="BO182" s="64">
        <f>IFERROR(1/J182*(X182/H182),"0")</f>
        <v>2.3148148148148147E-2</v>
      </c>
      <c r="BP182" s="64">
        <f>IFERROR(1/J182*(Y182/H182),"0")</f>
        <v>2.3148148148148147E-2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5</v>
      </c>
      <c r="Y185" s="549">
        <f>IFERROR(Y182/H182,"0")+IFERROR(Y183/H183,"0")+IFERROR(Y184/H184,"0")</f>
        <v>5</v>
      </c>
      <c r="Z185" s="549">
        <f>IFERROR(IF(Z182="",0,Z182),"0")+IFERROR(IF(Z183="",0,Z183),"0")+IFERROR(IF(Z184="",0,Z184),"0")</f>
        <v>2.9499999999999998E-2</v>
      </c>
      <c r="AA185" s="550"/>
      <c r="AB185" s="550"/>
      <c r="AC185" s="550"/>
    </row>
    <row r="186" spans="1:68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6.3</v>
      </c>
      <c r="Y186" s="549">
        <f>IFERROR(SUM(Y182:Y184),"0")</f>
        <v>6.3</v>
      </c>
      <c r="Z186" s="37"/>
      <c r="AA186" s="550"/>
      <c r="AB186" s="550"/>
      <c r="AC186" s="550"/>
    </row>
    <row r="187" spans="1:68" ht="14.25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40</v>
      </c>
      <c r="Y203" s="548">
        <f t="shared" ref="Y203:Y210" si="10">IFERROR(IF(X203="",0,CEILING((X203/$H203),1)*$H203),"")</f>
        <v>43.2</v>
      </c>
      <c r="Z203" s="36">
        <f>IFERROR(IF(Y203=0,"",ROUNDUP(Y203/H203,0)*0.00902),"")</f>
        <v>7.2160000000000002E-2</v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41.407407407407405</v>
      </c>
      <c r="BN203" s="64">
        <f t="shared" ref="BN203:BN210" si="12">IFERROR(Y203*I203/H203,"0")</f>
        <v>44.72</v>
      </c>
      <c r="BO203" s="64">
        <f t="shared" ref="BO203:BO210" si="13">IFERROR(1/J203*(X203/H203),"0")</f>
        <v>5.6116722783389444E-2</v>
      </c>
      <c r="BP203" s="64">
        <f t="shared" ref="BP203:BP210" si="14">IFERROR(1/J203*(Y203/H203),"0")</f>
        <v>6.0606060606060608E-2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10</v>
      </c>
      <c r="Y205" s="548">
        <f t="shared" si="10"/>
        <v>10.8</v>
      </c>
      <c r="Z205" s="36">
        <f>IFERROR(IF(Y205=0,"",ROUNDUP(Y205/H205,0)*0.00902),"")</f>
        <v>1.804E-2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10.351851851851851</v>
      </c>
      <c r="BN205" s="64">
        <f t="shared" si="12"/>
        <v>11.18</v>
      </c>
      <c r="BO205" s="64">
        <f t="shared" si="13"/>
        <v>1.4029180695847361E-2</v>
      </c>
      <c r="BP205" s="64">
        <f t="shared" si="14"/>
        <v>1.5151515151515152E-2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84.6</v>
      </c>
      <c r="Y207" s="548">
        <f t="shared" si="10"/>
        <v>84.600000000000009</v>
      </c>
      <c r="Z207" s="36">
        <f>IFERROR(IF(Y207=0,"",ROUNDUP(Y207/H207,0)*0.00502),"")</f>
        <v>0.23594000000000001</v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90.71</v>
      </c>
      <c r="BN207" s="64">
        <f t="shared" si="12"/>
        <v>90.710000000000008</v>
      </c>
      <c r="BO207" s="64">
        <f t="shared" si="13"/>
        <v>0.20085470085470084</v>
      </c>
      <c r="BP207" s="64">
        <f t="shared" si="14"/>
        <v>0.20085470085470092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54</v>
      </c>
      <c r="Y208" s="548">
        <f t="shared" si="10"/>
        <v>54</v>
      </c>
      <c r="Z208" s="36">
        <f>IFERROR(IF(Y208=0,"",ROUNDUP(Y208/H208,0)*0.00502),"")</f>
        <v>0.15060000000000001</v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56.999999999999993</v>
      </c>
      <c r="BN208" s="64">
        <f t="shared" si="12"/>
        <v>56.999999999999993</v>
      </c>
      <c r="BO208" s="64">
        <f t="shared" si="13"/>
        <v>0.12820512820512822</v>
      </c>
      <c r="BP208" s="64">
        <f t="shared" si="14"/>
        <v>0.12820512820512822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90</v>
      </c>
      <c r="Y210" s="548">
        <f t="shared" si="10"/>
        <v>90</v>
      </c>
      <c r="Z210" s="36">
        <f>IFERROR(IF(Y210=0,"",ROUNDUP(Y210/H210,0)*0.00502),"")</f>
        <v>0.251</v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95</v>
      </c>
      <c r="BN210" s="64">
        <f t="shared" si="12"/>
        <v>95</v>
      </c>
      <c r="BO210" s="64">
        <f t="shared" si="13"/>
        <v>0.21367521367521369</v>
      </c>
      <c r="BP210" s="64">
        <f t="shared" si="14"/>
        <v>0.21367521367521369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136.25925925925924</v>
      </c>
      <c r="Y211" s="549">
        <f>IFERROR(Y203/H203,"0")+IFERROR(Y204/H204,"0")+IFERROR(Y205/H205,"0")+IFERROR(Y206/H206,"0")+IFERROR(Y207/H207,"0")+IFERROR(Y208/H208,"0")+IFERROR(Y209/H209,"0")+IFERROR(Y210/H210,"0")</f>
        <v>137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0.72774000000000005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278.60000000000002</v>
      </c>
      <c r="Y212" s="549">
        <f>IFERROR(SUM(Y203:Y210),"0")</f>
        <v>282.60000000000002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2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4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112</v>
      </c>
      <c r="Y217" s="548">
        <f t="shared" si="15"/>
        <v>112.8</v>
      </c>
      <c r="Z217" s="36">
        <f t="shared" ref="Z217:Z222" si="20">IFERROR(IF(Y217=0,"",ROUNDUP(Y217/H217,0)*0.00651),"")</f>
        <v>0.30597000000000002</v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124.6</v>
      </c>
      <c r="BN217" s="64">
        <f t="shared" si="17"/>
        <v>125.49</v>
      </c>
      <c r="BO217" s="64">
        <f t="shared" si="18"/>
        <v>0.25641025641025644</v>
      </c>
      <c r="BP217" s="64">
        <f t="shared" si="19"/>
        <v>0.25824175824175827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72</v>
      </c>
      <c r="Y219" s="548">
        <f t="shared" si="15"/>
        <v>72</v>
      </c>
      <c r="Z219" s="36">
        <f t="shared" si="20"/>
        <v>0.1953</v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79.560000000000016</v>
      </c>
      <c r="BN219" s="64">
        <f t="shared" si="17"/>
        <v>79.560000000000016</v>
      </c>
      <c r="BO219" s="64">
        <f t="shared" si="18"/>
        <v>0.16483516483516486</v>
      </c>
      <c r="BP219" s="64">
        <f t="shared" si="19"/>
        <v>0.16483516483516486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24</v>
      </c>
      <c r="Y220" s="548">
        <f t="shared" si="15"/>
        <v>24</v>
      </c>
      <c r="Z220" s="36">
        <f t="shared" si="20"/>
        <v>6.5100000000000005E-2</v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26.520000000000003</v>
      </c>
      <c r="BN220" s="64">
        <f t="shared" si="17"/>
        <v>26.520000000000003</v>
      </c>
      <c r="BO220" s="64">
        <f t="shared" si="18"/>
        <v>5.4945054945054951E-2</v>
      </c>
      <c r="BP220" s="64">
        <f t="shared" si="19"/>
        <v>5.4945054945054951E-2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64</v>
      </c>
      <c r="Y222" s="548">
        <f t="shared" si="15"/>
        <v>64.8</v>
      </c>
      <c r="Z222" s="36">
        <f t="shared" si="20"/>
        <v>0.17577000000000001</v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70.88</v>
      </c>
      <c r="BN222" s="64">
        <f t="shared" si="17"/>
        <v>71.765999999999991</v>
      </c>
      <c r="BO222" s="64">
        <f t="shared" si="18"/>
        <v>0.14652014652014653</v>
      </c>
      <c r="BP222" s="64">
        <f t="shared" si="19"/>
        <v>0.14835164835164835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113.33333333333334</v>
      </c>
      <c r="Y223" s="549">
        <f>IFERROR(Y214/H214,"0")+IFERROR(Y215/H215,"0")+IFERROR(Y216/H216,"0")+IFERROR(Y217/H217,"0")+IFERROR(Y218/H218,"0")+IFERROR(Y219/H219,"0")+IFERROR(Y220/H220,"0")+IFERROR(Y221/H221,"0")+IFERROR(Y222/H222,"0")</f>
        <v>114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0.74214000000000002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272</v>
      </c>
      <c r="Y224" s="549">
        <f>IFERROR(SUM(Y214:Y222),"0")</f>
        <v>273.60000000000002</v>
      </c>
      <c r="Z224" s="37"/>
      <c r="AA224" s="550"/>
      <c r="AB224" s="550"/>
      <c r="AC224" s="550"/>
    </row>
    <row r="225" spans="1:68" ht="14.25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48</v>
      </c>
      <c r="Y227" s="548">
        <f>IFERROR(IF(X227="",0,CEILING((X227/$H227),1)*$H227),"")</f>
        <v>48</v>
      </c>
      <c r="Z227" s="36">
        <f>IFERROR(IF(Y227=0,"",ROUNDUP(Y227/H227,0)*0.00651),"")</f>
        <v>0.13020000000000001</v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53.040000000000006</v>
      </c>
      <c r="BN227" s="64">
        <f>IFERROR(Y227*I227/H227,"0")</f>
        <v>53.040000000000006</v>
      </c>
      <c r="BO227" s="64">
        <f>IFERROR(1/J227*(X227/H227),"0")</f>
        <v>0.1098901098901099</v>
      </c>
      <c r="BP227" s="64">
        <f>IFERROR(1/J227*(Y227/H227),"0")</f>
        <v>0.1098901098901099</v>
      </c>
    </row>
    <row r="228" spans="1:68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20</v>
      </c>
      <c r="Y228" s="549">
        <f>IFERROR(Y226/H226,"0")+IFERROR(Y227/H227,"0")</f>
        <v>20</v>
      </c>
      <c r="Z228" s="549">
        <f>IFERROR(IF(Z226="",0,Z226),"0")+IFERROR(IF(Z227="",0,Z227),"0")</f>
        <v>0.13020000000000001</v>
      </c>
      <c r="AA228" s="550"/>
      <c r="AB228" s="550"/>
      <c r="AC228" s="550"/>
    </row>
    <row r="229" spans="1:68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48</v>
      </c>
      <c r="Y229" s="549">
        <f>IFERROR(SUM(Y226:Y227),"0")</f>
        <v>48</v>
      </c>
      <c r="Z229" s="37"/>
      <c r="AA229" s="550"/>
      <c r="AB229" s="550"/>
      <c r="AC229" s="550"/>
    </row>
    <row r="230" spans="1:68" ht="16.5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1.98</v>
      </c>
      <c r="Y252" s="548">
        <f>IFERROR(IF(X252="",0,CEILING((X252/$H252),1)*$H252),"")</f>
        <v>1.98</v>
      </c>
      <c r="Z252" s="36">
        <f>IFERROR(IF(Y252=0,"",ROUNDUP(Y252/H252,0)*0.0059),"")</f>
        <v>1.18E-2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2.36</v>
      </c>
      <c r="BN252" s="64">
        <f>IFERROR(Y252*I252/H252,"0")</f>
        <v>2.36</v>
      </c>
      <c r="BO252" s="64">
        <f>IFERROR(1/J252*(X252/H252),"0")</f>
        <v>9.2592592592592587E-3</v>
      </c>
      <c r="BP252" s="64">
        <f>IFERROR(1/J252*(Y252/H252),"0")</f>
        <v>9.2592592592592587E-3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10.8</v>
      </c>
      <c r="Y253" s="548">
        <f>IFERROR(IF(X253="",0,CEILING((X253/$H253),1)*$H253),"")</f>
        <v>10.8</v>
      </c>
      <c r="Z253" s="36">
        <f>IFERROR(IF(Y253=0,"",ROUNDUP(Y253/H253,0)*0.0059),"")</f>
        <v>3.5400000000000001E-2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11.850000000000001</v>
      </c>
      <c r="BN253" s="64">
        <f>IFERROR(Y253*I253/H253,"0")</f>
        <v>11.850000000000001</v>
      </c>
      <c r="BO253" s="64">
        <f>IFERROR(1/J253*(X253/H253),"0")</f>
        <v>2.7777777777777776E-2</v>
      </c>
      <c r="BP253" s="64">
        <f>IFERROR(1/J253*(Y253/H253),"0")</f>
        <v>2.7777777777777776E-2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8</v>
      </c>
      <c r="Y257" s="549">
        <f>IFERROR(Y252/H252,"0")+IFERROR(Y253/H253,"0")+IFERROR(Y254/H254,"0")+IFERROR(Y255/H255,"0")+IFERROR(Y256/H256,"0")</f>
        <v>8</v>
      </c>
      <c r="Z257" s="549">
        <f>IFERROR(IF(Z252="",0,Z252),"0")+IFERROR(IF(Z253="",0,Z253),"0")+IFERROR(IF(Z254="",0,Z254),"0")+IFERROR(IF(Z255="",0,Z255),"0")+IFERROR(IF(Z256="",0,Z256),"0")</f>
        <v>4.7199999999999999E-2</v>
      </c>
      <c r="AA257" s="550"/>
      <c r="AB257" s="550"/>
      <c r="AC257" s="550"/>
    </row>
    <row r="258" spans="1:68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12.780000000000001</v>
      </c>
      <c r="Y258" s="549">
        <f>IFERROR(SUM(Y252:Y256),"0")</f>
        <v>12.780000000000001</v>
      </c>
      <c r="Z258" s="37"/>
      <c r="AA258" s="550"/>
      <c r="AB258" s="550"/>
      <c r="AC258" s="550"/>
    </row>
    <row r="259" spans="1:68" ht="16.5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70</v>
      </c>
      <c r="Y263" s="548">
        <f>IFERROR(IF(X263="",0,CEILING((X263/$H263),1)*$H263),"")</f>
        <v>75.600000000000009</v>
      </c>
      <c r="Z263" s="36">
        <f>IFERROR(IF(Y263=0,"",ROUNDUP(Y263/H263,0)*0.01898),"")</f>
        <v>0.13286000000000001</v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72.657407407407405</v>
      </c>
      <c r="BN263" s="64">
        <f>IFERROR(Y263*I263/H263,"0")</f>
        <v>78.47</v>
      </c>
      <c r="BO263" s="64">
        <f>IFERROR(1/J263*(X263/H263),"0")</f>
        <v>0.10127314814814814</v>
      </c>
      <c r="BP263" s="64">
        <f>IFERROR(1/J263*(Y263/H263),"0")</f>
        <v>0.109375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6.481481481481481</v>
      </c>
      <c r="Y266" s="549">
        <f>IFERROR(Y261/H261,"0")+IFERROR(Y262/H262,"0")+IFERROR(Y263/H263,"0")+IFERROR(Y264/H264,"0")+IFERROR(Y265/H265,"0")</f>
        <v>7</v>
      </c>
      <c r="Z266" s="549">
        <f>IFERROR(IF(Z261="",0,Z261),"0")+IFERROR(IF(Z262="",0,Z262),"0")+IFERROR(IF(Z263="",0,Z263),"0")+IFERROR(IF(Z264="",0,Z264),"0")+IFERROR(IF(Z265="",0,Z265),"0")</f>
        <v>0.13286000000000001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70</v>
      </c>
      <c r="Y267" s="549">
        <f>IFERROR(SUM(Y261:Y265),"0")</f>
        <v>75.600000000000009</v>
      </c>
      <c r="Z267" s="37"/>
      <c r="AA267" s="550"/>
      <c r="AB267" s="550"/>
      <c r="AC267" s="550"/>
    </row>
    <row r="268" spans="1:68" ht="16.5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48</v>
      </c>
      <c r="Y279" s="548">
        <f>IFERROR(IF(X279="",0,CEILING((X279/$H279),1)*$H279),"")</f>
        <v>48</v>
      </c>
      <c r="Z279" s="36">
        <f>IFERROR(IF(Y279=0,"",ROUNDUP(Y279/H279,0)*0.00651),"")</f>
        <v>0.13020000000000001</v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53.040000000000006</v>
      </c>
      <c r="BN279" s="64">
        <f>IFERROR(Y279*I279/H279,"0")</f>
        <v>53.040000000000006</v>
      </c>
      <c r="BO279" s="64">
        <f>IFERROR(1/J279*(X279/H279),"0")</f>
        <v>0.1098901098901099</v>
      </c>
      <c r="BP279" s="64">
        <f>IFERROR(1/J279*(Y279/H279),"0")</f>
        <v>0.1098901098901099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48</v>
      </c>
      <c r="Y280" s="548">
        <f>IFERROR(IF(X280="",0,CEILING((X280/$H280),1)*$H280),"")</f>
        <v>48</v>
      </c>
      <c r="Z280" s="36">
        <f>IFERROR(IF(Y280=0,"",ROUNDUP(Y280/H280,0)*0.00651),"")</f>
        <v>0.13020000000000001</v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51.6</v>
      </c>
      <c r="BN280" s="64">
        <f>IFERROR(Y280*I280/H280,"0")</f>
        <v>51.6</v>
      </c>
      <c r="BO280" s="64">
        <f>IFERROR(1/J280*(X280/H280),"0")</f>
        <v>0.1098901098901099</v>
      </c>
      <c r="BP280" s="64">
        <f>IFERROR(1/J280*(Y280/H280),"0")</f>
        <v>0.1098901098901099</v>
      </c>
    </row>
    <row r="281" spans="1:68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40</v>
      </c>
      <c r="Y281" s="549">
        <f>IFERROR(Y278/H278,"0")+IFERROR(Y279/H279,"0")+IFERROR(Y280/H280,"0")</f>
        <v>40</v>
      </c>
      <c r="Z281" s="549">
        <f>IFERROR(IF(Z278="",0,Z278),"0")+IFERROR(IF(Z279="",0,Z279),"0")+IFERROR(IF(Z280="",0,Z280),"0")</f>
        <v>0.26040000000000002</v>
      </c>
      <c r="AA281" s="550"/>
      <c r="AB281" s="550"/>
      <c r="AC281" s="550"/>
    </row>
    <row r="282" spans="1:68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96</v>
      </c>
      <c r="Y282" s="549">
        <f>IFERROR(SUM(Y278:Y280),"0")</f>
        <v>96</v>
      </c>
      <c r="Z282" s="37"/>
      <c r="AA282" s="550"/>
      <c r="AB282" s="550"/>
      <c r="AC282" s="550"/>
    </row>
    <row r="283" spans="1:68" ht="16.5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2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300</v>
      </c>
      <c r="Y296" s="548">
        <f t="shared" ref="Y296:Y301" si="26">IFERROR(IF(X296="",0,CEILING((X296/$H296),1)*$H296),"")</f>
        <v>302.40000000000003</v>
      </c>
      <c r="Z296" s="36">
        <f>IFERROR(IF(Y296=0,"",ROUNDUP(Y296/H296,0)*0.01898),"")</f>
        <v>0.53144000000000002</v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311.38888888888891</v>
      </c>
      <c r="BN296" s="64">
        <f t="shared" ref="BN296:BN301" si="28">IFERROR(Y296*I296/H296,"0")</f>
        <v>313.88</v>
      </c>
      <c r="BO296" s="64">
        <f t="shared" ref="BO296:BO301" si="29">IFERROR(1/J296*(X296/H296),"0")</f>
        <v>0.43402777777777773</v>
      </c>
      <c r="BP296" s="64">
        <f t="shared" ref="BP296:BP301" si="30">IFERROR(1/J296*(Y296/H296),"0")</f>
        <v>0.4375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330</v>
      </c>
      <c r="Y297" s="548">
        <f t="shared" si="26"/>
        <v>334.8</v>
      </c>
      <c r="Z297" s="36">
        <f>IFERROR(IF(Y297=0,"",ROUNDUP(Y297/H297,0)*0.01898),"")</f>
        <v>0.58838000000000001</v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342.52777777777777</v>
      </c>
      <c r="BN297" s="64">
        <f t="shared" si="28"/>
        <v>347.51000000000005</v>
      </c>
      <c r="BO297" s="64">
        <f t="shared" si="29"/>
        <v>0.47743055555555552</v>
      </c>
      <c r="BP297" s="64">
        <f t="shared" si="30"/>
        <v>0.484375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40</v>
      </c>
      <c r="Y298" s="548">
        <f t="shared" si="26"/>
        <v>43.2</v>
      </c>
      <c r="Z298" s="36">
        <f>IFERROR(IF(Y298=0,"",ROUNDUP(Y298/H298,0)*0.01898),"")</f>
        <v>7.5920000000000001E-2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41.518518518518519</v>
      </c>
      <c r="BN298" s="64">
        <f t="shared" si="28"/>
        <v>44.84</v>
      </c>
      <c r="BO298" s="64">
        <f t="shared" si="29"/>
        <v>5.7870370370370364E-2</v>
      </c>
      <c r="BP298" s="64">
        <f t="shared" si="30"/>
        <v>6.25E-2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60</v>
      </c>
      <c r="Y300" s="548">
        <f t="shared" si="26"/>
        <v>60</v>
      </c>
      <c r="Z300" s="36">
        <f>IFERROR(IF(Y300=0,"",ROUNDUP(Y300/H300,0)*0.00902),"")</f>
        <v>0.1353</v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62.850000000000009</v>
      </c>
      <c r="BN300" s="64">
        <f t="shared" si="28"/>
        <v>62.850000000000009</v>
      </c>
      <c r="BO300" s="64">
        <f t="shared" si="29"/>
        <v>0.11363636363636365</v>
      </c>
      <c r="BP300" s="64">
        <f t="shared" si="30"/>
        <v>0.11363636363636365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36</v>
      </c>
      <c r="Y301" s="548">
        <f t="shared" si="26"/>
        <v>36</v>
      </c>
      <c r="Z301" s="36">
        <f>IFERROR(IF(Y301=0,"",ROUNDUP(Y301/H301,0)*0.00902),"")</f>
        <v>8.1180000000000002E-2</v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37.71</v>
      </c>
      <c r="BN301" s="64">
        <f t="shared" si="28"/>
        <v>37.71</v>
      </c>
      <c r="BO301" s="64">
        <f t="shared" si="29"/>
        <v>6.8181818181818177E-2</v>
      </c>
      <c r="BP301" s="64">
        <f t="shared" si="30"/>
        <v>6.8181818181818177E-2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86.037037037037038</v>
      </c>
      <c r="Y302" s="549">
        <f>IFERROR(Y296/H296,"0")+IFERROR(Y297/H297,"0")+IFERROR(Y298/H298,"0")+IFERROR(Y299/H299,"0")+IFERROR(Y300/H300,"0")+IFERROR(Y301/H301,"0")</f>
        <v>87</v>
      </c>
      <c r="Z302" s="549">
        <f>IFERROR(IF(Z296="",0,Z296),"0")+IFERROR(IF(Z297="",0,Z297),"0")+IFERROR(IF(Z298="",0,Z298),"0")+IFERROR(IF(Z299="",0,Z299),"0")+IFERROR(IF(Z300="",0,Z300),"0")+IFERROR(IF(Z301="",0,Z301),"0")</f>
        <v>1.41222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766</v>
      </c>
      <c r="Y303" s="549">
        <f>IFERROR(SUM(Y296:Y301),"0")</f>
        <v>776.40000000000009</v>
      </c>
      <c r="Z303" s="37"/>
      <c r="AA303" s="550"/>
      <c r="AB303" s="550"/>
      <c r="AC303" s="550"/>
    </row>
    <row r="304" spans="1:68" ht="14.25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40</v>
      </c>
      <c r="Y305" s="548">
        <f t="shared" ref="Y305:Y310" si="31">IFERROR(IF(X305="",0,CEILING((X305/$H305),1)*$H305),"")</f>
        <v>42</v>
      </c>
      <c r="Z305" s="36">
        <f>IFERROR(IF(Y305=0,"",ROUNDUP(Y305/H305,0)*0.00902),"")</f>
        <v>9.0200000000000002E-2</v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42.38095238095238</v>
      </c>
      <c r="BN305" s="64">
        <f t="shared" ref="BN305:BN310" si="33">IFERROR(Y305*I305/H305,"0")</f>
        <v>44.5</v>
      </c>
      <c r="BO305" s="64">
        <f t="shared" ref="BO305:BO310" si="34">IFERROR(1/J305*(X305/H305),"0")</f>
        <v>7.2150072150072145E-2</v>
      </c>
      <c r="BP305" s="64">
        <f t="shared" ref="BP305:BP310" si="35">IFERROR(1/J305*(Y305/H305),"0")</f>
        <v>7.575757575757576E-2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400</v>
      </c>
      <c r="Y306" s="548">
        <f t="shared" si="31"/>
        <v>403.20000000000005</v>
      </c>
      <c r="Z306" s="36">
        <f>IFERROR(IF(Y306=0,"",ROUNDUP(Y306/H306,0)*0.00902),"")</f>
        <v>0.86592000000000002</v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423.8095238095238</v>
      </c>
      <c r="BN306" s="64">
        <f t="shared" si="33"/>
        <v>427.20000000000005</v>
      </c>
      <c r="BO306" s="64">
        <f t="shared" si="34"/>
        <v>0.72150072150072153</v>
      </c>
      <c r="BP306" s="64">
        <f t="shared" si="35"/>
        <v>0.72727272727272729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21</v>
      </c>
      <c r="Y308" s="548">
        <f t="shared" si="31"/>
        <v>21</v>
      </c>
      <c r="Z308" s="36">
        <f>IFERROR(IF(Y308=0,"",ROUNDUP(Y308/H308,0)*0.00502),"")</f>
        <v>5.0200000000000002E-2</v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22.299999999999997</v>
      </c>
      <c r="BN308" s="64">
        <f t="shared" si="33"/>
        <v>22.299999999999997</v>
      </c>
      <c r="BO308" s="64">
        <f t="shared" si="34"/>
        <v>4.2735042735042736E-2</v>
      </c>
      <c r="BP308" s="64">
        <f t="shared" si="35"/>
        <v>4.2735042735042736E-2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63</v>
      </c>
      <c r="Y309" s="548">
        <f t="shared" si="31"/>
        <v>63</v>
      </c>
      <c r="Z309" s="36">
        <f>IFERROR(IF(Y309=0,"",ROUNDUP(Y309/H309,0)*0.00502),"")</f>
        <v>0.15060000000000001</v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66.000000000000014</v>
      </c>
      <c r="BN309" s="64">
        <f t="shared" si="33"/>
        <v>66.000000000000014</v>
      </c>
      <c r="BO309" s="64">
        <f t="shared" si="34"/>
        <v>0.12820512820512822</v>
      </c>
      <c r="BP309" s="64">
        <f t="shared" si="35"/>
        <v>0.12820512820512822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60</v>
      </c>
      <c r="Y310" s="548">
        <f t="shared" si="31"/>
        <v>61.2</v>
      </c>
      <c r="Z310" s="36">
        <f>IFERROR(IF(Y310=0,"",ROUNDUP(Y310/H310,0)*0.00651),"")</f>
        <v>0.22134000000000001</v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67.600000000000009</v>
      </c>
      <c r="BN310" s="64">
        <f t="shared" si="33"/>
        <v>68.951999999999998</v>
      </c>
      <c r="BO310" s="64">
        <f t="shared" si="34"/>
        <v>0.18315018315018317</v>
      </c>
      <c r="BP310" s="64">
        <f t="shared" si="35"/>
        <v>0.18681318681318682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178.0952380952381</v>
      </c>
      <c r="Y311" s="549">
        <f>IFERROR(Y305/H305,"0")+IFERROR(Y306/H306,"0")+IFERROR(Y307/H307,"0")+IFERROR(Y308/H308,"0")+IFERROR(Y309/H309,"0")+IFERROR(Y310/H310,"0")</f>
        <v>180</v>
      </c>
      <c r="Z311" s="549">
        <f>IFERROR(IF(Z305="",0,Z305),"0")+IFERROR(IF(Z306="",0,Z306),"0")+IFERROR(IF(Z307="",0,Z307),"0")+IFERROR(IF(Z308="",0,Z308),"0")+IFERROR(IF(Z309="",0,Z309),"0")+IFERROR(IF(Z310="",0,Z310),"0")</f>
        <v>1.3782600000000003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584</v>
      </c>
      <c r="Y312" s="549">
        <f>IFERROR(SUM(Y305:Y310),"0")</f>
        <v>590.40000000000009</v>
      </c>
      <c r="Z312" s="37"/>
      <c r="AA312" s="550"/>
      <c r="AB312" s="550"/>
      <c r="AC312" s="550"/>
    </row>
    <row r="313" spans="1:68" ht="14.25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2100</v>
      </c>
      <c r="Y314" s="548">
        <f>IFERROR(IF(X314="",0,CEILING((X314/$H314),1)*$H314),"")</f>
        <v>2106</v>
      </c>
      <c r="Z314" s="36">
        <f>IFERROR(IF(Y314=0,"",ROUNDUP(Y314/H314,0)*0.01898),"")</f>
        <v>5.1246</v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2231.3846153846152</v>
      </c>
      <c r="BN314" s="64">
        <f>IFERROR(Y314*I314/H314,"0")</f>
        <v>2237.7600000000002</v>
      </c>
      <c r="BO314" s="64">
        <f>IFERROR(1/J314*(X314/H314),"0")</f>
        <v>4.2067307692307692</v>
      </c>
      <c r="BP314" s="64">
        <f>IFERROR(1/J314*(Y314/H314),"0")</f>
        <v>4.21875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60</v>
      </c>
      <c r="Y317" s="548">
        <f>IFERROR(IF(X317="",0,CEILING((X317/$H317),1)*$H317),"")</f>
        <v>60</v>
      </c>
      <c r="Z317" s="36">
        <f>IFERROR(IF(Y317=0,"",ROUNDUP(Y317/H317,0)*0.00651),"")</f>
        <v>0.13020000000000001</v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64.92</v>
      </c>
      <c r="BN317" s="64">
        <f>IFERROR(Y317*I317/H317,"0")</f>
        <v>64.92</v>
      </c>
      <c r="BO317" s="64">
        <f>IFERROR(1/J317*(X317/H317),"0")</f>
        <v>0.1098901098901099</v>
      </c>
      <c r="BP317" s="64">
        <f>IFERROR(1/J317*(Y317/H317),"0")</f>
        <v>0.1098901098901099</v>
      </c>
    </row>
    <row r="318" spans="1:68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289.23076923076923</v>
      </c>
      <c r="Y318" s="549">
        <f>IFERROR(Y314/H314,"0")+IFERROR(Y315/H315,"0")+IFERROR(Y316/H316,"0")+IFERROR(Y317/H317,"0")</f>
        <v>290</v>
      </c>
      <c r="Z318" s="549">
        <f>IFERROR(IF(Z314="",0,Z314),"0")+IFERROR(IF(Z315="",0,Z315),"0")+IFERROR(IF(Z316="",0,Z316),"0")+IFERROR(IF(Z317="",0,Z317),"0")</f>
        <v>5.2548000000000004</v>
      </c>
      <c r="AA318" s="550"/>
      <c r="AB318" s="550"/>
      <c r="AC318" s="550"/>
    </row>
    <row r="319" spans="1:68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2160</v>
      </c>
      <c r="Y319" s="549">
        <f>IFERROR(SUM(Y314:Y317),"0")</f>
        <v>2166</v>
      </c>
      <c r="Z319" s="37"/>
      <c r="AA319" s="550"/>
      <c r="AB319" s="550"/>
      <c r="AC319" s="550"/>
    </row>
    <row r="320" spans="1:68" ht="14.25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200</v>
      </c>
      <c r="Y321" s="548">
        <f>IFERROR(IF(X321="",0,CEILING((X321/$H321),1)*$H321),"")</f>
        <v>201.60000000000002</v>
      </c>
      <c r="Z321" s="36">
        <f>IFERROR(IF(Y321=0,"",ROUNDUP(Y321/H321,0)*0.01898),"")</f>
        <v>0.45552000000000004</v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211.76190476190476</v>
      </c>
      <c r="BN321" s="64">
        <f>IFERROR(Y321*I321/H321,"0")</f>
        <v>213.45600000000002</v>
      </c>
      <c r="BO321" s="64">
        <f>IFERROR(1/J321*(X321/H321),"0")</f>
        <v>0.37202380952380953</v>
      </c>
      <c r="BP321" s="64">
        <f>IFERROR(1/J321*(Y321/H321),"0")</f>
        <v>0.375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240</v>
      </c>
      <c r="Y322" s="548">
        <f>IFERROR(IF(X322="",0,CEILING((X322/$H322),1)*$H322),"")</f>
        <v>241.79999999999998</v>
      </c>
      <c r="Z322" s="36">
        <f>IFERROR(IF(Y322=0,"",ROUNDUP(Y322/H322,0)*0.01898),"")</f>
        <v>0.58838000000000001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255.20000000000002</v>
      </c>
      <c r="BN322" s="64">
        <f>IFERROR(Y322*I322/H322,"0")</f>
        <v>257.11399999999998</v>
      </c>
      <c r="BO322" s="64">
        <f>IFERROR(1/J322*(X322/H322),"0")</f>
        <v>0.48076923076923078</v>
      </c>
      <c r="BP322" s="64">
        <f>IFERROR(1/J322*(Y322/H322),"0")</f>
        <v>0.484375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150</v>
      </c>
      <c r="Y323" s="548">
        <f>IFERROR(IF(X323="",0,CEILING((X323/$H323),1)*$H323),"")</f>
        <v>151.20000000000002</v>
      </c>
      <c r="Z323" s="36">
        <f>IFERROR(IF(Y323=0,"",ROUNDUP(Y323/H323,0)*0.01898),"")</f>
        <v>0.34164</v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158.82142857142856</v>
      </c>
      <c r="BN323" s="64">
        <f>IFERROR(Y323*I323/H323,"0")</f>
        <v>160.09200000000001</v>
      </c>
      <c r="BO323" s="64">
        <f>IFERROR(1/J323*(X323/H323),"0")</f>
        <v>0.27901785714285715</v>
      </c>
      <c r="BP323" s="64">
        <f>IFERROR(1/J323*(Y323/H323),"0")</f>
        <v>0.28125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72.435897435897445</v>
      </c>
      <c r="Y324" s="549">
        <f>IFERROR(Y321/H321,"0")+IFERROR(Y322/H322,"0")+IFERROR(Y323/H323,"0")</f>
        <v>73</v>
      </c>
      <c r="Z324" s="549">
        <f>IFERROR(IF(Z321="",0,Z321),"0")+IFERROR(IF(Z322="",0,Z322),"0")+IFERROR(IF(Z323="",0,Z323),"0")</f>
        <v>1.38554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590</v>
      </c>
      <c r="Y325" s="549">
        <f>IFERROR(SUM(Y321:Y323),"0")</f>
        <v>594.6</v>
      </c>
      <c r="Z325" s="37"/>
      <c r="AA325" s="550"/>
      <c r="AB325" s="550"/>
      <c r="AC325" s="550"/>
    </row>
    <row r="326" spans="1:68" ht="14.25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21</v>
      </c>
      <c r="Y327" s="548">
        <f>IFERROR(IF(X327="",0,CEILING((X327/$H327),1)*$H327),"")</f>
        <v>21.28</v>
      </c>
      <c r="Z327" s="36">
        <f>IFERROR(IF(Y327=0,"",ROUNDUP(Y327/H327,0)*0.00902),"")</f>
        <v>6.3140000000000002E-2</v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22.86513157894737</v>
      </c>
      <c r="BN327" s="64">
        <f>IFERROR(Y327*I327/H327,"0")</f>
        <v>23.17</v>
      </c>
      <c r="BO327" s="64">
        <f>IFERROR(1/J327*(X327/H327),"0")</f>
        <v>5.2332535885167467E-2</v>
      </c>
      <c r="BP327" s="64">
        <f>IFERROR(1/J327*(Y327/H327),"0")</f>
        <v>5.3030303030303032E-2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21</v>
      </c>
      <c r="Y328" s="548">
        <f>IFERROR(IF(X328="",0,CEILING((X328/$H328),1)*$H328),"")</f>
        <v>21.28</v>
      </c>
      <c r="Z328" s="36">
        <f>IFERROR(IF(Y328=0,"",ROUNDUP(Y328/H328,0)*0.00902),"")</f>
        <v>6.3140000000000002E-2</v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22.588815789473685</v>
      </c>
      <c r="BN328" s="64">
        <f>IFERROR(Y328*I328/H328,"0")</f>
        <v>22.89</v>
      </c>
      <c r="BO328" s="64">
        <f>IFERROR(1/J328*(X328/H328),"0")</f>
        <v>5.2332535885167467E-2</v>
      </c>
      <c r="BP328" s="64">
        <f>IFERROR(1/J328*(Y328/H328),"0")</f>
        <v>5.3030303030303032E-2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17.850000000000001</v>
      </c>
      <c r="Y329" s="548">
        <f>IFERROR(IF(X329="",0,CEILING((X329/$H329),1)*$H329),"")</f>
        <v>17.849999999999998</v>
      </c>
      <c r="Z329" s="36">
        <f>IFERROR(IF(Y329=0,"",ROUNDUP(Y329/H329,0)*0.00651),"")</f>
        <v>4.5569999999999999E-2</v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20.685000000000002</v>
      </c>
      <c r="BN329" s="64">
        <f>IFERROR(Y329*I329/H329,"0")</f>
        <v>20.684999999999999</v>
      </c>
      <c r="BO329" s="64">
        <f>IFERROR(1/J329*(X329/H329),"0")</f>
        <v>3.8461538461538471E-2</v>
      </c>
      <c r="BP329" s="64">
        <f>IFERROR(1/J329*(Y329/H329),"0")</f>
        <v>3.8461538461538464E-2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20.815789473684212</v>
      </c>
      <c r="Y331" s="549">
        <f>IFERROR(Y327/H327,"0")+IFERROR(Y328/H328,"0")+IFERROR(Y329/H329,"0")+IFERROR(Y330/H330,"0")</f>
        <v>21</v>
      </c>
      <c r="Z331" s="549">
        <f>IFERROR(IF(Z327="",0,Z327),"0")+IFERROR(IF(Z328="",0,Z328),"0")+IFERROR(IF(Z329="",0,Z329),"0")+IFERROR(IF(Z330="",0,Z330),"0")</f>
        <v>0.17185</v>
      </c>
      <c r="AA331" s="550"/>
      <c r="AB331" s="550"/>
      <c r="AC331" s="550"/>
    </row>
    <row r="332" spans="1:68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59.85</v>
      </c>
      <c r="Y332" s="549">
        <f>IFERROR(SUM(Y327:Y330),"0")</f>
        <v>60.41</v>
      </c>
      <c r="Z332" s="37"/>
      <c r="AA332" s="550"/>
      <c r="AB332" s="550"/>
      <c r="AC332" s="550"/>
    </row>
    <row r="333" spans="1:68" ht="14.25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24</v>
      </c>
      <c r="Y334" s="548">
        <f>IFERROR(IF(X334="",0,CEILING((X334/$H334),1)*$H334),"")</f>
        <v>24</v>
      </c>
      <c r="Z334" s="36">
        <f>IFERROR(IF(Y334=0,"",ROUNDUP(Y334/H334,0)*0.00474),"")</f>
        <v>5.688E-2</v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26.880000000000003</v>
      </c>
      <c r="BN334" s="64">
        <f>IFERROR(Y334*I334/H334,"0")</f>
        <v>26.880000000000003</v>
      </c>
      <c r="BO334" s="64">
        <f>IFERROR(1/J334*(X334/H334),"0")</f>
        <v>5.0420168067226892E-2</v>
      </c>
      <c r="BP334" s="64">
        <f>IFERROR(1/J334*(Y334/H334),"0")</f>
        <v>5.0420168067226892E-2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26</v>
      </c>
      <c r="Y335" s="548">
        <f>IFERROR(IF(X335="",0,CEILING((X335/$H335),1)*$H335),"")</f>
        <v>26</v>
      </c>
      <c r="Z335" s="36">
        <f>IFERROR(IF(Y335=0,"",ROUNDUP(Y335/H335,0)*0.00474),"")</f>
        <v>6.1620000000000001E-2</v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29.120000000000005</v>
      </c>
      <c r="BN335" s="64">
        <f>IFERROR(Y335*I335/H335,"0")</f>
        <v>29.120000000000005</v>
      </c>
      <c r="BO335" s="64">
        <f>IFERROR(1/J335*(X335/H335),"0")</f>
        <v>5.4621848739495799E-2</v>
      </c>
      <c r="BP335" s="64">
        <f>IFERROR(1/J335*(Y335/H335),"0")</f>
        <v>5.4621848739495799E-2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30</v>
      </c>
      <c r="Y336" s="548">
        <f>IFERROR(IF(X336="",0,CEILING((X336/$H336),1)*$H336),"")</f>
        <v>30</v>
      </c>
      <c r="Z336" s="36">
        <f>IFERROR(IF(Y336=0,"",ROUNDUP(Y336/H336,0)*0.00474),"")</f>
        <v>7.110000000000001E-2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33.6</v>
      </c>
      <c r="BN336" s="64">
        <f>IFERROR(Y336*I336/H336,"0")</f>
        <v>33.6</v>
      </c>
      <c r="BO336" s="64">
        <f>IFERROR(1/J336*(X336/H336),"0")</f>
        <v>6.3025210084033612E-2</v>
      </c>
      <c r="BP336" s="64">
        <f>IFERROR(1/J336*(Y336/H336),"0")</f>
        <v>6.3025210084033612E-2</v>
      </c>
    </row>
    <row r="337" spans="1:68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40</v>
      </c>
      <c r="Y337" s="549">
        <f>IFERROR(Y334/H334,"0")+IFERROR(Y335/H335,"0")+IFERROR(Y336/H336,"0")</f>
        <v>40</v>
      </c>
      <c r="Z337" s="549">
        <f>IFERROR(IF(Z334="",0,Z334),"0")+IFERROR(IF(Z335="",0,Z335),"0")+IFERROR(IF(Z336="",0,Z336),"0")</f>
        <v>0.18959999999999999</v>
      </c>
      <c r="AA337" s="550"/>
      <c r="AB337" s="550"/>
      <c r="AC337" s="550"/>
    </row>
    <row r="338" spans="1:68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80</v>
      </c>
      <c r="Y338" s="549">
        <f>IFERROR(SUM(Y334:Y336),"0")</f>
        <v>80</v>
      </c>
      <c r="Z338" s="37"/>
      <c r="AA338" s="550"/>
      <c r="AB338" s="550"/>
      <c r="AC338" s="550"/>
    </row>
    <row r="339" spans="1:68" ht="16.5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200</v>
      </c>
      <c r="Y341" s="548">
        <f>IFERROR(IF(X341="",0,CEILING((X341/$H341),1)*$H341),"")</f>
        <v>202.5</v>
      </c>
      <c r="Z341" s="36">
        <f>IFERROR(IF(Y341=0,"",ROUNDUP(Y341/H341,0)*0.01898),"")</f>
        <v>0.47450000000000003</v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212.19753086419755</v>
      </c>
      <c r="BN341" s="64">
        <f>IFERROR(Y341*I341/H341,"0")</f>
        <v>214.85</v>
      </c>
      <c r="BO341" s="64">
        <f>IFERROR(1/J341*(X341/H341),"0")</f>
        <v>0.38580246913580246</v>
      </c>
      <c r="BP341" s="64">
        <f>IFERROR(1/J341*(Y341/H341),"0")</f>
        <v>0.390625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63</v>
      </c>
      <c r="Y342" s="548">
        <f>IFERROR(IF(X342="",0,CEILING((X342/$H342),1)*$H342),"")</f>
        <v>63</v>
      </c>
      <c r="Z342" s="36">
        <f>IFERROR(IF(Y342=0,"",ROUNDUP(Y342/H342,0)*0.00651),"")</f>
        <v>0.1953</v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70.559999999999988</v>
      </c>
      <c r="BN342" s="64">
        <f>IFERROR(Y342*I342/H342,"0")</f>
        <v>70.559999999999988</v>
      </c>
      <c r="BO342" s="64">
        <f>IFERROR(1/J342*(X342/H342),"0")</f>
        <v>0.16483516483516486</v>
      </c>
      <c r="BP342" s="64">
        <f>IFERROR(1/J342*(Y342/H342),"0")</f>
        <v>0.16483516483516486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52.5</v>
      </c>
      <c r="Y343" s="548">
        <f>IFERROR(IF(X343="",0,CEILING((X343/$H343),1)*$H343),"")</f>
        <v>52.5</v>
      </c>
      <c r="Z343" s="36">
        <f>IFERROR(IF(Y343=0,"",ROUNDUP(Y343/H343,0)*0.00651),"")</f>
        <v>0.16275000000000001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58.499999999999993</v>
      </c>
      <c r="BN343" s="64">
        <f>IFERROR(Y343*I343/H343,"0")</f>
        <v>58.499999999999993</v>
      </c>
      <c r="BO343" s="64">
        <f>IFERROR(1/J343*(X343/H343),"0")</f>
        <v>0.13736263736263737</v>
      </c>
      <c r="BP343" s="64">
        <f>IFERROR(1/J343*(Y343/H343),"0")</f>
        <v>0.13736263736263737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79.691358024691354</v>
      </c>
      <c r="Y344" s="549">
        <f>IFERROR(Y341/H341,"0")+IFERROR(Y342/H342,"0")+IFERROR(Y343/H343,"0")</f>
        <v>80</v>
      </c>
      <c r="Z344" s="549">
        <f>IFERROR(IF(Z341="",0,Z341),"0")+IFERROR(IF(Z342="",0,Z342),"0")+IFERROR(IF(Z343="",0,Z343),"0")</f>
        <v>0.83255000000000012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315.5</v>
      </c>
      <c r="Y345" s="549">
        <f>IFERROR(SUM(Y341:Y343),"0")</f>
        <v>318</v>
      </c>
      <c r="Z345" s="37"/>
      <c r="AA345" s="550"/>
      <c r="AB345" s="550"/>
      <c r="AC345" s="550"/>
    </row>
    <row r="346" spans="1:68" ht="27.75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280</v>
      </c>
      <c r="Y349" s="548">
        <f t="shared" ref="Y349:Y355" si="36">IFERROR(IF(X349="",0,CEILING((X349/$H349),1)*$H349),"")</f>
        <v>285</v>
      </c>
      <c r="Z349" s="36">
        <f>IFERROR(IF(Y349=0,"",ROUNDUP(Y349/H349,0)*0.02175),"")</f>
        <v>0.41324999999999995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288.77333333333337</v>
      </c>
      <c r="BN349" s="64">
        <f t="shared" ref="BN349:BN355" si="38">IFERROR(Y349*I349/H349,"0")</f>
        <v>293.93</v>
      </c>
      <c r="BO349" s="64">
        <f t="shared" ref="BO349:BO355" si="39">IFERROR(1/J349*(X349/H349),"0")</f>
        <v>0.3888888888888889</v>
      </c>
      <c r="BP349" s="64">
        <f t="shared" ref="BP349:BP355" si="40">IFERROR(1/J349*(Y349/H349),"0")</f>
        <v>0.39583333333333331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500</v>
      </c>
      <c r="Y350" s="548">
        <f t="shared" si="36"/>
        <v>510</v>
      </c>
      <c r="Z350" s="36">
        <f>IFERROR(IF(Y350=0,"",ROUNDUP(Y350/H350,0)*0.02175),"")</f>
        <v>0.73949999999999994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515.66666666666663</v>
      </c>
      <c r="BN350" s="64">
        <f t="shared" si="38"/>
        <v>525.98</v>
      </c>
      <c r="BO350" s="64">
        <f t="shared" si="39"/>
        <v>0.69444444444444442</v>
      </c>
      <c r="BP350" s="64">
        <f t="shared" si="40"/>
        <v>0.70833333333333326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1800</v>
      </c>
      <c r="Y352" s="548">
        <f t="shared" si="36"/>
        <v>1800</v>
      </c>
      <c r="Z352" s="36">
        <f>IFERROR(IF(Y352=0,"",ROUNDUP(Y352/H352,0)*0.02175),"")</f>
        <v>2.61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1856.4</v>
      </c>
      <c r="BN352" s="64">
        <f t="shared" si="38"/>
        <v>1856.4</v>
      </c>
      <c r="BO352" s="64">
        <f t="shared" si="39"/>
        <v>2.5</v>
      </c>
      <c r="BP352" s="64">
        <f t="shared" si="40"/>
        <v>2.5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25</v>
      </c>
      <c r="Y354" s="548">
        <f t="shared" si="36"/>
        <v>25</v>
      </c>
      <c r="Z354" s="36">
        <f>IFERROR(IF(Y354=0,"",ROUNDUP(Y354/H354,0)*0.00902),"")</f>
        <v>4.5100000000000001E-2</v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25.95</v>
      </c>
      <c r="BN354" s="64">
        <f t="shared" si="38"/>
        <v>25.95</v>
      </c>
      <c r="BO354" s="64">
        <f t="shared" si="39"/>
        <v>3.787878787878788E-2</v>
      </c>
      <c r="BP354" s="64">
        <f t="shared" si="40"/>
        <v>3.787878787878788E-2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40</v>
      </c>
      <c r="Y355" s="548">
        <f t="shared" si="36"/>
        <v>40</v>
      </c>
      <c r="Z355" s="36">
        <f>IFERROR(IF(Y355=0,"",ROUNDUP(Y355/H355,0)*0.00902),"")</f>
        <v>7.2160000000000002E-2</v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41.52</v>
      </c>
      <c r="BN355" s="64">
        <f t="shared" si="38"/>
        <v>41.52</v>
      </c>
      <c r="BO355" s="64">
        <f t="shared" si="39"/>
        <v>6.0606060606060608E-2</v>
      </c>
      <c r="BP355" s="64">
        <f t="shared" si="40"/>
        <v>6.0606060606060608E-2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185</v>
      </c>
      <c r="Y356" s="549">
        <f>IFERROR(Y349/H349,"0")+IFERROR(Y350/H350,"0")+IFERROR(Y351/H351,"0")+IFERROR(Y352/H352,"0")+IFERROR(Y353/H353,"0")+IFERROR(Y354/H354,"0")+IFERROR(Y355/H355,"0")</f>
        <v>186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3.8800099999999995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2645</v>
      </c>
      <c r="Y357" s="549">
        <f>IFERROR(SUM(Y349:Y355),"0")</f>
        <v>2660</v>
      </c>
      <c r="Z357" s="37"/>
      <c r="AA357" s="550"/>
      <c r="AB357" s="550"/>
      <c r="AC357" s="550"/>
    </row>
    <row r="358" spans="1:68" ht="14.25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850</v>
      </c>
      <c r="Y359" s="548">
        <f>IFERROR(IF(X359="",0,CEILING((X359/$H359),1)*$H359),"")</f>
        <v>855</v>
      </c>
      <c r="Z359" s="36">
        <f>IFERROR(IF(Y359=0,"",ROUNDUP(Y359/H359,0)*0.02175),"")</f>
        <v>1.2397499999999999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876.63333333333333</v>
      </c>
      <c r="BN359" s="64">
        <f>IFERROR(Y359*I359/H359,"0")</f>
        <v>881.79000000000008</v>
      </c>
      <c r="BO359" s="64">
        <f>IFERROR(1/J359*(X359/H359),"0")</f>
        <v>1.1805555555555554</v>
      </c>
      <c r="BP359" s="64">
        <f>IFERROR(1/J359*(Y359/H359),"0")</f>
        <v>1.1875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8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32</v>
      </c>
      <c r="Y360" s="548">
        <f>IFERROR(IF(X360="",0,CEILING((X360/$H360),1)*$H360),"")</f>
        <v>32</v>
      </c>
      <c r="Z360" s="36">
        <f>IFERROR(IF(Y360=0,"",ROUNDUP(Y360/H360,0)*0.00902),"")</f>
        <v>7.2160000000000002E-2</v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33.520000000000003</v>
      </c>
      <c r="BN360" s="64">
        <f>IFERROR(Y360*I360/H360,"0")</f>
        <v>33.520000000000003</v>
      </c>
      <c r="BO360" s="64">
        <f>IFERROR(1/J360*(X360/H360),"0")</f>
        <v>6.0606060606060608E-2</v>
      </c>
      <c r="BP360" s="64">
        <f>IFERROR(1/J360*(Y360/H360),"0")</f>
        <v>6.0606060606060608E-2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64.666666666666657</v>
      </c>
      <c r="Y361" s="549">
        <f>IFERROR(Y359/H359,"0")+IFERROR(Y360/H360,"0")</f>
        <v>65</v>
      </c>
      <c r="Z361" s="549">
        <f>IFERROR(IF(Z359="",0,Z359),"0")+IFERROR(IF(Z360="",0,Z360),"0")</f>
        <v>1.3119099999999999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882</v>
      </c>
      <c r="Y362" s="549">
        <f>IFERROR(SUM(Y359:Y360),"0")</f>
        <v>887</v>
      </c>
      <c r="Z362" s="37"/>
      <c r="AA362" s="550"/>
      <c r="AB362" s="550"/>
      <c r="AC362" s="550"/>
    </row>
    <row r="363" spans="1:68" ht="14.25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7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450</v>
      </c>
      <c r="Y384" s="548">
        <f>IFERROR(IF(X384="",0,CEILING((X384/$H384),1)*$H384),"")</f>
        <v>450</v>
      </c>
      <c r="Z384" s="36">
        <f>IFERROR(IF(Y384=0,"",ROUNDUP(Y384/H384,0)*0.01898),"")</f>
        <v>0.94900000000000007</v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474.70000000000005</v>
      </c>
      <c r="BN384" s="64">
        <f>IFERROR(Y384*I384/H384,"0")</f>
        <v>474.70000000000005</v>
      </c>
      <c r="BO384" s="64">
        <f>IFERROR(1/J384*(X384/H384),"0")</f>
        <v>0.78125</v>
      </c>
      <c r="BP384" s="64">
        <f>IFERROR(1/J384*(Y384/H384),"0")</f>
        <v>0.78125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48</v>
      </c>
      <c r="Y385" s="548">
        <f>IFERROR(IF(X385="",0,CEILING((X385/$H385),1)*$H385),"")</f>
        <v>48</v>
      </c>
      <c r="Z385" s="36">
        <f>IFERROR(IF(Y385=0,"",ROUNDUP(Y385/H385,0)*0.00651),"")</f>
        <v>0.13020000000000001</v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53.280000000000008</v>
      </c>
      <c r="BN385" s="64">
        <f>IFERROR(Y385*I385/H385,"0")</f>
        <v>53.280000000000008</v>
      </c>
      <c r="BO385" s="64">
        <f>IFERROR(1/J385*(X385/H385),"0")</f>
        <v>0.1098901098901099</v>
      </c>
      <c r="BP385" s="64">
        <f>IFERROR(1/J385*(Y385/H385),"0")</f>
        <v>0.1098901098901099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70</v>
      </c>
      <c r="Y387" s="549">
        <f>IFERROR(Y384/H384,"0")+IFERROR(Y385/H385,"0")+IFERROR(Y386/H386,"0")</f>
        <v>70</v>
      </c>
      <c r="Z387" s="549">
        <f>IFERROR(IF(Z384="",0,Z384),"0")+IFERROR(IF(Z385="",0,Z385),"0")+IFERROR(IF(Z386="",0,Z386),"0")</f>
        <v>1.0792000000000002</v>
      </c>
      <c r="AA387" s="550"/>
      <c r="AB387" s="550"/>
      <c r="AC387" s="550"/>
    </row>
    <row r="388" spans="1:68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498</v>
      </c>
      <c r="Y388" s="549">
        <f>IFERROR(SUM(Y384:Y386),"0")</f>
        <v>498</v>
      </c>
      <c r="Z388" s="37"/>
      <c r="AA388" s="550"/>
      <c r="AB388" s="550"/>
      <c r="AC388" s="550"/>
    </row>
    <row r="389" spans="1:68" ht="27.75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25</v>
      </c>
      <c r="Y392" s="548">
        <f t="shared" ref="Y392:Y400" si="41">IFERROR(IF(X392="",0,CEILING((X392/$H392),1)*$H392),"")</f>
        <v>27</v>
      </c>
      <c r="Z392" s="36">
        <f>IFERROR(IF(Y392=0,"",ROUNDUP(Y392/H392,0)*0.00902),"")</f>
        <v>4.5100000000000001E-2</v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25.879629629629626</v>
      </c>
      <c r="BN392" s="64">
        <f t="shared" ref="BN392:BN400" si="43">IFERROR(Y392*I392/H392,"0")</f>
        <v>27.95</v>
      </c>
      <c r="BO392" s="64">
        <f t="shared" ref="BO392:BO400" si="44">IFERROR(1/J392*(X392/H392),"0")</f>
        <v>3.5072951739618406E-2</v>
      </c>
      <c r="BP392" s="64">
        <f t="shared" ref="BP392:BP400" si="45">IFERROR(1/J392*(Y392/H392),"0")</f>
        <v>3.787878787878788E-2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7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20</v>
      </c>
      <c r="Y393" s="548">
        <f t="shared" si="41"/>
        <v>21.6</v>
      </c>
      <c r="Z393" s="36">
        <f>IFERROR(IF(Y393=0,"",ROUNDUP(Y393/H393,0)*0.00902),"")</f>
        <v>3.6080000000000001E-2</v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20.703703703703702</v>
      </c>
      <c r="BN393" s="64">
        <f t="shared" si="43"/>
        <v>22.36</v>
      </c>
      <c r="BO393" s="64">
        <f t="shared" si="44"/>
        <v>2.8058361391694722E-2</v>
      </c>
      <c r="BP393" s="64">
        <f t="shared" si="45"/>
        <v>3.0303030303030304E-2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25</v>
      </c>
      <c r="Y394" s="548">
        <f t="shared" si="41"/>
        <v>27</v>
      </c>
      <c r="Z394" s="36">
        <f>IFERROR(IF(Y394=0,"",ROUNDUP(Y394/H394,0)*0.00902),"")</f>
        <v>4.5100000000000001E-2</v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25.879629629629626</v>
      </c>
      <c r="BN394" s="64">
        <f t="shared" si="43"/>
        <v>27.95</v>
      </c>
      <c r="BO394" s="64">
        <f t="shared" si="44"/>
        <v>3.5072951739618406E-2</v>
      </c>
      <c r="BP394" s="64">
        <f t="shared" si="45"/>
        <v>3.787878787878788E-2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21</v>
      </c>
      <c r="Y396" s="548">
        <f t="shared" si="41"/>
        <v>21</v>
      </c>
      <c r="Z396" s="36">
        <f t="shared" si="46"/>
        <v>5.0200000000000002E-2</v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22.299999999999997</v>
      </c>
      <c r="BN396" s="64">
        <f t="shared" si="43"/>
        <v>22.299999999999997</v>
      </c>
      <c r="BO396" s="64">
        <f t="shared" si="44"/>
        <v>4.2735042735042736E-2</v>
      </c>
      <c r="BP396" s="64">
        <f t="shared" si="45"/>
        <v>4.2735042735042736E-2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22.962962962962962</v>
      </c>
      <c r="Y401" s="549">
        <f>IFERROR(Y392/H392,"0")+IFERROR(Y393/H393,"0")+IFERROR(Y394/H394,"0")+IFERROR(Y395/H395,"0")+IFERROR(Y396/H396,"0")+IFERROR(Y397/H397,"0")+IFERROR(Y398/H398,"0")+IFERROR(Y399/H399,"0")+IFERROR(Y400/H400,"0")</f>
        <v>24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0.17648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91</v>
      </c>
      <c r="Y402" s="549">
        <f>IFERROR(SUM(Y392:Y400),"0")</f>
        <v>96.6</v>
      </c>
      <c r="Z402" s="37"/>
      <c r="AA402" s="550"/>
      <c r="AB402" s="550"/>
      <c r="AC402" s="550"/>
    </row>
    <row r="403" spans="1:68" ht="14.25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25</v>
      </c>
      <c r="Y414" s="548">
        <f>IFERROR(IF(X414="",0,CEILING((X414/$H414),1)*$H414),"")</f>
        <v>27</v>
      </c>
      <c r="Z414" s="36">
        <f>IFERROR(IF(Y414=0,"",ROUNDUP(Y414/H414,0)*0.00902),"")</f>
        <v>4.5100000000000001E-2</v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25.879629629629626</v>
      </c>
      <c r="BN414" s="64">
        <f>IFERROR(Y414*I414/H414,"0")</f>
        <v>27.95</v>
      </c>
      <c r="BO414" s="64">
        <f>IFERROR(1/J414*(X414/H414),"0")</f>
        <v>3.5072951739618406E-2</v>
      </c>
      <c r="BP414" s="64">
        <f>IFERROR(1/J414*(Y414/H414),"0")</f>
        <v>3.787878787878788E-2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4.6296296296296298</v>
      </c>
      <c r="Y418" s="549">
        <f>IFERROR(Y414/H414,"0")+IFERROR(Y415/H415,"0")+IFERROR(Y416/H416,"0")+IFERROR(Y417/H417,"0")</f>
        <v>5</v>
      </c>
      <c r="Z418" s="549">
        <f>IFERROR(IF(Z414="",0,Z414),"0")+IFERROR(IF(Z415="",0,Z415),"0")+IFERROR(IF(Z416="",0,Z416),"0")+IFERROR(IF(Z417="",0,Z417),"0")</f>
        <v>4.5100000000000001E-2</v>
      </c>
      <c r="AA418" s="550"/>
      <c r="AB418" s="550"/>
      <c r="AC418" s="550"/>
    </row>
    <row r="419" spans="1:68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25</v>
      </c>
      <c r="Y419" s="549">
        <f>IFERROR(SUM(Y414:Y417),"0")</f>
        <v>27</v>
      </c>
      <c r="Z419" s="37"/>
      <c r="AA419" s="550"/>
      <c r="AB419" s="550"/>
      <c r="AC419" s="550"/>
    </row>
    <row r="420" spans="1:68" ht="16.5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120</v>
      </c>
      <c r="Y430" s="548">
        <f t="shared" si="47"/>
        <v>121.44000000000001</v>
      </c>
      <c r="Z430" s="36">
        <f t="shared" si="48"/>
        <v>0.27507999999999999</v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127.95454545454545</v>
      </c>
      <c r="BN430" s="64">
        <f t="shared" si="50"/>
        <v>129.49</v>
      </c>
      <c r="BO430" s="64">
        <f t="shared" si="51"/>
        <v>0.21853146853146854</v>
      </c>
      <c r="BP430" s="64">
        <f t="shared" si="52"/>
        <v>0.22115384615384617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9.6</v>
      </c>
      <c r="Y436" s="548">
        <f t="shared" si="47"/>
        <v>9.6</v>
      </c>
      <c r="Z436" s="36">
        <f>IFERROR(IF(Y436=0,"",ROUNDUP(Y436/H436,0)*0.00902),"")</f>
        <v>1.804E-2</v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13.82</v>
      </c>
      <c r="BN436" s="64">
        <f t="shared" si="50"/>
        <v>13.82</v>
      </c>
      <c r="BO436" s="64">
        <f t="shared" si="51"/>
        <v>1.5151515151515152E-2</v>
      </c>
      <c r="BP436" s="64">
        <f t="shared" si="52"/>
        <v>1.5151515151515152E-2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1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36</v>
      </c>
      <c r="Y438" s="548">
        <f t="shared" si="47"/>
        <v>36</v>
      </c>
      <c r="Z438" s="36">
        <f>IFERROR(IF(Y438=0,"",ROUNDUP(Y438/H438,0)*0.00651),"")</f>
        <v>9.7650000000000001E-2</v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38.700000000000003</v>
      </c>
      <c r="BN438" s="64">
        <f t="shared" si="50"/>
        <v>38.700000000000003</v>
      </c>
      <c r="BO438" s="64">
        <f t="shared" si="51"/>
        <v>8.241758241758243E-2</v>
      </c>
      <c r="BP438" s="64">
        <f t="shared" si="52"/>
        <v>8.241758241758243E-2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39.727272727272727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40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0.39077000000000001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165.6</v>
      </c>
      <c r="Y441" s="549">
        <f>IFERROR(SUM(Y428:Y439),"0")</f>
        <v>167.04000000000002</v>
      </c>
      <c r="Z441" s="37"/>
      <c r="AA441" s="550"/>
      <c r="AB441" s="550"/>
      <c r="AC441" s="550"/>
    </row>
    <row r="442" spans="1:68" ht="14.25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260</v>
      </c>
      <c r="Y443" s="548">
        <f>IFERROR(IF(X443="",0,CEILING((X443/$H443),1)*$H443),"")</f>
        <v>264</v>
      </c>
      <c r="Z443" s="36">
        <f>IFERROR(IF(Y443=0,"",ROUNDUP(Y443/H443,0)*0.01196),"")</f>
        <v>0.59799999999999998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277.23484848484844</v>
      </c>
      <c r="BN443" s="64">
        <f>IFERROR(Y443*I443/H443,"0")</f>
        <v>281.5</v>
      </c>
      <c r="BO443" s="64">
        <f>IFERROR(1/J443*(X443/H443),"0")</f>
        <v>0.47348484848484851</v>
      </c>
      <c r="BP443" s="64">
        <f>IFERROR(1/J443*(Y443/H443),"0")</f>
        <v>0.48076923076923078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49.242424242424242</v>
      </c>
      <c r="Y446" s="549">
        <f>IFERROR(Y443/H443,"0")+IFERROR(Y444/H444,"0")+IFERROR(Y445/H445,"0")</f>
        <v>50</v>
      </c>
      <c r="Z446" s="549">
        <f>IFERROR(IF(Z443="",0,Z443),"0")+IFERROR(IF(Z444="",0,Z444),"0")+IFERROR(IF(Z445="",0,Z445),"0")</f>
        <v>0.59799999999999998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260</v>
      </c>
      <c r="Y447" s="549">
        <f>IFERROR(SUM(Y443:Y445),"0")</f>
        <v>264</v>
      </c>
      <c r="Z447" s="37"/>
      <c r="AA447" s="550"/>
      <c r="AB447" s="550"/>
      <c r="AC447" s="550"/>
    </row>
    <row r="448" spans="1:68" ht="14.25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20</v>
      </c>
      <c r="Y449" s="548">
        <f t="shared" ref="Y449:Y454" si="53">IFERROR(IF(X449="",0,CEILING((X449/$H449),1)*$H449),"")</f>
        <v>21.12</v>
      </c>
      <c r="Z449" s="36">
        <f>IFERROR(IF(Y449=0,"",ROUNDUP(Y449/H449,0)*0.01196),"")</f>
        <v>4.7840000000000001E-2</v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21.325757575757574</v>
      </c>
      <c r="BN449" s="64">
        <f t="shared" ref="BN449:BN454" si="55">IFERROR(Y449*I449/H449,"0")</f>
        <v>22.52</v>
      </c>
      <c r="BO449" s="64">
        <f t="shared" ref="BO449:BO454" si="56">IFERROR(1/J449*(X449/H449),"0")</f>
        <v>3.6421911421911424E-2</v>
      </c>
      <c r="BP449" s="64">
        <f t="shared" ref="BP449:BP454" si="57">IFERROR(1/J449*(Y449/H449),"0")</f>
        <v>3.8461538461538464E-2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90</v>
      </c>
      <c r="Y451" s="548">
        <f t="shared" si="53"/>
        <v>95.04</v>
      </c>
      <c r="Z451" s="36">
        <f>IFERROR(IF(Y451=0,"",ROUNDUP(Y451/H451,0)*0.01196),"")</f>
        <v>0.21528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95.965909090909079</v>
      </c>
      <c r="BN451" s="64">
        <f t="shared" si="55"/>
        <v>101.33999999999999</v>
      </c>
      <c r="BO451" s="64">
        <f t="shared" si="56"/>
        <v>0.16389860139860138</v>
      </c>
      <c r="BP451" s="64">
        <f t="shared" si="57"/>
        <v>0.17307692307692307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4.8</v>
      </c>
      <c r="Y452" s="548">
        <f t="shared" si="53"/>
        <v>4.8</v>
      </c>
      <c r="Z452" s="36">
        <f>IFERROR(IF(Y452=0,"",ROUNDUP(Y452/H452,0)*0.00902),"")</f>
        <v>9.0200000000000002E-3</v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6.91</v>
      </c>
      <c r="BN452" s="64">
        <f t="shared" si="55"/>
        <v>6.91</v>
      </c>
      <c r="BO452" s="64">
        <f t="shared" si="56"/>
        <v>7.575757575757576E-3</v>
      </c>
      <c r="BP452" s="64">
        <f t="shared" si="57"/>
        <v>7.575757575757576E-3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4.8</v>
      </c>
      <c r="Y454" s="548">
        <f t="shared" si="53"/>
        <v>4.8</v>
      </c>
      <c r="Z454" s="36">
        <f>IFERROR(IF(Y454=0,"",ROUNDUP(Y454/H454,0)*0.00902),"")</f>
        <v>9.0200000000000002E-3</v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6.67</v>
      </c>
      <c r="BN454" s="64">
        <f t="shared" si="55"/>
        <v>6.67</v>
      </c>
      <c r="BO454" s="64">
        <f t="shared" si="56"/>
        <v>7.575757575757576E-3</v>
      </c>
      <c r="BP454" s="64">
        <f t="shared" si="57"/>
        <v>7.575757575757576E-3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22.833333333333332</v>
      </c>
      <c r="Y455" s="549">
        <f>IFERROR(Y449/H449,"0")+IFERROR(Y450/H450,"0")+IFERROR(Y451/H451,"0")+IFERROR(Y452/H452,"0")+IFERROR(Y453/H453,"0")+IFERROR(Y454/H454,"0")</f>
        <v>24</v>
      </c>
      <c r="Z455" s="549">
        <f>IFERROR(IF(Z449="",0,Z449),"0")+IFERROR(IF(Z450="",0,Z450),"0")+IFERROR(IF(Z451="",0,Z451),"0")+IFERROR(IF(Z452="",0,Z452),"0")+IFERROR(IF(Z453="",0,Z453),"0")+IFERROR(IF(Z454="",0,Z454),"0")</f>
        <v>0.28116000000000008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119.6</v>
      </c>
      <c r="Y456" s="549">
        <f>IFERROR(SUM(Y449:Y454),"0")</f>
        <v>125.76</v>
      </c>
      <c r="Z456" s="37"/>
      <c r="AA456" s="550"/>
      <c r="AB456" s="550"/>
      <c r="AC456" s="550"/>
    </row>
    <row r="457" spans="1:68" ht="27.75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120</v>
      </c>
      <c r="Y462" s="548">
        <f>IFERROR(IF(X462="",0,CEILING((X462/$H462),1)*$H462),"")</f>
        <v>120</v>
      </c>
      <c r="Z462" s="36">
        <f>IFERROR(IF(Y462=0,"",ROUNDUP(Y462/H462,0)*0.01898),"")</f>
        <v>0.1898</v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124.10000000000001</v>
      </c>
      <c r="BN462" s="64">
        <f>IFERROR(Y462*I462/H462,"0")</f>
        <v>124.10000000000001</v>
      </c>
      <c r="BO462" s="64">
        <f>IFERROR(1/J462*(X462/H462),"0")</f>
        <v>0.15625</v>
      </c>
      <c r="BP462" s="64">
        <f>IFERROR(1/J462*(Y462/H462),"0")</f>
        <v>0.15625</v>
      </c>
    </row>
    <row r="463" spans="1:68" ht="27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0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10</v>
      </c>
      <c r="Y464" s="549">
        <f>IFERROR(Y460/H460,"0")+IFERROR(Y461/H461,"0")+IFERROR(Y462/H462,"0")+IFERROR(Y463/H463,"0")</f>
        <v>10</v>
      </c>
      <c r="Z464" s="549">
        <f>IFERROR(IF(Z460="",0,Z460),"0")+IFERROR(IF(Z461="",0,Z461),"0")+IFERROR(IF(Z462="",0,Z462),"0")+IFERROR(IF(Z463="",0,Z463),"0")</f>
        <v>0.1898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120</v>
      </c>
      <c r="Y465" s="549">
        <f>IFERROR(SUM(Y460:Y463),"0")</f>
        <v>120</v>
      </c>
      <c r="Z465" s="37"/>
      <c r="AA465" s="550"/>
      <c r="AB465" s="550"/>
      <c r="AC465" s="550"/>
    </row>
    <row r="466" spans="1:68" ht="14.25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6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80</v>
      </c>
      <c r="Y472" s="548">
        <f>IFERROR(IF(X472="",0,CEILING((X472/$H472),1)*$H472),"")</f>
        <v>81.599999999999994</v>
      </c>
      <c r="Z472" s="36">
        <f>IFERROR(IF(Y472=0,"",ROUNDUP(Y472/H472,0)*0.00902),"")</f>
        <v>0.15334</v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84.166666666666671</v>
      </c>
      <c r="BN472" s="64">
        <f>IFERROR(Y472*I472/H472,"0")</f>
        <v>85.85</v>
      </c>
      <c r="BO472" s="64">
        <f>IFERROR(1/J472*(X472/H472),"0")</f>
        <v>0.12626262626262627</v>
      </c>
      <c r="BP472" s="64">
        <f>IFERROR(1/J472*(Y472/H472),"0")</f>
        <v>0.12878787878787878</v>
      </c>
    </row>
    <row r="473" spans="1:68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16.666666666666668</v>
      </c>
      <c r="Y473" s="549">
        <f>IFERROR(Y472/H472,"0")</f>
        <v>17</v>
      </c>
      <c r="Z473" s="549">
        <f>IFERROR(IF(Z472="",0,Z472),"0")</f>
        <v>0.15334</v>
      </c>
      <c r="AA473" s="550"/>
      <c r="AB473" s="550"/>
      <c r="AC473" s="550"/>
    </row>
    <row r="474" spans="1:68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80</v>
      </c>
      <c r="Y474" s="549">
        <f>IFERROR(SUM(Y472:Y472),"0")</f>
        <v>81.599999999999994</v>
      </c>
      <c r="Z474" s="37"/>
      <c r="AA474" s="550"/>
      <c r="AB474" s="550"/>
      <c r="AC474" s="550"/>
    </row>
    <row r="475" spans="1:68" ht="14.25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59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15"/>
      <c r="P489" s="645" t="s">
        <v>744</v>
      </c>
      <c r="Q489" s="646"/>
      <c r="R489" s="646"/>
      <c r="S489" s="646"/>
      <c r="T489" s="646"/>
      <c r="U489" s="646"/>
      <c r="V489" s="647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13212.030000000002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13332.490000000002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15"/>
      <c r="P490" s="645" t="s">
        <v>745</v>
      </c>
      <c r="Q490" s="646"/>
      <c r="R490" s="646"/>
      <c r="S490" s="646"/>
      <c r="T490" s="646"/>
      <c r="U490" s="646"/>
      <c r="V490" s="647"/>
      <c r="W490" s="37" t="s">
        <v>69</v>
      </c>
      <c r="X490" s="549">
        <f>IFERROR(SUM(BM22:BM486),"0")</f>
        <v>13919.314390554866</v>
      </c>
      <c r="Y490" s="549">
        <f>IFERROR(SUM(BN22:BN486),"0")</f>
        <v>14045.445000000007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15"/>
      <c r="P491" s="645" t="s">
        <v>746</v>
      </c>
      <c r="Q491" s="646"/>
      <c r="R491" s="646"/>
      <c r="S491" s="646"/>
      <c r="T491" s="646"/>
      <c r="U491" s="646"/>
      <c r="V491" s="647"/>
      <c r="W491" s="37" t="s">
        <v>747</v>
      </c>
      <c r="X491" s="38">
        <f>ROUNDUP(SUM(BO22:BO486),0)</f>
        <v>24</v>
      </c>
      <c r="Y491" s="38">
        <f>ROUNDUP(SUM(BP22:BP486),0)</f>
        <v>24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5"/>
      <c r="P492" s="645" t="s">
        <v>748</v>
      </c>
      <c r="Q492" s="646"/>
      <c r="R492" s="646"/>
      <c r="S492" s="646"/>
      <c r="T492" s="646"/>
      <c r="U492" s="646"/>
      <c r="V492" s="647"/>
      <c r="W492" s="37" t="s">
        <v>69</v>
      </c>
      <c r="X492" s="549">
        <f>GrossWeightTotal+PalletQtyTotal*25</f>
        <v>14519.314390554866</v>
      </c>
      <c r="Y492" s="549">
        <f>GrossWeightTotalR+PalletQtyTotalR*25</f>
        <v>14645.445000000007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5"/>
      <c r="P493" s="645" t="s">
        <v>749</v>
      </c>
      <c r="Q493" s="646"/>
      <c r="R493" s="646"/>
      <c r="S493" s="646"/>
      <c r="T493" s="646"/>
      <c r="U493" s="646"/>
      <c r="V493" s="647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2287.3383964962909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2304</v>
      </c>
      <c r="Z493" s="37"/>
      <c r="AA493" s="550"/>
      <c r="AB493" s="550"/>
      <c r="AC493" s="550"/>
    </row>
    <row r="494" spans="1:68" ht="14.25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5"/>
      <c r="P494" s="645" t="s">
        <v>750</v>
      </c>
      <c r="Q494" s="646"/>
      <c r="R494" s="646"/>
      <c r="S494" s="646"/>
      <c r="T494" s="646"/>
      <c r="U494" s="646"/>
      <c r="V494" s="647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27.370500000000003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603" t="s">
        <v>99</v>
      </c>
      <c r="D496" s="669"/>
      <c r="E496" s="669"/>
      <c r="F496" s="669"/>
      <c r="G496" s="669"/>
      <c r="H496" s="639"/>
      <c r="I496" s="603" t="s">
        <v>263</v>
      </c>
      <c r="J496" s="669"/>
      <c r="K496" s="669"/>
      <c r="L496" s="669"/>
      <c r="M496" s="669"/>
      <c r="N496" s="669"/>
      <c r="O496" s="669"/>
      <c r="P496" s="669"/>
      <c r="Q496" s="669"/>
      <c r="R496" s="639"/>
      <c r="S496" s="603" t="s">
        <v>553</v>
      </c>
      <c r="T496" s="639"/>
      <c r="U496" s="603" t="s">
        <v>607</v>
      </c>
      <c r="V496" s="669"/>
      <c r="W496" s="639"/>
      <c r="X496" s="544" t="s">
        <v>658</v>
      </c>
      <c r="Y496" s="603" t="s">
        <v>710</v>
      </c>
      <c r="Z496" s="639"/>
      <c r="AB496" s="52"/>
      <c r="AC496" s="52"/>
      <c r="AF496" s="545"/>
    </row>
    <row r="497" spans="1:32" ht="14.25" customHeight="1" thickTop="1" x14ac:dyDescent="0.2">
      <c r="A497" s="845" t="s">
        <v>753</v>
      </c>
      <c r="B497" s="603" t="s">
        <v>63</v>
      </c>
      <c r="C497" s="603" t="s">
        <v>100</v>
      </c>
      <c r="D497" s="603" t="s">
        <v>117</v>
      </c>
      <c r="E497" s="603" t="s">
        <v>168</v>
      </c>
      <c r="F497" s="603" t="s">
        <v>190</v>
      </c>
      <c r="G497" s="603" t="s">
        <v>227</v>
      </c>
      <c r="H497" s="603" t="s">
        <v>99</v>
      </c>
      <c r="I497" s="603" t="s">
        <v>264</v>
      </c>
      <c r="J497" s="603" t="s">
        <v>319</v>
      </c>
      <c r="K497" s="603" t="s">
        <v>379</v>
      </c>
      <c r="L497" s="603" t="s">
        <v>420</v>
      </c>
      <c r="M497" s="603" t="s">
        <v>436</v>
      </c>
      <c r="N497" s="545"/>
      <c r="O497" s="603" t="s">
        <v>447</v>
      </c>
      <c r="P497" s="603" t="s">
        <v>456</v>
      </c>
      <c r="Q497" s="603" t="s">
        <v>469</v>
      </c>
      <c r="R497" s="603" t="s">
        <v>543</v>
      </c>
      <c r="S497" s="603" t="s">
        <v>554</v>
      </c>
      <c r="T497" s="603" t="s">
        <v>589</v>
      </c>
      <c r="U497" s="603" t="s">
        <v>608</v>
      </c>
      <c r="V497" s="603" t="s">
        <v>639</v>
      </c>
      <c r="W497" s="603" t="s">
        <v>654</v>
      </c>
      <c r="X497" s="603" t="s">
        <v>658</v>
      </c>
      <c r="Y497" s="603" t="s">
        <v>710</v>
      </c>
      <c r="Z497" s="603" t="s">
        <v>740</v>
      </c>
      <c r="AB497" s="52"/>
      <c r="AC497" s="52"/>
      <c r="AF497" s="545"/>
    </row>
    <row r="498" spans="1:32" ht="13.5" customHeight="1" thickBot="1" x14ac:dyDescent="0.25">
      <c r="A498" s="846"/>
      <c r="B498" s="604"/>
      <c r="C498" s="604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545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  <c r="Y498" s="604"/>
      <c r="Z498" s="604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377.2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870.30000000000007</v>
      </c>
      <c r="E499" s="46">
        <f>IFERROR(Y84*1,"0")+IFERROR(Y85*1,"0")+IFERROR(Y86*1,"0")+IFERROR(Y87*1,"0")+IFERROR(Y91*1,"0")+IFERROR(Y92*1,"0")+IFERROR(Y93*1,"0")+IFERROR(Y94*1,"0")</f>
        <v>558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541.79999999999995</v>
      </c>
      <c r="G499" s="46">
        <f>IFERROR(Y126*1,"0")+IFERROR(Y127*1,"0")+IFERROR(Y131*1,"0")+IFERROR(Y132*1,"0")+IFERROR(Y136*1,"0")+IFERROR(Y137*1,"0")</f>
        <v>164.4</v>
      </c>
      <c r="H499" s="46">
        <f>IFERROR(Y142*1,"0")+IFERROR(Y143*1,"0")+IFERROR(Y147*1,"0")+IFERROR(Y148*1,"0")+IFERROR(Y149*1,"0")+IFERROR(Y150*1,"0")+IFERROR(Y151*1,"0")+IFERROR(Y155*1,"0")</f>
        <v>196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323.40000000000003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604.20000000000005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12.780000000000001</v>
      </c>
      <c r="L499" s="46">
        <f>IFERROR(Y261*1,"0")+IFERROR(Y262*1,"0")+IFERROR(Y263*1,"0")+IFERROR(Y264*1,"0")+IFERROR(Y265*1,"0")</f>
        <v>75.600000000000009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96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4267.8100000000004</v>
      </c>
      <c r="R499" s="46">
        <f>IFERROR(Y341*1,"0")+IFERROR(Y342*1,"0")+IFERROR(Y343*1,"0")</f>
        <v>318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3547</v>
      </c>
      <c r="T499" s="46">
        <f>IFERROR(Y374*1,"0")+IFERROR(Y375*1,"0")+IFERROR(Y379*1,"0")+IFERROR(Y380*1,"0")+IFERROR(Y384*1,"0")+IFERROR(Y385*1,"0")+IFERROR(Y386*1,"0")</f>
        <v>498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96.6</v>
      </c>
      <c r="V499" s="46">
        <f>IFERROR(Y410*1,"0")+IFERROR(Y414*1,"0")+IFERROR(Y415*1,"0")+IFERROR(Y416*1,"0")+IFERROR(Y417*1,"0")</f>
        <v>27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556.79999999999995</v>
      </c>
      <c r="Y499" s="46">
        <f>IFERROR(Y460*1,"0")+IFERROR(Y461*1,"0")+IFERROR(Y462*1,"0")+IFERROR(Y463*1,"0")+IFERROR(Y467*1,"0")+IFERROR(Y468*1,"0")+IFERROR(Y472*1,"0")+IFERROR(Y476*1,"0")+IFERROR(Y480*1,"0")+IFERROR(Y481*1,"0")</f>
        <v>201.6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P138:V138"/>
    <mergeCell ref="P151:T151"/>
    <mergeCell ref="P76:V76"/>
    <mergeCell ref="D395:E395"/>
    <mergeCell ref="P449:T449"/>
    <mergeCell ref="A426:Z426"/>
    <mergeCell ref="A10:C10"/>
    <mergeCell ref="P126:T126"/>
    <mergeCell ref="P361:V361"/>
    <mergeCell ref="A413:Z413"/>
    <mergeCell ref="D17:E18"/>
    <mergeCell ref="X17:X18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P469:V469"/>
    <mergeCell ref="A294:Z294"/>
    <mergeCell ref="D221:E221"/>
    <mergeCell ref="A370:O371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A344:O345"/>
    <mergeCell ref="D310:E310"/>
    <mergeCell ref="P364:T364"/>
    <mergeCell ref="A245:O246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P241:V241"/>
    <mergeCell ref="P62:T62"/>
    <mergeCell ref="D203:E203"/>
    <mergeCell ref="P232:T232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D87:E87"/>
    <mergeCell ref="D445:E445"/>
    <mergeCell ref="D301:E301"/>
    <mergeCell ref="A423:O424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D53:E53"/>
    <mergeCell ref="D351:E351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D486:E486"/>
    <mergeCell ref="P86:T86"/>
    <mergeCell ref="A287:O288"/>
    <mergeCell ref="P328:T328"/>
    <mergeCell ref="P384:T384"/>
    <mergeCell ref="A281:O282"/>
    <mergeCell ref="A378:Z378"/>
    <mergeCell ref="D205:E205"/>
    <mergeCell ref="D78:E78"/>
    <mergeCell ref="P172:T172"/>
    <mergeCell ref="P432:T432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A124:Z124"/>
    <mergeCell ref="D431:E431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2026-01-27T10:26:10Z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