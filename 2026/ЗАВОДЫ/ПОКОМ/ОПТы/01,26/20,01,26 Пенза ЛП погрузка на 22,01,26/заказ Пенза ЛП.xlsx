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584E09B-3A11-4DB6-902C-60DEA4652A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4" i="1" l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Y469" i="1" s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Y180" i="1" s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4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94" i="1" s="1"/>
  <c r="X24" i="1"/>
  <c r="BP23" i="1"/>
  <c r="BO23" i="1"/>
  <c r="BN23" i="1"/>
  <c r="BM23" i="1"/>
  <c r="Z23" i="1"/>
  <c r="Y23" i="1"/>
  <c r="P23" i="1"/>
  <c r="BO22" i="1"/>
  <c r="X496" i="1" s="1"/>
  <c r="BM22" i="1"/>
  <c r="X495" i="1" s="1"/>
  <c r="X497" i="1" s="1"/>
  <c r="Y22" i="1"/>
  <c r="B504" i="1" s="1"/>
  <c r="P22" i="1"/>
  <c r="H10" i="1"/>
  <c r="A9" i="1"/>
  <c r="F10" i="1" s="1"/>
  <c r="D7" i="1"/>
  <c r="Q6" i="1"/>
  <c r="P2" i="1"/>
  <c r="Z80" i="1" l="1"/>
  <c r="H9" i="1"/>
  <c r="A10" i="1"/>
  <c r="Y24" i="1"/>
  <c r="Y32" i="1"/>
  <c r="Y36" i="1"/>
  <c r="Y44" i="1"/>
  <c r="Y48" i="1"/>
  <c r="D504" i="1"/>
  <c r="Y58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504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Y319" i="1"/>
  <c r="Z325" i="1"/>
  <c r="BP323" i="1"/>
  <c r="BN323" i="1"/>
  <c r="Z323" i="1"/>
  <c r="Y325" i="1"/>
  <c r="H504" i="1"/>
  <c r="F9" i="1"/>
  <c r="J9" i="1"/>
  <c r="Z22" i="1"/>
  <c r="Z24" i="1" s="1"/>
  <c r="BN22" i="1"/>
  <c r="BP22" i="1"/>
  <c r="X498" i="1"/>
  <c r="Y25" i="1"/>
  <c r="Z28" i="1"/>
  <c r="Z31" i="1" s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Z180" i="1" s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Y196" i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Z267" i="1" s="1"/>
  <c r="Y267" i="1"/>
  <c r="BP272" i="1"/>
  <c r="BN272" i="1"/>
  <c r="Z272" i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Z402" i="1" s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Z441" i="1" s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Z212" i="1" s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Z242" i="1" s="1"/>
  <c r="BP240" i="1"/>
  <c r="BN240" i="1"/>
  <c r="Z240" i="1"/>
  <c r="Y259" i="1"/>
  <c r="BP256" i="1"/>
  <c r="BN256" i="1"/>
  <c r="Z256" i="1"/>
  <c r="Z258" i="1" s="1"/>
  <c r="L504" i="1"/>
  <c r="BP265" i="1"/>
  <c r="BN265" i="1"/>
  <c r="Z265" i="1"/>
  <c r="BP274" i="1"/>
  <c r="BN274" i="1"/>
  <c r="Z274" i="1"/>
  <c r="Z275" i="1" s="1"/>
  <c r="O504" i="1"/>
  <c r="Y282" i="1"/>
  <c r="BP279" i="1"/>
  <c r="BN279" i="1"/>
  <c r="Z279" i="1"/>
  <c r="Z282" i="1" s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Z345" i="1" s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K504" i="1"/>
  <c r="Y243" i="1"/>
  <c r="Y268" i="1"/>
  <c r="M504" i="1"/>
  <c r="Y275" i="1"/>
  <c r="S504" i="1"/>
  <c r="BP353" i="1"/>
  <c r="BN353" i="1"/>
  <c r="Z353" i="1"/>
  <c r="Z357" i="1" s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Z469" i="1" s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224" i="1" l="1"/>
  <c r="Y495" i="1"/>
  <c r="Z319" i="1"/>
  <c r="Y498" i="1"/>
  <c r="Z303" i="1"/>
  <c r="Z456" i="1"/>
  <c r="Z419" i="1"/>
  <c r="Z338" i="1"/>
  <c r="Z104" i="1"/>
  <c r="Z43" i="1"/>
  <c r="Z499" i="1" s="1"/>
  <c r="Y494" i="1"/>
  <c r="Y496" i="1"/>
  <c r="Z153" i="1"/>
  <c r="Z88" i="1"/>
  <c r="Z75" i="1"/>
  <c r="Y497" i="1" l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<sst xmlns="http://schemas.openxmlformats.org/spreadsheetml/2006/main" count="2363" uniqueCount="776">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</sst>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77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70</v>
      </c>
      <c r="Y40" s="552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72.657407407407405</v>
      </c>
      <c r="BN40" s="64">
        <f>IFERROR(Y40*I40/H40,"0")</f>
        <v>78.47</v>
      </c>
      <c r="BO40" s="64">
        <f>IFERROR(1/J40*(X40/H40),"0")</f>
        <v>0.10127314814814814</v>
      </c>
      <c r="BP40" s="64">
        <f>IFERROR(1/J40*(Y40/H40),"0")</f>
        <v>0.109375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6.481481481481481</v>
      </c>
      <c r="Y43" s="553">
        <f>IFERROR(Y40/H40,"0")+IFERROR(Y41/H41,"0")+IFERROR(Y42/H42,"0")</f>
        <v>7</v>
      </c>
      <c r="Z43" s="553">
        <f>IFERROR(IF(Z40="",0,Z40),"0")+IFERROR(IF(Z41="",0,Z41),"0")+IFERROR(IF(Z42="",0,Z42),"0")</f>
        <v>0.13286000000000001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70</v>
      </c>
      <c r="Y44" s="553">
        <f>IFERROR(SUM(Y40:Y42),"0")</f>
        <v>75.600000000000009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90</v>
      </c>
      <c r="Y52" s="552">
        <f t="shared" si="0"/>
        <v>97.2</v>
      </c>
      <c r="Z52" s="36">
        <f>IFERROR(IF(Y52=0,"",ROUNDUP(Y52/H52,0)*0.01898),"")</f>
        <v>0.17082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93.416666666666671</v>
      </c>
      <c r="BN52" s="64">
        <f t="shared" si="2"/>
        <v>100.89</v>
      </c>
      <c r="BO52" s="64">
        <f t="shared" si="3"/>
        <v>0.13020833333333331</v>
      </c>
      <c r="BP52" s="64">
        <f t="shared" si="4"/>
        <v>0.140625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8.3333333333333321</v>
      </c>
      <c r="Y57" s="553">
        <f>IFERROR(Y51/H51,"0")+IFERROR(Y52/H52,"0")+IFERROR(Y53/H53,"0")+IFERROR(Y54/H54,"0")+IFERROR(Y55/H55,"0")+IFERROR(Y56/H56,"0")</f>
        <v>9</v>
      </c>
      <c r="Z57" s="553">
        <f>IFERROR(IF(Z51="",0,Z51),"0")+IFERROR(IF(Z52="",0,Z52),"0")+IFERROR(IF(Z53="",0,Z53),"0")+IFERROR(IF(Z54="",0,Z54),"0")+IFERROR(IF(Z55="",0,Z55),"0")+IFERROR(IF(Z56="",0,Z56),"0")</f>
        <v>0.17082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90</v>
      </c>
      <c r="Y58" s="553">
        <f>IFERROR(SUM(Y51:Y56),"0")</f>
        <v>97.2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60</v>
      </c>
      <c r="Y60" s="552">
        <f>IFERROR(IF(X60="",0,CEILING((X60/$H60),1)*$H60),"")</f>
        <v>64.800000000000011</v>
      </c>
      <c r="Z60" s="36">
        <f>IFERROR(IF(Y60=0,"",ROUNDUP(Y60/H60,0)*0.01898),"")</f>
        <v>0.11388000000000001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62.277777777777779</v>
      </c>
      <c r="BN60" s="64">
        <f>IFERROR(Y60*I60/H60,"0")</f>
        <v>67.260000000000005</v>
      </c>
      <c r="BO60" s="64">
        <f>IFERROR(1/J60*(X60/H60),"0")</f>
        <v>8.6805555555555552E-2</v>
      </c>
      <c r="BP60" s="64">
        <f>IFERROR(1/J60*(Y60/H60),"0")</f>
        <v>9.3750000000000014E-2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5.5555555555555554</v>
      </c>
      <c r="Y63" s="553">
        <f>IFERROR(Y60/H60,"0")+IFERROR(Y61/H61,"0")+IFERROR(Y62/H62,"0")</f>
        <v>6.0000000000000009</v>
      </c>
      <c r="Z63" s="553">
        <f>IFERROR(IF(Z60="",0,Z60),"0")+IFERROR(IF(Z61="",0,Z61),"0")+IFERROR(IF(Z62="",0,Z62),"0")</f>
        <v>0.11388000000000001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60</v>
      </c>
      <c r="Y64" s="553">
        <f>IFERROR(SUM(Y60:Y62),"0")</f>
        <v>64.800000000000011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40</v>
      </c>
      <c r="Y78" s="552">
        <f>IFERROR(IF(X78="",0,CEILING((X78/$H78),1)*$H78),"")</f>
        <v>46.8</v>
      </c>
      <c r="Z78" s="36">
        <f>IFERROR(IF(Y78=0,"",ROUNDUP(Y78/H78,0)*0.01898),"")</f>
        <v>0.11388000000000001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42.102564102564109</v>
      </c>
      <c r="BN78" s="64">
        <f>IFERROR(Y78*I78/H78,"0")</f>
        <v>49.260000000000005</v>
      </c>
      <c r="BO78" s="64">
        <f>IFERROR(1/J78*(X78/H78),"0")</f>
        <v>8.0128205128205135E-2</v>
      </c>
      <c r="BP78" s="64">
        <f>IFERROR(1/J78*(Y78/H78),"0")</f>
        <v>9.375E-2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5.1282051282051286</v>
      </c>
      <c r="Y80" s="553">
        <f>IFERROR(Y78/H78,"0")+IFERROR(Y79/H79,"0")</f>
        <v>6</v>
      </c>
      <c r="Z80" s="553">
        <f>IFERROR(IF(Z78="",0,Z78),"0")+IFERROR(IF(Z79="",0,Z79),"0")</f>
        <v>0.11388000000000001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40</v>
      </c>
      <c r="Y81" s="553">
        <f>IFERROR(SUM(Y78:Y79),"0")</f>
        <v>46.8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190</v>
      </c>
      <c r="Y84" s="552">
        <f>IFERROR(IF(X84="",0,CEILING((X84/$H84),1)*$H84),"")</f>
        <v>194.4</v>
      </c>
      <c r="Z84" s="36">
        <f>IFERROR(IF(Y84=0,"",ROUNDUP(Y84/H84,0)*0.01898),"")</f>
        <v>0.34164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197.21296296296296</v>
      </c>
      <c r="BN84" s="64">
        <f>IFERROR(Y84*I84/H84,"0")</f>
        <v>201.78</v>
      </c>
      <c r="BO84" s="64">
        <f>IFERROR(1/J84*(X84/H84),"0")</f>
        <v>0.27488425925925924</v>
      </c>
      <c r="BP84" s="64">
        <f>IFERROR(1/J84*(Y84/H84),"0")</f>
        <v>0.28125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17.592592592592592</v>
      </c>
      <c r="Y88" s="553">
        <f>IFERROR(Y84/H84,"0")+IFERROR(Y85/H85,"0")+IFERROR(Y86/H86,"0")+IFERROR(Y87/H87,"0")</f>
        <v>18</v>
      </c>
      <c r="Z88" s="553">
        <f>IFERROR(IF(Z84="",0,Z84),"0")+IFERROR(IF(Z85="",0,Z85),"0")+IFERROR(IF(Z86="",0,Z86),"0")+IFERROR(IF(Z87="",0,Z87),"0")</f>
        <v>0.34164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190</v>
      </c>
      <c r="Y89" s="553">
        <f>IFERROR(SUM(Y84:Y87),"0")</f>
        <v>194.4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400</v>
      </c>
      <c r="Y91" s="55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49.382716049382715</v>
      </c>
      <c r="Y95" s="553">
        <f>IFERROR(Y91/H91,"0")+IFERROR(Y92/H92,"0")+IFERROR(Y93/H93,"0")+IFERROR(Y94/H94,"0")</f>
        <v>50</v>
      </c>
      <c r="Z95" s="553">
        <f>IFERROR(IF(Z91="",0,Z91),"0")+IFERROR(IF(Z92="",0,Z92),"0")+IFERROR(IF(Z93="",0,Z93),"0")+IFERROR(IF(Z94="",0,Z94),"0")</f>
        <v>0.94900000000000007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400</v>
      </c>
      <c r="Y96" s="553">
        <f>IFERROR(SUM(Y91:Y94),"0")</f>
        <v>405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190</v>
      </c>
      <c r="Y99" s="552">
        <f>IFERROR(IF(X99="",0,CEILING((X99/$H99),1)*$H99),"")</f>
        <v>194.4</v>
      </c>
      <c r="Z99" s="36">
        <f>IFERROR(IF(Y99=0,"",ROUNDUP(Y99/H99,0)*0.01898),"")</f>
        <v>0.34164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197.21296296296296</v>
      </c>
      <c r="BN99" s="64">
        <f>IFERROR(Y99*I99/H99,"0")</f>
        <v>201.78</v>
      </c>
      <c r="BO99" s="64">
        <f>IFERROR(1/J99*(X99/H99),"0")</f>
        <v>0.27488425925925924</v>
      </c>
      <c r="BP99" s="64">
        <f>IFERROR(1/J99*(Y99/H99),"0")</f>
        <v>0.28125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17.592592592592592</v>
      </c>
      <c r="Y104" s="553">
        <f>IFERROR(Y99/H99,"0")+IFERROR(Y100/H100,"0")+IFERROR(Y101/H101,"0")+IFERROR(Y102/H102,"0")+IFERROR(Y103/H103,"0")</f>
        <v>18</v>
      </c>
      <c r="Z104" s="553">
        <f>IFERROR(IF(Z99="",0,Z99),"0")+IFERROR(IF(Z100="",0,Z100),"0")+IFERROR(IF(Z101="",0,Z101),"0")+IFERROR(IF(Z102="",0,Z102),"0")+IFERROR(IF(Z103="",0,Z103),"0")</f>
        <v>0.34164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190</v>
      </c>
      <c r="Y105" s="553">
        <f>IFERROR(SUM(Y99:Y103),"0")</f>
        <v>194.4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632</v>
      </c>
      <c r="Y114" s="552">
        <f>IFERROR(IF(X114="",0,CEILING((X114/$H114),1)*$H114),"")</f>
        <v>639.9</v>
      </c>
      <c r="Z114" s="36">
        <f>IFERROR(IF(Y114=0,"",ROUNDUP(Y114/H114,0)*0.01898),"")</f>
        <v>1.49942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670.07604938271595</v>
      </c>
      <c r="BN114" s="64">
        <f>IFERROR(Y114*I114/H114,"0")</f>
        <v>678.452</v>
      </c>
      <c r="BO114" s="64">
        <f>IFERROR(1/J114*(X114/H114),"0")</f>
        <v>1.2191358024691359</v>
      </c>
      <c r="BP114" s="64">
        <f>IFERROR(1/J114*(Y114/H114),"0")</f>
        <v>1.234375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78.024691358024697</v>
      </c>
      <c r="Y118" s="553">
        <f>IFERROR(Y114/H114,"0")+IFERROR(Y115/H115,"0")+IFERROR(Y116/H116,"0")+IFERROR(Y117/H117,"0")</f>
        <v>79</v>
      </c>
      <c r="Z118" s="553">
        <f>IFERROR(IF(Z114="",0,Z114),"0")+IFERROR(IF(Z115="",0,Z115),"0")+IFERROR(IF(Z116="",0,Z116),"0")+IFERROR(IF(Z117="",0,Z117),"0")</f>
        <v>1.49942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632</v>
      </c>
      <c r="Y119" s="553">
        <f>IFERROR(SUM(Y114:Y117),"0")</f>
        <v>639.9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50</v>
      </c>
      <c r="Y151" s="552">
        <f t="shared" si="5"/>
        <v>54</v>
      </c>
      <c r="Z151" s="36">
        <f>IFERROR(IF(Y151=0,"",ROUNDUP(Y151/H151,0)*0.01898),"")</f>
        <v>0.11388000000000001</v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53.111111111111114</v>
      </c>
      <c r="BN151" s="64">
        <f t="shared" si="7"/>
        <v>57.36</v>
      </c>
      <c r="BO151" s="64">
        <f t="shared" si="8"/>
        <v>8.6805555555555552E-2</v>
      </c>
      <c r="BP151" s="64">
        <f t="shared" si="9"/>
        <v>9.375E-2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5.5555555555555554</v>
      </c>
      <c r="Y153" s="553">
        <f>IFERROR(Y147/H147,"0")+IFERROR(Y148/H148,"0")+IFERROR(Y149/H149,"0")+IFERROR(Y150/H150,"0")+IFERROR(Y151/H151,"0")+IFERROR(Y152/H152,"0")</f>
        <v>6</v>
      </c>
      <c r="Z153" s="553">
        <f>IFERROR(IF(Z147="",0,Z147),"0")+IFERROR(IF(Z148="",0,Z148),"0")+IFERROR(IF(Z149="",0,Z149),"0")+IFERROR(IF(Z150="",0,Z150),"0")+IFERROR(IF(Z151="",0,Z151),"0")+IFERROR(IF(Z152="",0,Z152),"0")</f>
        <v>0.11388000000000001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50</v>
      </c>
      <c r="Y154" s="553">
        <f>IFERROR(SUM(Y147:Y152),"0")</f>
        <v>54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60</v>
      </c>
      <c r="Y166" s="552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63.571428571428569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0.10822510822510822</v>
      </c>
      <c r="BP166" s="64">
        <f t="shared" ref="BP166:BP179" si="14">IFERROR(1/J166*(Y166/H166),"0")</f>
        <v>0.11363636363636365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60</v>
      </c>
      <c r="Y168" s="552">
        <f t="shared" si="10"/>
        <v>63</v>
      </c>
      <c r="Z168" s="36">
        <f>IFERROR(IF(Y168=0,"",ROUNDUP(Y168/H168,0)*0.00902),"")</f>
        <v>0.1353</v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62.714285714285708</v>
      </c>
      <c r="BN168" s="64">
        <f t="shared" si="12"/>
        <v>65.849999999999994</v>
      </c>
      <c r="BO168" s="64">
        <f t="shared" si="13"/>
        <v>0.10822510822510822</v>
      </c>
      <c r="BP168" s="64">
        <f t="shared" si="14"/>
        <v>0.11363636363636365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28.571428571428569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30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0.27060000000000001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120</v>
      </c>
      <c r="Y181" s="553">
        <f>IFERROR(SUM(Y166:Y179),"0")</f>
        <v>126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200</v>
      </c>
      <c r="Y204" s="552">
        <f t="shared" ref="Y204:Y211" si="15">IFERROR(IF(X204="",0,CEILING((X204/$H204),1)*$H204),"")</f>
        <v>205.20000000000002</v>
      </c>
      <c r="Z204" s="36">
        <f>IFERROR(IF(Y204=0,"",ROUNDUP(Y204/H204,0)*0.00902),"")</f>
        <v>0.34276000000000001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207.03703703703701</v>
      </c>
      <c r="BN204" s="64">
        <f t="shared" ref="BN204:BN211" si="17">IFERROR(Y204*I204/H204,"0")</f>
        <v>212.42</v>
      </c>
      <c r="BO204" s="64">
        <f t="shared" ref="BO204:BO211" si="18">IFERROR(1/J204*(X204/H204),"0")</f>
        <v>0.28058361391694725</v>
      </c>
      <c r="BP204" s="64">
        <f t="shared" ref="BP204:BP211" si="19">IFERROR(1/J204*(Y204/H204),"0")</f>
        <v>0.2878787878787879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150</v>
      </c>
      <c r="Y205" s="552">
        <f t="shared" si="15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155.27777777777777</v>
      </c>
      <c r="BN205" s="64">
        <f t="shared" si="17"/>
        <v>156.52000000000001</v>
      </c>
      <c r="BO205" s="64">
        <f t="shared" si="18"/>
        <v>0.21043771043771042</v>
      </c>
      <c r="BP205" s="64">
        <f t="shared" si="19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120</v>
      </c>
      <c r="Y206" s="552">
        <f t="shared" si="15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124.2222222222222</v>
      </c>
      <c r="BN206" s="64">
        <f t="shared" si="17"/>
        <v>128.57</v>
      </c>
      <c r="BO206" s="64">
        <f t="shared" si="18"/>
        <v>0.16835016835016836</v>
      </c>
      <c r="BP206" s="64">
        <f t="shared" si="19"/>
        <v>0.17424242424242425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87.037037037037038</v>
      </c>
      <c r="Y212" s="553">
        <f>IFERROR(Y204/H204,"0")+IFERROR(Y205/H205,"0")+IFERROR(Y206/H206,"0")+IFERROR(Y207/H207,"0")+IFERROR(Y208/H208,"0")+IFERROR(Y209/H209,"0")+IFERROR(Y210/H210,"0")+IFERROR(Y211/H211,"0")</f>
        <v>89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0.80278000000000005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470</v>
      </c>
      <c r="Y213" s="553">
        <f>IFERROR(SUM(Y204:Y211),"0")</f>
        <v>480.6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150</v>
      </c>
      <c r="Y217" s="552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17.241379310344829</v>
      </c>
      <c r="Y224" s="553">
        <f>IFERROR(Y215/H215,"0")+IFERROR(Y216/H216,"0")+IFERROR(Y217/H217,"0")+IFERROR(Y218/H218,"0")+IFERROR(Y219/H219,"0")+IFERROR(Y220/H220,"0")+IFERROR(Y221/H221,"0")+IFERROR(Y222/H222,"0")+IFERROR(Y223/H223,"0")</f>
        <v>18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0.34164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150</v>
      </c>
      <c r="Y225" s="553">
        <f>IFERROR(SUM(Y215:Y223),"0")</f>
        <v>156.6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30</v>
      </c>
      <c r="Y264" s="552">
        <f>IFERROR(IF(X264="",0,CEILING((X264/$H264),1)*$H264),"")</f>
        <v>32.400000000000006</v>
      </c>
      <c r="Z264" s="36">
        <f>IFERROR(IF(Y264=0,"",ROUNDUP(Y264/H264,0)*0.01898),"")</f>
        <v>5.6940000000000004E-2</v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31.138888888888889</v>
      </c>
      <c r="BN264" s="64">
        <f>IFERROR(Y264*I264/H264,"0")</f>
        <v>33.630000000000003</v>
      </c>
      <c r="BO264" s="64">
        <f>IFERROR(1/J264*(X264/H264),"0")</f>
        <v>4.3402777777777776E-2</v>
      </c>
      <c r="BP264" s="64">
        <f>IFERROR(1/J264*(Y264/H264),"0")</f>
        <v>4.6875000000000007E-2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2.7777777777777777</v>
      </c>
      <c r="Y267" s="553">
        <f>IFERROR(Y262/H262,"0")+IFERROR(Y263/H263,"0")+IFERROR(Y264/H264,"0")+IFERROR(Y265/H265,"0")+IFERROR(Y266/H266,"0")</f>
        <v>3.0000000000000004</v>
      </c>
      <c r="Z267" s="553">
        <f>IFERROR(IF(Z262="",0,Z262),"0")+IFERROR(IF(Z263="",0,Z263),"0")+IFERROR(IF(Z264="",0,Z264),"0")+IFERROR(IF(Z265="",0,Z265),"0")+IFERROR(IF(Z266="",0,Z266),"0")</f>
        <v>5.6940000000000004E-2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30</v>
      </c>
      <c r="Y268" s="553">
        <f>IFERROR(SUM(Y262:Y266),"0")</f>
        <v>32.400000000000006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100</v>
      </c>
      <c r="Y306" s="552">
        <f t="shared" ref="Y306:Y311" si="36">IFERROR(IF(X306="",0,CEILING((X306/$H306),1)*$H306),"")</f>
        <v>100.80000000000001</v>
      </c>
      <c r="Z306" s="36">
        <f>IFERROR(IF(Y306=0,"",ROUNDUP(Y306/H306,0)*0.00902),"")</f>
        <v>0.21648000000000001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105.95238095238095</v>
      </c>
      <c r="BN306" s="64">
        <f t="shared" ref="BN306:BN311" si="38">IFERROR(Y306*I306/H306,"0")</f>
        <v>106.80000000000001</v>
      </c>
      <c r="BO306" s="64">
        <f t="shared" ref="BO306:BO311" si="39">IFERROR(1/J306*(X306/H306),"0")</f>
        <v>0.18037518037518038</v>
      </c>
      <c r="BP306" s="64">
        <f t="shared" ref="BP306:BP311" si="40">IFERROR(1/J306*(Y306/H306),"0")</f>
        <v>0.18181818181818182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100</v>
      </c>
      <c r="Y307" s="552">
        <f t="shared" si="36"/>
        <v>100.80000000000001</v>
      </c>
      <c r="Z307" s="36">
        <f>IFERROR(IF(Y307=0,"",ROUNDUP(Y307/H307,0)*0.00902),"")</f>
        <v>0.21648000000000001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105.95238095238095</v>
      </c>
      <c r="BN307" s="64">
        <f t="shared" si="38"/>
        <v>106.80000000000001</v>
      </c>
      <c r="BO307" s="64">
        <f t="shared" si="39"/>
        <v>0.18037518037518038</v>
      </c>
      <c r="BP307" s="64">
        <f t="shared" si="40"/>
        <v>0.18181818181818182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47.61904761904762</v>
      </c>
      <c r="Y312" s="553">
        <f>IFERROR(Y306/H306,"0")+IFERROR(Y307/H307,"0")+IFERROR(Y308/H308,"0")+IFERROR(Y309/H309,"0")+IFERROR(Y310/H310,"0")+IFERROR(Y311/H311,"0")</f>
        <v>48</v>
      </c>
      <c r="Z312" s="553">
        <f>IFERROR(IF(Z306="",0,Z306),"0")+IFERROR(IF(Z307="",0,Z307),"0")+IFERROR(IF(Z308="",0,Z308),"0")+IFERROR(IF(Z309="",0,Z309),"0")+IFERROR(IF(Z310="",0,Z310),"0")+IFERROR(IF(Z311="",0,Z311),"0")</f>
        <v>0.43296000000000001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200</v>
      </c>
      <c r="Y313" s="553">
        <f>IFERROR(SUM(Y306:Y311),"0")</f>
        <v>201.60000000000002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130</v>
      </c>
      <c r="Y322" s="552">
        <f>IFERROR(IF(X322="",0,CEILING((X322/$H322),1)*$H322),"")</f>
        <v>134.4</v>
      </c>
      <c r="Z322" s="36">
        <f>IFERROR(IF(Y322=0,"",ROUNDUP(Y322/H322,0)*0.01898),"")</f>
        <v>0.30368000000000001</v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137.64523809523808</v>
      </c>
      <c r="BN322" s="64">
        <f>IFERROR(Y322*I322/H322,"0")</f>
        <v>142.304</v>
      </c>
      <c r="BO322" s="64">
        <f>IFERROR(1/J322*(X322/H322),"0")</f>
        <v>0.24181547619047619</v>
      </c>
      <c r="BP322" s="64">
        <f>IFERROR(1/J322*(Y322/H322),"0")</f>
        <v>0.25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400</v>
      </c>
      <c r="Y323" s="552">
        <f>IFERROR(IF(X323="",0,CEILING((X323/$H323),1)*$H323),"")</f>
        <v>405.59999999999997</v>
      </c>
      <c r="Z323" s="36">
        <f>IFERROR(IF(Y323=0,"",ROUNDUP(Y323/H323,0)*0.01898),"")</f>
        <v>0.98696000000000006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425.33333333333337</v>
      </c>
      <c r="BN323" s="64">
        <f>IFERROR(Y323*I323/H323,"0")</f>
        <v>431.28799999999995</v>
      </c>
      <c r="BO323" s="64">
        <f>IFERROR(1/J323*(X323/H323),"0")</f>
        <v>0.80128205128205132</v>
      </c>
      <c r="BP323" s="64">
        <f>IFERROR(1/J323*(Y323/H323),"0")</f>
        <v>0.8125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60</v>
      </c>
      <c r="Y324" s="552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63.528571428571425</v>
      </c>
      <c r="BN324" s="64">
        <f>IFERROR(Y324*I324/H324,"0")</f>
        <v>71.152000000000001</v>
      </c>
      <c r="BO324" s="64">
        <f>IFERROR(1/J324*(X324/H324),"0")</f>
        <v>0.11160714285714285</v>
      </c>
      <c r="BP324" s="64">
        <f>IFERROR(1/J324*(Y324/H324),"0")</f>
        <v>0.125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73.901098901098905</v>
      </c>
      <c r="Y325" s="553">
        <f>IFERROR(Y322/H322,"0")+IFERROR(Y323/H323,"0")+IFERROR(Y324/H324,"0")</f>
        <v>76</v>
      </c>
      <c r="Z325" s="553">
        <f>IFERROR(IF(Z322="",0,Z322),"0")+IFERROR(IF(Z323="",0,Z323),"0")+IFERROR(IF(Z324="",0,Z324),"0")</f>
        <v>1.44248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590</v>
      </c>
      <c r="Y326" s="553">
        <f>IFERROR(SUM(Y322:Y324),"0")</f>
        <v>607.20000000000005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10.5</v>
      </c>
      <c r="Y344" s="552">
        <f>IFERROR(IF(X344="",0,CEILING((X344/$H344),1)*$H344),"")</f>
        <v>10.5</v>
      </c>
      <c r="Z344" s="36">
        <f>IFERROR(IF(Y344=0,"",ROUNDUP(Y344/H344,0)*0.00651),"")</f>
        <v>3.2550000000000003E-2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11.7</v>
      </c>
      <c r="BN344" s="64">
        <f>IFERROR(Y344*I344/H344,"0")</f>
        <v>11.7</v>
      </c>
      <c r="BO344" s="64">
        <f>IFERROR(1/J344*(X344/H344),"0")</f>
        <v>2.7472527472527476E-2</v>
      </c>
      <c r="BP344" s="64">
        <f>IFERROR(1/J344*(Y344/H344),"0")</f>
        <v>2.7472527472527476E-2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5</v>
      </c>
      <c r="Y345" s="553">
        <f>IFERROR(Y342/H342,"0")+IFERROR(Y343/H343,"0")+IFERROR(Y344/H344,"0")</f>
        <v>5</v>
      </c>
      <c r="Z345" s="553">
        <f>IFERROR(IF(Z342="",0,Z342),"0")+IFERROR(IF(Z343="",0,Z343),"0")+IFERROR(IF(Z344="",0,Z344),"0")</f>
        <v>3.2550000000000003E-2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10.5</v>
      </c>
      <c r="Y346" s="553">
        <f>IFERROR(SUM(Y342:Y344),"0")</f>
        <v>10.5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1410</v>
      </c>
      <c r="Y350" s="552">
        <f t="shared" ref="Y350:Y356" si="41">IFERROR(IF(X350="",0,CEILING((X350/$H350),1)*$H350),"")</f>
        <v>1410</v>
      </c>
      <c r="Z350" s="36">
        <f>IFERROR(IF(Y350=0,"",ROUNDUP(Y350/H350,0)*0.02175),"")</f>
        <v>2.0444999999999998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1454.18</v>
      </c>
      <c r="BN350" s="64">
        <f t="shared" ref="BN350:BN356" si="43">IFERROR(Y350*I350/H350,"0")</f>
        <v>1454.18</v>
      </c>
      <c r="BO350" s="64">
        <f t="shared" ref="BO350:BO356" si="44">IFERROR(1/J350*(X350/H350),"0")</f>
        <v>1.9583333333333333</v>
      </c>
      <c r="BP350" s="64">
        <f t="shared" ref="BP350:BP356" si="45">IFERROR(1/J350*(Y350/H350),"0")</f>
        <v>1.9583333333333333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630</v>
      </c>
      <c r="Y351" s="552">
        <f t="shared" si="41"/>
        <v>630</v>
      </c>
      <c r="Z351" s="36">
        <f>IFERROR(IF(Y351=0,"",ROUNDUP(Y351/H351,0)*0.02175),"")</f>
        <v>0.91349999999999998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649.74</v>
      </c>
      <c r="BN351" s="64">
        <f t="shared" si="43"/>
        <v>649.74</v>
      </c>
      <c r="BO351" s="64">
        <f t="shared" si="44"/>
        <v>0.875</v>
      </c>
      <c r="BP351" s="64">
        <f t="shared" si="45"/>
        <v>0.875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1470</v>
      </c>
      <c r="Y352" s="552">
        <f t="shared" si="41"/>
        <v>1470</v>
      </c>
      <c r="Z352" s="36">
        <f>IFERROR(IF(Y352=0,"",ROUNDUP(Y352/H352,0)*0.02175),"")</f>
        <v>2.1315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1516.0600000000002</v>
      </c>
      <c r="BN352" s="64">
        <f t="shared" si="43"/>
        <v>1516.0600000000002</v>
      </c>
      <c r="BO352" s="64">
        <f t="shared" si="44"/>
        <v>2.0416666666666665</v>
      </c>
      <c r="BP352" s="64">
        <f t="shared" si="45"/>
        <v>2.0416666666666665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234</v>
      </c>
      <c r="Y357" s="553">
        <f>IFERROR(Y350/H350,"0")+IFERROR(Y351/H351,"0")+IFERROR(Y352/H352,"0")+IFERROR(Y353/H353,"0")+IFERROR(Y354/H354,"0")+IFERROR(Y355/H355,"0")+IFERROR(Y356/H356,"0")</f>
        <v>234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5.0894999999999992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3510</v>
      </c>
      <c r="Y358" s="553">
        <f>IFERROR(SUM(Y350:Y356),"0")</f>
        <v>3510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0</v>
      </c>
      <c r="Y360" s="552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0</v>
      </c>
      <c r="Y362" s="553">
        <f>IFERROR(Y360/H360,"0")+IFERROR(Y361/H361,"0")</f>
        <v>0</v>
      </c>
      <c r="Z362" s="553">
        <f>IFERROR(IF(Z360="",0,Z360),"0")+IFERROR(IF(Z361="",0,Z361),"0")</f>
        <v>0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0</v>
      </c>
      <c r="Y363" s="553">
        <f>IFERROR(SUM(Y360:Y361),"0")</f>
        <v>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610</v>
      </c>
      <c r="Y365" s="552">
        <f>IFERROR(IF(X365="",0,CEILING((X365/$H365),1)*$H365),"")</f>
        <v>612</v>
      </c>
      <c r="Z365" s="36">
        <f>IFERROR(IF(Y365=0,"",ROUNDUP(Y365/H365,0)*0.01898),"")</f>
        <v>1.29064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643.88888888888891</v>
      </c>
      <c r="BN365" s="64">
        <f>IFERROR(Y365*I365/H365,"0")</f>
        <v>646</v>
      </c>
      <c r="BO365" s="64">
        <f>IFERROR(1/J365*(X365/H365),"0")</f>
        <v>1.0590277777777777</v>
      </c>
      <c r="BP365" s="64">
        <f>IFERROR(1/J365*(Y365/H365),"0")</f>
        <v>1.0625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200</v>
      </c>
      <c r="Y366" s="552">
        <f>IFERROR(IF(X366="",0,CEILING((X366/$H366),1)*$H366),"")</f>
        <v>207</v>
      </c>
      <c r="Z366" s="36">
        <f>IFERROR(IF(Y366=0,"",ROUNDUP(Y366/H366,0)*0.01898),"")</f>
        <v>0.43653999999999998</v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210.97777777777776</v>
      </c>
      <c r="BN366" s="64">
        <f>IFERROR(Y366*I366/H366,"0")</f>
        <v>218.36199999999999</v>
      </c>
      <c r="BO366" s="64">
        <f>IFERROR(1/J366*(X366/H366),"0")</f>
        <v>0.34722222222222221</v>
      </c>
      <c r="BP366" s="64">
        <f>IFERROR(1/J366*(Y366/H366),"0")</f>
        <v>0.359375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90</v>
      </c>
      <c r="Y367" s="553">
        <f>IFERROR(Y365/H365,"0")+IFERROR(Y366/H366,"0")</f>
        <v>91</v>
      </c>
      <c r="Z367" s="553">
        <f>IFERROR(IF(Z365="",0,Z365),"0")+IFERROR(IF(Z366="",0,Z366),"0")</f>
        <v>1.7271799999999999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810</v>
      </c>
      <c r="Y368" s="553">
        <f>IFERROR(SUM(Y365:Y366),"0")</f>
        <v>819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200</v>
      </c>
      <c r="Y370" s="552">
        <f>IFERROR(IF(X370="",0,CEILING((X370/$H370),1)*$H370),"")</f>
        <v>207</v>
      </c>
      <c r="Z370" s="36">
        <f>IFERROR(IF(Y370=0,"",ROUNDUP(Y370/H370,0)*0.01898),"")</f>
        <v>0.43653999999999998</v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210.97777777777776</v>
      </c>
      <c r="BN370" s="64">
        <f>IFERROR(Y370*I370/H370,"0")</f>
        <v>218.36199999999999</v>
      </c>
      <c r="BO370" s="64">
        <f>IFERROR(1/J370*(X370/H370),"0")</f>
        <v>0.34722222222222221</v>
      </c>
      <c r="BP370" s="64">
        <f>IFERROR(1/J370*(Y370/H370),"0")</f>
        <v>0.359375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22.222222222222221</v>
      </c>
      <c r="Y371" s="553">
        <f>IFERROR(Y370/H370,"0")</f>
        <v>23</v>
      </c>
      <c r="Z371" s="553">
        <f>IFERROR(IF(Z370="",0,Z370),"0")</f>
        <v>0.43653999999999998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200</v>
      </c>
      <c r="Y372" s="553">
        <f>IFERROR(SUM(Y370:Y370),"0")</f>
        <v>207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600</v>
      </c>
      <c r="Y385" s="552">
        <f>IFERROR(IF(X385="",0,CEILING((X385/$H385),1)*$H385),"")</f>
        <v>603</v>
      </c>
      <c r="Z385" s="36">
        <f>IFERROR(IF(Y385=0,"",ROUNDUP(Y385/H385,0)*0.01898),"")</f>
        <v>1.27166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632.93333333333328</v>
      </c>
      <c r="BN385" s="64">
        <f>IFERROR(Y385*I385/H385,"0")</f>
        <v>636.09799999999996</v>
      </c>
      <c r="BO385" s="64">
        <f>IFERROR(1/J385*(X385/H385),"0")</f>
        <v>1.0416666666666667</v>
      </c>
      <c r="BP385" s="64">
        <f>IFERROR(1/J385*(Y385/H385),"0")</f>
        <v>1.046875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66.666666666666671</v>
      </c>
      <c r="Y388" s="553">
        <f>IFERROR(Y385/H385,"0")+IFERROR(Y386/H386,"0")+IFERROR(Y387/H387,"0")</f>
        <v>67</v>
      </c>
      <c r="Z388" s="553">
        <f>IFERROR(IF(Z385="",0,Z385),"0")+IFERROR(IF(Z386="",0,Z386),"0")+IFERROR(IF(Z387="",0,Z387),"0")</f>
        <v>1.27166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600</v>
      </c>
      <c r="Y389" s="553">
        <f>IFERROR(SUM(Y385:Y387),"0")</f>
        <v>603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140</v>
      </c>
      <c r="Y393" s="552">
        <f t="shared" ref="Y393:Y401" si="46">IFERROR(IF(X393="",0,CEILING((X393/$H393),1)*$H393),"")</f>
        <v>140.4</v>
      </c>
      <c r="Z393" s="36">
        <f>IFERROR(IF(Y393=0,"",ROUNDUP(Y393/H393,0)*0.00902),"")</f>
        <v>0.23452000000000001</v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144.92592592592592</v>
      </c>
      <c r="BN393" s="64">
        <f t="shared" ref="BN393:BN401" si="48">IFERROR(Y393*I393/H393,"0")</f>
        <v>145.34</v>
      </c>
      <c r="BO393" s="64">
        <f t="shared" ref="BO393:BO401" si="49">IFERROR(1/J393*(X393/H393),"0")</f>
        <v>0.19640852974186307</v>
      </c>
      <c r="BP393" s="64">
        <f t="shared" ref="BP393:BP401" si="50">IFERROR(1/J393*(Y393/H393),"0")</f>
        <v>0.19696969696969696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40</v>
      </c>
      <c r="Y395" s="552">
        <f t="shared" si="46"/>
        <v>43.2</v>
      </c>
      <c r="Z395" s="36">
        <f>IFERROR(IF(Y395=0,"",ROUNDUP(Y395/H395,0)*0.00902),"")</f>
        <v>7.2160000000000002E-2</v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41.407407407407405</v>
      </c>
      <c r="BN395" s="64">
        <f t="shared" si="48"/>
        <v>44.72</v>
      </c>
      <c r="BO395" s="64">
        <f t="shared" si="49"/>
        <v>5.6116722783389444E-2</v>
      </c>
      <c r="BP395" s="64">
        <f t="shared" si="50"/>
        <v>6.0606060606060608E-2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33.333333333333329</v>
      </c>
      <c r="Y402" s="553">
        <f>IFERROR(Y393/H393,"0")+IFERROR(Y394/H394,"0")+IFERROR(Y395/H395,"0")+IFERROR(Y396/H396,"0")+IFERROR(Y397/H397,"0")+IFERROR(Y398/H398,"0")+IFERROR(Y399/H399,"0")+IFERROR(Y400/H400,"0")+IFERROR(Y401/H401,"0")</f>
        <v>34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0.30668000000000001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180</v>
      </c>
      <c r="Y403" s="553">
        <f>IFERROR(SUM(Y393:Y401),"0")</f>
        <v>183.60000000000002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270</v>
      </c>
      <c r="Y415" s="552">
        <f>IFERROR(IF(X415="",0,CEILING((X415/$H415),1)*$H415),"")</f>
        <v>270</v>
      </c>
      <c r="Z415" s="36">
        <f>IFERROR(IF(Y415=0,"",ROUNDUP(Y415/H415,0)*0.00902),"")</f>
        <v>0.45100000000000001</v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279.5</v>
      </c>
      <c r="BN415" s="64">
        <f>IFERROR(Y415*I415/H415,"0")</f>
        <v>279.5</v>
      </c>
      <c r="BO415" s="64">
        <f>IFERROR(1/J415*(X415/H415),"0")</f>
        <v>0.37878787878787878</v>
      </c>
      <c r="BP415" s="64">
        <f>IFERROR(1/J415*(Y415/H415),"0")</f>
        <v>0.37878787878787878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50</v>
      </c>
      <c r="Y419" s="553">
        <f>IFERROR(Y415/H415,"0")+IFERROR(Y416/H416,"0")+IFERROR(Y417/H417,"0")+IFERROR(Y418/H418,"0")</f>
        <v>50</v>
      </c>
      <c r="Z419" s="553">
        <f>IFERROR(IF(Z415="",0,Z415),"0")+IFERROR(IF(Z416="",0,Z416),"0")+IFERROR(IF(Z417="",0,Z417),"0")+IFERROR(IF(Z418="",0,Z418),"0")</f>
        <v>0.45100000000000001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270</v>
      </c>
      <c r="Y420" s="553">
        <f>IFERROR(SUM(Y415:Y418),"0")</f>
        <v>270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30</v>
      </c>
      <c r="Y432" s="552">
        <f t="shared" si="52"/>
        <v>31.68</v>
      </c>
      <c r="Z432" s="36">
        <f t="shared" si="53"/>
        <v>7.1760000000000004E-2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31.988636363636363</v>
      </c>
      <c r="BN432" s="64">
        <f t="shared" si="55"/>
        <v>33.779999999999994</v>
      </c>
      <c r="BO432" s="64">
        <f t="shared" si="56"/>
        <v>5.4632867132867136E-2</v>
      </c>
      <c r="BP432" s="64">
        <f t="shared" si="57"/>
        <v>5.7692307692307696E-2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480</v>
      </c>
      <c r="Y433" s="552">
        <f t="shared" si="52"/>
        <v>480.48</v>
      </c>
      <c r="Z433" s="36">
        <f t="shared" si="53"/>
        <v>1.08836</v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511.81818181818181</v>
      </c>
      <c r="BN433" s="64">
        <f t="shared" si="55"/>
        <v>512.33000000000004</v>
      </c>
      <c r="BO433" s="64">
        <f t="shared" si="56"/>
        <v>0.87412587412587417</v>
      </c>
      <c r="BP433" s="64">
        <f t="shared" si="57"/>
        <v>0.875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195</v>
      </c>
      <c r="Y435" s="552">
        <f t="shared" si="52"/>
        <v>195.36</v>
      </c>
      <c r="Z435" s="36">
        <f t="shared" si="53"/>
        <v>0.44252000000000002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207.92613636363635</v>
      </c>
      <c r="BN435" s="64">
        <f t="shared" si="55"/>
        <v>208.31</v>
      </c>
      <c r="BO435" s="64">
        <f t="shared" si="56"/>
        <v>0.35511363636363635</v>
      </c>
      <c r="BP435" s="64">
        <f t="shared" si="57"/>
        <v>0.35576923076923078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133.52272727272728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134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1.6026400000000001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705</v>
      </c>
      <c r="Y442" s="553">
        <f>IFERROR(SUM(Y429:Y440),"0")</f>
        <v>707.52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170</v>
      </c>
      <c r="Y444" s="552">
        <f>IFERROR(IF(X444="",0,CEILING((X444/$H444),1)*$H444),"")</f>
        <v>174.24</v>
      </c>
      <c r="Z444" s="36">
        <f>IFERROR(IF(Y444=0,"",ROUNDUP(Y444/H444,0)*0.01196),"")</f>
        <v>0.39468000000000003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181.26893939393938</v>
      </c>
      <c r="BN444" s="64">
        <f>IFERROR(Y444*I444/H444,"0")</f>
        <v>185.79</v>
      </c>
      <c r="BO444" s="64">
        <f>IFERROR(1/J444*(X444/H444),"0")</f>
        <v>0.3095862470862471</v>
      </c>
      <c r="BP444" s="64">
        <f>IFERROR(1/J444*(Y444/H444),"0")</f>
        <v>0.31730769230769235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32.196969696969695</v>
      </c>
      <c r="Y447" s="553">
        <f>IFERROR(Y444/H444,"0")+IFERROR(Y445/H445,"0")+IFERROR(Y446/H446,"0")</f>
        <v>33</v>
      </c>
      <c r="Z447" s="553">
        <f>IFERROR(IF(Z444="",0,Z444),"0")+IFERROR(IF(Z445="",0,Z445),"0")+IFERROR(IF(Z446="",0,Z446),"0")</f>
        <v>0.39468000000000003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170</v>
      </c>
      <c r="Y448" s="553">
        <f>IFERROR(SUM(Y444:Y446),"0")</f>
        <v>174.24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45</v>
      </c>
      <c r="Y450" s="552">
        <f t="shared" ref="Y450:Y455" si="58">IFERROR(IF(X450="",0,CEILING((X450/$H450),1)*$H450),"")</f>
        <v>47.52</v>
      </c>
      <c r="Z450" s="36">
        <f>IFERROR(IF(Y450=0,"",ROUNDUP(Y450/H450,0)*0.01196),"")</f>
        <v>0.10764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47.98295454545454</v>
      </c>
      <c r="BN450" s="64">
        <f t="shared" ref="BN450:BN455" si="60">IFERROR(Y450*I450/H450,"0")</f>
        <v>50.669999999999995</v>
      </c>
      <c r="BO450" s="64">
        <f t="shared" ref="BO450:BO455" si="61">IFERROR(1/J450*(X450/H450),"0")</f>
        <v>8.1949300699300689E-2</v>
      </c>
      <c r="BP450" s="64">
        <f t="shared" ref="BP450:BP455" si="62">IFERROR(1/J450*(Y450/H450),"0")</f>
        <v>8.6538461538461536E-2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90</v>
      </c>
      <c r="Y451" s="552">
        <f t="shared" si="58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95.965909090909079</v>
      </c>
      <c r="BN451" s="64">
        <f t="shared" si="60"/>
        <v>101.33999999999999</v>
      </c>
      <c r="BO451" s="64">
        <f t="shared" si="61"/>
        <v>0.16389860139860138</v>
      </c>
      <c r="BP451" s="64">
        <f t="shared" si="62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65</v>
      </c>
      <c r="Y452" s="552">
        <f t="shared" si="58"/>
        <v>68.64</v>
      </c>
      <c r="Z452" s="36">
        <f>IFERROR(IF(Y452=0,"",ROUNDUP(Y452/H452,0)*0.01196),"")</f>
        <v>0.15548000000000001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69.30871212121211</v>
      </c>
      <c r="BN452" s="64">
        <f t="shared" si="60"/>
        <v>73.19</v>
      </c>
      <c r="BO452" s="64">
        <f t="shared" si="61"/>
        <v>0.11837121212121213</v>
      </c>
      <c r="BP452" s="64">
        <f t="shared" si="62"/>
        <v>0.125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37.878787878787875</v>
      </c>
      <c r="Y456" s="553">
        <f>IFERROR(Y450/H450,"0")+IFERROR(Y451/H451,"0")+IFERROR(Y452/H452,"0")+IFERROR(Y453/H453,"0")+IFERROR(Y454/H454,"0")+IFERROR(Y455/H455,"0")</f>
        <v>40</v>
      </c>
      <c r="Z456" s="553">
        <f>IFERROR(IF(Z450="",0,Z450),"0")+IFERROR(IF(Z451="",0,Z451),"0")+IFERROR(IF(Z452="",0,Z452),"0")+IFERROR(IF(Z453="",0,Z453),"0")+IFERROR(IF(Z454="",0,Z454),"0")+IFERROR(IF(Z455="",0,Z455),"0")</f>
        <v>0.47839999999999999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200</v>
      </c>
      <c r="Y457" s="553">
        <f>IFERROR(SUM(Y450:Y455),"0")</f>
        <v>211.2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80</v>
      </c>
      <c r="Y467" s="552">
        <f>IFERROR(IF(X467="",0,CEILING((X467/$H467),1)*$H467),"")</f>
        <v>84</v>
      </c>
      <c r="Z467" s="36">
        <f>IFERROR(IF(Y467=0,"",ROUNDUP(Y467/H467,0)*0.01898),"")</f>
        <v>0.13286000000000001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82.733333333333334</v>
      </c>
      <c r="BN467" s="64">
        <f>IFERROR(Y467*I467/H467,"0")</f>
        <v>86.87</v>
      </c>
      <c r="BO467" s="64">
        <f>IFERROR(1/J467*(X467/H467),"0")</f>
        <v>0.10416666666666667</v>
      </c>
      <c r="BP467" s="64">
        <f>IFERROR(1/J467*(Y467/H467),"0")</f>
        <v>0.109375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6.666666666666667</v>
      </c>
      <c r="Y469" s="553">
        <f>IFERROR(Y465/H465,"0")+IFERROR(Y466/H466,"0")+IFERROR(Y467/H467,"0")+IFERROR(Y468/H468,"0")</f>
        <v>7</v>
      </c>
      <c r="Z469" s="553">
        <f>IFERROR(IF(Z465="",0,Z465),"0")+IFERROR(IF(Z466="",0,Z466),"0")+IFERROR(IF(Z467="",0,Z467),"0")+IFERROR(IF(Z468="",0,Z468),"0")</f>
        <v>0.13286000000000001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80</v>
      </c>
      <c r="Y470" s="553">
        <f>IFERROR(SUM(Y465:Y468),"0")</f>
        <v>84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10017.5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10156.560000000001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10478.637264596833</v>
      </c>
      <c r="Y495" s="553">
        <f>IFERROR(SUM(BN22:BN491),"0")</f>
        <v>10624.870000000003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17</v>
      </c>
      <c r="Y496" s="38">
        <f>ROUNDUP(SUM(BP22:BP491),0)</f>
        <v>17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10903.637264596833</v>
      </c>
      <c r="Y497" s="553">
        <f>GrossWeightTotalR+PalletQtyTotalR*25</f>
        <v>11049.870000000003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1162.2818666008322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1181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19.048110000000005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75.600000000000009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208.8</v>
      </c>
      <c r="E504" s="46">
        <f>IFERROR(Y84*1,"0")+IFERROR(Y85*1,"0")+IFERROR(Y86*1,"0")+IFERROR(Y87*1,"0")+IFERROR(Y91*1,"0")+IFERROR(Y92*1,"0")+IFERROR(Y93*1,"0")+IFERROR(Y94*1,"0")</f>
        <v>599.4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834.3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54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126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637.20000000000005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32.400000000000006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808.8</v>
      </c>
      <c r="R504" s="46">
        <f>IFERROR(Y342*1,"0")+IFERROR(Y343*1,"0")+IFERROR(Y344*1,"0")</f>
        <v>10.5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4536</v>
      </c>
      <c r="T504" s="46">
        <f>IFERROR(Y375*1,"0")+IFERROR(Y376*1,"0")+IFERROR(Y380*1,"0")+IFERROR(Y381*1,"0")+IFERROR(Y385*1,"0")+IFERROR(Y386*1,"0")+IFERROR(Y387*1,"0")</f>
        <v>603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183.60000000000002</v>
      </c>
      <c r="V504" s="46">
        <f>IFERROR(Y411*1,"0")+IFERROR(Y415*1,"0")+IFERROR(Y416*1,"0")+IFERROR(Y417*1,"0")+IFERROR(Y418*1,"0")</f>
        <v>270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1092.96</v>
      </c>
      <c r="Y504" s="46">
        <f>IFERROR(Y465*1,"0")+IFERROR(Y466*1,"0")+IFERROR(Y467*1,"0")+IFERROR(Y468*1,"0")+IFERROR(Y472*1,"0")+IFERROR(Y473*1,"0")+IFERROR(Y477*1,"0")+IFERROR(Y481*1,"0")+IFERROR(Y485*1,"0")+IFERROR(Y486*1,"0")</f>
        <v>84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2026-01-20T11:13:53Z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