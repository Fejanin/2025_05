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DB01687F-3FF0-4EDF-8158-8B1419B36F6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Y486" i="1" s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Y468" i="1" s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Y293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P227" i="1"/>
  <c r="BO227" i="1"/>
  <c r="BN227" i="1"/>
  <c r="BM227" i="1"/>
  <c r="Z227" i="1"/>
  <c r="Y227" i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Z204" i="1"/>
  <c r="Y204" i="1"/>
  <c r="P204" i="1"/>
  <c r="X202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Y186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Y187" i="1" s="1"/>
  <c r="P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Y144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Y80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7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96" i="1" l="1"/>
  <c r="Y25" i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BP85" i="1"/>
  <c r="BN85" i="1"/>
  <c r="Z85" i="1"/>
  <c r="Z88" i="1" s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148" i="1"/>
  <c r="BN148" i="1"/>
  <c r="Z148" i="1"/>
  <c r="Z153" i="1" s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Y197" i="1"/>
  <c r="Y202" i="1"/>
  <c r="BP199" i="1"/>
  <c r="BN199" i="1"/>
  <c r="Z199" i="1"/>
  <c r="Z201" i="1" s="1"/>
  <c r="BP298" i="1"/>
  <c r="BN298" i="1"/>
  <c r="Z298" i="1"/>
  <c r="Z302" i="1" s="1"/>
  <c r="Q503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H503" i="1"/>
  <c r="H9" i="1"/>
  <c r="B503" i="1"/>
  <c r="X494" i="1"/>
  <c r="X496" i="1" s="1"/>
  <c r="X495" i="1"/>
  <c r="Z23" i="1"/>
  <c r="Z24" i="1" s="1"/>
  <c r="BN23" i="1"/>
  <c r="Y24" i="1"/>
  <c r="X493" i="1"/>
  <c r="Z27" i="1"/>
  <c r="Z31" i="1" s="1"/>
  <c r="BN27" i="1"/>
  <c r="BP27" i="1"/>
  <c r="Y495" i="1" s="1"/>
  <c r="Z29" i="1"/>
  <c r="BN29" i="1"/>
  <c r="Y494" i="1" s="1"/>
  <c r="Y496" i="1" s="1"/>
  <c r="C503" i="1"/>
  <c r="Z41" i="1"/>
  <c r="Z43" i="1" s="1"/>
  <c r="BN41" i="1"/>
  <c r="Y44" i="1"/>
  <c r="D503" i="1"/>
  <c r="Y57" i="1"/>
  <c r="Z52" i="1"/>
  <c r="Z57" i="1" s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Z75" i="1" s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Z95" i="1" s="1"/>
  <c r="Y95" i="1"/>
  <c r="Z104" i="1"/>
  <c r="BP100" i="1"/>
  <c r="BN100" i="1"/>
  <c r="Z100" i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Z144" i="1" s="1"/>
  <c r="Y153" i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Y180" i="1"/>
  <c r="Z186" i="1"/>
  <c r="BP184" i="1"/>
  <c r="BN184" i="1"/>
  <c r="Z184" i="1"/>
  <c r="Y201" i="1"/>
  <c r="BP208" i="1"/>
  <c r="BN208" i="1"/>
  <c r="Z208" i="1"/>
  <c r="Y212" i="1"/>
  <c r="BP216" i="1"/>
  <c r="BN216" i="1"/>
  <c r="Z216" i="1"/>
  <c r="BP220" i="1"/>
  <c r="BN220" i="1"/>
  <c r="Z220" i="1"/>
  <c r="Z224" i="1" s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Z267" i="1" s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Z282" i="1" s="1"/>
  <c r="Y282" i="1"/>
  <c r="Z288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Z356" i="1" s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Z455" i="1" s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Z212" i="1" s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Y289" i="1"/>
  <c r="Y294" i="1"/>
  <c r="BP291" i="1"/>
  <c r="BN291" i="1"/>
  <c r="Z291" i="1"/>
  <c r="Z293" i="1" s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O503" i="1"/>
  <c r="Y283" i="1"/>
  <c r="P503" i="1"/>
  <c r="Y288" i="1"/>
  <c r="S503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Z387" i="1"/>
  <c r="BP385" i="1"/>
  <c r="BN385" i="1"/>
  <c r="Z385" i="1"/>
  <c r="Y402" i="1"/>
  <c r="BP395" i="1"/>
  <c r="BN395" i="1"/>
  <c r="Z395" i="1"/>
  <c r="BP399" i="1"/>
  <c r="BN399" i="1"/>
  <c r="Z399" i="1"/>
  <c r="Z401" i="1" s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Z486" i="1"/>
  <c r="Y503" i="1"/>
  <c r="Y357" i="1"/>
  <c r="T503" i="1"/>
  <c r="Y376" i="1"/>
  <c r="X503" i="1"/>
  <c r="BP431" i="1"/>
  <c r="BN431" i="1"/>
  <c r="Z431" i="1"/>
  <c r="Z440" i="1" s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5" i="1"/>
  <c r="BN465" i="1"/>
  <c r="Z465" i="1"/>
  <c r="Z468" i="1" s="1"/>
  <c r="BP485" i="1"/>
  <c r="BN485" i="1"/>
  <c r="Z485" i="1"/>
  <c r="Y487" i="1"/>
  <c r="Z503" i="1"/>
  <c r="Y491" i="1"/>
  <c r="BP490" i="1"/>
  <c r="BN490" i="1"/>
  <c r="Z490" i="1"/>
  <c r="Z491" i="1" s="1"/>
  <c r="Y492" i="1"/>
  <c r="Y440" i="1"/>
  <c r="Z337" i="1" l="1"/>
  <c r="Z275" i="1"/>
  <c r="Z258" i="1"/>
  <c r="Z318" i="1"/>
  <c r="Z180" i="1"/>
  <c r="Z418" i="1"/>
  <c r="Z242" i="1"/>
  <c r="Y497" i="1"/>
  <c r="Z118" i="1"/>
  <c r="Z63" i="1"/>
  <c r="Z498" i="1" s="1"/>
  <c r="Y493" i="1"/>
</calcChain>
</file>

<file path=xl/sharedStrings.xml><?xml version="1.0" encoding="utf-8"?>
<sst xmlns="http://schemas.openxmlformats.org/spreadsheetml/2006/main" count="2338" uniqueCount="773">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</sst>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4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0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56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5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67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9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802" t="s">
        <v>0</v>
      </c>
      <c r="E1" s="577"/>
      <c r="F1" s="577"/>
      <c r="G1" s="12" t="s">
        <v>1</v>
      </c>
      <c r="H1" s="802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854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3"/>
      <c r="R2" s="563"/>
      <c r="S2" s="563"/>
      <c r="T2" s="563"/>
      <c r="U2" s="563"/>
      <c r="V2" s="563"/>
      <c r="W2" s="563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3"/>
      <c r="Q3" s="563"/>
      <c r="R3" s="563"/>
      <c r="S3" s="563"/>
      <c r="T3" s="563"/>
      <c r="U3" s="563"/>
      <c r="V3" s="563"/>
      <c r="W3" s="563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759" t="s">
        <v>8</v>
      </c>
      <c r="B5" s="570"/>
      <c r="C5" s="571"/>
      <c r="D5" s="668"/>
      <c r="E5" s="670"/>
      <c r="F5" s="618" t="s">
        <v>9</v>
      </c>
      <c r="G5" s="571"/>
      <c r="H5" s="668"/>
      <c r="I5" s="669"/>
      <c r="J5" s="669"/>
      <c r="K5" s="669"/>
      <c r="L5" s="669"/>
      <c r="M5" s="670"/>
      <c r="N5" s="58"/>
      <c r="P5" s="24" t="s">
        <v>10</v>
      </c>
      <c r="Q5" s="587">
        <v>46041</v>
      </c>
      <c r="R5" s="588"/>
      <c r="T5" s="732" t="s">
        <v>11</v>
      </c>
      <c r="U5" s="656"/>
      <c r="V5" s="733" t="s">
        <v>12</v>
      </c>
      <c r="W5" s="588"/>
      <c r="AB5" s="51"/>
      <c r="AC5" s="51"/>
      <c r="AD5" s="51"/>
      <c r="AE5" s="51"/>
    </row>
    <row r="6" spans="1:32" s="543" customFormat="1" ht="24" customHeight="1" x14ac:dyDescent="0.2">
      <c r="A6" s="759" t="s">
        <v>13</v>
      </c>
      <c r="B6" s="570"/>
      <c r="C6" s="571"/>
      <c r="D6" s="672" t="s">
        <v>14</v>
      </c>
      <c r="E6" s="673"/>
      <c r="F6" s="673"/>
      <c r="G6" s="673"/>
      <c r="H6" s="673"/>
      <c r="I6" s="673"/>
      <c r="J6" s="673"/>
      <c r="K6" s="673"/>
      <c r="L6" s="673"/>
      <c r="M6" s="588"/>
      <c r="N6" s="59"/>
      <c r="P6" s="24" t="s">
        <v>15</v>
      </c>
      <c r="Q6" s="598" t="str">
        <f>IF(Q5=0," ",CHOOSE(WEEKDAY(Q5,2),"Понедельник","Вторник","Среда","Четверг","Пятница","Суббота","Воскресенье"))</f>
        <v>Понедельник</v>
      </c>
      <c r="R6" s="557"/>
      <c r="T6" s="738" t="s">
        <v>16</v>
      </c>
      <c r="U6" s="656"/>
      <c r="V6" s="681" t="s">
        <v>17</v>
      </c>
      <c r="W6" s="682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827" t="str">
        <f>IFERROR(VLOOKUP(DeliveryAddress,Table,3,0),1)</f>
        <v>1</v>
      </c>
      <c r="E7" s="828"/>
      <c r="F7" s="828"/>
      <c r="G7" s="828"/>
      <c r="H7" s="828"/>
      <c r="I7" s="828"/>
      <c r="J7" s="828"/>
      <c r="K7" s="828"/>
      <c r="L7" s="828"/>
      <c r="M7" s="736"/>
      <c r="N7" s="60"/>
      <c r="P7" s="24"/>
      <c r="Q7" s="42"/>
      <c r="R7" s="42"/>
      <c r="T7" s="563"/>
      <c r="U7" s="656"/>
      <c r="V7" s="683"/>
      <c r="W7" s="684"/>
      <c r="AB7" s="51"/>
      <c r="AC7" s="51"/>
      <c r="AD7" s="51"/>
      <c r="AE7" s="51"/>
    </row>
    <row r="8" spans="1:32" s="543" customFormat="1" ht="25.5" customHeight="1" x14ac:dyDescent="0.2">
      <c r="A8" s="553" t="s">
        <v>18</v>
      </c>
      <c r="B8" s="554"/>
      <c r="C8" s="555"/>
      <c r="D8" s="839" t="s">
        <v>19</v>
      </c>
      <c r="E8" s="840"/>
      <c r="F8" s="840"/>
      <c r="G8" s="840"/>
      <c r="H8" s="840"/>
      <c r="I8" s="840"/>
      <c r="J8" s="840"/>
      <c r="K8" s="840"/>
      <c r="L8" s="840"/>
      <c r="M8" s="841"/>
      <c r="N8" s="61"/>
      <c r="P8" s="24" t="s">
        <v>20</v>
      </c>
      <c r="Q8" s="735">
        <v>0.41666666666666669</v>
      </c>
      <c r="R8" s="736"/>
      <c r="T8" s="563"/>
      <c r="U8" s="656"/>
      <c r="V8" s="683"/>
      <c r="W8" s="684"/>
      <c r="AB8" s="51"/>
      <c r="AC8" s="51"/>
      <c r="AD8" s="51"/>
      <c r="AE8" s="51"/>
    </row>
    <row r="9" spans="1:32" s="543" customFormat="1" ht="39.950000000000003" customHeight="1" x14ac:dyDescent="0.2">
      <c r="A9" s="5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3"/>
      <c r="C9" s="563"/>
      <c r="D9" s="629"/>
      <c r="E9" s="630"/>
      <c r="F9" s="5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3"/>
      <c r="H9" s="790" t="str">
        <f>IF(AND($A$9="Тип доверенности/получателя при получении в адресе перегруза:",$D$9="Разовая доверенность"),"Введите ФИО","")</f>
        <v/>
      </c>
      <c r="I9" s="630"/>
      <c r="J9" s="7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0"/>
      <c r="L9" s="630"/>
      <c r="M9" s="630"/>
      <c r="N9" s="541"/>
      <c r="P9" s="26" t="s">
        <v>21</v>
      </c>
      <c r="Q9" s="784"/>
      <c r="R9" s="622"/>
      <c r="T9" s="563"/>
      <c r="U9" s="656"/>
      <c r="V9" s="685"/>
      <c r="W9" s="686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5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3"/>
      <c r="C10" s="563"/>
      <c r="D10" s="629"/>
      <c r="E10" s="630"/>
      <c r="F10" s="5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3"/>
      <c r="H10" s="706" t="str">
        <f>IFERROR(VLOOKUP($D$10,Proxy,2,FALSE),"")</f>
        <v/>
      </c>
      <c r="I10" s="563"/>
      <c r="J10" s="563"/>
      <c r="K10" s="563"/>
      <c r="L10" s="563"/>
      <c r="M10" s="563"/>
      <c r="N10" s="542"/>
      <c r="P10" s="26" t="s">
        <v>22</v>
      </c>
      <c r="Q10" s="739"/>
      <c r="R10" s="740"/>
      <c r="U10" s="24" t="s">
        <v>23</v>
      </c>
      <c r="V10" s="863" t="s">
        <v>24</v>
      </c>
      <c r="W10" s="682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7"/>
      <c r="R11" s="588"/>
      <c r="U11" s="24" t="s">
        <v>27</v>
      </c>
      <c r="V11" s="621" t="s">
        <v>28</v>
      </c>
      <c r="W11" s="622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25" t="s">
        <v>29</v>
      </c>
      <c r="B12" s="570"/>
      <c r="C12" s="570"/>
      <c r="D12" s="570"/>
      <c r="E12" s="570"/>
      <c r="F12" s="570"/>
      <c r="G12" s="570"/>
      <c r="H12" s="570"/>
      <c r="I12" s="570"/>
      <c r="J12" s="570"/>
      <c r="K12" s="570"/>
      <c r="L12" s="570"/>
      <c r="M12" s="571"/>
      <c r="N12" s="62"/>
      <c r="P12" s="24" t="s">
        <v>30</v>
      </c>
      <c r="Q12" s="735"/>
      <c r="R12" s="736"/>
      <c r="S12" s="23"/>
      <c r="U12" s="24"/>
      <c r="V12" s="577"/>
      <c r="W12" s="563"/>
      <c r="AB12" s="51"/>
      <c r="AC12" s="51"/>
      <c r="AD12" s="51"/>
      <c r="AE12" s="51"/>
    </row>
    <row r="13" spans="1:32" s="543" customFormat="1" ht="23.25" customHeight="1" x14ac:dyDescent="0.2">
      <c r="A13" s="725" t="s">
        <v>31</v>
      </c>
      <c r="B13" s="570"/>
      <c r="C13" s="570"/>
      <c r="D13" s="570"/>
      <c r="E13" s="570"/>
      <c r="F13" s="570"/>
      <c r="G13" s="570"/>
      <c r="H13" s="570"/>
      <c r="I13" s="570"/>
      <c r="J13" s="570"/>
      <c r="K13" s="570"/>
      <c r="L13" s="570"/>
      <c r="M13" s="571"/>
      <c r="N13" s="62"/>
      <c r="O13" s="26"/>
      <c r="P13" s="26" t="s">
        <v>32</v>
      </c>
      <c r="Q13" s="621"/>
      <c r="R13" s="62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25" t="s">
        <v>33</v>
      </c>
      <c r="B14" s="570"/>
      <c r="C14" s="570"/>
      <c r="D14" s="570"/>
      <c r="E14" s="570"/>
      <c r="F14" s="570"/>
      <c r="G14" s="570"/>
      <c r="H14" s="570"/>
      <c r="I14" s="570"/>
      <c r="J14" s="570"/>
      <c r="K14" s="570"/>
      <c r="L14" s="570"/>
      <c r="M14" s="5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28" t="s">
        <v>34</v>
      </c>
      <c r="B15" s="570"/>
      <c r="C15" s="570"/>
      <c r="D15" s="570"/>
      <c r="E15" s="570"/>
      <c r="F15" s="570"/>
      <c r="G15" s="570"/>
      <c r="H15" s="570"/>
      <c r="I15" s="570"/>
      <c r="J15" s="570"/>
      <c r="K15" s="570"/>
      <c r="L15" s="570"/>
      <c r="M15" s="571"/>
      <c r="N15" s="63"/>
      <c r="P15" s="762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3"/>
      <c r="Q16" s="763"/>
      <c r="R16" s="763"/>
      <c r="S16" s="763"/>
      <c r="T16" s="7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4" t="s">
        <v>36</v>
      </c>
      <c r="B17" s="644" t="s">
        <v>37</v>
      </c>
      <c r="C17" s="750" t="s">
        <v>38</v>
      </c>
      <c r="D17" s="644" t="s">
        <v>39</v>
      </c>
      <c r="E17" s="648"/>
      <c r="F17" s="644" t="s">
        <v>40</v>
      </c>
      <c r="G17" s="644" t="s">
        <v>41</v>
      </c>
      <c r="H17" s="644" t="s">
        <v>42</v>
      </c>
      <c r="I17" s="644" t="s">
        <v>43</v>
      </c>
      <c r="J17" s="644" t="s">
        <v>44</v>
      </c>
      <c r="K17" s="644" t="s">
        <v>45</v>
      </c>
      <c r="L17" s="644" t="s">
        <v>46</v>
      </c>
      <c r="M17" s="644" t="s">
        <v>47</v>
      </c>
      <c r="N17" s="644" t="s">
        <v>48</v>
      </c>
      <c r="O17" s="644" t="s">
        <v>49</v>
      </c>
      <c r="P17" s="644" t="s">
        <v>50</v>
      </c>
      <c r="Q17" s="805"/>
      <c r="R17" s="805"/>
      <c r="S17" s="805"/>
      <c r="T17" s="648"/>
      <c r="U17" s="582" t="s">
        <v>51</v>
      </c>
      <c r="V17" s="571"/>
      <c r="W17" s="644" t="s">
        <v>52</v>
      </c>
      <c r="X17" s="644" t="s">
        <v>53</v>
      </c>
      <c r="Y17" s="585" t="s">
        <v>54</v>
      </c>
      <c r="Z17" s="695" t="s">
        <v>55</v>
      </c>
      <c r="AA17" s="612" t="s">
        <v>56</v>
      </c>
      <c r="AB17" s="612" t="s">
        <v>57</v>
      </c>
      <c r="AC17" s="612" t="s">
        <v>58</v>
      </c>
      <c r="AD17" s="612" t="s">
        <v>59</v>
      </c>
      <c r="AE17" s="613"/>
      <c r="AF17" s="614"/>
      <c r="AG17" s="66"/>
      <c r="BD17" s="65" t="s">
        <v>60</v>
      </c>
    </row>
    <row r="18" spans="1:68" ht="14.25" customHeight="1" x14ac:dyDescent="0.2">
      <c r="A18" s="645"/>
      <c r="B18" s="645"/>
      <c r="C18" s="645"/>
      <c r="D18" s="649"/>
      <c r="E18" s="650"/>
      <c r="F18" s="645"/>
      <c r="G18" s="645"/>
      <c r="H18" s="645"/>
      <c r="I18" s="645"/>
      <c r="J18" s="645"/>
      <c r="K18" s="645"/>
      <c r="L18" s="645"/>
      <c r="M18" s="645"/>
      <c r="N18" s="645"/>
      <c r="O18" s="645"/>
      <c r="P18" s="649"/>
      <c r="Q18" s="806"/>
      <c r="R18" s="806"/>
      <c r="S18" s="806"/>
      <c r="T18" s="650"/>
      <c r="U18" s="67" t="s">
        <v>61</v>
      </c>
      <c r="V18" s="67" t="s">
        <v>62</v>
      </c>
      <c r="W18" s="645"/>
      <c r="X18" s="645"/>
      <c r="Y18" s="586"/>
      <c r="Z18" s="696"/>
      <c r="AA18" s="697"/>
      <c r="AB18" s="697"/>
      <c r="AC18" s="697"/>
      <c r="AD18" s="615"/>
      <c r="AE18" s="616"/>
      <c r="AF18" s="617"/>
      <c r="AG18" s="66"/>
      <c r="BD18" s="65"/>
    </row>
    <row r="19" spans="1:68" ht="27.75" customHeight="1" x14ac:dyDescent="0.2">
      <c r="A19" s="601" t="s">
        <v>63</v>
      </c>
      <c r="B19" s="602"/>
      <c r="C19" s="602"/>
      <c r="D19" s="602"/>
      <c r="E19" s="602"/>
      <c r="F19" s="602"/>
      <c r="G19" s="602"/>
      <c r="H19" s="602"/>
      <c r="I19" s="602"/>
      <c r="J19" s="602"/>
      <c r="K19" s="602"/>
      <c r="L19" s="602"/>
      <c r="M19" s="602"/>
      <c r="N19" s="602"/>
      <c r="O19" s="602"/>
      <c r="P19" s="602"/>
      <c r="Q19" s="602"/>
      <c r="R19" s="602"/>
      <c r="S19" s="602"/>
      <c r="T19" s="602"/>
      <c r="U19" s="602"/>
      <c r="V19" s="602"/>
      <c r="W19" s="602"/>
      <c r="X19" s="602"/>
      <c r="Y19" s="602"/>
      <c r="Z19" s="602"/>
      <c r="AA19" s="48"/>
      <c r="AB19" s="48"/>
      <c r="AC19" s="48"/>
    </row>
    <row r="20" spans="1:68" ht="16.5" customHeight="1" x14ac:dyDescent="0.25">
      <c r="A20" s="572" t="s">
        <v>63</v>
      </c>
      <c r="B20" s="563"/>
      <c r="C20" s="563"/>
      <c r="D20" s="563"/>
      <c r="E20" s="563"/>
      <c r="F20" s="563"/>
      <c r="G20" s="563"/>
      <c r="H20" s="563"/>
      <c r="I20" s="563"/>
      <c r="J20" s="563"/>
      <c r="K20" s="563"/>
      <c r="L20" s="563"/>
      <c r="M20" s="563"/>
      <c r="N20" s="563"/>
      <c r="O20" s="563"/>
      <c r="P20" s="563"/>
      <c r="Q20" s="563"/>
      <c r="R20" s="563"/>
      <c r="S20" s="563"/>
      <c r="T20" s="563"/>
      <c r="U20" s="563"/>
      <c r="V20" s="563"/>
      <c r="W20" s="563"/>
      <c r="X20" s="563"/>
      <c r="Y20" s="563"/>
      <c r="Z20" s="563"/>
      <c r="AA20" s="544"/>
      <c r="AB20" s="544"/>
      <c r="AC20" s="544"/>
    </row>
    <row r="21" spans="1:68" ht="14.25" customHeight="1" x14ac:dyDescent="0.25">
      <c r="A21" s="575" t="s">
        <v>64</v>
      </c>
      <c r="B21" s="563"/>
      <c r="C21" s="563"/>
      <c r="D21" s="563"/>
      <c r="E21" s="563"/>
      <c r="F21" s="563"/>
      <c r="G21" s="563"/>
      <c r="H21" s="563"/>
      <c r="I21" s="563"/>
      <c r="J21" s="563"/>
      <c r="K21" s="563"/>
      <c r="L21" s="563"/>
      <c r="M21" s="563"/>
      <c r="N21" s="563"/>
      <c r="O21" s="563"/>
      <c r="P21" s="563"/>
      <c r="Q21" s="563"/>
      <c r="R21" s="563"/>
      <c r="S21" s="563"/>
      <c r="T21" s="563"/>
      <c r="U21" s="563"/>
      <c r="V21" s="563"/>
      <c r="W21" s="563"/>
      <c r="X21" s="563"/>
      <c r="Y21" s="563"/>
      <c r="Z21" s="563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9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6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2"/>
      <c r="B24" s="563"/>
      <c r="C24" s="563"/>
      <c r="D24" s="563"/>
      <c r="E24" s="563"/>
      <c r="F24" s="563"/>
      <c r="G24" s="563"/>
      <c r="H24" s="563"/>
      <c r="I24" s="563"/>
      <c r="J24" s="563"/>
      <c r="K24" s="563"/>
      <c r="L24" s="563"/>
      <c r="M24" s="563"/>
      <c r="N24" s="563"/>
      <c r="O24" s="564"/>
      <c r="P24" s="558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3"/>
      <c r="B25" s="563"/>
      <c r="C25" s="563"/>
      <c r="D25" s="563"/>
      <c r="E25" s="563"/>
      <c r="F25" s="563"/>
      <c r="G25" s="563"/>
      <c r="H25" s="563"/>
      <c r="I25" s="563"/>
      <c r="J25" s="563"/>
      <c r="K25" s="563"/>
      <c r="L25" s="563"/>
      <c r="M25" s="563"/>
      <c r="N25" s="563"/>
      <c r="O25" s="564"/>
      <c r="P25" s="558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75" t="s">
        <v>77</v>
      </c>
      <c r="B26" s="563"/>
      <c r="C26" s="563"/>
      <c r="D26" s="563"/>
      <c r="E26" s="563"/>
      <c r="F26" s="563"/>
      <c r="G26" s="563"/>
      <c r="H26" s="563"/>
      <c r="I26" s="563"/>
      <c r="J26" s="563"/>
      <c r="K26" s="563"/>
      <c r="L26" s="563"/>
      <c r="M26" s="563"/>
      <c r="N26" s="563"/>
      <c r="O26" s="563"/>
      <c r="P26" s="563"/>
      <c r="Q26" s="563"/>
      <c r="R26" s="563"/>
      <c r="S26" s="563"/>
      <c r="T26" s="563"/>
      <c r="U26" s="563"/>
      <c r="V26" s="563"/>
      <c r="W26" s="563"/>
      <c r="X26" s="563"/>
      <c r="Y26" s="563"/>
      <c r="Z26" s="563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1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3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86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2"/>
      <c r="B31" s="563"/>
      <c r="C31" s="563"/>
      <c r="D31" s="563"/>
      <c r="E31" s="563"/>
      <c r="F31" s="563"/>
      <c r="G31" s="563"/>
      <c r="H31" s="563"/>
      <c r="I31" s="563"/>
      <c r="J31" s="563"/>
      <c r="K31" s="563"/>
      <c r="L31" s="563"/>
      <c r="M31" s="563"/>
      <c r="N31" s="563"/>
      <c r="O31" s="564"/>
      <c r="P31" s="558" t="s">
        <v>75</v>
      </c>
      <c r="Q31" s="554"/>
      <c r="R31" s="554"/>
      <c r="S31" s="554"/>
      <c r="T31" s="554"/>
      <c r="U31" s="554"/>
      <c r="V31" s="555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x14ac:dyDescent="0.2">
      <c r="A32" s="563"/>
      <c r="B32" s="563"/>
      <c r="C32" s="563"/>
      <c r="D32" s="563"/>
      <c r="E32" s="563"/>
      <c r="F32" s="563"/>
      <c r="G32" s="563"/>
      <c r="H32" s="563"/>
      <c r="I32" s="563"/>
      <c r="J32" s="563"/>
      <c r="K32" s="563"/>
      <c r="L32" s="563"/>
      <c r="M32" s="563"/>
      <c r="N32" s="563"/>
      <c r="O32" s="564"/>
      <c r="P32" s="558" t="s">
        <v>75</v>
      </c>
      <c r="Q32" s="554"/>
      <c r="R32" s="554"/>
      <c r="S32" s="554"/>
      <c r="T32" s="554"/>
      <c r="U32" s="554"/>
      <c r="V32" s="555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customHeight="1" x14ac:dyDescent="0.25">
      <c r="A33" s="575" t="s">
        <v>91</v>
      </c>
      <c r="B33" s="563"/>
      <c r="C33" s="563"/>
      <c r="D33" s="563"/>
      <c r="E33" s="563"/>
      <c r="F33" s="563"/>
      <c r="G33" s="563"/>
      <c r="H33" s="563"/>
      <c r="I33" s="563"/>
      <c r="J33" s="563"/>
      <c r="K33" s="563"/>
      <c r="L33" s="563"/>
      <c r="M33" s="563"/>
      <c r="N33" s="563"/>
      <c r="O33" s="563"/>
      <c r="P33" s="563"/>
      <c r="Q33" s="563"/>
      <c r="R33" s="563"/>
      <c r="S33" s="563"/>
      <c r="T33" s="563"/>
      <c r="U33" s="563"/>
      <c r="V33" s="563"/>
      <c r="W33" s="563"/>
      <c r="X33" s="563"/>
      <c r="Y33" s="563"/>
      <c r="Z33" s="563"/>
      <c r="AA33" s="545"/>
      <c r="AB33" s="545"/>
      <c r="AC33" s="54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60"/>
      <c r="R34" s="560"/>
      <c r="S34" s="560"/>
      <c r="T34" s="561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2"/>
      <c r="B35" s="563"/>
      <c r="C35" s="563"/>
      <c r="D35" s="563"/>
      <c r="E35" s="563"/>
      <c r="F35" s="563"/>
      <c r="G35" s="563"/>
      <c r="H35" s="563"/>
      <c r="I35" s="563"/>
      <c r="J35" s="563"/>
      <c r="K35" s="563"/>
      <c r="L35" s="563"/>
      <c r="M35" s="563"/>
      <c r="N35" s="563"/>
      <c r="O35" s="564"/>
      <c r="P35" s="558" t="s">
        <v>75</v>
      </c>
      <c r="Q35" s="554"/>
      <c r="R35" s="554"/>
      <c r="S35" s="554"/>
      <c r="T35" s="554"/>
      <c r="U35" s="554"/>
      <c r="V35" s="555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x14ac:dyDescent="0.2">
      <c r="A36" s="563"/>
      <c r="B36" s="563"/>
      <c r="C36" s="563"/>
      <c r="D36" s="563"/>
      <c r="E36" s="563"/>
      <c r="F36" s="563"/>
      <c r="G36" s="563"/>
      <c r="H36" s="563"/>
      <c r="I36" s="563"/>
      <c r="J36" s="563"/>
      <c r="K36" s="563"/>
      <c r="L36" s="563"/>
      <c r="M36" s="563"/>
      <c r="N36" s="563"/>
      <c r="O36" s="564"/>
      <c r="P36" s="558" t="s">
        <v>75</v>
      </c>
      <c r="Q36" s="554"/>
      <c r="R36" s="554"/>
      <c r="S36" s="554"/>
      <c r="T36" s="554"/>
      <c r="U36" s="554"/>
      <c r="V36" s="555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customHeight="1" x14ac:dyDescent="0.2">
      <c r="A37" s="601" t="s">
        <v>97</v>
      </c>
      <c r="B37" s="602"/>
      <c r="C37" s="602"/>
      <c r="D37" s="602"/>
      <c r="E37" s="602"/>
      <c r="F37" s="602"/>
      <c r="G37" s="602"/>
      <c r="H37" s="602"/>
      <c r="I37" s="602"/>
      <c r="J37" s="602"/>
      <c r="K37" s="602"/>
      <c r="L37" s="602"/>
      <c r="M37" s="602"/>
      <c r="N37" s="602"/>
      <c r="O37" s="602"/>
      <c r="P37" s="602"/>
      <c r="Q37" s="602"/>
      <c r="R37" s="602"/>
      <c r="S37" s="602"/>
      <c r="T37" s="602"/>
      <c r="U37" s="602"/>
      <c r="V37" s="602"/>
      <c r="W37" s="602"/>
      <c r="X37" s="602"/>
      <c r="Y37" s="602"/>
      <c r="Z37" s="602"/>
      <c r="AA37" s="48"/>
      <c r="AB37" s="48"/>
      <c r="AC37" s="48"/>
    </row>
    <row r="38" spans="1:68" ht="16.5" customHeight="1" x14ac:dyDescent="0.25">
      <c r="A38" s="572" t="s">
        <v>98</v>
      </c>
      <c r="B38" s="563"/>
      <c r="C38" s="563"/>
      <c r="D38" s="563"/>
      <c r="E38" s="563"/>
      <c r="F38" s="563"/>
      <c r="G38" s="563"/>
      <c r="H38" s="563"/>
      <c r="I38" s="563"/>
      <c r="J38" s="563"/>
      <c r="K38" s="563"/>
      <c r="L38" s="563"/>
      <c r="M38" s="563"/>
      <c r="N38" s="563"/>
      <c r="O38" s="563"/>
      <c r="P38" s="563"/>
      <c r="Q38" s="563"/>
      <c r="R38" s="563"/>
      <c r="S38" s="563"/>
      <c r="T38" s="563"/>
      <c r="U38" s="563"/>
      <c r="V38" s="563"/>
      <c r="W38" s="563"/>
      <c r="X38" s="563"/>
      <c r="Y38" s="563"/>
      <c r="Z38" s="563"/>
      <c r="AA38" s="544"/>
      <c r="AB38" s="544"/>
      <c r="AC38" s="544"/>
    </row>
    <row r="39" spans="1:68" ht="14.25" customHeight="1" x14ac:dyDescent="0.25">
      <c r="A39" s="575" t="s">
        <v>99</v>
      </c>
      <c r="B39" s="563"/>
      <c r="C39" s="563"/>
      <c r="D39" s="563"/>
      <c r="E39" s="563"/>
      <c r="F39" s="563"/>
      <c r="G39" s="563"/>
      <c r="H39" s="563"/>
      <c r="I39" s="563"/>
      <c r="J39" s="563"/>
      <c r="K39" s="563"/>
      <c r="L39" s="563"/>
      <c r="M39" s="563"/>
      <c r="N39" s="563"/>
      <c r="O39" s="563"/>
      <c r="P39" s="563"/>
      <c r="Q39" s="563"/>
      <c r="R39" s="563"/>
      <c r="S39" s="563"/>
      <c r="T39" s="563"/>
      <c r="U39" s="563"/>
      <c r="V39" s="563"/>
      <c r="W39" s="563"/>
      <c r="X39" s="563"/>
      <c r="Y39" s="563"/>
      <c r="Z39" s="563"/>
      <c r="AA39" s="545"/>
      <c r="AB39" s="545"/>
      <c r="AC39" s="54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69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60"/>
      <c r="R40" s="560"/>
      <c r="S40" s="560"/>
      <c r="T40" s="561"/>
      <c r="U40" s="34"/>
      <c r="V40" s="34"/>
      <c r="W40" s="35" t="s">
        <v>69</v>
      </c>
      <c r="X40" s="549">
        <v>50</v>
      </c>
      <c r="Y40" s="550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51.898148148148145</v>
      </c>
      <c r="BN40" s="64">
        <f>IFERROR(Y40*I40/H40,"0")</f>
        <v>56.05</v>
      </c>
      <c r="BO40" s="64">
        <f>IFERROR(1/J40*(X40/H40),"0")</f>
        <v>7.2337962962962965E-2</v>
      </c>
      <c r="BP40" s="64">
        <f>IFERROR(1/J40*(Y40/H40),"0")</f>
        <v>7.8125E-2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66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 t="s">
        <v>110</v>
      </c>
      <c r="M42" s="33" t="s">
        <v>80</v>
      </c>
      <c r="N42" s="33"/>
      <c r="O42" s="32">
        <v>50</v>
      </c>
      <c r="P42" s="8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2"/>
      <c r="B43" s="563"/>
      <c r="C43" s="563"/>
      <c r="D43" s="563"/>
      <c r="E43" s="563"/>
      <c r="F43" s="563"/>
      <c r="G43" s="563"/>
      <c r="H43" s="563"/>
      <c r="I43" s="563"/>
      <c r="J43" s="563"/>
      <c r="K43" s="563"/>
      <c r="L43" s="563"/>
      <c r="M43" s="563"/>
      <c r="N43" s="563"/>
      <c r="O43" s="564"/>
      <c r="P43" s="558" t="s">
        <v>75</v>
      </c>
      <c r="Q43" s="554"/>
      <c r="R43" s="554"/>
      <c r="S43" s="554"/>
      <c r="T43" s="554"/>
      <c r="U43" s="554"/>
      <c r="V43" s="555"/>
      <c r="W43" s="37" t="s">
        <v>76</v>
      </c>
      <c r="X43" s="551">
        <f>IFERROR(X40/H40,"0")+IFERROR(X41/H41,"0")+IFERROR(X42/H42,"0")</f>
        <v>4.6296296296296298</v>
      </c>
      <c r="Y43" s="551">
        <f>IFERROR(Y40/H40,"0")+IFERROR(Y41/H41,"0")+IFERROR(Y42/H42,"0")</f>
        <v>5</v>
      </c>
      <c r="Z43" s="551">
        <f>IFERROR(IF(Z40="",0,Z40),"0")+IFERROR(IF(Z41="",0,Z41),"0")+IFERROR(IF(Z42="",0,Z42),"0")</f>
        <v>9.4899999999999998E-2</v>
      </c>
      <c r="AA43" s="552"/>
      <c r="AB43" s="552"/>
      <c r="AC43" s="552"/>
    </row>
    <row r="44" spans="1:68" x14ac:dyDescent="0.2">
      <c r="A44" s="563"/>
      <c r="B44" s="563"/>
      <c r="C44" s="563"/>
      <c r="D44" s="563"/>
      <c r="E44" s="563"/>
      <c r="F44" s="563"/>
      <c r="G44" s="563"/>
      <c r="H44" s="563"/>
      <c r="I44" s="563"/>
      <c r="J44" s="563"/>
      <c r="K44" s="563"/>
      <c r="L44" s="563"/>
      <c r="M44" s="563"/>
      <c r="N44" s="563"/>
      <c r="O44" s="564"/>
      <c r="P44" s="558" t="s">
        <v>75</v>
      </c>
      <c r="Q44" s="554"/>
      <c r="R44" s="554"/>
      <c r="S44" s="554"/>
      <c r="T44" s="554"/>
      <c r="U44" s="554"/>
      <c r="V44" s="555"/>
      <c r="W44" s="37" t="s">
        <v>69</v>
      </c>
      <c r="X44" s="551">
        <f>IFERROR(SUM(X40:X42),"0")</f>
        <v>50</v>
      </c>
      <c r="Y44" s="551">
        <f>IFERROR(SUM(Y40:Y42),"0")</f>
        <v>54</v>
      </c>
      <c r="Z44" s="37"/>
      <c r="AA44" s="552"/>
      <c r="AB44" s="552"/>
      <c r="AC44" s="552"/>
    </row>
    <row r="45" spans="1:68" ht="14.25" customHeight="1" x14ac:dyDescent="0.25">
      <c r="A45" s="575" t="s">
        <v>77</v>
      </c>
      <c r="B45" s="563"/>
      <c r="C45" s="563"/>
      <c r="D45" s="563"/>
      <c r="E45" s="563"/>
      <c r="F45" s="563"/>
      <c r="G45" s="563"/>
      <c r="H45" s="563"/>
      <c r="I45" s="563"/>
      <c r="J45" s="563"/>
      <c r="K45" s="563"/>
      <c r="L45" s="563"/>
      <c r="M45" s="563"/>
      <c r="N45" s="563"/>
      <c r="O45" s="563"/>
      <c r="P45" s="563"/>
      <c r="Q45" s="563"/>
      <c r="R45" s="563"/>
      <c r="S45" s="563"/>
      <c r="T45" s="563"/>
      <c r="U45" s="563"/>
      <c r="V45" s="563"/>
      <c r="W45" s="563"/>
      <c r="X45" s="563"/>
      <c r="Y45" s="563"/>
      <c r="Z45" s="563"/>
      <c r="AA45" s="545"/>
      <c r="AB45" s="545"/>
      <c r="AC45" s="54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80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60"/>
      <c r="R46" s="560"/>
      <c r="S46" s="560"/>
      <c r="T46" s="561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2"/>
      <c r="B47" s="563"/>
      <c r="C47" s="563"/>
      <c r="D47" s="563"/>
      <c r="E47" s="563"/>
      <c r="F47" s="563"/>
      <c r="G47" s="563"/>
      <c r="H47" s="563"/>
      <c r="I47" s="563"/>
      <c r="J47" s="563"/>
      <c r="K47" s="563"/>
      <c r="L47" s="563"/>
      <c r="M47" s="563"/>
      <c r="N47" s="563"/>
      <c r="O47" s="564"/>
      <c r="P47" s="558" t="s">
        <v>75</v>
      </c>
      <c r="Q47" s="554"/>
      <c r="R47" s="554"/>
      <c r="S47" s="554"/>
      <c r="T47" s="554"/>
      <c r="U47" s="554"/>
      <c r="V47" s="555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x14ac:dyDescent="0.2">
      <c r="A48" s="563"/>
      <c r="B48" s="563"/>
      <c r="C48" s="563"/>
      <c r="D48" s="563"/>
      <c r="E48" s="563"/>
      <c r="F48" s="563"/>
      <c r="G48" s="563"/>
      <c r="H48" s="563"/>
      <c r="I48" s="563"/>
      <c r="J48" s="563"/>
      <c r="K48" s="563"/>
      <c r="L48" s="563"/>
      <c r="M48" s="563"/>
      <c r="N48" s="563"/>
      <c r="O48" s="564"/>
      <c r="P48" s="558" t="s">
        <v>75</v>
      </c>
      <c r="Q48" s="554"/>
      <c r="R48" s="554"/>
      <c r="S48" s="554"/>
      <c r="T48" s="554"/>
      <c r="U48" s="554"/>
      <c r="V48" s="555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customHeight="1" x14ac:dyDescent="0.25">
      <c r="A49" s="572" t="s">
        <v>116</v>
      </c>
      <c r="B49" s="563"/>
      <c r="C49" s="563"/>
      <c r="D49" s="563"/>
      <c r="E49" s="563"/>
      <c r="F49" s="563"/>
      <c r="G49" s="563"/>
      <c r="H49" s="563"/>
      <c r="I49" s="563"/>
      <c r="J49" s="563"/>
      <c r="K49" s="563"/>
      <c r="L49" s="563"/>
      <c r="M49" s="563"/>
      <c r="N49" s="563"/>
      <c r="O49" s="563"/>
      <c r="P49" s="563"/>
      <c r="Q49" s="563"/>
      <c r="R49" s="563"/>
      <c r="S49" s="563"/>
      <c r="T49" s="563"/>
      <c r="U49" s="563"/>
      <c r="V49" s="563"/>
      <c r="W49" s="563"/>
      <c r="X49" s="563"/>
      <c r="Y49" s="563"/>
      <c r="Z49" s="563"/>
      <c r="AA49" s="544"/>
      <c r="AB49" s="544"/>
      <c r="AC49" s="544"/>
    </row>
    <row r="50" spans="1:68" ht="14.25" customHeight="1" x14ac:dyDescent="0.25">
      <c r="A50" s="575" t="s">
        <v>99</v>
      </c>
      <c r="B50" s="563"/>
      <c r="C50" s="563"/>
      <c r="D50" s="563"/>
      <c r="E50" s="563"/>
      <c r="F50" s="563"/>
      <c r="G50" s="563"/>
      <c r="H50" s="563"/>
      <c r="I50" s="563"/>
      <c r="J50" s="563"/>
      <c r="K50" s="563"/>
      <c r="L50" s="563"/>
      <c r="M50" s="563"/>
      <c r="N50" s="563"/>
      <c r="O50" s="563"/>
      <c r="P50" s="563"/>
      <c r="Q50" s="563"/>
      <c r="R50" s="563"/>
      <c r="S50" s="563"/>
      <c r="T50" s="563"/>
      <c r="U50" s="563"/>
      <c r="V50" s="563"/>
      <c r="W50" s="563"/>
      <c r="X50" s="563"/>
      <c r="Y50" s="563"/>
      <c r="Z50" s="563"/>
      <c r="AA50" s="545"/>
      <c r="AB50" s="545"/>
      <c r="AC50" s="54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8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60"/>
      <c r="R51" s="560"/>
      <c r="S51" s="560"/>
      <c r="T51" s="561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7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5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60"/>
      <c r="R53" s="560"/>
      <c r="S53" s="560"/>
      <c r="T53" s="561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6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60"/>
      <c r="R54" s="560"/>
      <c r="S54" s="560"/>
      <c r="T54" s="561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7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60"/>
      <c r="R55" s="560"/>
      <c r="S55" s="560"/>
      <c r="T55" s="561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85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2"/>
      <c r="B57" s="563"/>
      <c r="C57" s="563"/>
      <c r="D57" s="563"/>
      <c r="E57" s="563"/>
      <c r="F57" s="563"/>
      <c r="G57" s="563"/>
      <c r="H57" s="563"/>
      <c r="I57" s="563"/>
      <c r="J57" s="563"/>
      <c r="K57" s="563"/>
      <c r="L57" s="563"/>
      <c r="M57" s="563"/>
      <c r="N57" s="563"/>
      <c r="O57" s="564"/>
      <c r="P57" s="558" t="s">
        <v>75</v>
      </c>
      <c r="Q57" s="554"/>
      <c r="R57" s="554"/>
      <c r="S57" s="554"/>
      <c r="T57" s="554"/>
      <c r="U57" s="554"/>
      <c r="V57" s="555"/>
      <c r="W57" s="37" t="s">
        <v>76</v>
      </c>
      <c r="X57" s="551">
        <f>IFERROR(X51/H51,"0")+IFERROR(X52/H52,"0")+IFERROR(X53/H53,"0")+IFERROR(X54/H54,"0")+IFERROR(X55/H55,"0")+IFERROR(X56/H56,"0")</f>
        <v>0</v>
      </c>
      <c r="Y57" s="551">
        <f>IFERROR(Y51/H51,"0")+IFERROR(Y52/H52,"0")+IFERROR(Y53/H53,"0")+IFERROR(Y54/H54,"0")+IFERROR(Y55/H55,"0")+IFERROR(Y56/H56,"0")</f>
        <v>0</v>
      </c>
      <c r="Z57" s="551">
        <f>IFERROR(IF(Z51="",0,Z51),"0")+IFERROR(IF(Z52="",0,Z52),"0")+IFERROR(IF(Z53="",0,Z53),"0")+IFERROR(IF(Z54="",0,Z54),"0")+IFERROR(IF(Z55="",0,Z55),"0")+IFERROR(IF(Z56="",0,Z56),"0")</f>
        <v>0</v>
      </c>
      <c r="AA57" s="552"/>
      <c r="AB57" s="552"/>
      <c r="AC57" s="552"/>
    </row>
    <row r="58" spans="1:68" x14ac:dyDescent="0.2">
      <c r="A58" s="563"/>
      <c r="B58" s="563"/>
      <c r="C58" s="563"/>
      <c r="D58" s="563"/>
      <c r="E58" s="563"/>
      <c r="F58" s="563"/>
      <c r="G58" s="563"/>
      <c r="H58" s="563"/>
      <c r="I58" s="563"/>
      <c r="J58" s="563"/>
      <c r="K58" s="563"/>
      <c r="L58" s="563"/>
      <c r="M58" s="563"/>
      <c r="N58" s="563"/>
      <c r="O58" s="564"/>
      <c r="P58" s="558" t="s">
        <v>75</v>
      </c>
      <c r="Q58" s="554"/>
      <c r="R58" s="554"/>
      <c r="S58" s="554"/>
      <c r="T58" s="554"/>
      <c r="U58" s="554"/>
      <c r="V58" s="555"/>
      <c r="W58" s="37" t="s">
        <v>69</v>
      </c>
      <c r="X58" s="551">
        <f>IFERROR(SUM(X51:X56),"0")</f>
        <v>0</v>
      </c>
      <c r="Y58" s="551">
        <f>IFERROR(SUM(Y51:Y56),"0")</f>
        <v>0</v>
      </c>
      <c r="Z58" s="37"/>
      <c r="AA58" s="552"/>
      <c r="AB58" s="552"/>
      <c r="AC58" s="552"/>
    </row>
    <row r="59" spans="1:68" ht="14.25" customHeight="1" x14ac:dyDescent="0.25">
      <c r="A59" s="575" t="s">
        <v>135</v>
      </c>
      <c r="B59" s="563"/>
      <c r="C59" s="563"/>
      <c r="D59" s="563"/>
      <c r="E59" s="563"/>
      <c r="F59" s="563"/>
      <c r="G59" s="563"/>
      <c r="H59" s="563"/>
      <c r="I59" s="563"/>
      <c r="J59" s="563"/>
      <c r="K59" s="563"/>
      <c r="L59" s="563"/>
      <c r="M59" s="563"/>
      <c r="N59" s="563"/>
      <c r="O59" s="563"/>
      <c r="P59" s="563"/>
      <c r="Q59" s="563"/>
      <c r="R59" s="563"/>
      <c r="S59" s="563"/>
      <c r="T59" s="563"/>
      <c r="U59" s="563"/>
      <c r="V59" s="563"/>
      <c r="W59" s="563"/>
      <c r="X59" s="563"/>
      <c r="Y59" s="563"/>
      <c r="Z59" s="563"/>
      <c r="AA59" s="545"/>
      <c r="AB59" s="545"/>
      <c r="AC59" s="54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57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60"/>
      <c r="R60" s="560"/>
      <c r="S60" s="560"/>
      <c r="T60" s="561"/>
      <c r="U60" s="34"/>
      <c r="V60" s="34"/>
      <c r="W60" s="35" t="s">
        <v>69</v>
      </c>
      <c r="X60" s="549">
        <v>30</v>
      </c>
      <c r="Y60" s="550">
        <f>IFERROR(IF(X60="",0,CEILING((X60/$H60),1)*$H60),"")</f>
        <v>32.400000000000006</v>
      </c>
      <c r="Z60" s="36">
        <f>IFERROR(IF(Y60=0,"",ROUNDUP(Y60/H60,0)*0.01898),"")</f>
        <v>5.6940000000000004E-2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31.138888888888889</v>
      </c>
      <c r="BN60" s="64">
        <f>IFERROR(Y60*I60/H60,"0")</f>
        <v>33.630000000000003</v>
      </c>
      <c r="BO60" s="64">
        <f>IFERROR(1/J60*(X60/H60),"0")</f>
        <v>4.3402777777777776E-2</v>
      </c>
      <c r="BP60" s="64">
        <f>IFERROR(1/J60*(Y60/H60),"0")</f>
        <v>4.6875000000000007E-2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66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64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2"/>
      <c r="B63" s="563"/>
      <c r="C63" s="563"/>
      <c r="D63" s="563"/>
      <c r="E63" s="563"/>
      <c r="F63" s="563"/>
      <c r="G63" s="563"/>
      <c r="H63" s="563"/>
      <c r="I63" s="563"/>
      <c r="J63" s="563"/>
      <c r="K63" s="563"/>
      <c r="L63" s="563"/>
      <c r="M63" s="563"/>
      <c r="N63" s="563"/>
      <c r="O63" s="564"/>
      <c r="P63" s="558" t="s">
        <v>75</v>
      </c>
      <c r="Q63" s="554"/>
      <c r="R63" s="554"/>
      <c r="S63" s="554"/>
      <c r="T63" s="554"/>
      <c r="U63" s="554"/>
      <c r="V63" s="555"/>
      <c r="W63" s="37" t="s">
        <v>76</v>
      </c>
      <c r="X63" s="551">
        <f>IFERROR(X60/H60,"0")+IFERROR(X61/H61,"0")+IFERROR(X62/H62,"0")</f>
        <v>2.7777777777777777</v>
      </c>
      <c r="Y63" s="551">
        <f>IFERROR(Y60/H60,"0")+IFERROR(Y61/H61,"0")+IFERROR(Y62/H62,"0")</f>
        <v>3.0000000000000004</v>
      </c>
      <c r="Z63" s="551">
        <f>IFERROR(IF(Z60="",0,Z60),"0")+IFERROR(IF(Z61="",0,Z61),"0")+IFERROR(IF(Z62="",0,Z62),"0")</f>
        <v>5.6940000000000004E-2</v>
      </c>
      <c r="AA63" s="552"/>
      <c r="AB63" s="552"/>
      <c r="AC63" s="552"/>
    </row>
    <row r="64" spans="1:68" x14ac:dyDescent="0.2">
      <c r="A64" s="563"/>
      <c r="B64" s="563"/>
      <c r="C64" s="563"/>
      <c r="D64" s="563"/>
      <c r="E64" s="563"/>
      <c r="F64" s="563"/>
      <c r="G64" s="563"/>
      <c r="H64" s="563"/>
      <c r="I64" s="563"/>
      <c r="J64" s="563"/>
      <c r="K64" s="563"/>
      <c r="L64" s="563"/>
      <c r="M64" s="563"/>
      <c r="N64" s="563"/>
      <c r="O64" s="564"/>
      <c r="P64" s="558" t="s">
        <v>75</v>
      </c>
      <c r="Q64" s="554"/>
      <c r="R64" s="554"/>
      <c r="S64" s="554"/>
      <c r="T64" s="554"/>
      <c r="U64" s="554"/>
      <c r="V64" s="555"/>
      <c r="W64" s="37" t="s">
        <v>69</v>
      </c>
      <c r="X64" s="551">
        <f>IFERROR(SUM(X60:X62),"0")</f>
        <v>30</v>
      </c>
      <c r="Y64" s="551">
        <f>IFERROR(SUM(Y60:Y62),"0")</f>
        <v>32.400000000000006</v>
      </c>
      <c r="Z64" s="37"/>
      <c r="AA64" s="552"/>
      <c r="AB64" s="552"/>
      <c r="AC64" s="552"/>
    </row>
    <row r="65" spans="1:68" ht="14.25" customHeight="1" x14ac:dyDescent="0.25">
      <c r="A65" s="575" t="s">
        <v>64</v>
      </c>
      <c r="B65" s="563"/>
      <c r="C65" s="563"/>
      <c r="D65" s="563"/>
      <c r="E65" s="563"/>
      <c r="F65" s="563"/>
      <c r="G65" s="563"/>
      <c r="H65" s="563"/>
      <c r="I65" s="563"/>
      <c r="J65" s="563"/>
      <c r="K65" s="563"/>
      <c r="L65" s="563"/>
      <c r="M65" s="563"/>
      <c r="N65" s="563"/>
      <c r="O65" s="563"/>
      <c r="P65" s="563"/>
      <c r="Q65" s="563"/>
      <c r="R65" s="563"/>
      <c r="S65" s="563"/>
      <c r="T65" s="563"/>
      <c r="U65" s="563"/>
      <c r="V65" s="563"/>
      <c r="W65" s="563"/>
      <c r="X65" s="563"/>
      <c r="Y65" s="563"/>
      <c r="Z65" s="563"/>
      <c r="AA65" s="545"/>
      <c r="AB65" s="545"/>
      <c r="AC65" s="54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5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60"/>
      <c r="R66" s="560"/>
      <c r="S66" s="560"/>
      <c r="T66" s="561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1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2"/>
      <c r="B68" s="563"/>
      <c r="C68" s="563"/>
      <c r="D68" s="563"/>
      <c r="E68" s="563"/>
      <c r="F68" s="563"/>
      <c r="G68" s="563"/>
      <c r="H68" s="563"/>
      <c r="I68" s="563"/>
      <c r="J68" s="563"/>
      <c r="K68" s="563"/>
      <c r="L68" s="563"/>
      <c r="M68" s="563"/>
      <c r="N68" s="563"/>
      <c r="O68" s="564"/>
      <c r="P68" s="558" t="s">
        <v>75</v>
      </c>
      <c r="Q68" s="554"/>
      <c r="R68" s="554"/>
      <c r="S68" s="554"/>
      <c r="T68" s="554"/>
      <c r="U68" s="554"/>
      <c r="V68" s="555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x14ac:dyDescent="0.2">
      <c r="A69" s="563"/>
      <c r="B69" s="563"/>
      <c r="C69" s="563"/>
      <c r="D69" s="563"/>
      <c r="E69" s="563"/>
      <c r="F69" s="563"/>
      <c r="G69" s="563"/>
      <c r="H69" s="563"/>
      <c r="I69" s="563"/>
      <c r="J69" s="563"/>
      <c r="K69" s="563"/>
      <c r="L69" s="563"/>
      <c r="M69" s="563"/>
      <c r="N69" s="563"/>
      <c r="O69" s="564"/>
      <c r="P69" s="558" t="s">
        <v>75</v>
      </c>
      <c r="Q69" s="554"/>
      <c r="R69" s="554"/>
      <c r="S69" s="554"/>
      <c r="T69" s="554"/>
      <c r="U69" s="554"/>
      <c r="V69" s="555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customHeight="1" x14ac:dyDescent="0.25">
      <c r="A70" s="575" t="s">
        <v>77</v>
      </c>
      <c r="B70" s="563"/>
      <c r="C70" s="563"/>
      <c r="D70" s="563"/>
      <c r="E70" s="563"/>
      <c r="F70" s="563"/>
      <c r="G70" s="563"/>
      <c r="H70" s="563"/>
      <c r="I70" s="563"/>
      <c r="J70" s="563"/>
      <c r="K70" s="563"/>
      <c r="L70" s="563"/>
      <c r="M70" s="563"/>
      <c r="N70" s="563"/>
      <c r="O70" s="563"/>
      <c r="P70" s="563"/>
      <c r="Q70" s="563"/>
      <c r="R70" s="563"/>
      <c r="S70" s="563"/>
      <c r="T70" s="563"/>
      <c r="U70" s="563"/>
      <c r="V70" s="563"/>
      <c r="W70" s="563"/>
      <c r="X70" s="563"/>
      <c r="Y70" s="563"/>
      <c r="Z70" s="563"/>
      <c r="AA70" s="545"/>
      <c r="AB70" s="545"/>
      <c r="AC70" s="545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6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60"/>
      <c r="R71" s="560"/>
      <c r="S71" s="560"/>
      <c r="T71" s="561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60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87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4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2"/>
      <c r="B75" s="563"/>
      <c r="C75" s="563"/>
      <c r="D75" s="563"/>
      <c r="E75" s="563"/>
      <c r="F75" s="563"/>
      <c r="G75" s="563"/>
      <c r="H75" s="563"/>
      <c r="I75" s="563"/>
      <c r="J75" s="563"/>
      <c r="K75" s="563"/>
      <c r="L75" s="563"/>
      <c r="M75" s="563"/>
      <c r="N75" s="563"/>
      <c r="O75" s="564"/>
      <c r="P75" s="558" t="s">
        <v>75</v>
      </c>
      <c r="Q75" s="554"/>
      <c r="R75" s="554"/>
      <c r="S75" s="554"/>
      <c r="T75" s="554"/>
      <c r="U75" s="554"/>
      <c r="V75" s="555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x14ac:dyDescent="0.2">
      <c r="A76" s="563"/>
      <c r="B76" s="563"/>
      <c r="C76" s="563"/>
      <c r="D76" s="563"/>
      <c r="E76" s="563"/>
      <c r="F76" s="563"/>
      <c r="G76" s="563"/>
      <c r="H76" s="563"/>
      <c r="I76" s="563"/>
      <c r="J76" s="563"/>
      <c r="K76" s="563"/>
      <c r="L76" s="563"/>
      <c r="M76" s="563"/>
      <c r="N76" s="563"/>
      <c r="O76" s="564"/>
      <c r="P76" s="558" t="s">
        <v>75</v>
      </c>
      <c r="Q76" s="554"/>
      <c r="R76" s="554"/>
      <c r="S76" s="554"/>
      <c r="T76" s="554"/>
      <c r="U76" s="554"/>
      <c r="V76" s="555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customHeight="1" x14ac:dyDescent="0.25">
      <c r="A77" s="575" t="s">
        <v>160</v>
      </c>
      <c r="B77" s="563"/>
      <c r="C77" s="563"/>
      <c r="D77" s="563"/>
      <c r="E77" s="563"/>
      <c r="F77" s="563"/>
      <c r="G77" s="563"/>
      <c r="H77" s="563"/>
      <c r="I77" s="563"/>
      <c r="J77" s="563"/>
      <c r="K77" s="563"/>
      <c r="L77" s="563"/>
      <c r="M77" s="563"/>
      <c r="N77" s="563"/>
      <c r="O77" s="563"/>
      <c r="P77" s="563"/>
      <c r="Q77" s="563"/>
      <c r="R77" s="563"/>
      <c r="S77" s="563"/>
      <c r="T77" s="563"/>
      <c r="U77" s="563"/>
      <c r="V77" s="563"/>
      <c r="W77" s="563"/>
      <c r="X77" s="563"/>
      <c r="Y77" s="563"/>
      <c r="Z77" s="563"/>
      <c r="AA77" s="545"/>
      <c r="AB77" s="545"/>
      <c r="AC77" s="545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7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60"/>
      <c r="R78" s="560"/>
      <c r="S78" s="560"/>
      <c r="T78" s="561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87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2"/>
      <c r="B80" s="563"/>
      <c r="C80" s="563"/>
      <c r="D80" s="563"/>
      <c r="E80" s="563"/>
      <c r="F80" s="563"/>
      <c r="G80" s="563"/>
      <c r="H80" s="563"/>
      <c r="I80" s="563"/>
      <c r="J80" s="563"/>
      <c r="K80" s="563"/>
      <c r="L80" s="563"/>
      <c r="M80" s="563"/>
      <c r="N80" s="563"/>
      <c r="O80" s="564"/>
      <c r="P80" s="558" t="s">
        <v>75</v>
      </c>
      <c r="Q80" s="554"/>
      <c r="R80" s="554"/>
      <c r="S80" s="554"/>
      <c r="T80" s="554"/>
      <c r="U80" s="554"/>
      <c r="V80" s="555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x14ac:dyDescent="0.2">
      <c r="A81" s="563"/>
      <c r="B81" s="563"/>
      <c r="C81" s="563"/>
      <c r="D81" s="563"/>
      <c r="E81" s="563"/>
      <c r="F81" s="563"/>
      <c r="G81" s="563"/>
      <c r="H81" s="563"/>
      <c r="I81" s="563"/>
      <c r="J81" s="563"/>
      <c r="K81" s="563"/>
      <c r="L81" s="563"/>
      <c r="M81" s="563"/>
      <c r="N81" s="563"/>
      <c r="O81" s="564"/>
      <c r="P81" s="558" t="s">
        <v>75</v>
      </c>
      <c r="Q81" s="554"/>
      <c r="R81" s="554"/>
      <c r="S81" s="554"/>
      <c r="T81" s="554"/>
      <c r="U81" s="554"/>
      <c r="V81" s="555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customHeight="1" x14ac:dyDescent="0.25">
      <c r="A82" s="572" t="s">
        <v>167</v>
      </c>
      <c r="B82" s="563"/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3"/>
      <c r="N82" s="563"/>
      <c r="O82" s="563"/>
      <c r="P82" s="563"/>
      <c r="Q82" s="563"/>
      <c r="R82" s="563"/>
      <c r="S82" s="563"/>
      <c r="T82" s="563"/>
      <c r="U82" s="563"/>
      <c r="V82" s="563"/>
      <c r="W82" s="563"/>
      <c r="X82" s="563"/>
      <c r="Y82" s="563"/>
      <c r="Z82" s="563"/>
      <c r="AA82" s="544"/>
      <c r="AB82" s="544"/>
      <c r="AC82" s="544"/>
    </row>
    <row r="83" spans="1:68" ht="14.25" customHeight="1" x14ac:dyDescent="0.25">
      <c r="A83" s="575" t="s">
        <v>99</v>
      </c>
      <c r="B83" s="563"/>
      <c r="C83" s="563"/>
      <c r="D83" s="563"/>
      <c r="E83" s="563"/>
      <c r="F83" s="563"/>
      <c r="G83" s="563"/>
      <c r="H83" s="563"/>
      <c r="I83" s="563"/>
      <c r="J83" s="563"/>
      <c r="K83" s="563"/>
      <c r="L83" s="563"/>
      <c r="M83" s="563"/>
      <c r="N83" s="563"/>
      <c r="O83" s="563"/>
      <c r="P83" s="563"/>
      <c r="Q83" s="563"/>
      <c r="R83" s="563"/>
      <c r="S83" s="563"/>
      <c r="T83" s="563"/>
      <c r="U83" s="563"/>
      <c r="V83" s="563"/>
      <c r="W83" s="563"/>
      <c r="X83" s="563"/>
      <c r="Y83" s="563"/>
      <c r="Z83" s="563"/>
      <c r="AA83" s="545"/>
      <c r="AB83" s="545"/>
      <c r="AC83" s="545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68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60"/>
      <c r="R84" s="560"/>
      <c r="S84" s="560"/>
      <c r="T84" s="561"/>
      <c r="U84" s="34"/>
      <c r="V84" s="34"/>
      <c r="W84" s="35" t="s">
        <v>69</v>
      </c>
      <c r="X84" s="549">
        <v>150</v>
      </c>
      <c r="Y84" s="550">
        <f>IFERROR(IF(X84="",0,CEILING((X84/$H84),1)*$H84),"")</f>
        <v>151.20000000000002</v>
      </c>
      <c r="Z84" s="36">
        <f>IFERROR(IF(Y84=0,"",ROUNDUP(Y84/H84,0)*0.01898),"")</f>
        <v>0.26572000000000001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155.69444444444446</v>
      </c>
      <c r="BN84" s="64">
        <f>IFERROR(Y84*I84/H84,"0")</f>
        <v>156.94</v>
      </c>
      <c r="BO84" s="64">
        <f>IFERROR(1/J84*(X84/H84),"0")</f>
        <v>0.21701388888888887</v>
      </c>
      <c r="BP84" s="64">
        <f>IFERROR(1/J84*(Y84/H84),"0")</f>
        <v>0.21875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60"/>
      <c r="R85" s="560"/>
      <c r="S85" s="560"/>
      <c r="T85" s="561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8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60"/>
      <c r="R86" s="560"/>
      <c r="S86" s="560"/>
      <c r="T86" s="561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60"/>
      <c r="R87" s="560"/>
      <c r="S87" s="560"/>
      <c r="T87" s="561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2"/>
      <c r="B88" s="563"/>
      <c r="C88" s="563"/>
      <c r="D88" s="563"/>
      <c r="E88" s="563"/>
      <c r="F88" s="563"/>
      <c r="G88" s="563"/>
      <c r="H88" s="563"/>
      <c r="I88" s="563"/>
      <c r="J88" s="563"/>
      <c r="K88" s="563"/>
      <c r="L88" s="563"/>
      <c r="M88" s="563"/>
      <c r="N88" s="563"/>
      <c r="O88" s="564"/>
      <c r="P88" s="558" t="s">
        <v>75</v>
      </c>
      <c r="Q88" s="554"/>
      <c r="R88" s="554"/>
      <c r="S88" s="554"/>
      <c r="T88" s="554"/>
      <c r="U88" s="554"/>
      <c r="V88" s="555"/>
      <c r="W88" s="37" t="s">
        <v>76</v>
      </c>
      <c r="X88" s="551">
        <f>IFERROR(X84/H84,"0")+IFERROR(X85/H85,"0")+IFERROR(X86/H86,"0")+IFERROR(X87/H87,"0")</f>
        <v>13.888888888888888</v>
      </c>
      <c r="Y88" s="551">
        <f>IFERROR(Y84/H84,"0")+IFERROR(Y85/H85,"0")+IFERROR(Y86/H86,"0")+IFERROR(Y87/H87,"0")</f>
        <v>14</v>
      </c>
      <c r="Z88" s="551">
        <f>IFERROR(IF(Z84="",0,Z84),"0")+IFERROR(IF(Z85="",0,Z85),"0")+IFERROR(IF(Z86="",0,Z86),"0")+IFERROR(IF(Z87="",0,Z87),"0")</f>
        <v>0.26572000000000001</v>
      </c>
      <c r="AA88" s="552"/>
      <c r="AB88" s="552"/>
      <c r="AC88" s="552"/>
    </row>
    <row r="89" spans="1:68" x14ac:dyDescent="0.2">
      <c r="A89" s="563"/>
      <c r="B89" s="563"/>
      <c r="C89" s="563"/>
      <c r="D89" s="563"/>
      <c r="E89" s="563"/>
      <c r="F89" s="563"/>
      <c r="G89" s="563"/>
      <c r="H89" s="563"/>
      <c r="I89" s="563"/>
      <c r="J89" s="563"/>
      <c r="K89" s="563"/>
      <c r="L89" s="563"/>
      <c r="M89" s="563"/>
      <c r="N89" s="563"/>
      <c r="O89" s="564"/>
      <c r="P89" s="558" t="s">
        <v>75</v>
      </c>
      <c r="Q89" s="554"/>
      <c r="R89" s="554"/>
      <c r="S89" s="554"/>
      <c r="T89" s="554"/>
      <c r="U89" s="554"/>
      <c r="V89" s="555"/>
      <c r="W89" s="37" t="s">
        <v>69</v>
      </c>
      <c r="X89" s="551">
        <f>IFERROR(SUM(X84:X87),"0")</f>
        <v>150</v>
      </c>
      <c r="Y89" s="551">
        <f>IFERROR(SUM(Y84:Y87),"0")</f>
        <v>151.20000000000002</v>
      </c>
      <c r="Z89" s="37"/>
      <c r="AA89" s="552"/>
      <c r="AB89" s="552"/>
      <c r="AC89" s="552"/>
    </row>
    <row r="90" spans="1:68" ht="14.25" customHeight="1" x14ac:dyDescent="0.25">
      <c r="A90" s="575" t="s">
        <v>77</v>
      </c>
      <c r="B90" s="563"/>
      <c r="C90" s="563"/>
      <c r="D90" s="563"/>
      <c r="E90" s="563"/>
      <c r="F90" s="563"/>
      <c r="G90" s="563"/>
      <c r="H90" s="563"/>
      <c r="I90" s="563"/>
      <c r="J90" s="563"/>
      <c r="K90" s="563"/>
      <c r="L90" s="563"/>
      <c r="M90" s="563"/>
      <c r="N90" s="563"/>
      <c r="O90" s="563"/>
      <c r="P90" s="563"/>
      <c r="Q90" s="563"/>
      <c r="R90" s="563"/>
      <c r="S90" s="563"/>
      <c r="T90" s="563"/>
      <c r="U90" s="563"/>
      <c r="V90" s="563"/>
      <c r="W90" s="563"/>
      <c r="X90" s="563"/>
      <c r="Y90" s="563"/>
      <c r="Z90" s="563"/>
      <c r="AA90" s="545"/>
      <c r="AB90" s="545"/>
      <c r="AC90" s="545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60"/>
      <c r="R91" s="560"/>
      <c r="S91" s="560"/>
      <c r="T91" s="561"/>
      <c r="U91" s="34"/>
      <c r="V91" s="34"/>
      <c r="W91" s="35" t="s">
        <v>69</v>
      </c>
      <c r="X91" s="549">
        <v>100</v>
      </c>
      <c r="Y91" s="550">
        <f>IFERROR(IF(X91="",0,CEILING((X91/$H91),1)*$H91),"")</f>
        <v>105.3</v>
      </c>
      <c r="Z91" s="36">
        <f>IFERROR(IF(Y91=0,"",ROUNDUP(Y91/H91,0)*0.01898),"")</f>
        <v>0.24674000000000001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106.09876543209877</v>
      </c>
      <c r="BN91" s="64">
        <f>IFERROR(Y91*I91/H91,"0")</f>
        <v>111.72199999999999</v>
      </c>
      <c r="BO91" s="64">
        <f>IFERROR(1/J91*(X91/H91),"0")</f>
        <v>0.19290123456790123</v>
      </c>
      <c r="BP91" s="64">
        <f>IFERROR(1/J91*(Y91/H91),"0")</f>
        <v>0.203125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83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6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49">
        <v>27</v>
      </c>
      <c r="Y93" s="550">
        <f>IFERROR(IF(X93="",0,CEILING((X93/$H93),1)*$H93),"")</f>
        <v>27</v>
      </c>
      <c r="Z93" s="36">
        <f>IFERROR(IF(Y93=0,"",ROUNDUP(Y93/H93,0)*0.00651),"")</f>
        <v>6.5100000000000005E-2</v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29.519999999999996</v>
      </c>
      <c r="BN93" s="64">
        <f>IFERROR(Y93*I93/H93,"0")</f>
        <v>29.519999999999996</v>
      </c>
      <c r="BO93" s="64">
        <f>IFERROR(1/J93*(X93/H93),"0")</f>
        <v>5.4945054945054951E-2</v>
      </c>
      <c r="BP93" s="64">
        <f>IFERROR(1/J93*(Y93/H93),"0")</f>
        <v>5.4945054945054951E-2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83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60"/>
      <c r="R94" s="560"/>
      <c r="S94" s="560"/>
      <c r="T94" s="561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2"/>
      <c r="B95" s="563"/>
      <c r="C95" s="563"/>
      <c r="D95" s="563"/>
      <c r="E95" s="563"/>
      <c r="F95" s="563"/>
      <c r="G95" s="563"/>
      <c r="H95" s="563"/>
      <c r="I95" s="563"/>
      <c r="J95" s="563"/>
      <c r="K95" s="563"/>
      <c r="L95" s="563"/>
      <c r="M95" s="563"/>
      <c r="N95" s="563"/>
      <c r="O95" s="564"/>
      <c r="P95" s="558" t="s">
        <v>75</v>
      </c>
      <c r="Q95" s="554"/>
      <c r="R95" s="554"/>
      <c r="S95" s="554"/>
      <c r="T95" s="554"/>
      <c r="U95" s="554"/>
      <c r="V95" s="555"/>
      <c r="W95" s="37" t="s">
        <v>76</v>
      </c>
      <c r="X95" s="551">
        <f>IFERROR(X91/H91,"0")+IFERROR(X92/H92,"0")+IFERROR(X93/H93,"0")+IFERROR(X94/H94,"0")</f>
        <v>22.345679012345677</v>
      </c>
      <c r="Y95" s="551">
        <f>IFERROR(Y91/H91,"0")+IFERROR(Y92/H92,"0")+IFERROR(Y93/H93,"0")+IFERROR(Y94/H94,"0")</f>
        <v>23</v>
      </c>
      <c r="Z95" s="551">
        <f>IFERROR(IF(Z91="",0,Z91),"0")+IFERROR(IF(Z92="",0,Z92),"0")+IFERROR(IF(Z93="",0,Z93),"0")+IFERROR(IF(Z94="",0,Z94),"0")</f>
        <v>0.31184000000000001</v>
      </c>
      <c r="AA95" s="552"/>
      <c r="AB95" s="552"/>
      <c r="AC95" s="552"/>
    </row>
    <row r="96" spans="1:68" x14ac:dyDescent="0.2">
      <c r="A96" s="563"/>
      <c r="B96" s="563"/>
      <c r="C96" s="563"/>
      <c r="D96" s="563"/>
      <c r="E96" s="563"/>
      <c r="F96" s="563"/>
      <c r="G96" s="563"/>
      <c r="H96" s="563"/>
      <c r="I96" s="563"/>
      <c r="J96" s="563"/>
      <c r="K96" s="563"/>
      <c r="L96" s="563"/>
      <c r="M96" s="563"/>
      <c r="N96" s="563"/>
      <c r="O96" s="564"/>
      <c r="P96" s="558" t="s">
        <v>75</v>
      </c>
      <c r="Q96" s="554"/>
      <c r="R96" s="554"/>
      <c r="S96" s="554"/>
      <c r="T96" s="554"/>
      <c r="U96" s="554"/>
      <c r="V96" s="555"/>
      <c r="W96" s="37" t="s">
        <v>69</v>
      </c>
      <c r="X96" s="551">
        <f>IFERROR(SUM(X91:X94),"0")</f>
        <v>127</v>
      </c>
      <c r="Y96" s="551">
        <f>IFERROR(SUM(Y91:Y94),"0")</f>
        <v>132.30000000000001</v>
      </c>
      <c r="Z96" s="37"/>
      <c r="AA96" s="552"/>
      <c r="AB96" s="552"/>
      <c r="AC96" s="552"/>
    </row>
    <row r="97" spans="1:68" ht="16.5" customHeight="1" x14ac:dyDescent="0.25">
      <c r="A97" s="572" t="s">
        <v>190</v>
      </c>
      <c r="B97" s="563"/>
      <c r="C97" s="563"/>
      <c r="D97" s="563"/>
      <c r="E97" s="563"/>
      <c r="F97" s="563"/>
      <c r="G97" s="563"/>
      <c r="H97" s="563"/>
      <c r="I97" s="563"/>
      <c r="J97" s="563"/>
      <c r="K97" s="563"/>
      <c r="L97" s="563"/>
      <c r="M97" s="563"/>
      <c r="N97" s="563"/>
      <c r="O97" s="563"/>
      <c r="P97" s="563"/>
      <c r="Q97" s="563"/>
      <c r="R97" s="563"/>
      <c r="S97" s="563"/>
      <c r="T97" s="563"/>
      <c r="U97" s="563"/>
      <c r="V97" s="563"/>
      <c r="W97" s="563"/>
      <c r="X97" s="563"/>
      <c r="Y97" s="563"/>
      <c r="Z97" s="563"/>
      <c r="AA97" s="544"/>
      <c r="AB97" s="544"/>
      <c r="AC97" s="544"/>
    </row>
    <row r="98" spans="1:68" ht="14.25" customHeight="1" x14ac:dyDescent="0.25">
      <c r="A98" s="575" t="s">
        <v>99</v>
      </c>
      <c r="B98" s="563"/>
      <c r="C98" s="563"/>
      <c r="D98" s="563"/>
      <c r="E98" s="563"/>
      <c r="F98" s="563"/>
      <c r="G98" s="563"/>
      <c r="H98" s="563"/>
      <c r="I98" s="563"/>
      <c r="J98" s="563"/>
      <c r="K98" s="563"/>
      <c r="L98" s="563"/>
      <c r="M98" s="563"/>
      <c r="N98" s="563"/>
      <c r="O98" s="563"/>
      <c r="P98" s="563"/>
      <c r="Q98" s="563"/>
      <c r="R98" s="563"/>
      <c r="S98" s="563"/>
      <c r="T98" s="563"/>
      <c r="U98" s="563"/>
      <c r="V98" s="563"/>
      <c r="W98" s="563"/>
      <c r="X98" s="563"/>
      <c r="Y98" s="563"/>
      <c r="Z98" s="563"/>
      <c r="AA98" s="545"/>
      <c r="AB98" s="545"/>
      <c r="AC98" s="54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8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60"/>
      <c r="R99" s="560"/>
      <c r="S99" s="560"/>
      <c r="T99" s="561"/>
      <c r="U99" s="34"/>
      <c r="V99" s="34"/>
      <c r="W99" s="35" t="s">
        <v>69</v>
      </c>
      <c r="X99" s="549">
        <v>60</v>
      </c>
      <c r="Y99" s="550">
        <f>IFERROR(IF(X99="",0,CEILING((X99/$H99),1)*$H99),"")</f>
        <v>64.800000000000011</v>
      </c>
      <c r="Z99" s="36">
        <f>IFERROR(IF(Y99=0,"",ROUNDUP(Y99/H99,0)*0.01898),"")</f>
        <v>0.11388000000000001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62.277777777777779</v>
      </c>
      <c r="BN99" s="64">
        <f>IFERROR(Y99*I99/H99,"0")</f>
        <v>67.260000000000005</v>
      </c>
      <c r="BO99" s="64">
        <f>IFERROR(1/J99*(X99/H99),"0")</f>
        <v>8.6805555555555552E-2</v>
      </c>
      <c r="BP99" s="64">
        <f>IFERROR(1/J99*(Y99/H99),"0")</f>
        <v>9.3750000000000014E-2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83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60"/>
      <c r="R101" s="560"/>
      <c r="S101" s="560"/>
      <c r="T101" s="561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63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2"/>
      <c r="B104" s="563"/>
      <c r="C104" s="563"/>
      <c r="D104" s="563"/>
      <c r="E104" s="563"/>
      <c r="F104" s="563"/>
      <c r="G104" s="563"/>
      <c r="H104" s="563"/>
      <c r="I104" s="563"/>
      <c r="J104" s="563"/>
      <c r="K104" s="563"/>
      <c r="L104" s="563"/>
      <c r="M104" s="563"/>
      <c r="N104" s="563"/>
      <c r="O104" s="564"/>
      <c r="P104" s="558" t="s">
        <v>75</v>
      </c>
      <c r="Q104" s="554"/>
      <c r="R104" s="554"/>
      <c r="S104" s="554"/>
      <c r="T104" s="554"/>
      <c r="U104" s="554"/>
      <c r="V104" s="555"/>
      <c r="W104" s="37" t="s">
        <v>76</v>
      </c>
      <c r="X104" s="551">
        <f>IFERROR(X99/H99,"0")+IFERROR(X100/H100,"0")+IFERROR(X101/H101,"0")+IFERROR(X102/H102,"0")+IFERROR(X103/H103,"0")</f>
        <v>5.5555555555555554</v>
      </c>
      <c r="Y104" s="551">
        <f>IFERROR(Y99/H99,"0")+IFERROR(Y100/H100,"0")+IFERROR(Y101/H101,"0")+IFERROR(Y102/H102,"0")+IFERROR(Y103/H103,"0")</f>
        <v>6.0000000000000009</v>
      </c>
      <c r="Z104" s="551">
        <f>IFERROR(IF(Z99="",0,Z99),"0")+IFERROR(IF(Z100="",0,Z100),"0")+IFERROR(IF(Z101="",0,Z101),"0")+IFERROR(IF(Z102="",0,Z102),"0")+IFERROR(IF(Z103="",0,Z103),"0")</f>
        <v>0.11388000000000001</v>
      </c>
      <c r="AA104" s="552"/>
      <c r="AB104" s="552"/>
      <c r="AC104" s="552"/>
    </row>
    <row r="105" spans="1:68" x14ac:dyDescent="0.2">
      <c r="A105" s="563"/>
      <c r="B105" s="563"/>
      <c r="C105" s="563"/>
      <c r="D105" s="563"/>
      <c r="E105" s="563"/>
      <c r="F105" s="563"/>
      <c r="G105" s="563"/>
      <c r="H105" s="563"/>
      <c r="I105" s="563"/>
      <c r="J105" s="563"/>
      <c r="K105" s="563"/>
      <c r="L105" s="563"/>
      <c r="M105" s="563"/>
      <c r="N105" s="563"/>
      <c r="O105" s="564"/>
      <c r="P105" s="558" t="s">
        <v>75</v>
      </c>
      <c r="Q105" s="554"/>
      <c r="R105" s="554"/>
      <c r="S105" s="554"/>
      <c r="T105" s="554"/>
      <c r="U105" s="554"/>
      <c r="V105" s="555"/>
      <c r="W105" s="37" t="s">
        <v>69</v>
      </c>
      <c r="X105" s="551">
        <f>IFERROR(SUM(X99:X103),"0")</f>
        <v>60</v>
      </c>
      <c r="Y105" s="551">
        <f>IFERROR(SUM(Y99:Y103),"0")</f>
        <v>64.800000000000011</v>
      </c>
      <c r="Z105" s="37"/>
      <c r="AA105" s="552"/>
      <c r="AB105" s="552"/>
      <c r="AC105" s="552"/>
    </row>
    <row r="106" spans="1:68" ht="14.25" customHeight="1" x14ac:dyDescent="0.25">
      <c r="A106" s="575" t="s">
        <v>135</v>
      </c>
      <c r="B106" s="563"/>
      <c r="C106" s="563"/>
      <c r="D106" s="563"/>
      <c r="E106" s="563"/>
      <c r="F106" s="563"/>
      <c r="G106" s="563"/>
      <c r="H106" s="563"/>
      <c r="I106" s="563"/>
      <c r="J106" s="563"/>
      <c r="K106" s="563"/>
      <c r="L106" s="563"/>
      <c r="M106" s="563"/>
      <c r="N106" s="563"/>
      <c r="O106" s="563"/>
      <c r="P106" s="563"/>
      <c r="Q106" s="563"/>
      <c r="R106" s="563"/>
      <c r="S106" s="563"/>
      <c r="T106" s="563"/>
      <c r="U106" s="563"/>
      <c r="V106" s="563"/>
      <c r="W106" s="563"/>
      <c r="X106" s="563"/>
      <c r="Y106" s="563"/>
      <c r="Z106" s="563"/>
      <c r="AA106" s="545"/>
      <c r="AB106" s="545"/>
      <c r="AC106" s="545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65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60"/>
      <c r="R107" s="560"/>
      <c r="S107" s="560"/>
      <c r="T107" s="561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0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68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 t="s">
        <v>186</v>
      </c>
      <c r="M110" s="33" t="s">
        <v>104</v>
      </c>
      <c r="N110" s="33"/>
      <c r="O110" s="32">
        <v>55</v>
      </c>
      <c r="P110" s="60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2"/>
      <c r="B111" s="563"/>
      <c r="C111" s="563"/>
      <c r="D111" s="563"/>
      <c r="E111" s="563"/>
      <c r="F111" s="563"/>
      <c r="G111" s="563"/>
      <c r="H111" s="563"/>
      <c r="I111" s="563"/>
      <c r="J111" s="563"/>
      <c r="K111" s="563"/>
      <c r="L111" s="563"/>
      <c r="M111" s="563"/>
      <c r="N111" s="563"/>
      <c r="O111" s="564"/>
      <c r="P111" s="558" t="s">
        <v>75</v>
      </c>
      <c r="Q111" s="554"/>
      <c r="R111" s="554"/>
      <c r="S111" s="554"/>
      <c r="T111" s="554"/>
      <c r="U111" s="554"/>
      <c r="V111" s="555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x14ac:dyDescent="0.2">
      <c r="A112" s="563"/>
      <c r="B112" s="563"/>
      <c r="C112" s="563"/>
      <c r="D112" s="563"/>
      <c r="E112" s="563"/>
      <c r="F112" s="563"/>
      <c r="G112" s="563"/>
      <c r="H112" s="563"/>
      <c r="I112" s="563"/>
      <c r="J112" s="563"/>
      <c r="K112" s="563"/>
      <c r="L112" s="563"/>
      <c r="M112" s="563"/>
      <c r="N112" s="563"/>
      <c r="O112" s="564"/>
      <c r="P112" s="558" t="s">
        <v>75</v>
      </c>
      <c r="Q112" s="554"/>
      <c r="R112" s="554"/>
      <c r="S112" s="554"/>
      <c r="T112" s="554"/>
      <c r="U112" s="554"/>
      <c r="V112" s="555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customHeight="1" x14ac:dyDescent="0.25">
      <c r="A113" s="575" t="s">
        <v>77</v>
      </c>
      <c r="B113" s="563"/>
      <c r="C113" s="563"/>
      <c r="D113" s="563"/>
      <c r="E113" s="563"/>
      <c r="F113" s="563"/>
      <c r="G113" s="563"/>
      <c r="H113" s="563"/>
      <c r="I113" s="563"/>
      <c r="J113" s="563"/>
      <c r="K113" s="563"/>
      <c r="L113" s="563"/>
      <c r="M113" s="563"/>
      <c r="N113" s="563"/>
      <c r="O113" s="563"/>
      <c r="P113" s="563"/>
      <c r="Q113" s="563"/>
      <c r="R113" s="563"/>
      <c r="S113" s="563"/>
      <c r="T113" s="563"/>
      <c r="U113" s="563"/>
      <c r="V113" s="563"/>
      <c r="W113" s="563"/>
      <c r="X113" s="563"/>
      <c r="Y113" s="563"/>
      <c r="Z113" s="563"/>
      <c r="AA113" s="545"/>
      <c r="AB113" s="545"/>
      <c r="AC113" s="545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65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60"/>
      <c r="R114" s="560"/>
      <c r="S114" s="560"/>
      <c r="T114" s="561"/>
      <c r="U114" s="34"/>
      <c r="V114" s="34"/>
      <c r="W114" s="35" t="s">
        <v>69</v>
      </c>
      <c r="X114" s="549">
        <v>0</v>
      </c>
      <c r="Y114" s="550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80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7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2"/>
      <c r="B118" s="563"/>
      <c r="C118" s="563"/>
      <c r="D118" s="563"/>
      <c r="E118" s="563"/>
      <c r="F118" s="563"/>
      <c r="G118" s="563"/>
      <c r="H118" s="563"/>
      <c r="I118" s="563"/>
      <c r="J118" s="563"/>
      <c r="K118" s="563"/>
      <c r="L118" s="563"/>
      <c r="M118" s="563"/>
      <c r="N118" s="563"/>
      <c r="O118" s="564"/>
      <c r="P118" s="558" t="s">
        <v>75</v>
      </c>
      <c r="Q118" s="554"/>
      <c r="R118" s="554"/>
      <c r="S118" s="554"/>
      <c r="T118" s="554"/>
      <c r="U118" s="554"/>
      <c r="V118" s="555"/>
      <c r="W118" s="37" t="s">
        <v>76</v>
      </c>
      <c r="X118" s="551">
        <f>IFERROR(X114/H114,"0")+IFERROR(X115/H115,"0")+IFERROR(X116/H116,"0")+IFERROR(X117/H117,"0")</f>
        <v>0</v>
      </c>
      <c r="Y118" s="551">
        <f>IFERROR(Y114/H114,"0")+IFERROR(Y115/H115,"0")+IFERROR(Y116/H116,"0")+IFERROR(Y117/H117,"0")</f>
        <v>0</v>
      </c>
      <c r="Z118" s="551">
        <f>IFERROR(IF(Z114="",0,Z114),"0")+IFERROR(IF(Z115="",0,Z115),"0")+IFERROR(IF(Z116="",0,Z116),"0")+IFERROR(IF(Z117="",0,Z117),"0")</f>
        <v>0</v>
      </c>
      <c r="AA118" s="552"/>
      <c r="AB118" s="552"/>
      <c r="AC118" s="552"/>
    </row>
    <row r="119" spans="1:68" x14ac:dyDescent="0.2">
      <c r="A119" s="563"/>
      <c r="B119" s="563"/>
      <c r="C119" s="563"/>
      <c r="D119" s="563"/>
      <c r="E119" s="563"/>
      <c r="F119" s="563"/>
      <c r="G119" s="563"/>
      <c r="H119" s="563"/>
      <c r="I119" s="563"/>
      <c r="J119" s="563"/>
      <c r="K119" s="563"/>
      <c r="L119" s="563"/>
      <c r="M119" s="563"/>
      <c r="N119" s="563"/>
      <c r="O119" s="564"/>
      <c r="P119" s="558" t="s">
        <v>75</v>
      </c>
      <c r="Q119" s="554"/>
      <c r="R119" s="554"/>
      <c r="S119" s="554"/>
      <c r="T119" s="554"/>
      <c r="U119" s="554"/>
      <c r="V119" s="555"/>
      <c r="W119" s="37" t="s">
        <v>69</v>
      </c>
      <c r="X119" s="551">
        <f>IFERROR(SUM(X114:X117),"0")</f>
        <v>0</v>
      </c>
      <c r="Y119" s="551">
        <f>IFERROR(SUM(Y114:Y117),"0")</f>
        <v>0</v>
      </c>
      <c r="Z119" s="37"/>
      <c r="AA119" s="552"/>
      <c r="AB119" s="552"/>
      <c r="AC119" s="552"/>
    </row>
    <row r="120" spans="1:68" ht="14.25" customHeight="1" x14ac:dyDescent="0.25">
      <c r="A120" s="575" t="s">
        <v>160</v>
      </c>
      <c r="B120" s="563"/>
      <c r="C120" s="563"/>
      <c r="D120" s="563"/>
      <c r="E120" s="563"/>
      <c r="F120" s="563"/>
      <c r="G120" s="563"/>
      <c r="H120" s="563"/>
      <c r="I120" s="563"/>
      <c r="J120" s="563"/>
      <c r="K120" s="563"/>
      <c r="L120" s="563"/>
      <c r="M120" s="563"/>
      <c r="N120" s="563"/>
      <c r="O120" s="563"/>
      <c r="P120" s="563"/>
      <c r="Q120" s="563"/>
      <c r="R120" s="563"/>
      <c r="S120" s="563"/>
      <c r="T120" s="563"/>
      <c r="U120" s="563"/>
      <c r="V120" s="563"/>
      <c r="W120" s="563"/>
      <c r="X120" s="563"/>
      <c r="Y120" s="563"/>
      <c r="Z120" s="563"/>
      <c r="AA120" s="545"/>
      <c r="AB120" s="545"/>
      <c r="AC120" s="545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6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60"/>
      <c r="R121" s="560"/>
      <c r="S121" s="560"/>
      <c r="T121" s="561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2"/>
      <c r="B122" s="563"/>
      <c r="C122" s="563"/>
      <c r="D122" s="563"/>
      <c r="E122" s="563"/>
      <c r="F122" s="563"/>
      <c r="G122" s="563"/>
      <c r="H122" s="563"/>
      <c r="I122" s="563"/>
      <c r="J122" s="563"/>
      <c r="K122" s="563"/>
      <c r="L122" s="563"/>
      <c r="M122" s="563"/>
      <c r="N122" s="563"/>
      <c r="O122" s="564"/>
      <c r="P122" s="558" t="s">
        <v>75</v>
      </c>
      <c r="Q122" s="554"/>
      <c r="R122" s="554"/>
      <c r="S122" s="554"/>
      <c r="T122" s="554"/>
      <c r="U122" s="554"/>
      <c r="V122" s="555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x14ac:dyDescent="0.2">
      <c r="A123" s="563"/>
      <c r="B123" s="563"/>
      <c r="C123" s="563"/>
      <c r="D123" s="563"/>
      <c r="E123" s="563"/>
      <c r="F123" s="563"/>
      <c r="G123" s="563"/>
      <c r="H123" s="563"/>
      <c r="I123" s="563"/>
      <c r="J123" s="563"/>
      <c r="K123" s="563"/>
      <c r="L123" s="563"/>
      <c r="M123" s="563"/>
      <c r="N123" s="563"/>
      <c r="O123" s="564"/>
      <c r="P123" s="558" t="s">
        <v>75</v>
      </c>
      <c r="Q123" s="554"/>
      <c r="R123" s="554"/>
      <c r="S123" s="554"/>
      <c r="T123" s="554"/>
      <c r="U123" s="554"/>
      <c r="V123" s="555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customHeight="1" x14ac:dyDescent="0.25">
      <c r="A124" s="572" t="s">
        <v>227</v>
      </c>
      <c r="B124" s="563"/>
      <c r="C124" s="563"/>
      <c r="D124" s="563"/>
      <c r="E124" s="563"/>
      <c r="F124" s="563"/>
      <c r="G124" s="563"/>
      <c r="H124" s="563"/>
      <c r="I124" s="563"/>
      <c r="J124" s="563"/>
      <c r="K124" s="563"/>
      <c r="L124" s="563"/>
      <c r="M124" s="563"/>
      <c r="N124" s="563"/>
      <c r="O124" s="563"/>
      <c r="P124" s="563"/>
      <c r="Q124" s="563"/>
      <c r="R124" s="563"/>
      <c r="S124" s="563"/>
      <c r="T124" s="563"/>
      <c r="U124" s="563"/>
      <c r="V124" s="563"/>
      <c r="W124" s="563"/>
      <c r="X124" s="563"/>
      <c r="Y124" s="563"/>
      <c r="Z124" s="563"/>
      <c r="AA124" s="544"/>
      <c r="AB124" s="544"/>
      <c r="AC124" s="544"/>
    </row>
    <row r="125" spans="1:68" ht="14.25" customHeight="1" x14ac:dyDescent="0.25">
      <c r="A125" s="575" t="s">
        <v>99</v>
      </c>
      <c r="B125" s="563"/>
      <c r="C125" s="563"/>
      <c r="D125" s="563"/>
      <c r="E125" s="563"/>
      <c r="F125" s="563"/>
      <c r="G125" s="563"/>
      <c r="H125" s="563"/>
      <c r="I125" s="563"/>
      <c r="J125" s="563"/>
      <c r="K125" s="563"/>
      <c r="L125" s="563"/>
      <c r="M125" s="563"/>
      <c r="N125" s="563"/>
      <c r="O125" s="563"/>
      <c r="P125" s="563"/>
      <c r="Q125" s="563"/>
      <c r="R125" s="563"/>
      <c r="S125" s="563"/>
      <c r="T125" s="563"/>
      <c r="U125" s="563"/>
      <c r="V125" s="563"/>
      <c r="W125" s="563"/>
      <c r="X125" s="563"/>
      <c r="Y125" s="563"/>
      <c r="Z125" s="563"/>
      <c r="AA125" s="545"/>
      <c r="AB125" s="545"/>
      <c r="AC125" s="545"/>
    </row>
    <row r="126" spans="1:68" ht="27" customHeight="1" x14ac:dyDescent="0.25">
      <c r="A126" s="54" t="s">
        <v>228</v>
      </c>
      <c r="B126" s="54" t="s">
        <v>229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57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60"/>
      <c r="R126" s="560"/>
      <c r="S126" s="560"/>
      <c r="T126" s="561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62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60"/>
      <c r="R127" s="560"/>
      <c r="S127" s="560"/>
      <c r="T127" s="561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2"/>
      <c r="B128" s="563"/>
      <c r="C128" s="563"/>
      <c r="D128" s="563"/>
      <c r="E128" s="563"/>
      <c r="F128" s="563"/>
      <c r="G128" s="563"/>
      <c r="H128" s="563"/>
      <c r="I128" s="563"/>
      <c r="J128" s="563"/>
      <c r="K128" s="563"/>
      <c r="L128" s="563"/>
      <c r="M128" s="563"/>
      <c r="N128" s="563"/>
      <c r="O128" s="564"/>
      <c r="P128" s="558" t="s">
        <v>75</v>
      </c>
      <c r="Q128" s="554"/>
      <c r="R128" s="554"/>
      <c r="S128" s="554"/>
      <c r="T128" s="554"/>
      <c r="U128" s="554"/>
      <c r="V128" s="555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x14ac:dyDescent="0.2">
      <c r="A129" s="563"/>
      <c r="B129" s="563"/>
      <c r="C129" s="563"/>
      <c r="D129" s="563"/>
      <c r="E129" s="563"/>
      <c r="F129" s="563"/>
      <c r="G129" s="563"/>
      <c r="H129" s="563"/>
      <c r="I129" s="563"/>
      <c r="J129" s="563"/>
      <c r="K129" s="563"/>
      <c r="L129" s="563"/>
      <c r="M129" s="563"/>
      <c r="N129" s="563"/>
      <c r="O129" s="564"/>
      <c r="P129" s="558" t="s">
        <v>75</v>
      </c>
      <c r="Q129" s="554"/>
      <c r="R129" s="554"/>
      <c r="S129" s="554"/>
      <c r="T129" s="554"/>
      <c r="U129" s="554"/>
      <c r="V129" s="555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customHeight="1" x14ac:dyDescent="0.25">
      <c r="A130" s="575" t="s">
        <v>64</v>
      </c>
      <c r="B130" s="563"/>
      <c r="C130" s="563"/>
      <c r="D130" s="563"/>
      <c r="E130" s="563"/>
      <c r="F130" s="563"/>
      <c r="G130" s="563"/>
      <c r="H130" s="563"/>
      <c r="I130" s="563"/>
      <c r="J130" s="563"/>
      <c r="K130" s="563"/>
      <c r="L130" s="563"/>
      <c r="M130" s="563"/>
      <c r="N130" s="563"/>
      <c r="O130" s="563"/>
      <c r="P130" s="563"/>
      <c r="Q130" s="563"/>
      <c r="R130" s="563"/>
      <c r="S130" s="563"/>
      <c r="T130" s="563"/>
      <c r="U130" s="563"/>
      <c r="V130" s="563"/>
      <c r="W130" s="563"/>
      <c r="X130" s="563"/>
      <c r="Y130" s="563"/>
      <c r="Z130" s="563"/>
      <c r="AA130" s="545"/>
      <c r="AB130" s="545"/>
      <c r="AC130" s="545"/>
    </row>
    <row r="131" spans="1:68" ht="27" customHeight="1" x14ac:dyDescent="0.25">
      <c r="A131" s="54" t="s">
        <v>232</v>
      </c>
      <c r="B131" s="54" t="s">
        <v>233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60"/>
      <c r="R131" s="560"/>
      <c r="S131" s="560"/>
      <c r="T131" s="561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186</v>
      </c>
      <c r="M132" s="33" t="s">
        <v>94</v>
      </c>
      <c r="N132" s="33"/>
      <c r="O132" s="32">
        <v>90</v>
      </c>
      <c r="P132" s="76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2"/>
      <c r="B133" s="563"/>
      <c r="C133" s="563"/>
      <c r="D133" s="563"/>
      <c r="E133" s="563"/>
      <c r="F133" s="563"/>
      <c r="G133" s="563"/>
      <c r="H133" s="563"/>
      <c r="I133" s="563"/>
      <c r="J133" s="563"/>
      <c r="K133" s="563"/>
      <c r="L133" s="563"/>
      <c r="M133" s="563"/>
      <c r="N133" s="563"/>
      <c r="O133" s="564"/>
      <c r="P133" s="558" t="s">
        <v>75</v>
      </c>
      <c r="Q133" s="554"/>
      <c r="R133" s="554"/>
      <c r="S133" s="554"/>
      <c r="T133" s="554"/>
      <c r="U133" s="554"/>
      <c r="V133" s="555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x14ac:dyDescent="0.2">
      <c r="A134" s="563"/>
      <c r="B134" s="563"/>
      <c r="C134" s="563"/>
      <c r="D134" s="563"/>
      <c r="E134" s="563"/>
      <c r="F134" s="563"/>
      <c r="G134" s="563"/>
      <c r="H134" s="563"/>
      <c r="I134" s="563"/>
      <c r="J134" s="563"/>
      <c r="K134" s="563"/>
      <c r="L134" s="563"/>
      <c r="M134" s="563"/>
      <c r="N134" s="563"/>
      <c r="O134" s="564"/>
      <c r="P134" s="558" t="s">
        <v>75</v>
      </c>
      <c r="Q134" s="554"/>
      <c r="R134" s="554"/>
      <c r="S134" s="554"/>
      <c r="T134" s="554"/>
      <c r="U134" s="554"/>
      <c r="V134" s="555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customHeight="1" x14ac:dyDescent="0.25">
      <c r="A135" s="575" t="s">
        <v>77</v>
      </c>
      <c r="B135" s="563"/>
      <c r="C135" s="563"/>
      <c r="D135" s="563"/>
      <c r="E135" s="563"/>
      <c r="F135" s="563"/>
      <c r="G135" s="563"/>
      <c r="H135" s="563"/>
      <c r="I135" s="563"/>
      <c r="J135" s="563"/>
      <c r="K135" s="563"/>
      <c r="L135" s="563"/>
      <c r="M135" s="563"/>
      <c r="N135" s="563"/>
      <c r="O135" s="563"/>
      <c r="P135" s="563"/>
      <c r="Q135" s="563"/>
      <c r="R135" s="563"/>
      <c r="S135" s="563"/>
      <c r="T135" s="563"/>
      <c r="U135" s="563"/>
      <c r="V135" s="563"/>
      <c r="W135" s="563"/>
      <c r="X135" s="563"/>
      <c r="Y135" s="563"/>
      <c r="Z135" s="563"/>
      <c r="AA135" s="545"/>
      <c r="AB135" s="545"/>
      <c r="AC135" s="545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5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60"/>
      <c r="R136" s="560"/>
      <c r="S136" s="560"/>
      <c r="T136" s="561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75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60"/>
      <c r="R137" s="560"/>
      <c r="S137" s="560"/>
      <c r="T137" s="561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2"/>
      <c r="B138" s="563"/>
      <c r="C138" s="563"/>
      <c r="D138" s="563"/>
      <c r="E138" s="563"/>
      <c r="F138" s="563"/>
      <c r="G138" s="563"/>
      <c r="H138" s="563"/>
      <c r="I138" s="563"/>
      <c r="J138" s="563"/>
      <c r="K138" s="563"/>
      <c r="L138" s="563"/>
      <c r="M138" s="563"/>
      <c r="N138" s="563"/>
      <c r="O138" s="564"/>
      <c r="P138" s="558" t="s">
        <v>75</v>
      </c>
      <c r="Q138" s="554"/>
      <c r="R138" s="554"/>
      <c r="S138" s="554"/>
      <c r="T138" s="554"/>
      <c r="U138" s="554"/>
      <c r="V138" s="555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x14ac:dyDescent="0.2">
      <c r="A139" s="563"/>
      <c r="B139" s="563"/>
      <c r="C139" s="563"/>
      <c r="D139" s="563"/>
      <c r="E139" s="563"/>
      <c r="F139" s="563"/>
      <c r="G139" s="563"/>
      <c r="H139" s="563"/>
      <c r="I139" s="563"/>
      <c r="J139" s="563"/>
      <c r="K139" s="563"/>
      <c r="L139" s="563"/>
      <c r="M139" s="563"/>
      <c r="N139" s="563"/>
      <c r="O139" s="564"/>
      <c r="P139" s="558" t="s">
        <v>75</v>
      </c>
      <c r="Q139" s="554"/>
      <c r="R139" s="554"/>
      <c r="S139" s="554"/>
      <c r="T139" s="554"/>
      <c r="U139" s="554"/>
      <c r="V139" s="555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customHeight="1" x14ac:dyDescent="0.25">
      <c r="A140" s="572" t="s">
        <v>97</v>
      </c>
      <c r="B140" s="563"/>
      <c r="C140" s="563"/>
      <c r="D140" s="563"/>
      <c r="E140" s="563"/>
      <c r="F140" s="563"/>
      <c r="G140" s="563"/>
      <c r="H140" s="563"/>
      <c r="I140" s="563"/>
      <c r="J140" s="563"/>
      <c r="K140" s="563"/>
      <c r="L140" s="563"/>
      <c r="M140" s="563"/>
      <c r="N140" s="563"/>
      <c r="O140" s="563"/>
      <c r="P140" s="563"/>
      <c r="Q140" s="563"/>
      <c r="R140" s="563"/>
      <c r="S140" s="563"/>
      <c r="T140" s="563"/>
      <c r="U140" s="563"/>
      <c r="V140" s="563"/>
      <c r="W140" s="563"/>
      <c r="X140" s="563"/>
      <c r="Y140" s="563"/>
      <c r="Z140" s="563"/>
      <c r="AA140" s="544"/>
      <c r="AB140" s="544"/>
      <c r="AC140" s="544"/>
    </row>
    <row r="141" spans="1:68" ht="14.25" customHeight="1" x14ac:dyDescent="0.25">
      <c r="A141" s="575" t="s">
        <v>99</v>
      </c>
      <c r="B141" s="563"/>
      <c r="C141" s="563"/>
      <c r="D141" s="563"/>
      <c r="E141" s="563"/>
      <c r="F141" s="563"/>
      <c r="G141" s="563"/>
      <c r="H141" s="563"/>
      <c r="I141" s="563"/>
      <c r="J141" s="563"/>
      <c r="K141" s="563"/>
      <c r="L141" s="563"/>
      <c r="M141" s="563"/>
      <c r="N141" s="563"/>
      <c r="O141" s="563"/>
      <c r="P141" s="563"/>
      <c r="Q141" s="563"/>
      <c r="R141" s="563"/>
      <c r="S141" s="563"/>
      <c r="T141" s="563"/>
      <c r="U141" s="563"/>
      <c r="V141" s="563"/>
      <c r="W141" s="563"/>
      <c r="X141" s="563"/>
      <c r="Y141" s="563"/>
      <c r="Z141" s="563"/>
      <c r="AA141" s="545"/>
      <c r="AB141" s="545"/>
      <c r="AC141" s="545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77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60"/>
      <c r="R142" s="560"/>
      <c r="S142" s="560"/>
      <c r="T142" s="561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2"/>
      <c r="B144" s="563"/>
      <c r="C144" s="563"/>
      <c r="D144" s="563"/>
      <c r="E144" s="563"/>
      <c r="F144" s="563"/>
      <c r="G144" s="563"/>
      <c r="H144" s="563"/>
      <c r="I144" s="563"/>
      <c r="J144" s="563"/>
      <c r="K144" s="563"/>
      <c r="L144" s="563"/>
      <c r="M144" s="563"/>
      <c r="N144" s="563"/>
      <c r="O144" s="564"/>
      <c r="P144" s="558" t="s">
        <v>75</v>
      </c>
      <c r="Q144" s="554"/>
      <c r="R144" s="554"/>
      <c r="S144" s="554"/>
      <c r="T144" s="554"/>
      <c r="U144" s="554"/>
      <c r="V144" s="555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x14ac:dyDescent="0.2">
      <c r="A145" s="563"/>
      <c r="B145" s="563"/>
      <c r="C145" s="563"/>
      <c r="D145" s="563"/>
      <c r="E145" s="563"/>
      <c r="F145" s="563"/>
      <c r="G145" s="563"/>
      <c r="H145" s="563"/>
      <c r="I145" s="563"/>
      <c r="J145" s="563"/>
      <c r="K145" s="563"/>
      <c r="L145" s="563"/>
      <c r="M145" s="563"/>
      <c r="N145" s="563"/>
      <c r="O145" s="564"/>
      <c r="P145" s="558" t="s">
        <v>75</v>
      </c>
      <c r="Q145" s="554"/>
      <c r="R145" s="554"/>
      <c r="S145" s="554"/>
      <c r="T145" s="554"/>
      <c r="U145" s="554"/>
      <c r="V145" s="555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customHeight="1" x14ac:dyDescent="0.25">
      <c r="A146" s="575" t="s">
        <v>64</v>
      </c>
      <c r="B146" s="563"/>
      <c r="C146" s="563"/>
      <c r="D146" s="563"/>
      <c r="E146" s="563"/>
      <c r="F146" s="563"/>
      <c r="G146" s="563"/>
      <c r="H146" s="563"/>
      <c r="I146" s="563"/>
      <c r="J146" s="563"/>
      <c r="K146" s="563"/>
      <c r="L146" s="563"/>
      <c r="M146" s="563"/>
      <c r="N146" s="563"/>
      <c r="O146" s="563"/>
      <c r="P146" s="563"/>
      <c r="Q146" s="563"/>
      <c r="R146" s="563"/>
      <c r="S146" s="563"/>
      <c r="T146" s="563"/>
      <c r="U146" s="563"/>
      <c r="V146" s="563"/>
      <c r="W146" s="563"/>
      <c r="X146" s="563"/>
      <c r="Y146" s="563"/>
      <c r="Z146" s="563"/>
      <c r="AA146" s="545"/>
      <c r="AB146" s="545"/>
      <c r="AC146" s="545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8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60"/>
      <c r="R147" s="560"/>
      <c r="S147" s="560"/>
      <c r="T147" s="561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81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60"/>
      <c r="R148" s="560"/>
      <c r="S148" s="560"/>
      <c r="T148" s="561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58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60"/>
      <c r="R149" s="560"/>
      <c r="S149" s="560"/>
      <c r="T149" s="561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85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0"/>
      <c r="R150" s="560"/>
      <c r="S150" s="560"/>
      <c r="T150" s="561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56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0"/>
      <c r="R151" s="560"/>
      <c r="S151" s="560"/>
      <c r="T151" s="561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86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0"/>
      <c r="R152" s="560"/>
      <c r="S152" s="560"/>
      <c r="T152" s="561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2"/>
      <c r="B153" s="563"/>
      <c r="C153" s="563"/>
      <c r="D153" s="563"/>
      <c r="E153" s="563"/>
      <c r="F153" s="563"/>
      <c r="G153" s="563"/>
      <c r="H153" s="563"/>
      <c r="I153" s="563"/>
      <c r="J153" s="563"/>
      <c r="K153" s="563"/>
      <c r="L153" s="563"/>
      <c r="M153" s="563"/>
      <c r="N153" s="563"/>
      <c r="O153" s="564"/>
      <c r="P153" s="558" t="s">
        <v>75</v>
      </c>
      <c r="Q153" s="554"/>
      <c r="R153" s="554"/>
      <c r="S153" s="554"/>
      <c r="T153" s="554"/>
      <c r="U153" s="554"/>
      <c r="V153" s="555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x14ac:dyDescent="0.2">
      <c r="A154" s="563"/>
      <c r="B154" s="563"/>
      <c r="C154" s="563"/>
      <c r="D154" s="563"/>
      <c r="E154" s="563"/>
      <c r="F154" s="563"/>
      <c r="G154" s="563"/>
      <c r="H154" s="563"/>
      <c r="I154" s="563"/>
      <c r="J154" s="563"/>
      <c r="K154" s="563"/>
      <c r="L154" s="563"/>
      <c r="M154" s="563"/>
      <c r="N154" s="563"/>
      <c r="O154" s="564"/>
      <c r="P154" s="558" t="s">
        <v>75</v>
      </c>
      <c r="Q154" s="554"/>
      <c r="R154" s="554"/>
      <c r="S154" s="554"/>
      <c r="T154" s="554"/>
      <c r="U154" s="554"/>
      <c r="V154" s="555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customHeight="1" x14ac:dyDescent="0.25">
      <c r="A155" s="575" t="s">
        <v>77</v>
      </c>
      <c r="B155" s="563"/>
      <c r="C155" s="563"/>
      <c r="D155" s="563"/>
      <c r="E155" s="563"/>
      <c r="F155" s="563"/>
      <c r="G155" s="563"/>
      <c r="H155" s="563"/>
      <c r="I155" s="563"/>
      <c r="J155" s="563"/>
      <c r="K155" s="563"/>
      <c r="L155" s="563"/>
      <c r="M155" s="563"/>
      <c r="N155" s="563"/>
      <c r="O155" s="563"/>
      <c r="P155" s="563"/>
      <c r="Q155" s="563"/>
      <c r="R155" s="563"/>
      <c r="S155" s="563"/>
      <c r="T155" s="563"/>
      <c r="U155" s="563"/>
      <c r="V155" s="563"/>
      <c r="W155" s="563"/>
      <c r="X155" s="563"/>
      <c r="Y155" s="563"/>
      <c r="Z155" s="563"/>
      <c r="AA155" s="545"/>
      <c r="AB155" s="545"/>
      <c r="AC155" s="545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60"/>
      <c r="R156" s="560"/>
      <c r="S156" s="560"/>
      <c r="T156" s="561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2"/>
      <c r="B157" s="563"/>
      <c r="C157" s="563"/>
      <c r="D157" s="563"/>
      <c r="E157" s="563"/>
      <c r="F157" s="563"/>
      <c r="G157" s="563"/>
      <c r="H157" s="563"/>
      <c r="I157" s="563"/>
      <c r="J157" s="563"/>
      <c r="K157" s="563"/>
      <c r="L157" s="563"/>
      <c r="M157" s="563"/>
      <c r="N157" s="563"/>
      <c r="O157" s="564"/>
      <c r="P157" s="558" t="s">
        <v>75</v>
      </c>
      <c r="Q157" s="554"/>
      <c r="R157" s="554"/>
      <c r="S157" s="554"/>
      <c r="T157" s="554"/>
      <c r="U157" s="554"/>
      <c r="V157" s="555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x14ac:dyDescent="0.2">
      <c r="A158" s="563"/>
      <c r="B158" s="563"/>
      <c r="C158" s="563"/>
      <c r="D158" s="563"/>
      <c r="E158" s="563"/>
      <c r="F158" s="563"/>
      <c r="G158" s="563"/>
      <c r="H158" s="563"/>
      <c r="I158" s="563"/>
      <c r="J158" s="563"/>
      <c r="K158" s="563"/>
      <c r="L158" s="563"/>
      <c r="M158" s="563"/>
      <c r="N158" s="563"/>
      <c r="O158" s="564"/>
      <c r="P158" s="558" t="s">
        <v>75</v>
      </c>
      <c r="Q158" s="554"/>
      <c r="R158" s="554"/>
      <c r="S158" s="554"/>
      <c r="T158" s="554"/>
      <c r="U158" s="554"/>
      <c r="V158" s="555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customHeight="1" x14ac:dyDescent="0.2">
      <c r="A159" s="601" t="s">
        <v>266</v>
      </c>
      <c r="B159" s="602"/>
      <c r="C159" s="602"/>
      <c r="D159" s="602"/>
      <c r="E159" s="602"/>
      <c r="F159" s="602"/>
      <c r="G159" s="602"/>
      <c r="H159" s="602"/>
      <c r="I159" s="602"/>
      <c r="J159" s="602"/>
      <c r="K159" s="602"/>
      <c r="L159" s="602"/>
      <c r="M159" s="602"/>
      <c r="N159" s="602"/>
      <c r="O159" s="602"/>
      <c r="P159" s="602"/>
      <c r="Q159" s="602"/>
      <c r="R159" s="602"/>
      <c r="S159" s="602"/>
      <c r="T159" s="602"/>
      <c r="U159" s="602"/>
      <c r="V159" s="602"/>
      <c r="W159" s="602"/>
      <c r="X159" s="602"/>
      <c r="Y159" s="602"/>
      <c r="Z159" s="602"/>
      <c r="AA159" s="48"/>
      <c r="AB159" s="48"/>
      <c r="AC159" s="48"/>
    </row>
    <row r="160" spans="1:68" ht="16.5" customHeight="1" x14ac:dyDescent="0.25">
      <c r="A160" s="572" t="s">
        <v>267</v>
      </c>
      <c r="B160" s="563"/>
      <c r="C160" s="563"/>
      <c r="D160" s="563"/>
      <c r="E160" s="563"/>
      <c r="F160" s="563"/>
      <c r="G160" s="563"/>
      <c r="H160" s="563"/>
      <c r="I160" s="563"/>
      <c r="J160" s="563"/>
      <c r="K160" s="563"/>
      <c r="L160" s="563"/>
      <c r="M160" s="563"/>
      <c r="N160" s="563"/>
      <c r="O160" s="563"/>
      <c r="P160" s="563"/>
      <c r="Q160" s="563"/>
      <c r="R160" s="563"/>
      <c r="S160" s="563"/>
      <c r="T160" s="563"/>
      <c r="U160" s="563"/>
      <c r="V160" s="563"/>
      <c r="W160" s="563"/>
      <c r="X160" s="563"/>
      <c r="Y160" s="563"/>
      <c r="Z160" s="563"/>
      <c r="AA160" s="544"/>
      <c r="AB160" s="544"/>
      <c r="AC160" s="544"/>
    </row>
    <row r="161" spans="1:68" ht="14.25" customHeight="1" x14ac:dyDescent="0.25">
      <c r="A161" s="575" t="s">
        <v>135</v>
      </c>
      <c r="B161" s="563"/>
      <c r="C161" s="563"/>
      <c r="D161" s="563"/>
      <c r="E161" s="563"/>
      <c r="F161" s="563"/>
      <c r="G161" s="563"/>
      <c r="H161" s="563"/>
      <c r="I161" s="563"/>
      <c r="J161" s="563"/>
      <c r="K161" s="563"/>
      <c r="L161" s="563"/>
      <c r="M161" s="563"/>
      <c r="N161" s="563"/>
      <c r="O161" s="563"/>
      <c r="P161" s="563"/>
      <c r="Q161" s="563"/>
      <c r="R161" s="563"/>
      <c r="S161" s="563"/>
      <c r="T161" s="563"/>
      <c r="U161" s="563"/>
      <c r="V161" s="563"/>
      <c r="W161" s="563"/>
      <c r="X161" s="563"/>
      <c r="Y161" s="563"/>
      <c r="Z161" s="563"/>
      <c r="AA161" s="545"/>
      <c r="AB161" s="545"/>
      <c r="AC161" s="545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67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60"/>
      <c r="R162" s="560"/>
      <c r="S162" s="560"/>
      <c r="T162" s="561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2"/>
      <c r="B163" s="563"/>
      <c r="C163" s="563"/>
      <c r="D163" s="563"/>
      <c r="E163" s="563"/>
      <c r="F163" s="563"/>
      <c r="G163" s="563"/>
      <c r="H163" s="563"/>
      <c r="I163" s="563"/>
      <c r="J163" s="563"/>
      <c r="K163" s="563"/>
      <c r="L163" s="563"/>
      <c r="M163" s="563"/>
      <c r="N163" s="563"/>
      <c r="O163" s="564"/>
      <c r="P163" s="558" t="s">
        <v>75</v>
      </c>
      <c r="Q163" s="554"/>
      <c r="R163" s="554"/>
      <c r="S163" s="554"/>
      <c r="T163" s="554"/>
      <c r="U163" s="554"/>
      <c r="V163" s="555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x14ac:dyDescent="0.2">
      <c r="A164" s="563"/>
      <c r="B164" s="563"/>
      <c r="C164" s="563"/>
      <c r="D164" s="563"/>
      <c r="E164" s="563"/>
      <c r="F164" s="563"/>
      <c r="G164" s="563"/>
      <c r="H164" s="563"/>
      <c r="I164" s="563"/>
      <c r="J164" s="563"/>
      <c r="K164" s="563"/>
      <c r="L164" s="563"/>
      <c r="M164" s="563"/>
      <c r="N164" s="563"/>
      <c r="O164" s="564"/>
      <c r="P164" s="558" t="s">
        <v>75</v>
      </c>
      <c r="Q164" s="554"/>
      <c r="R164" s="554"/>
      <c r="S164" s="554"/>
      <c r="T164" s="554"/>
      <c r="U164" s="554"/>
      <c r="V164" s="555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customHeight="1" x14ac:dyDescent="0.25">
      <c r="A165" s="575" t="s">
        <v>64</v>
      </c>
      <c r="B165" s="563"/>
      <c r="C165" s="563"/>
      <c r="D165" s="563"/>
      <c r="E165" s="563"/>
      <c r="F165" s="563"/>
      <c r="G165" s="563"/>
      <c r="H165" s="563"/>
      <c r="I165" s="563"/>
      <c r="J165" s="563"/>
      <c r="K165" s="563"/>
      <c r="L165" s="563"/>
      <c r="M165" s="563"/>
      <c r="N165" s="563"/>
      <c r="O165" s="563"/>
      <c r="P165" s="563"/>
      <c r="Q165" s="563"/>
      <c r="R165" s="563"/>
      <c r="S165" s="563"/>
      <c r="T165" s="563"/>
      <c r="U165" s="563"/>
      <c r="V165" s="563"/>
      <c r="W165" s="563"/>
      <c r="X165" s="563"/>
      <c r="Y165" s="563"/>
      <c r="Z165" s="563"/>
      <c r="AA165" s="545"/>
      <c r="AB165" s="545"/>
      <c r="AC165" s="545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8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0"/>
      <c r="R166" s="560"/>
      <c r="S166" s="560"/>
      <c r="T166" s="561"/>
      <c r="U166" s="34"/>
      <c r="V166" s="34"/>
      <c r="W166" s="35" t="s">
        <v>69</v>
      </c>
      <c r="X166" s="549">
        <v>100</v>
      </c>
      <c r="Y166" s="550">
        <f t="shared" ref="Y166:Y179" si="10">IFERROR(IF(X166="",0,CEILING((X166/$H166),1)*$H166),"")</f>
        <v>100.80000000000001</v>
      </c>
      <c r="Z166" s="36">
        <f>IFERROR(IF(Y166=0,"",ROUNDUP(Y166/H166,0)*0.00902),"")</f>
        <v>0.21648000000000001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105.95238095238095</v>
      </c>
      <c r="BN166" s="64">
        <f t="shared" ref="BN166:BN179" si="12">IFERROR(Y166*I166/H166,"0")</f>
        <v>106.80000000000001</v>
      </c>
      <c r="BO166" s="64">
        <f t="shared" ref="BO166:BO179" si="13">IFERROR(1/J166*(X166/H166),"0")</f>
        <v>0.18037518037518038</v>
      </c>
      <c r="BP166" s="64">
        <f t="shared" ref="BP166:BP179" si="14">IFERROR(1/J166*(Y166/H166),"0")</f>
        <v>0.18181818181818182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77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0"/>
      <c r="R167" s="560"/>
      <c r="S167" s="560"/>
      <c r="T167" s="561"/>
      <c r="U167" s="34"/>
      <c r="V167" s="34"/>
      <c r="W167" s="35" t="s">
        <v>69</v>
      </c>
      <c r="X167" s="549">
        <v>15</v>
      </c>
      <c r="Y167" s="550">
        <f t="shared" si="10"/>
        <v>16.8</v>
      </c>
      <c r="Z167" s="36">
        <f>IFERROR(IF(Y167=0,"",ROUNDUP(Y167/H167,0)*0.00902),"")</f>
        <v>3.6080000000000001E-2</v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15.892857142857142</v>
      </c>
      <c r="BN167" s="64">
        <f t="shared" si="12"/>
        <v>17.8</v>
      </c>
      <c r="BO167" s="64">
        <f t="shared" si="13"/>
        <v>2.7056277056277056E-2</v>
      </c>
      <c r="BP167" s="64">
        <f t="shared" si="14"/>
        <v>3.0303030303030304E-2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81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0"/>
      <c r="R168" s="560"/>
      <c r="S168" s="560"/>
      <c r="T168" s="561"/>
      <c r="U168" s="34"/>
      <c r="V168" s="34"/>
      <c r="W168" s="35" t="s">
        <v>69</v>
      </c>
      <c r="X168" s="549">
        <v>45</v>
      </c>
      <c r="Y168" s="550">
        <f t="shared" si="10"/>
        <v>46.2</v>
      </c>
      <c r="Z168" s="36">
        <f>IFERROR(IF(Y168=0,"",ROUNDUP(Y168/H168,0)*0.00902),"")</f>
        <v>9.9220000000000003E-2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47.035714285714278</v>
      </c>
      <c r="BN168" s="64">
        <f t="shared" si="12"/>
        <v>48.289999999999992</v>
      </c>
      <c r="BO168" s="64">
        <f t="shared" si="13"/>
        <v>8.1168831168831168E-2</v>
      </c>
      <c r="BP168" s="64">
        <f t="shared" si="14"/>
        <v>8.3333333333333343E-2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7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60"/>
      <c r="R169" s="560"/>
      <c r="S169" s="560"/>
      <c r="T169" s="561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85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60"/>
      <c r="R170" s="560"/>
      <c r="S170" s="560"/>
      <c r="T170" s="561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81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60"/>
      <c r="R171" s="560"/>
      <c r="S171" s="560"/>
      <c r="T171" s="561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87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60"/>
      <c r="R172" s="560"/>
      <c r="S172" s="560"/>
      <c r="T172" s="561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83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60"/>
      <c r="R173" s="560"/>
      <c r="S173" s="560"/>
      <c r="T173" s="561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58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 t="s">
        <v>285</v>
      </c>
      <c r="M175" s="33" t="s">
        <v>68</v>
      </c>
      <c r="N175" s="33"/>
      <c r="O175" s="32">
        <v>40</v>
      </c>
      <c r="P175" s="6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60"/>
      <c r="R175" s="560"/>
      <c r="S175" s="560"/>
      <c r="T175" s="561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 t="s">
        <v>106</v>
      </c>
      <c r="AK175" s="68">
        <v>32.4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65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67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60"/>
      <c r="R177" s="560"/>
      <c r="S177" s="560"/>
      <c r="T177" s="561"/>
      <c r="U177" s="34"/>
      <c r="V177" s="34"/>
      <c r="W177" s="35" t="s">
        <v>69</v>
      </c>
      <c r="X177" s="549">
        <v>8.3999999999999986</v>
      </c>
      <c r="Y177" s="550">
        <f t="shared" si="10"/>
        <v>8.4</v>
      </c>
      <c r="Z177" s="36">
        <f>IFERROR(IF(Y177=0,"",ROUNDUP(Y177/H177,0)*0.00502),"")</f>
        <v>2.0080000000000001E-2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8.7999999999999989</v>
      </c>
      <c r="BN177" s="64">
        <f t="shared" si="12"/>
        <v>8.8000000000000007</v>
      </c>
      <c r="BO177" s="64">
        <f t="shared" si="13"/>
        <v>1.7094017094017092E-2</v>
      </c>
      <c r="BP177" s="64">
        <f t="shared" si="14"/>
        <v>1.7094017094017096E-2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6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60"/>
      <c r="R179" s="560"/>
      <c r="S179" s="560"/>
      <c r="T179" s="561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2"/>
      <c r="B180" s="563"/>
      <c r="C180" s="563"/>
      <c r="D180" s="563"/>
      <c r="E180" s="563"/>
      <c r="F180" s="563"/>
      <c r="G180" s="563"/>
      <c r="H180" s="563"/>
      <c r="I180" s="563"/>
      <c r="J180" s="563"/>
      <c r="K180" s="563"/>
      <c r="L180" s="563"/>
      <c r="M180" s="563"/>
      <c r="N180" s="563"/>
      <c r="O180" s="564"/>
      <c r="P180" s="558" t="s">
        <v>75</v>
      </c>
      <c r="Q180" s="554"/>
      <c r="R180" s="554"/>
      <c r="S180" s="554"/>
      <c r="T180" s="554"/>
      <c r="U180" s="554"/>
      <c r="V180" s="555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42.095238095238095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43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0.37185999999999997</v>
      </c>
      <c r="AA180" s="552"/>
      <c r="AB180" s="552"/>
      <c r="AC180" s="552"/>
    </row>
    <row r="181" spans="1:68" x14ac:dyDescent="0.2">
      <c r="A181" s="563"/>
      <c r="B181" s="563"/>
      <c r="C181" s="563"/>
      <c r="D181" s="563"/>
      <c r="E181" s="563"/>
      <c r="F181" s="563"/>
      <c r="G181" s="563"/>
      <c r="H181" s="563"/>
      <c r="I181" s="563"/>
      <c r="J181" s="563"/>
      <c r="K181" s="563"/>
      <c r="L181" s="563"/>
      <c r="M181" s="563"/>
      <c r="N181" s="563"/>
      <c r="O181" s="564"/>
      <c r="P181" s="558" t="s">
        <v>75</v>
      </c>
      <c r="Q181" s="554"/>
      <c r="R181" s="554"/>
      <c r="S181" s="554"/>
      <c r="T181" s="554"/>
      <c r="U181" s="554"/>
      <c r="V181" s="555"/>
      <c r="W181" s="37" t="s">
        <v>69</v>
      </c>
      <c r="X181" s="551">
        <f>IFERROR(SUM(X166:X179),"0")</f>
        <v>168.4</v>
      </c>
      <c r="Y181" s="551">
        <f>IFERROR(SUM(Y166:Y179),"0")</f>
        <v>172.20000000000002</v>
      </c>
      <c r="Z181" s="37"/>
      <c r="AA181" s="552"/>
      <c r="AB181" s="552"/>
      <c r="AC181" s="552"/>
    </row>
    <row r="182" spans="1:68" ht="14.25" customHeight="1" x14ac:dyDescent="0.25">
      <c r="A182" s="575" t="s">
        <v>91</v>
      </c>
      <c r="B182" s="563"/>
      <c r="C182" s="563"/>
      <c r="D182" s="563"/>
      <c r="E182" s="563"/>
      <c r="F182" s="563"/>
      <c r="G182" s="563"/>
      <c r="H182" s="563"/>
      <c r="I182" s="563"/>
      <c r="J182" s="563"/>
      <c r="K182" s="563"/>
      <c r="L182" s="563"/>
      <c r="M182" s="563"/>
      <c r="N182" s="563"/>
      <c r="O182" s="563"/>
      <c r="P182" s="563"/>
      <c r="Q182" s="563"/>
      <c r="R182" s="563"/>
      <c r="S182" s="563"/>
      <c r="T182" s="563"/>
      <c r="U182" s="563"/>
      <c r="V182" s="563"/>
      <c r="W182" s="563"/>
      <c r="X182" s="563"/>
      <c r="Y182" s="563"/>
      <c r="Z182" s="563"/>
      <c r="AA182" s="545"/>
      <c r="AB182" s="545"/>
      <c r="AC182" s="545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63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60"/>
      <c r="R183" s="560"/>
      <c r="S183" s="560"/>
      <c r="T183" s="561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82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7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2"/>
      <c r="B186" s="563"/>
      <c r="C186" s="563"/>
      <c r="D186" s="563"/>
      <c r="E186" s="563"/>
      <c r="F186" s="563"/>
      <c r="G186" s="563"/>
      <c r="H186" s="563"/>
      <c r="I186" s="563"/>
      <c r="J186" s="563"/>
      <c r="K186" s="563"/>
      <c r="L186" s="563"/>
      <c r="M186" s="563"/>
      <c r="N186" s="563"/>
      <c r="O186" s="564"/>
      <c r="P186" s="558" t="s">
        <v>75</v>
      </c>
      <c r="Q186" s="554"/>
      <c r="R186" s="554"/>
      <c r="S186" s="554"/>
      <c r="T186" s="554"/>
      <c r="U186" s="554"/>
      <c r="V186" s="555"/>
      <c r="W186" s="37" t="s">
        <v>76</v>
      </c>
      <c r="X186" s="551">
        <f>IFERROR(X183/H183,"0")+IFERROR(X184/H184,"0")+IFERROR(X185/H185,"0")</f>
        <v>0</v>
      </c>
      <c r="Y186" s="551">
        <f>IFERROR(Y183/H183,"0")+IFERROR(Y184/H184,"0")+IFERROR(Y185/H185,"0")</f>
        <v>0</v>
      </c>
      <c r="Z186" s="551">
        <f>IFERROR(IF(Z183="",0,Z183),"0")+IFERROR(IF(Z184="",0,Z184),"0")+IFERROR(IF(Z185="",0,Z185),"0")</f>
        <v>0</v>
      </c>
      <c r="AA186" s="552"/>
      <c r="AB186" s="552"/>
      <c r="AC186" s="552"/>
    </row>
    <row r="187" spans="1:68" x14ac:dyDescent="0.2">
      <c r="A187" s="563"/>
      <c r="B187" s="563"/>
      <c r="C187" s="563"/>
      <c r="D187" s="563"/>
      <c r="E187" s="563"/>
      <c r="F187" s="563"/>
      <c r="G187" s="563"/>
      <c r="H187" s="563"/>
      <c r="I187" s="563"/>
      <c r="J187" s="563"/>
      <c r="K187" s="563"/>
      <c r="L187" s="563"/>
      <c r="M187" s="563"/>
      <c r="N187" s="563"/>
      <c r="O187" s="564"/>
      <c r="P187" s="558" t="s">
        <v>75</v>
      </c>
      <c r="Q187" s="554"/>
      <c r="R187" s="554"/>
      <c r="S187" s="554"/>
      <c r="T187" s="554"/>
      <c r="U187" s="554"/>
      <c r="V187" s="555"/>
      <c r="W187" s="37" t="s">
        <v>69</v>
      </c>
      <c r="X187" s="551">
        <f>IFERROR(SUM(X183:X185),"0")</f>
        <v>0</v>
      </c>
      <c r="Y187" s="551">
        <f>IFERROR(SUM(Y183:Y185),"0")</f>
        <v>0</v>
      </c>
      <c r="Z187" s="37"/>
      <c r="AA187" s="552"/>
      <c r="AB187" s="552"/>
      <c r="AC187" s="552"/>
    </row>
    <row r="188" spans="1:68" ht="14.25" customHeight="1" x14ac:dyDescent="0.25">
      <c r="A188" s="575" t="s">
        <v>319</v>
      </c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45"/>
      <c r="AB188" s="545"/>
      <c r="AC188" s="545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79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60"/>
      <c r="R189" s="560"/>
      <c r="S189" s="560"/>
      <c r="T189" s="561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562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4"/>
      <c r="P190" s="558" t="s">
        <v>75</v>
      </c>
      <c r="Q190" s="554"/>
      <c r="R190" s="554"/>
      <c r="S190" s="554"/>
      <c r="T190" s="554"/>
      <c r="U190" s="554"/>
      <c r="V190" s="555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4"/>
      <c r="P191" s="558" t="s">
        <v>75</v>
      </c>
      <c r="Q191" s="554"/>
      <c r="R191" s="554"/>
      <c r="S191" s="554"/>
      <c r="T191" s="554"/>
      <c r="U191" s="554"/>
      <c r="V191" s="555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customHeight="1" x14ac:dyDescent="0.25">
      <c r="A192" s="572" t="s">
        <v>322</v>
      </c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44"/>
      <c r="AB192" s="544"/>
      <c r="AC192" s="544"/>
    </row>
    <row r="193" spans="1:68" ht="14.25" customHeight="1" x14ac:dyDescent="0.25">
      <c r="A193" s="575" t="s">
        <v>99</v>
      </c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45"/>
      <c r="AB193" s="545"/>
      <c r="AC193" s="545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80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60"/>
      <c r="R194" s="560"/>
      <c r="S194" s="560"/>
      <c r="T194" s="561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74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60"/>
      <c r="R195" s="560"/>
      <c r="S195" s="560"/>
      <c r="T195" s="561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2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4"/>
      <c r="P196" s="558" t="s">
        <v>75</v>
      </c>
      <c r="Q196" s="554"/>
      <c r="R196" s="554"/>
      <c r="S196" s="554"/>
      <c r="T196" s="554"/>
      <c r="U196" s="554"/>
      <c r="V196" s="555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4"/>
      <c r="P197" s="558" t="s">
        <v>75</v>
      </c>
      <c r="Q197" s="554"/>
      <c r="R197" s="554"/>
      <c r="S197" s="554"/>
      <c r="T197" s="554"/>
      <c r="U197" s="554"/>
      <c r="V197" s="555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customHeight="1" x14ac:dyDescent="0.25">
      <c r="A198" s="575" t="s">
        <v>135</v>
      </c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45"/>
      <c r="AB198" s="545"/>
      <c r="AC198" s="545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6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60"/>
      <c r="R199" s="560"/>
      <c r="S199" s="560"/>
      <c r="T199" s="561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 t="s">
        <v>186</v>
      </c>
      <c r="M200" s="33" t="s">
        <v>104</v>
      </c>
      <c r="N200" s="33"/>
      <c r="O200" s="32">
        <v>50</v>
      </c>
      <c r="P200" s="5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60"/>
      <c r="R200" s="560"/>
      <c r="S200" s="560"/>
      <c r="T200" s="561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 t="s">
        <v>106</v>
      </c>
      <c r="AK200" s="68">
        <v>29.4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2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4"/>
      <c r="P201" s="558" t="s">
        <v>75</v>
      </c>
      <c r="Q201" s="554"/>
      <c r="R201" s="554"/>
      <c r="S201" s="554"/>
      <c r="T201" s="554"/>
      <c r="U201" s="554"/>
      <c r="V201" s="555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4"/>
      <c r="P202" s="558" t="s">
        <v>75</v>
      </c>
      <c r="Q202" s="554"/>
      <c r="R202" s="554"/>
      <c r="S202" s="554"/>
      <c r="T202" s="554"/>
      <c r="U202" s="554"/>
      <c r="V202" s="555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customHeight="1" x14ac:dyDescent="0.25">
      <c r="A203" s="575" t="s">
        <v>64</v>
      </c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45"/>
      <c r="AB203" s="545"/>
      <c r="AC203" s="545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60"/>
      <c r="R204" s="560"/>
      <c r="S204" s="560"/>
      <c r="T204" s="561"/>
      <c r="U204" s="34"/>
      <c r="V204" s="34"/>
      <c r="W204" s="35" t="s">
        <v>69</v>
      </c>
      <c r="X204" s="549">
        <v>50</v>
      </c>
      <c r="Y204" s="550">
        <f t="shared" ref="Y204:Y211" si="15">IFERROR(IF(X204="",0,CEILING((X204/$H204),1)*$H204),"")</f>
        <v>54</v>
      </c>
      <c r="Z204" s="36">
        <f>IFERROR(IF(Y204=0,"",ROUNDUP(Y204/H204,0)*0.00902),"")</f>
        <v>9.0200000000000002E-2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51.759259259259252</v>
      </c>
      <c r="BN204" s="64">
        <f t="shared" ref="BN204:BN211" si="17">IFERROR(Y204*I204/H204,"0")</f>
        <v>55.9</v>
      </c>
      <c r="BO204" s="64">
        <f t="shared" ref="BO204:BO211" si="18">IFERROR(1/J204*(X204/H204),"0")</f>
        <v>7.0145903479236812E-2</v>
      </c>
      <c r="BP204" s="64">
        <f t="shared" ref="BP204:BP211" si="19">IFERROR(1/J204*(Y204/H204),"0")</f>
        <v>7.575757575757576E-2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78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49">
        <v>100</v>
      </c>
      <c r="Y205" s="550">
        <f t="shared" si="15"/>
        <v>102.60000000000001</v>
      </c>
      <c r="Z205" s="36">
        <f>IFERROR(IF(Y205=0,"",ROUNDUP(Y205/H205,0)*0.00902),"")</f>
        <v>0.17138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103.5185185185185</v>
      </c>
      <c r="BN205" s="64">
        <f t="shared" si="17"/>
        <v>106.21</v>
      </c>
      <c r="BO205" s="64">
        <f t="shared" si="18"/>
        <v>0.14029180695847362</v>
      </c>
      <c r="BP205" s="64">
        <f t="shared" si="19"/>
        <v>0.14393939393939395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1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49">
        <v>100</v>
      </c>
      <c r="Y206" s="550">
        <f t="shared" si="15"/>
        <v>102.60000000000001</v>
      </c>
      <c r="Z206" s="36">
        <f>IFERROR(IF(Y206=0,"",ROUNDUP(Y206/H206,0)*0.00902),"")</f>
        <v>0.17138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103.5185185185185</v>
      </c>
      <c r="BN206" s="64">
        <f t="shared" si="17"/>
        <v>106.21</v>
      </c>
      <c r="BO206" s="64">
        <f t="shared" si="18"/>
        <v>0.14029180695847362</v>
      </c>
      <c r="BP206" s="64">
        <f t="shared" si="19"/>
        <v>0.14393939393939395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49">
        <v>100</v>
      </c>
      <c r="Y207" s="550">
        <f t="shared" si="15"/>
        <v>102.60000000000001</v>
      </c>
      <c r="Z207" s="36">
        <f>IFERROR(IF(Y207=0,"",ROUNDUP(Y207/H207,0)*0.00902),"")</f>
        <v>0.17138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103.5185185185185</v>
      </c>
      <c r="BN207" s="64">
        <f t="shared" si="17"/>
        <v>106.21</v>
      </c>
      <c r="BO207" s="64">
        <f t="shared" si="18"/>
        <v>0.14029180695847362</v>
      </c>
      <c r="BP207" s="64">
        <f t="shared" si="19"/>
        <v>0.14393939393939395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4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84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8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49">
        <v>0</v>
      </c>
      <c r="Y211" s="550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2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4"/>
      <c r="P212" s="558" t="s">
        <v>75</v>
      </c>
      <c r="Q212" s="554"/>
      <c r="R212" s="554"/>
      <c r="S212" s="554"/>
      <c r="T212" s="554"/>
      <c r="U212" s="554"/>
      <c r="V212" s="555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64.81481481481481</v>
      </c>
      <c r="Y212" s="551">
        <f>IFERROR(Y204/H204,"0")+IFERROR(Y205/H205,"0")+IFERROR(Y206/H206,"0")+IFERROR(Y207/H207,"0")+IFERROR(Y208/H208,"0")+IFERROR(Y209/H209,"0")+IFERROR(Y210/H210,"0")+IFERROR(Y211/H211,"0")</f>
        <v>67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0.60433999999999999</v>
      </c>
      <c r="AA212" s="552"/>
      <c r="AB212" s="552"/>
      <c r="AC212" s="552"/>
    </row>
    <row r="213" spans="1:68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4"/>
      <c r="P213" s="558" t="s">
        <v>75</v>
      </c>
      <c r="Q213" s="554"/>
      <c r="R213" s="554"/>
      <c r="S213" s="554"/>
      <c r="T213" s="554"/>
      <c r="U213" s="554"/>
      <c r="V213" s="555"/>
      <c r="W213" s="37" t="s">
        <v>69</v>
      </c>
      <c r="X213" s="551">
        <f>IFERROR(SUM(X204:X211),"0")</f>
        <v>350</v>
      </c>
      <c r="Y213" s="551">
        <f>IFERROR(SUM(Y204:Y211),"0")</f>
        <v>361.80000000000007</v>
      </c>
      <c r="Z213" s="37"/>
      <c r="AA213" s="552"/>
      <c r="AB213" s="552"/>
      <c r="AC213" s="552"/>
    </row>
    <row r="214" spans="1:68" ht="14.25" customHeight="1" x14ac:dyDescent="0.25">
      <c r="A214" s="575" t="s">
        <v>77</v>
      </c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45"/>
      <c r="AB214" s="545"/>
      <c r="AC214" s="545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86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60"/>
      <c r="R215" s="560"/>
      <c r="S215" s="560"/>
      <c r="T215" s="561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40</v>
      </c>
      <c r="P216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60"/>
      <c r="R216" s="560"/>
      <c r="S216" s="560"/>
      <c r="T216" s="561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64.8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60"/>
      <c r="R217" s="560"/>
      <c r="S217" s="560"/>
      <c r="T217" s="561"/>
      <c r="U217" s="34"/>
      <c r="V217" s="34"/>
      <c r="W217" s="35" t="s">
        <v>69</v>
      </c>
      <c r="X217" s="549">
        <v>20</v>
      </c>
      <c r="Y217" s="550">
        <f t="shared" si="20"/>
        <v>26.099999999999998</v>
      </c>
      <c r="Z217" s="36">
        <f>IFERROR(IF(Y217=0,"",ROUNDUP(Y217/H217,0)*0.01898),"")</f>
        <v>5.6940000000000004E-2</v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21.135632183908051</v>
      </c>
      <c r="BN217" s="64">
        <f t="shared" si="22"/>
        <v>27.582000000000004</v>
      </c>
      <c r="BO217" s="64">
        <f t="shared" si="23"/>
        <v>3.5919540229885062E-2</v>
      </c>
      <c r="BP217" s="64">
        <f t="shared" si="24"/>
        <v>4.6875E-2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186</v>
      </c>
      <c r="M218" s="33" t="s">
        <v>80</v>
      </c>
      <c r="N218" s="33"/>
      <c r="O218" s="32">
        <v>40</v>
      </c>
      <c r="P218" s="5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49">
        <v>240</v>
      </c>
      <c r="Y218" s="550">
        <f t="shared" si="20"/>
        <v>240</v>
      </c>
      <c r="Z218" s="36">
        <f t="shared" ref="Z218:Z223" si="25">IFERROR(IF(Y218=0,"",ROUNDUP(Y218/H218,0)*0.00651),"")</f>
        <v>0.65100000000000002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267</v>
      </c>
      <c r="BN218" s="64">
        <f t="shared" si="22"/>
        <v>267</v>
      </c>
      <c r="BO218" s="64">
        <f t="shared" si="23"/>
        <v>0.5494505494505495</v>
      </c>
      <c r="BP218" s="64">
        <f t="shared" si="24"/>
        <v>0.5494505494505495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4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86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49">
        <v>192</v>
      </c>
      <c r="Y220" s="550">
        <f t="shared" si="20"/>
        <v>192</v>
      </c>
      <c r="Z220" s="36">
        <f t="shared" si="25"/>
        <v>0.52080000000000004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212.16000000000003</v>
      </c>
      <c r="BN220" s="64">
        <f t="shared" si="22"/>
        <v>212.16000000000003</v>
      </c>
      <c r="BO220" s="64">
        <f t="shared" si="23"/>
        <v>0.43956043956043961</v>
      </c>
      <c r="BP220" s="64">
        <f t="shared" si="24"/>
        <v>0.43956043956043961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186</v>
      </c>
      <c r="M221" s="33" t="s">
        <v>80</v>
      </c>
      <c r="N221" s="33"/>
      <c r="O221" s="32">
        <v>45</v>
      </c>
      <c r="P221" s="85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49">
        <v>192</v>
      </c>
      <c r="Y221" s="550">
        <f t="shared" si="20"/>
        <v>192</v>
      </c>
      <c r="Z221" s="36">
        <f t="shared" si="25"/>
        <v>0.52080000000000004</v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212.16000000000003</v>
      </c>
      <c r="BN221" s="64">
        <f t="shared" si="22"/>
        <v>212.16000000000003</v>
      </c>
      <c r="BO221" s="64">
        <f t="shared" si="23"/>
        <v>0.43956043956043961</v>
      </c>
      <c r="BP221" s="64">
        <f t="shared" si="24"/>
        <v>0.43956043956043961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186</v>
      </c>
      <c r="M222" s="33" t="s">
        <v>86</v>
      </c>
      <c r="N222" s="33"/>
      <c r="O222" s="32">
        <v>40</v>
      </c>
      <c r="P222" s="69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60"/>
      <c r="R222" s="560"/>
      <c r="S222" s="560"/>
      <c r="T222" s="561"/>
      <c r="U222" s="34"/>
      <c r="V222" s="34"/>
      <c r="W222" s="35" t="s">
        <v>69</v>
      </c>
      <c r="X222" s="549">
        <v>192</v>
      </c>
      <c r="Y222" s="550">
        <f t="shared" si="20"/>
        <v>192</v>
      </c>
      <c r="Z222" s="36">
        <f t="shared" si="25"/>
        <v>0.52080000000000004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212.16000000000003</v>
      </c>
      <c r="BN222" s="64">
        <f t="shared" si="22"/>
        <v>212.16000000000003</v>
      </c>
      <c r="BO222" s="64">
        <f t="shared" si="23"/>
        <v>0.43956043956043961</v>
      </c>
      <c r="BP222" s="64">
        <f t="shared" si="24"/>
        <v>0.43956043956043961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186</v>
      </c>
      <c r="M223" s="33" t="s">
        <v>80</v>
      </c>
      <c r="N223" s="33"/>
      <c r="O223" s="32">
        <v>40</v>
      </c>
      <c r="P223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60"/>
      <c r="R223" s="560"/>
      <c r="S223" s="560"/>
      <c r="T223" s="561"/>
      <c r="U223" s="34"/>
      <c r="V223" s="34"/>
      <c r="W223" s="35" t="s">
        <v>69</v>
      </c>
      <c r="X223" s="549">
        <v>192</v>
      </c>
      <c r="Y223" s="550">
        <f t="shared" si="20"/>
        <v>192</v>
      </c>
      <c r="Z223" s="36">
        <f t="shared" si="25"/>
        <v>0.52080000000000004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212.64000000000001</v>
      </c>
      <c r="BN223" s="64">
        <f t="shared" si="22"/>
        <v>212.64000000000001</v>
      </c>
      <c r="BO223" s="64">
        <f t="shared" si="23"/>
        <v>0.43956043956043961</v>
      </c>
      <c r="BP223" s="64">
        <f t="shared" si="24"/>
        <v>0.43956043956043961</v>
      </c>
    </row>
    <row r="224" spans="1:68" x14ac:dyDescent="0.2">
      <c r="A224" s="562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4"/>
      <c r="P224" s="558" t="s">
        <v>75</v>
      </c>
      <c r="Q224" s="554"/>
      <c r="R224" s="554"/>
      <c r="S224" s="554"/>
      <c r="T224" s="554"/>
      <c r="U224" s="554"/>
      <c r="V224" s="555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422.29885057471267</v>
      </c>
      <c r="Y224" s="551">
        <f>IFERROR(Y215/H215,"0")+IFERROR(Y216/H216,"0")+IFERROR(Y217/H217,"0")+IFERROR(Y218/H218,"0")+IFERROR(Y219/H219,"0")+IFERROR(Y220/H220,"0")+IFERROR(Y221/H221,"0")+IFERROR(Y222/H222,"0")+IFERROR(Y223/H223,"0")</f>
        <v>423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2.79114</v>
      </c>
      <c r="AA224" s="552"/>
      <c r="AB224" s="552"/>
      <c r="AC224" s="552"/>
    </row>
    <row r="225" spans="1:68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4"/>
      <c r="P225" s="558" t="s">
        <v>75</v>
      </c>
      <c r="Q225" s="554"/>
      <c r="R225" s="554"/>
      <c r="S225" s="554"/>
      <c r="T225" s="554"/>
      <c r="U225" s="554"/>
      <c r="V225" s="555"/>
      <c r="W225" s="37" t="s">
        <v>69</v>
      </c>
      <c r="X225" s="551">
        <f>IFERROR(SUM(X215:X223),"0")</f>
        <v>1028</v>
      </c>
      <c r="Y225" s="551">
        <f>IFERROR(SUM(Y215:Y223),"0")</f>
        <v>1034.0999999999999</v>
      </c>
      <c r="Z225" s="37"/>
      <c r="AA225" s="552"/>
      <c r="AB225" s="552"/>
      <c r="AC225" s="552"/>
    </row>
    <row r="226" spans="1:68" ht="14.25" customHeight="1" x14ac:dyDescent="0.25">
      <c r="A226" s="575" t="s">
        <v>160</v>
      </c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45"/>
      <c r="AB226" s="545"/>
      <c r="AC226" s="545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 t="s">
        <v>186</v>
      </c>
      <c r="M227" s="33" t="s">
        <v>86</v>
      </c>
      <c r="N227" s="33"/>
      <c r="O227" s="32">
        <v>40</v>
      </c>
      <c r="P227" s="67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60"/>
      <c r="R227" s="560"/>
      <c r="S227" s="560"/>
      <c r="T227" s="561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186</v>
      </c>
      <c r="M228" s="33" t="s">
        <v>80</v>
      </c>
      <c r="N228" s="33"/>
      <c r="O228" s="32">
        <v>40</v>
      </c>
      <c r="P228" s="5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49">
        <v>0</v>
      </c>
      <c r="Y228" s="550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562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4"/>
      <c r="P229" s="558" t="s">
        <v>75</v>
      </c>
      <c r="Q229" s="554"/>
      <c r="R229" s="554"/>
      <c r="S229" s="554"/>
      <c r="T229" s="554"/>
      <c r="U229" s="554"/>
      <c r="V229" s="555"/>
      <c r="W229" s="37" t="s">
        <v>76</v>
      </c>
      <c r="X229" s="551">
        <f>IFERROR(X227/H227,"0")+IFERROR(X228/H228,"0")</f>
        <v>0</v>
      </c>
      <c r="Y229" s="551">
        <f>IFERROR(Y227/H227,"0")+IFERROR(Y228/H228,"0")</f>
        <v>0</v>
      </c>
      <c r="Z229" s="551">
        <f>IFERROR(IF(Z227="",0,Z227),"0")+IFERROR(IF(Z228="",0,Z228),"0")</f>
        <v>0</v>
      </c>
      <c r="AA229" s="552"/>
      <c r="AB229" s="552"/>
      <c r="AC229" s="552"/>
    </row>
    <row r="230" spans="1:68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4"/>
      <c r="P230" s="558" t="s">
        <v>75</v>
      </c>
      <c r="Q230" s="554"/>
      <c r="R230" s="554"/>
      <c r="S230" s="554"/>
      <c r="T230" s="554"/>
      <c r="U230" s="554"/>
      <c r="V230" s="555"/>
      <c r="W230" s="37" t="s">
        <v>69</v>
      </c>
      <c r="X230" s="551">
        <f>IFERROR(SUM(X227:X228),"0")</f>
        <v>0</v>
      </c>
      <c r="Y230" s="551">
        <f>IFERROR(SUM(Y227:Y228),"0")</f>
        <v>0</v>
      </c>
      <c r="Z230" s="37"/>
      <c r="AA230" s="552"/>
      <c r="AB230" s="552"/>
      <c r="AC230" s="552"/>
    </row>
    <row r="231" spans="1:68" ht="16.5" customHeight="1" x14ac:dyDescent="0.25">
      <c r="A231" s="572" t="s">
        <v>382</v>
      </c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44"/>
      <c r="AB231" s="544"/>
      <c r="AC231" s="544"/>
    </row>
    <row r="232" spans="1:68" ht="14.25" customHeight="1" x14ac:dyDescent="0.25">
      <c r="A232" s="575" t="s">
        <v>99</v>
      </c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45"/>
      <c r="AB232" s="545"/>
      <c r="AC232" s="545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1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60"/>
      <c r="R233" s="560"/>
      <c r="S233" s="560"/>
      <c r="T233" s="561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84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71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82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394</v>
      </c>
      <c r="C237" s="31">
        <v>4301012196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84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2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75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401</v>
      </c>
      <c r="B241" s="54" t="s">
        <v>403</v>
      </c>
      <c r="C241" s="31">
        <v>4301012195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65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2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4"/>
      <c r="P242" s="558" t="s">
        <v>75</v>
      </c>
      <c r="Q242" s="554"/>
      <c r="R242" s="554"/>
      <c r="S242" s="554"/>
      <c r="T242" s="554"/>
      <c r="U242" s="554"/>
      <c r="V242" s="555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4"/>
      <c r="P243" s="558" t="s">
        <v>75</v>
      </c>
      <c r="Q243" s="554"/>
      <c r="R243" s="554"/>
      <c r="S243" s="554"/>
      <c r="T243" s="554"/>
      <c r="U243" s="554"/>
      <c r="V243" s="555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customHeight="1" x14ac:dyDescent="0.25">
      <c r="A244" s="575" t="s">
        <v>135</v>
      </c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45"/>
      <c r="AB244" s="545"/>
      <c r="AC244" s="545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8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0"/>
      <c r="R245" s="560"/>
      <c r="S245" s="560"/>
      <c r="T245" s="561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2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4"/>
      <c r="P246" s="558" t="s">
        <v>75</v>
      </c>
      <c r="Q246" s="554"/>
      <c r="R246" s="554"/>
      <c r="S246" s="554"/>
      <c r="T246" s="554"/>
      <c r="U246" s="554"/>
      <c r="V246" s="555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4"/>
      <c r="P247" s="558" t="s">
        <v>75</v>
      </c>
      <c r="Q247" s="554"/>
      <c r="R247" s="554"/>
      <c r="S247" s="554"/>
      <c r="T247" s="554"/>
      <c r="U247" s="554"/>
      <c r="V247" s="555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customHeight="1" x14ac:dyDescent="0.25">
      <c r="A248" s="575" t="s">
        <v>407</v>
      </c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45"/>
      <c r="AB248" s="545"/>
      <c r="AC248" s="545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87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0"/>
      <c r="R249" s="560"/>
      <c r="S249" s="560"/>
      <c r="T249" s="561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2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4"/>
      <c r="P250" s="558" t="s">
        <v>75</v>
      </c>
      <c r="Q250" s="554"/>
      <c r="R250" s="554"/>
      <c r="S250" s="554"/>
      <c r="T250" s="554"/>
      <c r="U250" s="554"/>
      <c r="V250" s="555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4"/>
      <c r="P251" s="558" t="s">
        <v>75</v>
      </c>
      <c r="Q251" s="554"/>
      <c r="R251" s="554"/>
      <c r="S251" s="554"/>
      <c r="T251" s="554"/>
      <c r="U251" s="554"/>
      <c r="V251" s="555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customHeight="1" x14ac:dyDescent="0.25">
      <c r="A252" s="575" t="s">
        <v>411</v>
      </c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45"/>
      <c r="AB252" s="545"/>
      <c r="AC252" s="545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62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0"/>
      <c r="R253" s="560"/>
      <c r="S253" s="560"/>
      <c r="T253" s="561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8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0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69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2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4"/>
      <c r="P258" s="558" t="s">
        <v>75</v>
      </c>
      <c r="Q258" s="554"/>
      <c r="R258" s="554"/>
      <c r="S258" s="554"/>
      <c r="T258" s="554"/>
      <c r="U258" s="554"/>
      <c r="V258" s="555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4"/>
      <c r="P259" s="558" t="s">
        <v>75</v>
      </c>
      <c r="Q259" s="554"/>
      <c r="R259" s="554"/>
      <c r="S259" s="554"/>
      <c r="T259" s="554"/>
      <c r="U259" s="554"/>
      <c r="V259" s="555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customHeight="1" x14ac:dyDescent="0.25">
      <c r="A260" s="572" t="s">
        <v>423</v>
      </c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44"/>
      <c r="AB260" s="544"/>
      <c r="AC260" s="544"/>
    </row>
    <row r="261" spans="1:68" ht="14.25" customHeight="1" x14ac:dyDescent="0.25">
      <c r="A261" s="575" t="s">
        <v>99</v>
      </c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45"/>
      <c r="AB261" s="545"/>
      <c r="AC261" s="545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 t="s">
        <v>103</v>
      </c>
      <c r="M262" s="33" t="s">
        <v>104</v>
      </c>
      <c r="N262" s="33"/>
      <c r="O262" s="32">
        <v>55</v>
      </c>
      <c r="P262" s="6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0"/>
      <c r="R262" s="560"/>
      <c r="S262" s="560"/>
      <c r="T262" s="561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106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59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7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83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8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2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4"/>
      <c r="P267" s="558" t="s">
        <v>75</v>
      </c>
      <c r="Q267" s="554"/>
      <c r="R267" s="554"/>
      <c r="S267" s="554"/>
      <c r="T267" s="554"/>
      <c r="U267" s="554"/>
      <c r="V267" s="555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4"/>
      <c r="P268" s="558" t="s">
        <v>75</v>
      </c>
      <c r="Q268" s="554"/>
      <c r="R268" s="554"/>
      <c r="S268" s="554"/>
      <c r="T268" s="554"/>
      <c r="U268" s="554"/>
      <c r="V268" s="555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customHeight="1" x14ac:dyDescent="0.25">
      <c r="A269" s="572" t="s">
        <v>439</v>
      </c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44"/>
      <c r="AB269" s="544"/>
      <c r="AC269" s="544"/>
    </row>
    <row r="270" spans="1:68" ht="14.25" customHeight="1" x14ac:dyDescent="0.25">
      <c r="A270" s="575" t="s">
        <v>99</v>
      </c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45"/>
      <c r="AB270" s="545"/>
      <c r="AC270" s="545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83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0"/>
      <c r="R271" s="560"/>
      <c r="S271" s="560"/>
      <c r="T271" s="561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6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0"/>
      <c r="R272" s="560"/>
      <c r="S272" s="560"/>
      <c r="T272" s="561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82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68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2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4"/>
      <c r="P275" s="558" t="s">
        <v>75</v>
      </c>
      <c r="Q275" s="554"/>
      <c r="R275" s="554"/>
      <c r="S275" s="554"/>
      <c r="T275" s="554"/>
      <c r="U275" s="554"/>
      <c r="V275" s="555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4"/>
      <c r="P276" s="558" t="s">
        <v>75</v>
      </c>
      <c r="Q276" s="554"/>
      <c r="R276" s="554"/>
      <c r="S276" s="554"/>
      <c r="T276" s="554"/>
      <c r="U276" s="554"/>
      <c r="V276" s="555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customHeight="1" x14ac:dyDescent="0.25">
      <c r="A277" s="572" t="s">
        <v>450</v>
      </c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44"/>
      <c r="AB277" s="544"/>
      <c r="AC277" s="544"/>
    </row>
    <row r="278" spans="1:68" ht="14.25" customHeight="1" x14ac:dyDescent="0.25">
      <c r="A278" s="575" t="s">
        <v>77</v>
      </c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45"/>
      <c r="AB278" s="545"/>
      <c r="AC278" s="545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6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0"/>
      <c r="R279" s="560"/>
      <c r="S279" s="560"/>
      <c r="T279" s="561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186</v>
      </c>
      <c r="M280" s="33" t="s">
        <v>86</v>
      </c>
      <c r="N280" s="33"/>
      <c r="O280" s="32">
        <v>40</v>
      </c>
      <c r="P280" s="7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186</v>
      </c>
      <c r="M281" s="33" t="s">
        <v>80</v>
      </c>
      <c r="N281" s="33"/>
      <c r="O281" s="32">
        <v>45</v>
      </c>
      <c r="P281" s="79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0"/>
      <c r="R281" s="560"/>
      <c r="S281" s="560"/>
      <c r="T281" s="561"/>
      <c r="U281" s="34"/>
      <c r="V281" s="34"/>
      <c r="W281" s="35" t="s">
        <v>69</v>
      </c>
      <c r="X281" s="549">
        <v>0</v>
      </c>
      <c r="Y281" s="550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562"/>
      <c r="B282" s="563"/>
      <c r="C282" s="563"/>
      <c r="D282" s="563"/>
      <c r="E282" s="563"/>
      <c r="F282" s="563"/>
      <c r="G282" s="563"/>
      <c r="H282" s="563"/>
      <c r="I282" s="563"/>
      <c r="J282" s="563"/>
      <c r="K282" s="563"/>
      <c r="L282" s="563"/>
      <c r="M282" s="563"/>
      <c r="N282" s="563"/>
      <c r="O282" s="564"/>
      <c r="P282" s="558" t="s">
        <v>75</v>
      </c>
      <c r="Q282" s="554"/>
      <c r="R282" s="554"/>
      <c r="S282" s="554"/>
      <c r="T282" s="554"/>
      <c r="U282" s="554"/>
      <c r="V282" s="555"/>
      <c r="W282" s="37" t="s">
        <v>76</v>
      </c>
      <c r="X282" s="551">
        <f>IFERROR(X279/H279,"0")+IFERROR(X280/H280,"0")+IFERROR(X281/H281,"0")</f>
        <v>0</v>
      </c>
      <c r="Y282" s="551">
        <f>IFERROR(Y279/H279,"0")+IFERROR(Y280/H280,"0")+IFERROR(Y281/H281,"0")</f>
        <v>0</v>
      </c>
      <c r="Z282" s="551">
        <f>IFERROR(IF(Z279="",0,Z279),"0")+IFERROR(IF(Z280="",0,Z280),"0")+IFERROR(IF(Z281="",0,Z281),"0")</f>
        <v>0</v>
      </c>
      <c r="AA282" s="552"/>
      <c r="AB282" s="552"/>
      <c r="AC282" s="552"/>
    </row>
    <row r="283" spans="1:68" x14ac:dyDescent="0.2">
      <c r="A283" s="563"/>
      <c r="B283" s="563"/>
      <c r="C283" s="563"/>
      <c r="D283" s="563"/>
      <c r="E283" s="563"/>
      <c r="F283" s="563"/>
      <c r="G283" s="563"/>
      <c r="H283" s="563"/>
      <c r="I283" s="563"/>
      <c r="J283" s="563"/>
      <c r="K283" s="563"/>
      <c r="L283" s="563"/>
      <c r="M283" s="563"/>
      <c r="N283" s="563"/>
      <c r="O283" s="564"/>
      <c r="P283" s="558" t="s">
        <v>75</v>
      </c>
      <c r="Q283" s="554"/>
      <c r="R283" s="554"/>
      <c r="S283" s="554"/>
      <c r="T283" s="554"/>
      <c r="U283" s="554"/>
      <c r="V283" s="555"/>
      <c r="W283" s="37" t="s">
        <v>69</v>
      </c>
      <c r="X283" s="551">
        <f>IFERROR(SUM(X279:X281),"0")</f>
        <v>0</v>
      </c>
      <c r="Y283" s="551">
        <f>IFERROR(SUM(Y279:Y281),"0")</f>
        <v>0</v>
      </c>
      <c r="Z283" s="37"/>
      <c r="AA283" s="552"/>
      <c r="AB283" s="552"/>
      <c r="AC283" s="552"/>
    </row>
    <row r="284" spans="1:68" ht="16.5" customHeight="1" x14ac:dyDescent="0.25">
      <c r="A284" s="572" t="s">
        <v>459</v>
      </c>
      <c r="B284" s="563"/>
      <c r="C284" s="563"/>
      <c r="D284" s="563"/>
      <c r="E284" s="563"/>
      <c r="F284" s="563"/>
      <c r="G284" s="563"/>
      <c r="H284" s="563"/>
      <c r="I284" s="563"/>
      <c r="J284" s="563"/>
      <c r="K284" s="563"/>
      <c r="L284" s="563"/>
      <c r="M284" s="563"/>
      <c r="N284" s="563"/>
      <c r="O284" s="563"/>
      <c r="P284" s="563"/>
      <c r="Q284" s="563"/>
      <c r="R284" s="563"/>
      <c r="S284" s="563"/>
      <c r="T284" s="563"/>
      <c r="U284" s="563"/>
      <c r="V284" s="563"/>
      <c r="W284" s="563"/>
      <c r="X284" s="563"/>
      <c r="Y284" s="563"/>
      <c r="Z284" s="563"/>
      <c r="AA284" s="544"/>
      <c r="AB284" s="544"/>
      <c r="AC284" s="544"/>
    </row>
    <row r="285" spans="1:68" ht="14.25" customHeight="1" x14ac:dyDescent="0.25">
      <c r="A285" s="575" t="s">
        <v>64</v>
      </c>
      <c r="B285" s="563"/>
      <c r="C285" s="563"/>
      <c r="D285" s="563"/>
      <c r="E285" s="563"/>
      <c r="F285" s="563"/>
      <c r="G285" s="563"/>
      <c r="H285" s="563"/>
      <c r="I285" s="563"/>
      <c r="J285" s="563"/>
      <c r="K285" s="563"/>
      <c r="L285" s="563"/>
      <c r="M285" s="563"/>
      <c r="N285" s="563"/>
      <c r="O285" s="563"/>
      <c r="P285" s="563"/>
      <c r="Q285" s="563"/>
      <c r="R285" s="563"/>
      <c r="S285" s="563"/>
      <c r="T285" s="563"/>
      <c r="U285" s="563"/>
      <c r="V285" s="563"/>
      <c r="W285" s="563"/>
      <c r="X285" s="563"/>
      <c r="Y285" s="563"/>
      <c r="Z285" s="563"/>
      <c r="AA285" s="545"/>
      <c r="AB285" s="545"/>
      <c r="AC285" s="545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80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0"/>
      <c r="R286" s="560"/>
      <c r="S286" s="560"/>
      <c r="T286" s="561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79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0"/>
      <c r="R287" s="560"/>
      <c r="S287" s="560"/>
      <c r="T287" s="561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2"/>
      <c r="B288" s="563"/>
      <c r="C288" s="563"/>
      <c r="D288" s="563"/>
      <c r="E288" s="563"/>
      <c r="F288" s="563"/>
      <c r="G288" s="563"/>
      <c r="H288" s="563"/>
      <c r="I288" s="563"/>
      <c r="J288" s="563"/>
      <c r="K288" s="563"/>
      <c r="L288" s="563"/>
      <c r="M288" s="563"/>
      <c r="N288" s="563"/>
      <c r="O288" s="564"/>
      <c r="P288" s="558" t="s">
        <v>75</v>
      </c>
      <c r="Q288" s="554"/>
      <c r="R288" s="554"/>
      <c r="S288" s="554"/>
      <c r="T288" s="554"/>
      <c r="U288" s="554"/>
      <c r="V288" s="555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x14ac:dyDescent="0.2">
      <c r="A289" s="563"/>
      <c r="B289" s="563"/>
      <c r="C289" s="563"/>
      <c r="D289" s="563"/>
      <c r="E289" s="563"/>
      <c r="F289" s="563"/>
      <c r="G289" s="563"/>
      <c r="H289" s="563"/>
      <c r="I289" s="563"/>
      <c r="J289" s="563"/>
      <c r="K289" s="563"/>
      <c r="L289" s="563"/>
      <c r="M289" s="563"/>
      <c r="N289" s="563"/>
      <c r="O289" s="564"/>
      <c r="P289" s="558" t="s">
        <v>75</v>
      </c>
      <c r="Q289" s="554"/>
      <c r="R289" s="554"/>
      <c r="S289" s="554"/>
      <c r="T289" s="554"/>
      <c r="U289" s="554"/>
      <c r="V289" s="555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customHeight="1" x14ac:dyDescent="0.25">
      <c r="A290" s="575" t="s">
        <v>77</v>
      </c>
      <c r="B290" s="563"/>
      <c r="C290" s="563"/>
      <c r="D290" s="563"/>
      <c r="E290" s="563"/>
      <c r="F290" s="563"/>
      <c r="G290" s="563"/>
      <c r="H290" s="563"/>
      <c r="I290" s="563"/>
      <c r="J290" s="563"/>
      <c r="K290" s="563"/>
      <c r="L290" s="563"/>
      <c r="M290" s="563"/>
      <c r="N290" s="563"/>
      <c r="O290" s="563"/>
      <c r="P290" s="563"/>
      <c r="Q290" s="563"/>
      <c r="R290" s="563"/>
      <c r="S290" s="563"/>
      <c r="T290" s="563"/>
      <c r="U290" s="563"/>
      <c r="V290" s="563"/>
      <c r="W290" s="563"/>
      <c r="X290" s="563"/>
      <c r="Y290" s="563"/>
      <c r="Z290" s="563"/>
      <c r="AA290" s="545"/>
      <c r="AB290" s="545"/>
      <c r="AC290" s="545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0"/>
      <c r="R291" s="560"/>
      <c r="S291" s="560"/>
      <c r="T291" s="561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6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2"/>
      <c r="B293" s="563"/>
      <c r="C293" s="563"/>
      <c r="D293" s="563"/>
      <c r="E293" s="563"/>
      <c r="F293" s="563"/>
      <c r="G293" s="563"/>
      <c r="H293" s="563"/>
      <c r="I293" s="563"/>
      <c r="J293" s="563"/>
      <c r="K293" s="563"/>
      <c r="L293" s="563"/>
      <c r="M293" s="563"/>
      <c r="N293" s="563"/>
      <c r="O293" s="564"/>
      <c r="P293" s="558" t="s">
        <v>75</v>
      </c>
      <c r="Q293" s="554"/>
      <c r="R293" s="554"/>
      <c r="S293" s="554"/>
      <c r="T293" s="554"/>
      <c r="U293" s="554"/>
      <c r="V293" s="555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x14ac:dyDescent="0.2">
      <c r="A294" s="563"/>
      <c r="B294" s="563"/>
      <c r="C294" s="563"/>
      <c r="D294" s="563"/>
      <c r="E294" s="563"/>
      <c r="F294" s="563"/>
      <c r="G294" s="563"/>
      <c r="H294" s="563"/>
      <c r="I294" s="563"/>
      <c r="J294" s="563"/>
      <c r="K294" s="563"/>
      <c r="L294" s="563"/>
      <c r="M294" s="563"/>
      <c r="N294" s="563"/>
      <c r="O294" s="564"/>
      <c r="P294" s="558" t="s">
        <v>75</v>
      </c>
      <c r="Q294" s="554"/>
      <c r="R294" s="554"/>
      <c r="S294" s="554"/>
      <c r="T294" s="554"/>
      <c r="U294" s="554"/>
      <c r="V294" s="555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customHeight="1" x14ac:dyDescent="0.25">
      <c r="A295" s="572" t="s">
        <v>472</v>
      </c>
      <c r="B295" s="563"/>
      <c r="C295" s="563"/>
      <c r="D295" s="563"/>
      <c r="E295" s="563"/>
      <c r="F295" s="563"/>
      <c r="G295" s="563"/>
      <c r="H295" s="563"/>
      <c r="I295" s="563"/>
      <c r="J295" s="563"/>
      <c r="K295" s="563"/>
      <c r="L295" s="563"/>
      <c r="M295" s="563"/>
      <c r="N295" s="563"/>
      <c r="O295" s="563"/>
      <c r="P295" s="563"/>
      <c r="Q295" s="563"/>
      <c r="R295" s="563"/>
      <c r="S295" s="563"/>
      <c r="T295" s="563"/>
      <c r="U295" s="563"/>
      <c r="V295" s="563"/>
      <c r="W295" s="563"/>
      <c r="X295" s="563"/>
      <c r="Y295" s="563"/>
      <c r="Z295" s="563"/>
      <c r="AA295" s="544"/>
      <c r="AB295" s="544"/>
      <c r="AC295" s="544"/>
    </row>
    <row r="296" spans="1:68" ht="14.25" customHeight="1" x14ac:dyDescent="0.25">
      <c r="A296" s="575" t="s">
        <v>99</v>
      </c>
      <c r="B296" s="563"/>
      <c r="C296" s="563"/>
      <c r="D296" s="563"/>
      <c r="E296" s="563"/>
      <c r="F296" s="563"/>
      <c r="G296" s="563"/>
      <c r="H296" s="563"/>
      <c r="I296" s="563"/>
      <c r="J296" s="563"/>
      <c r="K296" s="563"/>
      <c r="L296" s="563"/>
      <c r="M296" s="563"/>
      <c r="N296" s="563"/>
      <c r="O296" s="563"/>
      <c r="P296" s="563"/>
      <c r="Q296" s="563"/>
      <c r="R296" s="563"/>
      <c r="S296" s="563"/>
      <c r="T296" s="563"/>
      <c r="U296" s="563"/>
      <c r="V296" s="563"/>
      <c r="W296" s="563"/>
      <c r="X296" s="563"/>
      <c r="Y296" s="563"/>
      <c r="Z296" s="563"/>
      <c r="AA296" s="545"/>
      <c r="AB296" s="545"/>
      <c r="AC296" s="545"/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0"/>
      <c r="R297" s="560"/>
      <c r="S297" s="560"/>
      <c r="T297" s="561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62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2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74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66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562"/>
      <c r="B302" s="563"/>
      <c r="C302" s="563"/>
      <c r="D302" s="563"/>
      <c r="E302" s="563"/>
      <c r="F302" s="563"/>
      <c r="G302" s="563"/>
      <c r="H302" s="563"/>
      <c r="I302" s="563"/>
      <c r="J302" s="563"/>
      <c r="K302" s="563"/>
      <c r="L302" s="563"/>
      <c r="M302" s="563"/>
      <c r="N302" s="563"/>
      <c r="O302" s="564"/>
      <c r="P302" s="558" t="s">
        <v>75</v>
      </c>
      <c r="Q302" s="554"/>
      <c r="R302" s="554"/>
      <c r="S302" s="554"/>
      <c r="T302" s="554"/>
      <c r="U302" s="554"/>
      <c r="V302" s="555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3"/>
      <c r="B303" s="563"/>
      <c r="C303" s="563"/>
      <c r="D303" s="563"/>
      <c r="E303" s="563"/>
      <c r="F303" s="563"/>
      <c r="G303" s="563"/>
      <c r="H303" s="563"/>
      <c r="I303" s="563"/>
      <c r="J303" s="563"/>
      <c r="K303" s="563"/>
      <c r="L303" s="563"/>
      <c r="M303" s="563"/>
      <c r="N303" s="563"/>
      <c r="O303" s="564"/>
      <c r="P303" s="558" t="s">
        <v>75</v>
      </c>
      <c r="Q303" s="554"/>
      <c r="R303" s="554"/>
      <c r="S303" s="554"/>
      <c r="T303" s="554"/>
      <c r="U303" s="554"/>
      <c r="V303" s="555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customHeight="1" x14ac:dyDescent="0.25">
      <c r="A304" s="575" t="s">
        <v>64</v>
      </c>
      <c r="B304" s="563"/>
      <c r="C304" s="563"/>
      <c r="D304" s="563"/>
      <c r="E304" s="563"/>
      <c r="F304" s="563"/>
      <c r="G304" s="563"/>
      <c r="H304" s="563"/>
      <c r="I304" s="563"/>
      <c r="J304" s="563"/>
      <c r="K304" s="563"/>
      <c r="L304" s="563"/>
      <c r="M304" s="563"/>
      <c r="N304" s="563"/>
      <c r="O304" s="563"/>
      <c r="P304" s="563"/>
      <c r="Q304" s="563"/>
      <c r="R304" s="563"/>
      <c r="S304" s="563"/>
      <c r="T304" s="563"/>
      <c r="U304" s="563"/>
      <c r="V304" s="563"/>
      <c r="W304" s="563"/>
      <c r="X304" s="563"/>
      <c r="Y304" s="563"/>
      <c r="Z304" s="563"/>
      <c r="AA304" s="545"/>
      <c r="AB304" s="545"/>
      <c r="AC304" s="545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0"/>
      <c r="R305" s="560"/>
      <c r="S305" s="560"/>
      <c r="T305" s="561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 t="s">
        <v>110</v>
      </c>
      <c r="M306" s="33" t="s">
        <v>68</v>
      </c>
      <c r="N306" s="33"/>
      <c r="O306" s="32">
        <v>40</v>
      </c>
      <c r="P306" s="71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0"/>
      <c r="R306" s="560"/>
      <c r="S306" s="560"/>
      <c r="T306" s="561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106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6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7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78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106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4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2"/>
      <c r="B311" s="563"/>
      <c r="C311" s="563"/>
      <c r="D311" s="563"/>
      <c r="E311" s="563"/>
      <c r="F311" s="563"/>
      <c r="G311" s="563"/>
      <c r="H311" s="563"/>
      <c r="I311" s="563"/>
      <c r="J311" s="563"/>
      <c r="K311" s="563"/>
      <c r="L311" s="563"/>
      <c r="M311" s="563"/>
      <c r="N311" s="563"/>
      <c r="O311" s="564"/>
      <c r="P311" s="558" t="s">
        <v>75</v>
      </c>
      <c r="Q311" s="554"/>
      <c r="R311" s="554"/>
      <c r="S311" s="554"/>
      <c r="T311" s="554"/>
      <c r="U311" s="554"/>
      <c r="V311" s="555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x14ac:dyDescent="0.2">
      <c r="A312" s="563"/>
      <c r="B312" s="563"/>
      <c r="C312" s="563"/>
      <c r="D312" s="563"/>
      <c r="E312" s="563"/>
      <c r="F312" s="563"/>
      <c r="G312" s="563"/>
      <c r="H312" s="563"/>
      <c r="I312" s="563"/>
      <c r="J312" s="563"/>
      <c r="K312" s="563"/>
      <c r="L312" s="563"/>
      <c r="M312" s="563"/>
      <c r="N312" s="563"/>
      <c r="O312" s="564"/>
      <c r="P312" s="558" t="s">
        <v>75</v>
      </c>
      <c r="Q312" s="554"/>
      <c r="R312" s="554"/>
      <c r="S312" s="554"/>
      <c r="T312" s="554"/>
      <c r="U312" s="554"/>
      <c r="V312" s="555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customHeight="1" x14ac:dyDescent="0.25">
      <c r="A313" s="575" t="s">
        <v>77</v>
      </c>
      <c r="B313" s="563"/>
      <c r="C313" s="563"/>
      <c r="D313" s="563"/>
      <c r="E313" s="563"/>
      <c r="F313" s="563"/>
      <c r="G313" s="563"/>
      <c r="H313" s="563"/>
      <c r="I313" s="563"/>
      <c r="J313" s="563"/>
      <c r="K313" s="563"/>
      <c r="L313" s="563"/>
      <c r="M313" s="563"/>
      <c r="N313" s="563"/>
      <c r="O313" s="563"/>
      <c r="P313" s="563"/>
      <c r="Q313" s="563"/>
      <c r="R313" s="563"/>
      <c r="S313" s="563"/>
      <c r="T313" s="563"/>
      <c r="U313" s="563"/>
      <c r="V313" s="563"/>
      <c r="W313" s="563"/>
      <c r="X313" s="563"/>
      <c r="Y313" s="563"/>
      <c r="Z313" s="563"/>
      <c r="AA313" s="545"/>
      <c r="AB313" s="545"/>
      <c r="AC313" s="545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 t="s">
        <v>103</v>
      </c>
      <c r="M314" s="33" t="s">
        <v>80</v>
      </c>
      <c r="N314" s="33"/>
      <c r="O314" s="32">
        <v>40</v>
      </c>
      <c r="P314" s="69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0"/>
      <c r="R314" s="560"/>
      <c r="S314" s="560"/>
      <c r="T314" s="561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106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87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0"/>
      <c r="R315" s="560"/>
      <c r="S315" s="560"/>
      <c r="T315" s="561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86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0"/>
      <c r="R316" s="560"/>
      <c r="S316" s="560"/>
      <c r="T316" s="561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6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0"/>
      <c r="R317" s="560"/>
      <c r="S317" s="560"/>
      <c r="T317" s="561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2"/>
      <c r="B318" s="563"/>
      <c r="C318" s="563"/>
      <c r="D318" s="563"/>
      <c r="E318" s="563"/>
      <c r="F318" s="563"/>
      <c r="G318" s="563"/>
      <c r="H318" s="563"/>
      <c r="I318" s="563"/>
      <c r="J318" s="563"/>
      <c r="K318" s="563"/>
      <c r="L318" s="563"/>
      <c r="M318" s="563"/>
      <c r="N318" s="563"/>
      <c r="O318" s="564"/>
      <c r="P318" s="558" t="s">
        <v>75</v>
      </c>
      <c r="Q318" s="554"/>
      <c r="R318" s="554"/>
      <c r="S318" s="554"/>
      <c r="T318" s="554"/>
      <c r="U318" s="554"/>
      <c r="V318" s="555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3"/>
      <c r="B319" s="563"/>
      <c r="C319" s="563"/>
      <c r="D319" s="563"/>
      <c r="E319" s="563"/>
      <c r="F319" s="563"/>
      <c r="G319" s="563"/>
      <c r="H319" s="563"/>
      <c r="I319" s="563"/>
      <c r="J319" s="563"/>
      <c r="K319" s="563"/>
      <c r="L319" s="563"/>
      <c r="M319" s="563"/>
      <c r="N319" s="563"/>
      <c r="O319" s="564"/>
      <c r="P319" s="558" t="s">
        <v>75</v>
      </c>
      <c r="Q319" s="554"/>
      <c r="R319" s="554"/>
      <c r="S319" s="554"/>
      <c r="T319" s="554"/>
      <c r="U319" s="554"/>
      <c r="V319" s="555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75" t="s">
        <v>160</v>
      </c>
      <c r="B320" s="563"/>
      <c r="C320" s="563"/>
      <c r="D320" s="563"/>
      <c r="E320" s="563"/>
      <c r="F320" s="563"/>
      <c r="G320" s="563"/>
      <c r="H320" s="563"/>
      <c r="I320" s="563"/>
      <c r="J320" s="563"/>
      <c r="K320" s="563"/>
      <c r="L320" s="563"/>
      <c r="M320" s="563"/>
      <c r="N320" s="563"/>
      <c r="O320" s="563"/>
      <c r="P320" s="563"/>
      <c r="Q320" s="563"/>
      <c r="R320" s="563"/>
      <c r="S320" s="563"/>
      <c r="T320" s="563"/>
      <c r="U320" s="563"/>
      <c r="V320" s="563"/>
      <c r="W320" s="563"/>
      <c r="X320" s="563"/>
      <c r="Y320" s="563"/>
      <c r="Z320" s="563"/>
      <c r="AA320" s="545"/>
      <c r="AB320" s="545"/>
      <c r="AC320" s="545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66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0"/>
      <c r="R321" s="560"/>
      <c r="S321" s="560"/>
      <c r="T321" s="561"/>
      <c r="U321" s="34"/>
      <c r="V321" s="34"/>
      <c r="W321" s="35" t="s">
        <v>69</v>
      </c>
      <c r="X321" s="549">
        <v>80</v>
      </c>
      <c r="Y321" s="550">
        <f>IFERROR(IF(X321="",0,CEILING((X321/$H321),1)*$H321),"")</f>
        <v>84</v>
      </c>
      <c r="Z321" s="36">
        <f>IFERROR(IF(Y321=0,"",ROUNDUP(Y321/H321,0)*0.01898),"")</f>
        <v>0.1898</v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84.704761904761895</v>
      </c>
      <c r="BN321" s="64">
        <f>IFERROR(Y321*I321/H321,"0")</f>
        <v>88.94</v>
      </c>
      <c r="BO321" s="64">
        <f>IFERROR(1/J321*(X321/H321),"0")</f>
        <v>0.14880952380952381</v>
      </c>
      <c r="BP321" s="64">
        <f>IFERROR(1/J321*(Y321/H321),"0")</f>
        <v>0.15625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8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0"/>
      <c r="R322" s="560"/>
      <c r="S322" s="560"/>
      <c r="T322" s="561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6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49">
        <v>40</v>
      </c>
      <c r="Y323" s="550">
        <f>IFERROR(IF(X323="",0,CEILING((X323/$H323),1)*$H323),"")</f>
        <v>42</v>
      </c>
      <c r="Z323" s="36">
        <f>IFERROR(IF(Y323=0,"",ROUNDUP(Y323/H323,0)*0.01898),"")</f>
        <v>9.4899999999999998E-2</v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42.352380952380948</v>
      </c>
      <c r="BN323" s="64">
        <f>IFERROR(Y323*I323/H323,"0")</f>
        <v>44.47</v>
      </c>
      <c r="BO323" s="64">
        <f>IFERROR(1/J323*(X323/H323),"0")</f>
        <v>7.4404761904761904E-2</v>
      </c>
      <c r="BP323" s="64">
        <f>IFERROR(1/J323*(Y323/H323),"0")</f>
        <v>7.8125E-2</v>
      </c>
    </row>
    <row r="324" spans="1:68" x14ac:dyDescent="0.2">
      <c r="A324" s="562"/>
      <c r="B324" s="563"/>
      <c r="C324" s="563"/>
      <c r="D324" s="563"/>
      <c r="E324" s="563"/>
      <c r="F324" s="563"/>
      <c r="G324" s="563"/>
      <c r="H324" s="563"/>
      <c r="I324" s="563"/>
      <c r="J324" s="563"/>
      <c r="K324" s="563"/>
      <c r="L324" s="563"/>
      <c r="M324" s="563"/>
      <c r="N324" s="563"/>
      <c r="O324" s="564"/>
      <c r="P324" s="558" t="s">
        <v>75</v>
      </c>
      <c r="Q324" s="554"/>
      <c r="R324" s="554"/>
      <c r="S324" s="554"/>
      <c r="T324" s="554"/>
      <c r="U324" s="554"/>
      <c r="V324" s="555"/>
      <c r="W324" s="37" t="s">
        <v>76</v>
      </c>
      <c r="X324" s="551">
        <f>IFERROR(X321/H321,"0")+IFERROR(X322/H322,"0")+IFERROR(X323/H323,"0")</f>
        <v>14.285714285714285</v>
      </c>
      <c r="Y324" s="551">
        <f>IFERROR(Y321/H321,"0")+IFERROR(Y322/H322,"0")+IFERROR(Y323/H323,"0")</f>
        <v>15</v>
      </c>
      <c r="Z324" s="551">
        <f>IFERROR(IF(Z321="",0,Z321),"0")+IFERROR(IF(Z322="",0,Z322),"0")+IFERROR(IF(Z323="",0,Z323),"0")</f>
        <v>0.28470000000000001</v>
      </c>
      <c r="AA324" s="552"/>
      <c r="AB324" s="552"/>
      <c r="AC324" s="552"/>
    </row>
    <row r="325" spans="1:68" x14ac:dyDescent="0.2">
      <c r="A325" s="563"/>
      <c r="B325" s="563"/>
      <c r="C325" s="563"/>
      <c r="D325" s="563"/>
      <c r="E325" s="563"/>
      <c r="F325" s="563"/>
      <c r="G325" s="563"/>
      <c r="H325" s="563"/>
      <c r="I325" s="563"/>
      <c r="J325" s="563"/>
      <c r="K325" s="563"/>
      <c r="L325" s="563"/>
      <c r="M325" s="563"/>
      <c r="N325" s="563"/>
      <c r="O325" s="564"/>
      <c r="P325" s="558" t="s">
        <v>75</v>
      </c>
      <c r="Q325" s="554"/>
      <c r="R325" s="554"/>
      <c r="S325" s="554"/>
      <c r="T325" s="554"/>
      <c r="U325" s="554"/>
      <c r="V325" s="555"/>
      <c r="W325" s="37" t="s">
        <v>69</v>
      </c>
      <c r="X325" s="551">
        <f>IFERROR(SUM(X321:X323),"0")</f>
        <v>120</v>
      </c>
      <c r="Y325" s="551">
        <f>IFERROR(SUM(Y321:Y323),"0")</f>
        <v>126</v>
      </c>
      <c r="Z325" s="37"/>
      <c r="AA325" s="552"/>
      <c r="AB325" s="552"/>
      <c r="AC325" s="552"/>
    </row>
    <row r="326" spans="1:68" ht="14.25" customHeight="1" x14ac:dyDescent="0.25">
      <c r="A326" s="575" t="s">
        <v>91</v>
      </c>
      <c r="B326" s="563"/>
      <c r="C326" s="563"/>
      <c r="D326" s="563"/>
      <c r="E326" s="563"/>
      <c r="F326" s="563"/>
      <c r="G326" s="563"/>
      <c r="H326" s="563"/>
      <c r="I326" s="563"/>
      <c r="J326" s="563"/>
      <c r="K326" s="563"/>
      <c r="L326" s="563"/>
      <c r="M326" s="563"/>
      <c r="N326" s="563"/>
      <c r="O326" s="563"/>
      <c r="P326" s="563"/>
      <c r="Q326" s="563"/>
      <c r="R326" s="563"/>
      <c r="S326" s="563"/>
      <c r="T326" s="563"/>
      <c r="U326" s="563"/>
      <c r="V326" s="563"/>
      <c r="W326" s="563"/>
      <c r="X326" s="563"/>
      <c r="Y326" s="563"/>
      <c r="Z326" s="563"/>
      <c r="AA326" s="545"/>
      <c r="AB326" s="545"/>
      <c r="AC326" s="545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1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0"/>
      <c r="R327" s="560"/>
      <c r="S327" s="560"/>
      <c r="T327" s="561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86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0"/>
      <c r="R328" s="560"/>
      <c r="S328" s="560"/>
      <c r="T328" s="561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8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186</v>
      </c>
      <c r="M330" s="33" t="s">
        <v>94</v>
      </c>
      <c r="N330" s="33"/>
      <c r="O330" s="32">
        <v>180</v>
      </c>
      <c r="P330" s="7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2"/>
      <c r="B331" s="563"/>
      <c r="C331" s="563"/>
      <c r="D331" s="563"/>
      <c r="E331" s="563"/>
      <c r="F331" s="563"/>
      <c r="G331" s="563"/>
      <c r="H331" s="563"/>
      <c r="I331" s="563"/>
      <c r="J331" s="563"/>
      <c r="K331" s="563"/>
      <c r="L331" s="563"/>
      <c r="M331" s="563"/>
      <c r="N331" s="563"/>
      <c r="O331" s="564"/>
      <c r="P331" s="558" t="s">
        <v>75</v>
      </c>
      <c r="Q331" s="554"/>
      <c r="R331" s="554"/>
      <c r="S331" s="554"/>
      <c r="T331" s="554"/>
      <c r="U331" s="554"/>
      <c r="V331" s="555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x14ac:dyDescent="0.2">
      <c r="A332" s="563"/>
      <c r="B332" s="563"/>
      <c r="C332" s="563"/>
      <c r="D332" s="563"/>
      <c r="E332" s="563"/>
      <c r="F332" s="563"/>
      <c r="G332" s="563"/>
      <c r="H332" s="563"/>
      <c r="I332" s="563"/>
      <c r="J332" s="563"/>
      <c r="K332" s="563"/>
      <c r="L332" s="563"/>
      <c r="M332" s="563"/>
      <c r="N332" s="563"/>
      <c r="O332" s="564"/>
      <c r="P332" s="558" t="s">
        <v>75</v>
      </c>
      <c r="Q332" s="554"/>
      <c r="R332" s="554"/>
      <c r="S332" s="554"/>
      <c r="T332" s="554"/>
      <c r="U332" s="554"/>
      <c r="V332" s="555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customHeight="1" x14ac:dyDescent="0.25">
      <c r="A333" s="575" t="s">
        <v>534</v>
      </c>
      <c r="B333" s="563"/>
      <c r="C333" s="563"/>
      <c r="D333" s="563"/>
      <c r="E333" s="563"/>
      <c r="F333" s="563"/>
      <c r="G333" s="563"/>
      <c r="H333" s="563"/>
      <c r="I333" s="563"/>
      <c r="J333" s="563"/>
      <c r="K333" s="563"/>
      <c r="L333" s="563"/>
      <c r="M333" s="563"/>
      <c r="N333" s="563"/>
      <c r="O333" s="563"/>
      <c r="P333" s="563"/>
      <c r="Q333" s="563"/>
      <c r="R333" s="563"/>
      <c r="S333" s="563"/>
      <c r="T333" s="563"/>
      <c r="U333" s="563"/>
      <c r="V333" s="563"/>
      <c r="W333" s="563"/>
      <c r="X333" s="563"/>
      <c r="Y333" s="563"/>
      <c r="Z333" s="563"/>
      <c r="AA333" s="545"/>
      <c r="AB333" s="545"/>
      <c r="AC333" s="545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 t="s">
        <v>186</v>
      </c>
      <c r="M334" s="33" t="s">
        <v>537</v>
      </c>
      <c r="N334" s="33"/>
      <c r="O334" s="32">
        <v>730</v>
      </c>
      <c r="P334" s="8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0"/>
      <c r="R334" s="560"/>
      <c r="S334" s="560"/>
      <c r="T334" s="561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 t="s">
        <v>186</v>
      </c>
      <c r="M335" s="33" t="s">
        <v>537</v>
      </c>
      <c r="N335" s="33"/>
      <c r="O335" s="32">
        <v>730</v>
      </c>
      <c r="P335" s="68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0"/>
      <c r="R335" s="560"/>
      <c r="S335" s="560"/>
      <c r="T335" s="561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 t="s">
        <v>186</v>
      </c>
      <c r="M336" s="33" t="s">
        <v>537</v>
      </c>
      <c r="N336" s="33"/>
      <c r="O336" s="32">
        <v>730</v>
      </c>
      <c r="P336" s="64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0"/>
      <c r="R336" s="560"/>
      <c r="S336" s="560"/>
      <c r="T336" s="561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 t="s">
        <v>106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2"/>
      <c r="B337" s="563"/>
      <c r="C337" s="563"/>
      <c r="D337" s="563"/>
      <c r="E337" s="563"/>
      <c r="F337" s="563"/>
      <c r="G337" s="563"/>
      <c r="H337" s="563"/>
      <c r="I337" s="563"/>
      <c r="J337" s="563"/>
      <c r="K337" s="563"/>
      <c r="L337" s="563"/>
      <c r="M337" s="563"/>
      <c r="N337" s="563"/>
      <c r="O337" s="564"/>
      <c r="P337" s="558" t="s">
        <v>75</v>
      </c>
      <c r="Q337" s="554"/>
      <c r="R337" s="554"/>
      <c r="S337" s="554"/>
      <c r="T337" s="554"/>
      <c r="U337" s="554"/>
      <c r="V337" s="555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x14ac:dyDescent="0.2">
      <c r="A338" s="563"/>
      <c r="B338" s="563"/>
      <c r="C338" s="563"/>
      <c r="D338" s="563"/>
      <c r="E338" s="563"/>
      <c r="F338" s="563"/>
      <c r="G338" s="563"/>
      <c r="H338" s="563"/>
      <c r="I338" s="563"/>
      <c r="J338" s="563"/>
      <c r="K338" s="563"/>
      <c r="L338" s="563"/>
      <c r="M338" s="563"/>
      <c r="N338" s="563"/>
      <c r="O338" s="564"/>
      <c r="P338" s="558" t="s">
        <v>75</v>
      </c>
      <c r="Q338" s="554"/>
      <c r="R338" s="554"/>
      <c r="S338" s="554"/>
      <c r="T338" s="554"/>
      <c r="U338" s="554"/>
      <c r="V338" s="555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customHeight="1" x14ac:dyDescent="0.25">
      <c r="A339" s="572" t="s">
        <v>543</v>
      </c>
      <c r="B339" s="563"/>
      <c r="C339" s="563"/>
      <c r="D339" s="563"/>
      <c r="E339" s="563"/>
      <c r="F339" s="563"/>
      <c r="G339" s="563"/>
      <c r="H339" s="563"/>
      <c r="I339" s="563"/>
      <c r="J339" s="563"/>
      <c r="K339" s="563"/>
      <c r="L339" s="563"/>
      <c r="M339" s="563"/>
      <c r="N339" s="563"/>
      <c r="O339" s="563"/>
      <c r="P339" s="563"/>
      <c r="Q339" s="563"/>
      <c r="R339" s="563"/>
      <c r="S339" s="563"/>
      <c r="T339" s="563"/>
      <c r="U339" s="563"/>
      <c r="V339" s="563"/>
      <c r="W339" s="563"/>
      <c r="X339" s="563"/>
      <c r="Y339" s="563"/>
      <c r="Z339" s="563"/>
      <c r="AA339" s="544"/>
      <c r="AB339" s="544"/>
      <c r="AC339" s="544"/>
    </row>
    <row r="340" spans="1:68" ht="14.25" customHeight="1" x14ac:dyDescent="0.25">
      <c r="A340" s="575" t="s">
        <v>77</v>
      </c>
      <c r="B340" s="563"/>
      <c r="C340" s="563"/>
      <c r="D340" s="563"/>
      <c r="E340" s="563"/>
      <c r="F340" s="563"/>
      <c r="G340" s="563"/>
      <c r="H340" s="563"/>
      <c r="I340" s="563"/>
      <c r="J340" s="563"/>
      <c r="K340" s="563"/>
      <c r="L340" s="563"/>
      <c r="M340" s="563"/>
      <c r="N340" s="563"/>
      <c r="O340" s="563"/>
      <c r="P340" s="563"/>
      <c r="Q340" s="563"/>
      <c r="R340" s="563"/>
      <c r="S340" s="563"/>
      <c r="T340" s="563"/>
      <c r="U340" s="563"/>
      <c r="V340" s="563"/>
      <c r="W340" s="563"/>
      <c r="X340" s="563"/>
      <c r="Y340" s="563"/>
      <c r="Z340" s="563"/>
      <c r="AA340" s="545"/>
      <c r="AB340" s="545"/>
      <c r="AC340" s="545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 t="s">
        <v>103</v>
      </c>
      <c r="M341" s="33" t="s">
        <v>86</v>
      </c>
      <c r="N341" s="33"/>
      <c r="O341" s="32">
        <v>45</v>
      </c>
      <c r="P341" s="6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0"/>
      <c r="R341" s="560"/>
      <c r="S341" s="560"/>
      <c r="T341" s="561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186</v>
      </c>
      <c r="M342" s="33" t="s">
        <v>80</v>
      </c>
      <c r="N342" s="33"/>
      <c r="O342" s="32">
        <v>45</v>
      </c>
      <c r="P342" s="6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0"/>
      <c r="R342" s="560"/>
      <c r="S342" s="560"/>
      <c r="T342" s="561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186</v>
      </c>
      <c r="M343" s="33" t="s">
        <v>86</v>
      </c>
      <c r="N343" s="33"/>
      <c r="O343" s="32">
        <v>40</v>
      </c>
      <c r="P343" s="7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0"/>
      <c r="R343" s="560"/>
      <c r="S343" s="560"/>
      <c r="T343" s="561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2"/>
      <c r="B344" s="563"/>
      <c r="C344" s="563"/>
      <c r="D344" s="563"/>
      <c r="E344" s="563"/>
      <c r="F344" s="563"/>
      <c r="G344" s="563"/>
      <c r="H344" s="563"/>
      <c r="I344" s="563"/>
      <c r="J344" s="563"/>
      <c r="K344" s="563"/>
      <c r="L344" s="563"/>
      <c r="M344" s="563"/>
      <c r="N344" s="563"/>
      <c r="O344" s="564"/>
      <c r="P344" s="558" t="s">
        <v>75</v>
      </c>
      <c r="Q344" s="554"/>
      <c r="R344" s="554"/>
      <c r="S344" s="554"/>
      <c r="T344" s="554"/>
      <c r="U344" s="554"/>
      <c r="V344" s="555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x14ac:dyDescent="0.2">
      <c r="A345" s="563"/>
      <c r="B345" s="563"/>
      <c r="C345" s="563"/>
      <c r="D345" s="563"/>
      <c r="E345" s="563"/>
      <c r="F345" s="563"/>
      <c r="G345" s="563"/>
      <c r="H345" s="563"/>
      <c r="I345" s="563"/>
      <c r="J345" s="563"/>
      <c r="K345" s="563"/>
      <c r="L345" s="563"/>
      <c r="M345" s="563"/>
      <c r="N345" s="563"/>
      <c r="O345" s="564"/>
      <c r="P345" s="558" t="s">
        <v>75</v>
      </c>
      <c r="Q345" s="554"/>
      <c r="R345" s="554"/>
      <c r="S345" s="554"/>
      <c r="T345" s="554"/>
      <c r="U345" s="554"/>
      <c r="V345" s="555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customHeight="1" x14ac:dyDescent="0.2">
      <c r="A346" s="601" t="s">
        <v>553</v>
      </c>
      <c r="B346" s="602"/>
      <c r="C346" s="602"/>
      <c r="D346" s="602"/>
      <c r="E346" s="602"/>
      <c r="F346" s="602"/>
      <c r="G346" s="602"/>
      <c r="H346" s="602"/>
      <c r="I346" s="602"/>
      <c r="J346" s="602"/>
      <c r="K346" s="602"/>
      <c r="L346" s="602"/>
      <c r="M346" s="602"/>
      <c r="N346" s="602"/>
      <c r="O346" s="602"/>
      <c r="P346" s="602"/>
      <c r="Q346" s="602"/>
      <c r="R346" s="602"/>
      <c r="S346" s="602"/>
      <c r="T346" s="602"/>
      <c r="U346" s="602"/>
      <c r="V346" s="602"/>
      <c r="W346" s="602"/>
      <c r="X346" s="602"/>
      <c r="Y346" s="602"/>
      <c r="Z346" s="602"/>
      <c r="AA346" s="48"/>
      <c r="AB346" s="48"/>
      <c r="AC346" s="48"/>
    </row>
    <row r="347" spans="1:68" ht="16.5" customHeight="1" x14ac:dyDescent="0.25">
      <c r="A347" s="572" t="s">
        <v>554</v>
      </c>
      <c r="B347" s="563"/>
      <c r="C347" s="563"/>
      <c r="D347" s="563"/>
      <c r="E347" s="563"/>
      <c r="F347" s="563"/>
      <c r="G347" s="563"/>
      <c r="H347" s="563"/>
      <c r="I347" s="563"/>
      <c r="J347" s="563"/>
      <c r="K347" s="563"/>
      <c r="L347" s="563"/>
      <c r="M347" s="563"/>
      <c r="N347" s="563"/>
      <c r="O347" s="563"/>
      <c r="P347" s="563"/>
      <c r="Q347" s="563"/>
      <c r="R347" s="563"/>
      <c r="S347" s="563"/>
      <c r="T347" s="563"/>
      <c r="U347" s="563"/>
      <c r="V347" s="563"/>
      <c r="W347" s="563"/>
      <c r="X347" s="563"/>
      <c r="Y347" s="563"/>
      <c r="Z347" s="563"/>
      <c r="AA347" s="544"/>
      <c r="AB347" s="544"/>
      <c r="AC347" s="544"/>
    </row>
    <row r="348" spans="1:68" ht="14.25" customHeight="1" x14ac:dyDescent="0.25">
      <c r="A348" s="575" t="s">
        <v>99</v>
      </c>
      <c r="B348" s="563"/>
      <c r="C348" s="563"/>
      <c r="D348" s="563"/>
      <c r="E348" s="563"/>
      <c r="F348" s="563"/>
      <c r="G348" s="563"/>
      <c r="H348" s="563"/>
      <c r="I348" s="563"/>
      <c r="J348" s="563"/>
      <c r="K348" s="563"/>
      <c r="L348" s="563"/>
      <c r="M348" s="563"/>
      <c r="N348" s="563"/>
      <c r="O348" s="563"/>
      <c r="P348" s="563"/>
      <c r="Q348" s="563"/>
      <c r="R348" s="563"/>
      <c r="S348" s="563"/>
      <c r="T348" s="563"/>
      <c r="U348" s="563"/>
      <c r="V348" s="563"/>
      <c r="W348" s="563"/>
      <c r="X348" s="563"/>
      <c r="Y348" s="563"/>
      <c r="Z348" s="563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0"/>
      <c r="R349" s="560"/>
      <c r="S349" s="560"/>
      <c r="T349" s="561"/>
      <c r="U349" s="34"/>
      <c r="V349" s="34"/>
      <c r="W349" s="35" t="s">
        <v>69</v>
      </c>
      <c r="X349" s="549">
        <v>1000</v>
      </c>
      <c r="Y349" s="550">
        <f t="shared" ref="Y349:Y355" si="36">IFERROR(IF(X349="",0,CEILING((X349/$H349),1)*$H349),"")</f>
        <v>1005</v>
      </c>
      <c r="Z349" s="36">
        <f>IFERROR(IF(Y349=0,"",ROUNDUP(Y349/H349,0)*0.02175),"")</f>
        <v>1.4572499999999999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1031.3333333333333</v>
      </c>
      <c r="BN349" s="64">
        <f t="shared" ref="BN349:BN355" si="38">IFERROR(Y349*I349/H349,"0")</f>
        <v>1036.49</v>
      </c>
      <c r="BO349" s="64">
        <f t="shared" ref="BO349:BO355" si="39">IFERROR(1/J349*(X349/H349),"0")</f>
        <v>1.3888888888888888</v>
      </c>
      <c r="BP349" s="64">
        <f t="shared" ref="BP349:BP355" si="40">IFERROR(1/J349*(Y349/H349),"0")</f>
        <v>1.3958333333333333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79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0"/>
      <c r="R350" s="560"/>
      <c r="S350" s="560"/>
      <c r="T350" s="561"/>
      <c r="U350" s="34"/>
      <c r="V350" s="34"/>
      <c r="W350" s="35" t="s">
        <v>69</v>
      </c>
      <c r="X350" s="549">
        <v>0</v>
      </c>
      <c r="Y350" s="550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6">
        <v>4680115884830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60"/>
      <c r="R351" s="560"/>
      <c r="S351" s="560"/>
      <c r="T351" s="561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6">
        <v>4680115887046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7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60"/>
      <c r="R352" s="560"/>
      <c r="S352" s="560"/>
      <c r="T352" s="561"/>
      <c r="U352" s="34"/>
      <c r="V352" s="34"/>
      <c r="W352" s="35" t="s">
        <v>69</v>
      </c>
      <c r="X352" s="549">
        <v>0</v>
      </c>
      <c r="Y352" s="550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6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0"/>
      <c r="R353" s="560"/>
      <c r="S353" s="560"/>
      <c r="T353" s="561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6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5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2"/>
      <c r="B356" s="563"/>
      <c r="C356" s="563"/>
      <c r="D356" s="563"/>
      <c r="E356" s="563"/>
      <c r="F356" s="563"/>
      <c r="G356" s="563"/>
      <c r="H356" s="563"/>
      <c r="I356" s="563"/>
      <c r="J356" s="563"/>
      <c r="K356" s="563"/>
      <c r="L356" s="563"/>
      <c r="M356" s="563"/>
      <c r="N356" s="563"/>
      <c r="O356" s="564"/>
      <c r="P356" s="558" t="s">
        <v>75</v>
      </c>
      <c r="Q356" s="554"/>
      <c r="R356" s="554"/>
      <c r="S356" s="554"/>
      <c r="T356" s="554"/>
      <c r="U356" s="554"/>
      <c r="V356" s="555"/>
      <c r="W356" s="37" t="s">
        <v>76</v>
      </c>
      <c r="X356" s="551">
        <f>IFERROR(X349/H349,"0")+IFERROR(X350/H350,"0")+IFERROR(X351/H351,"0")+IFERROR(X352/H352,"0")+IFERROR(X353/H353,"0")+IFERROR(X354/H354,"0")+IFERROR(X355/H355,"0")</f>
        <v>66.666666666666671</v>
      </c>
      <c r="Y356" s="551">
        <f>IFERROR(Y349/H349,"0")+IFERROR(Y350/H350,"0")+IFERROR(Y351/H351,"0")+IFERROR(Y352/H352,"0")+IFERROR(Y353/H353,"0")+IFERROR(Y354/H354,"0")+IFERROR(Y355/H355,"0")</f>
        <v>67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1.4572499999999999</v>
      </c>
      <c r="AA356" s="552"/>
      <c r="AB356" s="552"/>
      <c r="AC356" s="552"/>
    </row>
    <row r="357" spans="1:68" x14ac:dyDescent="0.2">
      <c r="A357" s="563"/>
      <c r="B357" s="563"/>
      <c r="C357" s="563"/>
      <c r="D357" s="563"/>
      <c r="E357" s="563"/>
      <c r="F357" s="563"/>
      <c r="G357" s="563"/>
      <c r="H357" s="563"/>
      <c r="I357" s="563"/>
      <c r="J357" s="563"/>
      <c r="K357" s="563"/>
      <c r="L357" s="563"/>
      <c r="M357" s="563"/>
      <c r="N357" s="563"/>
      <c r="O357" s="564"/>
      <c r="P357" s="558" t="s">
        <v>75</v>
      </c>
      <c r="Q357" s="554"/>
      <c r="R357" s="554"/>
      <c r="S357" s="554"/>
      <c r="T357" s="554"/>
      <c r="U357" s="554"/>
      <c r="V357" s="555"/>
      <c r="W357" s="37" t="s">
        <v>69</v>
      </c>
      <c r="X357" s="551">
        <f>IFERROR(SUM(X349:X355),"0")</f>
        <v>1000</v>
      </c>
      <c r="Y357" s="551">
        <f>IFERROR(SUM(Y349:Y355),"0")</f>
        <v>1005</v>
      </c>
      <c r="Z357" s="37"/>
      <c r="AA357" s="552"/>
      <c r="AB357" s="552"/>
      <c r="AC357" s="552"/>
    </row>
    <row r="358" spans="1:68" ht="14.25" customHeight="1" x14ac:dyDescent="0.25">
      <c r="A358" s="575" t="s">
        <v>135</v>
      </c>
      <c r="B358" s="563"/>
      <c r="C358" s="563"/>
      <c r="D358" s="563"/>
      <c r="E358" s="563"/>
      <c r="F358" s="563"/>
      <c r="G358" s="563"/>
      <c r="H358" s="563"/>
      <c r="I358" s="563"/>
      <c r="J358" s="563"/>
      <c r="K358" s="563"/>
      <c r="L358" s="563"/>
      <c r="M358" s="563"/>
      <c r="N358" s="563"/>
      <c r="O358" s="563"/>
      <c r="P358" s="563"/>
      <c r="Q358" s="563"/>
      <c r="R358" s="563"/>
      <c r="S358" s="563"/>
      <c r="T358" s="563"/>
      <c r="U358" s="563"/>
      <c r="V358" s="563"/>
      <c r="W358" s="563"/>
      <c r="X358" s="563"/>
      <c r="Y358" s="563"/>
      <c r="Z358" s="563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66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0"/>
      <c r="R359" s="560"/>
      <c r="S359" s="560"/>
      <c r="T359" s="561"/>
      <c r="U359" s="34"/>
      <c r="V359" s="34"/>
      <c r="W359" s="35" t="s">
        <v>69</v>
      </c>
      <c r="X359" s="549">
        <v>1000</v>
      </c>
      <c r="Y359" s="550">
        <f>IFERROR(IF(X359="",0,CEILING((X359/$H359),1)*$H359),"")</f>
        <v>1005</v>
      </c>
      <c r="Z359" s="36">
        <f>IFERROR(IF(Y359=0,"",ROUNDUP(Y359/H359,0)*0.02175),"")</f>
        <v>1.4572499999999999</v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1031.3333333333333</v>
      </c>
      <c r="BN359" s="64">
        <f>IFERROR(Y359*I359/H359,"0")</f>
        <v>1036.49</v>
      </c>
      <c r="BO359" s="64">
        <f>IFERROR(1/J359*(X359/H359),"0")</f>
        <v>1.3888888888888888</v>
      </c>
      <c r="BP359" s="64">
        <f>IFERROR(1/J359*(Y359/H359),"0")</f>
        <v>1.3958333333333333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55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0"/>
      <c r="R360" s="560"/>
      <c r="S360" s="560"/>
      <c r="T360" s="561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2"/>
      <c r="B361" s="563"/>
      <c r="C361" s="563"/>
      <c r="D361" s="563"/>
      <c r="E361" s="563"/>
      <c r="F361" s="563"/>
      <c r="G361" s="563"/>
      <c r="H361" s="563"/>
      <c r="I361" s="563"/>
      <c r="J361" s="563"/>
      <c r="K361" s="563"/>
      <c r="L361" s="563"/>
      <c r="M361" s="563"/>
      <c r="N361" s="563"/>
      <c r="O361" s="564"/>
      <c r="P361" s="558" t="s">
        <v>75</v>
      </c>
      <c r="Q361" s="554"/>
      <c r="R361" s="554"/>
      <c r="S361" s="554"/>
      <c r="T361" s="554"/>
      <c r="U361" s="554"/>
      <c r="V361" s="555"/>
      <c r="W361" s="37" t="s">
        <v>76</v>
      </c>
      <c r="X361" s="551">
        <f>IFERROR(X359/H359,"0")+IFERROR(X360/H360,"0")</f>
        <v>66.666666666666671</v>
      </c>
      <c r="Y361" s="551">
        <f>IFERROR(Y359/H359,"0")+IFERROR(Y360/H360,"0")</f>
        <v>67</v>
      </c>
      <c r="Z361" s="551">
        <f>IFERROR(IF(Z359="",0,Z359),"0")+IFERROR(IF(Z360="",0,Z360),"0")</f>
        <v>1.4572499999999999</v>
      </c>
      <c r="AA361" s="552"/>
      <c r="AB361" s="552"/>
      <c r="AC361" s="552"/>
    </row>
    <row r="362" spans="1:68" x14ac:dyDescent="0.2">
      <c r="A362" s="563"/>
      <c r="B362" s="563"/>
      <c r="C362" s="563"/>
      <c r="D362" s="563"/>
      <c r="E362" s="563"/>
      <c r="F362" s="563"/>
      <c r="G362" s="563"/>
      <c r="H362" s="563"/>
      <c r="I362" s="563"/>
      <c r="J362" s="563"/>
      <c r="K362" s="563"/>
      <c r="L362" s="563"/>
      <c r="M362" s="563"/>
      <c r="N362" s="563"/>
      <c r="O362" s="564"/>
      <c r="P362" s="558" t="s">
        <v>75</v>
      </c>
      <c r="Q362" s="554"/>
      <c r="R362" s="554"/>
      <c r="S362" s="554"/>
      <c r="T362" s="554"/>
      <c r="U362" s="554"/>
      <c r="V362" s="555"/>
      <c r="W362" s="37" t="s">
        <v>69</v>
      </c>
      <c r="X362" s="551">
        <f>IFERROR(SUM(X359:X360),"0")</f>
        <v>1000</v>
      </c>
      <c r="Y362" s="551">
        <f>IFERROR(SUM(Y359:Y360),"0")</f>
        <v>1005</v>
      </c>
      <c r="Z362" s="37"/>
      <c r="AA362" s="552"/>
      <c r="AB362" s="552"/>
      <c r="AC362" s="552"/>
    </row>
    <row r="363" spans="1:68" ht="14.25" customHeight="1" x14ac:dyDescent="0.25">
      <c r="A363" s="575" t="s">
        <v>77</v>
      </c>
      <c r="B363" s="563"/>
      <c r="C363" s="563"/>
      <c r="D363" s="563"/>
      <c r="E363" s="563"/>
      <c r="F363" s="563"/>
      <c r="G363" s="563"/>
      <c r="H363" s="563"/>
      <c r="I363" s="563"/>
      <c r="J363" s="563"/>
      <c r="K363" s="563"/>
      <c r="L363" s="563"/>
      <c r="M363" s="563"/>
      <c r="N363" s="563"/>
      <c r="O363" s="563"/>
      <c r="P363" s="563"/>
      <c r="Q363" s="563"/>
      <c r="R363" s="563"/>
      <c r="S363" s="563"/>
      <c r="T363" s="563"/>
      <c r="U363" s="563"/>
      <c r="V363" s="563"/>
      <c r="W363" s="563"/>
      <c r="X363" s="563"/>
      <c r="Y363" s="563"/>
      <c r="Z363" s="563"/>
      <c r="AA363" s="545"/>
      <c r="AB363" s="545"/>
      <c r="AC363" s="545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63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0"/>
      <c r="R364" s="560"/>
      <c r="S364" s="560"/>
      <c r="T364" s="561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 t="s">
        <v>103</v>
      </c>
      <c r="M365" s="33" t="s">
        <v>80</v>
      </c>
      <c r="N365" s="33"/>
      <c r="O365" s="32">
        <v>40</v>
      </c>
      <c r="P365" s="63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0"/>
      <c r="R365" s="560"/>
      <c r="S365" s="560"/>
      <c r="T365" s="561"/>
      <c r="U365" s="34"/>
      <c r="V365" s="34"/>
      <c r="W365" s="35" t="s">
        <v>69</v>
      </c>
      <c r="X365" s="549">
        <v>60</v>
      </c>
      <c r="Y365" s="550">
        <f>IFERROR(IF(X365="",0,CEILING((X365/$H365),1)*$H365),"")</f>
        <v>63</v>
      </c>
      <c r="Z365" s="36">
        <f>IFERROR(IF(Y365=0,"",ROUNDUP(Y365/H365,0)*0.01898),"")</f>
        <v>0.13286000000000001</v>
      </c>
      <c r="AA365" s="56"/>
      <c r="AB365" s="57"/>
      <c r="AC365" s="423" t="s">
        <v>585</v>
      </c>
      <c r="AG365" s="64"/>
      <c r="AJ365" s="68" t="s">
        <v>106</v>
      </c>
      <c r="AK365" s="68">
        <v>72</v>
      </c>
      <c r="BB365" s="424" t="s">
        <v>1</v>
      </c>
      <c r="BM365" s="64">
        <f>IFERROR(X365*I365/H365,"0")</f>
        <v>63.293333333333329</v>
      </c>
      <c r="BN365" s="64">
        <f>IFERROR(Y365*I365/H365,"0")</f>
        <v>66.457999999999998</v>
      </c>
      <c r="BO365" s="64">
        <f>IFERROR(1/J365*(X365/H365),"0")</f>
        <v>0.10416666666666667</v>
      </c>
      <c r="BP365" s="64">
        <f>IFERROR(1/J365*(Y365/H365),"0")</f>
        <v>0.109375</v>
      </c>
    </row>
    <row r="366" spans="1:68" x14ac:dyDescent="0.2">
      <c r="A366" s="562"/>
      <c r="B366" s="563"/>
      <c r="C366" s="563"/>
      <c r="D366" s="563"/>
      <c r="E366" s="563"/>
      <c r="F366" s="563"/>
      <c r="G366" s="563"/>
      <c r="H366" s="563"/>
      <c r="I366" s="563"/>
      <c r="J366" s="563"/>
      <c r="K366" s="563"/>
      <c r="L366" s="563"/>
      <c r="M366" s="563"/>
      <c r="N366" s="563"/>
      <c r="O366" s="564"/>
      <c r="P366" s="558" t="s">
        <v>75</v>
      </c>
      <c r="Q366" s="554"/>
      <c r="R366" s="554"/>
      <c r="S366" s="554"/>
      <c r="T366" s="554"/>
      <c r="U366" s="554"/>
      <c r="V366" s="555"/>
      <c r="W366" s="37" t="s">
        <v>76</v>
      </c>
      <c r="X366" s="551">
        <f>IFERROR(X364/H364,"0")+IFERROR(X365/H365,"0")</f>
        <v>6.666666666666667</v>
      </c>
      <c r="Y366" s="551">
        <f>IFERROR(Y364/H364,"0")+IFERROR(Y365/H365,"0")</f>
        <v>7</v>
      </c>
      <c r="Z366" s="551">
        <f>IFERROR(IF(Z364="",0,Z364),"0")+IFERROR(IF(Z365="",0,Z365),"0")</f>
        <v>0.13286000000000001</v>
      </c>
      <c r="AA366" s="552"/>
      <c r="AB366" s="552"/>
      <c r="AC366" s="552"/>
    </row>
    <row r="367" spans="1:68" x14ac:dyDescent="0.2">
      <c r="A367" s="563"/>
      <c r="B367" s="563"/>
      <c r="C367" s="563"/>
      <c r="D367" s="563"/>
      <c r="E367" s="563"/>
      <c r="F367" s="563"/>
      <c r="G367" s="563"/>
      <c r="H367" s="563"/>
      <c r="I367" s="563"/>
      <c r="J367" s="563"/>
      <c r="K367" s="563"/>
      <c r="L367" s="563"/>
      <c r="M367" s="563"/>
      <c r="N367" s="563"/>
      <c r="O367" s="564"/>
      <c r="P367" s="558" t="s">
        <v>75</v>
      </c>
      <c r="Q367" s="554"/>
      <c r="R367" s="554"/>
      <c r="S367" s="554"/>
      <c r="T367" s="554"/>
      <c r="U367" s="554"/>
      <c r="V367" s="555"/>
      <c r="W367" s="37" t="s">
        <v>69</v>
      </c>
      <c r="X367" s="551">
        <f>IFERROR(SUM(X364:X365),"0")</f>
        <v>60</v>
      </c>
      <c r="Y367" s="551">
        <f>IFERROR(SUM(Y364:Y365),"0")</f>
        <v>63</v>
      </c>
      <c r="Z367" s="37"/>
      <c r="AA367" s="552"/>
      <c r="AB367" s="552"/>
      <c r="AC367" s="552"/>
    </row>
    <row r="368" spans="1:68" ht="14.25" customHeight="1" x14ac:dyDescent="0.25">
      <c r="A368" s="575" t="s">
        <v>160</v>
      </c>
      <c r="B368" s="563"/>
      <c r="C368" s="563"/>
      <c r="D368" s="563"/>
      <c r="E368" s="563"/>
      <c r="F368" s="563"/>
      <c r="G368" s="563"/>
      <c r="H368" s="563"/>
      <c r="I368" s="563"/>
      <c r="J368" s="563"/>
      <c r="K368" s="563"/>
      <c r="L368" s="563"/>
      <c r="M368" s="563"/>
      <c r="N368" s="563"/>
      <c r="O368" s="563"/>
      <c r="P368" s="563"/>
      <c r="Q368" s="563"/>
      <c r="R368" s="563"/>
      <c r="S368" s="563"/>
      <c r="T368" s="563"/>
      <c r="U368" s="563"/>
      <c r="V368" s="563"/>
      <c r="W368" s="563"/>
      <c r="X368" s="563"/>
      <c r="Y368" s="563"/>
      <c r="Z368" s="563"/>
      <c r="AA368" s="545"/>
      <c r="AB368" s="545"/>
      <c r="AC368" s="545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62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0"/>
      <c r="R369" s="560"/>
      <c r="S369" s="560"/>
      <c r="T369" s="561"/>
      <c r="U369" s="34"/>
      <c r="V369" s="34"/>
      <c r="W369" s="35" t="s">
        <v>69</v>
      </c>
      <c r="X369" s="549">
        <v>400</v>
      </c>
      <c r="Y369" s="550">
        <f>IFERROR(IF(X369="",0,CEILING((X369/$H369),1)*$H369),"")</f>
        <v>405</v>
      </c>
      <c r="Z369" s="36">
        <f>IFERROR(IF(Y369=0,"",ROUNDUP(Y369/H369,0)*0.01898),"")</f>
        <v>0.85409999999999997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421.95555555555552</v>
      </c>
      <c r="BN369" s="64">
        <f>IFERROR(Y369*I369/H369,"0")</f>
        <v>427.22999999999996</v>
      </c>
      <c r="BO369" s="64">
        <f>IFERROR(1/J369*(X369/H369),"0")</f>
        <v>0.69444444444444442</v>
      </c>
      <c r="BP369" s="64">
        <f>IFERROR(1/J369*(Y369/H369),"0")</f>
        <v>0.703125</v>
      </c>
    </row>
    <row r="370" spans="1:68" x14ac:dyDescent="0.2">
      <c r="A370" s="562"/>
      <c r="B370" s="563"/>
      <c r="C370" s="563"/>
      <c r="D370" s="563"/>
      <c r="E370" s="563"/>
      <c r="F370" s="563"/>
      <c r="G370" s="563"/>
      <c r="H370" s="563"/>
      <c r="I370" s="563"/>
      <c r="J370" s="563"/>
      <c r="K370" s="563"/>
      <c r="L370" s="563"/>
      <c r="M370" s="563"/>
      <c r="N370" s="563"/>
      <c r="O370" s="564"/>
      <c r="P370" s="558" t="s">
        <v>75</v>
      </c>
      <c r="Q370" s="554"/>
      <c r="R370" s="554"/>
      <c r="S370" s="554"/>
      <c r="T370" s="554"/>
      <c r="U370" s="554"/>
      <c r="V370" s="555"/>
      <c r="W370" s="37" t="s">
        <v>76</v>
      </c>
      <c r="X370" s="551">
        <f>IFERROR(X369/H369,"0")</f>
        <v>44.444444444444443</v>
      </c>
      <c r="Y370" s="551">
        <f>IFERROR(Y369/H369,"0")</f>
        <v>45</v>
      </c>
      <c r="Z370" s="551">
        <f>IFERROR(IF(Z369="",0,Z369),"0")</f>
        <v>0.85409999999999997</v>
      </c>
      <c r="AA370" s="552"/>
      <c r="AB370" s="552"/>
      <c r="AC370" s="552"/>
    </row>
    <row r="371" spans="1:68" x14ac:dyDescent="0.2">
      <c r="A371" s="563"/>
      <c r="B371" s="563"/>
      <c r="C371" s="563"/>
      <c r="D371" s="563"/>
      <c r="E371" s="563"/>
      <c r="F371" s="563"/>
      <c r="G371" s="563"/>
      <c r="H371" s="563"/>
      <c r="I371" s="563"/>
      <c r="J371" s="563"/>
      <c r="K371" s="563"/>
      <c r="L371" s="563"/>
      <c r="M371" s="563"/>
      <c r="N371" s="563"/>
      <c r="O371" s="564"/>
      <c r="P371" s="558" t="s">
        <v>75</v>
      </c>
      <c r="Q371" s="554"/>
      <c r="R371" s="554"/>
      <c r="S371" s="554"/>
      <c r="T371" s="554"/>
      <c r="U371" s="554"/>
      <c r="V371" s="555"/>
      <c r="W371" s="37" t="s">
        <v>69</v>
      </c>
      <c r="X371" s="551">
        <f>IFERROR(SUM(X369:X369),"0")</f>
        <v>400</v>
      </c>
      <c r="Y371" s="551">
        <f>IFERROR(SUM(Y369:Y369),"0")</f>
        <v>405</v>
      </c>
      <c r="Z371" s="37"/>
      <c r="AA371" s="552"/>
      <c r="AB371" s="552"/>
      <c r="AC371" s="552"/>
    </row>
    <row r="372" spans="1:68" ht="16.5" customHeight="1" x14ac:dyDescent="0.25">
      <c r="A372" s="572" t="s">
        <v>589</v>
      </c>
      <c r="B372" s="563"/>
      <c r="C372" s="563"/>
      <c r="D372" s="563"/>
      <c r="E372" s="563"/>
      <c r="F372" s="563"/>
      <c r="G372" s="563"/>
      <c r="H372" s="563"/>
      <c r="I372" s="563"/>
      <c r="J372" s="563"/>
      <c r="K372" s="563"/>
      <c r="L372" s="563"/>
      <c r="M372" s="563"/>
      <c r="N372" s="563"/>
      <c r="O372" s="563"/>
      <c r="P372" s="563"/>
      <c r="Q372" s="563"/>
      <c r="R372" s="563"/>
      <c r="S372" s="563"/>
      <c r="T372" s="563"/>
      <c r="U372" s="563"/>
      <c r="V372" s="563"/>
      <c r="W372" s="563"/>
      <c r="X372" s="563"/>
      <c r="Y372" s="563"/>
      <c r="Z372" s="563"/>
      <c r="AA372" s="544"/>
      <c r="AB372" s="544"/>
      <c r="AC372" s="544"/>
    </row>
    <row r="373" spans="1:68" ht="14.25" customHeight="1" x14ac:dyDescent="0.25">
      <c r="A373" s="575" t="s">
        <v>99</v>
      </c>
      <c r="B373" s="563"/>
      <c r="C373" s="563"/>
      <c r="D373" s="563"/>
      <c r="E373" s="563"/>
      <c r="F373" s="563"/>
      <c r="G373" s="563"/>
      <c r="H373" s="563"/>
      <c r="I373" s="563"/>
      <c r="J373" s="563"/>
      <c r="K373" s="563"/>
      <c r="L373" s="563"/>
      <c r="M373" s="563"/>
      <c r="N373" s="563"/>
      <c r="O373" s="563"/>
      <c r="P373" s="563"/>
      <c r="Q373" s="563"/>
      <c r="R373" s="563"/>
      <c r="S373" s="563"/>
      <c r="T373" s="563"/>
      <c r="U373" s="563"/>
      <c r="V373" s="563"/>
      <c r="W373" s="563"/>
      <c r="X373" s="563"/>
      <c r="Y373" s="563"/>
      <c r="Z373" s="563"/>
      <c r="AA373" s="545"/>
      <c r="AB373" s="545"/>
      <c r="AC373" s="545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0"/>
      <c r="R374" s="560"/>
      <c r="S374" s="560"/>
      <c r="T374" s="561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2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0"/>
      <c r="R375" s="560"/>
      <c r="S375" s="560"/>
      <c r="T375" s="561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2"/>
      <c r="B376" s="563"/>
      <c r="C376" s="563"/>
      <c r="D376" s="563"/>
      <c r="E376" s="563"/>
      <c r="F376" s="563"/>
      <c r="G376" s="563"/>
      <c r="H376" s="563"/>
      <c r="I376" s="563"/>
      <c r="J376" s="563"/>
      <c r="K376" s="563"/>
      <c r="L376" s="563"/>
      <c r="M376" s="563"/>
      <c r="N376" s="563"/>
      <c r="O376" s="564"/>
      <c r="P376" s="558" t="s">
        <v>75</v>
      </c>
      <c r="Q376" s="554"/>
      <c r="R376" s="554"/>
      <c r="S376" s="554"/>
      <c r="T376" s="554"/>
      <c r="U376" s="554"/>
      <c r="V376" s="555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x14ac:dyDescent="0.2">
      <c r="A377" s="563"/>
      <c r="B377" s="563"/>
      <c r="C377" s="563"/>
      <c r="D377" s="563"/>
      <c r="E377" s="563"/>
      <c r="F377" s="563"/>
      <c r="G377" s="563"/>
      <c r="H377" s="563"/>
      <c r="I377" s="563"/>
      <c r="J377" s="563"/>
      <c r="K377" s="563"/>
      <c r="L377" s="563"/>
      <c r="M377" s="563"/>
      <c r="N377" s="563"/>
      <c r="O377" s="564"/>
      <c r="P377" s="558" t="s">
        <v>75</v>
      </c>
      <c r="Q377" s="554"/>
      <c r="R377" s="554"/>
      <c r="S377" s="554"/>
      <c r="T377" s="554"/>
      <c r="U377" s="554"/>
      <c r="V377" s="555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customHeight="1" x14ac:dyDescent="0.25">
      <c r="A378" s="575" t="s">
        <v>64</v>
      </c>
      <c r="B378" s="563"/>
      <c r="C378" s="563"/>
      <c r="D378" s="563"/>
      <c r="E378" s="563"/>
      <c r="F378" s="563"/>
      <c r="G378" s="563"/>
      <c r="H378" s="563"/>
      <c r="I378" s="563"/>
      <c r="J378" s="563"/>
      <c r="K378" s="563"/>
      <c r="L378" s="563"/>
      <c r="M378" s="563"/>
      <c r="N378" s="563"/>
      <c r="O378" s="563"/>
      <c r="P378" s="563"/>
      <c r="Q378" s="563"/>
      <c r="R378" s="563"/>
      <c r="S378" s="563"/>
      <c r="T378" s="563"/>
      <c r="U378" s="563"/>
      <c r="V378" s="563"/>
      <c r="W378" s="563"/>
      <c r="X378" s="563"/>
      <c r="Y378" s="563"/>
      <c r="Z378" s="563"/>
      <c r="AA378" s="545"/>
      <c r="AB378" s="545"/>
      <c r="AC378" s="545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6">
        <v>4607091384802</v>
      </c>
      <c r="E379" s="557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85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60"/>
      <c r="R379" s="560"/>
      <c r="S379" s="560"/>
      <c r="T379" s="561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4301031457</v>
      </c>
      <c r="D380" s="556">
        <v>4607091384802</v>
      </c>
      <c r="E380" s="557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60"/>
      <c r="R380" s="560"/>
      <c r="S380" s="560"/>
      <c r="T380" s="561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2"/>
      <c r="B381" s="563"/>
      <c r="C381" s="563"/>
      <c r="D381" s="563"/>
      <c r="E381" s="563"/>
      <c r="F381" s="563"/>
      <c r="G381" s="563"/>
      <c r="H381" s="563"/>
      <c r="I381" s="563"/>
      <c r="J381" s="563"/>
      <c r="K381" s="563"/>
      <c r="L381" s="563"/>
      <c r="M381" s="563"/>
      <c r="N381" s="563"/>
      <c r="O381" s="564"/>
      <c r="P381" s="558" t="s">
        <v>75</v>
      </c>
      <c r="Q381" s="554"/>
      <c r="R381" s="554"/>
      <c r="S381" s="554"/>
      <c r="T381" s="554"/>
      <c r="U381" s="554"/>
      <c r="V381" s="555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3"/>
      <c r="B382" s="563"/>
      <c r="C382" s="563"/>
      <c r="D382" s="563"/>
      <c r="E382" s="563"/>
      <c r="F382" s="563"/>
      <c r="G382" s="563"/>
      <c r="H382" s="563"/>
      <c r="I382" s="563"/>
      <c r="J382" s="563"/>
      <c r="K382" s="563"/>
      <c r="L382" s="563"/>
      <c r="M382" s="563"/>
      <c r="N382" s="563"/>
      <c r="O382" s="564"/>
      <c r="P382" s="558" t="s">
        <v>75</v>
      </c>
      <c r="Q382" s="554"/>
      <c r="R382" s="554"/>
      <c r="S382" s="554"/>
      <c r="T382" s="554"/>
      <c r="U382" s="554"/>
      <c r="V382" s="555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75" t="s">
        <v>77</v>
      </c>
      <c r="B383" s="563"/>
      <c r="C383" s="563"/>
      <c r="D383" s="563"/>
      <c r="E383" s="563"/>
      <c r="F383" s="563"/>
      <c r="G383" s="563"/>
      <c r="H383" s="563"/>
      <c r="I383" s="563"/>
      <c r="J383" s="563"/>
      <c r="K383" s="563"/>
      <c r="L383" s="563"/>
      <c r="M383" s="563"/>
      <c r="N383" s="563"/>
      <c r="O383" s="563"/>
      <c r="P383" s="563"/>
      <c r="Q383" s="563"/>
      <c r="R383" s="563"/>
      <c r="S383" s="563"/>
      <c r="T383" s="563"/>
      <c r="U383" s="563"/>
      <c r="V383" s="563"/>
      <c r="W383" s="563"/>
      <c r="X383" s="563"/>
      <c r="Y383" s="563"/>
      <c r="Z383" s="563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87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0"/>
      <c r="R384" s="560"/>
      <c r="S384" s="560"/>
      <c r="T384" s="561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186</v>
      </c>
      <c r="M385" s="33" t="s">
        <v>80</v>
      </c>
      <c r="N385" s="33"/>
      <c r="O385" s="32">
        <v>40</v>
      </c>
      <c r="P385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0"/>
      <c r="R385" s="560"/>
      <c r="S385" s="560"/>
      <c r="T385" s="561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106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605</v>
      </c>
      <c r="C386" s="31">
        <v>4301052069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85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2"/>
      <c r="B387" s="563"/>
      <c r="C387" s="563"/>
      <c r="D387" s="563"/>
      <c r="E387" s="563"/>
      <c r="F387" s="563"/>
      <c r="G387" s="563"/>
      <c r="H387" s="563"/>
      <c r="I387" s="563"/>
      <c r="J387" s="563"/>
      <c r="K387" s="563"/>
      <c r="L387" s="563"/>
      <c r="M387" s="563"/>
      <c r="N387" s="563"/>
      <c r="O387" s="564"/>
      <c r="P387" s="558" t="s">
        <v>75</v>
      </c>
      <c r="Q387" s="554"/>
      <c r="R387" s="554"/>
      <c r="S387" s="554"/>
      <c r="T387" s="554"/>
      <c r="U387" s="554"/>
      <c r="V387" s="555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x14ac:dyDescent="0.2">
      <c r="A388" s="563"/>
      <c r="B388" s="563"/>
      <c r="C388" s="563"/>
      <c r="D388" s="563"/>
      <c r="E388" s="563"/>
      <c r="F388" s="563"/>
      <c r="G388" s="563"/>
      <c r="H388" s="563"/>
      <c r="I388" s="563"/>
      <c r="J388" s="563"/>
      <c r="K388" s="563"/>
      <c r="L388" s="563"/>
      <c r="M388" s="563"/>
      <c r="N388" s="563"/>
      <c r="O388" s="564"/>
      <c r="P388" s="558" t="s">
        <v>75</v>
      </c>
      <c r="Q388" s="554"/>
      <c r="R388" s="554"/>
      <c r="S388" s="554"/>
      <c r="T388" s="554"/>
      <c r="U388" s="554"/>
      <c r="V388" s="555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customHeight="1" x14ac:dyDescent="0.2">
      <c r="A389" s="601" t="s">
        <v>607</v>
      </c>
      <c r="B389" s="602"/>
      <c r="C389" s="602"/>
      <c r="D389" s="602"/>
      <c r="E389" s="602"/>
      <c r="F389" s="602"/>
      <c r="G389" s="602"/>
      <c r="H389" s="602"/>
      <c r="I389" s="602"/>
      <c r="J389" s="602"/>
      <c r="K389" s="602"/>
      <c r="L389" s="602"/>
      <c r="M389" s="602"/>
      <c r="N389" s="602"/>
      <c r="O389" s="602"/>
      <c r="P389" s="602"/>
      <c r="Q389" s="602"/>
      <c r="R389" s="602"/>
      <c r="S389" s="602"/>
      <c r="T389" s="602"/>
      <c r="U389" s="602"/>
      <c r="V389" s="602"/>
      <c r="W389" s="602"/>
      <c r="X389" s="602"/>
      <c r="Y389" s="602"/>
      <c r="Z389" s="602"/>
      <c r="AA389" s="48"/>
      <c r="AB389" s="48"/>
      <c r="AC389" s="48"/>
    </row>
    <row r="390" spans="1:68" ht="16.5" customHeight="1" x14ac:dyDescent="0.25">
      <c r="A390" s="572" t="s">
        <v>608</v>
      </c>
      <c r="B390" s="563"/>
      <c r="C390" s="563"/>
      <c r="D390" s="563"/>
      <c r="E390" s="563"/>
      <c r="F390" s="563"/>
      <c r="G390" s="563"/>
      <c r="H390" s="563"/>
      <c r="I390" s="563"/>
      <c r="J390" s="563"/>
      <c r="K390" s="563"/>
      <c r="L390" s="563"/>
      <c r="M390" s="563"/>
      <c r="N390" s="563"/>
      <c r="O390" s="563"/>
      <c r="P390" s="563"/>
      <c r="Q390" s="563"/>
      <c r="R390" s="563"/>
      <c r="S390" s="563"/>
      <c r="T390" s="563"/>
      <c r="U390" s="563"/>
      <c r="V390" s="563"/>
      <c r="W390" s="563"/>
      <c r="X390" s="563"/>
      <c r="Y390" s="563"/>
      <c r="Z390" s="563"/>
      <c r="AA390" s="544"/>
      <c r="AB390" s="544"/>
      <c r="AC390" s="544"/>
    </row>
    <row r="391" spans="1:68" ht="14.25" customHeight="1" x14ac:dyDescent="0.25">
      <c r="A391" s="575" t="s">
        <v>64</v>
      </c>
      <c r="B391" s="563"/>
      <c r="C391" s="563"/>
      <c r="D391" s="563"/>
      <c r="E391" s="563"/>
      <c r="F391" s="563"/>
      <c r="G391" s="563"/>
      <c r="H391" s="563"/>
      <c r="I391" s="563"/>
      <c r="J391" s="563"/>
      <c r="K391" s="563"/>
      <c r="L391" s="563"/>
      <c r="M391" s="563"/>
      <c r="N391" s="563"/>
      <c r="O391" s="563"/>
      <c r="P391" s="563"/>
      <c r="Q391" s="563"/>
      <c r="R391" s="563"/>
      <c r="S391" s="563"/>
      <c r="T391" s="563"/>
      <c r="U391" s="563"/>
      <c r="V391" s="563"/>
      <c r="W391" s="563"/>
      <c r="X391" s="563"/>
      <c r="Y391" s="563"/>
      <c r="Z391" s="563"/>
      <c r="AA391" s="545"/>
      <c r="AB391" s="545"/>
      <c r="AC391" s="545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 t="s">
        <v>110</v>
      </c>
      <c r="M392" s="33" t="s">
        <v>68</v>
      </c>
      <c r="N392" s="33"/>
      <c r="O392" s="32">
        <v>50</v>
      </c>
      <c r="P392" s="85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0"/>
      <c r="R392" s="560"/>
      <c r="S392" s="560"/>
      <c r="T392" s="561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 t="s">
        <v>106</v>
      </c>
      <c r="AK392" s="68">
        <v>64.8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0"/>
      <c r="R393" s="560"/>
      <c r="S393" s="560"/>
      <c r="T393" s="561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 t="s">
        <v>110</v>
      </c>
      <c r="M394" s="33" t="s">
        <v>68</v>
      </c>
      <c r="N394" s="33"/>
      <c r="O394" s="32">
        <v>50</v>
      </c>
      <c r="P394" s="83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106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0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7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0"/>
      <c r="R396" s="560"/>
      <c r="S396" s="560"/>
      <c r="T396" s="561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0"/>
      <c r="R397" s="560"/>
      <c r="S397" s="560"/>
      <c r="T397" s="561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7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0"/>
      <c r="R398" s="560"/>
      <c r="S398" s="560"/>
      <c r="T398" s="561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 t="s">
        <v>285</v>
      </c>
      <c r="M399" s="33" t="s">
        <v>68</v>
      </c>
      <c r="N399" s="33"/>
      <c r="O399" s="32">
        <v>50</v>
      </c>
      <c r="P399" s="70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 t="s">
        <v>106</v>
      </c>
      <c r="AK399" s="68">
        <v>37.799999999999997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8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0"/>
      <c r="R400" s="560"/>
      <c r="S400" s="560"/>
      <c r="T400" s="561"/>
      <c r="U400" s="34"/>
      <c r="V400" s="34"/>
      <c r="W400" s="35" t="s">
        <v>69</v>
      </c>
      <c r="X400" s="549">
        <v>8.3999999999999986</v>
      </c>
      <c r="Y400" s="550">
        <f t="shared" si="41"/>
        <v>8.4</v>
      </c>
      <c r="Z400" s="36">
        <f t="shared" si="46"/>
        <v>2.0080000000000001E-2</v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8.9199999999999982</v>
      </c>
      <c r="BN400" s="64">
        <f t="shared" si="43"/>
        <v>8.92</v>
      </c>
      <c r="BO400" s="64">
        <f t="shared" si="44"/>
        <v>1.7094017094017092E-2</v>
      </c>
      <c r="BP400" s="64">
        <f t="shared" si="45"/>
        <v>1.7094017094017096E-2</v>
      </c>
    </row>
    <row r="401" spans="1:68" x14ac:dyDescent="0.2">
      <c r="A401" s="562"/>
      <c r="B401" s="563"/>
      <c r="C401" s="563"/>
      <c r="D401" s="563"/>
      <c r="E401" s="563"/>
      <c r="F401" s="563"/>
      <c r="G401" s="563"/>
      <c r="H401" s="563"/>
      <c r="I401" s="563"/>
      <c r="J401" s="563"/>
      <c r="K401" s="563"/>
      <c r="L401" s="563"/>
      <c r="M401" s="563"/>
      <c r="N401" s="563"/>
      <c r="O401" s="564"/>
      <c r="P401" s="558" t="s">
        <v>75</v>
      </c>
      <c r="Q401" s="554"/>
      <c r="R401" s="554"/>
      <c r="S401" s="554"/>
      <c r="T401" s="554"/>
      <c r="U401" s="554"/>
      <c r="V401" s="555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3.9999999999999991</v>
      </c>
      <c r="Y401" s="551">
        <f>IFERROR(Y392/H392,"0")+IFERROR(Y393/H393,"0")+IFERROR(Y394/H394,"0")+IFERROR(Y395/H395,"0")+IFERROR(Y396/H396,"0")+IFERROR(Y397/H397,"0")+IFERROR(Y398/H398,"0")+IFERROR(Y399/H399,"0")+IFERROR(Y400/H400,"0")</f>
        <v>4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2.0080000000000001E-2</v>
      </c>
      <c r="AA401" s="552"/>
      <c r="AB401" s="552"/>
      <c r="AC401" s="552"/>
    </row>
    <row r="402" spans="1:68" x14ac:dyDescent="0.2">
      <c r="A402" s="563"/>
      <c r="B402" s="563"/>
      <c r="C402" s="563"/>
      <c r="D402" s="563"/>
      <c r="E402" s="563"/>
      <c r="F402" s="563"/>
      <c r="G402" s="563"/>
      <c r="H402" s="563"/>
      <c r="I402" s="563"/>
      <c r="J402" s="563"/>
      <c r="K402" s="563"/>
      <c r="L402" s="563"/>
      <c r="M402" s="563"/>
      <c r="N402" s="563"/>
      <c r="O402" s="564"/>
      <c r="P402" s="558" t="s">
        <v>75</v>
      </c>
      <c r="Q402" s="554"/>
      <c r="R402" s="554"/>
      <c r="S402" s="554"/>
      <c r="T402" s="554"/>
      <c r="U402" s="554"/>
      <c r="V402" s="555"/>
      <c r="W402" s="37" t="s">
        <v>69</v>
      </c>
      <c r="X402" s="551">
        <f>IFERROR(SUM(X392:X400),"0")</f>
        <v>8.3999999999999986</v>
      </c>
      <c r="Y402" s="551">
        <f>IFERROR(SUM(Y392:Y400),"0")</f>
        <v>8.4</v>
      </c>
      <c r="Z402" s="37"/>
      <c r="AA402" s="552"/>
      <c r="AB402" s="552"/>
      <c r="AC402" s="552"/>
    </row>
    <row r="403" spans="1:68" ht="14.25" customHeight="1" x14ac:dyDescent="0.25">
      <c r="A403" s="575" t="s">
        <v>77</v>
      </c>
      <c r="B403" s="563"/>
      <c r="C403" s="563"/>
      <c r="D403" s="563"/>
      <c r="E403" s="563"/>
      <c r="F403" s="563"/>
      <c r="G403" s="563"/>
      <c r="H403" s="563"/>
      <c r="I403" s="563"/>
      <c r="J403" s="563"/>
      <c r="K403" s="563"/>
      <c r="L403" s="563"/>
      <c r="M403" s="563"/>
      <c r="N403" s="563"/>
      <c r="O403" s="563"/>
      <c r="P403" s="563"/>
      <c r="Q403" s="563"/>
      <c r="R403" s="563"/>
      <c r="S403" s="563"/>
      <c r="T403" s="563"/>
      <c r="U403" s="563"/>
      <c r="V403" s="563"/>
      <c r="W403" s="563"/>
      <c r="X403" s="563"/>
      <c r="Y403" s="563"/>
      <c r="Z403" s="563"/>
      <c r="AA403" s="545"/>
      <c r="AB403" s="545"/>
      <c r="AC403" s="545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0"/>
      <c r="R404" s="560"/>
      <c r="S404" s="560"/>
      <c r="T404" s="561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82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0"/>
      <c r="R405" s="560"/>
      <c r="S405" s="560"/>
      <c r="T405" s="561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2"/>
      <c r="B406" s="563"/>
      <c r="C406" s="563"/>
      <c r="D406" s="563"/>
      <c r="E406" s="563"/>
      <c r="F406" s="563"/>
      <c r="G406" s="563"/>
      <c r="H406" s="563"/>
      <c r="I406" s="563"/>
      <c r="J406" s="563"/>
      <c r="K406" s="563"/>
      <c r="L406" s="563"/>
      <c r="M406" s="563"/>
      <c r="N406" s="563"/>
      <c r="O406" s="564"/>
      <c r="P406" s="558" t="s">
        <v>75</v>
      </c>
      <c r="Q406" s="554"/>
      <c r="R406" s="554"/>
      <c r="S406" s="554"/>
      <c r="T406" s="554"/>
      <c r="U406" s="554"/>
      <c r="V406" s="555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3"/>
      <c r="B407" s="563"/>
      <c r="C407" s="563"/>
      <c r="D407" s="563"/>
      <c r="E407" s="563"/>
      <c r="F407" s="563"/>
      <c r="G407" s="563"/>
      <c r="H407" s="563"/>
      <c r="I407" s="563"/>
      <c r="J407" s="563"/>
      <c r="K407" s="563"/>
      <c r="L407" s="563"/>
      <c r="M407" s="563"/>
      <c r="N407" s="563"/>
      <c r="O407" s="564"/>
      <c r="P407" s="558" t="s">
        <v>75</v>
      </c>
      <c r="Q407" s="554"/>
      <c r="R407" s="554"/>
      <c r="S407" s="554"/>
      <c r="T407" s="554"/>
      <c r="U407" s="554"/>
      <c r="V407" s="555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72" t="s">
        <v>639</v>
      </c>
      <c r="B408" s="563"/>
      <c r="C408" s="563"/>
      <c r="D408" s="563"/>
      <c r="E408" s="563"/>
      <c r="F408" s="563"/>
      <c r="G408" s="563"/>
      <c r="H408" s="563"/>
      <c r="I408" s="563"/>
      <c r="J408" s="563"/>
      <c r="K408" s="563"/>
      <c r="L408" s="563"/>
      <c r="M408" s="563"/>
      <c r="N408" s="563"/>
      <c r="O408" s="563"/>
      <c r="P408" s="563"/>
      <c r="Q408" s="563"/>
      <c r="R408" s="563"/>
      <c r="S408" s="563"/>
      <c r="T408" s="563"/>
      <c r="U408" s="563"/>
      <c r="V408" s="563"/>
      <c r="W408" s="563"/>
      <c r="X408" s="563"/>
      <c r="Y408" s="563"/>
      <c r="Z408" s="563"/>
      <c r="AA408" s="544"/>
      <c r="AB408" s="544"/>
      <c r="AC408" s="544"/>
    </row>
    <row r="409" spans="1:68" ht="14.25" customHeight="1" x14ac:dyDescent="0.25">
      <c r="A409" s="575" t="s">
        <v>135</v>
      </c>
      <c r="B409" s="563"/>
      <c r="C409" s="563"/>
      <c r="D409" s="563"/>
      <c r="E409" s="563"/>
      <c r="F409" s="563"/>
      <c r="G409" s="563"/>
      <c r="H409" s="563"/>
      <c r="I409" s="563"/>
      <c r="J409" s="563"/>
      <c r="K409" s="563"/>
      <c r="L409" s="563"/>
      <c r="M409" s="563"/>
      <c r="N409" s="563"/>
      <c r="O409" s="563"/>
      <c r="P409" s="563"/>
      <c r="Q409" s="563"/>
      <c r="R409" s="563"/>
      <c r="S409" s="563"/>
      <c r="T409" s="563"/>
      <c r="U409" s="563"/>
      <c r="V409" s="563"/>
      <c r="W409" s="563"/>
      <c r="X409" s="563"/>
      <c r="Y409" s="563"/>
      <c r="Z409" s="563"/>
      <c r="AA409" s="545"/>
      <c r="AB409" s="545"/>
      <c r="AC409" s="545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58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0"/>
      <c r="R410" s="560"/>
      <c r="S410" s="560"/>
      <c r="T410" s="561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2"/>
      <c r="B411" s="563"/>
      <c r="C411" s="563"/>
      <c r="D411" s="563"/>
      <c r="E411" s="563"/>
      <c r="F411" s="563"/>
      <c r="G411" s="563"/>
      <c r="H411" s="563"/>
      <c r="I411" s="563"/>
      <c r="J411" s="563"/>
      <c r="K411" s="563"/>
      <c r="L411" s="563"/>
      <c r="M411" s="563"/>
      <c r="N411" s="563"/>
      <c r="O411" s="564"/>
      <c r="P411" s="558" t="s">
        <v>75</v>
      </c>
      <c r="Q411" s="554"/>
      <c r="R411" s="554"/>
      <c r="S411" s="554"/>
      <c r="T411" s="554"/>
      <c r="U411" s="554"/>
      <c r="V411" s="555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3"/>
      <c r="B412" s="563"/>
      <c r="C412" s="563"/>
      <c r="D412" s="563"/>
      <c r="E412" s="563"/>
      <c r="F412" s="563"/>
      <c r="G412" s="563"/>
      <c r="H412" s="563"/>
      <c r="I412" s="563"/>
      <c r="J412" s="563"/>
      <c r="K412" s="563"/>
      <c r="L412" s="563"/>
      <c r="M412" s="563"/>
      <c r="N412" s="563"/>
      <c r="O412" s="564"/>
      <c r="P412" s="558" t="s">
        <v>75</v>
      </c>
      <c r="Q412" s="554"/>
      <c r="R412" s="554"/>
      <c r="S412" s="554"/>
      <c r="T412" s="554"/>
      <c r="U412" s="554"/>
      <c r="V412" s="555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75" t="s">
        <v>64</v>
      </c>
      <c r="B413" s="563"/>
      <c r="C413" s="563"/>
      <c r="D413" s="563"/>
      <c r="E413" s="563"/>
      <c r="F413" s="563"/>
      <c r="G413" s="563"/>
      <c r="H413" s="563"/>
      <c r="I413" s="563"/>
      <c r="J413" s="563"/>
      <c r="K413" s="563"/>
      <c r="L413" s="563"/>
      <c r="M413" s="563"/>
      <c r="N413" s="563"/>
      <c r="O413" s="563"/>
      <c r="P413" s="563"/>
      <c r="Q413" s="563"/>
      <c r="R413" s="563"/>
      <c r="S413" s="563"/>
      <c r="T413" s="563"/>
      <c r="U413" s="563"/>
      <c r="V413" s="563"/>
      <c r="W413" s="563"/>
      <c r="X413" s="563"/>
      <c r="Y413" s="563"/>
      <c r="Z413" s="563"/>
      <c r="AA413" s="545"/>
      <c r="AB413" s="545"/>
      <c r="AC413" s="545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 t="s">
        <v>110</v>
      </c>
      <c r="M414" s="33" t="s">
        <v>104</v>
      </c>
      <c r="N414" s="33"/>
      <c r="O414" s="32">
        <v>50</v>
      </c>
      <c r="P414" s="79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0"/>
      <c r="R414" s="560"/>
      <c r="S414" s="560"/>
      <c r="T414" s="561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 t="s">
        <v>106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64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0"/>
      <c r="R415" s="560"/>
      <c r="S415" s="560"/>
      <c r="T415" s="561"/>
      <c r="U415" s="34"/>
      <c r="V415" s="34"/>
      <c r="W415" s="35" t="s">
        <v>69</v>
      </c>
      <c r="X415" s="549">
        <v>8.3999999999999986</v>
      </c>
      <c r="Y415" s="550">
        <f>IFERROR(IF(X415="",0,CEILING((X415/$H415),1)*$H415),"")</f>
        <v>8.4</v>
      </c>
      <c r="Z415" s="36">
        <f>IFERROR(IF(Y415=0,"",ROUNDUP(Y415/H415,0)*0.00502),"")</f>
        <v>2.0080000000000001E-2</v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8.9199999999999982</v>
      </c>
      <c r="BN415" s="64">
        <f>IFERROR(Y415*I415/H415,"0")</f>
        <v>8.92</v>
      </c>
      <c r="BO415" s="64">
        <f>IFERROR(1/J415*(X415/H415),"0")</f>
        <v>1.7094017094017092E-2</v>
      </c>
      <c r="BP415" s="64">
        <f>IFERROR(1/J415*(Y415/H415),"0")</f>
        <v>1.7094017094017096E-2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0"/>
      <c r="R416" s="560"/>
      <c r="S416" s="560"/>
      <c r="T416" s="561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6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0"/>
      <c r="R417" s="560"/>
      <c r="S417" s="560"/>
      <c r="T417" s="561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2"/>
      <c r="B418" s="563"/>
      <c r="C418" s="563"/>
      <c r="D418" s="563"/>
      <c r="E418" s="563"/>
      <c r="F418" s="563"/>
      <c r="G418" s="563"/>
      <c r="H418" s="563"/>
      <c r="I418" s="563"/>
      <c r="J418" s="563"/>
      <c r="K418" s="563"/>
      <c r="L418" s="563"/>
      <c r="M418" s="563"/>
      <c r="N418" s="563"/>
      <c r="O418" s="564"/>
      <c r="P418" s="558" t="s">
        <v>75</v>
      </c>
      <c r="Q418" s="554"/>
      <c r="R418" s="554"/>
      <c r="S418" s="554"/>
      <c r="T418" s="554"/>
      <c r="U418" s="554"/>
      <c r="V418" s="555"/>
      <c r="W418" s="37" t="s">
        <v>76</v>
      </c>
      <c r="X418" s="551">
        <f>IFERROR(X414/H414,"0")+IFERROR(X415/H415,"0")+IFERROR(X416/H416,"0")+IFERROR(X417/H417,"0")</f>
        <v>3.9999999999999991</v>
      </c>
      <c r="Y418" s="551">
        <f>IFERROR(Y414/H414,"0")+IFERROR(Y415/H415,"0")+IFERROR(Y416/H416,"0")+IFERROR(Y417/H417,"0")</f>
        <v>4</v>
      </c>
      <c r="Z418" s="551">
        <f>IFERROR(IF(Z414="",0,Z414),"0")+IFERROR(IF(Z415="",0,Z415),"0")+IFERROR(IF(Z416="",0,Z416),"0")+IFERROR(IF(Z417="",0,Z417),"0")</f>
        <v>2.0080000000000001E-2</v>
      </c>
      <c r="AA418" s="552"/>
      <c r="AB418" s="552"/>
      <c r="AC418" s="552"/>
    </row>
    <row r="419" spans="1:68" x14ac:dyDescent="0.2">
      <c r="A419" s="563"/>
      <c r="B419" s="563"/>
      <c r="C419" s="563"/>
      <c r="D419" s="563"/>
      <c r="E419" s="563"/>
      <c r="F419" s="563"/>
      <c r="G419" s="563"/>
      <c r="H419" s="563"/>
      <c r="I419" s="563"/>
      <c r="J419" s="563"/>
      <c r="K419" s="563"/>
      <c r="L419" s="563"/>
      <c r="M419" s="563"/>
      <c r="N419" s="563"/>
      <c r="O419" s="564"/>
      <c r="P419" s="558" t="s">
        <v>75</v>
      </c>
      <c r="Q419" s="554"/>
      <c r="R419" s="554"/>
      <c r="S419" s="554"/>
      <c r="T419" s="554"/>
      <c r="U419" s="554"/>
      <c r="V419" s="555"/>
      <c r="W419" s="37" t="s">
        <v>69</v>
      </c>
      <c r="X419" s="551">
        <f>IFERROR(SUM(X414:X417),"0")</f>
        <v>8.3999999999999986</v>
      </c>
      <c r="Y419" s="551">
        <f>IFERROR(SUM(Y414:Y417),"0")</f>
        <v>8.4</v>
      </c>
      <c r="Z419" s="37"/>
      <c r="AA419" s="552"/>
      <c r="AB419" s="552"/>
      <c r="AC419" s="552"/>
    </row>
    <row r="420" spans="1:68" ht="16.5" customHeight="1" x14ac:dyDescent="0.25">
      <c r="A420" s="572" t="s">
        <v>654</v>
      </c>
      <c r="B420" s="563"/>
      <c r="C420" s="563"/>
      <c r="D420" s="563"/>
      <c r="E420" s="563"/>
      <c r="F420" s="563"/>
      <c r="G420" s="563"/>
      <c r="H420" s="563"/>
      <c r="I420" s="563"/>
      <c r="J420" s="563"/>
      <c r="K420" s="563"/>
      <c r="L420" s="563"/>
      <c r="M420" s="563"/>
      <c r="N420" s="563"/>
      <c r="O420" s="563"/>
      <c r="P420" s="563"/>
      <c r="Q420" s="563"/>
      <c r="R420" s="563"/>
      <c r="S420" s="563"/>
      <c r="T420" s="563"/>
      <c r="U420" s="563"/>
      <c r="V420" s="563"/>
      <c r="W420" s="563"/>
      <c r="X420" s="563"/>
      <c r="Y420" s="563"/>
      <c r="Z420" s="563"/>
      <c r="AA420" s="544"/>
      <c r="AB420" s="544"/>
      <c r="AC420" s="544"/>
    </row>
    <row r="421" spans="1:68" ht="14.25" customHeight="1" x14ac:dyDescent="0.25">
      <c r="A421" s="575" t="s">
        <v>64</v>
      </c>
      <c r="B421" s="563"/>
      <c r="C421" s="563"/>
      <c r="D421" s="563"/>
      <c r="E421" s="563"/>
      <c r="F421" s="563"/>
      <c r="G421" s="563"/>
      <c r="H421" s="563"/>
      <c r="I421" s="563"/>
      <c r="J421" s="563"/>
      <c r="K421" s="563"/>
      <c r="L421" s="563"/>
      <c r="M421" s="563"/>
      <c r="N421" s="563"/>
      <c r="O421" s="563"/>
      <c r="P421" s="563"/>
      <c r="Q421" s="563"/>
      <c r="R421" s="563"/>
      <c r="S421" s="563"/>
      <c r="T421" s="563"/>
      <c r="U421" s="563"/>
      <c r="V421" s="563"/>
      <c r="W421" s="563"/>
      <c r="X421" s="563"/>
      <c r="Y421" s="563"/>
      <c r="Z421" s="563"/>
      <c r="AA421" s="545"/>
      <c r="AB421" s="545"/>
      <c r="AC421" s="545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5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0"/>
      <c r="R422" s="560"/>
      <c r="S422" s="560"/>
      <c r="T422" s="561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2"/>
      <c r="B423" s="563"/>
      <c r="C423" s="563"/>
      <c r="D423" s="563"/>
      <c r="E423" s="563"/>
      <c r="F423" s="563"/>
      <c r="G423" s="563"/>
      <c r="H423" s="563"/>
      <c r="I423" s="563"/>
      <c r="J423" s="563"/>
      <c r="K423" s="563"/>
      <c r="L423" s="563"/>
      <c r="M423" s="563"/>
      <c r="N423" s="563"/>
      <c r="O423" s="564"/>
      <c r="P423" s="558" t="s">
        <v>75</v>
      </c>
      <c r="Q423" s="554"/>
      <c r="R423" s="554"/>
      <c r="S423" s="554"/>
      <c r="T423" s="554"/>
      <c r="U423" s="554"/>
      <c r="V423" s="555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3"/>
      <c r="B424" s="563"/>
      <c r="C424" s="563"/>
      <c r="D424" s="563"/>
      <c r="E424" s="563"/>
      <c r="F424" s="563"/>
      <c r="G424" s="563"/>
      <c r="H424" s="563"/>
      <c r="I424" s="563"/>
      <c r="J424" s="563"/>
      <c r="K424" s="563"/>
      <c r="L424" s="563"/>
      <c r="M424" s="563"/>
      <c r="N424" s="563"/>
      <c r="O424" s="564"/>
      <c r="P424" s="558" t="s">
        <v>75</v>
      </c>
      <c r="Q424" s="554"/>
      <c r="R424" s="554"/>
      <c r="S424" s="554"/>
      <c r="T424" s="554"/>
      <c r="U424" s="554"/>
      <c r="V424" s="555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601" t="s">
        <v>658</v>
      </c>
      <c r="B425" s="602"/>
      <c r="C425" s="602"/>
      <c r="D425" s="602"/>
      <c r="E425" s="602"/>
      <c r="F425" s="602"/>
      <c r="G425" s="602"/>
      <c r="H425" s="602"/>
      <c r="I425" s="602"/>
      <c r="J425" s="602"/>
      <c r="K425" s="602"/>
      <c r="L425" s="602"/>
      <c r="M425" s="602"/>
      <c r="N425" s="602"/>
      <c r="O425" s="602"/>
      <c r="P425" s="602"/>
      <c r="Q425" s="602"/>
      <c r="R425" s="602"/>
      <c r="S425" s="602"/>
      <c r="T425" s="602"/>
      <c r="U425" s="602"/>
      <c r="V425" s="602"/>
      <c r="W425" s="602"/>
      <c r="X425" s="602"/>
      <c r="Y425" s="602"/>
      <c r="Z425" s="602"/>
      <c r="AA425" s="48"/>
      <c r="AB425" s="48"/>
      <c r="AC425" s="48"/>
    </row>
    <row r="426" spans="1:68" ht="16.5" customHeight="1" x14ac:dyDescent="0.25">
      <c r="A426" s="572" t="s">
        <v>658</v>
      </c>
      <c r="B426" s="563"/>
      <c r="C426" s="563"/>
      <c r="D426" s="563"/>
      <c r="E426" s="563"/>
      <c r="F426" s="563"/>
      <c r="G426" s="563"/>
      <c r="H426" s="563"/>
      <c r="I426" s="563"/>
      <c r="J426" s="563"/>
      <c r="K426" s="563"/>
      <c r="L426" s="563"/>
      <c r="M426" s="563"/>
      <c r="N426" s="563"/>
      <c r="O426" s="563"/>
      <c r="P426" s="563"/>
      <c r="Q426" s="563"/>
      <c r="R426" s="563"/>
      <c r="S426" s="563"/>
      <c r="T426" s="563"/>
      <c r="U426" s="563"/>
      <c r="V426" s="563"/>
      <c r="W426" s="563"/>
      <c r="X426" s="563"/>
      <c r="Y426" s="563"/>
      <c r="Z426" s="563"/>
      <c r="AA426" s="544"/>
      <c r="AB426" s="544"/>
      <c r="AC426" s="544"/>
    </row>
    <row r="427" spans="1:68" ht="14.25" customHeight="1" x14ac:dyDescent="0.25">
      <c r="A427" s="575" t="s">
        <v>99</v>
      </c>
      <c r="B427" s="563"/>
      <c r="C427" s="563"/>
      <c r="D427" s="563"/>
      <c r="E427" s="563"/>
      <c r="F427" s="563"/>
      <c r="G427" s="563"/>
      <c r="H427" s="563"/>
      <c r="I427" s="563"/>
      <c r="J427" s="563"/>
      <c r="K427" s="563"/>
      <c r="L427" s="563"/>
      <c r="M427" s="563"/>
      <c r="N427" s="563"/>
      <c r="O427" s="563"/>
      <c r="P427" s="563"/>
      <c r="Q427" s="563"/>
      <c r="R427" s="563"/>
      <c r="S427" s="563"/>
      <c r="T427" s="563"/>
      <c r="U427" s="563"/>
      <c r="V427" s="563"/>
      <c r="W427" s="563"/>
      <c r="X427" s="563"/>
      <c r="Y427" s="563"/>
      <c r="Z427" s="563"/>
      <c r="AA427" s="545"/>
      <c r="AB427" s="545"/>
      <c r="AC427" s="545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80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0"/>
      <c r="R428" s="560"/>
      <c r="S428" s="560"/>
      <c r="T428" s="561"/>
      <c r="U428" s="34"/>
      <c r="V428" s="34"/>
      <c r="W428" s="35" t="s">
        <v>69</v>
      </c>
      <c r="X428" s="549">
        <v>0</v>
      </c>
      <c r="Y428" s="550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79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0"/>
      <c r="R429" s="560"/>
      <c r="S429" s="560"/>
      <c r="T429" s="561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63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60"/>
      <c r="R430" s="560"/>
      <c r="S430" s="560"/>
      <c r="T430" s="561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75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0"/>
      <c r="R431" s="560"/>
      <c r="S431" s="560"/>
      <c r="T431" s="561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87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0"/>
      <c r="R432" s="560"/>
      <c r="S432" s="560"/>
      <c r="T432" s="561"/>
      <c r="U432" s="34"/>
      <c r="V432" s="34"/>
      <c r="W432" s="35" t="s">
        <v>69</v>
      </c>
      <c r="X432" s="549">
        <v>50</v>
      </c>
      <c r="Y432" s="550">
        <f t="shared" si="47"/>
        <v>52.800000000000004</v>
      </c>
      <c r="Z432" s="36">
        <f t="shared" si="48"/>
        <v>0.1196</v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53.314393939393938</v>
      </c>
      <c r="BN432" s="64">
        <f t="shared" si="50"/>
        <v>56.3</v>
      </c>
      <c r="BO432" s="64">
        <f t="shared" si="51"/>
        <v>9.1054778554778545E-2</v>
      </c>
      <c r="BP432" s="64">
        <f t="shared" si="52"/>
        <v>9.6153846153846159E-2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6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5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49">
        <v>0</v>
      </c>
      <c r="Y434" s="550">
        <f t="shared" si="47"/>
        <v>0</v>
      </c>
      <c r="Z434" s="36" t="str">
        <f t="shared" si="48"/>
        <v/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5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0"/>
      <c r="R435" s="560"/>
      <c r="S435" s="560"/>
      <c r="T435" s="561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6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49">
        <v>0</v>
      </c>
      <c r="Y436" s="550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87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0"/>
      <c r="R437" s="560"/>
      <c r="S437" s="560"/>
      <c r="T437" s="561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3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 t="s">
        <v>110</v>
      </c>
      <c r="M439" s="33" t="s">
        <v>104</v>
      </c>
      <c r="N439" s="33"/>
      <c r="O439" s="32">
        <v>60</v>
      </c>
      <c r="P439" s="6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49">
        <v>0</v>
      </c>
      <c r="Y439" s="550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 t="s">
        <v>106</v>
      </c>
      <c r="AK439" s="68">
        <v>57.6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2"/>
      <c r="B440" s="563"/>
      <c r="C440" s="563"/>
      <c r="D440" s="563"/>
      <c r="E440" s="563"/>
      <c r="F440" s="563"/>
      <c r="G440" s="563"/>
      <c r="H440" s="563"/>
      <c r="I440" s="563"/>
      <c r="J440" s="563"/>
      <c r="K440" s="563"/>
      <c r="L440" s="563"/>
      <c r="M440" s="563"/>
      <c r="N440" s="563"/>
      <c r="O440" s="564"/>
      <c r="P440" s="558" t="s">
        <v>75</v>
      </c>
      <c r="Q440" s="554"/>
      <c r="R440" s="554"/>
      <c r="S440" s="554"/>
      <c r="T440" s="554"/>
      <c r="U440" s="554"/>
      <c r="V440" s="555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9.4696969696969688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10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0.1196</v>
      </c>
      <c r="AA440" s="552"/>
      <c r="AB440" s="552"/>
      <c r="AC440" s="552"/>
    </row>
    <row r="441" spans="1:68" x14ac:dyDescent="0.2">
      <c r="A441" s="563"/>
      <c r="B441" s="563"/>
      <c r="C441" s="563"/>
      <c r="D441" s="563"/>
      <c r="E441" s="563"/>
      <c r="F441" s="563"/>
      <c r="G441" s="563"/>
      <c r="H441" s="563"/>
      <c r="I441" s="563"/>
      <c r="J441" s="563"/>
      <c r="K441" s="563"/>
      <c r="L441" s="563"/>
      <c r="M441" s="563"/>
      <c r="N441" s="563"/>
      <c r="O441" s="564"/>
      <c r="P441" s="558" t="s">
        <v>75</v>
      </c>
      <c r="Q441" s="554"/>
      <c r="R441" s="554"/>
      <c r="S441" s="554"/>
      <c r="T441" s="554"/>
      <c r="U441" s="554"/>
      <c r="V441" s="555"/>
      <c r="W441" s="37" t="s">
        <v>69</v>
      </c>
      <c r="X441" s="551">
        <f>IFERROR(SUM(X428:X439),"0")</f>
        <v>50</v>
      </c>
      <c r="Y441" s="551">
        <f>IFERROR(SUM(Y428:Y439),"0")</f>
        <v>52.800000000000004</v>
      </c>
      <c r="Z441" s="37"/>
      <c r="AA441" s="552"/>
      <c r="AB441" s="552"/>
      <c r="AC441" s="552"/>
    </row>
    <row r="442" spans="1:68" ht="14.25" customHeight="1" x14ac:dyDescent="0.25">
      <c r="A442" s="575" t="s">
        <v>135</v>
      </c>
      <c r="B442" s="563"/>
      <c r="C442" s="563"/>
      <c r="D442" s="563"/>
      <c r="E442" s="563"/>
      <c r="F442" s="563"/>
      <c r="G442" s="563"/>
      <c r="H442" s="563"/>
      <c r="I442" s="563"/>
      <c r="J442" s="563"/>
      <c r="K442" s="563"/>
      <c r="L442" s="563"/>
      <c r="M442" s="563"/>
      <c r="N442" s="563"/>
      <c r="O442" s="563"/>
      <c r="P442" s="563"/>
      <c r="Q442" s="563"/>
      <c r="R442" s="563"/>
      <c r="S442" s="563"/>
      <c r="T442" s="563"/>
      <c r="U442" s="563"/>
      <c r="V442" s="563"/>
      <c r="W442" s="563"/>
      <c r="X442" s="563"/>
      <c r="Y442" s="563"/>
      <c r="Z442" s="563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87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0"/>
      <c r="R443" s="560"/>
      <c r="S443" s="560"/>
      <c r="T443" s="561"/>
      <c r="U443" s="34"/>
      <c r="V443" s="34"/>
      <c r="W443" s="35" t="s">
        <v>69</v>
      </c>
      <c r="X443" s="549">
        <v>0</v>
      </c>
      <c r="Y443" s="55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0"/>
      <c r="R444" s="560"/>
      <c r="S444" s="560"/>
      <c r="T444" s="561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110</v>
      </c>
      <c r="M445" s="33" t="s">
        <v>104</v>
      </c>
      <c r="N445" s="33"/>
      <c r="O445" s="32">
        <v>70</v>
      </c>
      <c r="P445" s="84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0"/>
      <c r="R445" s="560"/>
      <c r="S445" s="560"/>
      <c r="T445" s="561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2"/>
      <c r="B446" s="563"/>
      <c r="C446" s="563"/>
      <c r="D446" s="563"/>
      <c r="E446" s="563"/>
      <c r="F446" s="563"/>
      <c r="G446" s="563"/>
      <c r="H446" s="563"/>
      <c r="I446" s="563"/>
      <c r="J446" s="563"/>
      <c r="K446" s="563"/>
      <c r="L446" s="563"/>
      <c r="M446" s="563"/>
      <c r="N446" s="563"/>
      <c r="O446" s="564"/>
      <c r="P446" s="558" t="s">
        <v>75</v>
      </c>
      <c r="Q446" s="554"/>
      <c r="R446" s="554"/>
      <c r="S446" s="554"/>
      <c r="T446" s="554"/>
      <c r="U446" s="554"/>
      <c r="V446" s="555"/>
      <c r="W446" s="37" t="s">
        <v>76</v>
      </c>
      <c r="X446" s="551">
        <f>IFERROR(X443/H443,"0")+IFERROR(X444/H444,"0")+IFERROR(X445/H445,"0")</f>
        <v>0</v>
      </c>
      <c r="Y446" s="551">
        <f>IFERROR(Y443/H443,"0")+IFERROR(Y444/H444,"0")+IFERROR(Y445/H445,"0")</f>
        <v>0</v>
      </c>
      <c r="Z446" s="551">
        <f>IFERROR(IF(Z443="",0,Z443),"0")+IFERROR(IF(Z444="",0,Z444),"0")+IFERROR(IF(Z445="",0,Z445),"0")</f>
        <v>0</v>
      </c>
      <c r="AA446" s="552"/>
      <c r="AB446" s="552"/>
      <c r="AC446" s="552"/>
    </row>
    <row r="447" spans="1:68" x14ac:dyDescent="0.2">
      <c r="A447" s="563"/>
      <c r="B447" s="563"/>
      <c r="C447" s="563"/>
      <c r="D447" s="563"/>
      <c r="E447" s="563"/>
      <c r="F447" s="563"/>
      <c r="G447" s="563"/>
      <c r="H447" s="563"/>
      <c r="I447" s="563"/>
      <c r="J447" s="563"/>
      <c r="K447" s="563"/>
      <c r="L447" s="563"/>
      <c r="M447" s="563"/>
      <c r="N447" s="563"/>
      <c r="O447" s="564"/>
      <c r="P447" s="558" t="s">
        <v>75</v>
      </c>
      <c r="Q447" s="554"/>
      <c r="R447" s="554"/>
      <c r="S447" s="554"/>
      <c r="T447" s="554"/>
      <c r="U447" s="554"/>
      <c r="V447" s="555"/>
      <c r="W447" s="37" t="s">
        <v>69</v>
      </c>
      <c r="X447" s="551">
        <f>IFERROR(SUM(X443:X445),"0")</f>
        <v>0</v>
      </c>
      <c r="Y447" s="551">
        <f>IFERROR(SUM(Y443:Y445),"0")</f>
        <v>0</v>
      </c>
      <c r="Z447" s="37"/>
      <c r="AA447" s="552"/>
      <c r="AB447" s="552"/>
      <c r="AC447" s="552"/>
    </row>
    <row r="448" spans="1:68" ht="14.25" customHeight="1" x14ac:dyDescent="0.25">
      <c r="A448" s="575" t="s">
        <v>64</v>
      </c>
      <c r="B448" s="563"/>
      <c r="C448" s="563"/>
      <c r="D448" s="563"/>
      <c r="E448" s="563"/>
      <c r="F448" s="563"/>
      <c r="G448" s="563"/>
      <c r="H448" s="563"/>
      <c r="I448" s="563"/>
      <c r="J448" s="563"/>
      <c r="K448" s="563"/>
      <c r="L448" s="563"/>
      <c r="M448" s="563"/>
      <c r="N448" s="563"/>
      <c r="O448" s="563"/>
      <c r="P448" s="563"/>
      <c r="Q448" s="563"/>
      <c r="R448" s="563"/>
      <c r="S448" s="563"/>
      <c r="T448" s="563"/>
      <c r="U448" s="563"/>
      <c r="V448" s="563"/>
      <c r="W448" s="563"/>
      <c r="X448" s="563"/>
      <c r="Y448" s="563"/>
      <c r="Z448" s="563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5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0"/>
      <c r="R449" s="560"/>
      <c r="S449" s="560"/>
      <c r="T449" s="561"/>
      <c r="U449" s="34"/>
      <c r="V449" s="34"/>
      <c r="W449" s="35" t="s">
        <v>69</v>
      </c>
      <c r="X449" s="549">
        <v>0</v>
      </c>
      <c r="Y449" s="550">
        <f t="shared" ref="Y449:Y454" si="53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0</v>
      </c>
      <c r="BN449" s="64">
        <f t="shared" ref="BN449:BN454" si="55">IFERROR(Y449*I449/H449,"0")</f>
        <v>0</v>
      </c>
      <c r="BO449" s="64">
        <f t="shared" ref="BO449:BO454" si="56">IFERROR(1/J449*(X449/H449),"0")</f>
        <v>0</v>
      </c>
      <c r="BP449" s="64">
        <f t="shared" ref="BP449:BP454" si="57">IFERROR(1/J449*(Y449/H449),"0")</f>
        <v>0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0"/>
      <c r="R450" s="560"/>
      <c r="S450" s="560"/>
      <c r="T450" s="561"/>
      <c r="U450" s="34"/>
      <c r="V450" s="34"/>
      <c r="W450" s="35" t="s">
        <v>69</v>
      </c>
      <c r="X450" s="549">
        <v>0</v>
      </c>
      <c r="Y450" s="550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49">
        <v>0</v>
      </c>
      <c r="Y451" s="550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84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81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0"/>
      <c r="R453" s="560"/>
      <c r="S453" s="560"/>
      <c r="T453" s="561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86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0"/>
      <c r="R454" s="560"/>
      <c r="S454" s="560"/>
      <c r="T454" s="561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2"/>
      <c r="B455" s="563"/>
      <c r="C455" s="563"/>
      <c r="D455" s="563"/>
      <c r="E455" s="563"/>
      <c r="F455" s="563"/>
      <c r="G455" s="563"/>
      <c r="H455" s="563"/>
      <c r="I455" s="563"/>
      <c r="J455" s="563"/>
      <c r="K455" s="563"/>
      <c r="L455" s="563"/>
      <c r="M455" s="563"/>
      <c r="N455" s="563"/>
      <c r="O455" s="564"/>
      <c r="P455" s="558" t="s">
        <v>75</v>
      </c>
      <c r="Q455" s="554"/>
      <c r="R455" s="554"/>
      <c r="S455" s="554"/>
      <c r="T455" s="554"/>
      <c r="U455" s="554"/>
      <c r="V455" s="555"/>
      <c r="W455" s="37" t="s">
        <v>76</v>
      </c>
      <c r="X455" s="551">
        <f>IFERROR(X449/H449,"0")+IFERROR(X450/H450,"0")+IFERROR(X451/H451,"0")+IFERROR(X452/H452,"0")+IFERROR(X453/H453,"0")+IFERROR(X454/H454,"0")</f>
        <v>0</v>
      </c>
      <c r="Y455" s="551">
        <f>IFERROR(Y449/H449,"0")+IFERROR(Y450/H450,"0")+IFERROR(Y451/H451,"0")+IFERROR(Y452/H452,"0")+IFERROR(Y453/H453,"0")+IFERROR(Y454/H454,"0")</f>
        <v>0</v>
      </c>
      <c r="Z455" s="551">
        <f>IFERROR(IF(Z449="",0,Z449),"0")+IFERROR(IF(Z450="",0,Z450),"0")+IFERROR(IF(Z451="",0,Z451),"0")+IFERROR(IF(Z452="",0,Z452),"0")+IFERROR(IF(Z453="",0,Z453),"0")+IFERROR(IF(Z454="",0,Z454),"0")</f>
        <v>0</v>
      </c>
      <c r="AA455" s="552"/>
      <c r="AB455" s="552"/>
      <c r="AC455" s="552"/>
    </row>
    <row r="456" spans="1:68" x14ac:dyDescent="0.2">
      <c r="A456" s="563"/>
      <c r="B456" s="563"/>
      <c r="C456" s="563"/>
      <c r="D456" s="563"/>
      <c r="E456" s="563"/>
      <c r="F456" s="563"/>
      <c r="G456" s="563"/>
      <c r="H456" s="563"/>
      <c r="I456" s="563"/>
      <c r="J456" s="563"/>
      <c r="K456" s="563"/>
      <c r="L456" s="563"/>
      <c r="M456" s="563"/>
      <c r="N456" s="563"/>
      <c r="O456" s="564"/>
      <c r="P456" s="558" t="s">
        <v>75</v>
      </c>
      <c r="Q456" s="554"/>
      <c r="R456" s="554"/>
      <c r="S456" s="554"/>
      <c r="T456" s="554"/>
      <c r="U456" s="554"/>
      <c r="V456" s="555"/>
      <c r="W456" s="37" t="s">
        <v>69</v>
      </c>
      <c r="X456" s="551">
        <f>IFERROR(SUM(X449:X454),"0")</f>
        <v>0</v>
      </c>
      <c r="Y456" s="551">
        <f>IFERROR(SUM(Y449:Y454),"0")</f>
        <v>0</v>
      </c>
      <c r="Z456" s="37"/>
      <c r="AA456" s="552"/>
      <c r="AB456" s="552"/>
      <c r="AC456" s="552"/>
    </row>
    <row r="457" spans="1:68" ht="14.25" customHeight="1" x14ac:dyDescent="0.25">
      <c r="A457" s="575" t="s">
        <v>77</v>
      </c>
      <c r="B457" s="563"/>
      <c r="C457" s="563"/>
      <c r="D457" s="563"/>
      <c r="E457" s="563"/>
      <c r="F457" s="563"/>
      <c r="G457" s="563"/>
      <c r="H457" s="563"/>
      <c r="I457" s="563"/>
      <c r="J457" s="563"/>
      <c r="K457" s="563"/>
      <c r="L457" s="563"/>
      <c r="M457" s="563"/>
      <c r="N457" s="563"/>
      <c r="O457" s="563"/>
      <c r="P457" s="563"/>
      <c r="Q457" s="563"/>
      <c r="R457" s="563"/>
      <c r="S457" s="563"/>
      <c r="T457" s="563"/>
      <c r="U457" s="563"/>
      <c r="V457" s="563"/>
      <c r="W457" s="563"/>
      <c r="X457" s="563"/>
      <c r="Y457" s="563"/>
      <c r="Z457" s="563"/>
      <c r="AA457" s="545"/>
      <c r="AB457" s="545"/>
      <c r="AC457" s="545"/>
    </row>
    <row r="458" spans="1:68" ht="27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84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0"/>
      <c r="R458" s="560"/>
      <c r="S458" s="560"/>
      <c r="T458" s="561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2"/>
      <c r="B459" s="563"/>
      <c r="C459" s="563"/>
      <c r="D459" s="563"/>
      <c r="E459" s="563"/>
      <c r="F459" s="563"/>
      <c r="G459" s="563"/>
      <c r="H459" s="563"/>
      <c r="I459" s="563"/>
      <c r="J459" s="563"/>
      <c r="K459" s="563"/>
      <c r="L459" s="563"/>
      <c r="M459" s="563"/>
      <c r="N459" s="563"/>
      <c r="O459" s="564"/>
      <c r="P459" s="558" t="s">
        <v>75</v>
      </c>
      <c r="Q459" s="554"/>
      <c r="R459" s="554"/>
      <c r="S459" s="554"/>
      <c r="T459" s="554"/>
      <c r="U459" s="554"/>
      <c r="V459" s="555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3"/>
      <c r="B460" s="563"/>
      <c r="C460" s="563"/>
      <c r="D460" s="563"/>
      <c r="E460" s="563"/>
      <c r="F460" s="563"/>
      <c r="G460" s="563"/>
      <c r="H460" s="563"/>
      <c r="I460" s="563"/>
      <c r="J460" s="563"/>
      <c r="K460" s="563"/>
      <c r="L460" s="563"/>
      <c r="M460" s="563"/>
      <c r="N460" s="563"/>
      <c r="O460" s="564"/>
      <c r="P460" s="558" t="s">
        <v>75</v>
      </c>
      <c r="Q460" s="554"/>
      <c r="R460" s="554"/>
      <c r="S460" s="554"/>
      <c r="T460" s="554"/>
      <c r="U460" s="554"/>
      <c r="V460" s="555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601" t="s">
        <v>713</v>
      </c>
      <c r="B461" s="602"/>
      <c r="C461" s="602"/>
      <c r="D461" s="602"/>
      <c r="E461" s="602"/>
      <c r="F461" s="602"/>
      <c r="G461" s="602"/>
      <c r="H461" s="602"/>
      <c r="I461" s="602"/>
      <c r="J461" s="602"/>
      <c r="K461" s="602"/>
      <c r="L461" s="602"/>
      <c r="M461" s="602"/>
      <c r="N461" s="602"/>
      <c r="O461" s="602"/>
      <c r="P461" s="602"/>
      <c r="Q461" s="602"/>
      <c r="R461" s="602"/>
      <c r="S461" s="602"/>
      <c r="T461" s="602"/>
      <c r="U461" s="602"/>
      <c r="V461" s="602"/>
      <c r="W461" s="602"/>
      <c r="X461" s="602"/>
      <c r="Y461" s="602"/>
      <c r="Z461" s="602"/>
      <c r="AA461" s="48"/>
      <c r="AB461" s="48"/>
      <c r="AC461" s="48"/>
    </row>
    <row r="462" spans="1:68" ht="16.5" customHeight="1" x14ac:dyDescent="0.25">
      <c r="A462" s="572" t="s">
        <v>713</v>
      </c>
      <c r="B462" s="563"/>
      <c r="C462" s="563"/>
      <c r="D462" s="563"/>
      <c r="E462" s="563"/>
      <c r="F462" s="563"/>
      <c r="G462" s="563"/>
      <c r="H462" s="563"/>
      <c r="I462" s="563"/>
      <c r="J462" s="563"/>
      <c r="K462" s="563"/>
      <c r="L462" s="563"/>
      <c r="M462" s="563"/>
      <c r="N462" s="563"/>
      <c r="O462" s="563"/>
      <c r="P462" s="563"/>
      <c r="Q462" s="563"/>
      <c r="R462" s="563"/>
      <c r="S462" s="563"/>
      <c r="T462" s="563"/>
      <c r="U462" s="563"/>
      <c r="V462" s="563"/>
      <c r="W462" s="563"/>
      <c r="X462" s="563"/>
      <c r="Y462" s="563"/>
      <c r="Z462" s="563"/>
      <c r="AA462" s="544"/>
      <c r="AB462" s="544"/>
      <c r="AC462" s="544"/>
    </row>
    <row r="463" spans="1:68" ht="14.25" customHeight="1" x14ac:dyDescent="0.25">
      <c r="A463" s="575" t="s">
        <v>99</v>
      </c>
      <c r="B463" s="563"/>
      <c r="C463" s="563"/>
      <c r="D463" s="563"/>
      <c r="E463" s="563"/>
      <c r="F463" s="563"/>
      <c r="G463" s="563"/>
      <c r="H463" s="563"/>
      <c r="I463" s="563"/>
      <c r="J463" s="563"/>
      <c r="K463" s="563"/>
      <c r="L463" s="563"/>
      <c r="M463" s="563"/>
      <c r="N463" s="563"/>
      <c r="O463" s="563"/>
      <c r="P463" s="563"/>
      <c r="Q463" s="563"/>
      <c r="R463" s="563"/>
      <c r="S463" s="563"/>
      <c r="T463" s="563"/>
      <c r="U463" s="563"/>
      <c r="V463" s="563"/>
      <c r="W463" s="563"/>
      <c r="X463" s="563"/>
      <c r="Y463" s="563"/>
      <c r="Z463" s="563"/>
      <c r="AA463" s="545"/>
      <c r="AB463" s="545"/>
      <c r="AC463" s="545"/>
    </row>
    <row r="464" spans="1:68" ht="27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88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0"/>
      <c r="R464" s="560"/>
      <c r="S464" s="560"/>
      <c r="T464" s="561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65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0"/>
      <c r="R465" s="560"/>
      <c r="S465" s="560"/>
      <c r="T465" s="561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 t="s">
        <v>103</v>
      </c>
      <c r="M466" s="33" t="s">
        <v>104</v>
      </c>
      <c r="N466" s="33"/>
      <c r="O466" s="32">
        <v>50</v>
      </c>
      <c r="P466" s="8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 t="s">
        <v>106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76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2"/>
      <c r="B468" s="563"/>
      <c r="C468" s="563"/>
      <c r="D468" s="563"/>
      <c r="E468" s="563"/>
      <c r="F468" s="563"/>
      <c r="G468" s="563"/>
      <c r="H468" s="563"/>
      <c r="I468" s="563"/>
      <c r="J468" s="563"/>
      <c r="K468" s="563"/>
      <c r="L468" s="563"/>
      <c r="M468" s="563"/>
      <c r="N468" s="563"/>
      <c r="O468" s="564"/>
      <c r="P468" s="558" t="s">
        <v>75</v>
      </c>
      <c r="Q468" s="554"/>
      <c r="R468" s="554"/>
      <c r="S468" s="554"/>
      <c r="T468" s="554"/>
      <c r="U468" s="554"/>
      <c r="V468" s="555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3"/>
      <c r="B469" s="563"/>
      <c r="C469" s="563"/>
      <c r="D469" s="563"/>
      <c r="E469" s="563"/>
      <c r="F469" s="563"/>
      <c r="G469" s="563"/>
      <c r="H469" s="563"/>
      <c r="I469" s="563"/>
      <c r="J469" s="563"/>
      <c r="K469" s="563"/>
      <c r="L469" s="563"/>
      <c r="M469" s="563"/>
      <c r="N469" s="563"/>
      <c r="O469" s="564"/>
      <c r="P469" s="558" t="s">
        <v>75</v>
      </c>
      <c r="Q469" s="554"/>
      <c r="R469" s="554"/>
      <c r="S469" s="554"/>
      <c r="T469" s="554"/>
      <c r="U469" s="554"/>
      <c r="V469" s="555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75" t="s">
        <v>135</v>
      </c>
      <c r="B470" s="563"/>
      <c r="C470" s="563"/>
      <c r="D470" s="563"/>
      <c r="E470" s="563"/>
      <c r="F470" s="563"/>
      <c r="G470" s="563"/>
      <c r="H470" s="563"/>
      <c r="I470" s="563"/>
      <c r="J470" s="563"/>
      <c r="K470" s="563"/>
      <c r="L470" s="563"/>
      <c r="M470" s="563"/>
      <c r="N470" s="563"/>
      <c r="O470" s="563"/>
      <c r="P470" s="563"/>
      <c r="Q470" s="563"/>
      <c r="R470" s="563"/>
      <c r="S470" s="563"/>
      <c r="T470" s="563"/>
      <c r="U470" s="563"/>
      <c r="V470" s="563"/>
      <c r="W470" s="563"/>
      <c r="X470" s="563"/>
      <c r="Y470" s="563"/>
      <c r="Z470" s="563"/>
      <c r="AA470" s="545"/>
      <c r="AB470" s="545"/>
      <c r="AC470" s="545"/>
    </row>
    <row r="471" spans="1:68" ht="27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81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0"/>
      <c r="R471" s="560"/>
      <c r="S471" s="560"/>
      <c r="T471" s="561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0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0"/>
      <c r="R472" s="560"/>
      <c r="S472" s="560"/>
      <c r="T472" s="561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2"/>
      <c r="B473" s="563"/>
      <c r="C473" s="563"/>
      <c r="D473" s="563"/>
      <c r="E473" s="563"/>
      <c r="F473" s="563"/>
      <c r="G473" s="563"/>
      <c r="H473" s="563"/>
      <c r="I473" s="563"/>
      <c r="J473" s="563"/>
      <c r="K473" s="563"/>
      <c r="L473" s="563"/>
      <c r="M473" s="563"/>
      <c r="N473" s="563"/>
      <c r="O473" s="564"/>
      <c r="P473" s="558" t="s">
        <v>75</v>
      </c>
      <c r="Q473" s="554"/>
      <c r="R473" s="554"/>
      <c r="S473" s="554"/>
      <c r="T473" s="554"/>
      <c r="U473" s="554"/>
      <c r="V473" s="555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3"/>
      <c r="B474" s="563"/>
      <c r="C474" s="563"/>
      <c r="D474" s="563"/>
      <c r="E474" s="563"/>
      <c r="F474" s="563"/>
      <c r="G474" s="563"/>
      <c r="H474" s="563"/>
      <c r="I474" s="563"/>
      <c r="J474" s="563"/>
      <c r="K474" s="563"/>
      <c r="L474" s="563"/>
      <c r="M474" s="563"/>
      <c r="N474" s="563"/>
      <c r="O474" s="564"/>
      <c r="P474" s="558" t="s">
        <v>75</v>
      </c>
      <c r="Q474" s="554"/>
      <c r="R474" s="554"/>
      <c r="S474" s="554"/>
      <c r="T474" s="554"/>
      <c r="U474" s="554"/>
      <c r="V474" s="555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75" t="s">
        <v>64</v>
      </c>
      <c r="B475" s="563"/>
      <c r="C475" s="563"/>
      <c r="D475" s="563"/>
      <c r="E475" s="563"/>
      <c r="F475" s="563"/>
      <c r="G475" s="563"/>
      <c r="H475" s="563"/>
      <c r="I475" s="563"/>
      <c r="J475" s="563"/>
      <c r="K475" s="563"/>
      <c r="L475" s="563"/>
      <c r="M475" s="563"/>
      <c r="N475" s="563"/>
      <c r="O475" s="563"/>
      <c r="P475" s="563"/>
      <c r="Q475" s="563"/>
      <c r="R475" s="563"/>
      <c r="S475" s="563"/>
      <c r="T475" s="563"/>
      <c r="U475" s="563"/>
      <c r="V475" s="563"/>
      <c r="W475" s="563"/>
      <c r="X475" s="563"/>
      <c r="Y475" s="563"/>
      <c r="Z475" s="563"/>
      <c r="AA475" s="545"/>
      <c r="AB475" s="545"/>
      <c r="AC475" s="545"/>
    </row>
    <row r="476" spans="1:68" ht="27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82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60"/>
      <c r="R476" s="560"/>
      <c r="S476" s="560"/>
      <c r="T476" s="561"/>
      <c r="U476" s="34"/>
      <c r="V476" s="34"/>
      <c r="W476" s="35" t="s">
        <v>69</v>
      </c>
      <c r="X476" s="549">
        <v>100</v>
      </c>
      <c r="Y476" s="550">
        <f>IFERROR(IF(X476="",0,CEILING((X476/$H476),1)*$H476),"")</f>
        <v>100.8</v>
      </c>
      <c r="Z476" s="36">
        <f>IFERROR(IF(Y476=0,"",ROUNDUP(Y476/H476,0)*0.00902),"")</f>
        <v>0.18942000000000001</v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105.20833333333334</v>
      </c>
      <c r="BN476" s="64">
        <f>IFERROR(Y476*I476/H476,"0")</f>
        <v>106.05</v>
      </c>
      <c r="BO476" s="64">
        <f>IFERROR(1/J476*(X476/H476),"0")</f>
        <v>0.15782828282828285</v>
      </c>
      <c r="BP476" s="64">
        <f>IFERROR(1/J476*(Y476/H476),"0")</f>
        <v>0.15909090909090909</v>
      </c>
    </row>
    <row r="477" spans="1:68" x14ac:dyDescent="0.2">
      <c r="A477" s="562"/>
      <c r="B477" s="563"/>
      <c r="C477" s="563"/>
      <c r="D477" s="563"/>
      <c r="E477" s="563"/>
      <c r="F477" s="563"/>
      <c r="G477" s="563"/>
      <c r="H477" s="563"/>
      <c r="I477" s="563"/>
      <c r="J477" s="563"/>
      <c r="K477" s="563"/>
      <c r="L477" s="563"/>
      <c r="M477" s="563"/>
      <c r="N477" s="563"/>
      <c r="O477" s="564"/>
      <c r="P477" s="558" t="s">
        <v>75</v>
      </c>
      <c r="Q477" s="554"/>
      <c r="R477" s="554"/>
      <c r="S477" s="554"/>
      <c r="T477" s="554"/>
      <c r="U477" s="554"/>
      <c r="V477" s="555"/>
      <c r="W477" s="37" t="s">
        <v>76</v>
      </c>
      <c r="X477" s="551">
        <f>IFERROR(X476/H476,"0")</f>
        <v>20.833333333333336</v>
      </c>
      <c r="Y477" s="551">
        <f>IFERROR(Y476/H476,"0")</f>
        <v>21</v>
      </c>
      <c r="Z477" s="551">
        <f>IFERROR(IF(Z476="",0,Z476),"0")</f>
        <v>0.18942000000000001</v>
      </c>
      <c r="AA477" s="552"/>
      <c r="AB477" s="552"/>
      <c r="AC477" s="552"/>
    </row>
    <row r="478" spans="1:68" x14ac:dyDescent="0.2">
      <c r="A478" s="563"/>
      <c r="B478" s="563"/>
      <c r="C478" s="563"/>
      <c r="D478" s="563"/>
      <c r="E478" s="563"/>
      <c r="F478" s="563"/>
      <c r="G478" s="563"/>
      <c r="H478" s="563"/>
      <c r="I478" s="563"/>
      <c r="J478" s="563"/>
      <c r="K478" s="563"/>
      <c r="L478" s="563"/>
      <c r="M478" s="563"/>
      <c r="N478" s="563"/>
      <c r="O478" s="564"/>
      <c r="P478" s="558" t="s">
        <v>75</v>
      </c>
      <c r="Q478" s="554"/>
      <c r="R478" s="554"/>
      <c r="S478" s="554"/>
      <c r="T478" s="554"/>
      <c r="U478" s="554"/>
      <c r="V478" s="555"/>
      <c r="W478" s="37" t="s">
        <v>69</v>
      </c>
      <c r="X478" s="551">
        <f>IFERROR(SUM(X476:X476),"0")</f>
        <v>100</v>
      </c>
      <c r="Y478" s="551">
        <f>IFERROR(SUM(Y476:Y476),"0")</f>
        <v>100.8</v>
      </c>
      <c r="Z478" s="37"/>
      <c r="AA478" s="552"/>
      <c r="AB478" s="552"/>
      <c r="AC478" s="552"/>
    </row>
    <row r="479" spans="1:68" ht="14.25" customHeight="1" x14ac:dyDescent="0.25">
      <c r="A479" s="575" t="s">
        <v>77</v>
      </c>
      <c r="B479" s="563"/>
      <c r="C479" s="563"/>
      <c r="D479" s="563"/>
      <c r="E479" s="563"/>
      <c r="F479" s="563"/>
      <c r="G479" s="563"/>
      <c r="H479" s="563"/>
      <c r="I479" s="563"/>
      <c r="J479" s="563"/>
      <c r="K479" s="563"/>
      <c r="L479" s="563"/>
      <c r="M479" s="563"/>
      <c r="N479" s="563"/>
      <c r="O479" s="563"/>
      <c r="P479" s="563"/>
      <c r="Q479" s="563"/>
      <c r="R479" s="563"/>
      <c r="S479" s="563"/>
      <c r="T479" s="563"/>
      <c r="U479" s="563"/>
      <c r="V479" s="563"/>
      <c r="W479" s="563"/>
      <c r="X479" s="563"/>
      <c r="Y479" s="563"/>
      <c r="Z479" s="563"/>
      <c r="AA479" s="545"/>
      <c r="AB479" s="545"/>
      <c r="AC479" s="545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76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0"/>
      <c r="R480" s="560"/>
      <c r="S480" s="560"/>
      <c r="T480" s="561"/>
      <c r="U480" s="34"/>
      <c r="V480" s="34"/>
      <c r="W480" s="35" t="s">
        <v>69</v>
      </c>
      <c r="X480" s="549">
        <v>1000</v>
      </c>
      <c r="Y480" s="550">
        <f>IFERROR(IF(X480="",0,CEILING((X480/$H480),1)*$H480),"")</f>
        <v>1008</v>
      </c>
      <c r="Z480" s="36">
        <f>IFERROR(IF(Y480=0,"",ROUNDUP(Y480/H480,0)*0.01898),"")</f>
        <v>2.1257600000000001</v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1054.8888888888889</v>
      </c>
      <c r="BN480" s="64">
        <f>IFERROR(Y480*I480/H480,"0")</f>
        <v>1063.328</v>
      </c>
      <c r="BO480" s="64">
        <f>IFERROR(1/J480*(X480/H480),"0")</f>
        <v>1.7361111111111112</v>
      </c>
      <c r="BP480" s="64">
        <f>IFERROR(1/J480*(Y480/H480),"0")</f>
        <v>1.75</v>
      </c>
    </row>
    <row r="481" spans="1:68" x14ac:dyDescent="0.2">
      <c r="A481" s="562"/>
      <c r="B481" s="563"/>
      <c r="C481" s="563"/>
      <c r="D481" s="563"/>
      <c r="E481" s="563"/>
      <c r="F481" s="563"/>
      <c r="G481" s="563"/>
      <c r="H481" s="563"/>
      <c r="I481" s="563"/>
      <c r="J481" s="563"/>
      <c r="K481" s="563"/>
      <c r="L481" s="563"/>
      <c r="M481" s="563"/>
      <c r="N481" s="563"/>
      <c r="O481" s="564"/>
      <c r="P481" s="558" t="s">
        <v>75</v>
      </c>
      <c r="Q481" s="554"/>
      <c r="R481" s="554"/>
      <c r="S481" s="554"/>
      <c r="T481" s="554"/>
      <c r="U481" s="554"/>
      <c r="V481" s="555"/>
      <c r="W481" s="37" t="s">
        <v>76</v>
      </c>
      <c r="X481" s="551">
        <f>IFERROR(X480/H480,"0")</f>
        <v>111.11111111111111</v>
      </c>
      <c r="Y481" s="551">
        <f>IFERROR(Y480/H480,"0")</f>
        <v>112</v>
      </c>
      <c r="Z481" s="551">
        <f>IFERROR(IF(Z480="",0,Z480),"0")</f>
        <v>2.1257600000000001</v>
      </c>
      <c r="AA481" s="552"/>
      <c r="AB481" s="552"/>
      <c r="AC481" s="552"/>
    </row>
    <row r="482" spans="1:68" x14ac:dyDescent="0.2">
      <c r="A482" s="563"/>
      <c r="B482" s="563"/>
      <c r="C482" s="563"/>
      <c r="D482" s="563"/>
      <c r="E482" s="563"/>
      <c r="F482" s="563"/>
      <c r="G482" s="563"/>
      <c r="H482" s="563"/>
      <c r="I482" s="563"/>
      <c r="J482" s="563"/>
      <c r="K482" s="563"/>
      <c r="L482" s="563"/>
      <c r="M482" s="563"/>
      <c r="N482" s="563"/>
      <c r="O482" s="564"/>
      <c r="P482" s="558" t="s">
        <v>75</v>
      </c>
      <c r="Q482" s="554"/>
      <c r="R482" s="554"/>
      <c r="S482" s="554"/>
      <c r="T482" s="554"/>
      <c r="U482" s="554"/>
      <c r="V482" s="555"/>
      <c r="W482" s="37" t="s">
        <v>69</v>
      </c>
      <c r="X482" s="551">
        <f>IFERROR(SUM(X480:X480),"0")</f>
        <v>1000</v>
      </c>
      <c r="Y482" s="551">
        <f>IFERROR(SUM(Y480:Y480),"0")</f>
        <v>1008</v>
      </c>
      <c r="Z482" s="37"/>
      <c r="AA482" s="552"/>
      <c r="AB482" s="552"/>
      <c r="AC482" s="552"/>
    </row>
    <row r="483" spans="1:68" ht="14.25" customHeight="1" x14ac:dyDescent="0.25">
      <c r="A483" s="575" t="s">
        <v>160</v>
      </c>
      <c r="B483" s="563"/>
      <c r="C483" s="563"/>
      <c r="D483" s="563"/>
      <c r="E483" s="563"/>
      <c r="F483" s="563"/>
      <c r="G483" s="563"/>
      <c r="H483" s="563"/>
      <c r="I483" s="563"/>
      <c r="J483" s="563"/>
      <c r="K483" s="563"/>
      <c r="L483" s="563"/>
      <c r="M483" s="563"/>
      <c r="N483" s="563"/>
      <c r="O483" s="563"/>
      <c r="P483" s="563"/>
      <c r="Q483" s="563"/>
      <c r="R483" s="563"/>
      <c r="S483" s="563"/>
      <c r="T483" s="563"/>
      <c r="U483" s="563"/>
      <c r="V483" s="563"/>
      <c r="W483" s="563"/>
      <c r="X483" s="563"/>
      <c r="Y483" s="563"/>
      <c r="Z483" s="563"/>
      <c r="AA483" s="545"/>
      <c r="AB483" s="545"/>
      <c r="AC483" s="545"/>
    </row>
    <row r="484" spans="1:68" ht="27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59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0"/>
      <c r="R484" s="560"/>
      <c r="S484" s="560"/>
      <c r="T484" s="561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69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0"/>
      <c r="R485" s="560"/>
      <c r="S485" s="560"/>
      <c r="T485" s="561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2"/>
      <c r="B486" s="563"/>
      <c r="C486" s="563"/>
      <c r="D486" s="563"/>
      <c r="E486" s="563"/>
      <c r="F486" s="563"/>
      <c r="G486" s="563"/>
      <c r="H486" s="563"/>
      <c r="I486" s="563"/>
      <c r="J486" s="563"/>
      <c r="K486" s="563"/>
      <c r="L486" s="563"/>
      <c r="M486" s="563"/>
      <c r="N486" s="563"/>
      <c r="O486" s="564"/>
      <c r="P486" s="558" t="s">
        <v>75</v>
      </c>
      <c r="Q486" s="554"/>
      <c r="R486" s="554"/>
      <c r="S486" s="554"/>
      <c r="T486" s="554"/>
      <c r="U486" s="554"/>
      <c r="V486" s="555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3"/>
      <c r="B487" s="563"/>
      <c r="C487" s="563"/>
      <c r="D487" s="563"/>
      <c r="E487" s="563"/>
      <c r="F487" s="563"/>
      <c r="G487" s="563"/>
      <c r="H487" s="563"/>
      <c r="I487" s="563"/>
      <c r="J487" s="563"/>
      <c r="K487" s="563"/>
      <c r="L487" s="563"/>
      <c r="M487" s="563"/>
      <c r="N487" s="563"/>
      <c r="O487" s="564"/>
      <c r="P487" s="558" t="s">
        <v>75</v>
      </c>
      <c r="Q487" s="554"/>
      <c r="R487" s="554"/>
      <c r="S487" s="554"/>
      <c r="T487" s="554"/>
      <c r="U487" s="554"/>
      <c r="V487" s="555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72" t="s">
        <v>743</v>
      </c>
      <c r="B488" s="563"/>
      <c r="C488" s="563"/>
      <c r="D488" s="563"/>
      <c r="E488" s="563"/>
      <c r="F488" s="563"/>
      <c r="G488" s="563"/>
      <c r="H488" s="563"/>
      <c r="I488" s="563"/>
      <c r="J488" s="563"/>
      <c r="K488" s="563"/>
      <c r="L488" s="563"/>
      <c r="M488" s="563"/>
      <c r="N488" s="563"/>
      <c r="O488" s="563"/>
      <c r="P488" s="563"/>
      <c r="Q488" s="563"/>
      <c r="R488" s="563"/>
      <c r="S488" s="563"/>
      <c r="T488" s="563"/>
      <c r="U488" s="563"/>
      <c r="V488" s="563"/>
      <c r="W488" s="563"/>
      <c r="X488" s="563"/>
      <c r="Y488" s="563"/>
      <c r="Z488" s="563"/>
      <c r="AA488" s="544"/>
      <c r="AB488" s="544"/>
      <c r="AC488" s="544"/>
    </row>
    <row r="489" spans="1:68" ht="14.25" customHeight="1" x14ac:dyDescent="0.25">
      <c r="A489" s="575" t="s">
        <v>135</v>
      </c>
      <c r="B489" s="563"/>
      <c r="C489" s="563"/>
      <c r="D489" s="563"/>
      <c r="E489" s="563"/>
      <c r="F489" s="563"/>
      <c r="G489" s="563"/>
      <c r="H489" s="563"/>
      <c r="I489" s="563"/>
      <c r="J489" s="563"/>
      <c r="K489" s="563"/>
      <c r="L489" s="563"/>
      <c r="M489" s="563"/>
      <c r="N489" s="563"/>
      <c r="O489" s="563"/>
      <c r="P489" s="563"/>
      <c r="Q489" s="563"/>
      <c r="R489" s="563"/>
      <c r="S489" s="563"/>
      <c r="T489" s="563"/>
      <c r="U489" s="563"/>
      <c r="V489" s="563"/>
      <c r="W489" s="563"/>
      <c r="X489" s="563"/>
      <c r="Y489" s="563"/>
      <c r="Z489" s="563"/>
      <c r="AA489" s="545"/>
      <c r="AB489" s="545"/>
      <c r="AC489" s="545"/>
    </row>
    <row r="490" spans="1:68" ht="27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6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0"/>
      <c r="R490" s="560"/>
      <c r="S490" s="560"/>
      <c r="T490" s="561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2"/>
      <c r="B491" s="563"/>
      <c r="C491" s="563"/>
      <c r="D491" s="563"/>
      <c r="E491" s="563"/>
      <c r="F491" s="563"/>
      <c r="G491" s="563"/>
      <c r="H491" s="563"/>
      <c r="I491" s="563"/>
      <c r="J491" s="563"/>
      <c r="K491" s="563"/>
      <c r="L491" s="563"/>
      <c r="M491" s="563"/>
      <c r="N491" s="563"/>
      <c r="O491" s="564"/>
      <c r="P491" s="558" t="s">
        <v>75</v>
      </c>
      <c r="Q491" s="554"/>
      <c r="R491" s="554"/>
      <c r="S491" s="554"/>
      <c r="T491" s="554"/>
      <c r="U491" s="554"/>
      <c r="V491" s="555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3"/>
      <c r="B492" s="563"/>
      <c r="C492" s="563"/>
      <c r="D492" s="563"/>
      <c r="E492" s="563"/>
      <c r="F492" s="563"/>
      <c r="G492" s="563"/>
      <c r="H492" s="563"/>
      <c r="I492" s="563"/>
      <c r="J492" s="563"/>
      <c r="K492" s="563"/>
      <c r="L492" s="563"/>
      <c r="M492" s="563"/>
      <c r="N492" s="563"/>
      <c r="O492" s="564"/>
      <c r="P492" s="558" t="s">
        <v>75</v>
      </c>
      <c r="Q492" s="554"/>
      <c r="R492" s="554"/>
      <c r="S492" s="554"/>
      <c r="T492" s="554"/>
      <c r="U492" s="554"/>
      <c r="V492" s="555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655"/>
      <c r="B493" s="563"/>
      <c r="C493" s="563"/>
      <c r="D493" s="563"/>
      <c r="E493" s="563"/>
      <c r="F493" s="563"/>
      <c r="G493" s="563"/>
      <c r="H493" s="563"/>
      <c r="I493" s="563"/>
      <c r="J493" s="563"/>
      <c r="K493" s="563"/>
      <c r="L493" s="563"/>
      <c r="M493" s="563"/>
      <c r="N493" s="563"/>
      <c r="O493" s="656"/>
      <c r="P493" s="569" t="s">
        <v>747</v>
      </c>
      <c r="Q493" s="570"/>
      <c r="R493" s="570"/>
      <c r="S493" s="570"/>
      <c r="T493" s="570"/>
      <c r="U493" s="570"/>
      <c r="V493" s="571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5710.1999999999989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5785.2</v>
      </c>
      <c r="Z493" s="37"/>
      <c r="AA493" s="552"/>
      <c r="AB493" s="552"/>
      <c r="AC493" s="552"/>
    </row>
    <row r="494" spans="1:68" x14ac:dyDescent="0.2">
      <c r="A494" s="563"/>
      <c r="B494" s="563"/>
      <c r="C494" s="563"/>
      <c r="D494" s="563"/>
      <c r="E494" s="563"/>
      <c r="F494" s="563"/>
      <c r="G494" s="563"/>
      <c r="H494" s="563"/>
      <c r="I494" s="563"/>
      <c r="J494" s="563"/>
      <c r="K494" s="563"/>
      <c r="L494" s="563"/>
      <c r="M494" s="563"/>
      <c r="N494" s="563"/>
      <c r="O494" s="656"/>
      <c r="P494" s="569" t="s">
        <v>748</v>
      </c>
      <c r="Q494" s="570"/>
      <c r="R494" s="570"/>
      <c r="S494" s="570"/>
      <c r="T494" s="570"/>
      <c r="U494" s="570"/>
      <c r="V494" s="571"/>
      <c r="W494" s="37" t="s">
        <v>69</v>
      </c>
      <c r="X494" s="551">
        <f>IFERROR(SUM(BM22:BM490),"0")</f>
        <v>6020.1037386453463</v>
      </c>
      <c r="Y494" s="551">
        <f>IFERROR(SUM(BN22:BN490),"0")</f>
        <v>6098.6399999999994</v>
      </c>
      <c r="Z494" s="37"/>
      <c r="AA494" s="552"/>
      <c r="AB494" s="552"/>
      <c r="AC494" s="552"/>
    </row>
    <row r="495" spans="1:68" x14ac:dyDescent="0.2">
      <c r="A495" s="563"/>
      <c r="B495" s="563"/>
      <c r="C495" s="563"/>
      <c r="D495" s="563"/>
      <c r="E495" s="563"/>
      <c r="F495" s="563"/>
      <c r="G495" s="563"/>
      <c r="H495" s="563"/>
      <c r="I495" s="563"/>
      <c r="J495" s="563"/>
      <c r="K495" s="563"/>
      <c r="L495" s="563"/>
      <c r="M495" s="563"/>
      <c r="N495" s="563"/>
      <c r="O495" s="656"/>
      <c r="P495" s="569" t="s">
        <v>749</v>
      </c>
      <c r="Q495" s="570"/>
      <c r="R495" s="570"/>
      <c r="S495" s="570"/>
      <c r="T495" s="570"/>
      <c r="U495" s="570"/>
      <c r="V495" s="571"/>
      <c r="W495" s="37" t="s">
        <v>750</v>
      </c>
      <c r="X495" s="38">
        <f>ROUNDUP(SUM(BO22:BO490),0)</f>
        <v>10</v>
      </c>
      <c r="Y495" s="38">
        <f>ROUNDUP(SUM(BP22:BP490),0)</f>
        <v>10</v>
      </c>
      <c r="Z495" s="37"/>
      <c r="AA495" s="552"/>
      <c r="AB495" s="552"/>
      <c r="AC495" s="552"/>
    </row>
    <row r="496" spans="1:68" x14ac:dyDescent="0.2">
      <c r="A496" s="563"/>
      <c r="B496" s="563"/>
      <c r="C496" s="563"/>
      <c r="D496" s="563"/>
      <c r="E496" s="563"/>
      <c r="F496" s="563"/>
      <c r="G496" s="563"/>
      <c r="H496" s="563"/>
      <c r="I496" s="563"/>
      <c r="J496" s="563"/>
      <c r="K496" s="563"/>
      <c r="L496" s="563"/>
      <c r="M496" s="563"/>
      <c r="N496" s="563"/>
      <c r="O496" s="656"/>
      <c r="P496" s="569" t="s">
        <v>751</v>
      </c>
      <c r="Q496" s="570"/>
      <c r="R496" s="570"/>
      <c r="S496" s="570"/>
      <c r="T496" s="570"/>
      <c r="U496" s="570"/>
      <c r="V496" s="571"/>
      <c r="W496" s="37" t="s">
        <v>69</v>
      </c>
      <c r="X496" s="551">
        <f>GrossWeightTotal+PalletQtyTotal*25</f>
        <v>6270.1037386453463</v>
      </c>
      <c r="Y496" s="551">
        <f>GrossWeightTotalR+PalletQtyTotalR*25</f>
        <v>6348.6399999999994</v>
      </c>
      <c r="Z496" s="37"/>
      <c r="AA496" s="552"/>
      <c r="AB496" s="552"/>
      <c r="AC496" s="552"/>
    </row>
    <row r="497" spans="1:32" x14ac:dyDescent="0.2">
      <c r="A497" s="563"/>
      <c r="B497" s="563"/>
      <c r="C497" s="563"/>
      <c r="D497" s="563"/>
      <c r="E497" s="563"/>
      <c r="F497" s="563"/>
      <c r="G497" s="563"/>
      <c r="H497" s="563"/>
      <c r="I497" s="563"/>
      <c r="J497" s="563"/>
      <c r="K497" s="563"/>
      <c r="L497" s="563"/>
      <c r="M497" s="563"/>
      <c r="N497" s="563"/>
      <c r="O497" s="656"/>
      <c r="P497" s="569" t="s">
        <v>752</v>
      </c>
      <c r="Q497" s="570"/>
      <c r="R497" s="570"/>
      <c r="S497" s="570"/>
      <c r="T497" s="570"/>
      <c r="U497" s="570"/>
      <c r="V497" s="571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926.55073449326323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936</v>
      </c>
      <c r="Z497" s="37"/>
      <c r="AA497" s="552"/>
      <c r="AB497" s="552"/>
      <c r="AC497" s="552"/>
    </row>
    <row r="498" spans="1:32" ht="14.25" customHeight="1" x14ac:dyDescent="0.2">
      <c r="A498" s="563"/>
      <c r="B498" s="563"/>
      <c r="C498" s="563"/>
      <c r="D498" s="563"/>
      <c r="E498" s="563"/>
      <c r="F498" s="563"/>
      <c r="G498" s="563"/>
      <c r="H498" s="563"/>
      <c r="I498" s="563"/>
      <c r="J498" s="563"/>
      <c r="K498" s="563"/>
      <c r="L498" s="563"/>
      <c r="M498" s="563"/>
      <c r="N498" s="563"/>
      <c r="O498" s="656"/>
      <c r="P498" s="569" t="s">
        <v>753</v>
      </c>
      <c r="Q498" s="570"/>
      <c r="R498" s="570"/>
      <c r="S498" s="570"/>
      <c r="T498" s="570"/>
      <c r="U498" s="570"/>
      <c r="V498" s="571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11.27172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66" t="s">
        <v>97</v>
      </c>
      <c r="D500" s="639"/>
      <c r="E500" s="639"/>
      <c r="F500" s="639"/>
      <c r="G500" s="639"/>
      <c r="H500" s="640"/>
      <c r="I500" s="566" t="s">
        <v>266</v>
      </c>
      <c r="J500" s="639"/>
      <c r="K500" s="639"/>
      <c r="L500" s="639"/>
      <c r="M500" s="639"/>
      <c r="N500" s="639"/>
      <c r="O500" s="639"/>
      <c r="P500" s="639"/>
      <c r="Q500" s="639"/>
      <c r="R500" s="640"/>
      <c r="S500" s="566" t="s">
        <v>553</v>
      </c>
      <c r="T500" s="640"/>
      <c r="U500" s="566" t="s">
        <v>607</v>
      </c>
      <c r="V500" s="639"/>
      <c r="W500" s="640"/>
      <c r="X500" s="546" t="s">
        <v>658</v>
      </c>
      <c r="Y500" s="566" t="s">
        <v>713</v>
      </c>
      <c r="Z500" s="640"/>
      <c r="AB500" s="52"/>
      <c r="AC500" s="52"/>
      <c r="AF500" s="547"/>
    </row>
    <row r="501" spans="1:32" ht="14.25" customHeight="1" thickTop="1" x14ac:dyDescent="0.2">
      <c r="A501" s="707" t="s">
        <v>756</v>
      </c>
      <c r="B501" s="566" t="s">
        <v>63</v>
      </c>
      <c r="C501" s="566" t="s">
        <v>98</v>
      </c>
      <c r="D501" s="566" t="s">
        <v>116</v>
      </c>
      <c r="E501" s="566" t="s">
        <v>167</v>
      </c>
      <c r="F501" s="566" t="s">
        <v>190</v>
      </c>
      <c r="G501" s="566" t="s">
        <v>227</v>
      </c>
      <c r="H501" s="566" t="s">
        <v>97</v>
      </c>
      <c r="I501" s="566" t="s">
        <v>267</v>
      </c>
      <c r="J501" s="566" t="s">
        <v>322</v>
      </c>
      <c r="K501" s="566" t="s">
        <v>382</v>
      </c>
      <c r="L501" s="566" t="s">
        <v>423</v>
      </c>
      <c r="M501" s="566" t="s">
        <v>439</v>
      </c>
      <c r="N501" s="547"/>
      <c r="O501" s="566" t="s">
        <v>450</v>
      </c>
      <c r="P501" s="566" t="s">
        <v>459</v>
      </c>
      <c r="Q501" s="566" t="s">
        <v>472</v>
      </c>
      <c r="R501" s="566" t="s">
        <v>543</v>
      </c>
      <c r="S501" s="566" t="s">
        <v>554</v>
      </c>
      <c r="T501" s="566" t="s">
        <v>589</v>
      </c>
      <c r="U501" s="566" t="s">
        <v>608</v>
      </c>
      <c r="V501" s="566" t="s">
        <v>639</v>
      </c>
      <c r="W501" s="566" t="s">
        <v>654</v>
      </c>
      <c r="X501" s="566" t="s">
        <v>658</v>
      </c>
      <c r="Y501" s="566" t="s">
        <v>713</v>
      </c>
      <c r="Z501" s="566" t="s">
        <v>743</v>
      </c>
      <c r="AB501" s="52"/>
      <c r="AC501" s="52"/>
      <c r="AF501" s="547"/>
    </row>
    <row r="502" spans="1:32" ht="13.5" customHeight="1" thickBot="1" x14ac:dyDescent="0.25">
      <c r="A502" s="708"/>
      <c r="B502" s="567"/>
      <c r="C502" s="567"/>
      <c r="D502" s="567"/>
      <c r="E502" s="567"/>
      <c r="F502" s="567"/>
      <c r="G502" s="567"/>
      <c r="H502" s="567"/>
      <c r="I502" s="567"/>
      <c r="J502" s="567"/>
      <c r="K502" s="567"/>
      <c r="L502" s="567"/>
      <c r="M502" s="567"/>
      <c r="N502" s="547"/>
      <c r="O502" s="567"/>
      <c r="P502" s="567"/>
      <c r="Q502" s="567"/>
      <c r="R502" s="567"/>
      <c r="S502" s="567"/>
      <c r="T502" s="567"/>
      <c r="U502" s="567"/>
      <c r="V502" s="567"/>
      <c r="W502" s="567"/>
      <c r="X502" s="567"/>
      <c r="Y502" s="567"/>
      <c r="Z502" s="567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54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32.400000000000006</v>
      </c>
      <c r="E503" s="46">
        <f>IFERROR(Y84*1,"0")+IFERROR(Y85*1,"0")+IFERROR(Y86*1,"0")+IFERROR(Y87*1,"0")+IFERROR(Y91*1,"0")+IFERROR(Y92*1,"0")+IFERROR(Y93*1,"0")+IFERROR(Y94*1,"0")</f>
        <v>283.5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64.800000000000011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172.20000000000002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1395.9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0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126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2478</v>
      </c>
      <c r="T503" s="46">
        <f>IFERROR(Y374*1,"0")+IFERROR(Y375*1,"0")+IFERROR(Y379*1,"0")+IFERROR(Y380*1,"0")+IFERROR(Y384*1,"0")+IFERROR(Y385*1,"0")+IFERROR(Y386*1,"0")</f>
        <v>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8.4</v>
      </c>
      <c r="V503" s="46">
        <f>IFERROR(Y410*1,"0")+IFERROR(Y414*1,"0")+IFERROR(Y415*1,"0")+IFERROR(Y416*1,"0")+IFERROR(Y417*1,"0")</f>
        <v>8.4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52.800000000000004</v>
      </c>
      <c r="Y503" s="46">
        <f>IFERROR(Y464*1,"0")+IFERROR(Y465*1,"0")+IFERROR(Y466*1,"0")+IFERROR(Y467*1,"0")+IFERROR(Y471*1,"0")+IFERROR(Y472*1,"0")+IFERROR(Y476*1,"0")+IFERROR(Y480*1,"0")+IFERROR(Y484*1,"0")+IFERROR(Y485*1,"0")</f>
        <v>1108.8</v>
      </c>
      <c r="Z503" s="46">
        <f>IFERROR(Y490*1,"0")</f>
        <v>0</v>
      </c>
      <c r="AB503" s="52"/>
      <c r="AC503" s="52"/>
      <c r="AF503" s="547"/>
    </row>
  </sheetData>
  <sheetProtection algorithmName="SHA-512" hashValue="v2rMXHL/2ZuKamCGJCa+68q3gKDPP4l4v0B7tU3rOx1ITrS9wu2bmlp998ntQEQQyQZx/JUqp0mMOnSShSVGbg==" saltValue="IDzWWaXZlbQzrCieMrvht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P443:T443"/>
    <mergeCell ref="P166:T166"/>
    <mergeCell ref="P464:T464"/>
    <mergeCell ref="D147:E147"/>
    <mergeCell ref="D445:E445"/>
    <mergeCell ref="D274:E274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  <mergeCell ref="P86:T86"/>
    <mergeCell ref="P328:T328"/>
    <mergeCell ref="P384:T384"/>
    <mergeCell ref="D78:E78"/>
    <mergeCell ref="A378:Z378"/>
    <mergeCell ref="D205:E205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229:V229"/>
    <mergeCell ref="A282:O283"/>
    <mergeCell ref="P152:T152"/>
    <mergeCell ref="D73:E73"/>
    <mergeCell ref="P30:T30"/>
    <mergeCell ref="V10:W1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P79:T79"/>
    <mergeCell ref="D60:E60"/>
    <mergeCell ref="P73:T73"/>
    <mergeCell ref="P437:T437"/>
    <mergeCell ref="P315:T315"/>
    <mergeCell ref="A361:O362"/>
    <mergeCell ref="A190:O191"/>
    <mergeCell ref="P458:T458"/>
    <mergeCell ref="A459:O460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D8:M8"/>
    <mergeCell ref="D300:E300"/>
    <mergeCell ref="P237:T237"/>
    <mergeCell ref="A226:Z226"/>
    <mergeCell ref="P329:T329"/>
    <mergeCell ref="P180:V180"/>
    <mergeCell ref="P251:V251"/>
    <mergeCell ref="A473:O474"/>
    <mergeCell ref="P209:T209"/>
    <mergeCell ref="P147:T147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A63:O64"/>
    <mergeCell ref="H1:Q1"/>
    <mergeCell ref="P345:V345"/>
    <mergeCell ref="P246:V246"/>
    <mergeCell ref="D28:E28"/>
    <mergeCell ref="P405:T405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34:T34"/>
    <mergeCell ref="P101:T101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D1:F1"/>
    <mergeCell ref="A313:Z313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A165:Z165"/>
    <mergeCell ref="A293:O294"/>
    <mergeCell ref="P112:V112"/>
    <mergeCell ref="D100:E100"/>
    <mergeCell ref="P17:T18"/>
    <mergeCell ref="A77:Z77"/>
    <mergeCell ref="P194:T194"/>
    <mergeCell ref="A180:O181"/>
    <mergeCell ref="P286:T286"/>
    <mergeCell ref="D301:E301"/>
    <mergeCell ref="D245:E245"/>
    <mergeCell ref="P116:T116"/>
    <mergeCell ref="P103:T103"/>
    <mergeCell ref="A26:Z26"/>
    <mergeCell ref="I17:I18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A38:Z38"/>
    <mergeCell ref="P46:T46"/>
    <mergeCell ref="D334:E334"/>
    <mergeCell ref="D329:E329"/>
    <mergeCell ref="D400:E400"/>
    <mergeCell ref="A423:O424"/>
    <mergeCell ref="D211:E211"/>
    <mergeCell ref="P168:T168"/>
    <mergeCell ref="P190:V190"/>
    <mergeCell ref="P131:T131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J9:M9"/>
    <mergeCell ref="A6:C6"/>
    <mergeCell ref="D309:E309"/>
    <mergeCell ref="P416:T416"/>
    <mergeCell ref="P167:T167"/>
    <mergeCell ref="P142:T142"/>
    <mergeCell ref="A161:Z161"/>
    <mergeCell ref="D148:E148"/>
    <mergeCell ref="P117:T117"/>
    <mergeCell ref="A324:O325"/>
    <mergeCell ref="D115:E115"/>
    <mergeCell ref="P55:T55"/>
    <mergeCell ref="P80:V80"/>
    <mergeCell ref="D74:E74"/>
    <mergeCell ref="P87:T87"/>
    <mergeCell ref="D335:E335"/>
    <mergeCell ref="A203:Z203"/>
    <mergeCell ref="P245:T245"/>
    <mergeCell ref="P322:T322"/>
    <mergeCell ref="P211:T211"/>
    <mergeCell ref="D399:E399"/>
    <mergeCell ref="D132:E132"/>
    <mergeCell ref="P309:T309"/>
    <mergeCell ref="D178:E178"/>
    <mergeCell ref="P225:V225"/>
    <mergeCell ref="A43:O44"/>
    <mergeCell ref="P133:V133"/>
    <mergeCell ref="P210:T210"/>
    <mergeCell ref="D398:E398"/>
    <mergeCell ref="D454:E454"/>
    <mergeCell ref="A267:O268"/>
    <mergeCell ref="P308:T308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P429:T429"/>
    <mergeCell ref="A111:O112"/>
    <mergeCell ref="D369:E369"/>
    <mergeCell ref="P223:T223"/>
    <mergeCell ref="P52:T52"/>
    <mergeCell ref="P350:T350"/>
    <mergeCell ref="P201:V201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9:E9"/>
    <mergeCell ref="F9:G9"/>
    <mergeCell ref="P353:T353"/>
    <mergeCell ref="P132:T132"/>
    <mergeCell ref="P367:V367"/>
    <mergeCell ref="A122:O123"/>
    <mergeCell ref="D52:E52"/>
    <mergeCell ref="D27:E27"/>
    <mergeCell ref="P15:T16"/>
    <mergeCell ref="P23:T23"/>
    <mergeCell ref="P272:T272"/>
    <mergeCell ref="D327:E327"/>
    <mergeCell ref="P280:T280"/>
    <mergeCell ref="Q12:R12"/>
    <mergeCell ref="P169:T169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A418:O419"/>
    <mergeCell ref="P186:V186"/>
    <mergeCell ref="A356:O357"/>
    <mergeCell ref="D169:E169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A275:O276"/>
    <mergeCell ref="P219:T219"/>
    <mergeCell ref="D162:E162"/>
    <mergeCell ref="P501:P502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P447:V447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M501:M502"/>
    <mergeCell ref="O501:O502"/>
    <mergeCell ref="P202:V202"/>
    <mergeCell ref="P380:T380"/>
    <mergeCell ref="Q501:Q50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D62:E62"/>
    <mergeCell ref="D51:E51"/>
    <mergeCell ref="P235:T235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A82:Z82"/>
    <mergeCell ref="D464:E464"/>
    <mergeCell ref="P440:V440"/>
    <mergeCell ref="P467:T467"/>
    <mergeCell ref="A68:O69"/>
    <mergeCell ref="P196:V196"/>
    <mergeCell ref="P139:V139"/>
    <mergeCell ref="P466:T466"/>
    <mergeCell ref="P428:T428"/>
    <mergeCell ref="P156:T156"/>
    <mergeCell ref="A80:O81"/>
    <mergeCell ref="P105:V105"/>
    <mergeCell ref="P366:V366"/>
    <mergeCell ref="C500:H500"/>
    <mergeCell ref="D56:E56"/>
    <mergeCell ref="P206:T206"/>
    <mergeCell ref="D127:E127"/>
    <mergeCell ref="P233:T233"/>
    <mergeCell ref="D176:E176"/>
    <mergeCell ref="D114:E114"/>
    <mergeCell ref="P143:T143"/>
    <mergeCell ref="P491:V491"/>
    <mergeCell ref="P480:T480"/>
    <mergeCell ref="D108:E108"/>
    <mergeCell ref="D375:E375"/>
    <mergeCell ref="P273:T273"/>
    <mergeCell ref="D443:E443"/>
    <mergeCell ref="P487:V487"/>
    <mergeCell ref="P266:T266"/>
    <mergeCell ref="A212:O213"/>
    <mergeCell ref="P236:T236"/>
    <mergeCell ref="D79:E79"/>
    <mergeCell ref="P92:T92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D204:E204"/>
    <mergeCell ref="D314:E314"/>
    <mergeCell ref="G17:G18"/>
    <mergeCell ref="P242:V242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P217:T217"/>
    <mergeCell ref="D465:E465"/>
    <mergeCell ref="P275:V275"/>
    <mergeCell ref="A252:Z252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Z17:Z18"/>
    <mergeCell ref="A90:Z90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Y500:Z500"/>
    <mergeCell ref="D385:E385"/>
    <mergeCell ref="P301:T301"/>
    <mergeCell ref="D257:E257"/>
    <mergeCell ref="D384:E384"/>
    <mergeCell ref="P341:T341"/>
    <mergeCell ref="A457:Z457"/>
    <mergeCell ref="A387:O388"/>
    <mergeCell ref="D364:E364"/>
    <mergeCell ref="D435:E435"/>
    <mergeCell ref="P274:T274"/>
    <mergeCell ref="D484:E484"/>
    <mergeCell ref="P314:T314"/>
    <mergeCell ref="D428:E428"/>
    <mergeCell ref="D415:E415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D149:E149"/>
    <mergeCell ref="P178:T178"/>
    <mergeCell ref="D86:E86"/>
    <mergeCell ref="D151:E151"/>
    <mergeCell ref="D199:E199"/>
    <mergeCell ref="P107:T107"/>
    <mergeCell ref="A128:O12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A155:Z155"/>
    <mergeCell ref="V6:W9"/>
    <mergeCell ref="P109:T109"/>
    <mergeCell ref="A59:Z59"/>
    <mergeCell ref="D217:E217"/>
    <mergeCell ref="P84:T84"/>
    <mergeCell ref="P222:T222"/>
    <mergeCell ref="P22:T22"/>
    <mergeCell ref="P40:T40"/>
    <mergeCell ref="A455:O456"/>
    <mergeCell ref="P257:T257"/>
    <mergeCell ref="A346:Z346"/>
    <mergeCell ref="P63:V63"/>
    <mergeCell ref="P415:T415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321:E321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P492:V492"/>
    <mergeCell ref="D449:E449"/>
    <mergeCell ref="D150:E150"/>
    <mergeCell ref="P129:V129"/>
    <mergeCell ref="P474:V474"/>
    <mergeCell ref="D194:E194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1 X78 X84 X87 X91 X93:X94 X99 X101:X102 X107 X110 X114 X116 X126:X127 X132 X166 X168 X170 X175 X177 X200 X204:X209 X211 X215:X218 X220:X223 X227:X228 X233 X262 X280:X281 X306 X309 X314 X321:X323 X329:X330 X334:X336 X341:X343 X349:X351 X359 X365 X374 X379 X384:X385 X392 X394 X399 X414 X428 X431:X432 X434 X439 X443 X445 X449:X451 X466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ystAj3ZPZw95NyCNy8IIF8ry1BBXUVd/ll00GZwHQavU784njnbjuru3mknXwPccDfCZkRpHH+IeWU+bKdx+QA==" saltValue="2Wk2SrSNgnCzVpSu7HP8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2026-01-21T07:46:50Z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