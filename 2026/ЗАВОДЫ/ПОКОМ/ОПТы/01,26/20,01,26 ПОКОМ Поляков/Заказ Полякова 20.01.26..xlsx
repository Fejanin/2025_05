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81DB23AB-A78C-4768-BF86-312BB1D1CD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Заказ!$F$1:$F$58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4" i="102" l="1"/>
  <c r="F46" i="102"/>
  <c r="G57" i="102"/>
  <c r="G56" i="102"/>
  <c r="G53" i="102"/>
  <c r="G52" i="102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4" i="102" s="1"/>
  <c r="G48" i="102" l="1"/>
  <c r="G55" i="102" l="1"/>
  <c r="G54" i="102"/>
  <c r="G51" i="102"/>
  <c r="G50" i="102"/>
  <c r="G47" i="102"/>
  <c r="G46" i="102" l="1"/>
  <c r="G4" i="102"/>
  <c r="G5" i="102" l="1"/>
  <c r="F42" i="102" l="1"/>
  <c r="F58" i="102" s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8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<sst xmlns="http://schemas.openxmlformats.org/spreadsheetml/2006/main" count="101" uniqueCount="101">
  <si>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</si>
  <si>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</si>
  <si>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</si>
  <si>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</si>
  <si>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</si>
  <si>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</si>
  <si>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</si>
  <si>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</si>
  <si>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</si>
  <si>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</si>
  <si>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</si>
  <si>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</si>
  <si>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</si>
  <si>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</si>
  <si>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</si>
  <si>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</si>
  <si>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</si>
  <si>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</si>
  <si>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</si>
  <si>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</si>
  <si>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</si>
  <si>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</si>
  <si>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</si>
  <si>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</si>
  <si>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</si>
  <si>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</si>
  <si>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</si>
  <si>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</si>
  <si>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</si>
  <si>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</si>
  <si>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</si>
  <si>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</si>
  <si>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</si>
  <si>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</si>
  <si>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</si>
  <si>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</si>
  <si>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</si>
  <si>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</si>
  <si>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</si>
  <si>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</si>
  <si>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</si>
  <si>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</si>
  <si>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</si>
  <si>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</si>
  <si>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</si>
  <si>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</si>
  <si>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</si>
  <si>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</si>
  <si>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</si>
  <si>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</si>
  <si>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</si>
  <si>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</si>
  <si>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</si>
  <si>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</si>
  <si>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</si>
  <si>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</si>
  <si>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</si>
  <si>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</si>
  <si>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</si>
  <si>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</si>
  <si>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</si>
  <si>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</si>
  <si>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</si>
  <si>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</si>
  <si>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</si>
  <si>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</si>
  <si>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</si>
  <si>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</si>
  <si>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</si>
  <si>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</si>
  <si>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</si>
  <si>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</si>
  <si>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</si>
  <si>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</si>
  <si>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</si>
  <si>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</si>
  <si>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</si>
  <si>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</si>
  <si>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</si>
  <si>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</si>
  <si>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</si>
  <si>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</si>
  <si>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</si>
  <si>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</si>
  <si>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</si>
  <si>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</si>
  <si>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</si>
  <si>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</si>
  <si>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</si>
  <si>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</si>
  <si>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</si>
  <si>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</si>
  <si>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</si>
  <si>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</si>
  <si>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</si>
  <si>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</si>
  <si>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ВЕТЧ\СЫР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</si>
  <si>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</si>
  <si>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</si>
  <si>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</si>
  <si>
    <t>Заказ Полякова 20.01.26.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</si>
</sst>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4" fillId="0" borderId="4" xfId="0" applyFont="1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8" fillId="8" borderId="6" xfId="0" applyFont="1" applyFill="1" applyBorder="1" applyAlignment="1">
      <alignment vertical="top" wrapText="1"/>
    </xf>
    <xf numFmtId="0" fontId="8" fillId="8" borderId="5" xfId="0" applyFont="1" applyFill="1" applyBorder="1" applyAlignment="1">
      <alignment vertical="top" wrapText="1"/>
    </xf>
    <xf numFmtId="0" fontId="8" fillId="8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7" borderId="4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7" borderId="17" xfId="0" applyFont="1" applyFill="1" applyBorder="1" applyAlignment="1">
      <alignment vertical="top"/>
    </xf>
    <xf numFmtId="0" fontId="4" fillId="2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1" fontId="0" fillId="0" borderId="21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0" fillId="0" borderId="22" xfId="0" applyNumberForma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0" fillId="0" borderId="13" xfId="0" applyFill="1" applyBorder="1" applyAlignment="1">
      <alignment vertical="top" wrapText="1"/>
    </xf>
    <xf numFmtId="0" fontId="4" fillId="0" borderId="5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1" fontId="2" fillId="6" borderId="2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8"/>
  <sheetViews>
    <sheetView tabSelected="1" zoomScale="80" zoomScaleNormal="80" workbookViewId="0">
      <selection activeCell="A42" sqref="A42:XFD58"/>
    </sheetView>
  </sheetViews>
  <sheetFormatPr defaultRowHeight="15" outlineLevelRow="1" x14ac:dyDescent="0.25"/>
  <cols>
    <col min="1" max="1" width="12" customWidth="1"/>
    <col min="2" max="2" width="12" style="34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52" t="s">
        <v>100</v>
      </c>
    </row>
    <row r="2" spans="1:31" ht="32.25" thickBot="1" x14ac:dyDescent="0.3">
      <c r="C2" s="23"/>
      <c r="D2" s="33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thickBot="1" x14ac:dyDescent="0.3">
      <c r="B3" s="35"/>
      <c r="C3" s="22" t="s">
        <v>2</v>
      </c>
      <c r="D3" s="17"/>
      <c r="E3" s="17"/>
      <c r="F3" s="17">
        <f>SUM(F4:F41)</f>
        <v>10330</v>
      </c>
      <c r="G3" s="21">
        <f>SUM(G4:G41)</f>
        <v>10004.5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4" t="s">
        <v>40</v>
      </c>
      <c r="C4" s="36" t="s">
        <v>39</v>
      </c>
      <c r="D4" s="50">
        <v>3287</v>
      </c>
      <c r="E4" s="43">
        <v>1</v>
      </c>
      <c r="F4" s="66"/>
      <c r="G4" s="46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235</v>
      </c>
      <c r="B5" s="34" t="s">
        <v>23</v>
      </c>
      <c r="C5" s="78" t="s">
        <v>20</v>
      </c>
      <c r="D5" s="50">
        <v>3423</v>
      </c>
      <c r="E5" s="43">
        <v>1</v>
      </c>
      <c r="F5" s="10">
        <v>1500</v>
      </c>
      <c r="G5" s="16">
        <f t="shared" ref="G5" si="1">F5*E5</f>
        <v>1500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4" t="s">
        <v>24</v>
      </c>
      <c r="C6" s="79" t="s">
        <v>21</v>
      </c>
      <c r="D6" s="50">
        <v>3422</v>
      </c>
      <c r="E6" s="43">
        <v>1</v>
      </c>
      <c r="F6" s="10">
        <v>1000</v>
      </c>
      <c r="G6" s="16">
        <f t="shared" ref="G6:G7" si="2">F6*E6</f>
        <v>1000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4" t="s">
        <v>25</v>
      </c>
      <c r="C7" s="79" t="s">
        <v>22</v>
      </c>
      <c r="D7" s="50">
        <v>3420</v>
      </c>
      <c r="E7" s="43">
        <v>1</v>
      </c>
      <c r="F7" s="10">
        <v>500</v>
      </c>
      <c r="G7" s="16">
        <f t="shared" si="2"/>
        <v>500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4" t="s">
        <v>26</v>
      </c>
      <c r="C8" s="79" t="s">
        <v>3</v>
      </c>
      <c r="D8" s="50">
        <v>2035</v>
      </c>
      <c r="E8" s="64">
        <v>1</v>
      </c>
      <c r="F8" s="28">
        <v>300</v>
      </c>
      <c r="G8" s="16">
        <f t="shared" ref="G8:G9" si="3">F8*E8</f>
        <v>300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4" t="s">
        <v>36</v>
      </c>
      <c r="C9" s="79" t="s">
        <v>4</v>
      </c>
      <c r="D9" s="50">
        <v>126</v>
      </c>
      <c r="E9" s="64">
        <v>1</v>
      </c>
      <c r="F9" s="28">
        <v>3000</v>
      </c>
      <c r="G9" s="16">
        <f t="shared" si="3"/>
        <v>3000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4" t="s">
        <v>27</v>
      </c>
      <c r="C10" s="79" t="s">
        <v>5</v>
      </c>
      <c r="D10" s="50">
        <v>2010</v>
      </c>
      <c r="E10" s="64">
        <v>1</v>
      </c>
      <c r="F10" s="28">
        <v>450</v>
      </c>
      <c r="G10" s="16">
        <f t="shared" ref="G10:G20" si="5">F10*E10</f>
        <v>450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4" t="s">
        <v>28</v>
      </c>
      <c r="C11" s="79" t="s">
        <v>6</v>
      </c>
      <c r="D11" s="50">
        <v>2150</v>
      </c>
      <c r="E11" s="64">
        <v>1</v>
      </c>
      <c r="F11" s="28">
        <v>120</v>
      </c>
      <c r="G11" s="16">
        <f t="shared" si="5"/>
        <v>120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4" t="s">
        <v>29</v>
      </c>
      <c r="C12" s="79" t="s">
        <v>7</v>
      </c>
      <c r="D12" s="50">
        <v>2158</v>
      </c>
      <c r="E12" s="64">
        <v>1</v>
      </c>
      <c r="F12" s="28">
        <v>100</v>
      </c>
      <c r="G12" s="16">
        <f t="shared" si="5"/>
        <v>100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4" t="s">
        <v>30</v>
      </c>
      <c r="C13" s="79" t="s">
        <v>8</v>
      </c>
      <c r="D13" s="50">
        <v>2151</v>
      </c>
      <c r="E13" s="64">
        <v>1</v>
      </c>
      <c r="F13" s="28">
        <v>180</v>
      </c>
      <c r="G13" s="16">
        <f t="shared" si="5"/>
        <v>180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4" t="s">
        <v>31</v>
      </c>
      <c r="C14" s="79" t="s">
        <v>9</v>
      </c>
      <c r="D14" s="50">
        <v>1051</v>
      </c>
      <c r="E14" s="64">
        <v>1</v>
      </c>
      <c r="F14" s="28">
        <v>250</v>
      </c>
      <c r="G14" s="16">
        <f t="shared" si="5"/>
        <v>250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4" t="s">
        <v>32</v>
      </c>
      <c r="C15" s="79" t="s">
        <v>10</v>
      </c>
      <c r="D15" s="50">
        <v>2287</v>
      </c>
      <c r="E15" s="64">
        <v>1</v>
      </c>
      <c r="F15" s="28">
        <v>200</v>
      </c>
      <c r="G15" s="16">
        <f t="shared" si="5"/>
        <v>200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4" t="s">
        <v>33</v>
      </c>
      <c r="C16" s="24" t="s">
        <v>11</v>
      </c>
      <c r="D16" s="50">
        <v>2360</v>
      </c>
      <c r="E16" s="64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4" t="s">
        <v>34</v>
      </c>
      <c r="C17" s="79" t="s">
        <v>16</v>
      </c>
      <c r="D17" s="50">
        <v>2828</v>
      </c>
      <c r="E17" s="64">
        <v>1</v>
      </c>
      <c r="F17" s="28">
        <v>80</v>
      </c>
      <c r="G17" s="16">
        <f t="shared" si="5"/>
        <v>80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hidden="1" customHeight="1" outlineLevel="1" x14ac:dyDescent="0.25">
      <c r="B18" s="34" t="s">
        <v>94</v>
      </c>
      <c r="C18" s="24" t="s">
        <v>93</v>
      </c>
      <c r="D18" s="58">
        <v>2612</v>
      </c>
      <c r="E18" s="28">
        <v>1</v>
      </c>
      <c r="F18" s="28"/>
      <c r="G18" s="16">
        <f t="shared" si="5"/>
        <v>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hidden="1" customHeight="1" outlineLevel="1" x14ac:dyDescent="0.25">
      <c r="B19" s="34" t="s">
        <v>37</v>
      </c>
      <c r="C19" s="32" t="s">
        <v>18</v>
      </c>
      <c r="D19" s="56">
        <v>2815</v>
      </c>
      <c r="E19" s="64">
        <v>0.45</v>
      </c>
      <c r="F19" s="28"/>
      <c r="G19" s="16">
        <f t="shared" si="5"/>
        <v>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customHeight="1" outlineLevel="1" x14ac:dyDescent="0.25">
      <c r="B20" s="34" t="s">
        <v>35</v>
      </c>
      <c r="C20" s="79" t="s">
        <v>17</v>
      </c>
      <c r="D20" s="50">
        <v>2829</v>
      </c>
      <c r="E20" s="64">
        <v>1</v>
      </c>
      <c r="F20" s="28">
        <v>250</v>
      </c>
      <c r="G20" s="16">
        <f t="shared" si="5"/>
        <v>250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hidden="1" customHeight="1" outlineLevel="1" x14ac:dyDescent="0.25">
      <c r="B21" s="34" t="s">
        <v>50</v>
      </c>
      <c r="C21" s="24" t="s">
        <v>51</v>
      </c>
      <c r="D21" s="60">
        <v>2182</v>
      </c>
      <c r="E21" s="62">
        <v>1</v>
      </c>
      <c r="F21" s="28"/>
      <c r="G21" s="16">
        <f t="shared" ref="G21:G41" si="9">F21*E21</f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57"/>
      <c r="AB21" s="8"/>
      <c r="AC21" s="11"/>
      <c r="AD21" s="8"/>
      <c r="AE21" s="11"/>
    </row>
    <row r="22" spans="2:31" ht="16.5" hidden="1" customHeight="1" outlineLevel="1" x14ac:dyDescent="0.25">
      <c r="B22" s="34" t="s">
        <v>52</v>
      </c>
      <c r="C22" s="59" t="s">
        <v>53</v>
      </c>
      <c r="D22" s="61">
        <v>2830</v>
      </c>
      <c r="E22" s="62">
        <v>1</v>
      </c>
      <c r="F22" s="28"/>
      <c r="G22" s="16">
        <f t="shared" si="9"/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57"/>
      <c r="AB22" s="8"/>
      <c r="AC22" s="11"/>
      <c r="AD22" s="8"/>
      <c r="AE22" s="11"/>
    </row>
    <row r="23" spans="2:31" ht="16.5" customHeight="1" outlineLevel="1" x14ac:dyDescent="0.25">
      <c r="B23" s="34" t="s">
        <v>54</v>
      </c>
      <c r="C23" s="79" t="s">
        <v>55</v>
      </c>
      <c r="D23" s="80">
        <v>2756</v>
      </c>
      <c r="E23" s="62">
        <v>1</v>
      </c>
      <c r="F23" s="28">
        <v>200</v>
      </c>
      <c r="G23" s="16">
        <f t="shared" si="9"/>
        <v>200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57"/>
      <c r="AB23" s="8"/>
      <c r="AC23" s="11"/>
      <c r="AD23" s="8"/>
      <c r="AE23" s="11"/>
    </row>
    <row r="24" spans="2:31" ht="16.5" customHeight="1" outlineLevel="1" x14ac:dyDescent="0.25">
      <c r="B24" s="34" t="s">
        <v>56</v>
      </c>
      <c r="C24" s="79" t="s">
        <v>57</v>
      </c>
      <c r="D24" s="80">
        <v>2614</v>
      </c>
      <c r="E24" s="62">
        <v>1</v>
      </c>
      <c r="F24" s="28">
        <v>200</v>
      </c>
      <c r="G24" s="16">
        <f t="shared" si="9"/>
        <v>200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57"/>
      <c r="AB24" s="8"/>
      <c r="AC24" s="11"/>
      <c r="AD24" s="8"/>
      <c r="AE24" s="11"/>
    </row>
    <row r="25" spans="2:31" ht="16.5" customHeight="1" outlineLevel="1" x14ac:dyDescent="0.25">
      <c r="B25" s="34" t="s">
        <v>58</v>
      </c>
      <c r="C25" s="79" t="s">
        <v>59</v>
      </c>
      <c r="D25" s="80">
        <v>2613</v>
      </c>
      <c r="E25" s="62">
        <v>1</v>
      </c>
      <c r="F25" s="28">
        <v>300</v>
      </c>
      <c r="G25" s="16">
        <f t="shared" si="9"/>
        <v>300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57"/>
      <c r="AB25" s="8"/>
      <c r="AC25" s="11"/>
      <c r="AD25" s="8"/>
      <c r="AE25" s="11"/>
    </row>
    <row r="26" spans="2:31" ht="16.5" customHeight="1" outlineLevel="1" x14ac:dyDescent="0.25">
      <c r="B26" s="34" t="s">
        <v>60</v>
      </c>
      <c r="C26" s="79" t="s">
        <v>61</v>
      </c>
      <c r="D26" s="80">
        <v>2615</v>
      </c>
      <c r="E26" s="63">
        <v>1</v>
      </c>
      <c r="F26" s="28">
        <v>50</v>
      </c>
      <c r="G26" s="16">
        <f t="shared" si="9"/>
        <v>50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57"/>
      <c r="AB26" s="8"/>
      <c r="AC26" s="11"/>
      <c r="AD26" s="8"/>
      <c r="AE26" s="11"/>
    </row>
    <row r="27" spans="2:31" ht="16.5" customHeight="1" outlineLevel="1" x14ac:dyDescent="0.25">
      <c r="B27" s="34" t="s">
        <v>62</v>
      </c>
      <c r="C27" s="79" t="s">
        <v>63</v>
      </c>
      <c r="D27" s="80">
        <v>1820</v>
      </c>
      <c r="E27" s="62">
        <v>1</v>
      </c>
      <c r="F27" s="28">
        <v>150</v>
      </c>
      <c r="G27" s="16">
        <f t="shared" si="9"/>
        <v>150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57"/>
      <c r="AB27" s="8"/>
      <c r="AC27" s="11"/>
      <c r="AD27" s="8"/>
      <c r="AE27" s="11"/>
    </row>
    <row r="28" spans="2:31" ht="16.5" customHeight="1" outlineLevel="1" x14ac:dyDescent="0.25">
      <c r="B28" s="34" t="s">
        <v>64</v>
      </c>
      <c r="C28" s="79" t="s">
        <v>65</v>
      </c>
      <c r="D28" s="50">
        <v>2805</v>
      </c>
      <c r="E28" s="64">
        <v>1</v>
      </c>
      <c r="F28" s="28">
        <v>100</v>
      </c>
      <c r="G28" s="16">
        <f t="shared" si="9"/>
        <v>100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57"/>
      <c r="AB28" s="8"/>
      <c r="AC28" s="11"/>
      <c r="AD28" s="8"/>
      <c r="AE28" s="11"/>
    </row>
    <row r="29" spans="2:31" ht="16.5" hidden="1" customHeight="1" outlineLevel="1" x14ac:dyDescent="0.25">
      <c r="B29" s="34" t="s">
        <v>66</v>
      </c>
      <c r="C29" s="24" t="s">
        <v>67</v>
      </c>
      <c r="D29" s="58" t="s">
        <v>68</v>
      </c>
      <c r="E29" s="64">
        <v>1</v>
      </c>
      <c r="F29" s="28"/>
      <c r="G29" s="16">
        <f t="shared" si="9"/>
        <v>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57"/>
      <c r="AB29" s="8"/>
      <c r="AC29" s="11"/>
      <c r="AD29" s="8"/>
      <c r="AE29" s="11"/>
    </row>
    <row r="30" spans="2:31" ht="16.5" customHeight="1" outlineLevel="1" x14ac:dyDescent="0.25">
      <c r="B30" s="34" t="s">
        <v>69</v>
      </c>
      <c r="C30" s="79" t="s">
        <v>70</v>
      </c>
      <c r="D30" s="50">
        <v>2604</v>
      </c>
      <c r="E30" s="64">
        <v>0.35</v>
      </c>
      <c r="F30" s="28">
        <v>100</v>
      </c>
      <c r="G30" s="16">
        <f t="shared" si="9"/>
        <v>35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57"/>
      <c r="AB30" s="8"/>
      <c r="AC30" s="11"/>
      <c r="AD30" s="8"/>
      <c r="AE30" s="11"/>
    </row>
    <row r="31" spans="2:31" ht="16.5" hidden="1" customHeight="1" outlineLevel="1" x14ac:dyDescent="0.25">
      <c r="B31" s="34" t="s">
        <v>71</v>
      </c>
      <c r="C31" s="24" t="s">
        <v>72</v>
      </c>
      <c r="D31" s="58">
        <v>2603</v>
      </c>
      <c r="E31" s="64">
        <v>0.35</v>
      </c>
      <c r="F31" s="28"/>
      <c r="G31" s="16">
        <f t="shared" si="9"/>
        <v>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57"/>
      <c r="AB31" s="8"/>
      <c r="AC31" s="11"/>
      <c r="AD31" s="8"/>
      <c r="AE31" s="11"/>
    </row>
    <row r="32" spans="2:31" ht="16.5" customHeight="1" outlineLevel="1" x14ac:dyDescent="0.25">
      <c r="B32" s="34" t="s">
        <v>73</v>
      </c>
      <c r="C32" s="79" t="s">
        <v>74</v>
      </c>
      <c r="D32" s="50">
        <v>2602</v>
      </c>
      <c r="E32" s="64">
        <v>0.35</v>
      </c>
      <c r="F32" s="28">
        <v>30</v>
      </c>
      <c r="G32" s="16">
        <f t="shared" si="9"/>
        <v>10.5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57"/>
      <c r="AB32" s="8"/>
      <c r="AC32" s="11"/>
      <c r="AD32" s="8"/>
      <c r="AE32" s="11"/>
    </row>
    <row r="33" spans="2:31" ht="16.5" customHeight="1" outlineLevel="1" x14ac:dyDescent="0.25">
      <c r="B33" s="34" t="s">
        <v>75</v>
      </c>
      <c r="C33" s="79" t="s">
        <v>76</v>
      </c>
      <c r="D33" s="50">
        <v>1523</v>
      </c>
      <c r="E33" s="64">
        <v>1</v>
      </c>
      <c r="F33" s="28">
        <v>400</v>
      </c>
      <c r="G33" s="16">
        <f t="shared" si="9"/>
        <v>400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57"/>
      <c r="AB33" s="8"/>
      <c r="AC33" s="11"/>
      <c r="AD33" s="8"/>
      <c r="AE33" s="11"/>
    </row>
    <row r="34" spans="2:31" ht="16.5" customHeight="1" outlineLevel="1" x14ac:dyDescent="0.25">
      <c r="B34" s="34" t="s">
        <v>77</v>
      </c>
      <c r="C34" s="79" t="s">
        <v>78</v>
      </c>
      <c r="D34" s="50">
        <v>1718</v>
      </c>
      <c r="E34" s="64">
        <v>0.45</v>
      </c>
      <c r="F34" s="28">
        <v>120</v>
      </c>
      <c r="G34" s="16">
        <f t="shared" si="9"/>
        <v>54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57"/>
      <c r="AB34" s="8"/>
      <c r="AC34" s="11"/>
      <c r="AD34" s="8"/>
      <c r="AE34" s="11"/>
    </row>
    <row r="35" spans="2:31" ht="16.5" customHeight="1" outlineLevel="1" x14ac:dyDescent="0.25">
      <c r="B35" s="34" t="s">
        <v>79</v>
      </c>
      <c r="C35" s="79" t="s">
        <v>80</v>
      </c>
      <c r="D35" s="50">
        <v>246</v>
      </c>
      <c r="E35" s="64">
        <v>1</v>
      </c>
      <c r="F35" s="28">
        <v>250</v>
      </c>
      <c r="G35" s="16">
        <f t="shared" si="9"/>
        <v>250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57"/>
      <c r="AB35" s="8"/>
      <c r="AC35" s="11"/>
      <c r="AD35" s="8"/>
      <c r="AE35" s="11"/>
    </row>
    <row r="36" spans="2:31" ht="16.5" customHeight="1" outlineLevel="1" x14ac:dyDescent="0.25">
      <c r="B36" s="34" t="s">
        <v>81</v>
      </c>
      <c r="C36" s="79" t="s">
        <v>82</v>
      </c>
      <c r="D36" s="50">
        <v>1720</v>
      </c>
      <c r="E36" s="64">
        <v>0.45</v>
      </c>
      <c r="F36" s="28">
        <v>100</v>
      </c>
      <c r="G36" s="16">
        <f t="shared" si="9"/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57"/>
      <c r="AB36" s="8"/>
      <c r="AC36" s="11"/>
      <c r="AD36" s="8"/>
      <c r="AE36" s="11"/>
    </row>
    <row r="37" spans="2:31" ht="16.5" customHeight="1" outlineLevel="1" x14ac:dyDescent="0.25">
      <c r="B37" s="34" t="s">
        <v>83</v>
      </c>
      <c r="C37" s="79" t="s">
        <v>84</v>
      </c>
      <c r="D37" s="50">
        <v>2618</v>
      </c>
      <c r="E37" s="64">
        <v>0.4</v>
      </c>
      <c r="F37" s="28">
        <v>200</v>
      </c>
      <c r="G37" s="16">
        <f t="shared" si="9"/>
        <v>80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57"/>
      <c r="AB37" s="8"/>
      <c r="AC37" s="11"/>
      <c r="AD37" s="8"/>
      <c r="AE37" s="11"/>
    </row>
    <row r="38" spans="2:31" ht="16.5" hidden="1" customHeight="1" outlineLevel="1" x14ac:dyDescent="0.25">
      <c r="B38" s="34" t="s">
        <v>85</v>
      </c>
      <c r="C38" s="24" t="s">
        <v>86</v>
      </c>
      <c r="D38" s="58">
        <v>2074</v>
      </c>
      <c r="E38" s="64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57"/>
      <c r="AB38" s="8"/>
      <c r="AC38" s="11"/>
      <c r="AD38" s="8"/>
      <c r="AE38" s="11"/>
    </row>
    <row r="39" spans="2:31" ht="16.5" customHeight="1" outlineLevel="1" x14ac:dyDescent="0.25">
      <c r="B39" s="34" t="s">
        <v>88</v>
      </c>
      <c r="C39" s="50" t="s">
        <v>87</v>
      </c>
      <c r="D39" s="50">
        <v>2928</v>
      </c>
      <c r="E39" s="43">
        <v>1</v>
      </c>
      <c r="F39" s="28">
        <v>200</v>
      </c>
      <c r="G39" s="16">
        <f t="shared" si="9"/>
        <v>200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57"/>
      <c r="AB39" s="8"/>
      <c r="AC39" s="11"/>
      <c r="AD39" s="8"/>
      <c r="AE39" s="11"/>
    </row>
    <row r="40" spans="2:31" ht="16.5" hidden="1" customHeight="1" outlineLevel="1" x14ac:dyDescent="0.3">
      <c r="B40" s="34" t="s">
        <v>89</v>
      </c>
      <c r="C40" s="24" t="s">
        <v>90</v>
      </c>
      <c r="D40" s="58">
        <v>722</v>
      </c>
      <c r="E40" s="64">
        <v>1</v>
      </c>
      <c r="F40" s="28"/>
      <c r="G40" s="16">
        <f t="shared" si="9"/>
        <v>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57"/>
      <c r="AB40" s="8"/>
      <c r="AC40" s="11"/>
      <c r="AD40" s="8"/>
      <c r="AE40" s="11"/>
    </row>
    <row r="41" spans="2:31" ht="16.5" hidden="1" customHeight="1" outlineLevel="1" thickBot="1" x14ac:dyDescent="0.3">
      <c r="B41" s="34" t="s">
        <v>91</v>
      </c>
      <c r="C41" s="59" t="s">
        <v>92</v>
      </c>
      <c r="D41" s="58">
        <v>227</v>
      </c>
      <c r="E41" s="64">
        <v>1</v>
      </c>
      <c r="F41" s="67"/>
      <c r="G41" s="68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57"/>
      <c r="AB41" s="8"/>
      <c r="AC41" s="11"/>
      <c r="AD41" s="8"/>
      <c r="AE41" s="11"/>
    </row>
    <row r="42" spans="2:31" s="3" customFormat="1" ht="19.5" hidden="1" collapsed="1" thickBot="1" x14ac:dyDescent="0.3">
      <c r="B42" s="34"/>
      <c r="C42" s="22" t="s">
        <v>13</v>
      </c>
      <c r="D42" s="17"/>
      <c r="E42" s="27"/>
      <c r="F42" s="17">
        <f>SUM(F43:F43)</f>
        <v>100</v>
      </c>
      <c r="G42" s="30">
        <f>SUM(G43:G43)</f>
        <v>100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thickBot="1" x14ac:dyDescent="0.3">
      <c r="C43" s="24" t="s">
        <v>12</v>
      </c>
      <c r="D43" s="51"/>
      <c r="E43" s="29">
        <v>1</v>
      </c>
      <c r="F43" s="31">
        <v>100</v>
      </c>
      <c r="G43" s="16">
        <f t="shared" ref="G43" si="10">F43*E43</f>
        <v>100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5"/>
      <c r="C44" s="53" t="s">
        <v>48</v>
      </c>
      <c r="D44" s="17"/>
      <c r="E44" s="17"/>
      <c r="F44" s="17">
        <f>F45</f>
        <v>0</v>
      </c>
      <c r="G44" s="21">
        <f>G45</f>
        <v>0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9"/>
      <c r="Y44" s="49"/>
      <c r="Z44" s="48"/>
      <c r="AA44" s="48"/>
      <c r="AB44" s="48"/>
      <c r="AC44" s="48"/>
      <c r="AD44" s="48"/>
      <c r="AE44" s="48"/>
    </row>
    <row r="45" spans="2:31" ht="16.5" hidden="1" customHeight="1" outlineLevel="1" thickBot="1" x14ac:dyDescent="0.3">
      <c r="C45" s="54" t="s">
        <v>49</v>
      </c>
      <c r="D45" s="55">
        <v>8487</v>
      </c>
      <c r="E45" s="45">
        <v>1</v>
      </c>
      <c r="F45" s="42"/>
      <c r="G45" s="46">
        <f>F45*E45</f>
        <v>0</v>
      </c>
    </row>
    <row r="46" spans="2:31" s="3" customFormat="1" ht="19.5" hidden="1" collapsed="1" thickBot="1" x14ac:dyDescent="0.3">
      <c r="B46" s="35"/>
      <c r="C46" s="27" t="s">
        <v>41</v>
      </c>
      <c r="D46" s="27"/>
      <c r="E46" s="27"/>
      <c r="F46" s="27">
        <f>SUM(F47:F57)</f>
        <v>216</v>
      </c>
      <c r="G46" s="65">
        <f>SUM(G47:G57)</f>
        <v>54</v>
      </c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9"/>
      <c r="Y46" s="49"/>
      <c r="Z46" s="48"/>
      <c r="AA46" s="48"/>
      <c r="AB46" s="48"/>
      <c r="AC46" s="48"/>
      <c r="AD46" s="48"/>
      <c r="AE46" s="48"/>
    </row>
    <row r="47" spans="2:31" ht="16.5" hidden="1" customHeight="1" outlineLevel="1" x14ac:dyDescent="0.25">
      <c r="C47" s="38" t="s">
        <v>42</v>
      </c>
      <c r="D47" s="74"/>
      <c r="E47" s="70">
        <v>0.25</v>
      </c>
      <c r="F47" s="75">
        <v>60</v>
      </c>
      <c r="G47" s="46">
        <f>F47*E47</f>
        <v>15</v>
      </c>
    </row>
    <row r="48" spans="2:31" ht="16.5" hidden="1" customHeight="1" outlineLevel="1" x14ac:dyDescent="0.25">
      <c r="C48" s="39" t="s">
        <v>47</v>
      </c>
      <c r="D48" s="69"/>
      <c r="E48" s="71">
        <v>0.25</v>
      </c>
      <c r="F48" s="73"/>
      <c r="G48" s="16">
        <f>F48*E48</f>
        <v>0</v>
      </c>
    </row>
    <row r="49" spans="3:31" ht="16.5" hidden="1" customHeight="1" outlineLevel="1" x14ac:dyDescent="0.25">
      <c r="C49" s="39" t="s">
        <v>95</v>
      </c>
      <c r="D49" s="69"/>
      <c r="E49" s="71">
        <v>0.3</v>
      </c>
      <c r="F49" s="73"/>
      <c r="G49" s="16"/>
    </row>
    <row r="50" spans="3:31" ht="16.5" hidden="1" customHeight="1" outlineLevel="1" x14ac:dyDescent="0.25">
      <c r="C50" s="39" t="s">
        <v>43</v>
      </c>
      <c r="D50" s="69"/>
      <c r="E50" s="71">
        <v>0.3</v>
      </c>
      <c r="F50" s="73"/>
      <c r="G50" s="16">
        <f t="shared" ref="G50:G57" si="12">F50*E50</f>
        <v>0</v>
      </c>
    </row>
    <row r="51" spans="3:31" ht="18.75" hidden="1" customHeight="1" outlineLevel="1" x14ac:dyDescent="0.25">
      <c r="C51" s="39" t="s">
        <v>44</v>
      </c>
      <c r="D51" s="69"/>
      <c r="E51" s="71">
        <v>0.25</v>
      </c>
      <c r="F51" s="73"/>
      <c r="G51" s="16">
        <f t="shared" si="12"/>
        <v>0</v>
      </c>
    </row>
    <row r="52" spans="3:31" ht="18.75" hidden="1" customHeight="1" outlineLevel="1" x14ac:dyDescent="0.25">
      <c r="C52" s="39" t="s">
        <v>96</v>
      </c>
      <c r="D52" s="69"/>
      <c r="E52" s="71">
        <v>0.3</v>
      </c>
      <c r="F52" s="73"/>
      <c r="G52" s="16">
        <f t="shared" si="12"/>
        <v>0</v>
      </c>
    </row>
    <row r="53" spans="3:31" ht="18.75" hidden="1" customHeight="1" outlineLevel="1" x14ac:dyDescent="0.25">
      <c r="C53" s="39" t="s">
        <v>97</v>
      </c>
      <c r="D53" s="69"/>
      <c r="E53" s="71">
        <v>0.24</v>
      </c>
      <c r="F53" s="73"/>
      <c r="G53" s="16">
        <f t="shared" si="12"/>
        <v>0</v>
      </c>
    </row>
    <row r="54" spans="3:31" ht="16.5" hidden="1" customHeight="1" outlineLevel="1" x14ac:dyDescent="0.25">
      <c r="C54" s="39" t="s">
        <v>45</v>
      </c>
      <c r="D54" s="69"/>
      <c r="E54" s="71">
        <v>0.25</v>
      </c>
      <c r="F54" s="73"/>
      <c r="G54" s="16">
        <f t="shared" si="12"/>
        <v>0</v>
      </c>
    </row>
    <row r="55" spans="3:31" ht="16.5" hidden="1" customHeight="1" outlineLevel="1" x14ac:dyDescent="0.25">
      <c r="C55" s="39" t="s">
        <v>46</v>
      </c>
      <c r="D55" s="69"/>
      <c r="E55" s="71">
        <v>0.25</v>
      </c>
      <c r="F55" s="73">
        <v>120</v>
      </c>
      <c r="G55" s="16">
        <f t="shared" si="12"/>
        <v>30</v>
      </c>
    </row>
    <row r="56" spans="3:31" ht="16.5" hidden="1" customHeight="1" outlineLevel="1" thickBot="1" x14ac:dyDescent="0.3">
      <c r="C56" s="39" t="s">
        <v>98</v>
      </c>
      <c r="D56" s="69"/>
      <c r="E56" s="71">
        <v>0.25</v>
      </c>
      <c r="F56" s="73">
        <v>36</v>
      </c>
      <c r="G56" s="16">
        <f t="shared" si="12"/>
        <v>9</v>
      </c>
    </row>
    <row r="57" spans="3:31" ht="16.5" hidden="1" customHeight="1" outlineLevel="1" thickBot="1" x14ac:dyDescent="0.3">
      <c r="C57" s="40" t="s">
        <v>99</v>
      </c>
      <c r="D57" s="76"/>
      <c r="E57" s="72">
        <v>0.36</v>
      </c>
      <c r="F57" s="77"/>
      <c r="G57" s="47">
        <f t="shared" si="12"/>
        <v>0</v>
      </c>
    </row>
    <row r="58" spans="3:31" ht="19.5" hidden="1" thickBot="1" x14ac:dyDescent="0.3">
      <c r="C58" s="44"/>
      <c r="D58" s="37"/>
      <c r="E58" s="41"/>
      <c r="F58" s="81">
        <f>F46+F44+F42+F3</f>
        <v>10646</v>
      </c>
      <c r="G58" s="82">
        <f>G46+G44+G42+G3</f>
        <v>10158.5</v>
      </c>
      <c r="AA58" s="18"/>
      <c r="AB58" s="18"/>
      <c r="AC58" s="18"/>
      <c r="AD58" s="18"/>
      <c r="AE58" s="18"/>
    </row>
  </sheetData>
  <autoFilter ref="F1:F58" xr:uid="{D5C1F9B0-029A-44B4-80D1-83BAF3EBB147}">
    <filterColumn colId="0">
      <filters>
        <filter val="100"/>
        <filter val="1000"/>
        <filter val="10330"/>
        <filter val="10646"/>
        <filter val="120"/>
        <filter val="150"/>
        <filter val="1500"/>
        <filter val="180"/>
        <filter val="200"/>
        <filter val="216"/>
        <filter val="250"/>
        <filter val="30"/>
        <filter val="300"/>
        <filter val="3000"/>
        <filter val="36"/>
        <filter val="400"/>
        <filter val="450"/>
        <filter val="50"/>
        <filter val="500"/>
        <filter val="60"/>
        <filter val="80"/>
        <filter val="Заказ"/>
      </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2026-01-20T09:03:37Z</dcterms:modified>
</cp:coreProperties>
</file>