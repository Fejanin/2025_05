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830C507D-72D3-4F8C-A451-541403C4DE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Y468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Y343" i="1" s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7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Y324" i="1" s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Y317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Y310" i="1" s="1"/>
  <c r="P304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Y287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0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2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498" i="1"/>
  <c r="X489" i="1"/>
  <c r="X490" i="1"/>
  <c r="Z23" i="1"/>
  <c r="Z24" i="1" s="1"/>
  <c r="BN23" i="1"/>
  <c r="BP23" i="1"/>
  <c r="Y24" i="1"/>
  <c r="X488" i="1"/>
  <c r="Z27" i="1"/>
  <c r="BN27" i="1"/>
  <c r="BP27" i="1"/>
  <c r="Z29" i="1"/>
  <c r="BN29" i="1"/>
  <c r="Y32" i="1"/>
  <c r="Y488" i="1" s="1"/>
  <c r="C498" i="1"/>
  <c r="Z41" i="1"/>
  <c r="Z43" i="1" s="1"/>
  <c r="BN41" i="1"/>
  <c r="BP41" i="1"/>
  <c r="Y44" i="1"/>
  <c r="D498" i="1"/>
  <c r="Y57" i="1"/>
  <c r="Z52" i="1"/>
  <c r="Z57" i="1" s="1"/>
  <c r="BN52" i="1"/>
  <c r="BP52" i="1"/>
  <c r="BP62" i="1"/>
  <c r="BN62" i="1"/>
  <c r="Z62" i="1"/>
  <c r="Y69" i="1"/>
  <c r="BP66" i="1"/>
  <c r="BN66" i="1"/>
  <c r="Z66" i="1"/>
  <c r="Z68" i="1" s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F9" i="1"/>
  <c r="J9" i="1"/>
  <c r="BP54" i="1"/>
  <c r="BN54" i="1"/>
  <c r="Y489" i="1" s="1"/>
  <c r="BP56" i="1"/>
  <c r="BN56" i="1"/>
  <c r="Z56" i="1"/>
  <c r="Y63" i="1"/>
  <c r="BP60" i="1"/>
  <c r="BN60" i="1"/>
  <c r="Z60" i="1"/>
  <c r="Z63" i="1" s="1"/>
  <c r="BP72" i="1"/>
  <c r="Y490" i="1" s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E498" i="1"/>
  <c r="Y88" i="1"/>
  <c r="F498" i="1"/>
  <c r="Y105" i="1"/>
  <c r="G498" i="1"/>
  <c r="Y128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8" i="1"/>
  <c r="Y163" i="1"/>
  <c r="Z166" i="1"/>
  <c r="Z179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BP183" i="1"/>
  <c r="BN183" i="1"/>
  <c r="Z183" i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BP280" i="1"/>
  <c r="BN280" i="1"/>
  <c r="Z280" i="1"/>
  <c r="P498" i="1"/>
  <c r="Y288" i="1"/>
  <c r="BP285" i="1"/>
  <c r="BN285" i="1"/>
  <c r="Z285" i="1"/>
  <c r="Z287" i="1" s="1"/>
  <c r="Y292" i="1"/>
  <c r="BP298" i="1"/>
  <c r="BN298" i="1"/>
  <c r="Z298" i="1"/>
  <c r="BP306" i="1"/>
  <c r="BN306" i="1"/>
  <c r="Z306" i="1"/>
  <c r="BP314" i="1"/>
  <c r="BN314" i="1"/>
  <c r="Z314" i="1"/>
  <c r="BP322" i="1"/>
  <c r="BN322" i="1"/>
  <c r="Z322" i="1"/>
  <c r="Y331" i="1"/>
  <c r="BP326" i="1"/>
  <c r="BN326" i="1"/>
  <c r="Z326" i="1"/>
  <c r="Y330" i="1"/>
  <c r="Z336" i="1"/>
  <c r="BP334" i="1"/>
  <c r="BN334" i="1"/>
  <c r="Z334" i="1"/>
  <c r="BP349" i="1"/>
  <c r="BN349" i="1"/>
  <c r="Z349" i="1"/>
  <c r="Y355" i="1"/>
  <c r="BP353" i="1"/>
  <c r="BN353" i="1"/>
  <c r="Z353" i="1"/>
  <c r="BP392" i="1"/>
  <c r="BN392" i="1"/>
  <c r="Z392" i="1"/>
  <c r="Z400" i="1" s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Y144" i="1"/>
  <c r="Y185" i="1"/>
  <c r="BP194" i="1"/>
  <c r="BN194" i="1"/>
  <c r="Z194" i="1"/>
  <c r="Z195" i="1" s="1"/>
  <c r="Y196" i="1"/>
  <c r="Y201" i="1"/>
  <c r="BP198" i="1"/>
  <c r="BN198" i="1"/>
  <c r="Z198" i="1"/>
  <c r="Z200" i="1" s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Z266" i="1" s="1"/>
  <c r="BP273" i="1"/>
  <c r="BN273" i="1"/>
  <c r="Z273" i="1"/>
  <c r="Y275" i="1"/>
  <c r="O498" i="1"/>
  <c r="Y281" i="1"/>
  <c r="BP278" i="1"/>
  <c r="BN278" i="1"/>
  <c r="Z278" i="1"/>
  <c r="Z281" i="1" s="1"/>
  <c r="BP291" i="1"/>
  <c r="BN291" i="1"/>
  <c r="Z291" i="1"/>
  <c r="Z292" i="1" s="1"/>
  <c r="Y293" i="1"/>
  <c r="Q498" i="1"/>
  <c r="Y301" i="1"/>
  <c r="BP296" i="1"/>
  <c r="BN296" i="1"/>
  <c r="Z296" i="1"/>
  <c r="Z301" i="1" s="1"/>
  <c r="BP300" i="1"/>
  <c r="BN300" i="1"/>
  <c r="Z300" i="1"/>
  <c r="Y302" i="1"/>
  <c r="Y311" i="1"/>
  <c r="BP304" i="1"/>
  <c r="BN304" i="1"/>
  <c r="Z304" i="1"/>
  <c r="Z310" i="1" s="1"/>
  <c r="BP308" i="1"/>
  <c r="BN308" i="1"/>
  <c r="Z308" i="1"/>
  <c r="BP316" i="1"/>
  <c r="BN316" i="1"/>
  <c r="Z316" i="1"/>
  <c r="Y318" i="1"/>
  <c r="Y323" i="1"/>
  <c r="BP320" i="1"/>
  <c r="BN320" i="1"/>
  <c r="Z320" i="1"/>
  <c r="Z323" i="1" s="1"/>
  <c r="BP328" i="1"/>
  <c r="BN328" i="1"/>
  <c r="Z328" i="1"/>
  <c r="BP341" i="1"/>
  <c r="BN341" i="1"/>
  <c r="Z341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J498" i="1"/>
  <c r="Y195" i="1"/>
  <c r="K498" i="1"/>
  <c r="Y242" i="1"/>
  <c r="L498" i="1"/>
  <c r="Y267" i="1"/>
  <c r="M498" i="1"/>
  <c r="Y274" i="1"/>
  <c r="R498" i="1"/>
  <c r="Y344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U498" i="1"/>
  <c r="BP394" i="1"/>
  <c r="BN394" i="1"/>
  <c r="Z394" i="1"/>
  <c r="BP398" i="1"/>
  <c r="BN398" i="1"/>
  <c r="Z398" i="1"/>
  <c r="Y405" i="1"/>
  <c r="BP415" i="1"/>
  <c r="BN415" i="1"/>
  <c r="Z415" i="1"/>
  <c r="Y356" i="1"/>
  <c r="T498" i="1"/>
  <c r="Y375" i="1"/>
  <c r="Y401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Y491" i="1" l="1"/>
  <c r="Z454" i="1"/>
  <c r="Z417" i="1"/>
  <c r="Z330" i="1"/>
  <c r="Z95" i="1"/>
  <c r="X491" i="1"/>
  <c r="Z223" i="1"/>
  <c r="Z317" i="1"/>
  <c r="Z274" i="1"/>
  <c r="Z211" i="1"/>
  <c r="Z185" i="1"/>
  <c r="Z111" i="1"/>
  <c r="Z31" i="1"/>
  <c r="Z493" i="1" s="1"/>
  <c r="Y492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<sst xmlns="http://schemas.openxmlformats.org/spreadsheetml/2006/main" count="2255" uniqueCount="767">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</sst>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6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604.79999999999995</v>
      </c>
      <c r="Y40" s="546">
        <f>IFERROR(IF(X40="",0,CEILING((X40/$H40),1)*$H40),"")</f>
        <v>604.80000000000007</v>
      </c>
      <c r="Z40" s="36">
        <f>IFERROR(IF(Y40=0,"",ROUNDUP(Y40/H40,0)*0.01898),"")</f>
        <v>1.06288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627.76</v>
      </c>
      <c r="BN40" s="64">
        <f>IFERROR(Y40*I40/H40,"0")</f>
        <v>627.76</v>
      </c>
      <c r="BO40" s="64">
        <f>IFERROR(1/J40*(X40/H40),"0")</f>
        <v>0.87499999999999989</v>
      </c>
      <c r="BP40" s="64">
        <f>IFERROR(1/J40*(Y40/H40),"0")</f>
        <v>0.875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55.999999999999993</v>
      </c>
      <c r="Y43" s="547">
        <f>IFERROR(Y40/H40,"0")+IFERROR(Y41/H41,"0")+IFERROR(Y42/H42,"0")</f>
        <v>56</v>
      </c>
      <c r="Z43" s="547">
        <f>IFERROR(IF(Z40="",0,Z40),"0")+IFERROR(IF(Z41="",0,Z41),"0")+IFERROR(IF(Z42="",0,Z42),"0")</f>
        <v>1.06288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604.79999999999995</v>
      </c>
      <c r="Y44" s="547">
        <f>IFERROR(SUM(Y40:Y42),"0")</f>
        <v>604.80000000000007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268.8</v>
      </c>
      <c r="Y51" s="546">
        <f t="shared" ref="Y51:Y56" si="0">IFERROR(IF(X51="",0,CEILING((X51/$H51),1)*$H51),"")</f>
        <v>268.79999999999995</v>
      </c>
      <c r="Z51" s="36">
        <f>IFERROR(IF(Y51=0,"",ROUNDUP(Y51/H51,0)*0.01898),"")</f>
        <v>0.45552000000000004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278.64000000000004</v>
      </c>
      <c r="BN51" s="64">
        <f t="shared" ref="BN51:BN56" si="2">IFERROR(Y51*I51/H51,"0")</f>
        <v>278.63999999999993</v>
      </c>
      <c r="BO51" s="64">
        <f t="shared" ref="BO51:BO56" si="3">IFERROR(1/J51*(X51/H51),"0")</f>
        <v>0.37500000000000006</v>
      </c>
      <c r="BP51" s="64">
        <f t="shared" ref="BP51:BP56" si="4">IFERROR(1/J51*(Y51/H51),"0")</f>
        <v>0.37499999999999994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259.2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269.03999999999996</v>
      </c>
      <c r="BN52" s="64">
        <f t="shared" si="2"/>
        <v>269.04000000000002</v>
      </c>
      <c r="BO52" s="64">
        <f t="shared" si="3"/>
        <v>0.37499999999999994</v>
      </c>
      <c r="BP52" s="64">
        <f t="shared" si="4"/>
        <v>0.37500000000000006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48</v>
      </c>
      <c r="Y57" s="547">
        <f>IFERROR(Y51/H51,"0")+IFERROR(Y52/H52,"0")+IFERROR(Y53/H53,"0")+IFERROR(Y54/H54,"0")+IFERROR(Y55/H55,"0")+IFERROR(Y56/H56,"0")</f>
        <v>48</v>
      </c>
      <c r="Z57" s="547">
        <f>IFERROR(IF(Z51="",0,Z51),"0")+IFERROR(IF(Z52="",0,Z52),"0")+IFERROR(IF(Z53="",0,Z53),"0")+IFERROR(IF(Z54="",0,Z54),"0")+IFERROR(IF(Z55="",0,Z55),"0")+IFERROR(IF(Z56="",0,Z56),"0")</f>
        <v>0.91104000000000007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528</v>
      </c>
      <c r="Y58" s="547">
        <f>IFERROR(SUM(Y51:Y56),"0")</f>
        <v>528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259.2</v>
      </c>
      <c r="Y60" s="546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269.03999999999996</v>
      </c>
      <c r="BN60" s="64">
        <f>IFERROR(Y60*I60/H60,"0")</f>
        <v>269.04000000000002</v>
      </c>
      <c r="BO60" s="64">
        <f>IFERROR(1/J60*(X60/H60),"0")</f>
        <v>0.37499999999999994</v>
      </c>
      <c r="BP60" s="64">
        <f>IFERROR(1/J60*(Y60/H60),"0")</f>
        <v>0.37500000000000006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23.999999999999996</v>
      </c>
      <c r="Y63" s="547">
        <f>IFERROR(Y60/H60,"0")+IFERROR(Y61/H61,"0")+IFERROR(Y62/H62,"0")</f>
        <v>24.000000000000004</v>
      </c>
      <c r="Z63" s="547">
        <f>IFERROR(IF(Z60="",0,Z60),"0")+IFERROR(IF(Z61="",0,Z61),"0")+IFERROR(IF(Z62="",0,Z62),"0")</f>
        <v>0.45552000000000004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259.2</v>
      </c>
      <c r="Y64" s="547">
        <f>IFERROR(SUM(Y60:Y62),"0")</f>
        <v>259.20000000000005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124.8</v>
      </c>
      <c r="Y78" s="546">
        <f>IFERROR(IF(X78="",0,CEILING((X78/$H78),1)*$H78),"")</f>
        <v>124.8</v>
      </c>
      <c r="Z78" s="36">
        <f>IFERROR(IF(Y78=0,"",ROUNDUP(Y78/H78,0)*0.01898),"")</f>
        <v>0.30368000000000001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131.36000000000001</v>
      </c>
      <c r="BN78" s="64">
        <f>IFERROR(Y78*I78/H78,"0")</f>
        <v>131.36000000000001</v>
      </c>
      <c r="BO78" s="64">
        <f>IFERROR(1/J78*(X78/H78),"0")</f>
        <v>0.25</v>
      </c>
      <c r="BP78" s="64">
        <f>IFERROR(1/J78*(Y78/H78),"0")</f>
        <v>0.25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16</v>
      </c>
      <c r="Y80" s="547">
        <f>IFERROR(Y78/H78,"0")+IFERROR(Y79/H79,"0")</f>
        <v>16</v>
      </c>
      <c r="Z80" s="547">
        <f>IFERROR(IF(Z78="",0,Z78),"0")+IFERROR(IF(Z79="",0,Z79),"0")</f>
        <v>0.30368000000000001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124.8</v>
      </c>
      <c r="Y81" s="547">
        <f>IFERROR(SUM(Y78:Y79),"0")</f>
        <v>124.8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259.2</v>
      </c>
      <c r="Y84" s="546">
        <f>IFERROR(IF(X84="",0,CEILING((X84/$H84),1)*$H84),"")</f>
        <v>259.20000000000005</v>
      </c>
      <c r="Z84" s="36">
        <f>IFERROR(IF(Y84=0,"",ROUNDUP(Y84/H84,0)*0.01898),"")</f>
        <v>0.45552000000000004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269.03999999999996</v>
      </c>
      <c r="BN84" s="64">
        <f>IFERROR(Y84*I84/H84,"0")</f>
        <v>269.04000000000002</v>
      </c>
      <c r="BO84" s="64">
        <f>IFERROR(1/J84*(X84/H84),"0")</f>
        <v>0.37499999999999994</v>
      </c>
      <c r="BP84" s="64">
        <f>IFERROR(1/J84*(Y84/H84),"0")</f>
        <v>0.37500000000000006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23.999999999999996</v>
      </c>
      <c r="Y88" s="547">
        <f>IFERROR(Y84/H84,"0")+IFERROR(Y85/H85,"0")+IFERROR(Y86/H86,"0")+IFERROR(Y87/H87,"0")</f>
        <v>24.000000000000004</v>
      </c>
      <c r="Z88" s="547">
        <f>IFERROR(IF(Z84="",0,Z84),"0")+IFERROR(IF(Z85="",0,Z85),"0")+IFERROR(IF(Z86="",0,Z86),"0")+IFERROR(IF(Z87="",0,Z87),"0")</f>
        <v>0.45552000000000004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259.2</v>
      </c>
      <c r="Y89" s="547">
        <f>IFERROR(SUM(Y84:Y87),"0")</f>
        <v>259.20000000000005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259.2</v>
      </c>
      <c r="Y91" s="546">
        <f>IFERROR(IF(X91="",0,CEILING((X91/$H91),1)*$H91),"")</f>
        <v>259.2</v>
      </c>
      <c r="Z91" s="36">
        <f>IFERROR(IF(Y91=0,"",ROUNDUP(Y91/H91,0)*0.01898),"")</f>
        <v>0.60736000000000001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275.00799999999998</v>
      </c>
      <c r="BN91" s="64">
        <f>IFERROR(Y91*I91/H91,"0")</f>
        <v>275.00799999999998</v>
      </c>
      <c r="BO91" s="64">
        <f>IFERROR(1/J91*(X91/H91),"0")</f>
        <v>0.5</v>
      </c>
      <c r="BP91" s="64">
        <f>IFERROR(1/J91*(Y91/H91),"0")</f>
        <v>0.5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75.599999999999994</v>
      </c>
      <c r="Y93" s="546">
        <f>IFERROR(IF(X93="",0,CEILING((X93/$H93),1)*$H93),"")</f>
        <v>75.600000000000009</v>
      </c>
      <c r="Z93" s="36">
        <f>IFERROR(IF(Y93=0,"",ROUNDUP(Y93/H93,0)*0.00651),"")</f>
        <v>0.18228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82.655999999999977</v>
      </c>
      <c r="BN93" s="64">
        <f>IFERROR(Y93*I93/H93,"0")</f>
        <v>82.656000000000006</v>
      </c>
      <c r="BO93" s="64">
        <f>IFERROR(1/J93*(X93/H93),"0")</f>
        <v>0.15384615384615383</v>
      </c>
      <c r="BP93" s="64">
        <f>IFERROR(1/J93*(Y93/H93),"0")</f>
        <v>0.15384615384615385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60</v>
      </c>
      <c r="Y95" s="547">
        <f>IFERROR(Y91/H91,"0")+IFERROR(Y92/H92,"0")+IFERROR(Y93/H93,"0")+IFERROR(Y94/H94,"0")</f>
        <v>60</v>
      </c>
      <c r="Z95" s="547">
        <f>IFERROR(IF(Z91="",0,Z91),"0")+IFERROR(IF(Z92="",0,Z92),"0")+IFERROR(IF(Z93="",0,Z93),"0")+IFERROR(IF(Z94="",0,Z94),"0")</f>
        <v>0.78964000000000001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334.79999999999995</v>
      </c>
      <c r="Y96" s="547">
        <f>IFERROR(SUM(Y91:Y94),"0")</f>
        <v>334.8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432</v>
      </c>
      <c r="Y99" s="546">
        <f>IFERROR(IF(X99="",0,CEILING((X99/$H99),1)*$H99),"")</f>
        <v>432</v>
      </c>
      <c r="Z99" s="36">
        <f>IFERROR(IF(Y99=0,"",ROUNDUP(Y99/H99,0)*0.01898),"")</f>
        <v>0.75919999999999999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448.4</v>
      </c>
      <c r="BN99" s="64">
        <f>IFERROR(Y99*I99/H99,"0")</f>
        <v>448.4</v>
      </c>
      <c r="BO99" s="64">
        <f>IFERROR(1/J99*(X99/H99),"0")</f>
        <v>0.625</v>
      </c>
      <c r="BP99" s="64">
        <f>IFERROR(1/J99*(Y99/H99),"0")</f>
        <v>0.625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40</v>
      </c>
      <c r="Y104" s="547">
        <f>IFERROR(Y99/H99,"0")+IFERROR(Y100/H100,"0")+IFERROR(Y101/H101,"0")+IFERROR(Y102/H102,"0")+IFERROR(Y103/H103,"0")</f>
        <v>40</v>
      </c>
      <c r="Z104" s="547">
        <f>IFERROR(IF(Z99="",0,Z99),"0")+IFERROR(IF(Z100="",0,Z100),"0")+IFERROR(IF(Z101="",0,Z101),"0")+IFERROR(IF(Z102="",0,Z102),"0")+IFERROR(IF(Z103="",0,Z103),"0")</f>
        <v>0.75919999999999999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432</v>
      </c>
      <c r="Y105" s="547">
        <f>IFERROR(SUM(Y99:Y103),"0")</f>
        <v>432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388.8</v>
      </c>
      <c r="Y114" s="546">
        <f>IFERROR(IF(X114="",0,CEILING((X114/$H114),1)*$H114),"")</f>
        <v>388.79999999999995</v>
      </c>
      <c r="Z114" s="36">
        <f>IFERROR(IF(Y114=0,"",ROUNDUP(Y114/H114,0)*0.01898),"")</f>
        <v>0.91104000000000007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412.22399999999999</v>
      </c>
      <c r="BN114" s="64">
        <f>IFERROR(Y114*I114/H114,"0")</f>
        <v>412.22399999999993</v>
      </c>
      <c r="BO114" s="64">
        <f>IFERROR(1/J114*(X114/H114),"0")</f>
        <v>0.75</v>
      </c>
      <c r="BP114" s="64">
        <f>IFERROR(1/J114*(Y114/H114),"0")</f>
        <v>0.75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97.2</v>
      </c>
      <c r="Y116" s="546">
        <f>IFERROR(IF(X116="",0,CEILING((X116/$H116),1)*$H116),"")</f>
        <v>97.2</v>
      </c>
      <c r="Z116" s="36">
        <f>IFERROR(IF(Y116=0,"",ROUNDUP(Y116/H116,0)*0.00651),"")</f>
        <v>0.23436000000000001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106.27199999999999</v>
      </c>
      <c r="BN116" s="64">
        <f>IFERROR(Y116*I116/H116,"0")</f>
        <v>106.27199999999999</v>
      </c>
      <c r="BO116" s="64">
        <f>IFERROR(1/J116*(X116/H116),"0")</f>
        <v>0.19780219780219782</v>
      </c>
      <c r="BP116" s="64">
        <f>IFERROR(1/J116*(Y116/H116),"0")</f>
        <v>0.19780219780219782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84</v>
      </c>
      <c r="Y118" s="547">
        <f>IFERROR(Y114/H114,"0")+IFERROR(Y115/H115,"0")+IFERROR(Y116/H116,"0")+IFERROR(Y117/H117,"0")</f>
        <v>84</v>
      </c>
      <c r="Z118" s="547">
        <f>IFERROR(IF(Z114="",0,Z114),"0")+IFERROR(IF(Z115="",0,Z115),"0")+IFERROR(IF(Z116="",0,Z116),"0")+IFERROR(IF(Z117="",0,Z117),"0")</f>
        <v>1.1454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486</v>
      </c>
      <c r="Y119" s="547">
        <f>IFERROR(SUM(Y114:Y117),"0")</f>
        <v>485.99999999999994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50.4</v>
      </c>
      <c r="Y165" s="546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53.4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9.0909090909090912E-2</v>
      </c>
      <c r="BP165" s="64">
        <f t="shared" ref="BP165:BP178" si="9">IFERROR(1/J165*(Y165/H165),"0")</f>
        <v>9.0909090909090912E-2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201.6</v>
      </c>
      <c r="Y167" s="546">
        <f t="shared" si="5"/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210.71999999999997</v>
      </c>
      <c r="BN167" s="64">
        <f t="shared" si="7"/>
        <v>210.72</v>
      </c>
      <c r="BO167" s="64">
        <f t="shared" si="8"/>
        <v>0.36363636363636365</v>
      </c>
      <c r="BP167" s="64">
        <f t="shared" si="9"/>
        <v>0.36363636363636365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151.19999999999999</v>
      </c>
      <c r="Y169" s="546">
        <f t="shared" si="5"/>
        <v>151.20000000000002</v>
      </c>
      <c r="Z169" s="36">
        <f>IFERROR(IF(Y169=0,"",ROUNDUP(Y169/H169,0)*0.00502),"")</f>
        <v>0.36143999999999998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160.55999999999997</v>
      </c>
      <c r="BN169" s="64">
        <f t="shared" si="7"/>
        <v>160.56</v>
      </c>
      <c r="BO169" s="64">
        <f t="shared" si="8"/>
        <v>0.30769230769230765</v>
      </c>
      <c r="BP169" s="64">
        <f t="shared" si="9"/>
        <v>0.30769230769230771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113.4</v>
      </c>
      <c r="Y176" s="546">
        <f t="shared" si="5"/>
        <v>113.4</v>
      </c>
      <c r="Z176" s="36">
        <f>IFERROR(IF(Y176=0,"",ROUNDUP(Y176/H176,0)*0.00502),"")</f>
        <v>0.27107999999999999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118.80000000000001</v>
      </c>
      <c r="BN176" s="64">
        <f t="shared" si="7"/>
        <v>118.80000000000001</v>
      </c>
      <c r="BO176" s="64">
        <f t="shared" si="8"/>
        <v>0.23076923076923078</v>
      </c>
      <c r="BP176" s="64">
        <f t="shared" si="9"/>
        <v>0.23076923076923078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186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1.1737199999999999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516.6</v>
      </c>
      <c r="Y180" s="547">
        <f>IFERROR(SUM(Y165:Y178),"0")</f>
        <v>516.6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259.2</v>
      </c>
      <c r="Y203" s="546">
        <f t="shared" ref="Y203:Y210" si="10">IFERROR(IF(X203="",0,CEILING((X203/$H203),1)*$H203),"")</f>
        <v>259.20000000000005</v>
      </c>
      <c r="Z203" s="36">
        <f>IFERROR(IF(Y203=0,"",ROUNDUP(Y203/H203,0)*0.00902),"")</f>
        <v>0.43296000000000001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268.31999999999994</v>
      </c>
      <c r="BN203" s="64">
        <f t="shared" ref="BN203:BN210" si="12">IFERROR(Y203*I203/H203,"0")</f>
        <v>268.32</v>
      </c>
      <c r="BO203" s="64">
        <f t="shared" ref="BO203:BO210" si="13">IFERROR(1/J203*(X203/H203),"0")</f>
        <v>0.36363636363636359</v>
      </c>
      <c r="BP203" s="64">
        <f t="shared" ref="BP203:BP210" si="14">IFERROR(1/J203*(Y203/H203),"0")</f>
        <v>0.3636363636363637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64.8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67.079999999999984</v>
      </c>
      <c r="BN204" s="64">
        <f t="shared" si="12"/>
        <v>67.08</v>
      </c>
      <c r="BO204" s="64">
        <f t="shared" si="13"/>
        <v>9.0909090909090898E-2</v>
      </c>
      <c r="BP204" s="64">
        <f t="shared" si="14"/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129.6</v>
      </c>
      <c r="Y205" s="546">
        <f t="shared" si="10"/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134.15999999999997</v>
      </c>
      <c r="BN205" s="64">
        <f t="shared" si="12"/>
        <v>134.16</v>
      </c>
      <c r="BO205" s="64">
        <f t="shared" si="13"/>
        <v>0.1818181818181818</v>
      </c>
      <c r="BP205" s="64">
        <f t="shared" si="14"/>
        <v>0.18181818181818185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64.8</v>
      </c>
      <c r="Y206" s="546">
        <f t="shared" si="10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67.079999999999984</v>
      </c>
      <c r="BN206" s="64">
        <f t="shared" si="12"/>
        <v>67.08</v>
      </c>
      <c r="BO206" s="64">
        <f t="shared" si="13"/>
        <v>9.0909090909090898E-2</v>
      </c>
      <c r="BP206" s="64">
        <f t="shared" si="14"/>
        <v>9.0909090909090925E-2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95.999999999999986</v>
      </c>
      <c r="Y211" s="547">
        <f>IFERROR(Y203/H203,"0")+IFERROR(Y204/H204,"0")+IFERROR(Y205/H205,"0")+IFERROR(Y206/H206,"0")+IFERROR(Y207/H207,"0")+IFERROR(Y208/H208,"0")+IFERROR(Y209/H209,"0")+IFERROR(Y210/H210,"0")</f>
        <v>96.000000000000014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0.86592000000000002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518.4</v>
      </c>
      <c r="Y212" s="547">
        <f>IFERROR(SUM(Y203:Y210),"0")</f>
        <v>518.40000000000009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765.6</v>
      </c>
      <c r="Y216" s="546">
        <f t="shared" si="15"/>
        <v>765.59999999999991</v>
      </c>
      <c r="Z216" s="36">
        <f>IFERROR(IF(Y216=0,"",ROUNDUP(Y216/H216,0)*0.01898),"")</f>
        <v>1.6702399999999999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809.07200000000023</v>
      </c>
      <c r="BN216" s="64">
        <f t="shared" si="17"/>
        <v>809.072</v>
      </c>
      <c r="BO216" s="64">
        <f t="shared" si="18"/>
        <v>1.3750000000000002</v>
      </c>
      <c r="BP216" s="64">
        <f t="shared" si="19"/>
        <v>1.375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115.2</v>
      </c>
      <c r="Y217" s="546">
        <f t="shared" si="15"/>
        <v>115.19999999999999</v>
      </c>
      <c r="Z217" s="36">
        <f t="shared" ref="Z217:Z222" si="20">IFERROR(IF(Y217=0,"",ROUNDUP(Y217/H217,0)*0.00651),"")</f>
        <v>0.31247999999999998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128.16</v>
      </c>
      <c r="BN217" s="64">
        <f t="shared" si="17"/>
        <v>128.15999999999997</v>
      </c>
      <c r="BO217" s="64">
        <f t="shared" si="18"/>
        <v>0.26373626373626374</v>
      </c>
      <c r="BP217" s="64">
        <f t="shared" si="19"/>
        <v>0.26373626373626374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57.6</v>
      </c>
      <c r="Y219" s="546">
        <f t="shared" si="15"/>
        <v>57.599999999999994</v>
      </c>
      <c r="Z219" s="36">
        <f t="shared" si="20"/>
        <v>0.15623999999999999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63.648000000000003</v>
      </c>
      <c r="BN219" s="64">
        <f t="shared" si="17"/>
        <v>63.648000000000003</v>
      </c>
      <c r="BO219" s="64">
        <f t="shared" si="18"/>
        <v>0.13186813186813187</v>
      </c>
      <c r="BP219" s="64">
        <f t="shared" si="19"/>
        <v>0.13186813186813187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115.2</v>
      </c>
      <c r="Y220" s="546">
        <f t="shared" si="15"/>
        <v>115.19999999999999</v>
      </c>
      <c r="Z220" s="36">
        <f t="shared" si="20"/>
        <v>0.31247999999999998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127.29600000000001</v>
      </c>
      <c r="BN220" s="64">
        <f t="shared" si="17"/>
        <v>127.29600000000001</v>
      </c>
      <c r="BO220" s="64">
        <f t="shared" si="18"/>
        <v>0.26373626373626374</v>
      </c>
      <c r="BP220" s="64">
        <f t="shared" si="19"/>
        <v>0.26373626373626374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86.4</v>
      </c>
      <c r="Y222" s="546">
        <f t="shared" si="15"/>
        <v>86.399999999999991</v>
      </c>
      <c r="Z222" s="36">
        <f t="shared" si="20"/>
        <v>0.23436000000000001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95.688000000000017</v>
      </c>
      <c r="BN222" s="64">
        <f t="shared" si="17"/>
        <v>95.687999999999988</v>
      </c>
      <c r="BO222" s="64">
        <f t="shared" si="18"/>
        <v>0.19780219780219785</v>
      </c>
      <c r="BP222" s="64">
        <f t="shared" si="19"/>
        <v>0.19780219780219782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244</v>
      </c>
      <c r="Y223" s="547">
        <f>IFERROR(Y214/H214,"0")+IFERROR(Y215/H215,"0")+IFERROR(Y216/H216,"0")+IFERROR(Y217/H217,"0")+IFERROR(Y218/H218,"0")+IFERROR(Y219/H219,"0")+IFERROR(Y220/H220,"0")+IFERROR(Y221/H221,"0")+IFERROR(Y222/H222,"0")</f>
        <v>244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2.6858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1140.0000000000002</v>
      </c>
      <c r="Y224" s="547">
        <f>IFERROR(SUM(Y214:Y222),"0")</f>
        <v>1140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144</v>
      </c>
      <c r="Y279" s="546">
        <f>IFERROR(IF(X279="",0,CEILING((X279/$H279),1)*$H279),"")</f>
        <v>144</v>
      </c>
      <c r="Z279" s="36">
        <f>IFERROR(IF(Y279=0,"",ROUNDUP(Y279/H279,0)*0.00651),"")</f>
        <v>0.3906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159.12000000000003</v>
      </c>
      <c r="BN279" s="64">
        <f>IFERROR(Y279*I279/H279,"0")</f>
        <v>159.12000000000003</v>
      </c>
      <c r="BO279" s="64">
        <f>IFERROR(1/J279*(X279/H279),"0")</f>
        <v>0.32967032967032972</v>
      </c>
      <c r="BP279" s="64">
        <f>IFERROR(1/J279*(Y279/H279),"0")</f>
        <v>0.32967032967032972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201.6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216.72000000000003</v>
      </c>
      <c r="BN280" s="64">
        <f>IFERROR(Y280*I280/H280,"0")</f>
        <v>216.72000000000003</v>
      </c>
      <c r="BO280" s="64">
        <f>IFERROR(1/J280*(X280/H280),"0")</f>
        <v>0.46153846153846156</v>
      </c>
      <c r="BP280" s="64">
        <f>IFERROR(1/J280*(Y280/H280),"0")</f>
        <v>0.46153846153846156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144</v>
      </c>
      <c r="Y281" s="547">
        <f>IFERROR(Y278/H278,"0")+IFERROR(Y279/H279,"0")+IFERROR(Y280/H280,"0")</f>
        <v>144</v>
      </c>
      <c r="Z281" s="547">
        <f>IFERROR(IF(Z278="",0,Z278),"0")+IFERROR(IF(Z279="",0,Z279),"0")+IFERROR(IF(Z280="",0,Z280),"0")</f>
        <v>0.93744000000000005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345.6</v>
      </c>
      <c r="Y282" s="547">
        <f>IFERROR(SUM(Y278:Y280),"0")</f>
        <v>345.6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201.6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213.45599999999999</v>
      </c>
      <c r="BN320" s="64">
        <f>IFERROR(Y320*I320/H320,"0")</f>
        <v>213.45600000000002</v>
      </c>
      <c r="BO320" s="64">
        <f>IFERROR(1/J320*(X320/H320),"0")</f>
        <v>0.375</v>
      </c>
      <c r="BP320" s="64">
        <f>IFERROR(1/J320*(Y320/H320),"0")</f>
        <v>0.375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187.2</v>
      </c>
      <c r="Y321" s="546">
        <f>IFERROR(IF(X321="",0,CEILING((X321/$H321),1)*$H321),"")</f>
        <v>187.2</v>
      </c>
      <c r="Z321" s="36">
        <f>IFERROR(IF(Y321=0,"",ROUNDUP(Y321/H321,0)*0.01898),"")</f>
        <v>0.45552000000000004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199.05600000000001</v>
      </c>
      <c r="BN321" s="64">
        <f>IFERROR(Y321*I321/H321,"0")</f>
        <v>199.05600000000001</v>
      </c>
      <c r="BO321" s="64">
        <f>IFERROR(1/J321*(X321/H321),"0")</f>
        <v>0.375</v>
      </c>
      <c r="BP321" s="64">
        <f>IFERROR(1/J321*(Y321/H321),"0")</f>
        <v>0.375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67.2</v>
      </c>
      <c r="Y322" s="546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56</v>
      </c>
      <c r="Y323" s="547">
        <f>IFERROR(Y320/H320,"0")+IFERROR(Y321/H321,"0")+IFERROR(Y322/H322,"0")</f>
        <v>56</v>
      </c>
      <c r="Z323" s="547">
        <f>IFERROR(IF(Z320="",0,Z320),"0")+IFERROR(IF(Z321="",0,Z321),"0")+IFERROR(IF(Z322="",0,Z322),"0")</f>
        <v>1.06288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455.99999999999994</v>
      </c>
      <c r="Y324" s="547">
        <f>IFERROR(SUM(Y320:Y322),"0")</f>
        <v>456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240</v>
      </c>
      <c r="Y348" s="546">
        <f t="shared" ref="Y348:Y354" si="31">IFERROR(IF(X348="",0,CEILING((X348/$H348),1)*$H348),"")</f>
        <v>240</v>
      </c>
      <c r="Z348" s="36">
        <f>IFERROR(IF(Y348=0,"",ROUNDUP(Y348/H348,0)*0.02175),"")</f>
        <v>0.34799999999999998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247.52</v>
      </c>
      <c r="BN348" s="64">
        <f t="shared" ref="BN348:BN354" si="33">IFERROR(Y348*I348/H348,"0")</f>
        <v>247.52</v>
      </c>
      <c r="BO348" s="64">
        <f t="shared" ref="BO348:BO354" si="34">IFERROR(1/J348*(X348/H348),"0")</f>
        <v>0.33333333333333331</v>
      </c>
      <c r="BP348" s="64">
        <f t="shared" ref="BP348:BP354" si="35">IFERROR(1/J348*(Y348/H348),"0")</f>
        <v>0.33333333333333331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120</v>
      </c>
      <c r="Y349" s="546">
        <f t="shared" si="31"/>
        <v>120</v>
      </c>
      <c r="Z349" s="36">
        <f>IFERROR(IF(Y349=0,"",ROUNDUP(Y349/H349,0)*0.02175),"")</f>
        <v>0.17399999999999999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123.76</v>
      </c>
      <c r="BN349" s="64">
        <f t="shared" si="33"/>
        <v>123.76</v>
      </c>
      <c r="BO349" s="64">
        <f t="shared" si="34"/>
        <v>0.16666666666666666</v>
      </c>
      <c r="BP349" s="64">
        <f t="shared" si="35"/>
        <v>0.16666666666666666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24</v>
      </c>
      <c r="Y355" s="547">
        <f>IFERROR(Y348/H348,"0")+IFERROR(Y349/H349,"0")+IFERROR(Y350/H350,"0")+IFERROR(Y351/H351,"0")+IFERROR(Y352/H352,"0")+IFERROR(Y353/H353,"0")+IFERROR(Y354/H354,"0")</f>
        <v>24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0.52200000000000002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360</v>
      </c>
      <c r="Y356" s="547">
        <f>IFERROR(SUM(Y348:Y354),"0")</f>
        <v>360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240</v>
      </c>
      <c r="Y358" s="546">
        <f>IFERROR(IF(X358="",0,CEILING((X358/$H358),1)*$H358),"")</f>
        <v>240</v>
      </c>
      <c r="Z358" s="36">
        <f>IFERROR(IF(Y358=0,"",ROUNDUP(Y358/H358,0)*0.02175),"")</f>
        <v>0.34799999999999998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247.52</v>
      </c>
      <c r="BN358" s="64">
        <f>IFERROR(Y358*I358/H358,"0")</f>
        <v>247.52</v>
      </c>
      <c r="BO358" s="64">
        <f>IFERROR(1/J358*(X358/H358),"0")</f>
        <v>0.33333333333333331</v>
      </c>
      <c r="BP358" s="64">
        <f>IFERROR(1/J358*(Y358/H358),"0")</f>
        <v>0.33333333333333331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16</v>
      </c>
      <c r="Y360" s="547">
        <f>IFERROR(Y358/H358,"0")+IFERROR(Y359/H359,"0")</f>
        <v>16</v>
      </c>
      <c r="Z360" s="547">
        <f>IFERROR(IF(Z358="",0,Z358),"0")+IFERROR(IF(Z359="",0,Z359),"0")</f>
        <v>0.34799999999999998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240</v>
      </c>
      <c r="Y361" s="547">
        <f>IFERROR(SUM(Y358:Y359),"0")</f>
        <v>240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72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75.951999999999998</v>
      </c>
      <c r="BN368" s="64">
        <f>IFERROR(Y368*I368/H368,"0")</f>
        <v>75.951999999999998</v>
      </c>
      <c r="BO368" s="64">
        <f>IFERROR(1/J368*(X368/H368),"0")</f>
        <v>0.125</v>
      </c>
      <c r="BP368" s="64">
        <f>IFERROR(1/J368*(Y368/H368),"0")</f>
        <v>0.125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8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72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120</v>
      </c>
      <c r="Y373" s="546">
        <f>IFERROR(IF(X373="",0,CEILING((X373/$H373),1)*$H373),"")</f>
        <v>120</v>
      </c>
      <c r="Z373" s="36">
        <f>IFERROR(IF(Y373=0,"",ROUNDUP(Y373/H373,0)*0.01898),"")</f>
        <v>0.1898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124.10000000000001</v>
      </c>
      <c r="BN373" s="64">
        <f>IFERROR(Y373*I373/H373,"0")</f>
        <v>124.10000000000001</v>
      </c>
      <c r="BO373" s="64">
        <f>IFERROR(1/J373*(X373/H373),"0")</f>
        <v>0.15625</v>
      </c>
      <c r="BP373" s="64">
        <f>IFERROR(1/J373*(Y373/H373),"0")</f>
        <v>0.15625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10</v>
      </c>
      <c r="Y375" s="547">
        <f>IFERROR(Y373/H373,"0")+IFERROR(Y374/H374,"0")</f>
        <v>10</v>
      </c>
      <c r="Z375" s="547">
        <f>IFERROR(IF(Z373="",0,Z373),"0")+IFERROR(IF(Z374="",0,Z374),"0")</f>
        <v>0.1898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120</v>
      </c>
      <c r="Y376" s="547">
        <f>IFERROR(SUM(Y373:Y374),"0")</f>
        <v>120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288</v>
      </c>
      <c r="Y383" s="546">
        <f>IFERROR(IF(X383="",0,CEILING((X383/$H383),1)*$H383),"")</f>
        <v>288</v>
      </c>
      <c r="Z383" s="36">
        <f>IFERROR(IF(Y383=0,"",ROUNDUP(Y383/H383,0)*0.01898),"")</f>
        <v>0.60736000000000001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303.80799999999999</v>
      </c>
      <c r="BN383" s="64">
        <f>IFERROR(Y383*I383/H383,"0")</f>
        <v>303.80799999999999</v>
      </c>
      <c r="BO383" s="64">
        <f>IFERROR(1/J383*(X383/H383),"0")</f>
        <v>0.5</v>
      </c>
      <c r="BP383" s="64">
        <f>IFERROR(1/J383*(Y383/H383),"0")</f>
        <v>0.5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86.4</v>
      </c>
      <c r="Y384" s="546">
        <f>IFERROR(IF(X384="",0,CEILING((X384/$H384),1)*$H384),"")</f>
        <v>86.399999999999991</v>
      </c>
      <c r="Z384" s="36">
        <f>IFERROR(IF(Y384=0,"",ROUNDUP(Y384/H384,0)*0.00651),"")</f>
        <v>0.23436000000000001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95.904000000000011</v>
      </c>
      <c r="BN384" s="64">
        <f>IFERROR(Y384*I384/H384,"0")</f>
        <v>95.904000000000011</v>
      </c>
      <c r="BO384" s="64">
        <f>IFERROR(1/J384*(X384/H384),"0")</f>
        <v>0.19780219780219785</v>
      </c>
      <c r="BP384" s="64">
        <f>IFERROR(1/J384*(Y384/H384),"0")</f>
        <v>0.19780219780219782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68</v>
      </c>
      <c r="Y386" s="547">
        <f>IFERROR(Y383/H383,"0")+IFERROR(Y384/H384,"0")+IFERROR(Y385/H385,"0")</f>
        <v>68</v>
      </c>
      <c r="Z386" s="547">
        <f>IFERROR(IF(Z383="",0,Z383),"0")+IFERROR(IF(Z384="",0,Z384),"0")+IFERROR(IF(Z385="",0,Z385),"0")</f>
        <v>0.84172000000000002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374.4</v>
      </c>
      <c r="Y387" s="547">
        <f>IFERROR(SUM(Y383:Y385),"0")</f>
        <v>374.4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211.2</v>
      </c>
      <c r="Y431" s="546">
        <f t="shared" si="42"/>
        <v>211.20000000000002</v>
      </c>
      <c r="Z431" s="36">
        <f t="shared" si="43"/>
        <v>0.47839999999999999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225.19999999999996</v>
      </c>
      <c r="BN431" s="64">
        <f t="shared" si="45"/>
        <v>225.2</v>
      </c>
      <c r="BO431" s="64">
        <f t="shared" si="46"/>
        <v>0.38461538461538458</v>
      </c>
      <c r="BP431" s="64">
        <f t="shared" si="47"/>
        <v>0.38461538461538464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295.68</v>
      </c>
      <c r="Y433" s="546">
        <f t="shared" si="42"/>
        <v>295.68</v>
      </c>
      <c r="Z433" s="36">
        <f t="shared" si="43"/>
        <v>0.66976000000000002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315.27999999999997</v>
      </c>
      <c r="BN433" s="64">
        <f t="shared" si="45"/>
        <v>315.27999999999997</v>
      </c>
      <c r="BO433" s="64">
        <f t="shared" si="46"/>
        <v>0.53846153846153855</v>
      </c>
      <c r="BP433" s="64">
        <f t="shared" si="47"/>
        <v>0.53846153846153855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1.1481600000000001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506.88</v>
      </c>
      <c r="Y440" s="547">
        <f>IFERROR(SUM(Y427:Y438),"0")</f>
        <v>506.88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295.68</v>
      </c>
      <c r="Y448" s="546">
        <f t="shared" ref="Y448:Y453" si="48">IFERROR(IF(X448="",0,CEILING((X448/$H448),1)*$H448),"")</f>
        <v>295.68</v>
      </c>
      <c r="Z448" s="36">
        <f>IFERROR(IF(Y448=0,"",ROUNDUP(Y448/H448,0)*0.01196),"")</f>
        <v>0.66976000000000002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315.27999999999997</v>
      </c>
      <c r="BN448" s="64">
        <f t="shared" ref="BN448:BN453" si="50">IFERROR(Y448*I448/H448,"0")</f>
        <v>315.27999999999997</v>
      </c>
      <c r="BO448" s="64">
        <f t="shared" ref="BO448:BO453" si="51">IFERROR(1/J448*(X448/H448),"0")</f>
        <v>0.53846153846153855</v>
      </c>
      <c r="BP448" s="64">
        <f t="shared" ref="BP448:BP453" si="52">IFERROR(1/J448*(Y448/H448),"0")</f>
        <v>0.53846153846153855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84.48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90.08</v>
      </c>
      <c r="BN449" s="64">
        <f t="shared" si="50"/>
        <v>90.08</v>
      </c>
      <c r="BO449" s="64">
        <f t="shared" si="51"/>
        <v>0.15384615384615385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84.48</v>
      </c>
      <c r="Y450" s="546">
        <f t="shared" si="48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90.08</v>
      </c>
      <c r="BN450" s="64">
        <f t="shared" si="50"/>
        <v>90.08</v>
      </c>
      <c r="BO450" s="64">
        <f t="shared" si="51"/>
        <v>0.15384615384615385</v>
      </c>
      <c r="BP450" s="64">
        <f t="shared" si="52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88</v>
      </c>
      <c r="Y454" s="547">
        <f>IFERROR(Y448/H448,"0")+IFERROR(Y449/H449,"0")+IFERROR(Y450/H450,"0")+IFERROR(Y451/H451,"0")+IFERROR(Y452/H452,"0")+IFERROR(Y453/H453,"0")</f>
        <v>88</v>
      </c>
      <c r="Z454" s="547">
        <f>IFERROR(IF(Z448="",0,Z448),"0")+IFERROR(IF(Z449="",0,Z449),"0")+IFERROR(IF(Z450="",0,Z450),"0")+IFERROR(IF(Z451="",0,Z451),"0")+IFERROR(IF(Z452="",0,Z452),"0")+IFERROR(IF(Z453="",0,Z453),"0")</f>
        <v>1.0524800000000001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464.64000000000004</v>
      </c>
      <c r="Y455" s="547">
        <f>IFERROR(SUM(Y448:Y453),"0")</f>
        <v>464.64000000000004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8143.3200000000006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8143.3200000000006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8587.4120000000021</v>
      </c>
      <c r="Y489" s="547">
        <f>IFERROR(SUM(BN22:BN485),"0")</f>
        <v>8587.4120000000021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15</v>
      </c>
      <c r="Y490" s="38">
        <f>ROUNDUP(SUM(BP22:BP485),0)</f>
        <v>15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8962.4120000000021</v>
      </c>
      <c r="Y491" s="547">
        <f>GrossWeightTotalR+PalletQtyTotalR*25</f>
        <v>8962.4120000000021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1388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1388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16.862640000000003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604.80000000000007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912</v>
      </c>
      <c r="E498" s="46">
        <f>IFERROR(Y84*1,"0")+IFERROR(Y85*1,"0")+IFERROR(Y86*1,"0")+IFERROR(Y87*1,"0")+IFERROR(Y91*1,"0")+IFERROR(Y92*1,"0")+IFERROR(Y93*1,"0")+IFERROR(Y94*1,"0")</f>
        <v>594.00000000000011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918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516.6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1658.4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345.6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456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672</v>
      </c>
      <c r="T498" s="46">
        <f>IFERROR(Y373*1,"0")+IFERROR(Y374*1,"0")+IFERROR(Y378*1,"0")+IFERROR(Y379*1,"0")+IFERROR(Y383*1,"0")+IFERROR(Y384*1,"0")+IFERROR(Y385*1,"0")</f>
        <v>494.4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971.52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