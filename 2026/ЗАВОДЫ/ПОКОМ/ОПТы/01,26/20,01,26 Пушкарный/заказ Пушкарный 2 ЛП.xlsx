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в бланки заводов\ПОКОМ КИ\pokom_ki\WholesaleCustomers\"/>
    </mc:Choice>
  </mc:AlternateContent>
  <xr:revisionPtr revIDLastSave="0" documentId="13_ncr:1_{4BDB720A-0E5F-45E5-9E45-CC6327DD5605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заказа'!$A$18:$AF$18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заказа'!$X$495:$X$495</definedName>
    <definedName name="GrossWeightTotalR">'Бланк заказа'!$Y$495:$Y$495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заказа'!$X$496:$X$496</definedName>
    <definedName name="PalletQtyTotalR">'Бланк заказа'!$Y$496:$Y$496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заказа'!$B$42:$B$42</definedName>
    <definedName name="ProductId100">'Бланк заказа'!$B$218:$B$218</definedName>
    <definedName name="ProductId101">'Бланк заказа'!$B$219:$B$219</definedName>
    <definedName name="ProductId102">'Бланк заказа'!$B$220:$B$220</definedName>
    <definedName name="ProductId103">'Бланк заказа'!$B$221:$B$221</definedName>
    <definedName name="ProductId104">'Бланк заказа'!$B$222:$B$222</definedName>
    <definedName name="ProductId105">'Бланк заказа'!$B$223:$B$223</definedName>
    <definedName name="ProductId106">'Бланк заказа'!$B$227:$B$227</definedName>
    <definedName name="ProductId107">'Бланк заказа'!$B$228:$B$228</definedName>
    <definedName name="ProductId108">'Бланк заказа'!$B$233:$B$233</definedName>
    <definedName name="ProductId109">'Бланк заказа'!$B$234:$B$234</definedName>
    <definedName name="ProductId11">'Бланк заказа'!$B$46:$B$46</definedName>
    <definedName name="ProductId110">'Бланк заказа'!$B$235:$B$235</definedName>
    <definedName name="ProductId111">'Бланк заказа'!$B$236:$B$236</definedName>
    <definedName name="ProductId112">'Бланк заказа'!$B$237:$B$237</definedName>
    <definedName name="ProductId113">'Бланк заказа'!$B$238:$B$238</definedName>
    <definedName name="ProductId114">'Бланк заказа'!$B$239:$B$239</definedName>
    <definedName name="ProductId115">'Бланк заказа'!$B$240:$B$240</definedName>
    <definedName name="ProductId116">'Бланк заказа'!$B$241:$B$241</definedName>
    <definedName name="ProductId117">'Бланк заказа'!$B$245:$B$245</definedName>
    <definedName name="ProductId118">'Бланк заказа'!$B$249:$B$249</definedName>
    <definedName name="ProductId119">'Бланк заказа'!$B$253:$B$253</definedName>
    <definedName name="ProductId12">'Бланк заказа'!$B$51:$B$51</definedName>
    <definedName name="ProductId120">'Бланк заказа'!$B$254:$B$254</definedName>
    <definedName name="ProductId121">'Бланк заказа'!$B$255:$B$255</definedName>
    <definedName name="ProductId122">'Бланк заказа'!$B$256:$B$256</definedName>
    <definedName name="ProductId123">'Бланк заказа'!$B$257:$B$257</definedName>
    <definedName name="ProductId124">'Бланк заказа'!$B$262:$B$262</definedName>
    <definedName name="ProductId125">'Бланк заказа'!$B$263:$B$263</definedName>
    <definedName name="ProductId126">'Бланк заказа'!$B$264:$B$264</definedName>
    <definedName name="ProductId127">'Бланк заказа'!$B$265:$B$265</definedName>
    <definedName name="ProductId128">'Бланк заказа'!$B$266:$B$266</definedName>
    <definedName name="ProductId129">'Бланк заказа'!$B$271:$B$271</definedName>
    <definedName name="ProductId13">'Бланк заказа'!$B$52:$B$52</definedName>
    <definedName name="ProductId130">'Бланк заказа'!$B$272:$B$272</definedName>
    <definedName name="ProductId131">'Бланк заказа'!$B$273:$B$273</definedName>
    <definedName name="ProductId132">'Бланк заказа'!$B$274:$B$274</definedName>
    <definedName name="ProductId133">'Бланк заказа'!$B$279:$B$279</definedName>
    <definedName name="ProductId134">'Бланк заказа'!$B$280:$B$280</definedName>
    <definedName name="ProductId135">'Бланк заказа'!$B$281:$B$281</definedName>
    <definedName name="ProductId136">'Бланк заказа'!$B$286:$B$286</definedName>
    <definedName name="ProductId137">'Бланк заказа'!$B$287:$B$287</definedName>
    <definedName name="ProductId138">'Бланк заказа'!$B$291:$B$291</definedName>
    <definedName name="ProductId139">'Бланк заказа'!$B$292:$B$292</definedName>
    <definedName name="ProductId14">'Бланк заказа'!$B$53:$B$53</definedName>
    <definedName name="ProductId140">'Бланк заказа'!$B$297:$B$297</definedName>
    <definedName name="ProductId141">'Бланк заказа'!$B$298:$B$298</definedName>
    <definedName name="ProductId142">'Бланк заказа'!$B$299:$B$299</definedName>
    <definedName name="ProductId143">'Бланк заказа'!$B$300:$B$300</definedName>
    <definedName name="ProductId144">'Бланк заказа'!$B$301:$B$301</definedName>
    <definedName name="ProductId145">'Бланк заказа'!$B$302:$B$302</definedName>
    <definedName name="ProductId146">'Бланк заказа'!$B$306:$B$306</definedName>
    <definedName name="ProductId147">'Бланк заказа'!$B$307:$B$307</definedName>
    <definedName name="ProductId148">'Бланк заказа'!$B$308:$B$308</definedName>
    <definedName name="ProductId149">'Бланк заказа'!$B$309:$B$309</definedName>
    <definedName name="ProductId15">'Бланк заказа'!$B$54:$B$54</definedName>
    <definedName name="ProductId150">'Бланк заказа'!$B$310:$B$310</definedName>
    <definedName name="ProductId151">'Бланк заказа'!$B$311:$B$311</definedName>
    <definedName name="ProductId152">'Бланк заказа'!$B$315:$B$315</definedName>
    <definedName name="ProductId153">'Бланк заказа'!$B$316:$B$316</definedName>
    <definedName name="ProductId154">'Бланк заказа'!$B$317:$B$317</definedName>
    <definedName name="ProductId155">'Бланк заказа'!$B$318:$B$318</definedName>
    <definedName name="ProductId156">'Бланк заказа'!$B$322:$B$322</definedName>
    <definedName name="ProductId157">'Бланк заказа'!$B$323:$B$323</definedName>
    <definedName name="ProductId158">'Бланк заказа'!$B$324:$B$324</definedName>
    <definedName name="ProductId159">'Бланк заказа'!$B$328:$B$328</definedName>
    <definedName name="ProductId16">'Бланк заказа'!$B$55:$B$55</definedName>
    <definedName name="ProductId160">'Бланк заказа'!$B$329:$B$329</definedName>
    <definedName name="ProductId161">'Бланк заказа'!$B$330:$B$330</definedName>
    <definedName name="ProductId162">'Бланк заказа'!$B$331:$B$331</definedName>
    <definedName name="ProductId163">'Бланк заказа'!$B$335:$B$335</definedName>
    <definedName name="ProductId164">'Бланк заказа'!$B$336:$B$336</definedName>
    <definedName name="ProductId165">'Бланк заказа'!$B$337:$B$337</definedName>
    <definedName name="ProductId166">'Бланк заказа'!$B$342:$B$342</definedName>
    <definedName name="ProductId167">'Бланк заказа'!$B$343:$B$343</definedName>
    <definedName name="ProductId168">'Бланк заказа'!$B$344:$B$344</definedName>
    <definedName name="ProductId169">'Бланк заказа'!$B$350:$B$350</definedName>
    <definedName name="ProductId17">'Бланк заказа'!$B$56:$B$56</definedName>
    <definedName name="ProductId170">'Бланк заказа'!$B$351:$B$351</definedName>
    <definedName name="ProductId171">'Бланк заказа'!$B$352:$B$352</definedName>
    <definedName name="ProductId172">'Бланк заказа'!$B$353:$B$353</definedName>
    <definedName name="ProductId173">'Бланк заказа'!$B$354:$B$354</definedName>
    <definedName name="ProductId174">'Бланк заказа'!$B$355:$B$355</definedName>
    <definedName name="ProductId175">'Бланк заказа'!$B$356:$B$356</definedName>
    <definedName name="ProductId176">'Бланк заказа'!$B$360:$B$360</definedName>
    <definedName name="ProductId177">'Бланк заказа'!$B$361:$B$361</definedName>
    <definedName name="ProductId178">'Бланк заказа'!$B$365:$B$365</definedName>
    <definedName name="ProductId179">'Бланк заказа'!$B$366:$B$366</definedName>
    <definedName name="ProductId18">'Бланк заказа'!$B$60:$B$60</definedName>
    <definedName name="ProductId180">'Бланк заказа'!$B$370:$B$370</definedName>
    <definedName name="ProductId181">'Бланк заказа'!$B$375:$B$375</definedName>
    <definedName name="ProductId182">'Бланк заказа'!$B$376:$B$376</definedName>
    <definedName name="ProductId183">'Бланк заказа'!$B$380:$B$380</definedName>
    <definedName name="ProductId184">'Бланк заказа'!$B$381:$B$381</definedName>
    <definedName name="ProductId185">'Бланк заказа'!$B$385:$B$385</definedName>
    <definedName name="ProductId186">'Бланк заказа'!$B$386:$B$386</definedName>
    <definedName name="ProductId187">'Бланк заказа'!$B$387:$B$387</definedName>
    <definedName name="ProductId188">'Бланк заказа'!$B$393:$B$393</definedName>
    <definedName name="ProductId189">'Бланк заказа'!$B$394:$B$394</definedName>
    <definedName name="ProductId19">'Бланк заказа'!$B$61:$B$61</definedName>
    <definedName name="ProductId190">'Бланк заказа'!$B$395:$B$395</definedName>
    <definedName name="ProductId191">'Бланк заказа'!$B$396:$B$396</definedName>
    <definedName name="ProductId192">'Бланк заказа'!$B$397:$B$397</definedName>
    <definedName name="ProductId193">'Бланк заказа'!$B$398:$B$398</definedName>
    <definedName name="ProductId194">'Бланк заказа'!$B$399:$B$399</definedName>
    <definedName name="ProductId195">'Бланк заказа'!$B$400:$B$400</definedName>
    <definedName name="ProductId196">'Бланк заказа'!$B$401:$B$401</definedName>
    <definedName name="ProductId197">'Бланк заказа'!$B$405:$B$405</definedName>
    <definedName name="ProductId198">'Бланк заказа'!$B$406:$B$406</definedName>
    <definedName name="ProductId199">'Бланк заказа'!$B$411:$B$411</definedName>
    <definedName name="ProductId2">'Бланк заказа'!$B$23:$B$23</definedName>
    <definedName name="ProductId20">'Бланк заказа'!$B$62:$B$62</definedName>
    <definedName name="ProductId200">'Бланк заказа'!$B$415:$B$415</definedName>
    <definedName name="ProductId201">'Бланк заказа'!$B$416:$B$416</definedName>
    <definedName name="ProductId202">'Бланк заказа'!$B$417:$B$417</definedName>
    <definedName name="ProductId203">'Бланк заказа'!$B$418:$B$418</definedName>
    <definedName name="ProductId204">'Бланк заказа'!$B$423:$B$423</definedName>
    <definedName name="ProductId205">'Бланк заказа'!$B$429:$B$429</definedName>
    <definedName name="ProductId206">'Бланк заказа'!$B$430:$B$430</definedName>
    <definedName name="ProductId207">'Бланк заказа'!$B$431:$B$431</definedName>
    <definedName name="ProductId208">'Бланк заказа'!$B$432:$B$432</definedName>
    <definedName name="ProductId209">'Бланк заказа'!$B$433:$B$433</definedName>
    <definedName name="ProductId21">'Бланк заказа'!$B$66:$B$66</definedName>
    <definedName name="ProductId210">'Бланк заказа'!$B$434:$B$434</definedName>
    <definedName name="ProductId211">'Бланк заказа'!$B$435:$B$435</definedName>
    <definedName name="ProductId212">'Бланк заказа'!$B$436:$B$436</definedName>
    <definedName name="ProductId213">'Бланк заказа'!$B$437:$B$437</definedName>
    <definedName name="ProductId214">'Бланк заказа'!$B$438:$B$438</definedName>
    <definedName name="ProductId215">'Бланк заказа'!$B$439:$B$439</definedName>
    <definedName name="ProductId216">'Бланк заказа'!$B$440:$B$440</definedName>
    <definedName name="ProductId217">'Бланк заказа'!$B$444:$B$444</definedName>
    <definedName name="ProductId218">'Бланк заказа'!$B$445:$B$445</definedName>
    <definedName name="ProductId219">'Бланк заказа'!$B$446:$B$446</definedName>
    <definedName name="ProductId22">'Бланк заказа'!$B$67:$B$67</definedName>
    <definedName name="ProductId220">'Бланк заказа'!$B$450:$B$450</definedName>
    <definedName name="ProductId221">'Бланк заказа'!$B$451:$B$451</definedName>
    <definedName name="ProductId222">'Бланк заказа'!$B$452:$B$452</definedName>
    <definedName name="ProductId223">'Бланк заказа'!$B$453:$B$453</definedName>
    <definedName name="ProductId224">'Бланк заказа'!$B$454:$B$454</definedName>
    <definedName name="ProductId225">'Бланк заказа'!$B$455:$B$455</definedName>
    <definedName name="ProductId226">'Бланк заказа'!$B$459:$B$459</definedName>
    <definedName name="ProductId227">'Бланк заказа'!$B$465:$B$465</definedName>
    <definedName name="ProductId228">'Бланк заказа'!$B$466:$B$466</definedName>
    <definedName name="ProductId229">'Бланк заказа'!$B$467:$B$467</definedName>
    <definedName name="ProductId23">'Бланк заказа'!$B$71:$B$71</definedName>
    <definedName name="ProductId230">'Бланк заказа'!$B$468:$B$468</definedName>
    <definedName name="ProductId231">'Бланк заказа'!$B$472:$B$472</definedName>
    <definedName name="ProductId232">'Бланк заказа'!$B$473:$B$473</definedName>
    <definedName name="ProductId233">'Бланк заказа'!$B$477:$B$477</definedName>
    <definedName name="ProductId234">'Бланк заказа'!$B$481:$B$481</definedName>
    <definedName name="ProductId235">'Бланк заказа'!$B$485:$B$485</definedName>
    <definedName name="ProductId236">'Бланк заказа'!$B$486:$B$486</definedName>
    <definedName name="ProductId237">'Бланк заказа'!$B$491:$B$491</definedName>
    <definedName name="ProductId24">'Бланк заказа'!$B$72:$B$72</definedName>
    <definedName name="ProductId25">'Бланк заказа'!$B$73:$B$73</definedName>
    <definedName name="ProductId26">'Бланк заказа'!$B$74:$B$74</definedName>
    <definedName name="ProductId27">'Бланк заказа'!$B$78:$B$78</definedName>
    <definedName name="ProductId28">'Бланк заказа'!$B$79:$B$79</definedName>
    <definedName name="ProductId29">'Бланк заказа'!$B$84:$B$84</definedName>
    <definedName name="ProductId3">'Бланк заказа'!$B$27:$B$27</definedName>
    <definedName name="ProductId30">'Бланк заказа'!$B$85:$B$85</definedName>
    <definedName name="ProductId31">'Бланк заказа'!$B$86:$B$86</definedName>
    <definedName name="ProductId32">'Бланк заказа'!$B$87:$B$87</definedName>
    <definedName name="ProductId33">'Бланк заказа'!$B$91:$B$91</definedName>
    <definedName name="ProductId34">'Бланк заказа'!$B$92:$B$92</definedName>
    <definedName name="ProductId35">'Бланк заказа'!$B$93:$B$93</definedName>
    <definedName name="ProductId36">'Бланк заказа'!$B$94:$B$94</definedName>
    <definedName name="ProductId37">'Бланк заказа'!$B$99:$B$99</definedName>
    <definedName name="ProductId38">'Бланк заказа'!$B$100:$B$100</definedName>
    <definedName name="ProductId39">'Бланк заказа'!$B$101:$B$101</definedName>
    <definedName name="ProductId4">'Бланк заказа'!$B$28:$B$28</definedName>
    <definedName name="ProductId40">'Бланк заказа'!$B$102:$B$102</definedName>
    <definedName name="ProductId41">'Бланк заказа'!$B$103:$B$103</definedName>
    <definedName name="ProductId42">'Бланк заказа'!$B$107:$B$107</definedName>
    <definedName name="ProductId43">'Бланк заказа'!$B$108:$B$108</definedName>
    <definedName name="ProductId44">'Бланк заказа'!$B$109:$B$109</definedName>
    <definedName name="ProductId45">'Бланк заказа'!$B$110:$B$110</definedName>
    <definedName name="ProductId46">'Бланк заказа'!$B$114:$B$114</definedName>
    <definedName name="ProductId47">'Бланк заказа'!$B$115:$B$115</definedName>
    <definedName name="ProductId48">'Бланк заказа'!$B$116:$B$116</definedName>
    <definedName name="ProductId49">'Бланк заказа'!$B$117:$B$117</definedName>
    <definedName name="ProductId5">'Бланк заказа'!$B$29:$B$29</definedName>
    <definedName name="ProductId50">'Бланк заказа'!$B$121:$B$121</definedName>
    <definedName name="ProductId51">'Бланк заказа'!$B$126:$B$126</definedName>
    <definedName name="ProductId52">'Бланк заказа'!$B$127:$B$127</definedName>
    <definedName name="ProductId53">'Бланк заказа'!$B$131:$B$131</definedName>
    <definedName name="ProductId54">'Бланк заказа'!$B$132:$B$132</definedName>
    <definedName name="ProductId55">'Бланк заказа'!$B$136:$B$136</definedName>
    <definedName name="ProductId56">'Бланк заказа'!$B$137:$B$137</definedName>
    <definedName name="ProductId57">'Бланк заказа'!$B$142:$B$142</definedName>
    <definedName name="ProductId58">'Бланк заказа'!$B$143:$B$143</definedName>
    <definedName name="ProductId59">'Бланк заказа'!$B$147:$B$147</definedName>
    <definedName name="ProductId6">'Бланк заказа'!$B$30:$B$30</definedName>
    <definedName name="ProductId60">'Бланк заказа'!$B$148:$B$148</definedName>
    <definedName name="ProductId61">'Бланк заказа'!$B$149:$B$149</definedName>
    <definedName name="ProductId62">'Бланк заказа'!$B$150:$B$150</definedName>
    <definedName name="ProductId63">'Бланк заказа'!$B$151:$B$151</definedName>
    <definedName name="ProductId64">'Бланк заказа'!$B$152:$B$152</definedName>
    <definedName name="ProductId65">'Бланк заказа'!$B$156:$B$156</definedName>
    <definedName name="ProductId66">'Бланк заказа'!$B$162:$B$162</definedName>
    <definedName name="ProductId67">'Бланк заказа'!$B$166:$B$166</definedName>
    <definedName name="ProductId68">'Бланк заказа'!$B$167:$B$167</definedName>
    <definedName name="ProductId69">'Бланк заказа'!$B$168:$B$168</definedName>
    <definedName name="ProductId7">'Бланк заказа'!$B$34:$B$34</definedName>
    <definedName name="ProductId70">'Бланк заказа'!$B$169:$B$169</definedName>
    <definedName name="ProductId71">'Бланк заказа'!$B$170:$B$170</definedName>
    <definedName name="ProductId72">'Бланк заказа'!$B$171:$B$171</definedName>
    <definedName name="ProductId73">'Бланк заказа'!$B$172:$B$172</definedName>
    <definedName name="ProductId74">'Бланк заказа'!$B$173:$B$173</definedName>
    <definedName name="ProductId75">'Бланк заказа'!$B$174:$B$174</definedName>
    <definedName name="ProductId76">'Бланк заказа'!$B$175:$B$175</definedName>
    <definedName name="ProductId77">'Бланк заказа'!$B$176:$B$176</definedName>
    <definedName name="ProductId78">'Бланк заказа'!$B$177:$B$177</definedName>
    <definedName name="ProductId79">'Бланк заказа'!$B$178:$B$178</definedName>
    <definedName name="ProductId8">'Бланк заказа'!$B$40:$B$40</definedName>
    <definedName name="ProductId80">'Бланк заказа'!$B$179:$B$179</definedName>
    <definedName name="ProductId81">'Бланк заказа'!$B$183:$B$183</definedName>
    <definedName name="ProductId82">'Бланк заказа'!$B$184:$B$184</definedName>
    <definedName name="ProductId83">'Бланк заказа'!$B$185:$B$185</definedName>
    <definedName name="ProductId84">'Бланк заказа'!$B$189:$B$189</definedName>
    <definedName name="ProductId85">'Бланк заказа'!$B$194:$B$194</definedName>
    <definedName name="ProductId86">'Бланк заказа'!$B$195:$B$195</definedName>
    <definedName name="ProductId87">'Бланк заказа'!$B$199:$B$199</definedName>
    <definedName name="ProductId88">'Бланк заказа'!$B$200:$B$200</definedName>
    <definedName name="ProductId89">'Бланк заказа'!$B$204:$B$204</definedName>
    <definedName name="ProductId9">'Бланк заказа'!$B$41:$B$41</definedName>
    <definedName name="ProductId90">'Бланк заказа'!$B$205:$B$205</definedName>
    <definedName name="ProductId91">'Бланк заказа'!$B$206:$B$206</definedName>
    <definedName name="ProductId92">'Бланк заказа'!$B$207:$B$207</definedName>
    <definedName name="ProductId93">'Бланк заказа'!$B$208:$B$208</definedName>
    <definedName name="ProductId94">'Бланк заказа'!$B$209:$B$209</definedName>
    <definedName name="ProductId95">'Бланк заказа'!$B$210:$B$210</definedName>
    <definedName name="ProductId96">'Бланк заказа'!$B$211:$B$211</definedName>
    <definedName name="ProductId97">'Бланк заказа'!$B$215:$B$215</definedName>
    <definedName name="ProductId98">'Бланк заказа'!$B$216:$B$216</definedName>
    <definedName name="ProductId99">'Бланк заказа'!$B$217:$B$217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заказа'!$X$218:$X$218</definedName>
    <definedName name="SalesQty101">'Бланк заказа'!$X$219:$X$219</definedName>
    <definedName name="SalesQty102">'Бланк заказа'!$X$220:$X$220</definedName>
    <definedName name="SalesQty103">'Бланк заказа'!$X$221:$X$221</definedName>
    <definedName name="SalesQty104">'Бланк заказа'!$X$222:$X$222</definedName>
    <definedName name="SalesQty105">'Бланк заказа'!$X$223:$X$223</definedName>
    <definedName name="SalesQty106">'Бланк заказа'!$X$227:$X$227</definedName>
    <definedName name="SalesQty107">'Бланк заказа'!$X$228:$X$228</definedName>
    <definedName name="SalesQty108">'Бланк заказа'!$X$233:$X$233</definedName>
    <definedName name="SalesQty109">'Бланк заказа'!$X$234:$X$234</definedName>
    <definedName name="SalesQty11">'Бланк заказа'!$X$46:$X$46</definedName>
    <definedName name="SalesQty110">'Бланк заказа'!$X$235:$X$235</definedName>
    <definedName name="SalesQty111">'Бланк заказа'!$X$236:$X$236</definedName>
    <definedName name="SalesQty112">'Бланк заказа'!$X$237:$X$237</definedName>
    <definedName name="SalesQty113">'Бланк заказа'!$X$238:$X$238</definedName>
    <definedName name="SalesQty114">'Бланк заказа'!$X$239:$X$239</definedName>
    <definedName name="SalesQty115">'Бланк заказа'!$X$240:$X$240</definedName>
    <definedName name="SalesQty116">'Бланк заказа'!$X$241:$X$241</definedName>
    <definedName name="SalesQty117">'Бланк заказа'!$X$245:$X$245</definedName>
    <definedName name="SalesQty118">'Бланк заказа'!$X$249:$X$249</definedName>
    <definedName name="SalesQty119">'Бланк заказа'!$X$253:$X$253</definedName>
    <definedName name="SalesQty12">'Бланк заказа'!$X$51:$X$51</definedName>
    <definedName name="SalesQty120">'Бланк заказа'!$X$254:$X$254</definedName>
    <definedName name="SalesQty121">'Бланк заказа'!$X$255:$X$255</definedName>
    <definedName name="SalesQty122">'Бланк заказа'!$X$256:$X$256</definedName>
    <definedName name="SalesQty123">'Бланк заказа'!$X$257:$X$257</definedName>
    <definedName name="SalesQty124">'Бланк заказа'!$X$262:$X$262</definedName>
    <definedName name="SalesQty125">'Бланк заказа'!$X$263:$X$263</definedName>
    <definedName name="SalesQty126">'Бланк заказа'!$X$264:$X$264</definedName>
    <definedName name="SalesQty127">'Бланк заказа'!$X$265:$X$265</definedName>
    <definedName name="SalesQty128">'Бланк заказа'!$X$266:$X$266</definedName>
    <definedName name="SalesQty129">'Бланк заказа'!$X$271:$X$271</definedName>
    <definedName name="SalesQty13">'Бланк заказа'!$X$52:$X$52</definedName>
    <definedName name="SalesQty130">'Бланк заказа'!$X$272:$X$272</definedName>
    <definedName name="SalesQty131">'Бланк заказа'!$X$273:$X$273</definedName>
    <definedName name="SalesQty132">'Бланк заказа'!$X$274:$X$274</definedName>
    <definedName name="SalesQty133">'Бланк заказа'!$X$279:$X$279</definedName>
    <definedName name="SalesQty134">'Бланк заказа'!$X$280:$X$280</definedName>
    <definedName name="SalesQty135">'Бланк заказа'!$X$281:$X$281</definedName>
    <definedName name="SalesQty136">'Бланк заказа'!$X$286:$X$286</definedName>
    <definedName name="SalesQty137">'Бланк заказа'!$X$287:$X$287</definedName>
    <definedName name="SalesQty138">'Бланк заказа'!$X$291:$X$291</definedName>
    <definedName name="SalesQty139">'Бланк заказа'!$X$292:$X$292</definedName>
    <definedName name="SalesQty14">'Бланк заказа'!$X$53:$X$53</definedName>
    <definedName name="SalesQty140">'Бланк заказа'!$X$297:$X$297</definedName>
    <definedName name="SalesQty141">'Бланк заказа'!$X$298:$X$298</definedName>
    <definedName name="SalesQty142">'Бланк заказа'!$X$299:$X$299</definedName>
    <definedName name="SalesQty143">'Бланк заказа'!$X$300:$X$300</definedName>
    <definedName name="SalesQty144">'Бланк заказа'!$X$301:$X$301</definedName>
    <definedName name="SalesQty145">'Бланк заказа'!$X$302:$X$302</definedName>
    <definedName name="SalesQty146">'Бланк заказа'!$X$306:$X$306</definedName>
    <definedName name="SalesQty147">'Бланк заказа'!$X$307:$X$307</definedName>
    <definedName name="SalesQty148">'Бланк заказа'!$X$308:$X$308</definedName>
    <definedName name="SalesQty149">'Бланк заказа'!$X$309:$X$309</definedName>
    <definedName name="SalesQty15">'Бланк заказа'!$X$54:$X$54</definedName>
    <definedName name="SalesQty150">'Бланк заказа'!$X$310:$X$310</definedName>
    <definedName name="SalesQty151">'Бланк заказа'!$X$311:$X$311</definedName>
    <definedName name="SalesQty152">'Бланк заказа'!$X$315:$X$315</definedName>
    <definedName name="SalesQty153">'Бланк заказа'!$X$316:$X$316</definedName>
    <definedName name="SalesQty154">'Бланк заказа'!$X$317:$X$317</definedName>
    <definedName name="SalesQty155">'Бланк заказа'!$X$318:$X$318</definedName>
    <definedName name="SalesQty156">'Бланк заказа'!$X$322:$X$322</definedName>
    <definedName name="SalesQty157">'Бланк заказа'!$X$323:$X$323</definedName>
    <definedName name="SalesQty158">'Бланк заказа'!$X$324:$X$324</definedName>
    <definedName name="SalesQty159">'Бланк заказа'!$X$328:$X$328</definedName>
    <definedName name="SalesQty16">'Бланк заказа'!$X$55:$X$55</definedName>
    <definedName name="SalesQty160">'Бланк заказа'!$X$329:$X$329</definedName>
    <definedName name="SalesQty161">'Бланк заказа'!$X$330:$X$330</definedName>
    <definedName name="SalesQty162">'Бланк заказа'!$X$331:$X$331</definedName>
    <definedName name="SalesQty163">'Бланк заказа'!$X$335:$X$335</definedName>
    <definedName name="SalesQty164">'Бланк заказа'!$X$336:$X$336</definedName>
    <definedName name="SalesQty165">'Бланк заказа'!$X$337:$X$337</definedName>
    <definedName name="SalesQty166">'Бланк заказа'!$X$342:$X$342</definedName>
    <definedName name="SalesQty167">'Бланк заказа'!$X$343:$X$343</definedName>
    <definedName name="SalesQty168">'Бланк заказа'!$X$344:$X$344</definedName>
    <definedName name="SalesQty169">'Бланк заказа'!$X$350:$X$350</definedName>
    <definedName name="SalesQty17">'Бланк заказа'!$X$56:$X$56</definedName>
    <definedName name="SalesQty170">'Бланк заказа'!$X$351:$X$351</definedName>
    <definedName name="SalesQty171">'Бланк заказа'!$X$352:$X$352</definedName>
    <definedName name="SalesQty172">'Бланк заказа'!$X$353:$X$353</definedName>
    <definedName name="SalesQty173">'Бланк заказа'!$X$354:$X$354</definedName>
    <definedName name="SalesQty174">'Бланк заказа'!$X$355:$X$355</definedName>
    <definedName name="SalesQty175">'Бланк заказа'!$X$356:$X$356</definedName>
    <definedName name="SalesQty176">'Бланк заказа'!$X$360:$X$360</definedName>
    <definedName name="SalesQty177">'Бланк заказа'!$X$361:$X$361</definedName>
    <definedName name="SalesQty178">'Бланк заказа'!$X$365:$X$365</definedName>
    <definedName name="SalesQty179">'Бланк заказа'!$X$366:$X$366</definedName>
    <definedName name="SalesQty18">'Бланк заказа'!$X$60:$X$60</definedName>
    <definedName name="SalesQty180">'Бланк заказа'!$X$370:$X$370</definedName>
    <definedName name="SalesQty181">'Бланк заказа'!$X$375:$X$375</definedName>
    <definedName name="SalesQty182">'Бланк заказа'!$X$376:$X$376</definedName>
    <definedName name="SalesQty183">'Бланк заказа'!$X$380:$X$380</definedName>
    <definedName name="SalesQty184">'Бланк заказа'!$X$381:$X$381</definedName>
    <definedName name="SalesQty185">'Бланк заказа'!$X$385:$X$385</definedName>
    <definedName name="SalesQty186">'Бланк заказа'!$X$386:$X$386</definedName>
    <definedName name="SalesQty187">'Бланк заказа'!$X$387:$X$387</definedName>
    <definedName name="SalesQty188">'Бланк заказа'!$X$393:$X$393</definedName>
    <definedName name="SalesQty189">'Бланк заказа'!$X$394:$X$394</definedName>
    <definedName name="SalesQty19">'Бланк заказа'!$X$61:$X$61</definedName>
    <definedName name="SalesQty190">'Бланк заказа'!$X$395:$X$395</definedName>
    <definedName name="SalesQty191">'Бланк заказа'!$X$396:$X$396</definedName>
    <definedName name="SalesQty192">'Бланк заказа'!$X$397:$X$397</definedName>
    <definedName name="SalesQty193">'Бланк заказа'!$X$398:$X$398</definedName>
    <definedName name="SalesQty194">'Бланк заказа'!$X$399:$X$399</definedName>
    <definedName name="SalesQty195">'Бланк заказа'!$X$400:$X$400</definedName>
    <definedName name="SalesQty196">'Бланк заказа'!$X$401:$X$401</definedName>
    <definedName name="SalesQty197">'Бланк заказа'!$X$405:$X$405</definedName>
    <definedName name="SalesQty198">'Бланк заказа'!$X$406:$X$406</definedName>
    <definedName name="SalesQty199">'Бланк заказа'!$X$411:$X$411</definedName>
    <definedName name="SalesQty2">'Бланк заказа'!$X$23:$X$23</definedName>
    <definedName name="SalesQty20">'Бланк заказа'!$X$62:$X$62</definedName>
    <definedName name="SalesQty200">'Бланк заказа'!$X$415:$X$415</definedName>
    <definedName name="SalesQty201">'Бланк заказа'!$X$416:$X$416</definedName>
    <definedName name="SalesQty202">'Бланк заказа'!$X$417:$X$417</definedName>
    <definedName name="SalesQty203">'Бланк заказа'!$X$418:$X$418</definedName>
    <definedName name="SalesQty204">'Бланк заказа'!$X$423:$X$423</definedName>
    <definedName name="SalesQty205">'Бланк заказа'!$X$429:$X$429</definedName>
    <definedName name="SalesQty206">'Бланк заказа'!$X$430:$X$430</definedName>
    <definedName name="SalesQty207">'Бланк заказа'!$X$431:$X$431</definedName>
    <definedName name="SalesQty208">'Бланк заказа'!$X$432:$X$432</definedName>
    <definedName name="SalesQty209">'Бланк заказа'!$X$433:$X$433</definedName>
    <definedName name="SalesQty21">'Бланк заказа'!$X$66:$X$66</definedName>
    <definedName name="SalesQty210">'Бланк заказа'!$X$434:$X$434</definedName>
    <definedName name="SalesQty211">'Бланк заказа'!$X$435:$X$435</definedName>
    <definedName name="SalesQty212">'Бланк заказа'!$X$436:$X$436</definedName>
    <definedName name="SalesQty213">'Бланк заказа'!$X$437:$X$437</definedName>
    <definedName name="SalesQty214">'Бланк заказа'!$X$438:$X$438</definedName>
    <definedName name="SalesQty215">'Бланк заказа'!$X$439:$X$439</definedName>
    <definedName name="SalesQty216">'Бланк заказа'!$X$440:$X$440</definedName>
    <definedName name="SalesQty217">'Бланк заказа'!$X$444:$X$444</definedName>
    <definedName name="SalesQty218">'Бланк заказа'!$X$445:$X$445</definedName>
    <definedName name="SalesQty219">'Бланк заказа'!$X$446:$X$446</definedName>
    <definedName name="SalesQty22">'Бланк заказа'!$X$67:$X$67</definedName>
    <definedName name="SalesQty220">'Бланк заказа'!$X$450:$X$450</definedName>
    <definedName name="SalesQty221">'Бланк заказа'!$X$451:$X$451</definedName>
    <definedName name="SalesQty222">'Бланк заказа'!$X$452:$X$452</definedName>
    <definedName name="SalesQty223">'Бланк заказа'!$X$453:$X$453</definedName>
    <definedName name="SalesQty224">'Бланк заказа'!$X$454:$X$454</definedName>
    <definedName name="SalesQty225">'Бланк заказа'!$X$455:$X$455</definedName>
    <definedName name="SalesQty226">'Бланк заказа'!$X$459:$X$459</definedName>
    <definedName name="SalesQty227">'Бланк заказа'!$X$465:$X$465</definedName>
    <definedName name="SalesQty228">'Бланк заказа'!$X$466:$X$466</definedName>
    <definedName name="SalesQty229">'Бланк заказа'!$X$467:$X$467</definedName>
    <definedName name="SalesQty23">'Бланк заказа'!$X$71:$X$71</definedName>
    <definedName name="SalesQty230">'Бланк заказа'!$X$468:$X$468</definedName>
    <definedName name="SalesQty231">'Бланк заказа'!$X$472:$X$472</definedName>
    <definedName name="SalesQty232">'Бланк заказа'!$X$473:$X$473</definedName>
    <definedName name="SalesQty233">'Бланк заказа'!$X$477:$X$477</definedName>
    <definedName name="SalesQty234">'Бланк заказа'!$X$481:$X$481</definedName>
    <definedName name="SalesQty235">'Бланк заказа'!$X$485:$X$485</definedName>
    <definedName name="SalesQty236">'Бланк заказа'!$X$486:$X$486</definedName>
    <definedName name="SalesQty237">'Бланк заказа'!$X$491:$X$491</definedName>
    <definedName name="SalesQty24">'Бланк заказа'!$X$72:$X$72</definedName>
    <definedName name="SalesQty25">'Бланк заказа'!$X$73:$X$73</definedName>
    <definedName name="SalesQty26">'Бланк заказа'!$X$74:$X$74</definedName>
    <definedName name="SalesQty27">'Бланк заказа'!$X$78:$X$78</definedName>
    <definedName name="SalesQty28">'Бланк заказа'!$X$79:$X$79</definedName>
    <definedName name="SalesQty29">'Бланк заказа'!$X$84:$X$84</definedName>
    <definedName name="SalesQty3">'Бланк заказа'!$X$27:$X$27</definedName>
    <definedName name="SalesQty30">'Бланк заказа'!$X$85:$X$85</definedName>
    <definedName name="SalesQty31">'Бланк заказа'!$X$86:$X$86</definedName>
    <definedName name="SalesQty32">'Бланк заказа'!$X$87:$X$87</definedName>
    <definedName name="SalesQty33">'Бланк заказа'!$X$91:$X$91</definedName>
    <definedName name="SalesQty34">'Бланк заказа'!$X$92:$X$92</definedName>
    <definedName name="SalesQty35">'Бланк заказа'!$X$93:$X$93</definedName>
    <definedName name="SalesQty36">'Бланк заказа'!$X$94:$X$94</definedName>
    <definedName name="SalesQty37">'Бланк заказа'!$X$99:$X$99</definedName>
    <definedName name="SalesQty38">'Бланк заказа'!$X$100:$X$100</definedName>
    <definedName name="SalesQty39">'Бланк заказа'!$X$101:$X$101</definedName>
    <definedName name="SalesQty4">'Бланк заказа'!$X$28:$X$28</definedName>
    <definedName name="SalesQty40">'Бланк заказа'!$X$102:$X$102</definedName>
    <definedName name="SalesQty41">'Бланк заказа'!$X$103:$X$103</definedName>
    <definedName name="SalesQty42">'Бланк заказа'!$X$107:$X$107</definedName>
    <definedName name="SalesQty43">'Бланк заказа'!$X$108:$X$108</definedName>
    <definedName name="SalesQty44">'Бланк заказа'!$X$109:$X$109</definedName>
    <definedName name="SalesQty45">'Бланк заказа'!$X$110:$X$110</definedName>
    <definedName name="SalesQty46">'Бланк заказа'!$X$114:$X$114</definedName>
    <definedName name="SalesQty47">'Бланк заказа'!$X$115:$X$115</definedName>
    <definedName name="SalesQty48">'Бланк заказа'!$X$116:$X$116</definedName>
    <definedName name="SalesQty49">'Бланк заказа'!$X$117:$X$117</definedName>
    <definedName name="SalesQty5">'Бланк заказа'!$X$29:$X$29</definedName>
    <definedName name="SalesQty50">'Бланк заказа'!$X$121:$X$121</definedName>
    <definedName name="SalesQty51">'Бланк заказа'!$X$126:$X$126</definedName>
    <definedName name="SalesQty52">'Бланк заказа'!$X$127:$X$127</definedName>
    <definedName name="SalesQty53">'Бланк заказа'!$X$131:$X$131</definedName>
    <definedName name="SalesQty54">'Бланк заказа'!$X$132:$X$132</definedName>
    <definedName name="SalesQty55">'Бланк заказа'!$X$136:$X$136</definedName>
    <definedName name="SalesQty56">'Бланк заказа'!$X$137:$X$137</definedName>
    <definedName name="SalesQty57">'Бланк заказа'!$X$142:$X$142</definedName>
    <definedName name="SalesQty58">'Бланк заказа'!$X$143:$X$143</definedName>
    <definedName name="SalesQty59">'Бланк заказа'!$X$147:$X$147</definedName>
    <definedName name="SalesQty6">'Бланк заказа'!$X$30:$X$30</definedName>
    <definedName name="SalesQty60">'Бланк заказа'!$X$148:$X$148</definedName>
    <definedName name="SalesQty61">'Бланк заказа'!$X$149:$X$149</definedName>
    <definedName name="SalesQty62">'Бланк заказа'!$X$150:$X$150</definedName>
    <definedName name="SalesQty63">'Бланк заказа'!$X$151:$X$151</definedName>
    <definedName name="SalesQty64">'Бланк заказа'!$X$152:$X$152</definedName>
    <definedName name="SalesQty65">'Бланк заказа'!$X$156:$X$156</definedName>
    <definedName name="SalesQty66">'Бланк заказа'!$X$162:$X$162</definedName>
    <definedName name="SalesQty67">'Бланк заказа'!$X$166:$X$166</definedName>
    <definedName name="SalesQty68">'Бланк заказа'!$X$167:$X$167</definedName>
    <definedName name="SalesQty69">'Бланк заказа'!$X$168:$X$168</definedName>
    <definedName name="SalesQty7">'Бланк заказа'!$X$34:$X$34</definedName>
    <definedName name="SalesQty70">'Бланк заказа'!$X$169:$X$169</definedName>
    <definedName name="SalesQty71">'Бланк заказа'!$X$170:$X$170</definedName>
    <definedName name="SalesQty72">'Бланк заказа'!$X$171:$X$171</definedName>
    <definedName name="SalesQty73">'Бланк заказа'!$X$172:$X$172</definedName>
    <definedName name="SalesQty74">'Бланк заказа'!$X$173:$X$173</definedName>
    <definedName name="SalesQty75">'Бланк заказа'!$X$174:$X$174</definedName>
    <definedName name="SalesQty76">'Бланк заказа'!$X$175:$X$175</definedName>
    <definedName name="SalesQty77">'Бланк заказа'!$X$176:$X$176</definedName>
    <definedName name="SalesQty78">'Бланк заказа'!$X$177:$X$177</definedName>
    <definedName name="SalesQty79">'Бланк заказа'!$X$178:$X$178</definedName>
    <definedName name="SalesQty8">'Бланк заказа'!$X$40:$X$40</definedName>
    <definedName name="SalesQty80">'Бланк заказа'!$X$179:$X$179</definedName>
    <definedName name="SalesQty81">'Бланк заказа'!$X$183:$X$183</definedName>
    <definedName name="SalesQty82">'Бланк заказа'!$X$184:$X$184</definedName>
    <definedName name="SalesQty83">'Бланк заказа'!$X$185:$X$185</definedName>
    <definedName name="SalesQty84">'Бланк заказа'!$X$189:$X$189</definedName>
    <definedName name="SalesQty85">'Бланк заказа'!$X$194:$X$194</definedName>
    <definedName name="SalesQty86">'Бланк заказа'!$X$195:$X$195</definedName>
    <definedName name="SalesQty87">'Бланк заказа'!$X$199:$X$199</definedName>
    <definedName name="SalesQty88">'Бланк заказа'!$X$200:$X$200</definedName>
    <definedName name="SalesQty89">'Бланк заказа'!$X$204:$X$204</definedName>
    <definedName name="SalesQty9">'Бланк заказа'!$X$41:$X$41</definedName>
    <definedName name="SalesQty90">'Бланк заказа'!$X$205:$X$205</definedName>
    <definedName name="SalesQty91">'Бланк заказа'!$X$206:$X$206</definedName>
    <definedName name="SalesQty92">'Бланк заказа'!$X$207:$X$207</definedName>
    <definedName name="SalesQty93">'Бланк заказа'!$X$208:$X$208</definedName>
    <definedName name="SalesQty94">'Бланк заказа'!$X$209:$X$209</definedName>
    <definedName name="SalesQty95">'Бланк заказа'!$X$210:$X$210</definedName>
    <definedName name="SalesQty96">'Бланк заказа'!$X$211:$X$211</definedName>
    <definedName name="SalesQty97">'Бланк заказа'!$X$215:$X$215</definedName>
    <definedName name="SalesQty98">'Бланк заказа'!$X$216:$X$216</definedName>
    <definedName name="SalesQty99">'Бланк заказа'!$X$217:$X$217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заказа'!$Y$218:$Y$218</definedName>
    <definedName name="SalesRoundBox101">'Бланк заказа'!$Y$219:$Y$219</definedName>
    <definedName name="SalesRoundBox102">'Бланк заказа'!$Y$220:$Y$220</definedName>
    <definedName name="SalesRoundBox103">'Бланк заказа'!$Y$221:$Y$221</definedName>
    <definedName name="SalesRoundBox104">'Бланк заказа'!$Y$222:$Y$222</definedName>
    <definedName name="SalesRoundBox105">'Бланк заказа'!$Y$223:$Y$223</definedName>
    <definedName name="SalesRoundBox106">'Бланк заказа'!$Y$227:$Y$227</definedName>
    <definedName name="SalesRoundBox107">'Бланк заказа'!$Y$228:$Y$228</definedName>
    <definedName name="SalesRoundBox108">'Бланк заказа'!$Y$233:$Y$233</definedName>
    <definedName name="SalesRoundBox109">'Бланк заказа'!$Y$234:$Y$234</definedName>
    <definedName name="SalesRoundBox11">'Бланк заказа'!$Y$46:$Y$46</definedName>
    <definedName name="SalesRoundBox110">'Бланк заказа'!$Y$235:$Y$235</definedName>
    <definedName name="SalesRoundBox111">'Бланк заказа'!$Y$236:$Y$236</definedName>
    <definedName name="SalesRoundBox112">'Бланк заказа'!$Y$237:$Y$237</definedName>
    <definedName name="SalesRoundBox113">'Бланк заказа'!$Y$238:$Y$238</definedName>
    <definedName name="SalesRoundBox114">'Бланк заказа'!$Y$239:$Y$239</definedName>
    <definedName name="SalesRoundBox115">'Бланк заказа'!$Y$240:$Y$240</definedName>
    <definedName name="SalesRoundBox116">'Бланк заказа'!$Y$241:$Y$241</definedName>
    <definedName name="SalesRoundBox117">'Бланк заказа'!$Y$245:$Y$245</definedName>
    <definedName name="SalesRoundBox118">'Бланк заказа'!$Y$249:$Y$249</definedName>
    <definedName name="SalesRoundBox119">'Бланк заказа'!$Y$253:$Y$253</definedName>
    <definedName name="SalesRoundBox12">'Бланк заказа'!$Y$51:$Y$51</definedName>
    <definedName name="SalesRoundBox120">'Бланк заказа'!$Y$254:$Y$254</definedName>
    <definedName name="SalesRoundBox121">'Бланк заказа'!$Y$255:$Y$255</definedName>
    <definedName name="SalesRoundBox122">'Бланк заказа'!$Y$256:$Y$256</definedName>
    <definedName name="SalesRoundBox123">'Бланк заказа'!$Y$257:$Y$257</definedName>
    <definedName name="SalesRoundBox124">'Бланк заказа'!$Y$262:$Y$262</definedName>
    <definedName name="SalesRoundBox125">'Бланк заказа'!$Y$263:$Y$263</definedName>
    <definedName name="SalesRoundBox126">'Бланк заказа'!$Y$264:$Y$264</definedName>
    <definedName name="SalesRoundBox127">'Бланк заказа'!$Y$265:$Y$265</definedName>
    <definedName name="SalesRoundBox128">'Бланк заказа'!$Y$266:$Y$266</definedName>
    <definedName name="SalesRoundBox129">'Бланк заказа'!$Y$271:$Y$271</definedName>
    <definedName name="SalesRoundBox13">'Бланк заказа'!$Y$52:$Y$52</definedName>
    <definedName name="SalesRoundBox130">'Бланк заказа'!$Y$272:$Y$272</definedName>
    <definedName name="SalesRoundBox131">'Бланк заказа'!$Y$273:$Y$273</definedName>
    <definedName name="SalesRoundBox132">'Бланк заказа'!$Y$274:$Y$274</definedName>
    <definedName name="SalesRoundBox133">'Бланк заказа'!$Y$279:$Y$279</definedName>
    <definedName name="SalesRoundBox134">'Бланк заказа'!$Y$280:$Y$280</definedName>
    <definedName name="SalesRoundBox135">'Бланк заказа'!$Y$281:$Y$281</definedName>
    <definedName name="SalesRoundBox136">'Бланк заказа'!$Y$286:$Y$286</definedName>
    <definedName name="SalesRoundBox137">'Бланк заказа'!$Y$287:$Y$287</definedName>
    <definedName name="SalesRoundBox138">'Бланк заказа'!$Y$291:$Y$291</definedName>
    <definedName name="SalesRoundBox139">'Бланк заказа'!$Y$292:$Y$292</definedName>
    <definedName name="SalesRoundBox14">'Бланк заказа'!$Y$53:$Y$53</definedName>
    <definedName name="SalesRoundBox140">'Бланк заказа'!$Y$297:$Y$297</definedName>
    <definedName name="SalesRoundBox141">'Бланк заказа'!$Y$298:$Y$298</definedName>
    <definedName name="SalesRoundBox142">'Бланк заказа'!$Y$299:$Y$299</definedName>
    <definedName name="SalesRoundBox143">'Бланк заказа'!$Y$300:$Y$300</definedName>
    <definedName name="SalesRoundBox144">'Бланк заказа'!$Y$301:$Y$301</definedName>
    <definedName name="SalesRoundBox145">'Бланк заказа'!$Y$302:$Y$302</definedName>
    <definedName name="SalesRoundBox146">'Бланк заказа'!$Y$306:$Y$306</definedName>
    <definedName name="SalesRoundBox147">'Бланк заказа'!$Y$307:$Y$307</definedName>
    <definedName name="SalesRoundBox148">'Бланк заказа'!$Y$308:$Y$308</definedName>
    <definedName name="SalesRoundBox149">'Бланк заказа'!$Y$309:$Y$309</definedName>
    <definedName name="SalesRoundBox15">'Бланк заказа'!$Y$54:$Y$54</definedName>
    <definedName name="SalesRoundBox150">'Бланк заказа'!$Y$310:$Y$310</definedName>
    <definedName name="SalesRoundBox151">'Бланк заказа'!$Y$311:$Y$311</definedName>
    <definedName name="SalesRoundBox152">'Бланк заказа'!$Y$315:$Y$315</definedName>
    <definedName name="SalesRoundBox153">'Бланк заказа'!$Y$316:$Y$316</definedName>
    <definedName name="SalesRoundBox154">'Бланк заказа'!$Y$317:$Y$317</definedName>
    <definedName name="SalesRoundBox155">'Бланк заказа'!$Y$318:$Y$318</definedName>
    <definedName name="SalesRoundBox156">'Бланк заказа'!$Y$322:$Y$322</definedName>
    <definedName name="SalesRoundBox157">'Бланк заказа'!$Y$323:$Y$323</definedName>
    <definedName name="SalesRoundBox158">'Бланк заказа'!$Y$324:$Y$324</definedName>
    <definedName name="SalesRoundBox159">'Бланк заказа'!$Y$328:$Y$328</definedName>
    <definedName name="SalesRoundBox16">'Бланк заказа'!$Y$55:$Y$55</definedName>
    <definedName name="SalesRoundBox160">'Бланк заказа'!$Y$329:$Y$329</definedName>
    <definedName name="SalesRoundBox161">'Бланк заказа'!$Y$330:$Y$330</definedName>
    <definedName name="SalesRoundBox162">'Бланк заказа'!$Y$331:$Y$331</definedName>
    <definedName name="SalesRoundBox163">'Бланк заказа'!$Y$335:$Y$335</definedName>
    <definedName name="SalesRoundBox164">'Бланк заказа'!$Y$336:$Y$336</definedName>
    <definedName name="SalesRoundBox165">'Бланк заказа'!$Y$337:$Y$337</definedName>
    <definedName name="SalesRoundBox166">'Бланк заказа'!$Y$342:$Y$342</definedName>
    <definedName name="SalesRoundBox167">'Бланк заказа'!$Y$343:$Y$343</definedName>
    <definedName name="SalesRoundBox168">'Бланк заказа'!$Y$344:$Y$344</definedName>
    <definedName name="SalesRoundBox169">'Бланк заказа'!$Y$350:$Y$350</definedName>
    <definedName name="SalesRoundBox17">'Бланк заказа'!$Y$56:$Y$56</definedName>
    <definedName name="SalesRoundBox170">'Бланк заказа'!$Y$351:$Y$351</definedName>
    <definedName name="SalesRoundBox171">'Бланк заказа'!$Y$352:$Y$352</definedName>
    <definedName name="SalesRoundBox172">'Бланк заказа'!$Y$353:$Y$353</definedName>
    <definedName name="SalesRoundBox173">'Бланк заказа'!$Y$354:$Y$354</definedName>
    <definedName name="SalesRoundBox174">'Бланк заказа'!$Y$355:$Y$355</definedName>
    <definedName name="SalesRoundBox175">'Бланк заказа'!$Y$356:$Y$356</definedName>
    <definedName name="SalesRoundBox176">'Бланк заказа'!$Y$360:$Y$360</definedName>
    <definedName name="SalesRoundBox177">'Бланк заказа'!$Y$361:$Y$361</definedName>
    <definedName name="SalesRoundBox178">'Бланк заказа'!$Y$365:$Y$365</definedName>
    <definedName name="SalesRoundBox179">'Бланк заказа'!$Y$366:$Y$366</definedName>
    <definedName name="SalesRoundBox18">'Бланк заказа'!$Y$60:$Y$60</definedName>
    <definedName name="SalesRoundBox180">'Бланк заказа'!$Y$370:$Y$370</definedName>
    <definedName name="SalesRoundBox181">'Бланк заказа'!$Y$375:$Y$375</definedName>
    <definedName name="SalesRoundBox182">'Бланк заказа'!$Y$376:$Y$376</definedName>
    <definedName name="SalesRoundBox183">'Бланк заказа'!$Y$380:$Y$380</definedName>
    <definedName name="SalesRoundBox184">'Бланк заказа'!$Y$381:$Y$381</definedName>
    <definedName name="SalesRoundBox185">'Бланк заказа'!$Y$385:$Y$385</definedName>
    <definedName name="SalesRoundBox186">'Бланк заказа'!$Y$386:$Y$386</definedName>
    <definedName name="SalesRoundBox187">'Бланк заказа'!$Y$387:$Y$387</definedName>
    <definedName name="SalesRoundBox188">'Бланк заказа'!$Y$393:$Y$393</definedName>
    <definedName name="SalesRoundBox189">'Бланк заказа'!$Y$394:$Y$394</definedName>
    <definedName name="SalesRoundBox19">'Бланк заказа'!$Y$61:$Y$61</definedName>
    <definedName name="SalesRoundBox190">'Бланк заказа'!$Y$395:$Y$395</definedName>
    <definedName name="SalesRoundBox191">'Бланк заказа'!$Y$396:$Y$396</definedName>
    <definedName name="SalesRoundBox192">'Бланк заказа'!$Y$397:$Y$397</definedName>
    <definedName name="SalesRoundBox193">'Бланк заказа'!$Y$398:$Y$398</definedName>
    <definedName name="SalesRoundBox194">'Бланк заказа'!$Y$399:$Y$399</definedName>
    <definedName name="SalesRoundBox195">'Бланк заказа'!$Y$400:$Y$400</definedName>
    <definedName name="SalesRoundBox196">'Бланк заказа'!$Y$401:$Y$401</definedName>
    <definedName name="SalesRoundBox197">'Бланк заказа'!$Y$405:$Y$405</definedName>
    <definedName name="SalesRoundBox198">'Бланк заказа'!$Y$406:$Y$406</definedName>
    <definedName name="SalesRoundBox199">'Бланк заказа'!$Y$411:$Y$411</definedName>
    <definedName name="SalesRoundBox2">'Бланк заказа'!$Y$23:$Y$23</definedName>
    <definedName name="SalesRoundBox20">'Бланк заказа'!$Y$62:$Y$62</definedName>
    <definedName name="SalesRoundBox200">'Бланк заказа'!$Y$415:$Y$415</definedName>
    <definedName name="SalesRoundBox201">'Бланк заказа'!$Y$416:$Y$416</definedName>
    <definedName name="SalesRoundBox202">'Бланк заказа'!$Y$417:$Y$417</definedName>
    <definedName name="SalesRoundBox203">'Бланк заказа'!$Y$418:$Y$418</definedName>
    <definedName name="SalesRoundBox204">'Бланк заказа'!$Y$423:$Y$423</definedName>
    <definedName name="SalesRoundBox205">'Бланк заказа'!$Y$429:$Y$429</definedName>
    <definedName name="SalesRoundBox206">'Бланк заказа'!$Y$430:$Y$430</definedName>
    <definedName name="SalesRoundBox207">'Бланк заказа'!$Y$431:$Y$431</definedName>
    <definedName name="SalesRoundBox208">'Бланк заказа'!$Y$432:$Y$432</definedName>
    <definedName name="SalesRoundBox209">'Бланк заказа'!$Y$433:$Y$433</definedName>
    <definedName name="SalesRoundBox21">'Бланк заказа'!$Y$66:$Y$66</definedName>
    <definedName name="SalesRoundBox210">'Бланк заказа'!$Y$434:$Y$434</definedName>
    <definedName name="SalesRoundBox211">'Бланк заказа'!$Y$435:$Y$435</definedName>
    <definedName name="SalesRoundBox212">'Бланк заказа'!$Y$436:$Y$436</definedName>
    <definedName name="SalesRoundBox213">'Бланк заказа'!$Y$437:$Y$437</definedName>
    <definedName name="SalesRoundBox214">'Бланк заказа'!$Y$438:$Y$438</definedName>
    <definedName name="SalesRoundBox215">'Бланк заказа'!$Y$439:$Y$439</definedName>
    <definedName name="SalesRoundBox216">'Бланк заказа'!$Y$440:$Y$440</definedName>
    <definedName name="SalesRoundBox217">'Бланк заказа'!$Y$444:$Y$444</definedName>
    <definedName name="SalesRoundBox218">'Бланк заказа'!$Y$445:$Y$445</definedName>
    <definedName name="SalesRoundBox219">'Бланк заказа'!$Y$446:$Y$446</definedName>
    <definedName name="SalesRoundBox22">'Бланк заказа'!$Y$67:$Y$67</definedName>
    <definedName name="SalesRoundBox220">'Бланк заказа'!$Y$450:$Y$450</definedName>
    <definedName name="SalesRoundBox221">'Бланк заказа'!$Y$451:$Y$451</definedName>
    <definedName name="SalesRoundBox222">'Бланк заказа'!$Y$452:$Y$452</definedName>
    <definedName name="SalesRoundBox223">'Бланк заказа'!$Y$453:$Y$453</definedName>
    <definedName name="SalesRoundBox224">'Бланк заказа'!$Y$454:$Y$454</definedName>
    <definedName name="SalesRoundBox225">'Бланк заказа'!$Y$455:$Y$455</definedName>
    <definedName name="SalesRoundBox226">'Бланк заказа'!$Y$459:$Y$459</definedName>
    <definedName name="SalesRoundBox227">'Бланк заказа'!$Y$465:$Y$465</definedName>
    <definedName name="SalesRoundBox228">'Бланк заказа'!$Y$466:$Y$466</definedName>
    <definedName name="SalesRoundBox229">'Бланк заказа'!$Y$467:$Y$467</definedName>
    <definedName name="SalesRoundBox23">'Бланк заказа'!$Y$71:$Y$71</definedName>
    <definedName name="SalesRoundBox230">'Бланк заказа'!$Y$468:$Y$468</definedName>
    <definedName name="SalesRoundBox231">'Бланк заказа'!$Y$472:$Y$472</definedName>
    <definedName name="SalesRoundBox232">'Бланк заказа'!$Y$473:$Y$473</definedName>
    <definedName name="SalesRoundBox233">'Бланк заказа'!$Y$477:$Y$477</definedName>
    <definedName name="SalesRoundBox234">'Бланк заказа'!$Y$481:$Y$481</definedName>
    <definedName name="SalesRoundBox235">'Бланк заказа'!$Y$485:$Y$485</definedName>
    <definedName name="SalesRoundBox236">'Бланк заказа'!$Y$486:$Y$486</definedName>
    <definedName name="SalesRoundBox237">'Бланк заказа'!$Y$491:$Y$491</definedName>
    <definedName name="SalesRoundBox24">'Бланк заказа'!$Y$72:$Y$72</definedName>
    <definedName name="SalesRoundBox25">'Бланк заказа'!$Y$73:$Y$73</definedName>
    <definedName name="SalesRoundBox26">'Бланк заказа'!$Y$74:$Y$74</definedName>
    <definedName name="SalesRoundBox27">'Бланк заказа'!$Y$78:$Y$78</definedName>
    <definedName name="SalesRoundBox28">'Бланк заказа'!$Y$79:$Y$79</definedName>
    <definedName name="SalesRoundBox29">'Бланк заказа'!$Y$84:$Y$84</definedName>
    <definedName name="SalesRoundBox3">'Бланк заказа'!$Y$27:$Y$27</definedName>
    <definedName name="SalesRoundBox30">'Бланк заказа'!$Y$85:$Y$85</definedName>
    <definedName name="SalesRoundBox31">'Бланк заказа'!$Y$86:$Y$86</definedName>
    <definedName name="SalesRoundBox32">'Бланк заказа'!$Y$87:$Y$87</definedName>
    <definedName name="SalesRoundBox33">'Бланк заказа'!$Y$91:$Y$91</definedName>
    <definedName name="SalesRoundBox34">'Бланк заказа'!$Y$92:$Y$92</definedName>
    <definedName name="SalesRoundBox35">'Бланк заказа'!$Y$93:$Y$93</definedName>
    <definedName name="SalesRoundBox36">'Бланк заказа'!$Y$94:$Y$94</definedName>
    <definedName name="SalesRoundBox37">'Бланк заказа'!$Y$99:$Y$99</definedName>
    <definedName name="SalesRoundBox38">'Бланк заказа'!$Y$100:$Y$100</definedName>
    <definedName name="SalesRoundBox39">'Бланк заказа'!$Y$101:$Y$101</definedName>
    <definedName name="SalesRoundBox4">'Бланк заказа'!$Y$28:$Y$28</definedName>
    <definedName name="SalesRoundBox40">'Бланк заказа'!$Y$102:$Y$102</definedName>
    <definedName name="SalesRoundBox41">'Бланк заказа'!$Y$103:$Y$103</definedName>
    <definedName name="SalesRoundBox42">'Бланк заказа'!$Y$107:$Y$107</definedName>
    <definedName name="SalesRoundBox43">'Бланк заказа'!$Y$108:$Y$108</definedName>
    <definedName name="SalesRoundBox44">'Бланк заказа'!$Y$109:$Y$109</definedName>
    <definedName name="SalesRoundBox45">'Бланк заказа'!$Y$110:$Y$110</definedName>
    <definedName name="SalesRoundBox46">'Бланк заказа'!$Y$114:$Y$114</definedName>
    <definedName name="SalesRoundBox47">'Бланк заказа'!$Y$115:$Y$115</definedName>
    <definedName name="SalesRoundBox48">'Бланк заказа'!$Y$116:$Y$116</definedName>
    <definedName name="SalesRoundBox49">'Бланк заказа'!$Y$117:$Y$117</definedName>
    <definedName name="SalesRoundBox5">'Бланк заказа'!$Y$29:$Y$29</definedName>
    <definedName name="SalesRoundBox50">'Бланк заказа'!$Y$121:$Y$121</definedName>
    <definedName name="SalesRoundBox51">'Бланк заказа'!$Y$126:$Y$126</definedName>
    <definedName name="SalesRoundBox52">'Бланк заказа'!$Y$127:$Y$127</definedName>
    <definedName name="SalesRoundBox53">'Бланк заказа'!$Y$131:$Y$131</definedName>
    <definedName name="SalesRoundBox54">'Бланк заказа'!$Y$132:$Y$132</definedName>
    <definedName name="SalesRoundBox55">'Бланк заказа'!$Y$136:$Y$136</definedName>
    <definedName name="SalesRoundBox56">'Бланк заказа'!$Y$137:$Y$137</definedName>
    <definedName name="SalesRoundBox57">'Бланк заказа'!$Y$142:$Y$142</definedName>
    <definedName name="SalesRoundBox58">'Бланк заказа'!$Y$143:$Y$143</definedName>
    <definedName name="SalesRoundBox59">'Бланк заказа'!$Y$147:$Y$147</definedName>
    <definedName name="SalesRoundBox6">'Бланк заказа'!$Y$30:$Y$30</definedName>
    <definedName name="SalesRoundBox60">'Бланк заказа'!$Y$148:$Y$148</definedName>
    <definedName name="SalesRoundBox61">'Бланк заказа'!$Y$149:$Y$149</definedName>
    <definedName name="SalesRoundBox62">'Бланк заказа'!$Y$150:$Y$150</definedName>
    <definedName name="SalesRoundBox63">'Бланк заказа'!$Y$151:$Y$151</definedName>
    <definedName name="SalesRoundBox64">'Бланк заказа'!$Y$152:$Y$152</definedName>
    <definedName name="SalesRoundBox65">'Бланк заказа'!$Y$156:$Y$156</definedName>
    <definedName name="SalesRoundBox66">'Бланк заказа'!$Y$162:$Y$162</definedName>
    <definedName name="SalesRoundBox67">'Бланк заказа'!$Y$166:$Y$166</definedName>
    <definedName name="SalesRoundBox68">'Бланк заказа'!$Y$167:$Y$167</definedName>
    <definedName name="SalesRoundBox69">'Бланк заказа'!$Y$168:$Y$168</definedName>
    <definedName name="SalesRoundBox7">'Бланк заказа'!$Y$34:$Y$34</definedName>
    <definedName name="SalesRoundBox70">'Бланк заказа'!$Y$169:$Y$169</definedName>
    <definedName name="SalesRoundBox71">'Бланк заказа'!$Y$170:$Y$170</definedName>
    <definedName name="SalesRoundBox72">'Бланк заказа'!$Y$171:$Y$171</definedName>
    <definedName name="SalesRoundBox73">'Бланк заказа'!$Y$172:$Y$172</definedName>
    <definedName name="SalesRoundBox74">'Бланк заказа'!$Y$173:$Y$173</definedName>
    <definedName name="SalesRoundBox75">'Бланк заказа'!$Y$174:$Y$174</definedName>
    <definedName name="SalesRoundBox76">'Бланк заказа'!$Y$175:$Y$175</definedName>
    <definedName name="SalesRoundBox77">'Бланк заказа'!$Y$176:$Y$176</definedName>
    <definedName name="SalesRoundBox78">'Бланк заказа'!$Y$177:$Y$177</definedName>
    <definedName name="SalesRoundBox79">'Бланк заказа'!$Y$178:$Y$178</definedName>
    <definedName name="SalesRoundBox8">'Бланк заказа'!$Y$40:$Y$40</definedName>
    <definedName name="SalesRoundBox80">'Бланк заказа'!$Y$179:$Y$179</definedName>
    <definedName name="SalesRoundBox81">'Бланк заказа'!$Y$183:$Y$183</definedName>
    <definedName name="SalesRoundBox82">'Бланк заказа'!$Y$184:$Y$184</definedName>
    <definedName name="SalesRoundBox83">'Бланк заказа'!$Y$185:$Y$185</definedName>
    <definedName name="SalesRoundBox84">'Бланк заказа'!$Y$189:$Y$189</definedName>
    <definedName name="SalesRoundBox85">'Бланк заказа'!$Y$194:$Y$194</definedName>
    <definedName name="SalesRoundBox86">'Бланк заказа'!$Y$195:$Y$195</definedName>
    <definedName name="SalesRoundBox87">'Бланк заказа'!$Y$199:$Y$199</definedName>
    <definedName name="SalesRoundBox88">'Бланк заказа'!$Y$200:$Y$200</definedName>
    <definedName name="SalesRoundBox89">'Бланк заказа'!$Y$204:$Y$204</definedName>
    <definedName name="SalesRoundBox9">'Бланк заказа'!$Y$41:$Y$41</definedName>
    <definedName name="SalesRoundBox90">'Бланк заказа'!$Y$205:$Y$205</definedName>
    <definedName name="SalesRoundBox91">'Бланк заказа'!$Y$206:$Y$206</definedName>
    <definedName name="SalesRoundBox92">'Бланк заказа'!$Y$207:$Y$207</definedName>
    <definedName name="SalesRoundBox93">'Бланк заказа'!$Y$208:$Y$208</definedName>
    <definedName name="SalesRoundBox94">'Бланк заказа'!$Y$209:$Y$209</definedName>
    <definedName name="SalesRoundBox95">'Бланк заказа'!$Y$210:$Y$210</definedName>
    <definedName name="SalesRoundBox96">'Бланк заказа'!$Y$211:$Y$211</definedName>
    <definedName name="SalesRoundBox97">'Бланк заказа'!$Y$215:$Y$215</definedName>
    <definedName name="SalesRoundBox98">'Бланк заказа'!$Y$216:$Y$216</definedName>
    <definedName name="SalesRoundBox99">'Бланк заказа'!$Y$217:$Y$217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заказа'!$W$218:$W$218</definedName>
    <definedName name="UnitOfMeasure101">'Бланк заказа'!$W$219:$W$219</definedName>
    <definedName name="UnitOfMeasure102">'Бланк заказа'!$W$220:$W$220</definedName>
    <definedName name="UnitOfMeasure103">'Бланк заказа'!$W$221:$W$221</definedName>
    <definedName name="UnitOfMeasure104">'Бланк заказа'!$W$222:$W$222</definedName>
    <definedName name="UnitOfMeasure105">'Бланк заказа'!$W$223:$W$223</definedName>
    <definedName name="UnitOfMeasure106">'Бланк заказа'!$W$227:$W$227</definedName>
    <definedName name="UnitOfMeasure107">'Бланк заказа'!$W$228:$W$228</definedName>
    <definedName name="UnitOfMeasure108">'Бланк заказа'!$W$233:$W$233</definedName>
    <definedName name="UnitOfMeasure109">'Бланк заказа'!$W$234:$W$234</definedName>
    <definedName name="UnitOfMeasure11">'Бланк заказа'!$W$46:$W$46</definedName>
    <definedName name="UnitOfMeasure110">'Бланк заказа'!$W$235:$W$235</definedName>
    <definedName name="UnitOfMeasure111">'Бланк заказа'!$W$236:$W$236</definedName>
    <definedName name="UnitOfMeasure112">'Бланк заказа'!$W$237:$W$237</definedName>
    <definedName name="UnitOfMeasure113">'Бланк заказа'!$W$238:$W$238</definedName>
    <definedName name="UnitOfMeasure114">'Бланк заказа'!$W$239:$W$239</definedName>
    <definedName name="UnitOfMeasure115">'Бланк заказа'!$W$240:$W$240</definedName>
    <definedName name="UnitOfMeasure116">'Бланк заказа'!$W$241:$W$241</definedName>
    <definedName name="UnitOfMeasure117">'Бланк заказа'!$W$245:$W$245</definedName>
    <definedName name="UnitOfMeasure118">'Бланк заказа'!$W$249:$W$249</definedName>
    <definedName name="UnitOfMeasure119">'Бланк заказа'!$W$253:$W$253</definedName>
    <definedName name="UnitOfMeasure12">'Бланк заказа'!$W$51:$W$51</definedName>
    <definedName name="UnitOfMeasure120">'Бланк заказа'!$W$254:$W$254</definedName>
    <definedName name="UnitOfMeasure121">'Бланк заказа'!$W$255:$W$255</definedName>
    <definedName name="UnitOfMeasure122">'Бланк заказа'!$W$256:$W$256</definedName>
    <definedName name="UnitOfMeasure123">'Бланк заказа'!$W$257:$W$257</definedName>
    <definedName name="UnitOfMeasure124">'Бланк заказа'!$W$262:$W$262</definedName>
    <definedName name="UnitOfMeasure125">'Бланк заказа'!$W$263:$W$263</definedName>
    <definedName name="UnitOfMeasure126">'Бланк заказа'!$W$264:$W$264</definedName>
    <definedName name="UnitOfMeasure127">'Бланк заказа'!$W$265:$W$265</definedName>
    <definedName name="UnitOfMeasure128">'Бланк заказа'!$W$266:$W$266</definedName>
    <definedName name="UnitOfMeasure129">'Бланк заказа'!$W$271:$W$271</definedName>
    <definedName name="UnitOfMeasure13">'Бланк заказа'!$W$52:$W$52</definedName>
    <definedName name="UnitOfMeasure130">'Бланк заказа'!$W$272:$W$272</definedName>
    <definedName name="UnitOfMeasure131">'Бланк заказа'!$W$273:$W$273</definedName>
    <definedName name="UnitOfMeasure132">'Бланк заказа'!$W$274:$W$274</definedName>
    <definedName name="UnitOfMeasure133">'Бланк заказа'!$W$279:$W$279</definedName>
    <definedName name="UnitOfMeasure134">'Бланк заказа'!$W$280:$W$280</definedName>
    <definedName name="UnitOfMeasure135">'Бланк заказа'!$W$281:$W$281</definedName>
    <definedName name="UnitOfMeasure136">'Бланк заказа'!$W$286:$W$286</definedName>
    <definedName name="UnitOfMeasure137">'Бланк заказа'!$W$287:$W$287</definedName>
    <definedName name="UnitOfMeasure138">'Бланк заказа'!$W$291:$W$291</definedName>
    <definedName name="UnitOfMeasure139">'Бланк заказа'!$W$292:$W$292</definedName>
    <definedName name="UnitOfMeasure14">'Бланк заказа'!$W$53:$W$53</definedName>
    <definedName name="UnitOfMeasure140">'Бланк заказа'!$W$297:$W$297</definedName>
    <definedName name="UnitOfMeasure141">'Бланк заказа'!$W$298:$W$298</definedName>
    <definedName name="UnitOfMeasure142">'Бланк заказа'!$W$299:$W$299</definedName>
    <definedName name="UnitOfMeasure143">'Бланк заказа'!$W$300:$W$300</definedName>
    <definedName name="UnitOfMeasure144">'Бланк заказа'!$W$301:$W$301</definedName>
    <definedName name="UnitOfMeasure145">'Бланк заказа'!$W$302:$W$302</definedName>
    <definedName name="UnitOfMeasure146">'Бланк заказа'!$W$306:$W$306</definedName>
    <definedName name="UnitOfMeasure147">'Бланк заказа'!$W$307:$W$307</definedName>
    <definedName name="UnitOfMeasure148">'Бланк заказа'!$W$308:$W$308</definedName>
    <definedName name="UnitOfMeasure149">'Бланк заказа'!$W$309:$W$309</definedName>
    <definedName name="UnitOfMeasure15">'Бланк заказа'!$W$54:$W$54</definedName>
    <definedName name="UnitOfMeasure150">'Бланк заказа'!$W$310:$W$310</definedName>
    <definedName name="UnitOfMeasure151">'Бланк заказа'!$W$311:$W$311</definedName>
    <definedName name="UnitOfMeasure152">'Бланк заказа'!$W$315:$W$315</definedName>
    <definedName name="UnitOfMeasure153">'Бланк заказа'!$W$316:$W$316</definedName>
    <definedName name="UnitOfMeasure154">'Бланк заказа'!$W$317:$W$317</definedName>
    <definedName name="UnitOfMeasure155">'Бланк заказа'!$W$318:$W$318</definedName>
    <definedName name="UnitOfMeasure156">'Бланк заказа'!$W$322:$W$322</definedName>
    <definedName name="UnitOfMeasure157">'Бланк заказа'!$W$323:$W$323</definedName>
    <definedName name="UnitOfMeasure158">'Бланк заказа'!$W$324:$W$324</definedName>
    <definedName name="UnitOfMeasure159">'Бланк заказа'!$W$328:$W$328</definedName>
    <definedName name="UnitOfMeasure16">'Бланк заказа'!$W$55:$W$55</definedName>
    <definedName name="UnitOfMeasure160">'Бланк заказа'!$W$329:$W$329</definedName>
    <definedName name="UnitOfMeasure161">'Бланк заказа'!$W$330:$W$330</definedName>
    <definedName name="UnitOfMeasure162">'Бланк заказа'!$W$331:$W$331</definedName>
    <definedName name="UnitOfMeasure163">'Бланк заказа'!$W$335:$W$335</definedName>
    <definedName name="UnitOfMeasure164">'Бланк заказа'!$W$336:$W$336</definedName>
    <definedName name="UnitOfMeasure165">'Бланк заказа'!$W$337:$W$337</definedName>
    <definedName name="UnitOfMeasure166">'Бланк заказа'!$W$342:$W$342</definedName>
    <definedName name="UnitOfMeasure167">'Бланк заказа'!$W$343:$W$343</definedName>
    <definedName name="UnitOfMeasure168">'Бланк заказа'!$W$344:$W$344</definedName>
    <definedName name="UnitOfMeasure169">'Бланк заказа'!$W$350:$W$350</definedName>
    <definedName name="UnitOfMeasure17">'Бланк заказа'!$W$56:$W$56</definedName>
    <definedName name="UnitOfMeasure170">'Бланк заказа'!$W$351:$W$351</definedName>
    <definedName name="UnitOfMeasure171">'Бланк заказа'!$W$352:$W$352</definedName>
    <definedName name="UnitOfMeasure172">'Бланк заказа'!$W$353:$W$353</definedName>
    <definedName name="UnitOfMeasure173">'Бланк заказа'!$W$354:$W$354</definedName>
    <definedName name="UnitOfMeasure174">'Бланк заказа'!$W$355:$W$355</definedName>
    <definedName name="UnitOfMeasure175">'Бланк заказа'!$W$356:$W$356</definedName>
    <definedName name="UnitOfMeasure176">'Бланк заказа'!$W$360:$W$360</definedName>
    <definedName name="UnitOfMeasure177">'Бланк заказа'!$W$361:$W$361</definedName>
    <definedName name="UnitOfMeasure178">'Бланк заказа'!$W$365:$W$365</definedName>
    <definedName name="UnitOfMeasure179">'Бланк заказа'!$W$366:$W$366</definedName>
    <definedName name="UnitOfMeasure18">'Бланк заказа'!$W$60:$W$60</definedName>
    <definedName name="UnitOfMeasure180">'Бланк заказа'!$W$370:$W$370</definedName>
    <definedName name="UnitOfMeasure181">'Бланк заказа'!$W$375:$W$375</definedName>
    <definedName name="UnitOfMeasure182">'Бланк заказа'!$W$376:$W$376</definedName>
    <definedName name="UnitOfMeasure183">'Бланк заказа'!$W$380:$W$380</definedName>
    <definedName name="UnitOfMeasure184">'Бланк заказа'!$W$381:$W$381</definedName>
    <definedName name="UnitOfMeasure185">'Бланк заказа'!$W$385:$W$385</definedName>
    <definedName name="UnitOfMeasure186">'Бланк заказа'!$W$386:$W$386</definedName>
    <definedName name="UnitOfMeasure187">'Бланк заказа'!$W$387:$W$387</definedName>
    <definedName name="UnitOfMeasure188">'Бланк заказа'!$W$393:$W$393</definedName>
    <definedName name="UnitOfMeasure189">'Бланк заказа'!$W$394:$W$394</definedName>
    <definedName name="UnitOfMeasure19">'Бланк заказа'!$W$61:$W$61</definedName>
    <definedName name="UnitOfMeasure190">'Бланк заказа'!$W$395:$W$395</definedName>
    <definedName name="UnitOfMeasure191">'Бланк заказа'!$W$396:$W$396</definedName>
    <definedName name="UnitOfMeasure192">'Бланк заказа'!$W$397:$W$397</definedName>
    <definedName name="UnitOfMeasure193">'Бланк заказа'!$W$398:$W$398</definedName>
    <definedName name="UnitOfMeasure194">'Бланк заказа'!$W$399:$W$399</definedName>
    <definedName name="UnitOfMeasure195">'Бланк заказа'!$W$400:$W$400</definedName>
    <definedName name="UnitOfMeasure196">'Бланк заказа'!$W$401:$W$401</definedName>
    <definedName name="UnitOfMeasure197">'Бланк заказа'!$W$405:$W$405</definedName>
    <definedName name="UnitOfMeasure198">'Бланк заказа'!$W$406:$W$406</definedName>
    <definedName name="UnitOfMeasure199">'Бланк заказа'!$W$411:$W$411</definedName>
    <definedName name="UnitOfMeasure2">'Бланк заказа'!$W$23:$W$23</definedName>
    <definedName name="UnitOfMeasure20">'Бланк заказа'!$W$62:$W$62</definedName>
    <definedName name="UnitOfMeasure200">'Бланк заказа'!$W$415:$W$415</definedName>
    <definedName name="UnitOfMeasure201">'Бланк заказа'!$W$416:$W$416</definedName>
    <definedName name="UnitOfMeasure202">'Бланк заказа'!$W$417:$W$417</definedName>
    <definedName name="UnitOfMeasure203">'Бланк заказа'!$W$418:$W$418</definedName>
    <definedName name="UnitOfMeasure204">'Бланк заказа'!$W$423:$W$423</definedName>
    <definedName name="UnitOfMeasure205">'Бланк заказа'!$W$429:$W$429</definedName>
    <definedName name="UnitOfMeasure206">'Бланк заказа'!$W$430:$W$430</definedName>
    <definedName name="UnitOfMeasure207">'Бланк заказа'!$W$431:$W$431</definedName>
    <definedName name="UnitOfMeasure208">'Бланк заказа'!$W$432:$W$432</definedName>
    <definedName name="UnitOfMeasure209">'Бланк заказа'!$W$433:$W$433</definedName>
    <definedName name="UnitOfMeasure21">'Бланк заказа'!$W$66:$W$66</definedName>
    <definedName name="UnitOfMeasure210">'Бланк заказа'!$W$434:$W$434</definedName>
    <definedName name="UnitOfMeasure211">'Бланк заказа'!$W$435:$W$435</definedName>
    <definedName name="UnitOfMeasure212">'Бланк заказа'!$W$436:$W$436</definedName>
    <definedName name="UnitOfMeasure213">'Бланк заказа'!$W$437:$W$437</definedName>
    <definedName name="UnitOfMeasure214">'Бланк заказа'!$W$438:$W$438</definedName>
    <definedName name="UnitOfMeasure215">'Бланк заказа'!$W$439:$W$439</definedName>
    <definedName name="UnitOfMeasure216">'Бланк заказа'!$W$440:$W$440</definedName>
    <definedName name="UnitOfMeasure217">'Бланк заказа'!$W$444:$W$444</definedName>
    <definedName name="UnitOfMeasure218">'Бланк заказа'!$W$445:$W$445</definedName>
    <definedName name="UnitOfMeasure219">'Бланк заказа'!$W$446:$W$446</definedName>
    <definedName name="UnitOfMeasure22">'Бланк заказа'!$W$67:$W$67</definedName>
    <definedName name="UnitOfMeasure220">'Бланк заказа'!$W$450:$W$450</definedName>
    <definedName name="UnitOfMeasure221">'Бланк заказа'!$W$451:$W$451</definedName>
    <definedName name="UnitOfMeasure222">'Бланк заказа'!$W$452:$W$452</definedName>
    <definedName name="UnitOfMeasure223">'Бланк заказа'!$W$453:$W$453</definedName>
    <definedName name="UnitOfMeasure224">'Бланк заказа'!$W$454:$W$454</definedName>
    <definedName name="UnitOfMeasure225">'Бланк заказа'!$W$455:$W$455</definedName>
    <definedName name="UnitOfMeasure226">'Бланк заказа'!$W$459:$W$459</definedName>
    <definedName name="UnitOfMeasure227">'Бланк заказа'!$W$465:$W$465</definedName>
    <definedName name="UnitOfMeasure228">'Бланк заказа'!$W$466:$W$466</definedName>
    <definedName name="UnitOfMeasure229">'Бланк заказа'!$W$467:$W$467</definedName>
    <definedName name="UnitOfMeasure23">'Бланк заказа'!$W$71:$W$71</definedName>
    <definedName name="UnitOfMeasure230">'Бланк заказа'!$W$468:$W$468</definedName>
    <definedName name="UnitOfMeasure231">'Бланк заказа'!$W$472:$W$472</definedName>
    <definedName name="UnitOfMeasure232">'Бланк заказа'!$W$473:$W$473</definedName>
    <definedName name="UnitOfMeasure233">'Бланк заказа'!$W$477:$W$477</definedName>
    <definedName name="UnitOfMeasure234">'Бланк заказа'!$W$481:$W$481</definedName>
    <definedName name="UnitOfMeasure235">'Бланк заказа'!$W$485:$W$485</definedName>
    <definedName name="UnitOfMeasure236">'Бланк заказа'!$W$486:$W$486</definedName>
    <definedName name="UnitOfMeasure237">'Бланк заказа'!$W$491:$W$491</definedName>
    <definedName name="UnitOfMeasure24">'Бланк заказа'!$W$72:$W$72</definedName>
    <definedName name="UnitOfMeasure25">'Бланк заказа'!$W$73:$W$73</definedName>
    <definedName name="UnitOfMeasure26">'Бланк заказа'!$W$74:$W$74</definedName>
    <definedName name="UnitOfMeasure27">'Бланк заказа'!$W$78:$W$78</definedName>
    <definedName name="UnitOfMeasure28">'Бланк заказа'!$W$79:$W$79</definedName>
    <definedName name="UnitOfMeasure29">'Бланк заказа'!$W$84:$W$84</definedName>
    <definedName name="UnitOfMeasure3">'Бланк заказа'!$W$27:$W$27</definedName>
    <definedName name="UnitOfMeasure30">'Бланк заказа'!$W$85:$W$85</definedName>
    <definedName name="UnitOfMeasure31">'Бланк заказа'!$W$86:$W$86</definedName>
    <definedName name="UnitOfMeasure32">'Бланк заказа'!$W$87:$W$87</definedName>
    <definedName name="UnitOfMeasure33">'Бланк заказа'!$W$91:$W$91</definedName>
    <definedName name="UnitOfMeasure34">'Бланк заказа'!$W$92:$W$92</definedName>
    <definedName name="UnitOfMeasure35">'Бланк заказа'!$W$93:$W$93</definedName>
    <definedName name="UnitOfMeasure36">'Бланк заказа'!$W$94:$W$94</definedName>
    <definedName name="UnitOfMeasure37">'Бланк заказа'!$W$99:$W$99</definedName>
    <definedName name="UnitOfMeasure38">'Бланк заказа'!$W$100:$W$100</definedName>
    <definedName name="UnitOfMeasure39">'Бланк заказа'!$W$101:$W$101</definedName>
    <definedName name="UnitOfMeasure4">'Бланк заказа'!$W$28:$W$28</definedName>
    <definedName name="UnitOfMeasure40">'Бланк заказа'!$W$102:$W$102</definedName>
    <definedName name="UnitOfMeasure41">'Бланк заказа'!$W$103:$W$103</definedName>
    <definedName name="UnitOfMeasure42">'Бланк заказа'!$W$107:$W$107</definedName>
    <definedName name="UnitOfMeasure43">'Бланк заказа'!$W$108:$W$108</definedName>
    <definedName name="UnitOfMeasure44">'Бланк заказа'!$W$109:$W$109</definedName>
    <definedName name="UnitOfMeasure45">'Бланк заказа'!$W$110:$W$110</definedName>
    <definedName name="UnitOfMeasure46">'Бланк заказа'!$W$114:$W$114</definedName>
    <definedName name="UnitOfMeasure47">'Бланк заказа'!$W$115:$W$115</definedName>
    <definedName name="UnitOfMeasure48">'Бланк заказа'!$W$116:$W$116</definedName>
    <definedName name="UnitOfMeasure49">'Бланк заказа'!$W$117:$W$117</definedName>
    <definedName name="UnitOfMeasure5">'Бланк заказа'!$W$29:$W$29</definedName>
    <definedName name="UnitOfMeasure50">'Бланк заказа'!$W$121:$W$121</definedName>
    <definedName name="UnitOfMeasure51">'Бланк заказа'!$W$126:$W$126</definedName>
    <definedName name="UnitOfMeasure52">'Бланк заказа'!$W$127:$W$127</definedName>
    <definedName name="UnitOfMeasure53">'Бланк заказа'!$W$131:$W$131</definedName>
    <definedName name="UnitOfMeasure54">'Бланк заказа'!$W$132:$W$132</definedName>
    <definedName name="UnitOfMeasure55">'Бланк заказа'!$W$136:$W$136</definedName>
    <definedName name="UnitOfMeasure56">'Бланк заказа'!$W$137:$W$137</definedName>
    <definedName name="UnitOfMeasure57">'Бланк заказа'!$W$142:$W$142</definedName>
    <definedName name="UnitOfMeasure58">'Бланк заказа'!$W$143:$W$143</definedName>
    <definedName name="UnitOfMeasure59">'Бланк заказа'!$W$147:$W$147</definedName>
    <definedName name="UnitOfMeasure6">'Бланк заказа'!$W$30:$W$30</definedName>
    <definedName name="UnitOfMeasure60">'Бланк заказа'!$W$148:$W$148</definedName>
    <definedName name="UnitOfMeasure61">'Бланк заказа'!$W$149:$W$149</definedName>
    <definedName name="UnitOfMeasure62">'Бланк заказа'!$W$150:$W$150</definedName>
    <definedName name="UnitOfMeasure63">'Бланк заказа'!$W$151:$W$151</definedName>
    <definedName name="UnitOfMeasure64">'Бланк заказа'!$W$152:$W$152</definedName>
    <definedName name="UnitOfMeasure65">'Бланк заказа'!$W$156:$W$156</definedName>
    <definedName name="UnitOfMeasure66">'Бланк заказа'!$W$162:$W$162</definedName>
    <definedName name="UnitOfMeasure67">'Бланк заказа'!$W$166:$W$166</definedName>
    <definedName name="UnitOfMeasure68">'Бланк заказа'!$W$167:$W$167</definedName>
    <definedName name="UnitOfMeasure69">'Бланк заказа'!$W$168:$W$168</definedName>
    <definedName name="UnitOfMeasure7">'Бланк заказа'!$W$34:$W$34</definedName>
    <definedName name="UnitOfMeasure70">'Бланк заказа'!$W$169:$W$169</definedName>
    <definedName name="UnitOfMeasure71">'Бланк заказа'!$W$170:$W$170</definedName>
    <definedName name="UnitOfMeasure72">'Бланк заказа'!$W$171:$W$171</definedName>
    <definedName name="UnitOfMeasure73">'Бланк заказа'!$W$172:$W$172</definedName>
    <definedName name="UnitOfMeasure74">'Бланк заказа'!$W$173:$W$173</definedName>
    <definedName name="UnitOfMeasure75">'Бланк заказа'!$W$174:$W$174</definedName>
    <definedName name="UnitOfMeasure76">'Бланк заказа'!$W$175:$W$175</definedName>
    <definedName name="UnitOfMeasure77">'Бланк заказа'!$W$176:$W$176</definedName>
    <definedName name="UnitOfMeasure78">'Бланк заказа'!$W$177:$W$177</definedName>
    <definedName name="UnitOfMeasure79">'Бланк заказа'!$W$178:$W$178</definedName>
    <definedName name="UnitOfMeasure8">'Бланк заказа'!$W$40:$W$40</definedName>
    <definedName name="UnitOfMeasure80">'Бланк заказа'!$W$179:$W$179</definedName>
    <definedName name="UnitOfMeasure81">'Бланк заказа'!$W$183:$W$183</definedName>
    <definedName name="UnitOfMeasure82">'Бланк заказа'!$W$184:$W$184</definedName>
    <definedName name="UnitOfMeasure83">'Бланк заказа'!$W$185:$W$185</definedName>
    <definedName name="UnitOfMeasure84">'Бланк заказа'!$W$189:$W$189</definedName>
    <definedName name="UnitOfMeasure85">'Бланк заказа'!$W$194:$W$194</definedName>
    <definedName name="UnitOfMeasure86">'Бланк заказа'!$W$195:$W$195</definedName>
    <definedName name="UnitOfMeasure87">'Бланк заказа'!$W$199:$W$199</definedName>
    <definedName name="UnitOfMeasure88">'Бланк заказа'!$W$200:$W$200</definedName>
    <definedName name="UnitOfMeasure89">'Бланк заказа'!$W$204:$W$204</definedName>
    <definedName name="UnitOfMeasure9">'Бланк заказа'!$W$41:$W$41</definedName>
    <definedName name="UnitOfMeasure90">'Бланк заказа'!$W$205:$W$205</definedName>
    <definedName name="UnitOfMeasure91">'Бланк заказа'!$W$206:$W$206</definedName>
    <definedName name="UnitOfMeasure92">'Бланк заказа'!$W$207:$W$207</definedName>
    <definedName name="UnitOfMeasure93">'Бланк заказа'!$W$208:$W$208</definedName>
    <definedName name="UnitOfMeasure94">'Бланк заказа'!$W$209:$W$209</definedName>
    <definedName name="UnitOfMeasure95">'Бланк заказа'!$W$210:$W$210</definedName>
    <definedName name="UnitOfMeasure96">'Бланк заказа'!$W$211:$W$211</definedName>
    <definedName name="UnitOfMeasure97">'Бланк заказа'!$W$215:$W$215</definedName>
    <definedName name="UnitOfMeasure98">'Бланк заказа'!$W$216:$W$216</definedName>
    <definedName name="UnitOfMeasure99">'Бланк заказа'!$W$217:$W$217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W504" i="1" l="1"/>
  <c r="X493" i="1"/>
  <c r="X492" i="1"/>
  <c r="BO491" i="1"/>
  <c r="BM491" i="1"/>
  <c r="Y491" i="1"/>
  <c r="P491" i="1"/>
  <c r="X488" i="1"/>
  <c r="X487" i="1"/>
  <c r="BO486" i="1"/>
  <c r="BM486" i="1"/>
  <c r="Y486" i="1"/>
  <c r="P486" i="1"/>
  <c r="BP485" i="1"/>
  <c r="BO485" i="1"/>
  <c r="BN485" i="1"/>
  <c r="BM485" i="1"/>
  <c r="Z485" i="1"/>
  <c r="Y485" i="1"/>
  <c r="Y487" i="1" s="1"/>
  <c r="P485" i="1"/>
  <c r="X483" i="1"/>
  <c r="Y482" i="1"/>
  <c r="X482" i="1"/>
  <c r="BP481" i="1"/>
  <c r="BO481" i="1"/>
  <c r="BN481" i="1"/>
  <c r="BM481" i="1"/>
  <c r="Z481" i="1"/>
  <c r="Z482" i="1" s="1"/>
  <c r="Y481" i="1"/>
  <c r="Y483" i="1" s="1"/>
  <c r="P481" i="1"/>
  <c r="X479" i="1"/>
  <c r="Y478" i="1"/>
  <c r="X478" i="1"/>
  <c r="BP477" i="1"/>
  <c r="BO477" i="1"/>
  <c r="BN477" i="1"/>
  <c r="BM477" i="1"/>
  <c r="Z477" i="1"/>
  <c r="Z478" i="1" s="1"/>
  <c r="Y477" i="1"/>
  <c r="Y479" i="1" s="1"/>
  <c r="P477" i="1"/>
  <c r="X475" i="1"/>
  <c r="X474" i="1"/>
  <c r="BP473" i="1"/>
  <c r="BO473" i="1"/>
  <c r="BN473" i="1"/>
  <c r="BM473" i="1"/>
  <c r="Z473" i="1"/>
  <c r="Y473" i="1"/>
  <c r="P473" i="1"/>
  <c r="BO472" i="1"/>
  <c r="BM472" i="1"/>
  <c r="Y472" i="1"/>
  <c r="P472" i="1"/>
  <c r="X470" i="1"/>
  <c r="X469" i="1"/>
  <c r="BO468" i="1"/>
  <c r="BM468" i="1"/>
  <c r="Y468" i="1"/>
  <c r="P468" i="1"/>
  <c r="BP467" i="1"/>
  <c r="BO467" i="1"/>
  <c r="BN467" i="1"/>
  <c r="BM467" i="1"/>
  <c r="Z467" i="1"/>
  <c r="Y467" i="1"/>
  <c r="P467" i="1"/>
  <c r="BO466" i="1"/>
  <c r="BM466" i="1"/>
  <c r="Y466" i="1"/>
  <c r="P466" i="1"/>
  <c r="BP465" i="1"/>
  <c r="BO465" i="1"/>
  <c r="BN465" i="1"/>
  <c r="BM465" i="1"/>
  <c r="Z465" i="1"/>
  <c r="Y465" i="1"/>
  <c r="Y469" i="1" s="1"/>
  <c r="P465" i="1"/>
  <c r="X461" i="1"/>
  <c r="Y460" i="1"/>
  <c r="X460" i="1"/>
  <c r="BP459" i="1"/>
  <c r="BO459" i="1"/>
  <c r="BN459" i="1"/>
  <c r="BM459" i="1"/>
  <c r="Z459" i="1"/>
  <c r="Z460" i="1" s="1"/>
  <c r="Y459" i="1"/>
  <c r="Y461" i="1" s="1"/>
  <c r="P459" i="1"/>
  <c r="X457" i="1"/>
  <c r="X456" i="1"/>
  <c r="BP455" i="1"/>
  <c r="BO455" i="1"/>
  <c r="BN455" i="1"/>
  <c r="BM455" i="1"/>
  <c r="Z455" i="1"/>
  <c r="Y455" i="1"/>
  <c r="P455" i="1"/>
  <c r="BO454" i="1"/>
  <c r="BM454" i="1"/>
  <c r="Y454" i="1"/>
  <c r="P454" i="1"/>
  <c r="BP453" i="1"/>
  <c r="BO453" i="1"/>
  <c r="BN453" i="1"/>
  <c r="BM453" i="1"/>
  <c r="Z453" i="1"/>
  <c r="Y453" i="1"/>
  <c r="P453" i="1"/>
  <c r="BO452" i="1"/>
  <c r="BM452" i="1"/>
  <c r="Y452" i="1"/>
  <c r="P452" i="1"/>
  <c r="BP451" i="1"/>
  <c r="BO451" i="1"/>
  <c r="BN451" i="1"/>
  <c r="BM451" i="1"/>
  <c r="Z451" i="1"/>
  <c r="Y451" i="1"/>
  <c r="P451" i="1"/>
  <c r="BO450" i="1"/>
  <c r="BM450" i="1"/>
  <c r="Y450" i="1"/>
  <c r="P450" i="1"/>
  <c r="X448" i="1"/>
  <c r="X447" i="1"/>
  <c r="BO446" i="1"/>
  <c r="BM446" i="1"/>
  <c r="Y446" i="1"/>
  <c r="P446" i="1"/>
  <c r="BP445" i="1"/>
  <c r="BO445" i="1"/>
  <c r="BN445" i="1"/>
  <c r="BM445" i="1"/>
  <c r="Z445" i="1"/>
  <c r="Y445" i="1"/>
  <c r="P445" i="1"/>
  <c r="BO444" i="1"/>
  <c r="BM444" i="1"/>
  <c r="Y444" i="1"/>
  <c r="P444" i="1"/>
  <c r="X442" i="1"/>
  <c r="X441" i="1"/>
  <c r="BO440" i="1"/>
  <c r="BM440" i="1"/>
  <c r="Y440" i="1"/>
  <c r="P440" i="1"/>
  <c r="BP439" i="1"/>
  <c r="BO439" i="1"/>
  <c r="BN439" i="1"/>
  <c r="BM439" i="1"/>
  <c r="Z439" i="1"/>
  <c r="Y439" i="1"/>
  <c r="P439" i="1"/>
  <c r="BO438" i="1"/>
  <c r="BM438" i="1"/>
  <c r="Y438" i="1"/>
  <c r="P438" i="1"/>
  <c r="BP437" i="1"/>
  <c r="BO437" i="1"/>
  <c r="BN437" i="1"/>
  <c r="BM437" i="1"/>
  <c r="Z437" i="1"/>
  <c r="Y437" i="1"/>
  <c r="P437" i="1"/>
  <c r="BO436" i="1"/>
  <c r="BM436" i="1"/>
  <c r="Y436" i="1"/>
  <c r="P436" i="1"/>
  <c r="BP435" i="1"/>
  <c r="BO435" i="1"/>
  <c r="BN435" i="1"/>
  <c r="BM435" i="1"/>
  <c r="Z435" i="1"/>
  <c r="Y435" i="1"/>
  <c r="P435" i="1"/>
  <c r="BO434" i="1"/>
  <c r="BM434" i="1"/>
  <c r="Y434" i="1"/>
  <c r="P434" i="1"/>
  <c r="BP433" i="1"/>
  <c r="BO433" i="1"/>
  <c r="BN433" i="1"/>
  <c r="BM433" i="1"/>
  <c r="Z433" i="1"/>
  <c r="Y433" i="1"/>
  <c r="P433" i="1"/>
  <c r="BO432" i="1"/>
  <c r="BM432" i="1"/>
  <c r="Y432" i="1"/>
  <c r="P432" i="1"/>
  <c r="BP431" i="1"/>
  <c r="BO431" i="1"/>
  <c r="BN431" i="1"/>
  <c r="BM431" i="1"/>
  <c r="Z431" i="1"/>
  <c r="Y431" i="1"/>
  <c r="P431" i="1"/>
  <c r="BO430" i="1"/>
  <c r="BM430" i="1"/>
  <c r="Y430" i="1"/>
  <c r="P430" i="1"/>
  <c r="BP429" i="1"/>
  <c r="BO429" i="1"/>
  <c r="BN429" i="1"/>
  <c r="BM429" i="1"/>
  <c r="Z429" i="1"/>
  <c r="Y429" i="1"/>
  <c r="P429" i="1"/>
  <c r="X425" i="1"/>
  <c r="Y424" i="1"/>
  <c r="X424" i="1"/>
  <c r="BP423" i="1"/>
  <c r="BO423" i="1"/>
  <c r="BN423" i="1"/>
  <c r="BM423" i="1"/>
  <c r="Z423" i="1"/>
  <c r="Z424" i="1" s="1"/>
  <c r="Y423" i="1"/>
  <c r="Y425" i="1" s="1"/>
  <c r="P423" i="1"/>
  <c r="X420" i="1"/>
  <c r="X419" i="1"/>
  <c r="BP418" i="1"/>
  <c r="BO418" i="1"/>
  <c r="BN418" i="1"/>
  <c r="BM418" i="1"/>
  <c r="Z418" i="1"/>
  <c r="Y418" i="1"/>
  <c r="P418" i="1"/>
  <c r="BO417" i="1"/>
  <c r="BM417" i="1"/>
  <c r="Y417" i="1"/>
  <c r="P417" i="1"/>
  <c r="BP416" i="1"/>
  <c r="BO416" i="1"/>
  <c r="BN416" i="1"/>
  <c r="BM416" i="1"/>
  <c r="Z416" i="1"/>
  <c r="Y416" i="1"/>
  <c r="P416" i="1"/>
  <c r="BO415" i="1"/>
  <c r="BM415" i="1"/>
  <c r="Y415" i="1"/>
  <c r="P415" i="1"/>
  <c r="X413" i="1"/>
  <c r="X412" i="1"/>
  <c r="BO411" i="1"/>
  <c r="BM411" i="1"/>
  <c r="Y411" i="1"/>
  <c r="P411" i="1"/>
  <c r="X408" i="1"/>
  <c r="X407" i="1"/>
  <c r="BO406" i="1"/>
  <c r="BM406" i="1"/>
  <c r="Y406" i="1"/>
  <c r="P406" i="1"/>
  <c r="BP405" i="1"/>
  <c r="BO405" i="1"/>
  <c r="BN405" i="1"/>
  <c r="BM405" i="1"/>
  <c r="Z405" i="1"/>
  <c r="Y405" i="1"/>
  <c r="P405" i="1"/>
  <c r="X403" i="1"/>
  <c r="X402" i="1"/>
  <c r="BP401" i="1"/>
  <c r="BO401" i="1"/>
  <c r="BN401" i="1"/>
  <c r="BM401" i="1"/>
  <c r="Z401" i="1"/>
  <c r="Y401" i="1"/>
  <c r="P401" i="1"/>
  <c r="BO400" i="1"/>
  <c r="BM400" i="1"/>
  <c r="Y400" i="1"/>
  <c r="P400" i="1"/>
  <c r="BP399" i="1"/>
  <c r="BO399" i="1"/>
  <c r="BN399" i="1"/>
  <c r="BM399" i="1"/>
  <c r="Z399" i="1"/>
  <c r="Y399" i="1"/>
  <c r="P399" i="1"/>
  <c r="BO398" i="1"/>
  <c r="BM398" i="1"/>
  <c r="Y398" i="1"/>
  <c r="P398" i="1"/>
  <c r="BP397" i="1"/>
  <c r="BO397" i="1"/>
  <c r="BN397" i="1"/>
  <c r="BM397" i="1"/>
  <c r="Z397" i="1"/>
  <c r="Y397" i="1"/>
  <c r="P397" i="1"/>
  <c r="BO396" i="1"/>
  <c r="BM396" i="1"/>
  <c r="Y396" i="1"/>
  <c r="P396" i="1"/>
  <c r="BP395" i="1"/>
  <c r="BO395" i="1"/>
  <c r="BN395" i="1"/>
  <c r="BM395" i="1"/>
  <c r="Z395" i="1"/>
  <c r="Y395" i="1"/>
  <c r="P395" i="1"/>
  <c r="BO394" i="1"/>
  <c r="BM394" i="1"/>
  <c r="Y394" i="1"/>
  <c r="P394" i="1"/>
  <c r="BP393" i="1"/>
  <c r="BO393" i="1"/>
  <c r="BN393" i="1"/>
  <c r="BM393" i="1"/>
  <c r="Z393" i="1"/>
  <c r="Y393" i="1"/>
  <c r="P393" i="1"/>
  <c r="X389" i="1"/>
  <c r="Y388" i="1"/>
  <c r="X388" i="1"/>
  <c r="BP387" i="1"/>
  <c r="BO387" i="1"/>
  <c r="BN387" i="1"/>
  <c r="BM387" i="1"/>
  <c r="Z387" i="1"/>
  <c r="Y387" i="1"/>
  <c r="P387" i="1"/>
  <c r="BO386" i="1"/>
  <c r="BM386" i="1"/>
  <c r="Y386" i="1"/>
  <c r="P386" i="1"/>
  <c r="BP385" i="1"/>
  <c r="BO385" i="1"/>
  <c r="BN385" i="1"/>
  <c r="BM385" i="1"/>
  <c r="Z385" i="1"/>
  <c r="Y385" i="1"/>
  <c r="Y389" i="1" s="1"/>
  <c r="P385" i="1"/>
  <c r="X383" i="1"/>
  <c r="X382" i="1"/>
  <c r="BP381" i="1"/>
  <c r="BO381" i="1"/>
  <c r="BN381" i="1"/>
  <c r="BM381" i="1"/>
  <c r="Z381" i="1"/>
  <c r="Y381" i="1"/>
  <c r="P381" i="1"/>
  <c r="BO380" i="1"/>
  <c r="BM380" i="1"/>
  <c r="Y380" i="1"/>
  <c r="P380" i="1"/>
  <c r="X378" i="1"/>
  <c r="X377" i="1"/>
  <c r="BO376" i="1"/>
  <c r="BM376" i="1"/>
  <c r="Y376" i="1"/>
  <c r="P376" i="1"/>
  <c r="BP375" i="1"/>
  <c r="BO375" i="1"/>
  <c r="BN375" i="1"/>
  <c r="BM375" i="1"/>
  <c r="Z375" i="1"/>
  <c r="Y375" i="1"/>
  <c r="P375" i="1"/>
  <c r="X372" i="1"/>
  <c r="Y371" i="1"/>
  <c r="X371" i="1"/>
  <c r="BP370" i="1"/>
  <c r="BO370" i="1"/>
  <c r="BN370" i="1"/>
  <c r="BM370" i="1"/>
  <c r="Z370" i="1"/>
  <c r="Z371" i="1" s="1"/>
  <c r="Y370" i="1"/>
  <c r="Y372" i="1" s="1"/>
  <c r="P370" i="1"/>
  <c r="X368" i="1"/>
  <c r="Y367" i="1"/>
  <c r="X367" i="1"/>
  <c r="BP366" i="1"/>
  <c r="BO366" i="1"/>
  <c r="BN366" i="1"/>
  <c r="BM366" i="1"/>
  <c r="Z366" i="1"/>
  <c r="Y366" i="1"/>
  <c r="P366" i="1"/>
  <c r="BO365" i="1"/>
  <c r="BM365" i="1"/>
  <c r="Y365" i="1"/>
  <c r="P365" i="1"/>
  <c r="X363" i="1"/>
  <c r="X362" i="1"/>
  <c r="BO361" i="1"/>
  <c r="BM361" i="1"/>
  <c r="Y361" i="1"/>
  <c r="P361" i="1"/>
  <c r="BP360" i="1"/>
  <c r="BO360" i="1"/>
  <c r="BN360" i="1"/>
  <c r="BM360" i="1"/>
  <c r="Z360" i="1"/>
  <c r="Y360" i="1"/>
  <c r="Y362" i="1" s="1"/>
  <c r="P360" i="1"/>
  <c r="X358" i="1"/>
  <c r="X357" i="1"/>
  <c r="BP356" i="1"/>
  <c r="BO356" i="1"/>
  <c r="BN356" i="1"/>
  <c r="BM356" i="1"/>
  <c r="Z356" i="1"/>
  <c r="Y356" i="1"/>
  <c r="P356" i="1"/>
  <c r="BO355" i="1"/>
  <c r="BM355" i="1"/>
  <c r="Y355" i="1"/>
  <c r="P355" i="1"/>
  <c r="BP354" i="1"/>
  <c r="BO354" i="1"/>
  <c r="BN354" i="1"/>
  <c r="BM354" i="1"/>
  <c r="Z354" i="1"/>
  <c r="Y354" i="1"/>
  <c r="P354" i="1"/>
  <c r="BO353" i="1"/>
  <c r="BM353" i="1"/>
  <c r="Y353" i="1"/>
  <c r="P353" i="1"/>
  <c r="BP352" i="1"/>
  <c r="BO352" i="1"/>
  <c r="BN352" i="1"/>
  <c r="BM352" i="1"/>
  <c r="Z352" i="1"/>
  <c r="Y352" i="1"/>
  <c r="P352" i="1"/>
  <c r="BO351" i="1"/>
  <c r="BM351" i="1"/>
  <c r="Y351" i="1"/>
  <c r="P351" i="1"/>
  <c r="BP350" i="1"/>
  <c r="BO350" i="1"/>
  <c r="BN350" i="1"/>
  <c r="BM350" i="1"/>
  <c r="Z350" i="1"/>
  <c r="Y350" i="1"/>
  <c r="P350" i="1"/>
  <c r="X346" i="1"/>
  <c r="X345" i="1"/>
  <c r="BO344" i="1"/>
  <c r="BM344" i="1"/>
  <c r="Y344" i="1"/>
  <c r="P344" i="1"/>
  <c r="BP343" i="1"/>
  <c r="BO343" i="1"/>
  <c r="BN343" i="1"/>
  <c r="BM343" i="1"/>
  <c r="Z343" i="1"/>
  <c r="Y343" i="1"/>
  <c r="P343" i="1"/>
  <c r="BO342" i="1"/>
  <c r="BM342" i="1"/>
  <c r="Y342" i="1"/>
  <c r="P342" i="1"/>
  <c r="X339" i="1"/>
  <c r="X338" i="1"/>
  <c r="BO337" i="1"/>
  <c r="BM337" i="1"/>
  <c r="Y337" i="1"/>
  <c r="P337" i="1"/>
  <c r="BP336" i="1"/>
  <c r="BO336" i="1"/>
  <c r="BN336" i="1"/>
  <c r="BM336" i="1"/>
  <c r="Z336" i="1"/>
  <c r="Y336" i="1"/>
  <c r="P336" i="1"/>
  <c r="BO335" i="1"/>
  <c r="BM335" i="1"/>
  <c r="Y335" i="1"/>
  <c r="Y339" i="1" s="1"/>
  <c r="P335" i="1"/>
  <c r="X333" i="1"/>
  <c r="X332" i="1"/>
  <c r="BO331" i="1"/>
  <c r="BM331" i="1"/>
  <c r="Y331" i="1"/>
  <c r="P331" i="1"/>
  <c r="BP330" i="1"/>
  <c r="BO330" i="1"/>
  <c r="BN330" i="1"/>
  <c r="BM330" i="1"/>
  <c r="Z330" i="1"/>
  <c r="Y330" i="1"/>
  <c r="P330" i="1"/>
  <c r="BO329" i="1"/>
  <c r="BM329" i="1"/>
  <c r="Y329" i="1"/>
  <c r="P329" i="1"/>
  <c r="BP328" i="1"/>
  <c r="BO328" i="1"/>
  <c r="BN328" i="1"/>
  <c r="BM328" i="1"/>
  <c r="Z328" i="1"/>
  <c r="Y328" i="1"/>
  <c r="Y332" i="1" s="1"/>
  <c r="P328" i="1"/>
  <c r="X326" i="1"/>
  <c r="X325" i="1"/>
  <c r="BP324" i="1"/>
  <c r="BO324" i="1"/>
  <c r="BN324" i="1"/>
  <c r="BM324" i="1"/>
  <c r="Z324" i="1"/>
  <c r="Y324" i="1"/>
  <c r="P324" i="1"/>
  <c r="BO323" i="1"/>
  <c r="BM323" i="1"/>
  <c r="Y323" i="1"/>
  <c r="Y325" i="1" s="1"/>
  <c r="P323" i="1"/>
  <c r="BP322" i="1"/>
  <c r="BO322" i="1"/>
  <c r="BN322" i="1"/>
  <c r="BM322" i="1"/>
  <c r="Z322" i="1"/>
  <c r="Y322" i="1"/>
  <c r="P322" i="1"/>
  <c r="X320" i="1"/>
  <c r="X319" i="1"/>
  <c r="BP318" i="1"/>
  <c r="BO318" i="1"/>
  <c r="BN318" i="1"/>
  <c r="BM318" i="1"/>
  <c r="Z318" i="1"/>
  <c r="Y318" i="1"/>
  <c r="P318" i="1"/>
  <c r="BO317" i="1"/>
  <c r="BM317" i="1"/>
  <c r="Y317" i="1"/>
  <c r="P317" i="1"/>
  <c r="BP316" i="1"/>
  <c r="BO316" i="1"/>
  <c r="BN316" i="1"/>
  <c r="BM316" i="1"/>
  <c r="Z316" i="1"/>
  <c r="Y316" i="1"/>
  <c r="P316" i="1"/>
  <c r="BO315" i="1"/>
  <c r="BM315" i="1"/>
  <c r="Y315" i="1"/>
  <c r="P315" i="1"/>
  <c r="X313" i="1"/>
  <c r="X312" i="1"/>
  <c r="BO311" i="1"/>
  <c r="BM311" i="1"/>
  <c r="Y311" i="1"/>
  <c r="P311" i="1"/>
  <c r="BP310" i="1"/>
  <c r="BO310" i="1"/>
  <c r="BN310" i="1"/>
  <c r="BM310" i="1"/>
  <c r="Z310" i="1"/>
  <c r="Y310" i="1"/>
  <c r="P310" i="1"/>
  <c r="BO309" i="1"/>
  <c r="BM309" i="1"/>
  <c r="Y309" i="1"/>
  <c r="P309" i="1"/>
  <c r="BP308" i="1"/>
  <c r="BO308" i="1"/>
  <c r="BN308" i="1"/>
  <c r="BM308" i="1"/>
  <c r="Z308" i="1"/>
  <c r="Y308" i="1"/>
  <c r="P308" i="1"/>
  <c r="BO307" i="1"/>
  <c r="BM307" i="1"/>
  <c r="Y307" i="1"/>
  <c r="P307" i="1"/>
  <c r="BP306" i="1"/>
  <c r="BO306" i="1"/>
  <c r="BN306" i="1"/>
  <c r="BM306" i="1"/>
  <c r="Z306" i="1"/>
  <c r="Y306" i="1"/>
  <c r="P306" i="1"/>
  <c r="X304" i="1"/>
  <c r="X303" i="1"/>
  <c r="BP302" i="1"/>
  <c r="BO302" i="1"/>
  <c r="BN302" i="1"/>
  <c r="BM302" i="1"/>
  <c r="Z302" i="1"/>
  <c r="Y302" i="1"/>
  <c r="P302" i="1"/>
  <c r="BO301" i="1"/>
  <c r="BM301" i="1"/>
  <c r="Y301" i="1"/>
  <c r="P301" i="1"/>
  <c r="BP300" i="1"/>
  <c r="BO300" i="1"/>
  <c r="BN300" i="1"/>
  <c r="BM300" i="1"/>
  <c r="Z300" i="1"/>
  <c r="Y300" i="1"/>
  <c r="P300" i="1"/>
  <c r="BO299" i="1"/>
  <c r="BM299" i="1"/>
  <c r="Y299" i="1"/>
  <c r="P299" i="1"/>
  <c r="BP298" i="1"/>
  <c r="BO298" i="1"/>
  <c r="BN298" i="1"/>
  <c r="BM298" i="1"/>
  <c r="Z298" i="1"/>
  <c r="Y298" i="1"/>
  <c r="P298" i="1"/>
  <c r="BO297" i="1"/>
  <c r="BM297" i="1"/>
  <c r="Y297" i="1"/>
  <c r="P297" i="1"/>
  <c r="X294" i="1"/>
  <c r="X293" i="1"/>
  <c r="BO292" i="1"/>
  <c r="BM292" i="1"/>
  <c r="Y292" i="1"/>
  <c r="P292" i="1"/>
  <c r="BP291" i="1"/>
  <c r="BO291" i="1"/>
  <c r="BN291" i="1"/>
  <c r="BM291" i="1"/>
  <c r="Z291" i="1"/>
  <c r="Y291" i="1"/>
  <c r="Y293" i="1" s="1"/>
  <c r="P291" i="1"/>
  <c r="X289" i="1"/>
  <c r="X288" i="1"/>
  <c r="BP287" i="1"/>
  <c r="BO287" i="1"/>
  <c r="BN287" i="1"/>
  <c r="BM287" i="1"/>
  <c r="Z287" i="1"/>
  <c r="Y287" i="1"/>
  <c r="P287" i="1"/>
  <c r="BO286" i="1"/>
  <c r="BM286" i="1"/>
  <c r="Y286" i="1"/>
  <c r="P286" i="1"/>
  <c r="X283" i="1"/>
  <c r="X282" i="1"/>
  <c r="BO281" i="1"/>
  <c r="BM281" i="1"/>
  <c r="Y281" i="1"/>
  <c r="P281" i="1"/>
  <c r="BP280" i="1"/>
  <c r="BO280" i="1"/>
  <c r="BN280" i="1"/>
  <c r="BM280" i="1"/>
  <c r="Z280" i="1"/>
  <c r="Y280" i="1"/>
  <c r="P280" i="1"/>
  <c r="BO279" i="1"/>
  <c r="BM279" i="1"/>
  <c r="Y279" i="1"/>
  <c r="P279" i="1"/>
  <c r="X276" i="1"/>
  <c r="X275" i="1"/>
  <c r="BO274" i="1"/>
  <c r="BM274" i="1"/>
  <c r="Y274" i="1"/>
  <c r="P274" i="1"/>
  <c r="BP273" i="1"/>
  <c r="BO273" i="1"/>
  <c r="BN273" i="1"/>
  <c r="BM273" i="1"/>
  <c r="Z273" i="1"/>
  <c r="Y273" i="1"/>
  <c r="P273" i="1"/>
  <c r="BO272" i="1"/>
  <c r="BM272" i="1"/>
  <c r="Y272" i="1"/>
  <c r="P272" i="1"/>
  <c r="BP271" i="1"/>
  <c r="BO271" i="1"/>
  <c r="BN271" i="1"/>
  <c r="BM271" i="1"/>
  <c r="Z271" i="1"/>
  <c r="Y271" i="1"/>
  <c r="P271" i="1"/>
  <c r="X268" i="1"/>
  <c r="X267" i="1"/>
  <c r="BP266" i="1"/>
  <c r="BO266" i="1"/>
  <c r="BN266" i="1"/>
  <c r="BM266" i="1"/>
  <c r="Z266" i="1"/>
  <c r="Y266" i="1"/>
  <c r="P266" i="1"/>
  <c r="BO265" i="1"/>
  <c r="BM265" i="1"/>
  <c r="Y265" i="1"/>
  <c r="P265" i="1"/>
  <c r="BP264" i="1"/>
  <c r="BO264" i="1"/>
  <c r="BN264" i="1"/>
  <c r="BM264" i="1"/>
  <c r="Z264" i="1"/>
  <c r="Y264" i="1"/>
  <c r="P264" i="1"/>
  <c r="BO263" i="1"/>
  <c r="BM263" i="1"/>
  <c r="Y263" i="1"/>
  <c r="P263" i="1"/>
  <c r="BP262" i="1"/>
  <c r="BO262" i="1"/>
  <c r="BN262" i="1"/>
  <c r="BM262" i="1"/>
  <c r="Z262" i="1"/>
  <c r="Y262" i="1"/>
  <c r="P262" i="1"/>
  <c r="X259" i="1"/>
  <c r="X258" i="1"/>
  <c r="BP257" i="1"/>
  <c r="BO257" i="1"/>
  <c r="BN257" i="1"/>
  <c r="BM257" i="1"/>
  <c r="Z257" i="1"/>
  <c r="Y257" i="1"/>
  <c r="P257" i="1"/>
  <c r="BO256" i="1"/>
  <c r="BM256" i="1"/>
  <c r="Y256" i="1"/>
  <c r="P256" i="1"/>
  <c r="BP255" i="1"/>
  <c r="BO255" i="1"/>
  <c r="BN255" i="1"/>
  <c r="BM255" i="1"/>
  <c r="Z255" i="1"/>
  <c r="Y255" i="1"/>
  <c r="P255" i="1"/>
  <c r="BO254" i="1"/>
  <c r="BM254" i="1"/>
  <c r="Y254" i="1"/>
  <c r="P254" i="1"/>
  <c r="BP253" i="1"/>
  <c r="BO253" i="1"/>
  <c r="BN253" i="1"/>
  <c r="BM253" i="1"/>
  <c r="Z253" i="1"/>
  <c r="Y253" i="1"/>
  <c r="P253" i="1"/>
  <c r="X251" i="1"/>
  <c r="Y250" i="1"/>
  <c r="X250" i="1"/>
  <c r="BP249" i="1"/>
  <c r="BO249" i="1"/>
  <c r="BN249" i="1"/>
  <c r="BM249" i="1"/>
  <c r="Z249" i="1"/>
  <c r="Z250" i="1" s="1"/>
  <c r="Y249" i="1"/>
  <c r="Y251" i="1" s="1"/>
  <c r="P249" i="1"/>
  <c r="X247" i="1"/>
  <c r="Y246" i="1"/>
  <c r="X246" i="1"/>
  <c r="BP245" i="1"/>
  <c r="BO245" i="1"/>
  <c r="BN245" i="1"/>
  <c r="BM245" i="1"/>
  <c r="Z245" i="1"/>
  <c r="Z246" i="1" s="1"/>
  <c r="Y245" i="1"/>
  <c r="Y247" i="1" s="1"/>
  <c r="P245" i="1"/>
  <c r="X243" i="1"/>
  <c r="X242" i="1"/>
  <c r="BP241" i="1"/>
  <c r="BO241" i="1"/>
  <c r="BN241" i="1"/>
  <c r="BM241" i="1"/>
  <c r="Z241" i="1"/>
  <c r="Y241" i="1"/>
  <c r="P241" i="1"/>
  <c r="BO240" i="1"/>
  <c r="BM240" i="1"/>
  <c r="Y240" i="1"/>
  <c r="P240" i="1"/>
  <c r="BP239" i="1"/>
  <c r="BO239" i="1"/>
  <c r="BN239" i="1"/>
  <c r="BM239" i="1"/>
  <c r="Z239" i="1"/>
  <c r="Y239" i="1"/>
  <c r="P239" i="1"/>
  <c r="BO238" i="1"/>
  <c r="BM238" i="1"/>
  <c r="Y238" i="1"/>
  <c r="P238" i="1"/>
  <c r="BP237" i="1"/>
  <c r="BO237" i="1"/>
  <c r="BN237" i="1"/>
  <c r="BM237" i="1"/>
  <c r="Z237" i="1"/>
  <c r="Y237" i="1"/>
  <c r="P237" i="1"/>
  <c r="BO236" i="1"/>
  <c r="BM236" i="1"/>
  <c r="Y236" i="1"/>
  <c r="P236" i="1"/>
  <c r="BP235" i="1"/>
  <c r="BO235" i="1"/>
  <c r="BN235" i="1"/>
  <c r="BM235" i="1"/>
  <c r="Z235" i="1"/>
  <c r="Y235" i="1"/>
  <c r="P235" i="1"/>
  <c r="BO234" i="1"/>
  <c r="BM234" i="1"/>
  <c r="Y234" i="1"/>
  <c r="P234" i="1"/>
  <c r="BP233" i="1"/>
  <c r="BO233" i="1"/>
  <c r="BN233" i="1"/>
  <c r="BM233" i="1"/>
  <c r="Z233" i="1"/>
  <c r="Y233" i="1"/>
  <c r="P233" i="1"/>
  <c r="X230" i="1"/>
  <c r="Y229" i="1"/>
  <c r="X229" i="1"/>
  <c r="BP228" i="1"/>
  <c r="BO228" i="1"/>
  <c r="BN228" i="1"/>
  <c r="BM228" i="1"/>
  <c r="Z228" i="1"/>
  <c r="Y228" i="1"/>
  <c r="P228" i="1"/>
  <c r="BO227" i="1"/>
  <c r="BM227" i="1"/>
  <c r="Y227" i="1"/>
  <c r="P227" i="1"/>
  <c r="X225" i="1"/>
  <c r="X224" i="1"/>
  <c r="BO223" i="1"/>
  <c r="BM223" i="1"/>
  <c r="Y223" i="1"/>
  <c r="P223" i="1"/>
  <c r="BP222" i="1"/>
  <c r="BO222" i="1"/>
  <c r="BN222" i="1"/>
  <c r="BM222" i="1"/>
  <c r="Z222" i="1"/>
  <c r="Y222" i="1"/>
  <c r="P222" i="1"/>
  <c r="BO221" i="1"/>
  <c r="BM221" i="1"/>
  <c r="Y221" i="1"/>
  <c r="P221" i="1"/>
  <c r="BP220" i="1"/>
  <c r="BO220" i="1"/>
  <c r="BN220" i="1"/>
  <c r="BM220" i="1"/>
  <c r="Z220" i="1"/>
  <c r="Y220" i="1"/>
  <c r="P220" i="1"/>
  <c r="BO219" i="1"/>
  <c r="BM219" i="1"/>
  <c r="Y219" i="1"/>
  <c r="P219" i="1"/>
  <c r="BP218" i="1"/>
  <c r="BO218" i="1"/>
  <c r="BN218" i="1"/>
  <c r="BM218" i="1"/>
  <c r="Z218" i="1"/>
  <c r="Y218" i="1"/>
  <c r="P218" i="1"/>
  <c r="BO217" i="1"/>
  <c r="BM217" i="1"/>
  <c r="Y217" i="1"/>
  <c r="P217" i="1"/>
  <c r="BP216" i="1"/>
  <c r="BO216" i="1"/>
  <c r="BN216" i="1"/>
  <c r="BM216" i="1"/>
  <c r="Z216" i="1"/>
  <c r="Y216" i="1"/>
  <c r="P216" i="1"/>
  <c r="BO215" i="1"/>
  <c r="BM215" i="1"/>
  <c r="Y215" i="1"/>
  <c r="P215" i="1"/>
  <c r="X213" i="1"/>
  <c r="X212" i="1"/>
  <c r="BO211" i="1"/>
  <c r="BM211" i="1"/>
  <c r="Y211" i="1"/>
  <c r="P211" i="1"/>
  <c r="BP210" i="1"/>
  <c r="BO210" i="1"/>
  <c r="BN210" i="1"/>
  <c r="BM210" i="1"/>
  <c r="Z210" i="1"/>
  <c r="Y210" i="1"/>
  <c r="P210" i="1"/>
  <c r="BO209" i="1"/>
  <c r="BM209" i="1"/>
  <c r="Y209" i="1"/>
  <c r="P209" i="1"/>
  <c r="BP208" i="1"/>
  <c r="BO208" i="1"/>
  <c r="BN208" i="1"/>
  <c r="BM208" i="1"/>
  <c r="Z208" i="1"/>
  <c r="Y208" i="1"/>
  <c r="P208" i="1"/>
  <c r="BO207" i="1"/>
  <c r="BM207" i="1"/>
  <c r="Y207" i="1"/>
  <c r="P207" i="1"/>
  <c r="BP206" i="1"/>
  <c r="BO206" i="1"/>
  <c r="BN206" i="1"/>
  <c r="BM206" i="1"/>
  <c r="Z206" i="1"/>
  <c r="Y206" i="1"/>
  <c r="P206" i="1"/>
  <c r="BO205" i="1"/>
  <c r="BM205" i="1"/>
  <c r="Y205" i="1"/>
  <c r="P205" i="1"/>
  <c r="BP204" i="1"/>
  <c r="BO204" i="1"/>
  <c r="BN204" i="1"/>
  <c r="BM204" i="1"/>
  <c r="Z204" i="1"/>
  <c r="Y204" i="1"/>
  <c r="P204" i="1"/>
  <c r="X202" i="1"/>
  <c r="Y201" i="1"/>
  <c r="X201" i="1"/>
  <c r="BP200" i="1"/>
  <c r="BO200" i="1"/>
  <c r="BN200" i="1"/>
  <c r="BM200" i="1"/>
  <c r="Z200" i="1"/>
  <c r="Y200" i="1"/>
  <c r="P200" i="1"/>
  <c r="BO199" i="1"/>
  <c r="BN199" i="1"/>
  <c r="BM199" i="1"/>
  <c r="Z199" i="1"/>
  <c r="Z201" i="1" s="1"/>
  <c r="Y199" i="1"/>
  <c r="P199" i="1"/>
  <c r="X197" i="1"/>
  <c r="Y196" i="1"/>
  <c r="X196" i="1"/>
  <c r="BP195" i="1"/>
  <c r="BO195" i="1"/>
  <c r="BN195" i="1"/>
  <c r="BM195" i="1"/>
  <c r="Z195" i="1"/>
  <c r="Y195" i="1"/>
  <c r="P195" i="1"/>
  <c r="BO194" i="1"/>
  <c r="BM194" i="1"/>
  <c r="Y194" i="1"/>
  <c r="P194" i="1"/>
  <c r="X191" i="1"/>
  <c r="X190" i="1"/>
  <c r="BO189" i="1"/>
  <c r="BM189" i="1"/>
  <c r="Y189" i="1"/>
  <c r="P189" i="1"/>
  <c r="X187" i="1"/>
  <c r="X186" i="1"/>
  <c r="BO185" i="1"/>
  <c r="BM185" i="1"/>
  <c r="Y185" i="1"/>
  <c r="P185" i="1"/>
  <c r="BP184" i="1"/>
  <c r="BO184" i="1"/>
  <c r="BN184" i="1"/>
  <c r="BM184" i="1"/>
  <c r="Z184" i="1"/>
  <c r="Y184" i="1"/>
  <c r="P184" i="1"/>
  <c r="BO183" i="1"/>
  <c r="BM183" i="1"/>
  <c r="Y183" i="1"/>
  <c r="P183" i="1"/>
  <c r="X181" i="1"/>
  <c r="X180" i="1"/>
  <c r="BO179" i="1"/>
  <c r="BM179" i="1"/>
  <c r="Y179" i="1"/>
  <c r="P179" i="1"/>
  <c r="BP178" i="1"/>
  <c r="BO178" i="1"/>
  <c r="BN178" i="1"/>
  <c r="BM178" i="1"/>
  <c r="Z178" i="1"/>
  <c r="Y178" i="1"/>
  <c r="P178" i="1"/>
  <c r="BO177" i="1"/>
  <c r="BM177" i="1"/>
  <c r="Y177" i="1"/>
  <c r="P177" i="1"/>
  <c r="BP176" i="1"/>
  <c r="BO176" i="1"/>
  <c r="BN176" i="1"/>
  <c r="BM176" i="1"/>
  <c r="Z176" i="1"/>
  <c r="Y176" i="1"/>
  <c r="P176" i="1"/>
  <c r="BO175" i="1"/>
  <c r="BM175" i="1"/>
  <c r="Y175" i="1"/>
  <c r="P175" i="1"/>
  <c r="BP174" i="1"/>
  <c r="BO174" i="1"/>
  <c r="BN174" i="1"/>
  <c r="BM174" i="1"/>
  <c r="Z174" i="1"/>
  <c r="Y174" i="1"/>
  <c r="P174" i="1"/>
  <c r="BO173" i="1"/>
  <c r="BM173" i="1"/>
  <c r="Y173" i="1"/>
  <c r="P173" i="1"/>
  <c r="BP172" i="1"/>
  <c r="BO172" i="1"/>
  <c r="BN172" i="1"/>
  <c r="BM172" i="1"/>
  <c r="Z172" i="1"/>
  <c r="Y172" i="1"/>
  <c r="P172" i="1"/>
  <c r="BO171" i="1"/>
  <c r="BM171" i="1"/>
  <c r="Y171" i="1"/>
  <c r="P171" i="1"/>
  <c r="BP170" i="1"/>
  <c r="BO170" i="1"/>
  <c r="BN170" i="1"/>
  <c r="BM170" i="1"/>
  <c r="Z170" i="1"/>
  <c r="Y170" i="1"/>
  <c r="P170" i="1"/>
  <c r="BO169" i="1"/>
  <c r="BM169" i="1"/>
  <c r="Y169" i="1"/>
  <c r="P169" i="1"/>
  <c r="BP168" i="1"/>
  <c r="BO168" i="1"/>
  <c r="BN168" i="1"/>
  <c r="BM168" i="1"/>
  <c r="Z168" i="1"/>
  <c r="Y168" i="1"/>
  <c r="P168" i="1"/>
  <c r="BO167" i="1"/>
  <c r="BM167" i="1"/>
  <c r="Y167" i="1"/>
  <c r="P167" i="1"/>
  <c r="BP166" i="1"/>
  <c r="BO166" i="1"/>
  <c r="BN166" i="1"/>
  <c r="BM166" i="1"/>
  <c r="Z166" i="1"/>
  <c r="Y166" i="1"/>
  <c r="P166" i="1"/>
  <c r="X164" i="1"/>
  <c r="Y163" i="1"/>
  <c r="X163" i="1"/>
  <c r="BP162" i="1"/>
  <c r="BO162" i="1"/>
  <c r="BN162" i="1"/>
  <c r="BM162" i="1"/>
  <c r="Z162" i="1"/>
  <c r="Z163" i="1" s="1"/>
  <c r="Y162" i="1"/>
  <c r="P162" i="1"/>
  <c r="X158" i="1"/>
  <c r="Y157" i="1"/>
  <c r="X157" i="1"/>
  <c r="BP156" i="1"/>
  <c r="BO156" i="1"/>
  <c r="BN156" i="1"/>
  <c r="BM156" i="1"/>
  <c r="Z156" i="1"/>
  <c r="Z157" i="1" s="1"/>
  <c r="Y156" i="1"/>
  <c r="Y158" i="1" s="1"/>
  <c r="P156" i="1"/>
  <c r="X154" i="1"/>
  <c r="X153" i="1"/>
  <c r="BP152" i="1"/>
  <c r="BO152" i="1"/>
  <c r="BN152" i="1"/>
  <c r="BM152" i="1"/>
  <c r="Z152" i="1"/>
  <c r="Y152" i="1"/>
  <c r="P152" i="1"/>
  <c r="BO151" i="1"/>
  <c r="BM151" i="1"/>
  <c r="Y151" i="1"/>
  <c r="P151" i="1"/>
  <c r="BP150" i="1"/>
  <c r="BO150" i="1"/>
  <c r="BN150" i="1"/>
  <c r="BM150" i="1"/>
  <c r="Z150" i="1"/>
  <c r="Y150" i="1"/>
  <c r="P150" i="1"/>
  <c r="BO149" i="1"/>
  <c r="BM149" i="1"/>
  <c r="Y149" i="1"/>
  <c r="P149" i="1"/>
  <c r="BP148" i="1"/>
  <c r="BO148" i="1"/>
  <c r="BN148" i="1"/>
  <c r="BM148" i="1"/>
  <c r="Z148" i="1"/>
  <c r="Y148" i="1"/>
  <c r="P148" i="1"/>
  <c r="BO147" i="1"/>
  <c r="BM147" i="1"/>
  <c r="Y147" i="1"/>
  <c r="P147" i="1"/>
  <c r="X145" i="1"/>
  <c r="X144" i="1"/>
  <c r="BO143" i="1"/>
  <c r="BM143" i="1"/>
  <c r="Y143" i="1"/>
  <c r="P143" i="1"/>
  <c r="BP142" i="1"/>
  <c r="BO142" i="1"/>
  <c r="BN142" i="1"/>
  <c r="BM142" i="1"/>
  <c r="Z142" i="1"/>
  <c r="Y142" i="1"/>
  <c r="H504" i="1" s="1"/>
  <c r="P142" i="1"/>
  <c r="X139" i="1"/>
  <c r="X138" i="1"/>
  <c r="BP137" i="1"/>
  <c r="BO137" i="1"/>
  <c r="BN137" i="1"/>
  <c r="BM137" i="1"/>
  <c r="Z137" i="1"/>
  <c r="Y137" i="1"/>
  <c r="P137" i="1"/>
  <c r="BO136" i="1"/>
  <c r="BM136" i="1"/>
  <c r="Y136" i="1"/>
  <c r="P136" i="1"/>
  <c r="X134" i="1"/>
  <c r="X133" i="1"/>
  <c r="BO132" i="1"/>
  <c r="BM132" i="1"/>
  <c r="Y132" i="1"/>
  <c r="P132" i="1"/>
  <c r="BP131" i="1"/>
  <c r="BO131" i="1"/>
  <c r="BN131" i="1"/>
  <c r="BM131" i="1"/>
  <c r="Z131" i="1"/>
  <c r="Y131" i="1"/>
  <c r="P131" i="1"/>
  <c r="X129" i="1"/>
  <c r="Y128" i="1"/>
  <c r="X128" i="1"/>
  <c r="BP127" i="1"/>
  <c r="BO127" i="1"/>
  <c r="BN127" i="1"/>
  <c r="BM127" i="1"/>
  <c r="Z127" i="1"/>
  <c r="Y127" i="1"/>
  <c r="P127" i="1"/>
  <c r="BO126" i="1"/>
  <c r="BM126" i="1"/>
  <c r="Y126" i="1"/>
  <c r="P126" i="1"/>
  <c r="X123" i="1"/>
  <c r="X122" i="1"/>
  <c r="BO121" i="1"/>
  <c r="BM121" i="1"/>
  <c r="Y121" i="1"/>
  <c r="P121" i="1"/>
  <c r="X119" i="1"/>
  <c r="X118" i="1"/>
  <c r="BO117" i="1"/>
  <c r="BM117" i="1"/>
  <c r="Y117" i="1"/>
  <c r="P117" i="1"/>
  <c r="BP116" i="1"/>
  <c r="BO116" i="1"/>
  <c r="BN116" i="1"/>
  <c r="BM116" i="1"/>
  <c r="Z116" i="1"/>
  <c r="Y116" i="1"/>
  <c r="P116" i="1"/>
  <c r="BO115" i="1"/>
  <c r="BM115" i="1"/>
  <c r="Y115" i="1"/>
  <c r="P115" i="1"/>
  <c r="BP114" i="1"/>
  <c r="BO114" i="1"/>
  <c r="BN114" i="1"/>
  <c r="BM114" i="1"/>
  <c r="Z114" i="1"/>
  <c r="Y114" i="1"/>
  <c r="P114" i="1"/>
  <c r="X112" i="1"/>
  <c r="X111" i="1"/>
  <c r="BP110" i="1"/>
  <c r="BO110" i="1"/>
  <c r="BN110" i="1"/>
  <c r="BM110" i="1"/>
  <c r="Z110" i="1"/>
  <c r="Y110" i="1"/>
  <c r="P110" i="1"/>
  <c r="BO109" i="1"/>
  <c r="BM109" i="1"/>
  <c r="Y109" i="1"/>
  <c r="P109" i="1"/>
  <c r="BP108" i="1"/>
  <c r="BO108" i="1"/>
  <c r="BN108" i="1"/>
  <c r="BM108" i="1"/>
  <c r="Z108" i="1"/>
  <c r="Y108" i="1"/>
  <c r="P108" i="1"/>
  <c r="BO107" i="1"/>
  <c r="BM107" i="1"/>
  <c r="Y107" i="1"/>
  <c r="P107" i="1"/>
  <c r="X105" i="1"/>
  <c r="X104" i="1"/>
  <c r="BO103" i="1"/>
  <c r="BM103" i="1"/>
  <c r="Y103" i="1"/>
  <c r="P103" i="1"/>
  <c r="BP102" i="1"/>
  <c r="BO102" i="1"/>
  <c r="BN102" i="1"/>
  <c r="BM102" i="1"/>
  <c r="Z102" i="1"/>
  <c r="Y102" i="1"/>
  <c r="P102" i="1"/>
  <c r="BO101" i="1"/>
  <c r="BM101" i="1"/>
  <c r="Y101" i="1"/>
  <c r="P101" i="1"/>
  <c r="BP100" i="1"/>
  <c r="BO100" i="1"/>
  <c r="BN100" i="1"/>
  <c r="BM100" i="1"/>
  <c r="Z100" i="1"/>
  <c r="Y100" i="1"/>
  <c r="P100" i="1"/>
  <c r="BO99" i="1"/>
  <c r="BM99" i="1"/>
  <c r="Y99" i="1"/>
  <c r="P99" i="1"/>
  <c r="X96" i="1"/>
  <c r="X95" i="1"/>
  <c r="BO94" i="1"/>
  <c r="BM94" i="1"/>
  <c r="Y94" i="1"/>
  <c r="P94" i="1"/>
  <c r="BP93" i="1"/>
  <c r="BO93" i="1"/>
  <c r="BN93" i="1"/>
  <c r="BM93" i="1"/>
  <c r="Z93" i="1"/>
  <c r="Y93" i="1"/>
  <c r="P93" i="1"/>
  <c r="BO92" i="1"/>
  <c r="BM92" i="1"/>
  <c r="Y92" i="1"/>
  <c r="P92" i="1"/>
  <c r="BP91" i="1"/>
  <c r="BO91" i="1"/>
  <c r="BN91" i="1"/>
  <c r="BM91" i="1"/>
  <c r="Z91" i="1"/>
  <c r="Y91" i="1"/>
  <c r="Y95" i="1" s="1"/>
  <c r="P91" i="1"/>
  <c r="X89" i="1"/>
  <c r="X88" i="1"/>
  <c r="BP87" i="1"/>
  <c r="BO87" i="1"/>
  <c r="BN87" i="1"/>
  <c r="BM87" i="1"/>
  <c r="Z87" i="1"/>
  <c r="Y87" i="1"/>
  <c r="P87" i="1"/>
  <c r="BO86" i="1"/>
  <c r="BM86" i="1"/>
  <c r="Y86" i="1"/>
  <c r="P86" i="1"/>
  <c r="BP85" i="1"/>
  <c r="BO85" i="1"/>
  <c r="BN85" i="1"/>
  <c r="BM85" i="1"/>
  <c r="Z85" i="1"/>
  <c r="Y85" i="1"/>
  <c r="P85" i="1"/>
  <c r="BO84" i="1"/>
  <c r="BM84" i="1"/>
  <c r="Y84" i="1"/>
  <c r="P84" i="1"/>
  <c r="X81" i="1"/>
  <c r="X80" i="1"/>
  <c r="BO79" i="1"/>
  <c r="BM79" i="1"/>
  <c r="Y79" i="1"/>
  <c r="P79" i="1"/>
  <c r="BP78" i="1"/>
  <c r="BO78" i="1"/>
  <c r="BN78" i="1"/>
  <c r="BM78" i="1"/>
  <c r="Z78" i="1"/>
  <c r="Y78" i="1"/>
  <c r="Y80" i="1" s="1"/>
  <c r="P78" i="1"/>
  <c r="X76" i="1"/>
  <c r="X75" i="1"/>
  <c r="BP74" i="1"/>
  <c r="BO74" i="1"/>
  <c r="BN74" i="1"/>
  <c r="BM74" i="1"/>
  <c r="Z74" i="1"/>
  <c r="Y74" i="1"/>
  <c r="P74" i="1"/>
  <c r="BO73" i="1"/>
  <c r="BM73" i="1"/>
  <c r="Y73" i="1"/>
  <c r="P73" i="1"/>
  <c r="BP72" i="1"/>
  <c r="BO72" i="1"/>
  <c r="BN72" i="1"/>
  <c r="BM72" i="1"/>
  <c r="Z72" i="1"/>
  <c r="Y72" i="1"/>
  <c r="P72" i="1"/>
  <c r="BO71" i="1"/>
  <c r="BM71" i="1"/>
  <c r="Y71" i="1"/>
  <c r="P71" i="1"/>
  <c r="X69" i="1"/>
  <c r="X68" i="1"/>
  <c r="BO67" i="1"/>
  <c r="BM67" i="1"/>
  <c r="Y67" i="1"/>
  <c r="P67" i="1"/>
  <c r="BP66" i="1"/>
  <c r="BO66" i="1"/>
  <c r="BN66" i="1"/>
  <c r="BM66" i="1"/>
  <c r="Z66" i="1"/>
  <c r="Y66" i="1"/>
  <c r="Y68" i="1" s="1"/>
  <c r="P66" i="1"/>
  <c r="X64" i="1"/>
  <c r="X63" i="1"/>
  <c r="BP62" i="1"/>
  <c r="BO62" i="1"/>
  <c r="BN62" i="1"/>
  <c r="BM62" i="1"/>
  <c r="Z62" i="1"/>
  <c r="Y62" i="1"/>
  <c r="P62" i="1"/>
  <c r="BO61" i="1"/>
  <c r="BM61" i="1"/>
  <c r="Y61" i="1"/>
  <c r="P61" i="1"/>
  <c r="BP60" i="1"/>
  <c r="BO60" i="1"/>
  <c r="BN60" i="1"/>
  <c r="BM60" i="1"/>
  <c r="Z60" i="1"/>
  <c r="Y60" i="1"/>
  <c r="P60" i="1"/>
  <c r="X58" i="1"/>
  <c r="X57" i="1"/>
  <c r="BP56" i="1"/>
  <c r="BO56" i="1"/>
  <c r="BN56" i="1"/>
  <c r="BM56" i="1"/>
  <c r="Z56" i="1"/>
  <c r="Y56" i="1"/>
  <c r="P56" i="1"/>
  <c r="BO55" i="1"/>
  <c r="BM55" i="1"/>
  <c r="Y55" i="1"/>
  <c r="P55" i="1"/>
  <c r="BO54" i="1"/>
  <c r="BM54" i="1"/>
  <c r="Y54" i="1"/>
  <c r="BP54" i="1" s="1"/>
  <c r="P54" i="1"/>
  <c r="BP53" i="1"/>
  <c r="BO53" i="1"/>
  <c r="BN53" i="1"/>
  <c r="BM53" i="1"/>
  <c r="Z53" i="1"/>
  <c r="Y53" i="1"/>
  <c r="P53" i="1"/>
  <c r="BO52" i="1"/>
  <c r="BM52" i="1"/>
  <c r="Y52" i="1"/>
  <c r="BP52" i="1" s="1"/>
  <c r="P52" i="1"/>
  <c r="BP51" i="1"/>
  <c r="BO51" i="1"/>
  <c r="BN51" i="1"/>
  <c r="BM51" i="1"/>
  <c r="Z51" i="1"/>
  <c r="Y51" i="1"/>
  <c r="P51" i="1"/>
  <c r="X48" i="1"/>
  <c r="Y47" i="1"/>
  <c r="X47" i="1"/>
  <c r="BP46" i="1"/>
  <c r="BO46" i="1"/>
  <c r="BN46" i="1"/>
  <c r="BM46" i="1"/>
  <c r="Z46" i="1"/>
  <c r="Z47" i="1" s="1"/>
  <c r="Y46" i="1"/>
  <c r="Y48" i="1" s="1"/>
  <c r="P46" i="1"/>
  <c r="X44" i="1"/>
  <c r="X43" i="1"/>
  <c r="BP42" i="1"/>
  <c r="BO42" i="1"/>
  <c r="BN42" i="1"/>
  <c r="BM42" i="1"/>
  <c r="Z42" i="1"/>
  <c r="Y42" i="1"/>
  <c r="P42" i="1"/>
  <c r="BO41" i="1"/>
  <c r="BM41" i="1"/>
  <c r="Y41" i="1"/>
  <c r="BP41" i="1" s="1"/>
  <c r="P41" i="1"/>
  <c r="BP40" i="1"/>
  <c r="BO40" i="1"/>
  <c r="BN40" i="1"/>
  <c r="BM40" i="1"/>
  <c r="Z40" i="1"/>
  <c r="Y40" i="1"/>
  <c r="P40" i="1"/>
  <c r="X36" i="1"/>
  <c r="Y35" i="1"/>
  <c r="X35" i="1"/>
  <c r="BP34" i="1"/>
  <c r="BO34" i="1"/>
  <c r="BN34" i="1"/>
  <c r="BM34" i="1"/>
  <c r="Z34" i="1"/>
  <c r="Z35" i="1" s="1"/>
  <c r="Y34" i="1"/>
  <c r="Y36" i="1" s="1"/>
  <c r="P34" i="1"/>
  <c r="X32" i="1"/>
  <c r="X31" i="1"/>
  <c r="BP30" i="1"/>
  <c r="BO30" i="1"/>
  <c r="BN30" i="1"/>
  <c r="BM30" i="1"/>
  <c r="Z30" i="1"/>
  <c r="Y30" i="1"/>
  <c r="P30" i="1"/>
  <c r="BO29" i="1"/>
  <c r="BM29" i="1"/>
  <c r="Y29" i="1"/>
  <c r="BP29" i="1" s="1"/>
  <c r="P29" i="1"/>
  <c r="BP28" i="1"/>
  <c r="BO28" i="1"/>
  <c r="BN28" i="1"/>
  <c r="BM28" i="1"/>
  <c r="Z28" i="1"/>
  <c r="Y28" i="1"/>
  <c r="P28" i="1"/>
  <c r="BO27" i="1"/>
  <c r="BM27" i="1"/>
  <c r="Y27" i="1"/>
  <c r="Y32" i="1" s="1"/>
  <c r="P27" i="1"/>
  <c r="X25" i="1"/>
  <c r="X24" i="1"/>
  <c r="X498" i="1" s="1"/>
  <c r="BO23" i="1"/>
  <c r="BM23" i="1"/>
  <c r="Y23" i="1"/>
  <c r="BP23" i="1" s="1"/>
  <c r="P23" i="1"/>
  <c r="BP22" i="1"/>
  <c r="BO22" i="1"/>
  <c r="BN22" i="1"/>
  <c r="BM22" i="1"/>
  <c r="Z22" i="1"/>
  <c r="Y22" i="1"/>
  <c r="P22" i="1"/>
  <c r="H10" i="1"/>
  <c r="F10" i="1"/>
  <c r="J9" i="1"/>
  <c r="F9" i="1"/>
  <c r="A9" i="1"/>
  <c r="A10" i="1" s="1"/>
  <c r="D7" i="1"/>
  <c r="Q6" i="1"/>
  <c r="P2" i="1"/>
  <c r="Y25" i="1" l="1"/>
  <c r="Y31" i="1"/>
  <c r="Y43" i="1"/>
  <c r="BP86" i="1"/>
  <c r="BN86" i="1"/>
  <c r="Z86" i="1"/>
  <c r="F504" i="1"/>
  <c r="Y104" i="1"/>
  <c r="BP99" i="1"/>
  <c r="BN99" i="1"/>
  <c r="Z99" i="1"/>
  <c r="Y112" i="1"/>
  <c r="BP107" i="1"/>
  <c r="BN107" i="1"/>
  <c r="Z107" i="1"/>
  <c r="BP115" i="1"/>
  <c r="BN115" i="1"/>
  <c r="Z115" i="1"/>
  <c r="Z118" i="1" s="1"/>
  <c r="Y57" i="1"/>
  <c r="BP61" i="1"/>
  <c r="BN61" i="1"/>
  <c r="Z61" i="1"/>
  <c r="Z63" i="1" s="1"/>
  <c r="BP73" i="1"/>
  <c r="BN73" i="1"/>
  <c r="Z73" i="1"/>
  <c r="BP94" i="1"/>
  <c r="BN94" i="1"/>
  <c r="Z94" i="1"/>
  <c r="Y96" i="1"/>
  <c r="BP103" i="1"/>
  <c r="BN103" i="1"/>
  <c r="Z103" i="1"/>
  <c r="Y105" i="1"/>
  <c r="Y111" i="1"/>
  <c r="BP132" i="1"/>
  <c r="BN132" i="1"/>
  <c r="Z132" i="1"/>
  <c r="Z133" i="1" s="1"/>
  <c r="Y134" i="1"/>
  <c r="Y139" i="1"/>
  <c r="BP136" i="1"/>
  <c r="BN136" i="1"/>
  <c r="Z136" i="1"/>
  <c r="Z138" i="1" s="1"/>
  <c r="BP149" i="1"/>
  <c r="BN149" i="1"/>
  <c r="Z149" i="1"/>
  <c r="Y153" i="1"/>
  <c r="BP167" i="1"/>
  <c r="BN167" i="1"/>
  <c r="Z167" i="1"/>
  <c r="Z180" i="1" s="1"/>
  <c r="BP171" i="1"/>
  <c r="BN171" i="1"/>
  <c r="Z171" i="1"/>
  <c r="BP175" i="1"/>
  <c r="BN175" i="1"/>
  <c r="Z175" i="1"/>
  <c r="BP179" i="1"/>
  <c r="BN179" i="1"/>
  <c r="Z179" i="1"/>
  <c r="Y181" i="1"/>
  <c r="Y186" i="1"/>
  <c r="BP183" i="1"/>
  <c r="BN183" i="1"/>
  <c r="Z183" i="1"/>
  <c r="BP205" i="1"/>
  <c r="BN205" i="1"/>
  <c r="Z205" i="1"/>
  <c r="Y213" i="1"/>
  <c r="BP209" i="1"/>
  <c r="BN209" i="1"/>
  <c r="Z209" i="1"/>
  <c r="BP217" i="1"/>
  <c r="BN217" i="1"/>
  <c r="Z217" i="1"/>
  <c r="BP221" i="1"/>
  <c r="BN221" i="1"/>
  <c r="Z221" i="1"/>
  <c r="BP234" i="1"/>
  <c r="BN234" i="1"/>
  <c r="Z234" i="1"/>
  <c r="BP238" i="1"/>
  <c r="BN238" i="1"/>
  <c r="Z238" i="1"/>
  <c r="Y242" i="1"/>
  <c r="BP254" i="1"/>
  <c r="BN254" i="1"/>
  <c r="Z254" i="1"/>
  <c r="Y258" i="1"/>
  <c r="BP263" i="1"/>
  <c r="BN263" i="1"/>
  <c r="Z263" i="1"/>
  <c r="Z267" i="1" s="1"/>
  <c r="Y267" i="1"/>
  <c r="BP272" i="1"/>
  <c r="BN272" i="1"/>
  <c r="Z272" i="1"/>
  <c r="Y276" i="1"/>
  <c r="BP281" i="1"/>
  <c r="BN281" i="1"/>
  <c r="Z281" i="1"/>
  <c r="Y283" i="1"/>
  <c r="P504" i="1"/>
  <c r="Y289" i="1"/>
  <c r="BP286" i="1"/>
  <c r="BN286" i="1"/>
  <c r="Z286" i="1"/>
  <c r="Z288" i="1" s="1"/>
  <c r="Y288" i="1"/>
  <c r="H9" i="1"/>
  <c r="B504" i="1"/>
  <c r="X495" i="1"/>
  <c r="X496" i="1"/>
  <c r="Z23" i="1"/>
  <c r="Z24" i="1" s="1"/>
  <c r="BN23" i="1"/>
  <c r="Y495" i="1" s="1"/>
  <c r="Y24" i="1"/>
  <c r="X494" i="1"/>
  <c r="Z27" i="1"/>
  <c r="BN27" i="1"/>
  <c r="BP27" i="1"/>
  <c r="Y496" i="1" s="1"/>
  <c r="Z29" i="1"/>
  <c r="BN29" i="1"/>
  <c r="C504" i="1"/>
  <c r="Z41" i="1"/>
  <c r="Z43" i="1" s="1"/>
  <c r="BN41" i="1"/>
  <c r="Y44" i="1"/>
  <c r="D504" i="1"/>
  <c r="Y58" i="1"/>
  <c r="Z52" i="1"/>
  <c r="Z57" i="1" s="1"/>
  <c r="BN52" i="1"/>
  <c r="Z54" i="1"/>
  <c r="BN54" i="1"/>
  <c r="BP55" i="1"/>
  <c r="BN55" i="1"/>
  <c r="Z55" i="1"/>
  <c r="Y64" i="1"/>
  <c r="Y63" i="1"/>
  <c r="BP67" i="1"/>
  <c r="BN67" i="1"/>
  <c r="Z67" i="1"/>
  <c r="Z68" i="1" s="1"/>
  <c r="Y69" i="1"/>
  <c r="Y76" i="1"/>
  <c r="BP71" i="1"/>
  <c r="BN71" i="1"/>
  <c r="Z71" i="1"/>
  <c r="Z75" i="1" s="1"/>
  <c r="Y75" i="1"/>
  <c r="BP79" i="1"/>
  <c r="BN79" i="1"/>
  <c r="Z79" i="1"/>
  <c r="Z80" i="1" s="1"/>
  <c r="Y81" i="1"/>
  <c r="E504" i="1"/>
  <c r="Y89" i="1"/>
  <c r="BP84" i="1"/>
  <c r="BN84" i="1"/>
  <c r="Z84" i="1"/>
  <c r="Z88" i="1" s="1"/>
  <c r="Y88" i="1"/>
  <c r="BP92" i="1"/>
  <c r="BN92" i="1"/>
  <c r="Z92" i="1"/>
  <c r="Z95" i="1" s="1"/>
  <c r="BP101" i="1"/>
  <c r="BN101" i="1"/>
  <c r="Z101" i="1"/>
  <c r="BP109" i="1"/>
  <c r="BN109" i="1"/>
  <c r="Z109" i="1"/>
  <c r="Y118" i="1"/>
  <c r="BP117" i="1"/>
  <c r="BN117" i="1"/>
  <c r="Z117" i="1"/>
  <c r="Y119" i="1"/>
  <c r="Y122" i="1"/>
  <c r="BP121" i="1"/>
  <c r="BN121" i="1"/>
  <c r="Z121" i="1"/>
  <c r="Z122" i="1" s="1"/>
  <c r="Y123" i="1"/>
  <c r="G504" i="1"/>
  <c r="Y129" i="1"/>
  <c r="BP126" i="1"/>
  <c r="BN126" i="1"/>
  <c r="Z126" i="1"/>
  <c r="Z128" i="1" s="1"/>
  <c r="Y133" i="1"/>
  <c r="Y138" i="1"/>
  <c r="BP143" i="1"/>
  <c r="BN143" i="1"/>
  <c r="Z143" i="1"/>
  <c r="Z144" i="1" s="1"/>
  <c r="Y145" i="1"/>
  <c r="Y154" i="1"/>
  <c r="BP147" i="1"/>
  <c r="BN147" i="1"/>
  <c r="Z147" i="1"/>
  <c r="BP151" i="1"/>
  <c r="BN151" i="1"/>
  <c r="Z151" i="1"/>
  <c r="Y180" i="1"/>
  <c r="BP169" i="1"/>
  <c r="BN169" i="1"/>
  <c r="Z169" i="1"/>
  <c r="BP173" i="1"/>
  <c r="BN173" i="1"/>
  <c r="Z173" i="1"/>
  <c r="BP177" i="1"/>
  <c r="BN177" i="1"/>
  <c r="Z177" i="1"/>
  <c r="BP185" i="1"/>
  <c r="BN185" i="1"/>
  <c r="Z185" i="1"/>
  <c r="Y187" i="1"/>
  <c r="Y190" i="1"/>
  <c r="BP189" i="1"/>
  <c r="BN189" i="1"/>
  <c r="Z189" i="1"/>
  <c r="Z190" i="1" s="1"/>
  <c r="Y191" i="1"/>
  <c r="J504" i="1"/>
  <c r="Y197" i="1"/>
  <c r="BP194" i="1"/>
  <c r="BN194" i="1"/>
  <c r="Z194" i="1"/>
  <c r="Z196" i="1" s="1"/>
  <c r="Y144" i="1"/>
  <c r="I504" i="1"/>
  <c r="Y164" i="1"/>
  <c r="Y202" i="1"/>
  <c r="BP199" i="1"/>
  <c r="Y212" i="1"/>
  <c r="BP207" i="1"/>
  <c r="BN207" i="1"/>
  <c r="Z207" i="1"/>
  <c r="Z212" i="1" s="1"/>
  <c r="BP211" i="1"/>
  <c r="BN211" i="1"/>
  <c r="Z211" i="1"/>
  <c r="Y224" i="1"/>
  <c r="BP215" i="1"/>
  <c r="BN215" i="1"/>
  <c r="Z215" i="1"/>
  <c r="BP219" i="1"/>
  <c r="BN219" i="1"/>
  <c r="Z219" i="1"/>
  <c r="BP223" i="1"/>
  <c r="BN223" i="1"/>
  <c r="Z223" i="1"/>
  <c r="Y225" i="1"/>
  <c r="Y230" i="1"/>
  <c r="BP227" i="1"/>
  <c r="BN227" i="1"/>
  <c r="Z227" i="1"/>
  <c r="Z229" i="1" s="1"/>
  <c r="BP236" i="1"/>
  <c r="BN236" i="1"/>
  <c r="Z236" i="1"/>
  <c r="Z242" i="1" s="1"/>
  <c r="BP240" i="1"/>
  <c r="BN240" i="1"/>
  <c r="Z240" i="1"/>
  <c r="Y259" i="1"/>
  <c r="BP256" i="1"/>
  <c r="BN256" i="1"/>
  <c r="Z256" i="1"/>
  <c r="Z258" i="1" s="1"/>
  <c r="L504" i="1"/>
  <c r="BP265" i="1"/>
  <c r="BN265" i="1"/>
  <c r="Z265" i="1"/>
  <c r="BP274" i="1"/>
  <c r="BN274" i="1"/>
  <c r="Z274" i="1"/>
  <c r="Z275" i="1" s="1"/>
  <c r="O504" i="1"/>
  <c r="Y282" i="1"/>
  <c r="BP279" i="1"/>
  <c r="BN279" i="1"/>
  <c r="Z279" i="1"/>
  <c r="Z282" i="1" s="1"/>
  <c r="BP292" i="1"/>
  <c r="BN292" i="1"/>
  <c r="Z292" i="1"/>
  <c r="Z293" i="1" s="1"/>
  <c r="Y294" i="1"/>
  <c r="Y304" i="1"/>
  <c r="BP297" i="1"/>
  <c r="BN297" i="1"/>
  <c r="Z297" i="1"/>
  <c r="BP301" i="1"/>
  <c r="BN301" i="1"/>
  <c r="Z301" i="1"/>
  <c r="Y312" i="1"/>
  <c r="BP309" i="1"/>
  <c r="BN309" i="1"/>
  <c r="Z309" i="1"/>
  <c r="BP317" i="1"/>
  <c r="BN317" i="1"/>
  <c r="Z317" i="1"/>
  <c r="Y326" i="1"/>
  <c r="BP329" i="1"/>
  <c r="BN329" i="1"/>
  <c r="Z329" i="1"/>
  <c r="BP337" i="1"/>
  <c r="BN337" i="1"/>
  <c r="Z337" i="1"/>
  <c r="R504" i="1"/>
  <c r="Y346" i="1"/>
  <c r="Y345" i="1"/>
  <c r="BP342" i="1"/>
  <c r="BN342" i="1"/>
  <c r="Z342" i="1"/>
  <c r="BP376" i="1"/>
  <c r="BN376" i="1"/>
  <c r="Z376" i="1"/>
  <c r="Z377" i="1" s="1"/>
  <c r="Y378" i="1"/>
  <c r="Y383" i="1"/>
  <c r="BP380" i="1"/>
  <c r="BN380" i="1"/>
  <c r="Z380" i="1"/>
  <c r="Z382" i="1" s="1"/>
  <c r="Y382" i="1"/>
  <c r="Q504" i="1"/>
  <c r="BP299" i="1"/>
  <c r="BN299" i="1"/>
  <c r="Z299" i="1"/>
  <c r="Y303" i="1"/>
  <c r="BP307" i="1"/>
  <c r="BN307" i="1"/>
  <c r="Z307" i="1"/>
  <c r="Z312" i="1" s="1"/>
  <c r="BP311" i="1"/>
  <c r="BN311" i="1"/>
  <c r="Z311" i="1"/>
  <c r="Y313" i="1"/>
  <c r="Y320" i="1"/>
  <c r="BP315" i="1"/>
  <c r="BN315" i="1"/>
  <c r="Z315" i="1"/>
  <c r="Z319" i="1" s="1"/>
  <c r="Y319" i="1"/>
  <c r="BP323" i="1"/>
  <c r="BN323" i="1"/>
  <c r="Z323" i="1"/>
  <c r="Z325" i="1" s="1"/>
  <c r="BP331" i="1"/>
  <c r="BN331" i="1"/>
  <c r="Z331" i="1"/>
  <c r="Y333" i="1"/>
  <c r="Y338" i="1"/>
  <c r="BP335" i="1"/>
  <c r="BN335" i="1"/>
  <c r="Z335" i="1"/>
  <c r="Z338" i="1" s="1"/>
  <c r="BP344" i="1"/>
  <c r="BN344" i="1"/>
  <c r="Z344" i="1"/>
  <c r="BP351" i="1"/>
  <c r="BN351" i="1"/>
  <c r="Z351" i="1"/>
  <c r="Y357" i="1"/>
  <c r="BP355" i="1"/>
  <c r="BN355" i="1"/>
  <c r="Z355" i="1"/>
  <c r="BP394" i="1"/>
  <c r="BN394" i="1"/>
  <c r="Z394" i="1"/>
  <c r="Z402" i="1" s="1"/>
  <c r="U504" i="1"/>
  <c r="BP398" i="1"/>
  <c r="BN398" i="1"/>
  <c r="Z398" i="1"/>
  <c r="Y402" i="1"/>
  <c r="BP406" i="1"/>
  <c r="BN406" i="1"/>
  <c r="Z406" i="1"/>
  <c r="Z407" i="1" s="1"/>
  <c r="Y408" i="1"/>
  <c r="V504" i="1"/>
  <c r="Y412" i="1"/>
  <c r="BP411" i="1"/>
  <c r="BN411" i="1"/>
  <c r="Z411" i="1"/>
  <c r="Z412" i="1" s="1"/>
  <c r="Y413" i="1"/>
  <c r="Y420" i="1"/>
  <c r="BP415" i="1"/>
  <c r="BN415" i="1"/>
  <c r="Z415" i="1"/>
  <c r="Y419" i="1"/>
  <c r="BP430" i="1"/>
  <c r="BN430" i="1"/>
  <c r="Z430" i="1"/>
  <c r="Z441" i="1" s="1"/>
  <c r="Y442" i="1"/>
  <c r="BP434" i="1"/>
  <c r="BN434" i="1"/>
  <c r="Z434" i="1"/>
  <c r="BP438" i="1"/>
  <c r="BN438" i="1"/>
  <c r="Z438" i="1"/>
  <c r="BP446" i="1"/>
  <c r="BN446" i="1"/>
  <c r="Z446" i="1"/>
  <c r="Y448" i="1"/>
  <c r="Y457" i="1"/>
  <c r="BP450" i="1"/>
  <c r="BN450" i="1"/>
  <c r="Z450" i="1"/>
  <c r="Y456" i="1"/>
  <c r="BP454" i="1"/>
  <c r="BN454" i="1"/>
  <c r="Z454" i="1"/>
  <c r="K504" i="1"/>
  <c r="Y243" i="1"/>
  <c r="Y268" i="1"/>
  <c r="M504" i="1"/>
  <c r="Y275" i="1"/>
  <c r="S504" i="1"/>
  <c r="BP353" i="1"/>
  <c r="BN353" i="1"/>
  <c r="Z353" i="1"/>
  <c r="Z357" i="1" s="1"/>
  <c r="BP361" i="1"/>
  <c r="BN361" i="1"/>
  <c r="Z361" i="1"/>
  <c r="Z362" i="1" s="1"/>
  <c r="Y363" i="1"/>
  <c r="Y368" i="1"/>
  <c r="BP365" i="1"/>
  <c r="BN365" i="1"/>
  <c r="Z365" i="1"/>
  <c r="Z367" i="1" s="1"/>
  <c r="BP386" i="1"/>
  <c r="BN386" i="1"/>
  <c r="Z386" i="1"/>
  <c r="Z388" i="1" s="1"/>
  <c r="Y403" i="1"/>
  <c r="BP396" i="1"/>
  <c r="BN396" i="1"/>
  <c r="Z396" i="1"/>
  <c r="BP400" i="1"/>
  <c r="BN400" i="1"/>
  <c r="Z400" i="1"/>
  <c r="Y407" i="1"/>
  <c r="BP417" i="1"/>
  <c r="BN417" i="1"/>
  <c r="Z417" i="1"/>
  <c r="BP468" i="1"/>
  <c r="BN468" i="1"/>
  <c r="Z468" i="1"/>
  <c r="Y470" i="1"/>
  <c r="Y475" i="1"/>
  <c r="BP472" i="1"/>
  <c r="BN472" i="1"/>
  <c r="Z472" i="1"/>
  <c r="Z474" i="1" s="1"/>
  <c r="Y474" i="1"/>
  <c r="Y504" i="1"/>
  <c r="Y358" i="1"/>
  <c r="T504" i="1"/>
  <c r="Y377" i="1"/>
  <c r="X504" i="1"/>
  <c r="BP432" i="1"/>
  <c r="BN432" i="1"/>
  <c r="Z432" i="1"/>
  <c r="BP436" i="1"/>
  <c r="BN436" i="1"/>
  <c r="Z436" i="1"/>
  <c r="BP440" i="1"/>
  <c r="BN440" i="1"/>
  <c r="Z440" i="1"/>
  <c r="Y447" i="1"/>
  <c r="BP444" i="1"/>
  <c r="BN444" i="1"/>
  <c r="Z444" i="1"/>
  <c r="Z447" i="1" s="1"/>
  <c r="BP452" i="1"/>
  <c r="BN452" i="1"/>
  <c r="Z452" i="1"/>
  <c r="BP466" i="1"/>
  <c r="BN466" i="1"/>
  <c r="Z466" i="1"/>
  <c r="BP486" i="1"/>
  <c r="BN486" i="1"/>
  <c r="Z486" i="1"/>
  <c r="Z487" i="1" s="1"/>
  <c r="Y488" i="1"/>
  <c r="Z504" i="1"/>
  <c r="Y492" i="1"/>
  <c r="BP491" i="1"/>
  <c r="BN491" i="1"/>
  <c r="Z491" i="1"/>
  <c r="Z492" i="1" s="1"/>
  <c r="Y493" i="1"/>
  <c r="Y441" i="1"/>
  <c r="Y497" i="1" l="1"/>
  <c r="Z345" i="1"/>
  <c r="Z224" i="1"/>
  <c r="Z111" i="1"/>
  <c r="Z104" i="1"/>
  <c r="Z469" i="1"/>
  <c r="Z456" i="1"/>
  <c r="Z419" i="1"/>
  <c r="Z332" i="1"/>
  <c r="Z303" i="1"/>
  <c r="Z153" i="1"/>
  <c r="Z31" i="1"/>
  <c r="Z499" i="1" s="1"/>
  <c r="Y498" i="1"/>
  <c r="X497" i="1"/>
  <c r="Z186" i="1"/>
  <c r="Y494" i="1"/>
</calcChain>
</file>

<file path=xl/sharedStrings.xml><?xml version="1.0" encoding="utf-8"?>
<sst xmlns="http://schemas.openxmlformats.org/spreadsheetml/2006/main" count="2363" uniqueCount="776">
  <si>
    <t xml:space="preserve">  БЛАНК ЗАКАЗА </t>
  </si>
  <si>
    <t>КИ</t>
  </si>
  <si>
    <t>на отгрузку продукции с ООО Трейд-Сервис с</t>
  </si>
  <si>
    <t>19.01.2026</t>
  </si>
  <si>
    <t>бланк создан</t>
  </si>
  <si>
    <t>14.01.2026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</si>
  <si>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</si>
  <si>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</si>
  <si>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</si>
  <si>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</si>
  <si>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</si>
  <si>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</si>
  <si>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</si>
  <si>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</si>
  <si>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ЛП, ООО, Краснодарский край, Сочи г, Строительный пер, д. 10А,</t>
  </si>
  <si>
    <t>День недели</t>
  </si>
  <si>
    <t>Наименование клиента</t>
  </si>
  <si>
    <t>ОБЩЕСТВО С ОГРАНИЧЕННОЙ ОТВЕТСТВЕННОСТЬЮ "ЛОГИСТИЧЕСКИЙ ПАРТНЕР"</t>
  </si>
  <si>
    <t>Адрес сдачи груза:</t>
  </si>
  <si>
    <t>354068Российская Федерация, Краснодарский край, Сочи г, Строительный пер, д. 10А,</t>
  </si>
  <si>
    <t>Время загрузки</t>
  </si>
  <si>
    <t>Дата доставки</t>
  </si>
  <si>
    <t>Время доставки</t>
  </si>
  <si>
    <t>КОД Аксапты Клиента</t>
  </si>
  <si>
    <t>590704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</si>
  <si>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</si>
  <si>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</si>
  <si>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</si>
  <si>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</si>
  <si>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kolbasa@abi.ru
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</si>
  <si>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</si>
  <si>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</si>
  <si>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</si>
  <si>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</si>
  <si>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</si>
  <si>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</si>
  <si>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</si>
  <si>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</si>
  <si>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</si>
  <si>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</si>
  <si>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</si>
  <si>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</si>
  <si>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</si>
  <si>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</si>
  <si>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</si>
  <si>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</si>
  <si>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</si>
  <si>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</si>
  <si>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</si>
  <si>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</si>
  <si>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</si>
  <si>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</si>
  <si>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</si>
  <si>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</si>
  <si>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</si>
  <si>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</si>
  <si>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</si>
  <si>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</si>
  <si>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</si>
  <si>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</si>
  <si>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</si>
  <si>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</si>
  <si>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</si>
  <si>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</si>
  <si>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</si>
  <si>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SU004004</t>
  </si>
  <si>
    <t>P005154</t>
  </si>
  <si>
    <t>14</t>
  </si>
  <si>
    <t>СК2</t>
  </si>
  <si>
    <t>кг</t>
  </si>
  <si>
    <t>ЕАЭС N RU Д-RU.РА09.В.81943/25</t>
  </si>
  <si>
    <t>SU003188</t>
  </si>
  <si>
    <t>P003827</t>
  </si>
  <si>
    <t>18</t>
  </si>
  <si>
    <t>ЕАЭС N RU Д-RU.РА10.В.06818/24</t>
  </si>
  <si>
    <t>Итого</t>
  </si>
  <si>
    <t>кор</t>
  </si>
  <si>
    <t>Сосиски</t>
  </si>
  <si>
    <t>SU003664</t>
  </si>
  <si>
    <t>P004653</t>
  </si>
  <si>
    <t>СК3</t>
  </si>
  <si>
    <t>ЕАЭС N RU Д-RU.РА10.В.84355/25, ЕАЭС N RU Д-RU.РА11.В.72353/25</t>
  </si>
  <si>
    <t>SU000341</t>
  </si>
  <si>
    <t>P003752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</si>
  <si>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</si>
  <si>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</si>
  <si>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</si>
  <si>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</si>
  <si>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</si>
  <si>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</si>
  <si>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Короб, мин. 14</t>
  </si>
  <si>
    <t>ЕАЭС N RU Д-RU.РА06.В.92094/23</t>
  </si>
  <si>
    <t>Короб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</si>
  <si>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</si>
  <si>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</si>
  <si>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</si>
  <si>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</si>
  <si>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</si>
  <si>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</si>
  <si>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Вязанка</t>
  </si>
  <si>
    <t>ГОСТ</t>
  </si>
  <si>
    <t>Вареные колбасы</t>
  </si>
  <si>
    <t>SU000722</t>
  </si>
  <si>
    <t>P003011</t>
  </si>
  <si>
    <t>8</t>
  </si>
  <si>
    <t>Короб, мин. 8</t>
  </si>
  <si>
    <t>СК1</t>
  </si>
  <si>
    <t>ЕАЭС N RU Д-RU.РА08.В.45907/25</t>
  </si>
  <si>
    <t>SU001485</t>
  </si>
  <si>
    <t>P003008</t>
  </si>
  <si>
    <t>12</t>
  </si>
  <si>
    <t>Короб, мин. 12</t>
  </si>
  <si>
    <t>SU002986</t>
  </si>
  <si>
    <t>P003429</t>
  </si>
  <si>
    <t>SU003313</t>
  </si>
  <si>
    <t>P004551</t>
  </si>
  <si>
    <t>ЕАЭС N RU Д-RU.РА08.В.83218/25</t>
  </si>
  <si>
    <t>Филейская</t>
  </si>
  <si>
    <t>SU003642</t>
  </si>
  <si>
    <t>P004621</t>
  </si>
  <si>
    <t>ЕАЭС N RU Д-RU.РА10.В.32351/25</t>
  </si>
  <si>
    <t>SU002829</t>
  </si>
  <si>
    <t>P003235</t>
  </si>
  <si>
    <t>ЕАЭС N RU Д-RU.РА09.В.07383/25, ЕАЭС N RU Д-RU.РА09.В.72428/25</t>
  </si>
  <si>
    <t>SU002674</t>
  </si>
  <si>
    <t>P003045</t>
  </si>
  <si>
    <t>ЕАЭС N RU Д-RU.РА03.В.01645/25</t>
  </si>
  <si>
    <t>SU002831</t>
  </si>
  <si>
    <t>P003243</t>
  </si>
  <si>
    <t>ЕАЭС N RU Д-RU.РА01.В.10475/23, ЕАЭС N RU Д-RU.РА09.В.72428/25</t>
  </si>
  <si>
    <t>SU003033</t>
  </si>
  <si>
    <t>P003578</t>
  </si>
  <si>
    <t>ЕАЭС N RU Д-RU.РА06.В.18263/23, ЕАЭС N RU Д-RU.РА10.В.32351/25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</si>
  <si>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</si>
  <si>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</si>
  <si>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</si>
  <si>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</si>
  <si>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</si>
  <si>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</si>
  <si>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</si>
  <si>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</si>
  <si>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</si>
  <si>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SU002814</t>
  </si>
  <si>
    <t>P003226</t>
  </si>
  <si>
    <t>SU003027</t>
  </si>
  <si>
    <t>P003573</t>
  </si>
  <si>
    <t>ЕАЭС N RU Д-RU.РА11.В.18821/23</t>
  </si>
  <si>
    <t>SU003031</t>
  </si>
  <si>
    <t>P003566</t>
  </si>
  <si>
    <t>ЕАЭС N RU Д-RU.РА11.В.17985/23</t>
  </si>
  <si>
    <t>SU003616</t>
  </si>
  <si>
    <t>P004555</t>
  </si>
  <si>
    <t>ЕАЭС N RU Д-RU.РА09.В.07930/25, ЕАЭС N RU Д-RU.РА09.В.08380/25</t>
  </si>
  <si>
    <t>SU002825</t>
  </si>
  <si>
    <t>P004554</t>
  </si>
  <si>
    <t>ЕАЭС N RU Д-RU.РА12.В.00849/25</t>
  </si>
  <si>
    <t>SU003617</t>
  </si>
  <si>
    <t>P004558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</si>
  <si>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</si>
  <si>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</si>
  <si>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</si>
  <si>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</si>
  <si>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</si>
  <si>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</si>
  <si>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</si>
  <si>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</si>
  <si>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</si>
  <si>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</si>
  <si>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</si>
  <si>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</si>
  <si>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</si>
  <si>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</si>
  <si>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</si>
  <si>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</si>
  <si>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24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</si>
  <si>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</si>
  <si>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</si>
  <si>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</si>
  <si>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</si>
  <si>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</si>
  <si>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</si>
  <si>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</si>
  <si>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Д-RU.РА10.В.18211/25, ЕАЭС N RU Д-RU.РА11.В.73895/25</t>
  </si>
  <si>
    <t>SU003503</t>
  </si>
  <si>
    <t>P004411</t>
  </si>
  <si>
    <t>SU001718</t>
  </si>
  <si>
    <t>P003985</t>
  </si>
  <si>
    <t>SU002769</t>
  </si>
  <si>
    <t>P003324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</si>
  <si>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</si>
  <si>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</si>
  <si>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</si>
  <si>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</si>
  <si>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</si>
  <si>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</si>
  <si>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</si>
  <si>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</si>
  <si>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</si>
  <si>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</si>
  <si>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</si>
  <si>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</si>
  <si>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</si>
  <si>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</si>
  <si>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</si>
  <si>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</si>
  <si>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Д-RU.РА08.В.46217/25</t>
  </si>
  <si>
    <t>SU002356</t>
  </si>
  <si>
    <t>P002639</t>
  </si>
  <si>
    <t>28</t>
  </si>
  <si>
    <t>ЕАЭС N RU Д-RU.РА08.В.76847/25</t>
  </si>
  <si>
    <t>SU003037</t>
  </si>
  <si>
    <t>P004609</t>
  </si>
  <si>
    <t>SU002735</t>
  </si>
  <si>
    <t>P004586</t>
  </si>
  <si>
    <t>SU001721</t>
  </si>
  <si>
    <t>P003988</t>
  </si>
  <si>
    <t>ЕАЭС N RU Д-RU.РА09.В.58505/25,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</si>
  <si>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</si>
  <si>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</si>
  <si>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</si>
  <si>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</si>
  <si>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</si>
  <si>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</si>
  <si>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</si>
  <si>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</si>
  <si>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</si>
  <si>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</si>
  <si>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</si>
  <si>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</si>
  <si>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P003441</t>
  </si>
  <si>
    <t>ЕАЭС N RU Д-RU.РА05.В.96405/23</t>
  </si>
  <si>
    <t>P003437</t>
  </si>
  <si>
    <t>SU002985</t>
  </si>
  <si>
    <t>P003439</t>
  </si>
  <si>
    <t>ЕАЭС N RU Д-RU.РА08.В.16764/23</t>
  </si>
  <si>
    <t>P003442</t>
  </si>
  <si>
    <t>SU002984</t>
  </si>
  <si>
    <t>P003440</t>
  </si>
  <si>
    <t>P003438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</si>
  <si>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</si>
  <si>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</si>
  <si>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</si>
  <si>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</si>
  <si>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</si>
  <si>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</si>
  <si>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SU000064</t>
  </si>
  <si>
    <t>P001841</t>
  </si>
  <si>
    <t>ЕАЭС N RU Д-RU.АБ75.В.01119</t>
  </si>
  <si>
    <t>SU004041</t>
  </si>
  <si>
    <t>P005165</t>
  </si>
  <si>
    <t>ЕАЭС N RU Д-RU.РА11.В.18556/25</t>
  </si>
  <si>
    <t>SU000664</t>
  </si>
  <si>
    <t>P002177</t>
  </si>
  <si>
    <t>ЕАЭС N RU Д-RU.РА08.В.45483/25</t>
  </si>
  <si>
    <t>SU004044</t>
  </si>
  <si>
    <t>P005168</t>
  </si>
  <si>
    <t>ЕАЭС N RU Д-RU.РА11.В.22922/25</t>
  </si>
  <si>
    <t>SU000097</t>
  </si>
  <si>
    <t>P002179</t>
  </si>
  <si>
    <t>ЕАЭС N RU Д-RU.РА08.В.45705/25</t>
  </si>
  <si>
    <t>SU004047</t>
  </si>
  <si>
    <t>P005171</t>
  </si>
  <si>
    <t>ЕАЭС N RU Д-RU.РА07.В.14345/25</t>
  </si>
  <si>
    <t>SU004053</t>
  </si>
  <si>
    <t>P005187</t>
  </si>
  <si>
    <t>ЕАЭС N RU Д-RU.РА09.В.02701/25, ЕАЭС N RU Д-RU.РА09.В.02996/25</t>
  </si>
  <si>
    <t>Стародворье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</si>
  <si>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</si>
  <si>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</si>
  <si>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</si>
  <si>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</si>
  <si>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</si>
  <si>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</si>
  <si>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</si>
  <si>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</si>
  <si>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</si>
  <si>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Д-RU.РА01.В.98713/23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</si>
  <si>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</si>
  <si>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</si>
  <si>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</si>
  <si>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</si>
  <si>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</si>
  <si>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</si>
  <si>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</si>
  <si>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</si>
  <si>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Короб, мин. 18</t>
  </si>
  <si>
    <t>SU003997</t>
  </si>
  <si>
    <t>P005141</t>
  </si>
  <si>
    <t>ЕАЭС N RU Д-RU.РА07.В.62366/25</t>
  </si>
  <si>
    <t>SU002877</t>
  </si>
  <si>
    <t>P003277</t>
  </si>
  <si>
    <t>SU004085</t>
  </si>
  <si>
    <t>P005231</t>
  </si>
  <si>
    <t>МЗР</t>
  </si>
  <si>
    <t>ЕАЭС N RU Д-RU.РА06.В.75990/25</t>
  </si>
  <si>
    <t>SU004086</t>
  </si>
  <si>
    <t>P005232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</si>
  <si>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</si>
  <si>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</si>
  <si>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</si>
  <si>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</si>
  <si>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</si>
  <si>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</si>
  <si>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</si>
  <si>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</si>
  <si>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</si>
  <si>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</si>
  <si>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</si>
  <si>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</si>
  <si>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</si>
  <si>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</si>
  <si>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</si>
  <si>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27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</si>
  <si>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</si>
  <si>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</si>
  <si>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</si>
  <si>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</si>
  <si>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</si>
  <si>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</si>
  <si>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</si>
  <si>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</si>
  <si>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</si>
  <si>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</si>
  <si>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</si>
  <si>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</si>
  <si>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</si>
  <si>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</si>
  <si>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</si>
  <si>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</si>
  <si>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</si>
  <si>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</si>
  <si>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</si>
  <si>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</si>
  <si>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</si>
  <si>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</si>
  <si>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</si>
  <si>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</si>
  <si>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</si>
  <si>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Д-RU.РА09.В.92634/25</t>
  </si>
  <si>
    <t>SU002945</t>
  </si>
  <si>
    <t>P003383</t>
  </si>
  <si>
    <t>ЕАЭС N RU Д-RU.РА09.В.94292/25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</si>
  <si>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</si>
  <si>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</si>
  <si>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</si>
  <si>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</si>
  <si>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</si>
  <si>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</si>
  <si>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</si>
  <si>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</si>
  <si>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</si>
  <si>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</si>
  <si>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</si>
  <si>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</si>
  <si>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</si>
  <si>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Д-RU.РА01.В.99284/23, ЕАЭС N RU Д-RU.РА11.В.74089/25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</si>
  <si>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</si>
  <si>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</si>
  <si>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</si>
  <si>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</si>
  <si>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</si>
  <si>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Д-RU.РА09.В.39078/25, ЕАЭС N RU Д-RU.РА10.В.20056/25</t>
  </si>
  <si>
    <t>SU002842</t>
  </si>
  <si>
    <t>P003262</t>
  </si>
  <si>
    <t>ЕАЭС N RU Д-RU.РА01.В.99284/23, ЕАЭС N RU Д-RU.РА01.В.99309/23, ЕАЭС N RU Д-RU.РА11.В.74089/25</t>
  </si>
  <si>
    <t>SU002992</t>
  </si>
  <si>
    <t>P004147</t>
  </si>
  <si>
    <t>SU002618</t>
  </si>
  <si>
    <t>P003957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</si>
  <si>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</si>
  <si>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</si>
  <si>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</si>
  <si>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</si>
  <si>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</si>
  <si>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</si>
  <si>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</si>
  <si>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SU002759</t>
  </si>
  <si>
    <t>P003961</t>
  </si>
  <si>
    <t>ЕАЭС N RU Д-RU.РА09.В.28678/25</t>
  </si>
  <si>
    <t>SU002758</t>
  </si>
  <si>
    <t>P003960</t>
  </si>
  <si>
    <t>ЕАЭС N RU Д-RU.РА01.В.93159/24, ЕАЭС N RU Д-RU.РА01.В.93294/24,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</si>
  <si>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</si>
  <si>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</si>
  <si>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</si>
  <si>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</si>
  <si>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</si>
  <si>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</si>
  <si>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</si>
  <si>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</si>
  <si>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</si>
  <si>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ЕАЭС N RU Д-RU.РА09.В.49311/25</t>
  </si>
  <si>
    <t>SU003274</t>
  </si>
  <si>
    <t>P004067</t>
  </si>
  <si>
    <t>P005062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</si>
  <si>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</si>
  <si>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</si>
  <si>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</si>
  <si>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</si>
  <si>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</si>
  <si>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</si>
  <si>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</si>
  <si>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</si>
  <si>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P005061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</si>
  <si>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</si>
  <si>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</si>
  <si>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</si>
  <si>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</si>
  <si>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</si>
  <si>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</si>
  <si>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</si>
  <si>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Деликатесы с/к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</si>
  <si>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</si>
  <si>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</si>
  <si>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</si>
  <si>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</si>
  <si>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</si>
  <si>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</si>
  <si>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</si>
  <si>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</si>
  <si>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</si>
  <si>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</si>
  <si>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</si>
  <si>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</si>
  <si>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</si>
  <si>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</si>
  <si>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</si>
  <si>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SU003391</t>
  </si>
  <si>
    <t>P004209</t>
  </si>
  <si>
    <t>ЕАЭС N RU Д-RU.РА05.В.80018/24</t>
  </si>
  <si>
    <t>SU003387</t>
  </si>
  <si>
    <t>P004206</t>
  </si>
  <si>
    <t>ЕАЭС N RU Д-RU.РА05.В.80261/24, ЕАЭС N RU Д-RU.РА05.В.80546/24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</si>
  <si>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</si>
  <si>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</si>
  <si>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</si>
  <si>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</si>
  <si>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</si>
  <si>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</si>
  <si>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Стародворская Золоченная в печи</t>
  </si>
  <si>
    <t>SU002201</t>
  </si>
  <si>
    <t>P002567</t>
  </si>
  <si>
    <t>SU003946</t>
  </si>
  <si>
    <t>P005063</t>
  </si>
  <si>
    <t>ЕАЭС N RU Д-RU.РА04.В.04775/25</t>
  </si>
  <si>
    <t>SU003429</t>
  </si>
  <si>
    <t>P004275</t>
  </si>
  <si>
    <t>SU003926</t>
  </si>
  <si>
    <t>P005038</t>
  </si>
  <si>
    <t>ЕАЭС N RU Д-RU.РА10.В.32913/25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</si>
  <si>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</si>
  <si>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</si>
  <si>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</si>
  <si>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</si>
  <si>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</si>
  <si>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</si>
  <si>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</si>
  <si>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</si>
  <si>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</si>
  <si>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</si>
  <si>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SU002698</t>
  </si>
  <si>
    <t>P004231</t>
  </si>
  <si>
    <t>ЕАЭС N RU Д-RU.РА01.В.54558/24</t>
  </si>
  <si>
    <t>SU003942</t>
  </si>
  <si>
    <t>P005056</t>
  </si>
  <si>
    <t>ЕАЭС N RU Д-RU.РА04.В.38656/25</t>
  </si>
  <si>
    <t>SU003340</t>
  </si>
  <si>
    <t>P004090</t>
  </si>
  <si>
    <t>ЕАЭС N RU Д-RU.РА03.В.47009/25, ЕАЭС N RU Д-RU.РА09.В.08947/23, ЕАЭС N RU Д-RU.РА09.В.09542/23</t>
  </si>
  <si>
    <t>SU003962</t>
  </si>
  <si>
    <t>P005092</t>
  </si>
  <si>
    <t>ЕАЭС N RU Д-RU.РА06.В.40336/25</t>
  </si>
  <si>
    <t>Бордо</t>
  </si>
  <si>
    <t>SU001777</t>
  </si>
  <si>
    <t>P004919</t>
  </si>
  <si>
    <t>ЕАЭС N RU Д-RU.РА09.В.71208/24</t>
  </si>
  <si>
    <t>SU003394</t>
  </si>
  <si>
    <t>P004213</t>
  </si>
  <si>
    <t>ЕАЭС N RU Д-RU.РА04.В.92149/24</t>
  </si>
  <si>
    <t>SU003396</t>
  </si>
  <si>
    <t>P004215</t>
  </si>
  <si>
    <t>ЕАЭС N RU Д-RU.РА04.В.89027/24</t>
  </si>
  <si>
    <t>SU003392</t>
  </si>
  <si>
    <t>P004210</t>
  </si>
  <si>
    <t>ЕАЭС N RU Д-RU.РА04.В.93998/24, ЕАЭС N RU Д-RU.РА04.В.94346/24</t>
  </si>
  <si>
    <t>SU003395</t>
  </si>
  <si>
    <t>P004214</t>
  </si>
  <si>
    <t>SU003393</t>
  </si>
  <si>
    <t>P004211</t>
  </si>
  <si>
    <t>ЕАЭС N RU Д-RU.РА04.В.93998/24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</si>
  <si>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</si>
  <si>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</si>
  <si>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</si>
  <si>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</si>
  <si>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</si>
  <si>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</si>
  <si>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</si>
  <si>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</si>
  <si>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</si>
  <si>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</si>
  <si>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</si>
  <si>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</si>
  <si>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</si>
  <si>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Д-RU.РА01.В.54243/24</t>
  </si>
  <si>
    <t>SU002252</t>
  </si>
  <si>
    <t>P002461</t>
  </si>
  <si>
    <t>ЕАЭС N RU Д-RU.PA01.B.88489/21</t>
  </si>
  <si>
    <t>SU001340</t>
  </si>
  <si>
    <t>P002209</t>
  </si>
  <si>
    <t>ЕАЭС N RU Д-RU.РА04.В.49333/24, ЕАЭС № RU Д-RU.АБ75.В.00705/19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</si>
  <si>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</si>
  <si>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</si>
  <si>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</si>
  <si>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</si>
  <si>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</si>
  <si>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</si>
  <si>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</si>
  <si>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</si>
  <si>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Д-RU.РА02.В.37037/25, ЕАЭС N RU Д-RU.РА04.В.49333/24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</si>
  <si>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</si>
  <si>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</si>
  <si>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</si>
  <si>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</si>
  <si>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</si>
  <si>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</si>
  <si>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</si>
  <si>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</si>
  <si>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</si>
  <si>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</si>
  <si>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</si>
  <si>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</si>
  <si>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</si>
  <si>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</si>
  <si>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</si>
  <si>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</si>
  <si>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</si>
  <si>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</si>
  <si>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</si>
  <si>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</si>
  <si>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</si>
  <si>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</si>
  <si>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</si>
  <si>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</si>
  <si>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</si>
  <si>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</si>
  <si>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</si>
  <si>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</si>
  <si>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</si>
  <si>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</si>
  <si>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Д-RU.РА04.В.57451/23, ЕАЭС N RU Д-RU.РА11.В.38696/25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</si>
  <si>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</si>
  <si>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</si>
  <si>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</si>
  <si>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</si>
  <si>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</si>
  <si>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Д-RU.РА04.В.80100/25, ЕАЭС N RU Д-RU.РА05.В.42849/23</t>
  </si>
  <si>
    <t>Особый рецепт</t>
  </si>
  <si>
    <t>Особая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</si>
  <si>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</si>
  <si>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</si>
  <si>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</si>
  <si>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</si>
  <si>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</si>
  <si>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Д-RU.РА02.В.61635/24, ЕАЭС N RU Д-RU.РА08.В.48516/25</t>
  </si>
  <si>
    <t>SU003420</t>
  </si>
  <si>
    <t>P004252</t>
  </si>
  <si>
    <t>ЕАЭС N RU Д-RU.РА09.В.21652/25, ЕАЭС N RU Д-RU.РА10.В.85449/23, ЕАЭС N RU Д-RU.РА11.В.72187/25</t>
  </si>
  <si>
    <t>SU000251</t>
  </si>
  <si>
    <t>P005077</t>
  </si>
  <si>
    <t>ЕАЭС N RU Д-RU.РА09.В.71512/24</t>
  </si>
  <si>
    <t>SU002787</t>
  </si>
  <si>
    <t>P003189</t>
  </si>
  <si>
    <t>ЕАЭС N RU Д-RU.РА05.В.17033/23</t>
  </si>
  <si>
    <t>SU003432</t>
  </si>
  <si>
    <t>P004347</t>
  </si>
  <si>
    <t>SU003421</t>
  </si>
  <si>
    <t>P004253</t>
  </si>
  <si>
    <t>SU000126</t>
  </si>
  <si>
    <t>P002555</t>
  </si>
  <si>
    <t>ЕАЭС N RU Д-RU.РА03.В.02703/25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</si>
  <si>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</si>
  <si>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</si>
  <si>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</si>
  <si>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</si>
  <si>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</si>
  <si>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</si>
  <si>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</si>
  <si>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</si>
  <si>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Д-RU.РА03.В.25758/24, ЕАЭС N RU Д-RU.РА11.В.65862/25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</si>
  <si>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</si>
  <si>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</si>
  <si>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</si>
  <si>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</si>
  <si>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</si>
  <si>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</si>
  <si>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Д-RU.РА09.В.20743/25, ЕАЭС N RU Д-RU.РА09.В.96881/24</t>
  </si>
  <si>
    <t>SU003426</t>
  </si>
  <si>
    <t>P004258</t>
  </si>
  <si>
    <t>SU002360</t>
  </si>
  <si>
    <t>P004227</t>
  </si>
  <si>
    <t>ЕАЭС N RU Д-RU.РА09.В.34803/25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</si>
  <si>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</si>
  <si>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</si>
  <si>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</si>
  <si>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</si>
  <si>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</si>
  <si>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</si>
  <si>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</si>
  <si>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</si>
  <si>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</si>
  <si>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</si>
  <si>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</si>
  <si>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</si>
  <si>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</si>
  <si>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</si>
  <si>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SU002615</t>
  </si>
  <si>
    <t>P004899</t>
  </si>
  <si>
    <t>ЕАЭС N RU Д-RU.РА02.В.66942/23</t>
  </si>
  <si>
    <t>SU002613</t>
  </si>
  <si>
    <t>P004895</t>
  </si>
  <si>
    <t>ЕАЭС N RU Д-RU.РА02.В.66906/23</t>
  </si>
  <si>
    <t>SU003083</t>
  </si>
  <si>
    <t>P004543</t>
  </si>
  <si>
    <t>SU002538</t>
  </si>
  <si>
    <t>P004517</t>
  </si>
  <si>
    <t>SU002602</t>
  </si>
  <si>
    <t>P004518</t>
  </si>
  <si>
    <t>ЕАЭС N RU Д-RU.РА02.В.65693/23</t>
  </si>
  <si>
    <t>SU003080</t>
  </si>
  <si>
    <t>P004525</t>
  </si>
  <si>
    <t>ЕАЭС N RU Д-RU.РА02.В.65750/23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</si>
  <si>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</si>
  <si>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</si>
  <si>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</si>
  <si>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</si>
  <si>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</si>
  <si>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</si>
  <si>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</si>
  <si>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</si>
  <si>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</si>
  <si>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</si>
  <si>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</si>
  <si>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</si>
  <si>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</si>
  <si>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</si>
  <si>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Д-RU.РА01.В.42181/22, ЕАЭС N RU Д-RU.РА04.В.08736/24</t>
  </si>
  <si>
    <t>SU002612</t>
  </si>
  <si>
    <t>P004896</t>
  </si>
  <si>
    <t>ЕАЭС N RU Д-RU.РА02.В.65356/23, ЕАЭС N RU Д-RU.РА02.В.66890/23</t>
  </si>
  <si>
    <t>SU002545</t>
  </si>
  <si>
    <t>P004516</t>
  </si>
  <si>
    <t>ЕАЭС N RU Д-RU.РА02.В.65449/23</t>
  </si>
  <si>
    <t>SU002726</t>
  </si>
  <si>
    <t>P004546</t>
  </si>
  <si>
    <t>ЕАЭС N RU Д-RU.РА02.В.66822/23</t>
  </si>
  <si>
    <t>SU002604</t>
  </si>
  <si>
    <t>P004520</t>
  </si>
  <si>
    <t>Краковюрст</t>
  </si>
  <si>
    <t>SU003342</t>
  </si>
  <si>
    <t>P004452</t>
  </si>
  <si>
    <t>ЕАЭС N RU Д-RU.РА03.В.17780/24</t>
  </si>
  <si>
    <t>Дугушка</t>
  </si>
  <si>
    <t>SU002011</t>
  </si>
  <si>
    <t>P004028</t>
  </si>
  <si>
    <t>SU002094</t>
  </si>
  <si>
    <t>P005073</t>
  </si>
  <si>
    <t>ЕАЭС N RU Д-RU.РА10.В.55647/24</t>
  </si>
  <si>
    <t>P004938</t>
  </si>
  <si>
    <t>SU002182</t>
  </si>
  <si>
    <t>P004406</t>
  </si>
  <si>
    <t>ЕАЭС N RU Д-RU.РА02.В.51764/24</t>
  </si>
  <si>
    <t>SU002634</t>
  </si>
  <si>
    <t>P002989</t>
  </si>
  <si>
    <t>ЕАЭС N RU Д-RU.РА03.В.56116/24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</si>
  <si>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</si>
  <si>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</si>
  <si>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</si>
  <si>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</si>
  <si>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</si>
  <si>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</si>
  <si>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</si>
  <si>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</si>
  <si>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</si>
  <si>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</si>
  <si>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SU002635</t>
  </si>
  <si>
    <t>P004690</t>
  </si>
  <si>
    <t>SU003786</t>
  </si>
  <si>
    <t>P004752</t>
  </si>
  <si>
    <t>ЕАЭС N RU Д-RU.РА07.В.46175/25, ЕАЭС N RU Д-RU.РА07.В.78433/22</t>
  </si>
  <si>
    <t>SU002631</t>
  </si>
  <si>
    <t>P004688</t>
  </si>
  <si>
    <t>SU002035</t>
  </si>
  <si>
    <t>P004460</t>
  </si>
  <si>
    <t>ЕАЭС N RU Д-RU.РА04.В.71599/24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</si>
  <si>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</si>
  <si>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</si>
  <si>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</si>
  <si>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</si>
  <si>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</si>
  <si>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</si>
  <si>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</si>
  <si>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</si>
  <si>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</si>
  <si>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Д-RU.РА04.В.71173/24</t>
  </si>
  <si>
    <t>SU002151</t>
  </si>
  <si>
    <t>P004470</t>
  </si>
  <si>
    <t>ЕАЭС N RU Д-RU.РА04.В.71301/24</t>
  </si>
  <si>
    <t>SU002916</t>
  </si>
  <si>
    <t>P004934</t>
  </si>
  <si>
    <t>SU002919</t>
  </si>
  <si>
    <t>P004930</t>
  </si>
  <si>
    <t>SU002918</t>
  </si>
  <si>
    <t>P004929</t>
  </si>
  <si>
    <t>SU002146</t>
  </si>
  <si>
    <t>P002319</t>
  </si>
  <si>
    <t>ЕАЭС N RU Д-RU.РА04.В.51196/23, ЕАЭС N RU Д-RU.РА10.В.04165/24</t>
  </si>
  <si>
    <t>Зареченские продукты</t>
  </si>
  <si>
    <t>SU003290</t>
  </si>
  <si>
    <t>P004000</t>
  </si>
  <si>
    <t>ЕАЭС N RU Д-RU.РА10.В.50054/23</t>
  </si>
  <si>
    <t>SU002807</t>
  </si>
  <si>
    <t>P003583</t>
  </si>
  <si>
    <t>ЕАЭС N RU Д-RU.РА05.В.98227/23</t>
  </si>
  <si>
    <t>SU002808</t>
  </si>
  <si>
    <t>P003582</t>
  </si>
  <si>
    <t>ЕАЭС N RU Д-RU.РА05.В.95257/23</t>
  </si>
  <si>
    <t>SU003296</t>
  </si>
  <si>
    <t>P004002</t>
  </si>
  <si>
    <t>SU002806</t>
  </si>
  <si>
    <t>P005012</t>
  </si>
  <si>
    <t>ЕАЭС N RU Д-RU.РА05.В.93655/23</t>
  </si>
  <si>
    <t>SU002811</t>
  </si>
  <si>
    <t>P003588</t>
  </si>
  <si>
    <t>ЕАЭС № RU Д-RU.РА01.В.93655/20</t>
  </si>
  <si>
    <t>SU002809</t>
  </si>
  <si>
    <t>P005250</t>
  </si>
  <si>
    <t>ЕАЭС N RU Д-RU.РА11.В.92741/24</t>
  </si>
  <si>
    <t>SU002655</t>
  </si>
  <si>
    <t>P004991</t>
  </si>
  <si>
    <t>ЕАЭС N RU Д-RU.РА05.В.94085/23</t>
  </si>
  <si>
    <t>SU002970</t>
  </si>
  <si>
    <t>P004925</t>
  </si>
  <si>
    <t>ЕАЭС N RU Д-RU.РА05.В.10039/23</t>
  </si>
  <si>
    <t>SU002971</t>
  </si>
  <si>
    <t>P004927</t>
  </si>
  <si>
    <t>ЕАЭС N RU Д-RU.РА05.В.12010/23</t>
  </si>
  <si>
    <t>Зареченские продукты Светофор</t>
  </si>
  <si>
    <t>SU002967</t>
  </si>
  <si>
    <t>P004317</t>
  </si>
  <si>
    <t>ЕАЭС N RU Д-RU.РА05.В.11990/23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</si>
  <si>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</si>
  <si>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</si>
  <si>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</si>
  <si>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</si>
  <si>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</si>
  <si>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</si>
  <si>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</si>
  <si>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</si>
  <si>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</si>
  <si>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</si>
  <si>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</si>
  <si>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</si>
  <si>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</si>
  <si>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590704_7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</si>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</sst>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770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884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759" fillId="0" borderId="11" xfId="0" applyFont="1" applyBorder="1" applyAlignment="1" applyProtection="1">
      <alignment wrapText="1"/>
      <protection hidden="1"/>
    </xf>
    <xf numFmtId="0" fontId="760" fillId="0" borderId="0" xfId="0" applyFont="1"/>
    <xf numFmtId="0" fontId="762" fillId="0" borderId="11" xfId="0" applyFont="1" applyBorder="1" applyAlignment="1" applyProtection="1">
      <alignment wrapText="1"/>
      <protection hidden="1"/>
    </xf>
    <xf numFmtId="0" fontId="763" fillId="0" borderId="0" xfId="0" applyFont="1"/>
    <xf numFmtId="0" fontId="765" fillId="0" borderId="11" xfId="0" applyFont="1" applyBorder="1" applyAlignment="1" applyProtection="1">
      <alignment wrapText="1"/>
      <protection hidden="1"/>
    </xf>
    <xf numFmtId="0" fontId="766" fillId="0" borderId="0" xfId="0" applyFont="1"/>
    <xf numFmtId="0" fontId="768" fillId="0" borderId="11" xfId="0" applyFont="1" applyBorder="1" applyAlignment="1" applyProtection="1">
      <alignment wrapText="1"/>
      <protection hidden="1"/>
    </xf>
    <xf numFmtId="0" fontId="769" fillId="0" borderId="0" xfId="0" applyFont="1"/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0" fontId="140" fillId="0" borderId="43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131" fillId="0" borderId="43" xfId="0" applyFont="1" applyBorder="1" applyAlignment="1">
      <alignment horizontal="left" vertical="center" wrapText="1"/>
    </xf>
    <xf numFmtId="0" fontId="512" fillId="0" borderId="43" xfId="0" applyFont="1" applyBorder="1" applyAlignment="1">
      <alignment horizontal="left" vertical="center" wrapText="1"/>
    </xf>
    <xf numFmtId="0" fontId="695" fillId="0" borderId="43" xfId="0" applyFont="1" applyBorder="1" applyAlignment="1">
      <alignment horizontal="left" vertical="center" wrapText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0" fillId="0" borderId="31" xfId="0" applyBorder="1" applyProtection="1">
      <protection hidden="1"/>
    </xf>
    <xf numFmtId="0" fontId="491" fillId="0" borderId="43" xfId="0" applyFont="1" applyBorder="1" applyAlignment="1">
      <alignment horizontal="left" vertical="center" wrapText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0" fontId="728" fillId="0" borderId="43" xfId="0" applyFont="1" applyBorder="1" applyAlignment="1">
      <alignment horizontal="left" vertical="center" wrapText="1"/>
    </xf>
    <xf numFmtId="0" fontId="362" fillId="0" borderId="43" xfId="0" applyFont="1" applyBorder="1" applyAlignment="1">
      <alignment horizontal="left" vertical="center" wrapText="1"/>
    </xf>
    <xf numFmtId="0" fontId="149" fillId="0" borderId="43" xfId="0" applyFont="1" applyBorder="1" applyAlignment="1">
      <alignment horizontal="left" vertical="center" wrapText="1"/>
    </xf>
    <xf numFmtId="0" fontId="533" fillId="0" borderId="43" xfId="0" applyFont="1" applyBorder="1" applyAlignment="1">
      <alignment horizontal="left" vertical="center" wrapText="1"/>
    </xf>
    <xf numFmtId="0" fontId="731" fillId="0" borderId="43" xfId="0" applyFont="1" applyBorder="1" applyAlignment="1">
      <alignment horizontal="left" vertical="center" wrapText="1"/>
    </xf>
    <xf numFmtId="0" fontId="410" fillId="0" borderId="43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275" fillId="0" borderId="43" xfId="0" applyFont="1" applyBorder="1" applyAlignment="1">
      <alignment horizontal="left" vertical="center" wrapText="1"/>
    </xf>
    <xf numFmtId="0" fontId="68" fillId="0" borderId="43" xfId="0" applyFont="1" applyBorder="1" applyAlignment="1">
      <alignment horizontal="left" vertical="center" wrapText="1"/>
    </xf>
    <xf numFmtId="0" fontId="242" fillId="0" borderId="43" xfId="0" applyFont="1" applyBorder="1" applyAlignment="1">
      <alignment horizontal="left" vertical="center" wrapText="1"/>
    </xf>
    <xf numFmtId="0" fontId="365" fillId="0" borderId="43" xfId="0" applyFont="1" applyBorder="1" applyAlignment="1">
      <alignment horizontal="left" vertical="center" wrapText="1"/>
    </xf>
    <xf numFmtId="0" fontId="347" fillId="0" borderId="43" xfId="0" applyFont="1" applyBorder="1" applyAlignment="1">
      <alignment horizontal="left" vertical="center" wrapText="1"/>
    </xf>
    <xf numFmtId="0" fontId="614" fillId="0" borderId="43" xfId="0" applyFont="1" applyBorder="1" applyAlignment="1">
      <alignment horizontal="left" vertical="center" wrapText="1"/>
    </xf>
    <xf numFmtId="0" fontId="680" fillId="0" borderId="43" xfId="0" applyFont="1" applyBorder="1" applyAlignment="1">
      <alignment horizontal="left" vertical="center" wrapText="1"/>
    </xf>
    <xf numFmtId="0" fontId="74" fillId="0" borderId="43" xfId="0" applyFont="1" applyBorder="1" applyAlignment="1">
      <alignment horizontal="left" vertical="center" wrapText="1"/>
    </xf>
    <xf numFmtId="0" fontId="248" fillId="0" borderId="43" xfId="0" applyFont="1" applyBorder="1" applyAlignment="1">
      <alignment horizontal="left" vertical="center" wrapText="1"/>
    </xf>
    <xf numFmtId="0" fontId="722" fillId="0" borderId="43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107" fillId="0" borderId="43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167" fillId="0" borderId="43" xfId="0" applyFont="1" applyBorder="1" applyAlignment="1">
      <alignment horizontal="left" vertical="center" wrapText="1"/>
    </xf>
    <xf numFmtId="0" fontId="269" fillId="0" borderId="43" xfId="0" applyFont="1" applyBorder="1" applyAlignment="1">
      <alignment horizontal="left" vertical="center" wrapText="1"/>
    </xf>
    <xf numFmtId="0" fontId="593" fillId="0" borderId="43" xfId="0" applyFont="1" applyBorder="1" applyAlignment="1">
      <alignment horizontal="left" vertical="center" wrapText="1"/>
    </xf>
    <xf numFmtId="0" fontId="746" fillId="0" borderId="43" xfId="0" applyFont="1" applyBorder="1" applyAlignment="1">
      <alignment horizontal="left" vertical="center" wrapText="1"/>
    </xf>
    <xf numFmtId="0" fontId="515" fillId="0" borderId="43" xfId="0" applyFont="1" applyBorder="1" applyAlignment="1">
      <alignment horizontal="left" vertical="center" wrapText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4" xfId="0" applyBorder="1" applyProtection="1">
      <protection hidden="1"/>
    </xf>
    <xf numFmtId="0" fontId="608" fillId="0" borderId="43" xfId="0" applyFont="1" applyBorder="1" applyAlignment="1">
      <alignment horizontal="left" vertical="center" wrapText="1"/>
    </xf>
    <xf numFmtId="0" fontId="338" fillId="0" borderId="43" xfId="0" applyFont="1" applyBorder="1" applyAlignment="1">
      <alignment horizontal="left" vertical="center" wrapText="1"/>
    </xf>
    <xf numFmtId="0" fontId="233" fillId="0" borderId="43" xfId="0" applyFont="1" applyBorder="1" applyAlignment="1">
      <alignment horizontal="left" vertical="center" wrapText="1"/>
    </xf>
    <xf numFmtId="0" fontId="710" fillId="0" borderId="43" xfId="0" applyFont="1" applyBorder="1" applyAlignment="1">
      <alignment horizontal="left" vertical="center" wrapText="1"/>
    </xf>
    <xf numFmtId="0" fontId="383" fillId="0" borderId="43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389" fillId="0" borderId="43" xfId="0" applyFont="1" applyBorder="1" applyAlignment="1">
      <alignment horizontal="left" vertical="center" wrapText="1"/>
    </xf>
    <xf numFmtId="0" fontId="158" fillId="0" borderId="43" xfId="0" applyFont="1" applyBorder="1" applyAlignment="1">
      <alignment horizontal="left" vertical="center" wrapText="1"/>
    </xf>
    <xf numFmtId="0" fontId="623" fillId="0" borderId="43" xfId="0" applyFont="1" applyBorder="1" applyAlignment="1">
      <alignment horizontal="left" vertical="center" wrapText="1"/>
    </xf>
    <xf numFmtId="0" fontId="278" fillId="0" borderId="43" xfId="0" applyFont="1" applyBorder="1" applyAlignment="1">
      <alignment horizontal="left" vertical="center" wrapText="1"/>
    </xf>
    <xf numFmtId="0" fontId="71" fillId="0" borderId="43" xfId="0" applyFont="1" applyBorder="1" applyAlignment="1">
      <alignment horizontal="left" vertical="center" wrapText="1"/>
    </xf>
    <xf numFmtId="0" fontId="170" fillId="0" borderId="43" xfId="0" applyFont="1" applyBorder="1" applyAlignment="1">
      <alignment horizontal="left" vertical="center" wrapText="1"/>
    </xf>
    <xf numFmtId="0" fontId="443" fillId="0" borderId="43" xfId="0" applyFont="1" applyBorder="1" applyAlignment="1">
      <alignment horizontal="left" vertical="center" wrapText="1"/>
    </xf>
    <xf numFmtId="0" fontId="164" fillId="0" borderId="43" xfId="0" applyFont="1" applyBorder="1" applyAlignment="1">
      <alignment horizontal="left" vertical="center" wrapText="1"/>
    </xf>
    <xf numFmtId="0" fontId="437" fillId="0" borderId="43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392" fillId="0" borderId="43" xfId="0" applyFont="1" applyBorder="1" applyAlignment="1">
      <alignment horizontal="left" vertical="center" wrapText="1"/>
    </xf>
    <xf numFmtId="0" fontId="752" fillId="0" borderId="43" xfId="0" applyFont="1" applyBorder="1" applyAlignment="1">
      <alignment horizontal="left" vertical="center" wrapText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536" fillId="0" borderId="43" xfId="0" applyFont="1" applyBorder="1" applyAlignment="1">
      <alignment horizontal="left" vertical="center" wrapText="1"/>
    </xf>
    <xf numFmtId="0" fontId="440" fillId="0" borderId="43" xfId="0" applyFont="1" applyBorder="1" applyAlignment="1">
      <alignment horizontal="left" vertical="center" wrapText="1"/>
    </xf>
    <xf numFmtId="0" fontId="542" fillId="0" borderId="43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647" fillId="0" borderId="43" xfId="0" applyFont="1" applyBorder="1" applyAlignment="1">
      <alignment horizontal="left" vertical="center" wrapText="1"/>
    </xf>
    <xf numFmtId="0" fontId="302" fillId="0" borderId="43" xfId="0" applyFont="1" applyBorder="1" applyAlignment="1">
      <alignment horizontal="left" vertical="center" wrapText="1"/>
    </xf>
    <xf numFmtId="0" fontId="272" fillId="0" borderId="43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725" fillId="0" borderId="43" xfId="0" applyFont="1" applyBorder="1" applyAlignment="1">
      <alignment horizontal="left" vertical="center" wrapText="1"/>
    </xf>
    <xf numFmtId="0" fontId="86" fillId="0" borderId="43" xfId="0" applyFont="1" applyBorder="1" applyAlignment="1">
      <alignment horizontal="left" vertical="center" wrapText="1"/>
    </xf>
    <xf numFmtId="0" fontId="236" fillId="0" borderId="43" xfId="0" applyFont="1" applyBorder="1" applyAlignment="1">
      <alignment horizontal="left" vertical="center" wrapText="1"/>
    </xf>
    <xf numFmtId="0" fontId="401" fillId="0" borderId="43" xfId="0" applyFont="1" applyBorder="1" applyAlignment="1">
      <alignment horizontal="left" vertical="center" wrapText="1"/>
    </xf>
    <xf numFmtId="0" fontId="0" fillId="0" borderId="46" xfId="0" applyBorder="1" applyProtection="1">
      <protection hidden="1"/>
    </xf>
    <xf numFmtId="0" fontId="449" fillId="0" borderId="43" xfId="0" applyFont="1" applyBorder="1" applyAlignment="1">
      <alignment horizontal="left" vertical="center" wrapText="1"/>
    </xf>
    <xf numFmtId="0" fontId="641" fillId="0" borderId="43" xfId="0" applyFont="1" applyBorder="1" applyAlignment="1">
      <alignment horizontal="left" vertical="center" wrapText="1"/>
    </xf>
    <xf numFmtId="0" fontId="257" fillId="0" borderId="43" xfId="0" applyFont="1" applyBorder="1" applyAlignment="1">
      <alignment horizontal="left" vertical="center" wrapText="1"/>
    </xf>
    <xf numFmtId="0" fontId="551" fillId="0" borderId="43" xfId="0" applyFont="1" applyBorder="1" applyAlignment="1">
      <alignment horizontal="left" vertical="center" wrapText="1"/>
    </xf>
    <xf numFmtId="0" fontId="200" fillId="0" borderId="43" xfId="0" applyFont="1" applyBorder="1" applyAlignment="1">
      <alignment horizontal="left" vertical="center" wrapText="1"/>
    </xf>
    <xf numFmtId="0" fontId="179" fillId="0" borderId="43" xfId="0" applyFont="1" applyBorder="1" applyAlignment="1">
      <alignment horizontal="left" vertical="center" wrapText="1"/>
    </xf>
    <xf numFmtId="0" fontId="644" fillId="0" borderId="43" xfId="0" applyFont="1" applyBorder="1" applyAlignment="1">
      <alignment horizontal="left" vertical="center" wrapText="1"/>
    </xf>
    <xf numFmtId="0" fontId="263" fillId="0" borderId="43" xfId="0" applyFont="1" applyBorder="1" applyAlignment="1">
      <alignment horizontal="left" vertical="center" wrapText="1"/>
    </xf>
    <xf numFmtId="0" fontId="740" fillId="0" borderId="43" xfId="0" applyFont="1" applyBorder="1" applyAlignment="1">
      <alignment horizontal="left" vertical="center" wrapText="1"/>
    </xf>
    <xf numFmtId="0" fontId="419" fillId="0" borderId="43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311" fillId="0" borderId="43" xfId="0" applyFont="1" applyBorder="1" applyAlignment="1">
      <alignment horizontal="left" vertical="center" wrapText="1"/>
    </xf>
    <xf numFmtId="0" fontId="464" fillId="0" borderId="43" xfId="0" applyFont="1" applyBorder="1" applyAlignment="1">
      <alignment horizontal="left" vertical="center" wrapText="1"/>
    </xf>
    <xf numFmtId="0" fontId="215" fillId="0" borderId="43" xfId="0" applyFont="1" applyBorder="1" applyAlignment="1">
      <alignment horizontal="left" vertical="center" wrapText="1"/>
    </xf>
    <xf numFmtId="0" fontId="671" fillId="0" borderId="43" xfId="0" applyFont="1" applyBorder="1" applyAlignment="1">
      <alignment horizontal="left" vertical="center" wrapText="1"/>
    </xf>
    <xf numFmtId="0" fontId="668" fillId="0" borderId="43" xfId="0" applyFont="1" applyBorder="1" applyAlignment="1">
      <alignment horizontal="left" vertical="center" wrapText="1"/>
    </xf>
    <xf numFmtId="0" fontId="95" fillId="0" borderId="43" xfId="0" applyFont="1" applyBorder="1" applyAlignment="1">
      <alignment horizontal="left" vertical="center" wrapText="1"/>
    </xf>
    <xf numFmtId="0" fontId="371" fillId="0" borderId="43" xfId="0" applyFont="1" applyBorder="1" applyAlignment="1">
      <alignment horizontal="left" vertical="center" wrapText="1"/>
    </xf>
    <xf numFmtId="0" fontId="563" fillId="0" borderId="43" xfId="0" applyFont="1" applyBorder="1" applyAlignment="1">
      <alignment horizontal="left" vertical="center" wrapText="1"/>
    </xf>
    <xf numFmtId="0" fontId="758" fillId="0" borderId="43" xfId="0" applyFont="1" applyBorder="1" applyAlignment="1">
      <alignment horizontal="left" vertical="center" wrapText="1"/>
    </xf>
    <xf numFmtId="0" fontId="308" fillId="0" borderId="43" xfId="0" applyFont="1" applyBorder="1" applyAlignment="1">
      <alignment horizontal="left" vertical="center" wrapText="1"/>
    </xf>
    <xf numFmtId="0" fontId="467" fillId="0" borderId="43" xfId="0" applyFont="1" applyBorder="1" applyAlignment="1">
      <alignment horizontal="left" vertical="center" wrapText="1"/>
    </xf>
    <xf numFmtId="0" fontId="461" fillId="0" borderId="43" xfId="0" applyFont="1" applyBorder="1" applyAlignment="1">
      <alignment horizontal="left" vertical="center" wrapText="1"/>
    </xf>
    <xf numFmtId="0" fontId="569" fillId="0" borderId="43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137" fillId="0" borderId="43" xfId="0" applyFont="1" applyBorder="1" applyAlignment="1">
      <alignment horizontal="left" vertical="center" wrapText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0" fontId="326" fillId="0" borderId="43" xfId="0" applyFont="1" applyBorder="1" applyAlignment="1">
      <alignment horizontal="left" vertical="center" wrapText="1"/>
    </xf>
    <xf numFmtId="0" fontId="602" fillId="0" borderId="43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659" fillId="0" borderId="43" xfId="0" applyFont="1" applyBorder="1" applyAlignment="1">
      <alignment horizontal="left" vertical="center" wrapText="1"/>
    </xf>
    <xf numFmtId="0" fontId="260" fillId="0" borderId="43" xfId="0" applyFont="1" applyBorder="1" applyAlignment="1">
      <alignment horizontal="left" vertical="center" wrapText="1"/>
    </xf>
    <xf numFmtId="0" fontId="227" fillId="0" borderId="43" xfId="0" applyFont="1" applyBorder="1" applyAlignment="1">
      <alignment horizontal="left" vertical="center" wrapText="1"/>
    </xf>
    <xf numFmtId="0" fontId="203" fillId="0" borderId="43" xfId="0" applyFont="1" applyBorder="1" applyAlignment="1">
      <alignment horizontal="left" vertical="center" wrapText="1"/>
    </xf>
    <xf numFmtId="0" fontId="104" fillId="0" borderId="43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458" fillId="0" borderId="43" xfId="0" applyFont="1" applyBorder="1" applyAlignment="1">
      <alignment horizontal="left" vertical="center" wrapText="1"/>
    </xf>
    <xf numFmtId="0" fontId="266" fillId="0" borderId="43" xfId="0" applyFont="1" applyBorder="1" applyAlignment="1">
      <alignment horizontal="left" vertical="center" wrapText="1"/>
    </xf>
    <xf numFmtId="0" fontId="653" fillId="0" borderId="43" xfId="0" applyFont="1" applyBorder="1" applyAlignment="1">
      <alignment horizontal="left" vertical="center" wrapText="1"/>
    </xf>
    <xf numFmtId="0" fontId="743" fillId="0" borderId="43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0" fillId="0" borderId="27" xfId="0" applyBorder="1" applyProtection="1">
      <protection hidden="1"/>
    </xf>
    <xf numFmtId="0" fontId="650" fillId="0" borderId="43" xfId="0" applyFont="1" applyBorder="1" applyAlignment="1">
      <alignment horizontal="left" vertical="center" wrapText="1"/>
    </xf>
    <xf numFmtId="0" fontId="0" fillId="0" borderId="45" xfId="0" applyBorder="1" applyProtection="1">
      <protection hidden="1"/>
    </xf>
    <xf numFmtId="0" fontId="314" fillId="0" borderId="43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485" fillId="0" borderId="43" xfId="0" applyFont="1" applyBorder="1" applyAlignment="1">
      <alignment horizontal="left" vertical="center" wrapText="1"/>
    </xf>
    <xf numFmtId="0" fontId="677" fillId="0" borderId="43" xfId="0" applyFont="1" applyBorder="1" applyAlignment="1">
      <alignment horizontal="left" vertical="center" wrapText="1"/>
    </xf>
    <xf numFmtId="0" fontId="119" fillId="0" borderId="43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224" fillId="0" borderId="43" xfId="0" applyFont="1" applyBorder="1" applyAlignment="1">
      <alignment horizontal="left" vertical="center" wrapText="1"/>
    </xf>
    <xf numFmtId="0" fontId="48" fillId="27" borderId="0" xfId="0" applyFont="1" applyFill="1" applyAlignment="1" applyProtection="1">
      <alignment vertical="center" wrapText="1"/>
      <protection hidden="1"/>
    </xf>
    <xf numFmtId="0" fontId="98" fillId="0" borderId="43" xfId="0" applyFont="1" applyBorder="1" applyAlignment="1">
      <alignment horizontal="left" vertical="center" wrapText="1"/>
    </xf>
    <xf numFmtId="0" fontId="566" fillId="0" borderId="43" xfId="0" applyFont="1" applyBorder="1" applyAlignment="1">
      <alignment horizontal="left" vertical="center" wrapText="1"/>
    </xf>
    <xf numFmtId="0" fontId="434" fillId="0" borderId="43" xfId="0" applyFont="1" applyBorder="1" applyAlignment="1">
      <alignment horizontal="left" vertical="center" wrapText="1"/>
    </xf>
    <xf numFmtId="0" fontId="398" fillId="0" borderId="43" xfId="0" applyFont="1" applyBorder="1" applyAlignment="1">
      <alignment horizontal="left" vertical="center" wrapText="1"/>
    </xf>
    <xf numFmtId="0" fontId="572" fillId="0" borderId="43" xfId="0" applyFont="1" applyBorder="1" applyAlignment="1">
      <alignment horizontal="left" vertical="center" wrapText="1"/>
    </xf>
    <xf numFmtId="0" fontId="218" fillId="0" borderId="43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335" fillId="0" borderId="43" xfId="0" applyFont="1" applyBorder="1" applyAlignment="1">
      <alignment horizontal="left" vertical="center" wrapText="1"/>
    </xf>
    <xf numFmtId="0" fontId="716" fillId="0" borderId="43" xfId="0" applyFont="1" applyBorder="1" applyAlignment="1">
      <alignment horizontal="left" vertical="center" wrapText="1"/>
    </xf>
    <xf numFmtId="0" fontId="62" fillId="0" borderId="43" xfId="0" applyFont="1" applyBorder="1" applyAlignment="1">
      <alignment horizontal="left" vertical="center" wrapText="1"/>
    </xf>
    <xf numFmtId="0" fontId="359" fillId="0" borderId="43" xfId="0" applyFont="1" applyBorder="1" applyAlignment="1">
      <alignment horizontal="left" vertical="center" wrapText="1"/>
    </xf>
    <xf numFmtId="0" fontId="446" fillId="0" borderId="43" xfId="0" applyFont="1" applyBorder="1" applyAlignment="1">
      <alignment horizontal="left" vertical="center" wrapText="1"/>
    </xf>
    <xf numFmtId="0" fontId="341" fillId="0" borderId="43" xfId="0" applyFont="1" applyBorder="1" applyAlignment="1">
      <alignment horizontal="left" vertical="center" wrapText="1"/>
    </xf>
    <xf numFmtId="0" fontId="500" fillId="0" borderId="43" xfId="0" applyFont="1" applyBorder="1" applyAlignment="1">
      <alignment horizontal="left" vertical="center" wrapText="1"/>
    </xf>
    <xf numFmtId="0" fontId="305" fillId="0" borderId="43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632" fillId="0" borderId="43" xfId="0" applyFont="1" applyBorder="1" applyAlignment="1">
      <alignment horizontal="left" vertical="center" wrapText="1"/>
    </xf>
    <xf numFmtId="0" fontId="134" fillId="0" borderId="43" xfId="0" applyFont="1" applyBorder="1" applyAlignment="1">
      <alignment horizontal="left" vertical="center" wrapText="1"/>
    </xf>
    <xf numFmtId="0" fontId="506" fillId="0" borderId="43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587" fillId="0" borderId="43" xfId="0" applyFont="1" applyBorder="1" applyAlignment="1">
      <alignment horizontal="left" vertical="center" wrapText="1"/>
    </xf>
    <xf numFmtId="0" fontId="509" fillId="0" borderId="43" xfId="0" applyFont="1" applyBorder="1" applyAlignment="1">
      <alignment horizontal="left" vertical="center" wrapText="1"/>
    </xf>
    <xf numFmtId="0" fontId="698" fillId="0" borderId="43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581" fillId="0" borderId="43" xfId="0" applyFont="1" applyBorder="1" applyAlignment="1">
      <alignment horizontal="left" vertical="center" wrapText="1"/>
    </xf>
    <xf numFmtId="0" fontId="350" fillId="0" borderId="43" xfId="0" applyFont="1" applyBorder="1" applyAlignment="1">
      <alignment horizontal="left" vertical="center" wrapText="1"/>
    </xf>
    <xf numFmtId="0" fontId="617" fillId="0" borderId="43" xfId="0" applyFont="1" applyBorder="1" applyAlignment="1">
      <alignment horizontal="left" vertical="center" wrapText="1"/>
    </xf>
    <xf numFmtId="0" fontId="152" fillId="0" borderId="43" xfId="0" applyFont="1" applyBorder="1" applyAlignment="1">
      <alignment horizontal="left" vertical="center" wrapText="1"/>
    </xf>
    <xf numFmtId="0" fontId="719" fillId="0" borderId="43" xfId="0" applyFont="1" applyBorder="1" applyAlignment="1">
      <alignment horizontal="left" vertical="center" wrapText="1"/>
    </xf>
    <xf numFmtId="0" fontId="407" fillId="0" borderId="43" xfId="0" applyFont="1" applyBorder="1" applyAlignment="1">
      <alignment horizontal="left" vertical="center" wrapText="1"/>
    </xf>
    <xf numFmtId="0" fontId="767" fillId="0" borderId="43" xfId="0" applyFont="1" applyBorder="1" applyAlignment="1">
      <alignment horizontal="left" vertical="center" wrapText="1"/>
    </xf>
    <xf numFmtId="0" fontId="524" fillId="0" borderId="43" xfId="0" applyFont="1" applyBorder="1" applyAlignment="1">
      <alignment horizontal="left" vertical="center" wrapText="1"/>
    </xf>
    <xf numFmtId="0" fontId="344" fillId="0" borderId="43" xfId="0" applyFont="1" applyBorder="1" applyAlignment="1">
      <alignment horizontal="left" vertical="center" wrapText="1"/>
    </xf>
    <xf numFmtId="0" fontId="503" fillId="0" borderId="43" xfId="0" applyFont="1" applyBorder="1" applyAlignment="1">
      <alignment horizontal="left" vertical="center" wrapText="1"/>
    </xf>
    <xf numFmtId="0" fontId="92" fillId="0" borderId="43" xfId="0" applyFont="1" applyBorder="1" applyAlignment="1">
      <alignment horizontal="left" vertical="center" wrapText="1"/>
    </xf>
    <xf numFmtId="0" fontId="530" fillId="0" borderId="43" xfId="0" applyFont="1" applyBorder="1" applyAlignment="1">
      <alignment horizontal="left" vertical="center" wrapText="1"/>
    </xf>
    <xf numFmtId="0" fontId="605" fillId="0" borderId="43" xfId="0" applyFont="1" applyBorder="1" applyAlignment="1">
      <alignment horizontal="left" vertical="center" wrapText="1"/>
    </xf>
    <xf numFmtId="0" fontId="197" fillId="0" borderId="43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395" fillId="0" borderId="43" xfId="0" applyFont="1" applyBorder="1" applyAlignment="1">
      <alignment horizontal="left" vertical="center" wrapText="1"/>
    </xf>
    <xf numFmtId="0" fontId="323" fillId="0" borderId="43" xfId="0" applyFont="1" applyBorder="1" applyAlignment="1">
      <alignment horizontal="left" vertical="center" wrapText="1"/>
    </xf>
    <xf numFmtId="0" fontId="296" fillId="0" borderId="43" xfId="0" applyFont="1" applyBorder="1" applyAlignment="1">
      <alignment horizontal="left" vertical="center" wrapText="1"/>
    </xf>
    <xf numFmtId="0" fontId="599" fillId="0" borderId="43" xfId="0" applyFont="1" applyBorder="1" applyAlignment="1">
      <alignment horizontal="left" vertical="center" wrapText="1"/>
    </xf>
    <xf numFmtId="0" fontId="704" fillId="0" borderId="43" xfId="0" applyFont="1" applyBorder="1" applyAlignment="1">
      <alignment horizontal="left" vertical="center" wrapText="1"/>
    </xf>
    <xf numFmtId="0" fontId="713" fillId="0" borderId="43" xfId="0" applyFont="1" applyBorder="1" applyAlignment="1">
      <alignment horizontal="left" vertical="center" wrapText="1"/>
    </xf>
    <xf numFmtId="0" fontId="329" fillId="0" borderId="43" xfId="0" applyFont="1" applyBorder="1" applyAlignment="1">
      <alignment horizontal="left" vertical="center" wrapText="1"/>
    </xf>
    <xf numFmtId="0" fontId="380" fillId="0" borderId="43" xfId="0" applyFont="1" applyBorder="1" applyAlignment="1">
      <alignment horizontal="left" vertical="center" wrapText="1"/>
    </xf>
    <xf numFmtId="0" fontId="230" fillId="0" borderId="43" xfId="0" applyFont="1" applyBorder="1" applyAlignment="1">
      <alignment horizontal="left" vertical="center" wrapText="1"/>
    </xf>
    <xf numFmtId="0" fontId="386" fillId="0" borderId="43" xfId="0" applyFont="1" applyBorder="1" applyAlignment="1">
      <alignment horizontal="left" vertical="center" wrapText="1"/>
    </xf>
    <xf numFmtId="0" fontId="494" fillId="0" borderId="43" xfId="0" applyFont="1" applyBorder="1" applyAlignment="1">
      <alignment horizontal="left" vertical="center" wrapText="1"/>
    </xf>
    <xf numFmtId="0" fontId="755" fillId="0" borderId="43" xfId="0" applyFont="1" applyBorder="1" applyAlignment="1">
      <alignment horizontal="left" vertical="center" wrapText="1"/>
    </xf>
    <xf numFmtId="0" fontId="332" fillId="0" borderId="43" xfId="0" applyFont="1" applyBorder="1" applyAlignment="1">
      <alignment horizontal="left" vertical="center" wrapText="1"/>
    </xf>
    <xf numFmtId="0" fontId="482" fillId="0" borderId="43" xfId="0" applyFont="1" applyBorder="1" applyAlignment="1">
      <alignment horizontal="left" vertical="center" wrapText="1"/>
    </xf>
    <xf numFmtId="0" fontId="620" fillId="0" borderId="43" xfId="0" applyFont="1" applyBorder="1" applyAlignment="1">
      <alignment horizontal="left" vertical="center" wrapText="1"/>
    </xf>
    <xf numFmtId="0" fontId="539" fillId="0" borderId="43" xfId="0" applyFont="1" applyBorder="1" applyAlignment="1">
      <alignment horizontal="left" vertical="center" wrapText="1"/>
    </xf>
    <xf numFmtId="0" fontId="626" fillId="0" borderId="43" xfId="0" applyFont="1" applyBorder="1" applyAlignment="1">
      <alignment horizontal="left" vertical="center" wrapText="1"/>
    </xf>
    <xf numFmtId="0" fontId="353" fillId="0" borderId="43" xfId="0" applyFont="1" applyBorder="1" applyAlignment="1">
      <alignment horizontal="left" vertical="center" wrapText="1"/>
    </xf>
    <xf numFmtId="0" fontId="734" fillId="0" borderId="43" xfId="0" applyFont="1" applyBorder="1" applyAlignment="1">
      <alignment horizontal="left" vertical="center" wrapText="1"/>
    </xf>
    <xf numFmtId="0" fontId="65" fillId="0" borderId="43" xfId="0" applyFont="1" applyBorder="1" applyAlignment="1">
      <alignment horizontal="left" vertical="center" wrapText="1"/>
    </xf>
    <xf numFmtId="0" fontId="155" fillId="0" borderId="43" xfId="0" applyFont="1" applyBorder="1" applyAlignment="1">
      <alignment horizontal="left" vertical="center" wrapText="1"/>
    </xf>
    <xf numFmtId="0" fontId="251" fillId="0" borderId="43" xfId="0" applyFont="1" applyBorder="1" applyAlignment="1">
      <alignment horizontal="left" vertical="center" wrapText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0" fontId="761" fillId="0" borderId="43" xfId="0" applyFont="1" applyBorder="1" applyAlignment="1">
      <alignment horizontal="left" vertical="center" wrapText="1"/>
    </xf>
    <xf numFmtId="0" fontId="185" fillId="0" borderId="43" xfId="0" applyFont="1" applyBorder="1" applyAlignment="1">
      <alignment horizontal="left" vertical="center" wrapText="1"/>
    </xf>
    <xf numFmtId="0" fontId="455" fillId="0" borderId="43" xfId="0" applyFont="1" applyBorder="1" applyAlignment="1">
      <alignment horizontal="left" vertical="center" wrapText="1"/>
    </xf>
    <xf numFmtId="0" fontId="749" fillId="0" borderId="43" xfId="0" applyFont="1" applyBorder="1" applyAlignment="1">
      <alignment horizontal="left" vertical="center" wrapText="1"/>
    </xf>
    <xf numFmtId="0" fontId="416" fillId="0" borderId="43" xfId="0" applyFont="1" applyBorder="1" applyAlignment="1">
      <alignment horizontal="left" vertical="center" wrapText="1"/>
    </xf>
    <xf numFmtId="0" fontId="557" fillId="0" borderId="43" xfId="0" applyFont="1" applyBorder="1" applyAlignment="1">
      <alignment horizontal="left" vertical="center" wrapText="1"/>
    </xf>
    <xf numFmtId="0" fontId="521" fillId="0" borderId="43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422" fillId="0" borderId="43" xfId="0" applyFont="1" applyBorder="1" applyAlignment="1">
      <alignment horizontal="left" vertical="center" wrapText="1"/>
    </xf>
    <xf numFmtId="0" fontId="188" fillId="0" borderId="43" xfId="0" applyFont="1" applyBorder="1" applyAlignment="1">
      <alignment horizontal="left" vertical="center" wrapText="1"/>
    </xf>
    <xf numFmtId="0" fontId="452" fillId="0" borderId="43" xfId="0" applyFont="1" applyBorder="1" applyAlignment="1">
      <alignment horizontal="left" vertical="center" wrapText="1"/>
    </xf>
    <xf numFmtId="0" fontId="143" fillId="0" borderId="43" xfId="0" applyFont="1" applyBorder="1" applyAlignment="1">
      <alignment horizontal="left" vertical="center" wrapText="1"/>
    </xf>
    <xf numFmtId="0" fontId="368" fillId="0" borderId="43" xfId="0" applyFont="1" applyBorder="1" applyAlignment="1">
      <alignment horizontal="left" vertical="center" wrapText="1"/>
    </xf>
    <xf numFmtId="0" fontId="59" fillId="0" borderId="43" xfId="0" applyFont="1" applyBorder="1" applyAlignment="1">
      <alignment horizontal="left" vertical="center" wrapText="1"/>
    </xf>
    <xf numFmtId="0" fontId="80" fillId="0" borderId="43" xfId="0" applyFont="1" applyBorder="1" applyAlignment="1">
      <alignment horizontal="left" vertical="center" wrapText="1"/>
    </xf>
    <xf numFmtId="0" fontId="425" fillId="0" borderId="43" xfId="0" applyFont="1" applyBorder="1" applyAlignment="1">
      <alignment horizontal="left" vertical="center" wrapText="1"/>
    </xf>
    <xf numFmtId="0" fontId="52" fillId="24" borderId="42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0" fillId="0" borderId="19" xfId="0" applyBorder="1" applyProtection="1">
      <protection locked="0" hidden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629" fillId="0" borderId="43" xfId="0" applyFont="1" applyBorder="1" applyAlignment="1">
      <alignment horizontal="left" vertical="center" wrapText="1"/>
    </xf>
    <xf numFmtId="0" fontId="284" fillId="0" borderId="43" xfId="0" applyFont="1" applyBorder="1" applyAlignment="1">
      <alignment horizontal="left" vertical="center" wrapText="1"/>
    </xf>
    <xf numFmtId="0" fontId="254" fillId="0" borderId="43" xfId="0" applyFont="1" applyBorder="1" applyAlignment="1">
      <alignment horizontal="left" vertical="center" wrapText="1"/>
    </xf>
    <xf numFmtId="0" fontId="374" fillId="0" borderId="43" xfId="0" applyFont="1" applyBorder="1" applyAlignment="1">
      <alignment horizontal="left" vertical="center" wrapText="1"/>
    </xf>
    <xf numFmtId="0" fontId="635" fillId="0" borderId="43" xfId="0" applyFont="1" applyBorder="1" applyAlignment="1">
      <alignment horizontal="left" vertical="center" wrapText="1"/>
    </xf>
    <xf numFmtId="0" fontId="290" fillId="0" borderId="43" xfId="0" applyFont="1" applyBorder="1" applyAlignment="1">
      <alignment horizontal="left" vertical="center" wrapText="1"/>
    </xf>
    <xf numFmtId="0" fontId="161" fillId="0" borderId="43" xfId="0" applyFont="1" applyBorder="1" applyAlignment="1">
      <alignment horizontal="left" vertical="center" wrapText="1"/>
    </xf>
    <xf numFmtId="0" fontId="545" fillId="0" borderId="43" xfId="0" applyFont="1" applyBorder="1" applyAlignment="1">
      <alignment horizontal="left" vertical="center" wrapText="1"/>
    </xf>
    <xf numFmtId="0" fontId="638" fillId="0" borderId="43" xfId="0" applyFont="1" applyBorder="1" applyAlignment="1">
      <alignment horizontal="left" vertical="center" wrapText="1"/>
    </xf>
    <xf numFmtId="0" fontId="89" fillId="0" borderId="43" xfId="0" applyFont="1" applyBorder="1" applyAlignment="1">
      <alignment horizontal="left" vertical="center" wrapText="1"/>
    </xf>
    <xf numFmtId="0" fontId="113" fillId="0" borderId="43" xfId="0" applyFont="1" applyBorder="1" applyAlignment="1">
      <alignment horizontal="left" vertical="center" wrapText="1"/>
    </xf>
    <xf numFmtId="0" fontId="527" fillId="0" borderId="43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287" fillId="0" borderId="43" xfId="0" applyFont="1" applyBorder="1" applyAlignment="1">
      <alignment horizontal="left" vertical="center" wrapText="1"/>
    </xf>
    <xf numFmtId="0" fontId="194" fillId="0" borderId="43" xfId="0" applyFont="1" applyBorder="1" applyAlignment="1">
      <alignment horizontal="left" vertical="center" wrapText="1"/>
    </xf>
    <xf numFmtId="0" fontId="404" fillId="0" borderId="43" xfId="0" applyFont="1" applyBorder="1" applyAlignment="1">
      <alignment horizontal="left" vertical="center" wrapText="1"/>
    </xf>
    <xf numFmtId="0" fontId="83" fillId="0" borderId="43" xfId="0" applyFont="1" applyBorder="1" applyAlignment="1">
      <alignment horizontal="left" vertical="center" wrapText="1"/>
    </xf>
    <xf numFmtId="0" fontId="488" fillId="0" borderId="43" xfId="0" applyFont="1" applyBorder="1" applyAlignment="1">
      <alignment horizontal="left" vertical="center" wrapText="1"/>
    </xf>
    <xf numFmtId="0" fontId="293" fillId="0" borderId="43" xfId="0" applyFont="1" applyBorder="1" applyAlignment="1">
      <alignment horizontal="left" vertical="center" wrapText="1"/>
    </xf>
    <xf numFmtId="0" fontId="77" fillId="0" borderId="43" xfId="0" applyFont="1" applyBorder="1" applyAlignment="1">
      <alignment horizontal="left" vertical="center" wrapText="1"/>
    </xf>
    <xf numFmtId="0" fontId="182" fillId="0" borderId="43" xfId="0" applyFont="1" applyBorder="1" applyAlignment="1">
      <alignment horizontal="left" vertical="center" wrapText="1"/>
    </xf>
    <xf numFmtId="0" fontId="173" fillId="0" borderId="43" xfId="0" applyFont="1" applyBorder="1" applyAlignment="1">
      <alignment horizontal="left" vertical="center" wrapText="1"/>
    </xf>
    <xf numFmtId="0" fontId="737" fillId="0" borderId="43" xfId="0" applyFont="1" applyBorder="1" applyAlignment="1">
      <alignment horizontal="left" vertical="center" wrapText="1"/>
    </xf>
    <xf numFmtId="0" fontId="656" fillId="0" borderId="43" xfId="0" applyFont="1" applyBorder="1" applyAlignment="1">
      <alignment horizontal="left" vertical="center" wrapText="1"/>
    </xf>
    <xf numFmtId="0" fontId="548" fillId="0" borderId="43" xfId="0" applyFont="1" applyBorder="1" applyAlignment="1">
      <alignment horizontal="left" vertical="center" wrapText="1"/>
    </xf>
    <xf numFmtId="0" fontId="674" fillId="0" borderId="43" xfId="0" applyFont="1" applyBorder="1" applyAlignment="1">
      <alignment horizontal="left" vertical="center" wrapText="1"/>
    </xf>
    <xf numFmtId="0" fontId="176" fillId="0" borderId="43" xfId="0" applyFont="1" applyBorder="1" applyAlignment="1">
      <alignment horizontal="left" vertical="center" wrapText="1"/>
    </xf>
    <xf numFmtId="0" fontId="662" fillId="0" borderId="43" xfId="0" applyFont="1" applyBorder="1" applyAlignment="1">
      <alignment horizontal="left" vertical="center" wrapText="1"/>
    </xf>
    <xf numFmtId="0" fontId="299" fillId="0" borderId="43" xfId="0" applyFont="1" applyBorder="1" applyAlignment="1">
      <alignment horizontal="left" vertical="center" wrapText="1"/>
    </xf>
    <xf numFmtId="0" fontId="575" fillId="0" borderId="43" xfId="0" applyFont="1" applyBorder="1" applyAlignment="1">
      <alignment horizontal="left" vertical="center" wrapText="1"/>
    </xf>
    <xf numFmtId="0" fontId="116" fillId="0" borderId="43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212" fillId="0" borderId="43" xfId="0" applyFont="1" applyBorder="1" applyAlignment="1">
      <alignment horizontal="left" vertical="center" wrapText="1"/>
    </xf>
    <xf numFmtId="0" fontId="479" fillId="0" borderId="43" xfId="0" applyFont="1" applyBorder="1" applyAlignment="1">
      <alignment horizontal="left" vertical="center" wrapText="1"/>
    </xf>
    <xf numFmtId="0" fontId="101" fillId="0" borderId="43" xfId="0" applyFont="1" applyBorder="1" applyAlignment="1">
      <alignment horizontal="left" vertical="center" wrapText="1"/>
    </xf>
    <xf numFmtId="0" fontId="665" fillId="0" borderId="43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22" fillId="0" borderId="43" xfId="0" applyFont="1" applyBorder="1" applyAlignment="1">
      <alignment horizontal="left" vertical="center" wrapText="1"/>
    </xf>
    <xf numFmtId="0" fontId="413" fillId="0" borderId="43" xfId="0" applyFont="1" applyBorder="1" applyAlignment="1">
      <alignment horizontal="left" vertical="center" wrapText="1"/>
    </xf>
    <xf numFmtId="0" fontId="764" fillId="0" borderId="43" xfId="0" applyFont="1" applyBorder="1" applyAlignment="1">
      <alignment horizontal="left" vertical="center" wrapText="1"/>
    </xf>
    <xf numFmtId="0" fontId="554" fillId="0" borderId="43" xfId="0" applyFont="1" applyBorder="1" applyAlignment="1">
      <alignment horizontal="left" vertical="center" wrapText="1"/>
    </xf>
    <xf numFmtId="0" fontId="518" fillId="0" borderId="43" xfId="0" applyFont="1" applyBorder="1" applyAlignment="1">
      <alignment horizontal="left" vertical="center" wrapText="1"/>
    </xf>
    <xf numFmtId="0" fontId="206" fillId="0" borderId="43" xfId="0" applyFont="1" applyBorder="1" applyAlignment="1">
      <alignment horizontal="left" vertical="center" wrapText="1"/>
    </xf>
    <xf numFmtId="0" fontId="560" fillId="0" borderId="43" xfId="0" applyFont="1" applyBorder="1" applyAlignment="1">
      <alignment horizontal="left" vertical="center" wrapText="1"/>
    </xf>
    <xf numFmtId="0" fontId="191" fillId="0" borderId="43" xfId="0" applyFont="1" applyBorder="1" applyAlignment="1">
      <alignment horizontal="left" vertical="center" wrapText="1"/>
    </xf>
    <xf numFmtId="0" fontId="701" fillId="0" borderId="43" xfId="0" applyFont="1" applyBorder="1" applyAlignment="1">
      <alignment horizontal="left" vertical="center" wrapText="1"/>
    </xf>
    <xf numFmtId="0" fontId="428" fillId="0" borderId="43" xfId="0" applyFont="1" applyBorder="1" applyAlignment="1">
      <alignment horizontal="left" vertical="center" wrapText="1"/>
    </xf>
    <xf numFmtId="0" fontId="683" fillId="0" borderId="43" xfId="0" applyFont="1" applyBorder="1" applyAlignment="1">
      <alignment horizontal="left" vertical="center" wrapText="1"/>
    </xf>
    <xf numFmtId="0" fontId="128" fillId="0" borderId="43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317" fillId="0" borderId="43" xfId="0" applyFont="1" applyBorder="1" applyAlignment="1">
      <alignment horizontal="left" vertical="center" wrapText="1"/>
    </xf>
    <xf numFmtId="0" fontId="596" fillId="0" borderId="43" xfId="0" applyFont="1" applyBorder="1" applyAlignment="1">
      <alignment horizontal="left" vertical="center" wrapText="1"/>
    </xf>
    <xf numFmtId="0" fontId="476" fillId="0" borderId="43" xfId="0" applyFont="1" applyBorder="1" applyAlignment="1">
      <alignment horizontal="left" vertical="center" wrapText="1"/>
    </xf>
    <xf numFmtId="0" fontId="689" fillId="0" borderId="43" xfId="0" applyFont="1" applyBorder="1" applyAlignment="1">
      <alignment horizontal="left" vertical="center" wrapText="1"/>
    </xf>
    <xf numFmtId="0" fontId="470" fillId="0" borderId="43" xfId="0" applyFont="1" applyBorder="1" applyAlignment="1">
      <alignment horizontal="left" vertical="center" wrapText="1"/>
    </xf>
    <xf numFmtId="0" fontId="221" fillId="0" borderId="43" xfId="0" applyFont="1" applyBorder="1" applyAlignment="1">
      <alignment horizontal="left" vertical="center" wrapText="1"/>
    </xf>
    <xf numFmtId="0" fontId="431" fillId="0" borderId="43" xfId="0" applyFont="1" applyBorder="1" applyAlignment="1">
      <alignment horizontal="left" vertical="center" wrapText="1"/>
    </xf>
    <xf numFmtId="0" fontId="686" fillId="0" borderId="43" xfId="0" applyFont="1" applyBorder="1" applyAlignment="1">
      <alignment horizontal="left" vertical="center" wrapText="1"/>
    </xf>
    <xf numFmtId="0" fontId="377" fillId="0" borderId="43" xfId="0" applyFont="1" applyBorder="1" applyAlignment="1">
      <alignment horizontal="left" vertical="center" wrapText="1"/>
    </xf>
    <xf numFmtId="0" fontId="578" fillId="0" borderId="43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320" fillId="0" borderId="43" xfId="0" applyFont="1" applyBorder="1" applyAlignment="1">
      <alignment horizontal="left" vertical="center" wrapText="1"/>
    </xf>
    <xf numFmtId="0" fontId="692" fillId="0" borderId="43" xfId="0" applyFont="1" applyBorder="1" applyAlignment="1">
      <alignment horizontal="left" vertical="center" wrapText="1"/>
    </xf>
    <xf numFmtId="0" fontId="473" fillId="0" borderId="43" xfId="0" applyFont="1" applyBorder="1" applyAlignment="1">
      <alignment horizontal="left" vertical="center" wrapText="1"/>
    </xf>
    <xf numFmtId="0" fontId="146" fillId="0" borderId="43" xfId="0" applyFont="1" applyBorder="1" applyAlignment="1">
      <alignment horizontal="left" vertical="center" wrapText="1"/>
    </xf>
    <xf numFmtId="0" fontId="110" fillId="0" borderId="43" xfId="0" applyFont="1" applyBorder="1" applyAlignment="1">
      <alignment horizontal="left" vertical="center" wrapText="1"/>
    </xf>
    <xf numFmtId="0" fontId="281" fillId="0" borderId="43" xfId="0" applyFont="1" applyBorder="1" applyAlignment="1">
      <alignment horizontal="left" vertical="center" wrapText="1"/>
    </xf>
    <xf numFmtId="0" fontId="239" fillId="0" borderId="43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611" fillId="0" borderId="43" xfId="0" applyFont="1" applyBorder="1" applyAlignment="1">
      <alignment horizontal="left" vertical="center" wrapText="1"/>
    </xf>
    <xf numFmtId="0" fontId="584" fillId="0" borderId="43" xfId="0" applyFont="1" applyBorder="1" applyAlignment="1">
      <alignment horizontal="left" vertical="center" wrapText="1"/>
    </xf>
    <xf numFmtId="0" fontId="245" fillId="0" borderId="43" xfId="0" applyFont="1" applyBorder="1" applyAlignment="1">
      <alignment horizontal="left" vertical="center" wrapText="1"/>
    </xf>
    <xf numFmtId="0" fontId="209" fillId="0" borderId="43" xfId="0" applyFont="1" applyBorder="1" applyAlignment="1">
      <alignment horizontal="left" vertical="center" wrapText="1"/>
    </xf>
    <xf numFmtId="0" fontId="356" fillId="0" borderId="43" xfId="0" applyFont="1" applyBorder="1" applyAlignment="1">
      <alignment horizontal="left" vertical="center" wrapText="1"/>
    </xf>
    <xf numFmtId="0" fontId="125" fillId="0" borderId="43" xfId="0" applyFont="1" applyBorder="1" applyAlignment="1">
      <alignment horizontal="left" vertical="center" wrapText="1"/>
    </xf>
    <xf numFmtId="0" fontId="497" fillId="0" borderId="43" xfId="0" applyFont="1" applyBorder="1" applyAlignment="1">
      <alignment horizontal="left" vertical="center" wrapText="1"/>
    </xf>
    <xf numFmtId="0" fontId="707" fillId="0" borderId="43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590" fillId="0" borderId="43" xfId="0" applyFont="1" applyBorder="1" applyAlignment="1">
      <alignment horizontal="left" vertical="center" wrapText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504"/>
  <sheetViews>
    <sheetView showGridLines="0" tabSelected="1" topLeftCell="A480" zoomScaleNormal="100" zoomScaleSheetLayoutView="100" workbookViewId="0">
      <selection activeCell="AA500" sqref="AA500"/>
    </sheetView>
  </sheetViews>
  <sheetFormatPr defaultColWidth="9.140625" defaultRowHeight="12.75" x14ac:dyDescent="0.2"/>
  <cols>
    <col min="1" max="1" width="9.140625" style="544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544" customWidth="1"/>
    <col min="19" max="19" width="6.140625" style="544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544" customWidth="1"/>
    <col min="25" max="25" width="11" style="544" customWidth="1"/>
    <col min="26" max="26" width="10" style="544" customWidth="1"/>
    <col min="27" max="27" width="11.5703125" style="544" customWidth="1"/>
    <col min="28" max="28" width="10.42578125" style="544" customWidth="1"/>
    <col min="29" max="29" width="30" style="544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544" customWidth="1"/>
    <col min="34" max="34" width="9.140625" style="544" customWidth="1"/>
    <col min="35" max="16384" width="9.140625" style="544"/>
  </cols>
  <sheetData>
    <row r="1" spans="1:32" s="548" customFormat="1" ht="45" customHeight="1" x14ac:dyDescent="0.2">
      <c r="A1" s="41"/>
      <c r="B1" s="41"/>
      <c r="C1" s="41"/>
      <c r="D1" s="631" t="s">
        <v>0</v>
      </c>
      <c r="E1" s="581"/>
      <c r="F1" s="581"/>
      <c r="G1" s="12" t="s">
        <v>1</v>
      </c>
      <c r="H1" s="631" t="s">
        <v>2</v>
      </c>
      <c r="I1" s="581"/>
      <c r="J1" s="581"/>
      <c r="K1" s="581"/>
      <c r="L1" s="581"/>
      <c r="M1" s="581"/>
      <c r="N1" s="581"/>
      <c r="O1" s="581"/>
      <c r="P1" s="581"/>
      <c r="Q1" s="581"/>
      <c r="R1" s="580" t="s">
        <v>3</v>
      </c>
      <c r="S1" s="581"/>
      <c r="T1" s="581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548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827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564"/>
      <c r="R2" s="564"/>
      <c r="S2" s="564"/>
      <c r="T2" s="564"/>
      <c r="U2" s="564"/>
      <c r="V2" s="564"/>
      <c r="W2" s="564"/>
      <c r="X2" s="16"/>
      <c r="Y2" s="16"/>
      <c r="Z2" s="16"/>
      <c r="AA2" s="16"/>
      <c r="AB2" s="51"/>
      <c r="AC2" s="51"/>
      <c r="AD2" s="51"/>
      <c r="AE2" s="51"/>
    </row>
    <row r="3" spans="1:32" s="548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564"/>
      <c r="Q3" s="564"/>
      <c r="R3" s="564"/>
      <c r="S3" s="564"/>
      <c r="T3" s="564"/>
      <c r="U3" s="564"/>
      <c r="V3" s="564"/>
      <c r="W3" s="564"/>
      <c r="X3" s="16"/>
      <c r="Y3" s="16"/>
      <c r="Z3" s="16"/>
      <c r="AA3" s="16"/>
      <c r="AB3" s="51"/>
      <c r="AC3" s="51"/>
      <c r="AD3" s="51"/>
      <c r="AE3" s="51"/>
    </row>
    <row r="4" spans="1:32" s="548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548" customFormat="1" ht="23.45" customHeight="1" x14ac:dyDescent="0.2">
      <c r="A5" s="677" t="s">
        <v>8</v>
      </c>
      <c r="B5" s="678"/>
      <c r="C5" s="679"/>
      <c r="D5" s="635"/>
      <c r="E5" s="636"/>
      <c r="F5" s="837" t="s">
        <v>9</v>
      </c>
      <c r="G5" s="679"/>
      <c r="H5" s="635"/>
      <c r="I5" s="793"/>
      <c r="J5" s="793"/>
      <c r="K5" s="793"/>
      <c r="L5" s="793"/>
      <c r="M5" s="636"/>
      <c r="N5" s="58"/>
      <c r="P5" s="24" t="s">
        <v>10</v>
      </c>
      <c r="Q5" s="850">
        <v>46044</v>
      </c>
      <c r="R5" s="674"/>
      <c r="T5" s="723" t="s">
        <v>11</v>
      </c>
      <c r="U5" s="691"/>
      <c r="V5" s="724" t="s">
        <v>12</v>
      </c>
      <c r="W5" s="674"/>
      <c r="AB5" s="51"/>
      <c r="AC5" s="51"/>
      <c r="AD5" s="51"/>
      <c r="AE5" s="51"/>
    </row>
    <row r="6" spans="1:32" s="548" customFormat="1" ht="24" customHeight="1" x14ac:dyDescent="0.2">
      <c r="A6" s="677" t="s">
        <v>13</v>
      </c>
      <c r="B6" s="678"/>
      <c r="C6" s="679"/>
      <c r="D6" s="794" t="s">
        <v>14</v>
      </c>
      <c r="E6" s="795"/>
      <c r="F6" s="795"/>
      <c r="G6" s="795"/>
      <c r="H6" s="795"/>
      <c r="I6" s="795"/>
      <c r="J6" s="795"/>
      <c r="K6" s="795"/>
      <c r="L6" s="795"/>
      <c r="M6" s="674"/>
      <c r="N6" s="59"/>
      <c r="P6" s="24" t="s">
        <v>15</v>
      </c>
      <c r="Q6" s="861" t="str">
        <f>IF(Q5=0," ",CHOOSE(WEEKDAY(Q5,2),"Понедельник","Вторник","Среда","Четверг","Пятница","Суббота","Воскресенье"))</f>
        <v>Четверг</v>
      </c>
      <c r="R6" s="559"/>
      <c r="T6" s="728" t="s">
        <v>16</v>
      </c>
      <c r="U6" s="691"/>
      <c r="V6" s="778" t="s">
        <v>17</v>
      </c>
      <c r="W6" s="596"/>
      <c r="AB6" s="51"/>
      <c r="AC6" s="51"/>
      <c r="AD6" s="51"/>
      <c r="AE6" s="51"/>
    </row>
    <row r="7" spans="1:32" s="548" customFormat="1" ht="21.75" hidden="1" customHeight="1" x14ac:dyDescent="0.2">
      <c r="A7" s="55"/>
      <c r="B7" s="55"/>
      <c r="C7" s="55"/>
      <c r="D7" s="609" t="str">
        <f>IFERROR(VLOOKUP(DeliveryAddress,Table,3,0),1)</f>
        <v>1</v>
      </c>
      <c r="E7" s="610"/>
      <c r="F7" s="610"/>
      <c r="G7" s="610"/>
      <c r="H7" s="610"/>
      <c r="I7" s="610"/>
      <c r="J7" s="610"/>
      <c r="K7" s="610"/>
      <c r="L7" s="610"/>
      <c r="M7" s="611"/>
      <c r="N7" s="60"/>
      <c r="P7" s="24"/>
      <c r="Q7" s="42"/>
      <c r="R7" s="42"/>
      <c r="T7" s="564"/>
      <c r="U7" s="691"/>
      <c r="V7" s="779"/>
      <c r="W7" s="780"/>
      <c r="AB7" s="51"/>
      <c r="AC7" s="51"/>
      <c r="AD7" s="51"/>
      <c r="AE7" s="51"/>
    </row>
    <row r="8" spans="1:32" s="548" customFormat="1" ht="25.5" customHeight="1" x14ac:dyDescent="0.2">
      <c r="A8" s="872" t="s">
        <v>18</v>
      </c>
      <c r="B8" s="571"/>
      <c r="C8" s="572"/>
      <c r="D8" s="621" t="s">
        <v>19</v>
      </c>
      <c r="E8" s="622"/>
      <c r="F8" s="622"/>
      <c r="G8" s="622"/>
      <c r="H8" s="622"/>
      <c r="I8" s="622"/>
      <c r="J8" s="622"/>
      <c r="K8" s="622"/>
      <c r="L8" s="622"/>
      <c r="M8" s="623"/>
      <c r="N8" s="61"/>
      <c r="P8" s="24" t="s">
        <v>20</v>
      </c>
      <c r="Q8" s="685">
        <v>0.41666666666666669</v>
      </c>
      <c r="R8" s="611"/>
      <c r="T8" s="564"/>
      <c r="U8" s="691"/>
      <c r="V8" s="779"/>
      <c r="W8" s="780"/>
      <c r="AB8" s="51"/>
      <c r="AC8" s="51"/>
      <c r="AD8" s="51"/>
      <c r="AE8" s="51"/>
    </row>
    <row r="9" spans="1:32" s="548" customFormat="1" ht="39.950000000000003" customHeight="1" x14ac:dyDescent="0.2">
      <c r="A9" s="701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564"/>
      <c r="C9" s="564"/>
      <c r="D9" s="699"/>
      <c r="E9" s="569"/>
      <c r="F9" s="701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564"/>
      <c r="H9" s="568" t="str">
        <f>IF(AND($A$9="Тип доверенности/получателя при получении в адресе перегруза:",$D$9="Разовая доверенность"),"Введите ФИО","")</f>
        <v/>
      </c>
      <c r="I9" s="569"/>
      <c r="J9" s="568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569"/>
      <c r="L9" s="569"/>
      <c r="M9" s="569"/>
      <c r="N9" s="549"/>
      <c r="P9" s="26" t="s">
        <v>21</v>
      </c>
      <c r="Q9" s="670"/>
      <c r="R9" s="671"/>
      <c r="T9" s="564"/>
      <c r="U9" s="691"/>
      <c r="V9" s="781"/>
      <c r="W9" s="782"/>
      <c r="X9" s="43"/>
      <c r="Y9" s="43"/>
      <c r="Z9" s="43"/>
      <c r="AA9" s="43"/>
      <c r="AB9" s="51"/>
      <c r="AC9" s="51"/>
      <c r="AD9" s="51"/>
      <c r="AE9" s="51"/>
    </row>
    <row r="10" spans="1:32" s="548" customFormat="1" ht="26.45" customHeight="1" x14ac:dyDescent="0.2">
      <c r="A10" s="701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564"/>
      <c r="C10" s="564"/>
      <c r="D10" s="699"/>
      <c r="E10" s="569"/>
      <c r="F10" s="701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564"/>
      <c r="H10" s="768" t="str">
        <f>IFERROR(VLOOKUP($D$10,Proxy,2,FALSE),"")</f>
        <v/>
      </c>
      <c r="I10" s="564"/>
      <c r="J10" s="564"/>
      <c r="K10" s="564"/>
      <c r="L10" s="564"/>
      <c r="M10" s="564"/>
      <c r="N10" s="547"/>
      <c r="P10" s="26" t="s">
        <v>22</v>
      </c>
      <c r="Q10" s="729"/>
      <c r="R10" s="730"/>
      <c r="U10" s="24" t="s">
        <v>23</v>
      </c>
      <c r="V10" s="595" t="s">
        <v>24</v>
      </c>
      <c r="W10" s="596"/>
      <c r="X10" s="44"/>
      <c r="Y10" s="44"/>
      <c r="Z10" s="44"/>
      <c r="AA10" s="44"/>
      <c r="AB10" s="51"/>
      <c r="AC10" s="51"/>
      <c r="AD10" s="51"/>
      <c r="AE10" s="51"/>
    </row>
    <row r="11" spans="1:32" s="548" customFormat="1" ht="15.95" customHeight="1" x14ac:dyDescent="0.2">
      <c r="A11" s="28" t="s">
        <v>25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26</v>
      </c>
      <c r="Q11" s="673"/>
      <c r="R11" s="674"/>
      <c r="U11" s="24" t="s">
        <v>27</v>
      </c>
      <c r="V11" s="808" t="s">
        <v>28</v>
      </c>
      <c r="W11" s="671"/>
      <c r="X11" s="45"/>
      <c r="Y11" s="45"/>
      <c r="Z11" s="45"/>
      <c r="AA11" s="45"/>
      <c r="AB11" s="51"/>
      <c r="AC11" s="51"/>
      <c r="AD11" s="51"/>
      <c r="AE11" s="51"/>
    </row>
    <row r="12" spans="1:32" s="548" customFormat="1" ht="18.600000000000001" customHeight="1" x14ac:dyDescent="0.2">
      <c r="A12" s="719" t="s">
        <v>29</v>
      </c>
      <c r="B12" s="678"/>
      <c r="C12" s="678"/>
      <c r="D12" s="678"/>
      <c r="E12" s="678"/>
      <c r="F12" s="678"/>
      <c r="G12" s="678"/>
      <c r="H12" s="678"/>
      <c r="I12" s="678"/>
      <c r="J12" s="678"/>
      <c r="K12" s="678"/>
      <c r="L12" s="678"/>
      <c r="M12" s="679"/>
      <c r="N12" s="62"/>
      <c r="P12" s="24" t="s">
        <v>30</v>
      </c>
      <c r="Q12" s="685"/>
      <c r="R12" s="611"/>
      <c r="S12" s="23"/>
      <c r="U12" s="24"/>
      <c r="V12" s="581"/>
      <c r="W12" s="564"/>
      <c r="AB12" s="51"/>
      <c r="AC12" s="51"/>
      <c r="AD12" s="51"/>
      <c r="AE12" s="51"/>
    </row>
    <row r="13" spans="1:32" s="548" customFormat="1" ht="23.25" customHeight="1" x14ac:dyDescent="0.2">
      <c r="A13" s="719" t="s">
        <v>31</v>
      </c>
      <c r="B13" s="678"/>
      <c r="C13" s="678"/>
      <c r="D13" s="678"/>
      <c r="E13" s="678"/>
      <c r="F13" s="678"/>
      <c r="G13" s="678"/>
      <c r="H13" s="678"/>
      <c r="I13" s="678"/>
      <c r="J13" s="678"/>
      <c r="K13" s="678"/>
      <c r="L13" s="678"/>
      <c r="M13" s="679"/>
      <c r="N13" s="62"/>
      <c r="O13" s="26"/>
      <c r="P13" s="26" t="s">
        <v>32</v>
      </c>
      <c r="Q13" s="808"/>
      <c r="R13" s="671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548" customFormat="1" ht="18.600000000000001" customHeight="1" x14ac:dyDescent="0.2">
      <c r="A14" s="719" t="s">
        <v>33</v>
      </c>
      <c r="B14" s="678"/>
      <c r="C14" s="678"/>
      <c r="D14" s="678"/>
      <c r="E14" s="678"/>
      <c r="F14" s="678"/>
      <c r="G14" s="678"/>
      <c r="H14" s="678"/>
      <c r="I14" s="678"/>
      <c r="J14" s="678"/>
      <c r="K14" s="678"/>
      <c r="L14" s="678"/>
      <c r="M14" s="679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548" customFormat="1" ht="22.5" customHeight="1" x14ac:dyDescent="0.2">
      <c r="A15" s="745" t="s">
        <v>34</v>
      </c>
      <c r="B15" s="678"/>
      <c r="C15" s="678"/>
      <c r="D15" s="678"/>
      <c r="E15" s="678"/>
      <c r="F15" s="678"/>
      <c r="G15" s="678"/>
      <c r="H15" s="678"/>
      <c r="I15" s="678"/>
      <c r="J15" s="678"/>
      <c r="K15" s="678"/>
      <c r="L15" s="678"/>
      <c r="M15" s="679"/>
      <c r="N15" s="63"/>
      <c r="P15" s="708" t="s">
        <v>35</v>
      </c>
      <c r="Q15" s="581"/>
      <c r="R15" s="581"/>
      <c r="S15" s="581"/>
      <c r="T15" s="581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709"/>
      <c r="Q16" s="709"/>
      <c r="R16" s="709"/>
      <c r="S16" s="709"/>
      <c r="T16" s="709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592" t="s">
        <v>36</v>
      </c>
      <c r="B17" s="592" t="s">
        <v>37</v>
      </c>
      <c r="C17" s="695" t="s">
        <v>38</v>
      </c>
      <c r="D17" s="592" t="s">
        <v>39</v>
      </c>
      <c r="E17" s="653"/>
      <c r="F17" s="592" t="s">
        <v>40</v>
      </c>
      <c r="G17" s="592" t="s">
        <v>41</v>
      </c>
      <c r="H17" s="592" t="s">
        <v>42</v>
      </c>
      <c r="I17" s="592" t="s">
        <v>43</v>
      </c>
      <c r="J17" s="592" t="s">
        <v>44</v>
      </c>
      <c r="K17" s="592" t="s">
        <v>45</v>
      </c>
      <c r="L17" s="592" t="s">
        <v>46</v>
      </c>
      <c r="M17" s="592" t="s">
        <v>47</v>
      </c>
      <c r="N17" s="592" t="s">
        <v>48</v>
      </c>
      <c r="O17" s="592" t="s">
        <v>49</v>
      </c>
      <c r="P17" s="592" t="s">
        <v>50</v>
      </c>
      <c r="Q17" s="652"/>
      <c r="R17" s="652"/>
      <c r="S17" s="652"/>
      <c r="T17" s="653"/>
      <c r="U17" s="869" t="s">
        <v>51</v>
      </c>
      <c r="V17" s="679"/>
      <c r="W17" s="592" t="s">
        <v>52</v>
      </c>
      <c r="X17" s="592" t="s">
        <v>53</v>
      </c>
      <c r="Y17" s="870" t="s">
        <v>54</v>
      </c>
      <c r="Z17" s="791" t="s">
        <v>55</v>
      </c>
      <c r="AA17" s="769" t="s">
        <v>56</v>
      </c>
      <c r="AB17" s="769" t="s">
        <v>57</v>
      </c>
      <c r="AC17" s="769" t="s">
        <v>58</v>
      </c>
      <c r="AD17" s="769" t="s">
        <v>59</v>
      </c>
      <c r="AE17" s="832"/>
      <c r="AF17" s="833"/>
      <c r="AG17" s="66"/>
      <c r="BD17" s="65" t="s">
        <v>60</v>
      </c>
    </row>
    <row r="18" spans="1:68" ht="14.25" customHeight="1" x14ac:dyDescent="0.2">
      <c r="A18" s="593"/>
      <c r="B18" s="593"/>
      <c r="C18" s="593"/>
      <c r="D18" s="654"/>
      <c r="E18" s="656"/>
      <c r="F18" s="593"/>
      <c r="G18" s="593"/>
      <c r="H18" s="593"/>
      <c r="I18" s="593"/>
      <c r="J18" s="593"/>
      <c r="K18" s="593"/>
      <c r="L18" s="593"/>
      <c r="M18" s="593"/>
      <c r="N18" s="593"/>
      <c r="O18" s="593"/>
      <c r="P18" s="654"/>
      <c r="Q18" s="655"/>
      <c r="R18" s="655"/>
      <c r="S18" s="655"/>
      <c r="T18" s="656"/>
      <c r="U18" s="67" t="s">
        <v>61</v>
      </c>
      <c r="V18" s="67" t="s">
        <v>62</v>
      </c>
      <c r="W18" s="593"/>
      <c r="X18" s="593"/>
      <c r="Y18" s="871"/>
      <c r="Z18" s="792"/>
      <c r="AA18" s="770"/>
      <c r="AB18" s="770"/>
      <c r="AC18" s="770"/>
      <c r="AD18" s="834"/>
      <c r="AE18" s="835"/>
      <c r="AF18" s="836"/>
      <c r="AG18" s="66"/>
      <c r="BD18" s="65"/>
    </row>
    <row r="19" spans="1:68" ht="27.75" customHeight="1" x14ac:dyDescent="0.2">
      <c r="A19" s="626" t="s">
        <v>63</v>
      </c>
      <c r="B19" s="627"/>
      <c r="C19" s="627"/>
      <c r="D19" s="627"/>
      <c r="E19" s="627"/>
      <c r="F19" s="627"/>
      <c r="G19" s="627"/>
      <c r="H19" s="627"/>
      <c r="I19" s="627"/>
      <c r="J19" s="627"/>
      <c r="K19" s="627"/>
      <c r="L19" s="627"/>
      <c r="M19" s="627"/>
      <c r="N19" s="627"/>
      <c r="O19" s="627"/>
      <c r="P19" s="627"/>
      <c r="Q19" s="627"/>
      <c r="R19" s="627"/>
      <c r="S19" s="627"/>
      <c r="T19" s="627"/>
      <c r="U19" s="627"/>
      <c r="V19" s="627"/>
      <c r="W19" s="627"/>
      <c r="X19" s="627"/>
      <c r="Y19" s="627"/>
      <c r="Z19" s="627"/>
      <c r="AA19" s="48"/>
      <c r="AB19" s="48"/>
      <c r="AC19" s="48"/>
    </row>
    <row r="20" spans="1:68" ht="16.5" customHeight="1" x14ac:dyDescent="0.25">
      <c r="A20" s="573" t="s">
        <v>63</v>
      </c>
      <c r="B20" s="564"/>
      <c r="C20" s="564"/>
      <c r="D20" s="564"/>
      <c r="E20" s="564"/>
      <c r="F20" s="564"/>
      <c r="G20" s="564"/>
      <c r="H20" s="564"/>
      <c r="I20" s="564"/>
      <c r="J20" s="564"/>
      <c r="K20" s="564"/>
      <c r="L20" s="564"/>
      <c r="M20" s="564"/>
      <c r="N20" s="564"/>
      <c r="O20" s="564"/>
      <c r="P20" s="564"/>
      <c r="Q20" s="564"/>
      <c r="R20" s="564"/>
      <c r="S20" s="564"/>
      <c r="T20" s="564"/>
      <c r="U20" s="564"/>
      <c r="V20" s="564"/>
      <c r="W20" s="564"/>
      <c r="X20" s="564"/>
      <c r="Y20" s="564"/>
      <c r="Z20" s="564"/>
      <c r="AA20" s="546"/>
      <c r="AB20" s="546"/>
      <c r="AC20" s="546"/>
    </row>
    <row r="21" spans="1:68" ht="14.25" customHeight="1" x14ac:dyDescent="0.25">
      <c r="A21" s="567" t="s">
        <v>64</v>
      </c>
      <c r="B21" s="564"/>
      <c r="C21" s="564"/>
      <c r="D21" s="564"/>
      <c r="E21" s="564"/>
      <c r="F21" s="564"/>
      <c r="G21" s="564"/>
      <c r="H21" s="564"/>
      <c r="I21" s="564"/>
      <c r="J21" s="564"/>
      <c r="K21" s="564"/>
      <c r="L21" s="564"/>
      <c r="M21" s="564"/>
      <c r="N21" s="564"/>
      <c r="O21" s="564"/>
      <c r="P21" s="564"/>
      <c r="Q21" s="564"/>
      <c r="R21" s="564"/>
      <c r="S21" s="564"/>
      <c r="T21" s="564"/>
      <c r="U21" s="564"/>
      <c r="V21" s="564"/>
      <c r="W21" s="564"/>
      <c r="X21" s="564"/>
      <c r="Y21" s="564"/>
      <c r="Z21" s="564"/>
      <c r="AA21" s="545"/>
      <c r="AB21" s="545"/>
      <c r="AC21" s="545"/>
    </row>
    <row r="22" spans="1:68" ht="27" customHeight="1" x14ac:dyDescent="0.25">
      <c r="A22" s="54" t="s">
        <v>65</v>
      </c>
      <c r="B22" s="54" t="s">
        <v>66</v>
      </c>
      <c r="C22" s="31">
        <v>4301031446</v>
      </c>
      <c r="D22" s="558">
        <v>4680115887510</v>
      </c>
      <c r="E22" s="559"/>
      <c r="F22" s="550">
        <v>0.2</v>
      </c>
      <c r="G22" s="32">
        <v>6</v>
      </c>
      <c r="H22" s="550">
        <v>1.2</v>
      </c>
      <c r="I22" s="550">
        <v>1.38</v>
      </c>
      <c r="J22" s="32">
        <v>182</v>
      </c>
      <c r="K22" s="32" t="s">
        <v>67</v>
      </c>
      <c r="L22" s="32"/>
      <c r="M22" s="33" t="s">
        <v>68</v>
      </c>
      <c r="N22" s="33"/>
      <c r="O22" s="32">
        <v>40</v>
      </c>
      <c r="P22" s="788" t="str">
        <f>HYPERLINK("https://abi.ru/products/Охлажденные/Ядрена копоть/Ядрена копоть/Копченые колбасы/P005154/","Копченые колбасы «Колбаски Мини-колбаски со вкусом Мясо на углях» Фикс.вес 0,2 б/о ТМ «Ядрена копоть»")</f>
        <v>Копченые колбасы «Колбаски Мини-колбаски со вкусом Мясо на углях» Фикс.вес 0,2 б/о ТМ «Ядрена копоть»</v>
      </c>
      <c r="Q22" s="556"/>
      <c r="R22" s="556"/>
      <c r="S22" s="556"/>
      <c r="T22" s="557"/>
      <c r="U22" s="34"/>
      <c r="V22" s="34"/>
      <c r="W22" s="35" t="s">
        <v>69</v>
      </c>
      <c r="X22" s="551">
        <v>0</v>
      </c>
      <c r="Y22" s="552">
        <f>IFERROR(IF(X22="",0,CEILING((X22/$H22),1)*$H22),"")</f>
        <v>0</v>
      </c>
      <c r="Z22" s="36" t="str">
        <f>IFERROR(IF(Y22=0,"",ROUNDUP(Y22/H22,0)*0.00651),"")</f>
        <v/>
      </c>
      <c r="AA22" s="56"/>
      <c r="AB22" s="57"/>
      <c r="AC22" s="69" t="s">
        <v>70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ht="27" customHeight="1" x14ac:dyDescent="0.25">
      <c r="A23" s="54" t="s">
        <v>71</v>
      </c>
      <c r="B23" s="54" t="s">
        <v>72</v>
      </c>
      <c r="C23" s="31">
        <v>4301031278</v>
      </c>
      <c r="D23" s="558">
        <v>4680115886643</v>
      </c>
      <c r="E23" s="559"/>
      <c r="F23" s="550">
        <v>0.19</v>
      </c>
      <c r="G23" s="32">
        <v>10</v>
      </c>
      <c r="H23" s="550">
        <v>1.9</v>
      </c>
      <c r="I23" s="550">
        <v>2</v>
      </c>
      <c r="J23" s="32">
        <v>234</v>
      </c>
      <c r="K23" s="32" t="s">
        <v>73</v>
      </c>
      <c r="L23" s="32"/>
      <c r="M23" s="33" t="s">
        <v>68</v>
      </c>
      <c r="N23" s="33"/>
      <c r="O23" s="32">
        <v>40</v>
      </c>
      <c r="P23" s="712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3" s="556"/>
      <c r="R23" s="556"/>
      <c r="S23" s="556"/>
      <c r="T23" s="557"/>
      <c r="U23" s="34"/>
      <c r="V23" s="34"/>
      <c r="W23" s="35" t="s">
        <v>69</v>
      </c>
      <c r="X23" s="551">
        <v>0</v>
      </c>
      <c r="Y23" s="552">
        <f>IFERROR(IF(X23="",0,CEILING((X23/$H23),1)*$H23),"")</f>
        <v>0</v>
      </c>
      <c r="Z23" s="36" t="str">
        <f>IFERROR(IF(Y23=0,"",ROUNDUP(Y23/H23,0)*0.00502),"")</f>
        <v/>
      </c>
      <c r="AA23" s="56"/>
      <c r="AB23" s="57"/>
      <c r="AC23" s="71" t="s">
        <v>74</v>
      </c>
      <c r="AG23" s="64"/>
      <c r="AJ23" s="68"/>
      <c r="AK23" s="68">
        <v>0</v>
      </c>
      <c r="BB23" s="72" t="s">
        <v>1</v>
      </c>
      <c r="BM23" s="64">
        <f>IFERROR(X23*I23/H23,"0")</f>
        <v>0</v>
      </c>
      <c r="BN23" s="64">
        <f>IFERROR(Y23*I23/H23,"0")</f>
        <v>0</v>
      </c>
      <c r="BO23" s="64">
        <f>IFERROR(1/J23*(X23/H23),"0")</f>
        <v>0</v>
      </c>
      <c r="BP23" s="64">
        <f>IFERROR(1/J23*(Y23/H23),"0")</f>
        <v>0</v>
      </c>
    </row>
    <row r="24" spans="1:68" x14ac:dyDescent="0.2">
      <c r="A24" s="563"/>
      <c r="B24" s="564"/>
      <c r="C24" s="564"/>
      <c r="D24" s="564"/>
      <c r="E24" s="564"/>
      <c r="F24" s="564"/>
      <c r="G24" s="564"/>
      <c r="H24" s="564"/>
      <c r="I24" s="564"/>
      <c r="J24" s="564"/>
      <c r="K24" s="564"/>
      <c r="L24" s="564"/>
      <c r="M24" s="564"/>
      <c r="N24" s="564"/>
      <c r="O24" s="565"/>
      <c r="P24" s="570" t="s">
        <v>75</v>
      </c>
      <c r="Q24" s="571"/>
      <c r="R24" s="571"/>
      <c r="S24" s="571"/>
      <c r="T24" s="571"/>
      <c r="U24" s="571"/>
      <c r="V24" s="572"/>
      <c r="W24" s="37" t="s">
        <v>76</v>
      </c>
      <c r="X24" s="553">
        <f>IFERROR(X22/H22,"0")+IFERROR(X23/H23,"0")</f>
        <v>0</v>
      </c>
      <c r="Y24" s="553">
        <f>IFERROR(Y22/H22,"0")+IFERROR(Y23/H23,"0")</f>
        <v>0</v>
      </c>
      <c r="Z24" s="553">
        <f>IFERROR(IF(Z22="",0,Z22),"0")+IFERROR(IF(Z23="",0,Z23),"0")</f>
        <v>0</v>
      </c>
      <c r="AA24" s="554"/>
      <c r="AB24" s="554"/>
      <c r="AC24" s="554"/>
    </row>
    <row r="25" spans="1:68" x14ac:dyDescent="0.2">
      <c r="A25" s="564"/>
      <c r="B25" s="564"/>
      <c r="C25" s="564"/>
      <c r="D25" s="564"/>
      <c r="E25" s="564"/>
      <c r="F25" s="564"/>
      <c r="G25" s="564"/>
      <c r="H25" s="564"/>
      <c r="I25" s="564"/>
      <c r="J25" s="564"/>
      <c r="K25" s="564"/>
      <c r="L25" s="564"/>
      <c r="M25" s="564"/>
      <c r="N25" s="564"/>
      <c r="O25" s="565"/>
      <c r="P25" s="570" t="s">
        <v>75</v>
      </c>
      <c r="Q25" s="571"/>
      <c r="R25" s="571"/>
      <c r="S25" s="571"/>
      <c r="T25" s="571"/>
      <c r="U25" s="571"/>
      <c r="V25" s="572"/>
      <c r="W25" s="37" t="s">
        <v>69</v>
      </c>
      <c r="X25" s="553">
        <f>IFERROR(SUM(X22:X23),"0")</f>
        <v>0</v>
      </c>
      <c r="Y25" s="553">
        <f>IFERROR(SUM(Y22:Y23),"0")</f>
        <v>0</v>
      </c>
      <c r="Z25" s="37"/>
      <c r="AA25" s="554"/>
      <c r="AB25" s="554"/>
      <c r="AC25" s="554"/>
    </row>
    <row r="26" spans="1:68" ht="14.25" customHeight="1" x14ac:dyDescent="0.25">
      <c r="A26" s="567" t="s">
        <v>77</v>
      </c>
      <c r="B26" s="564"/>
      <c r="C26" s="564"/>
      <c r="D26" s="564"/>
      <c r="E26" s="564"/>
      <c r="F26" s="564"/>
      <c r="G26" s="564"/>
      <c r="H26" s="564"/>
      <c r="I26" s="564"/>
      <c r="J26" s="564"/>
      <c r="K26" s="564"/>
      <c r="L26" s="564"/>
      <c r="M26" s="564"/>
      <c r="N26" s="564"/>
      <c r="O26" s="564"/>
      <c r="P26" s="564"/>
      <c r="Q26" s="564"/>
      <c r="R26" s="564"/>
      <c r="S26" s="564"/>
      <c r="T26" s="564"/>
      <c r="U26" s="564"/>
      <c r="V26" s="564"/>
      <c r="W26" s="564"/>
      <c r="X26" s="564"/>
      <c r="Y26" s="564"/>
      <c r="Z26" s="564"/>
      <c r="AA26" s="545"/>
      <c r="AB26" s="545"/>
      <c r="AC26" s="545"/>
    </row>
    <row r="27" spans="1:68" ht="27" customHeight="1" x14ac:dyDescent="0.25">
      <c r="A27" s="54" t="s">
        <v>78</v>
      </c>
      <c r="B27" s="54" t="s">
        <v>79</v>
      </c>
      <c r="C27" s="31">
        <v>4301051866</v>
      </c>
      <c r="D27" s="558">
        <v>4680115885912</v>
      </c>
      <c r="E27" s="559"/>
      <c r="F27" s="550">
        <v>0.3</v>
      </c>
      <c r="G27" s="32">
        <v>6</v>
      </c>
      <c r="H27" s="550">
        <v>1.8</v>
      </c>
      <c r="I27" s="550">
        <v>3.18</v>
      </c>
      <c r="J27" s="32">
        <v>182</v>
      </c>
      <c r="K27" s="32" t="s">
        <v>67</v>
      </c>
      <c r="L27" s="32"/>
      <c r="M27" s="33" t="s">
        <v>80</v>
      </c>
      <c r="N27" s="33"/>
      <c r="O27" s="32">
        <v>40</v>
      </c>
      <c r="P27" s="765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556"/>
      <c r="R27" s="556"/>
      <c r="S27" s="556"/>
      <c r="T27" s="557"/>
      <c r="U27" s="34"/>
      <c r="V27" s="34"/>
      <c r="W27" s="35" t="s">
        <v>69</v>
      </c>
      <c r="X27" s="551">
        <v>0</v>
      </c>
      <c r="Y27" s="552">
        <f>IFERROR(IF(X27="",0,CEILING((X27/$H27),1)*$H27),"")</f>
        <v>0</v>
      </c>
      <c r="Z27" s="36" t="str">
        <f>IFERROR(IF(Y27=0,"",ROUNDUP(Y27/H27,0)*0.00651),"")</f>
        <v/>
      </c>
      <c r="AA27" s="56"/>
      <c r="AB27" s="57"/>
      <c r="AC27" s="73" t="s">
        <v>81</v>
      </c>
      <c r="AG27" s="64"/>
      <c r="AJ27" s="68"/>
      <c r="AK27" s="68">
        <v>0</v>
      </c>
      <c r="BB27" s="74" t="s">
        <v>1</v>
      </c>
      <c r="BM27" s="64">
        <f>IFERROR(X27*I27/H27,"0")</f>
        <v>0</v>
      </c>
      <c r="BN27" s="64">
        <f>IFERROR(Y27*I27/H27,"0")</f>
        <v>0</v>
      </c>
      <c r="BO27" s="64">
        <f>IFERROR(1/J27*(X27/H27),"0")</f>
        <v>0</v>
      </c>
      <c r="BP27" s="64">
        <f>IFERROR(1/J27*(Y27/H27),"0")</f>
        <v>0</v>
      </c>
    </row>
    <row r="28" spans="1:68" ht="27" customHeight="1" x14ac:dyDescent="0.25">
      <c r="A28" s="54" t="s">
        <v>82</v>
      </c>
      <c r="B28" s="54" t="s">
        <v>83</v>
      </c>
      <c r="C28" s="31">
        <v>4301051776</v>
      </c>
      <c r="D28" s="558">
        <v>4607091388237</v>
      </c>
      <c r="E28" s="559"/>
      <c r="F28" s="550">
        <v>0.42</v>
      </c>
      <c r="G28" s="32">
        <v>6</v>
      </c>
      <c r="H28" s="550">
        <v>2.52</v>
      </c>
      <c r="I28" s="550">
        <v>2.766</v>
      </c>
      <c r="J28" s="32">
        <v>182</v>
      </c>
      <c r="K28" s="32" t="s">
        <v>67</v>
      </c>
      <c r="L28" s="32"/>
      <c r="M28" s="33" t="s">
        <v>80</v>
      </c>
      <c r="N28" s="33"/>
      <c r="O28" s="32">
        <v>40</v>
      </c>
      <c r="P28" s="583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556"/>
      <c r="R28" s="556"/>
      <c r="S28" s="556"/>
      <c r="T28" s="557"/>
      <c r="U28" s="34"/>
      <c r="V28" s="34"/>
      <c r="W28" s="35" t="s">
        <v>69</v>
      </c>
      <c r="X28" s="551">
        <v>0</v>
      </c>
      <c r="Y28" s="552">
        <f>IFERROR(IF(X28="",0,CEILING((X28/$H28),1)*$H28),"")</f>
        <v>0</v>
      </c>
      <c r="Z28" s="36" t="str">
        <f>IFERROR(IF(Y28=0,"",ROUNDUP(Y28/H28,0)*0.00651),"")</f>
        <v/>
      </c>
      <c r="AA28" s="56"/>
      <c r="AB28" s="57"/>
      <c r="AC28" s="75" t="s">
        <v>81</v>
      </c>
      <c r="AG28" s="64"/>
      <c r="AJ28" s="68"/>
      <c r="AK28" s="68">
        <v>0</v>
      </c>
      <c r="BB28" s="76" t="s">
        <v>1</v>
      </c>
      <c r="BM28" s="64">
        <f>IFERROR(X28*I28/H28,"0")</f>
        <v>0</v>
      </c>
      <c r="BN28" s="64">
        <f>IFERROR(Y28*I28/H28,"0")</f>
        <v>0</v>
      </c>
      <c r="BO28" s="64">
        <f>IFERROR(1/J28*(X28/H28),"0")</f>
        <v>0</v>
      </c>
      <c r="BP28" s="64">
        <f>IFERROR(1/J28*(Y28/H28),"0")</f>
        <v>0</v>
      </c>
    </row>
    <row r="29" spans="1:68" ht="27" customHeight="1" x14ac:dyDescent="0.25">
      <c r="A29" s="54" t="s">
        <v>84</v>
      </c>
      <c r="B29" s="54" t="s">
        <v>85</v>
      </c>
      <c r="C29" s="31">
        <v>4301052063</v>
      </c>
      <c r="D29" s="558">
        <v>4680115887350</v>
      </c>
      <c r="E29" s="559"/>
      <c r="F29" s="550">
        <v>0.3</v>
      </c>
      <c r="G29" s="32">
        <v>6</v>
      </c>
      <c r="H29" s="550">
        <v>1.8</v>
      </c>
      <c r="I29" s="550">
        <v>3.18</v>
      </c>
      <c r="J29" s="32">
        <v>182</v>
      </c>
      <c r="K29" s="32" t="s">
        <v>67</v>
      </c>
      <c r="L29" s="32"/>
      <c r="M29" s="33" t="s">
        <v>86</v>
      </c>
      <c r="N29" s="33"/>
      <c r="O29" s="32">
        <v>40</v>
      </c>
      <c r="P29" s="616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556"/>
      <c r="R29" s="556"/>
      <c r="S29" s="556"/>
      <c r="T29" s="557"/>
      <c r="U29" s="34"/>
      <c r="V29" s="34"/>
      <c r="W29" s="35" t="s">
        <v>69</v>
      </c>
      <c r="X29" s="551">
        <v>0</v>
      </c>
      <c r="Y29" s="552">
        <f>IFERROR(IF(X29="",0,CEILING((X29/$H29),1)*$H29),"")</f>
        <v>0</v>
      </c>
      <c r="Z29" s="36" t="str">
        <f>IFERROR(IF(Y29=0,"",ROUNDUP(Y29/H29,0)*0.00651),"")</f>
        <v/>
      </c>
      <c r="AA29" s="56"/>
      <c r="AB29" s="57"/>
      <c r="AC29" s="77" t="s">
        <v>87</v>
      </c>
      <c r="AG29" s="64"/>
      <c r="AJ29" s="68"/>
      <c r="AK29" s="68">
        <v>0</v>
      </c>
      <c r="BB29" s="78" t="s">
        <v>1</v>
      </c>
      <c r="BM29" s="64">
        <f>IFERROR(X29*I29/H29,"0")</f>
        <v>0</v>
      </c>
      <c r="BN29" s="64">
        <f>IFERROR(Y29*I29/H29,"0")</f>
        <v>0</v>
      </c>
      <c r="BO29" s="64">
        <f>IFERROR(1/J29*(X29/H29),"0")</f>
        <v>0</v>
      </c>
      <c r="BP29" s="64">
        <f>IFERROR(1/J29*(Y29/H29),"0")</f>
        <v>0</v>
      </c>
    </row>
    <row r="30" spans="1:68" ht="27" customHeight="1" x14ac:dyDescent="0.25">
      <c r="A30" s="54" t="s">
        <v>88</v>
      </c>
      <c r="B30" s="54" t="s">
        <v>89</v>
      </c>
      <c r="C30" s="31">
        <v>4301051863</v>
      </c>
      <c r="D30" s="558">
        <v>4680115885905</v>
      </c>
      <c r="E30" s="559"/>
      <c r="F30" s="550">
        <v>0.3</v>
      </c>
      <c r="G30" s="32">
        <v>6</v>
      </c>
      <c r="H30" s="550">
        <v>1.8</v>
      </c>
      <c r="I30" s="550">
        <v>3.18</v>
      </c>
      <c r="J30" s="32">
        <v>182</v>
      </c>
      <c r="K30" s="32" t="s">
        <v>67</v>
      </c>
      <c r="L30" s="32" t="s">
        <v>90</v>
      </c>
      <c r="M30" s="33" t="s">
        <v>86</v>
      </c>
      <c r="N30" s="33"/>
      <c r="O30" s="32">
        <v>40</v>
      </c>
      <c r="P30" s="589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556"/>
      <c r="R30" s="556"/>
      <c r="S30" s="556"/>
      <c r="T30" s="557"/>
      <c r="U30" s="34"/>
      <c r="V30" s="34"/>
      <c r="W30" s="35" t="s">
        <v>69</v>
      </c>
      <c r="X30" s="551">
        <v>0</v>
      </c>
      <c r="Y30" s="552">
        <f>IFERROR(IF(X30="",0,CEILING((X30/$H30),1)*$H30),"")</f>
        <v>0</v>
      </c>
      <c r="Z30" s="36" t="str">
        <f>IFERROR(IF(Y30=0,"",ROUNDUP(Y30/H30,0)*0.00651),"")</f>
        <v/>
      </c>
      <c r="AA30" s="56"/>
      <c r="AB30" s="57"/>
      <c r="AC30" s="79" t="s">
        <v>91</v>
      </c>
      <c r="AG30" s="64"/>
      <c r="AJ30" s="68" t="s">
        <v>92</v>
      </c>
      <c r="AK30" s="68">
        <v>25.2</v>
      </c>
      <c r="BB30" s="80" t="s">
        <v>1</v>
      </c>
      <c r="BM30" s="64">
        <f>IFERROR(X30*I30/H30,"0")</f>
        <v>0</v>
      </c>
      <c r="BN30" s="64">
        <f>IFERROR(Y30*I30/H30,"0")</f>
        <v>0</v>
      </c>
      <c r="BO30" s="64">
        <f>IFERROR(1/J30*(X30/H30),"0")</f>
        <v>0</v>
      </c>
      <c r="BP30" s="64">
        <f>IFERROR(1/J30*(Y30/H30),"0")</f>
        <v>0</v>
      </c>
    </row>
    <row r="31" spans="1:68" x14ac:dyDescent="0.2">
      <c r="A31" s="563"/>
      <c r="B31" s="564"/>
      <c r="C31" s="564"/>
      <c r="D31" s="564"/>
      <c r="E31" s="564"/>
      <c r="F31" s="564"/>
      <c r="G31" s="564"/>
      <c r="H31" s="564"/>
      <c r="I31" s="564"/>
      <c r="J31" s="564"/>
      <c r="K31" s="564"/>
      <c r="L31" s="564"/>
      <c r="M31" s="564"/>
      <c r="N31" s="564"/>
      <c r="O31" s="565"/>
      <c r="P31" s="570" t="s">
        <v>75</v>
      </c>
      <c r="Q31" s="571"/>
      <c r="R31" s="571"/>
      <c r="S31" s="571"/>
      <c r="T31" s="571"/>
      <c r="U31" s="571"/>
      <c r="V31" s="572"/>
      <c r="W31" s="37" t="s">
        <v>76</v>
      </c>
      <c r="X31" s="553">
        <f>IFERROR(X27/H27,"0")+IFERROR(X28/H28,"0")+IFERROR(X29/H29,"0")+IFERROR(X30/H30,"0")</f>
        <v>0</v>
      </c>
      <c r="Y31" s="553">
        <f>IFERROR(Y27/H27,"0")+IFERROR(Y28/H28,"0")+IFERROR(Y29/H29,"0")+IFERROR(Y30/H30,"0")</f>
        <v>0</v>
      </c>
      <c r="Z31" s="553">
        <f>IFERROR(IF(Z27="",0,Z27),"0")+IFERROR(IF(Z28="",0,Z28),"0")+IFERROR(IF(Z29="",0,Z29),"0")+IFERROR(IF(Z30="",0,Z30),"0")</f>
        <v>0</v>
      </c>
      <c r="AA31" s="554"/>
      <c r="AB31" s="554"/>
      <c r="AC31" s="554"/>
    </row>
    <row r="32" spans="1:68" x14ac:dyDescent="0.2">
      <c r="A32" s="564"/>
      <c r="B32" s="564"/>
      <c r="C32" s="564"/>
      <c r="D32" s="564"/>
      <c r="E32" s="564"/>
      <c r="F32" s="564"/>
      <c r="G32" s="564"/>
      <c r="H32" s="564"/>
      <c r="I32" s="564"/>
      <c r="J32" s="564"/>
      <c r="K32" s="564"/>
      <c r="L32" s="564"/>
      <c r="M32" s="564"/>
      <c r="N32" s="564"/>
      <c r="O32" s="565"/>
      <c r="P32" s="570" t="s">
        <v>75</v>
      </c>
      <c r="Q32" s="571"/>
      <c r="R32" s="571"/>
      <c r="S32" s="571"/>
      <c r="T32" s="571"/>
      <c r="U32" s="571"/>
      <c r="V32" s="572"/>
      <c r="W32" s="37" t="s">
        <v>69</v>
      </c>
      <c r="X32" s="553">
        <f>IFERROR(SUM(X27:X30),"0")</f>
        <v>0</v>
      </c>
      <c r="Y32" s="553">
        <f>IFERROR(SUM(Y27:Y30),"0")</f>
        <v>0</v>
      </c>
      <c r="Z32" s="37"/>
      <c r="AA32" s="554"/>
      <c r="AB32" s="554"/>
      <c r="AC32" s="554"/>
    </row>
    <row r="33" spans="1:68" ht="14.25" customHeight="1" x14ac:dyDescent="0.25">
      <c r="A33" s="567" t="s">
        <v>93</v>
      </c>
      <c r="B33" s="564"/>
      <c r="C33" s="564"/>
      <c r="D33" s="564"/>
      <c r="E33" s="564"/>
      <c r="F33" s="564"/>
      <c r="G33" s="564"/>
      <c r="H33" s="564"/>
      <c r="I33" s="564"/>
      <c r="J33" s="564"/>
      <c r="K33" s="564"/>
      <c r="L33" s="564"/>
      <c r="M33" s="564"/>
      <c r="N33" s="564"/>
      <c r="O33" s="564"/>
      <c r="P33" s="564"/>
      <c r="Q33" s="564"/>
      <c r="R33" s="564"/>
      <c r="S33" s="564"/>
      <c r="T33" s="564"/>
      <c r="U33" s="564"/>
      <c r="V33" s="564"/>
      <c r="W33" s="564"/>
      <c r="X33" s="564"/>
      <c r="Y33" s="564"/>
      <c r="Z33" s="564"/>
      <c r="AA33" s="545"/>
      <c r="AB33" s="545"/>
      <c r="AC33" s="545"/>
    </row>
    <row r="34" spans="1:68" ht="27" customHeight="1" x14ac:dyDescent="0.25">
      <c r="A34" s="54" t="s">
        <v>94</v>
      </c>
      <c r="B34" s="54" t="s">
        <v>95</v>
      </c>
      <c r="C34" s="31">
        <v>4301032013</v>
      </c>
      <c r="D34" s="558">
        <v>4607091388503</v>
      </c>
      <c r="E34" s="559"/>
      <c r="F34" s="550">
        <v>0.05</v>
      </c>
      <c r="G34" s="32">
        <v>12</v>
      </c>
      <c r="H34" s="550">
        <v>0.6</v>
      </c>
      <c r="I34" s="550">
        <v>0.82199999999999995</v>
      </c>
      <c r="J34" s="32">
        <v>182</v>
      </c>
      <c r="K34" s="32" t="s">
        <v>67</v>
      </c>
      <c r="L34" s="32"/>
      <c r="M34" s="33" t="s">
        <v>96</v>
      </c>
      <c r="N34" s="33"/>
      <c r="O34" s="32">
        <v>120</v>
      </c>
      <c r="P34" s="815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4" s="556"/>
      <c r="R34" s="556"/>
      <c r="S34" s="556"/>
      <c r="T34" s="557"/>
      <c r="U34" s="34"/>
      <c r="V34" s="34"/>
      <c r="W34" s="35" t="s">
        <v>69</v>
      </c>
      <c r="X34" s="551">
        <v>0</v>
      </c>
      <c r="Y34" s="552">
        <f>IFERROR(IF(X34="",0,CEILING((X34/$H34),1)*$H34),"")</f>
        <v>0</v>
      </c>
      <c r="Z34" s="36" t="str">
        <f>IFERROR(IF(Y34=0,"",ROUNDUP(Y34/H34,0)*0.00651),"")</f>
        <v/>
      </c>
      <c r="AA34" s="56"/>
      <c r="AB34" s="57"/>
      <c r="AC34" s="81" t="s">
        <v>97</v>
      </c>
      <c r="AG34" s="64"/>
      <c r="AJ34" s="68"/>
      <c r="AK34" s="68">
        <v>0</v>
      </c>
      <c r="BB34" s="82" t="s">
        <v>98</v>
      </c>
      <c r="BM34" s="64">
        <f>IFERROR(X34*I34/H34,"0")</f>
        <v>0</v>
      </c>
      <c r="BN34" s="64">
        <f>IFERROR(Y34*I34/H34,"0")</f>
        <v>0</v>
      </c>
      <c r="BO34" s="64">
        <f>IFERROR(1/J34*(X34/H34),"0")</f>
        <v>0</v>
      </c>
      <c r="BP34" s="64">
        <f>IFERROR(1/J34*(Y34/H34),"0")</f>
        <v>0</v>
      </c>
    </row>
    <row r="35" spans="1:68" x14ac:dyDescent="0.2">
      <c r="A35" s="563"/>
      <c r="B35" s="564"/>
      <c r="C35" s="564"/>
      <c r="D35" s="564"/>
      <c r="E35" s="564"/>
      <c r="F35" s="564"/>
      <c r="G35" s="564"/>
      <c r="H35" s="564"/>
      <c r="I35" s="564"/>
      <c r="J35" s="564"/>
      <c r="K35" s="564"/>
      <c r="L35" s="564"/>
      <c r="M35" s="564"/>
      <c r="N35" s="564"/>
      <c r="O35" s="565"/>
      <c r="P35" s="570" t="s">
        <v>75</v>
      </c>
      <c r="Q35" s="571"/>
      <c r="R35" s="571"/>
      <c r="S35" s="571"/>
      <c r="T35" s="571"/>
      <c r="U35" s="571"/>
      <c r="V35" s="572"/>
      <c r="W35" s="37" t="s">
        <v>76</v>
      </c>
      <c r="X35" s="553">
        <f>IFERROR(X34/H34,"0")</f>
        <v>0</v>
      </c>
      <c r="Y35" s="553">
        <f>IFERROR(Y34/H34,"0")</f>
        <v>0</v>
      </c>
      <c r="Z35" s="553">
        <f>IFERROR(IF(Z34="",0,Z34),"0")</f>
        <v>0</v>
      </c>
      <c r="AA35" s="554"/>
      <c r="AB35" s="554"/>
      <c r="AC35" s="554"/>
    </row>
    <row r="36" spans="1:68" x14ac:dyDescent="0.2">
      <c r="A36" s="564"/>
      <c r="B36" s="564"/>
      <c r="C36" s="564"/>
      <c r="D36" s="564"/>
      <c r="E36" s="564"/>
      <c r="F36" s="564"/>
      <c r="G36" s="564"/>
      <c r="H36" s="564"/>
      <c r="I36" s="564"/>
      <c r="J36" s="564"/>
      <c r="K36" s="564"/>
      <c r="L36" s="564"/>
      <c r="M36" s="564"/>
      <c r="N36" s="564"/>
      <c r="O36" s="565"/>
      <c r="P36" s="570" t="s">
        <v>75</v>
      </c>
      <c r="Q36" s="571"/>
      <c r="R36" s="571"/>
      <c r="S36" s="571"/>
      <c r="T36" s="571"/>
      <c r="U36" s="571"/>
      <c r="V36" s="572"/>
      <c r="W36" s="37" t="s">
        <v>69</v>
      </c>
      <c r="X36" s="553">
        <f>IFERROR(SUM(X34:X34),"0")</f>
        <v>0</v>
      </c>
      <c r="Y36" s="553">
        <f>IFERROR(SUM(Y34:Y34),"0")</f>
        <v>0</v>
      </c>
      <c r="Z36" s="37"/>
      <c r="AA36" s="554"/>
      <c r="AB36" s="554"/>
      <c r="AC36" s="554"/>
    </row>
    <row r="37" spans="1:68" ht="27.75" customHeight="1" x14ac:dyDescent="0.2">
      <c r="A37" s="626" t="s">
        <v>99</v>
      </c>
      <c r="B37" s="627"/>
      <c r="C37" s="627"/>
      <c r="D37" s="627"/>
      <c r="E37" s="627"/>
      <c r="F37" s="627"/>
      <c r="G37" s="627"/>
      <c r="H37" s="627"/>
      <c r="I37" s="627"/>
      <c r="J37" s="627"/>
      <c r="K37" s="627"/>
      <c r="L37" s="627"/>
      <c r="M37" s="627"/>
      <c r="N37" s="627"/>
      <c r="O37" s="627"/>
      <c r="P37" s="627"/>
      <c r="Q37" s="627"/>
      <c r="R37" s="627"/>
      <c r="S37" s="627"/>
      <c r="T37" s="627"/>
      <c r="U37" s="627"/>
      <c r="V37" s="627"/>
      <c r="W37" s="627"/>
      <c r="X37" s="627"/>
      <c r="Y37" s="627"/>
      <c r="Z37" s="627"/>
      <c r="AA37" s="48"/>
      <c r="AB37" s="48"/>
      <c r="AC37" s="48"/>
    </row>
    <row r="38" spans="1:68" ht="16.5" customHeight="1" x14ac:dyDescent="0.25">
      <c r="A38" s="573" t="s">
        <v>100</v>
      </c>
      <c r="B38" s="564"/>
      <c r="C38" s="564"/>
      <c r="D38" s="564"/>
      <c r="E38" s="564"/>
      <c r="F38" s="564"/>
      <c r="G38" s="564"/>
      <c r="H38" s="564"/>
      <c r="I38" s="564"/>
      <c r="J38" s="564"/>
      <c r="K38" s="564"/>
      <c r="L38" s="564"/>
      <c r="M38" s="564"/>
      <c r="N38" s="564"/>
      <c r="O38" s="564"/>
      <c r="P38" s="564"/>
      <c r="Q38" s="564"/>
      <c r="R38" s="564"/>
      <c r="S38" s="564"/>
      <c r="T38" s="564"/>
      <c r="U38" s="564"/>
      <c r="V38" s="564"/>
      <c r="W38" s="564"/>
      <c r="X38" s="564"/>
      <c r="Y38" s="564"/>
      <c r="Z38" s="564"/>
      <c r="AA38" s="546"/>
      <c r="AB38" s="546"/>
      <c r="AC38" s="546"/>
    </row>
    <row r="39" spans="1:68" ht="14.25" customHeight="1" x14ac:dyDescent="0.25">
      <c r="A39" s="567" t="s">
        <v>101</v>
      </c>
      <c r="B39" s="564"/>
      <c r="C39" s="564"/>
      <c r="D39" s="564"/>
      <c r="E39" s="564"/>
      <c r="F39" s="564"/>
      <c r="G39" s="564"/>
      <c r="H39" s="564"/>
      <c r="I39" s="564"/>
      <c r="J39" s="564"/>
      <c r="K39" s="564"/>
      <c r="L39" s="564"/>
      <c r="M39" s="564"/>
      <c r="N39" s="564"/>
      <c r="O39" s="564"/>
      <c r="P39" s="564"/>
      <c r="Q39" s="564"/>
      <c r="R39" s="564"/>
      <c r="S39" s="564"/>
      <c r="T39" s="564"/>
      <c r="U39" s="564"/>
      <c r="V39" s="564"/>
      <c r="W39" s="564"/>
      <c r="X39" s="564"/>
      <c r="Y39" s="564"/>
      <c r="Z39" s="564"/>
      <c r="AA39" s="545"/>
      <c r="AB39" s="545"/>
      <c r="AC39" s="545"/>
    </row>
    <row r="40" spans="1:68" ht="16.5" customHeight="1" x14ac:dyDescent="0.25">
      <c r="A40" s="54" t="s">
        <v>102</v>
      </c>
      <c r="B40" s="54" t="s">
        <v>103</v>
      </c>
      <c r="C40" s="31">
        <v>4301011380</v>
      </c>
      <c r="D40" s="558">
        <v>4607091385670</v>
      </c>
      <c r="E40" s="559"/>
      <c r="F40" s="550">
        <v>1.35</v>
      </c>
      <c r="G40" s="32">
        <v>8</v>
      </c>
      <c r="H40" s="550">
        <v>10.8</v>
      </c>
      <c r="I40" s="550">
        <v>11.21</v>
      </c>
      <c r="J40" s="32">
        <v>64</v>
      </c>
      <c r="K40" s="32" t="s">
        <v>104</v>
      </c>
      <c r="L40" s="32" t="s">
        <v>105</v>
      </c>
      <c r="M40" s="33" t="s">
        <v>106</v>
      </c>
      <c r="N40" s="33"/>
      <c r="O40" s="32">
        <v>50</v>
      </c>
      <c r="P40" s="789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0" s="556"/>
      <c r="R40" s="556"/>
      <c r="S40" s="556"/>
      <c r="T40" s="557"/>
      <c r="U40" s="34"/>
      <c r="V40" s="34"/>
      <c r="W40" s="35" t="s">
        <v>69</v>
      </c>
      <c r="X40" s="551">
        <v>670</v>
      </c>
      <c r="Y40" s="552">
        <f>IFERROR(IF(X40="",0,CEILING((X40/$H40),1)*$H40),"")</f>
        <v>680.40000000000009</v>
      </c>
      <c r="Z40" s="36">
        <f>IFERROR(IF(Y40=0,"",ROUNDUP(Y40/H40,0)*0.01898),"")</f>
        <v>1.19574</v>
      </c>
      <c r="AA40" s="56"/>
      <c r="AB40" s="57"/>
      <c r="AC40" s="83" t="s">
        <v>107</v>
      </c>
      <c r="AG40" s="64"/>
      <c r="AJ40" s="68" t="s">
        <v>92</v>
      </c>
      <c r="AK40" s="68">
        <v>86.4</v>
      </c>
      <c r="BB40" s="84" t="s">
        <v>1</v>
      </c>
      <c r="BM40" s="64">
        <f>IFERROR(X40*I40/H40,"0")</f>
        <v>695.43518518518522</v>
      </c>
      <c r="BN40" s="64">
        <f>IFERROR(Y40*I40/H40,"0")</f>
        <v>706.23000000000013</v>
      </c>
      <c r="BO40" s="64">
        <f>IFERROR(1/J40*(X40/H40),"0")</f>
        <v>0.96932870370370361</v>
      </c>
      <c r="BP40" s="64">
        <f>IFERROR(1/J40*(Y40/H40),"0")</f>
        <v>0.98437500000000011</v>
      </c>
    </row>
    <row r="41" spans="1:68" ht="27" customHeight="1" x14ac:dyDescent="0.25">
      <c r="A41" s="54" t="s">
        <v>108</v>
      </c>
      <c r="B41" s="54" t="s">
        <v>109</v>
      </c>
      <c r="C41" s="31">
        <v>4301011382</v>
      </c>
      <c r="D41" s="558">
        <v>4607091385687</v>
      </c>
      <c r="E41" s="559"/>
      <c r="F41" s="550">
        <v>0.4</v>
      </c>
      <c r="G41" s="32">
        <v>10</v>
      </c>
      <c r="H41" s="550">
        <v>4</v>
      </c>
      <c r="I41" s="550">
        <v>4.1900000000000004</v>
      </c>
      <c r="J41" s="32">
        <v>132</v>
      </c>
      <c r="K41" s="32" t="s">
        <v>110</v>
      </c>
      <c r="L41" s="32" t="s">
        <v>111</v>
      </c>
      <c r="M41" s="33" t="s">
        <v>80</v>
      </c>
      <c r="N41" s="33"/>
      <c r="O41" s="32">
        <v>50</v>
      </c>
      <c r="P41" s="812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1" s="556"/>
      <c r="R41" s="556"/>
      <c r="S41" s="556"/>
      <c r="T41" s="557"/>
      <c r="U41" s="34"/>
      <c r="V41" s="34"/>
      <c r="W41" s="35" t="s">
        <v>69</v>
      </c>
      <c r="X41" s="551">
        <v>80</v>
      </c>
      <c r="Y41" s="552">
        <f>IFERROR(IF(X41="",0,CEILING((X41/$H41),1)*$H41),"")</f>
        <v>80</v>
      </c>
      <c r="Z41" s="36">
        <f>IFERROR(IF(Y41=0,"",ROUNDUP(Y41/H41,0)*0.00902),"")</f>
        <v>0.1804</v>
      </c>
      <c r="AA41" s="56"/>
      <c r="AB41" s="57"/>
      <c r="AC41" s="85" t="s">
        <v>107</v>
      </c>
      <c r="AG41" s="64"/>
      <c r="AJ41" s="68" t="s">
        <v>92</v>
      </c>
      <c r="AK41" s="68">
        <v>48</v>
      </c>
      <c r="BB41" s="86" t="s">
        <v>1</v>
      </c>
      <c r="BM41" s="64">
        <f>IFERROR(X41*I41/H41,"0")</f>
        <v>83.800000000000011</v>
      </c>
      <c r="BN41" s="64">
        <f>IFERROR(Y41*I41/H41,"0")</f>
        <v>83.800000000000011</v>
      </c>
      <c r="BO41" s="64">
        <f>IFERROR(1/J41*(X41/H41),"0")</f>
        <v>0.15151515151515152</v>
      </c>
      <c r="BP41" s="64">
        <f>IFERROR(1/J41*(Y41/H41),"0")</f>
        <v>0.15151515151515152</v>
      </c>
    </row>
    <row r="42" spans="1:68" ht="27" customHeight="1" x14ac:dyDescent="0.25">
      <c r="A42" s="54" t="s">
        <v>112</v>
      </c>
      <c r="B42" s="54" t="s">
        <v>113</v>
      </c>
      <c r="C42" s="31">
        <v>4301011565</v>
      </c>
      <c r="D42" s="558">
        <v>4680115882539</v>
      </c>
      <c r="E42" s="559"/>
      <c r="F42" s="550">
        <v>0.37</v>
      </c>
      <c r="G42" s="32">
        <v>10</v>
      </c>
      <c r="H42" s="550">
        <v>3.7</v>
      </c>
      <c r="I42" s="550">
        <v>3.89</v>
      </c>
      <c r="J42" s="32">
        <v>132</v>
      </c>
      <c r="K42" s="32" t="s">
        <v>110</v>
      </c>
      <c r="L42" s="32"/>
      <c r="M42" s="33" t="s">
        <v>80</v>
      </c>
      <c r="N42" s="33"/>
      <c r="O42" s="32">
        <v>50</v>
      </c>
      <c r="P42" s="638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42" s="556"/>
      <c r="R42" s="556"/>
      <c r="S42" s="556"/>
      <c r="T42" s="557"/>
      <c r="U42" s="34"/>
      <c r="V42" s="34"/>
      <c r="W42" s="35" t="s">
        <v>69</v>
      </c>
      <c r="X42" s="551">
        <v>0</v>
      </c>
      <c r="Y42" s="552">
        <f>IFERROR(IF(X42="",0,CEILING((X42/$H42),1)*$H42),"")</f>
        <v>0</v>
      </c>
      <c r="Z42" s="36" t="str">
        <f>IFERROR(IF(Y42=0,"",ROUNDUP(Y42/H42,0)*0.00902),"")</f>
        <v/>
      </c>
      <c r="AA42" s="56"/>
      <c r="AB42" s="57"/>
      <c r="AC42" s="87" t="s">
        <v>107</v>
      </c>
      <c r="AG42" s="64"/>
      <c r="AJ42" s="68"/>
      <c r="AK42" s="68">
        <v>0</v>
      </c>
      <c r="BB42" s="88" t="s">
        <v>1</v>
      </c>
      <c r="BM42" s="64">
        <f>IFERROR(X42*I42/H42,"0")</f>
        <v>0</v>
      </c>
      <c r="BN42" s="64">
        <f>IFERROR(Y42*I42/H42,"0")</f>
        <v>0</v>
      </c>
      <c r="BO42" s="64">
        <f>IFERROR(1/J42*(X42/H42),"0")</f>
        <v>0</v>
      </c>
      <c r="BP42" s="64">
        <f>IFERROR(1/J42*(Y42/H42),"0")</f>
        <v>0</v>
      </c>
    </row>
    <row r="43" spans="1:68" x14ac:dyDescent="0.2">
      <c r="A43" s="563"/>
      <c r="B43" s="564"/>
      <c r="C43" s="564"/>
      <c r="D43" s="564"/>
      <c r="E43" s="564"/>
      <c r="F43" s="564"/>
      <c r="G43" s="564"/>
      <c r="H43" s="564"/>
      <c r="I43" s="564"/>
      <c r="J43" s="564"/>
      <c r="K43" s="564"/>
      <c r="L43" s="564"/>
      <c r="M43" s="564"/>
      <c r="N43" s="564"/>
      <c r="O43" s="565"/>
      <c r="P43" s="570" t="s">
        <v>75</v>
      </c>
      <c r="Q43" s="571"/>
      <c r="R43" s="571"/>
      <c r="S43" s="571"/>
      <c r="T43" s="571"/>
      <c r="U43" s="571"/>
      <c r="V43" s="572"/>
      <c r="W43" s="37" t="s">
        <v>76</v>
      </c>
      <c r="X43" s="553">
        <f>IFERROR(X40/H40,"0")+IFERROR(X41/H41,"0")+IFERROR(X42/H42,"0")</f>
        <v>82.037037037037038</v>
      </c>
      <c r="Y43" s="553">
        <f>IFERROR(Y40/H40,"0")+IFERROR(Y41/H41,"0")+IFERROR(Y42/H42,"0")</f>
        <v>83</v>
      </c>
      <c r="Z43" s="553">
        <f>IFERROR(IF(Z40="",0,Z40),"0")+IFERROR(IF(Z41="",0,Z41),"0")+IFERROR(IF(Z42="",0,Z42),"0")</f>
        <v>1.3761399999999999</v>
      </c>
      <c r="AA43" s="554"/>
      <c r="AB43" s="554"/>
      <c r="AC43" s="554"/>
    </row>
    <row r="44" spans="1:68" x14ac:dyDescent="0.2">
      <c r="A44" s="564"/>
      <c r="B44" s="564"/>
      <c r="C44" s="564"/>
      <c r="D44" s="564"/>
      <c r="E44" s="564"/>
      <c r="F44" s="564"/>
      <c r="G44" s="564"/>
      <c r="H44" s="564"/>
      <c r="I44" s="564"/>
      <c r="J44" s="564"/>
      <c r="K44" s="564"/>
      <c r="L44" s="564"/>
      <c r="M44" s="564"/>
      <c r="N44" s="564"/>
      <c r="O44" s="565"/>
      <c r="P44" s="570" t="s">
        <v>75</v>
      </c>
      <c r="Q44" s="571"/>
      <c r="R44" s="571"/>
      <c r="S44" s="571"/>
      <c r="T44" s="571"/>
      <c r="U44" s="571"/>
      <c r="V44" s="572"/>
      <c r="W44" s="37" t="s">
        <v>69</v>
      </c>
      <c r="X44" s="553">
        <f>IFERROR(SUM(X40:X42),"0")</f>
        <v>750</v>
      </c>
      <c r="Y44" s="553">
        <f>IFERROR(SUM(Y40:Y42),"0")</f>
        <v>760.40000000000009</v>
      </c>
      <c r="Z44" s="37"/>
      <c r="AA44" s="554"/>
      <c r="AB44" s="554"/>
      <c r="AC44" s="554"/>
    </row>
    <row r="45" spans="1:68" ht="14.25" customHeight="1" x14ac:dyDescent="0.25">
      <c r="A45" s="567" t="s">
        <v>77</v>
      </c>
      <c r="B45" s="564"/>
      <c r="C45" s="564"/>
      <c r="D45" s="564"/>
      <c r="E45" s="564"/>
      <c r="F45" s="564"/>
      <c r="G45" s="564"/>
      <c r="H45" s="564"/>
      <c r="I45" s="564"/>
      <c r="J45" s="564"/>
      <c r="K45" s="564"/>
      <c r="L45" s="564"/>
      <c r="M45" s="564"/>
      <c r="N45" s="564"/>
      <c r="O45" s="564"/>
      <c r="P45" s="564"/>
      <c r="Q45" s="564"/>
      <c r="R45" s="564"/>
      <c r="S45" s="564"/>
      <c r="T45" s="564"/>
      <c r="U45" s="564"/>
      <c r="V45" s="564"/>
      <c r="W45" s="564"/>
      <c r="X45" s="564"/>
      <c r="Y45" s="564"/>
      <c r="Z45" s="564"/>
      <c r="AA45" s="545"/>
      <c r="AB45" s="545"/>
      <c r="AC45" s="545"/>
    </row>
    <row r="46" spans="1:68" ht="16.5" customHeight="1" x14ac:dyDescent="0.25">
      <c r="A46" s="54" t="s">
        <v>114</v>
      </c>
      <c r="B46" s="54" t="s">
        <v>115</v>
      </c>
      <c r="C46" s="31">
        <v>4301051820</v>
      </c>
      <c r="D46" s="558">
        <v>4680115884915</v>
      </c>
      <c r="E46" s="559"/>
      <c r="F46" s="550">
        <v>0.3</v>
      </c>
      <c r="G46" s="32">
        <v>6</v>
      </c>
      <c r="H46" s="550">
        <v>1.8</v>
      </c>
      <c r="I46" s="550">
        <v>1.98</v>
      </c>
      <c r="J46" s="32">
        <v>182</v>
      </c>
      <c r="K46" s="32" t="s">
        <v>67</v>
      </c>
      <c r="L46" s="32" t="s">
        <v>90</v>
      </c>
      <c r="M46" s="33" t="s">
        <v>80</v>
      </c>
      <c r="N46" s="33"/>
      <c r="O46" s="32">
        <v>40</v>
      </c>
      <c r="P46" s="805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6" s="556"/>
      <c r="R46" s="556"/>
      <c r="S46" s="556"/>
      <c r="T46" s="557"/>
      <c r="U46" s="34"/>
      <c r="V46" s="34"/>
      <c r="W46" s="35" t="s">
        <v>69</v>
      </c>
      <c r="X46" s="551">
        <v>0</v>
      </c>
      <c r="Y46" s="552">
        <f>IFERROR(IF(X46="",0,CEILING((X46/$H46),1)*$H46),"")</f>
        <v>0</v>
      </c>
      <c r="Z46" s="36" t="str">
        <f>IFERROR(IF(Y46=0,"",ROUNDUP(Y46/H46,0)*0.00651),"")</f>
        <v/>
      </c>
      <c r="AA46" s="56"/>
      <c r="AB46" s="57"/>
      <c r="AC46" s="89" t="s">
        <v>116</v>
      </c>
      <c r="AG46" s="64"/>
      <c r="AJ46" s="68" t="s">
        <v>92</v>
      </c>
      <c r="AK46" s="68">
        <v>25.2</v>
      </c>
      <c r="BB46" s="90" t="s">
        <v>1</v>
      </c>
      <c r="BM46" s="64">
        <f>IFERROR(X46*I46/H46,"0")</f>
        <v>0</v>
      </c>
      <c r="BN46" s="64">
        <f>IFERROR(Y46*I46/H46,"0")</f>
        <v>0</v>
      </c>
      <c r="BO46" s="64">
        <f>IFERROR(1/J46*(X46/H46),"0")</f>
        <v>0</v>
      </c>
      <c r="BP46" s="64">
        <f>IFERROR(1/J46*(Y46/H46),"0")</f>
        <v>0</v>
      </c>
    </row>
    <row r="47" spans="1:68" x14ac:dyDescent="0.2">
      <c r="A47" s="563"/>
      <c r="B47" s="564"/>
      <c r="C47" s="564"/>
      <c r="D47" s="564"/>
      <c r="E47" s="564"/>
      <c r="F47" s="564"/>
      <c r="G47" s="564"/>
      <c r="H47" s="564"/>
      <c r="I47" s="564"/>
      <c r="J47" s="564"/>
      <c r="K47" s="564"/>
      <c r="L47" s="564"/>
      <c r="M47" s="564"/>
      <c r="N47" s="564"/>
      <c r="O47" s="565"/>
      <c r="P47" s="570" t="s">
        <v>75</v>
      </c>
      <c r="Q47" s="571"/>
      <c r="R47" s="571"/>
      <c r="S47" s="571"/>
      <c r="T47" s="571"/>
      <c r="U47" s="571"/>
      <c r="V47" s="572"/>
      <c r="W47" s="37" t="s">
        <v>76</v>
      </c>
      <c r="X47" s="553">
        <f>IFERROR(X46/H46,"0")</f>
        <v>0</v>
      </c>
      <c r="Y47" s="553">
        <f>IFERROR(Y46/H46,"0")</f>
        <v>0</v>
      </c>
      <c r="Z47" s="553">
        <f>IFERROR(IF(Z46="",0,Z46),"0")</f>
        <v>0</v>
      </c>
      <c r="AA47" s="554"/>
      <c r="AB47" s="554"/>
      <c r="AC47" s="554"/>
    </row>
    <row r="48" spans="1:68" x14ac:dyDescent="0.2">
      <c r="A48" s="564"/>
      <c r="B48" s="564"/>
      <c r="C48" s="564"/>
      <c r="D48" s="564"/>
      <c r="E48" s="564"/>
      <c r="F48" s="564"/>
      <c r="G48" s="564"/>
      <c r="H48" s="564"/>
      <c r="I48" s="564"/>
      <c r="J48" s="564"/>
      <c r="K48" s="564"/>
      <c r="L48" s="564"/>
      <c r="M48" s="564"/>
      <c r="N48" s="564"/>
      <c r="O48" s="565"/>
      <c r="P48" s="570" t="s">
        <v>75</v>
      </c>
      <c r="Q48" s="571"/>
      <c r="R48" s="571"/>
      <c r="S48" s="571"/>
      <c r="T48" s="571"/>
      <c r="U48" s="571"/>
      <c r="V48" s="572"/>
      <c r="W48" s="37" t="s">
        <v>69</v>
      </c>
      <c r="X48" s="553">
        <f>IFERROR(SUM(X46:X46),"0")</f>
        <v>0</v>
      </c>
      <c r="Y48" s="553">
        <f>IFERROR(SUM(Y46:Y46),"0")</f>
        <v>0</v>
      </c>
      <c r="Z48" s="37"/>
      <c r="AA48" s="554"/>
      <c r="AB48" s="554"/>
      <c r="AC48" s="554"/>
    </row>
    <row r="49" spans="1:68" ht="16.5" customHeight="1" x14ac:dyDescent="0.25">
      <c r="A49" s="573" t="s">
        <v>117</v>
      </c>
      <c r="B49" s="564"/>
      <c r="C49" s="564"/>
      <c r="D49" s="564"/>
      <c r="E49" s="564"/>
      <c r="F49" s="564"/>
      <c r="G49" s="564"/>
      <c r="H49" s="564"/>
      <c r="I49" s="564"/>
      <c r="J49" s="564"/>
      <c r="K49" s="564"/>
      <c r="L49" s="564"/>
      <c r="M49" s="564"/>
      <c r="N49" s="564"/>
      <c r="O49" s="564"/>
      <c r="P49" s="564"/>
      <c r="Q49" s="564"/>
      <c r="R49" s="564"/>
      <c r="S49" s="564"/>
      <c r="T49" s="564"/>
      <c r="U49" s="564"/>
      <c r="V49" s="564"/>
      <c r="W49" s="564"/>
      <c r="X49" s="564"/>
      <c r="Y49" s="564"/>
      <c r="Z49" s="564"/>
      <c r="AA49" s="546"/>
      <c r="AB49" s="546"/>
      <c r="AC49" s="546"/>
    </row>
    <row r="50" spans="1:68" ht="14.25" customHeight="1" x14ac:dyDescent="0.25">
      <c r="A50" s="567" t="s">
        <v>101</v>
      </c>
      <c r="B50" s="564"/>
      <c r="C50" s="564"/>
      <c r="D50" s="564"/>
      <c r="E50" s="564"/>
      <c r="F50" s="564"/>
      <c r="G50" s="564"/>
      <c r="H50" s="564"/>
      <c r="I50" s="564"/>
      <c r="J50" s="564"/>
      <c r="K50" s="564"/>
      <c r="L50" s="564"/>
      <c r="M50" s="564"/>
      <c r="N50" s="564"/>
      <c r="O50" s="564"/>
      <c r="P50" s="564"/>
      <c r="Q50" s="564"/>
      <c r="R50" s="564"/>
      <c r="S50" s="564"/>
      <c r="T50" s="564"/>
      <c r="U50" s="564"/>
      <c r="V50" s="564"/>
      <c r="W50" s="564"/>
      <c r="X50" s="564"/>
      <c r="Y50" s="564"/>
      <c r="Z50" s="564"/>
      <c r="AA50" s="545"/>
      <c r="AB50" s="545"/>
      <c r="AC50" s="545"/>
    </row>
    <row r="51" spans="1:68" ht="27" customHeight="1" x14ac:dyDescent="0.25">
      <c r="A51" s="54" t="s">
        <v>118</v>
      </c>
      <c r="B51" s="54" t="s">
        <v>119</v>
      </c>
      <c r="C51" s="31">
        <v>4301012030</v>
      </c>
      <c r="D51" s="558">
        <v>4680115885882</v>
      </c>
      <c r="E51" s="559"/>
      <c r="F51" s="550">
        <v>1.4</v>
      </c>
      <c r="G51" s="32">
        <v>8</v>
      </c>
      <c r="H51" s="550">
        <v>11.2</v>
      </c>
      <c r="I51" s="550">
        <v>11.61</v>
      </c>
      <c r="J51" s="32">
        <v>64</v>
      </c>
      <c r="K51" s="32" t="s">
        <v>104</v>
      </c>
      <c r="L51" s="32" t="s">
        <v>105</v>
      </c>
      <c r="M51" s="33" t="s">
        <v>80</v>
      </c>
      <c r="N51" s="33"/>
      <c r="O51" s="32">
        <v>50</v>
      </c>
      <c r="P51" s="741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1" s="556"/>
      <c r="R51" s="556"/>
      <c r="S51" s="556"/>
      <c r="T51" s="557"/>
      <c r="U51" s="34"/>
      <c r="V51" s="34"/>
      <c r="W51" s="35" t="s">
        <v>69</v>
      </c>
      <c r="X51" s="551">
        <v>100</v>
      </c>
      <c r="Y51" s="552">
        <f t="shared" ref="Y51:Y56" si="0">IFERROR(IF(X51="",0,CEILING((X51/$H51),1)*$H51),"")</f>
        <v>100.8</v>
      </c>
      <c r="Z51" s="36">
        <f>IFERROR(IF(Y51=0,"",ROUNDUP(Y51/H51,0)*0.01898),"")</f>
        <v>0.17082</v>
      </c>
      <c r="AA51" s="56"/>
      <c r="AB51" s="57"/>
      <c r="AC51" s="91" t="s">
        <v>120</v>
      </c>
      <c r="AG51" s="64"/>
      <c r="AJ51" s="68" t="s">
        <v>92</v>
      </c>
      <c r="AK51" s="68">
        <v>89.6</v>
      </c>
      <c r="BB51" s="92" t="s">
        <v>1</v>
      </c>
      <c r="BM51" s="64">
        <f t="shared" ref="BM51:BM56" si="1">IFERROR(X51*I51/H51,"0")</f>
        <v>103.66071428571429</v>
      </c>
      <c r="BN51" s="64">
        <f t="shared" ref="BN51:BN56" si="2">IFERROR(Y51*I51/H51,"0")</f>
        <v>104.49000000000001</v>
      </c>
      <c r="BO51" s="64">
        <f t="shared" ref="BO51:BO56" si="3">IFERROR(1/J51*(X51/H51),"0")</f>
        <v>0.13950892857142858</v>
      </c>
      <c r="BP51" s="64">
        <f t="shared" ref="BP51:BP56" si="4">IFERROR(1/J51*(Y51/H51),"0")</f>
        <v>0.140625</v>
      </c>
    </row>
    <row r="52" spans="1:68" ht="27" customHeight="1" x14ac:dyDescent="0.25">
      <c r="A52" s="54" t="s">
        <v>121</v>
      </c>
      <c r="B52" s="54" t="s">
        <v>122</v>
      </c>
      <c r="C52" s="31">
        <v>4301011816</v>
      </c>
      <c r="D52" s="558">
        <v>4680115881426</v>
      </c>
      <c r="E52" s="559"/>
      <c r="F52" s="550">
        <v>1.35</v>
      </c>
      <c r="G52" s="32">
        <v>8</v>
      </c>
      <c r="H52" s="550">
        <v>10.8</v>
      </c>
      <c r="I52" s="550">
        <v>11.21</v>
      </c>
      <c r="J52" s="32">
        <v>64</v>
      </c>
      <c r="K52" s="32" t="s">
        <v>104</v>
      </c>
      <c r="L52" s="32"/>
      <c r="M52" s="33" t="s">
        <v>106</v>
      </c>
      <c r="N52" s="33"/>
      <c r="O52" s="32">
        <v>50</v>
      </c>
      <c r="P52" s="662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2" s="556"/>
      <c r="R52" s="556"/>
      <c r="S52" s="556"/>
      <c r="T52" s="557"/>
      <c r="U52" s="34"/>
      <c r="V52" s="34"/>
      <c r="W52" s="35" t="s">
        <v>69</v>
      </c>
      <c r="X52" s="551">
        <v>0</v>
      </c>
      <c r="Y52" s="552">
        <f t="shared" si="0"/>
        <v>0</v>
      </c>
      <c r="Z52" s="36" t="str">
        <f>IFERROR(IF(Y52=0,"",ROUNDUP(Y52/H52,0)*0.01898),"")</f>
        <v/>
      </c>
      <c r="AA52" s="56"/>
      <c r="AB52" s="57"/>
      <c r="AC52" s="93" t="s">
        <v>123</v>
      </c>
      <c r="AG52" s="64"/>
      <c r="AJ52" s="68"/>
      <c r="AK52" s="68">
        <v>0</v>
      </c>
      <c r="BB52" s="94" t="s">
        <v>1</v>
      </c>
      <c r="BM52" s="64">
        <f t="shared" si="1"/>
        <v>0</v>
      </c>
      <c r="BN52" s="64">
        <f t="shared" si="2"/>
        <v>0</v>
      </c>
      <c r="BO52" s="64">
        <f t="shared" si="3"/>
        <v>0</v>
      </c>
      <c r="BP52" s="64">
        <f t="shared" si="4"/>
        <v>0</v>
      </c>
    </row>
    <row r="53" spans="1:68" ht="27" customHeight="1" x14ac:dyDescent="0.25">
      <c r="A53" s="54" t="s">
        <v>124</v>
      </c>
      <c r="B53" s="54" t="s">
        <v>125</v>
      </c>
      <c r="C53" s="31">
        <v>4301011386</v>
      </c>
      <c r="D53" s="558">
        <v>4680115880283</v>
      </c>
      <c r="E53" s="559"/>
      <c r="F53" s="550">
        <v>0.6</v>
      </c>
      <c r="G53" s="32">
        <v>8</v>
      </c>
      <c r="H53" s="550">
        <v>4.8</v>
      </c>
      <c r="I53" s="550">
        <v>4.99</v>
      </c>
      <c r="J53" s="32">
        <v>132</v>
      </c>
      <c r="K53" s="32" t="s">
        <v>110</v>
      </c>
      <c r="L53" s="32"/>
      <c r="M53" s="33" t="s">
        <v>106</v>
      </c>
      <c r="N53" s="33"/>
      <c r="O53" s="32">
        <v>45</v>
      </c>
      <c r="P53" s="702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3" s="556"/>
      <c r="R53" s="556"/>
      <c r="S53" s="556"/>
      <c r="T53" s="557"/>
      <c r="U53" s="34"/>
      <c r="V53" s="34"/>
      <c r="W53" s="35" t="s">
        <v>69</v>
      </c>
      <c r="X53" s="551">
        <v>0</v>
      </c>
      <c r="Y53" s="552">
        <f t="shared" si="0"/>
        <v>0</v>
      </c>
      <c r="Z53" s="36" t="str">
        <f>IFERROR(IF(Y53=0,"",ROUNDUP(Y53/H53,0)*0.00902),"")</f>
        <v/>
      </c>
      <c r="AA53" s="56"/>
      <c r="AB53" s="57"/>
      <c r="AC53" s="95" t="s">
        <v>126</v>
      </c>
      <c r="AG53" s="64"/>
      <c r="AJ53" s="68"/>
      <c r="AK53" s="68">
        <v>0</v>
      </c>
      <c r="BB53" s="96" t="s">
        <v>1</v>
      </c>
      <c r="BM53" s="64">
        <f t="shared" si="1"/>
        <v>0</v>
      </c>
      <c r="BN53" s="64">
        <f t="shared" si="2"/>
        <v>0</v>
      </c>
      <c r="BO53" s="64">
        <f t="shared" si="3"/>
        <v>0</v>
      </c>
      <c r="BP53" s="64">
        <f t="shared" si="4"/>
        <v>0</v>
      </c>
    </row>
    <row r="54" spans="1:68" ht="27" customHeight="1" x14ac:dyDescent="0.25">
      <c r="A54" s="54" t="s">
        <v>127</v>
      </c>
      <c r="B54" s="54" t="s">
        <v>128</v>
      </c>
      <c r="C54" s="31">
        <v>4301011806</v>
      </c>
      <c r="D54" s="558">
        <v>4680115881525</v>
      </c>
      <c r="E54" s="559"/>
      <c r="F54" s="550">
        <v>0.4</v>
      </c>
      <c r="G54" s="32">
        <v>10</v>
      </c>
      <c r="H54" s="550">
        <v>4</v>
      </c>
      <c r="I54" s="550">
        <v>4.1900000000000004</v>
      </c>
      <c r="J54" s="32">
        <v>132</v>
      </c>
      <c r="K54" s="32" t="s">
        <v>110</v>
      </c>
      <c r="L54" s="32"/>
      <c r="M54" s="33" t="s">
        <v>106</v>
      </c>
      <c r="N54" s="33"/>
      <c r="O54" s="32">
        <v>50</v>
      </c>
      <c r="P54" s="830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4" s="556"/>
      <c r="R54" s="556"/>
      <c r="S54" s="556"/>
      <c r="T54" s="557"/>
      <c r="U54" s="34"/>
      <c r="V54" s="34"/>
      <c r="W54" s="35" t="s">
        <v>69</v>
      </c>
      <c r="X54" s="551">
        <v>0</v>
      </c>
      <c r="Y54" s="552">
        <f t="shared" si="0"/>
        <v>0</v>
      </c>
      <c r="Z54" s="36" t="str">
        <f>IFERROR(IF(Y54=0,"",ROUNDUP(Y54/H54,0)*0.00902),"")</f>
        <v/>
      </c>
      <c r="AA54" s="56"/>
      <c r="AB54" s="57"/>
      <c r="AC54" s="97" t="s">
        <v>129</v>
      </c>
      <c r="AG54" s="64"/>
      <c r="AJ54" s="68"/>
      <c r="AK54" s="68">
        <v>0</v>
      </c>
      <c r="BB54" s="98" t="s">
        <v>1</v>
      </c>
      <c r="BM54" s="64">
        <f t="shared" si="1"/>
        <v>0</v>
      </c>
      <c r="BN54" s="64">
        <f t="shared" si="2"/>
        <v>0</v>
      </c>
      <c r="BO54" s="64">
        <f t="shared" si="3"/>
        <v>0</v>
      </c>
      <c r="BP54" s="64">
        <f t="shared" si="4"/>
        <v>0</v>
      </c>
    </row>
    <row r="55" spans="1:68" ht="27" customHeight="1" x14ac:dyDescent="0.25">
      <c r="A55" s="54" t="s">
        <v>130</v>
      </c>
      <c r="B55" s="54" t="s">
        <v>131</v>
      </c>
      <c r="C55" s="31">
        <v>4301011589</v>
      </c>
      <c r="D55" s="558">
        <v>4680115885899</v>
      </c>
      <c r="E55" s="559"/>
      <c r="F55" s="550">
        <v>0.35</v>
      </c>
      <c r="G55" s="32">
        <v>6</v>
      </c>
      <c r="H55" s="550">
        <v>2.1</v>
      </c>
      <c r="I55" s="550">
        <v>2.2799999999999998</v>
      </c>
      <c r="J55" s="32">
        <v>182</v>
      </c>
      <c r="K55" s="32" t="s">
        <v>67</v>
      </c>
      <c r="L55" s="32" t="s">
        <v>90</v>
      </c>
      <c r="M55" s="33" t="s">
        <v>86</v>
      </c>
      <c r="N55" s="33"/>
      <c r="O55" s="32">
        <v>50</v>
      </c>
      <c r="P55" s="684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5" s="556"/>
      <c r="R55" s="556"/>
      <c r="S55" s="556"/>
      <c r="T55" s="557"/>
      <c r="U55" s="34"/>
      <c r="V55" s="34"/>
      <c r="W55" s="35" t="s">
        <v>69</v>
      </c>
      <c r="X55" s="551">
        <v>0</v>
      </c>
      <c r="Y55" s="552">
        <f t="shared" si="0"/>
        <v>0</v>
      </c>
      <c r="Z55" s="36" t="str">
        <f>IFERROR(IF(Y55=0,"",ROUNDUP(Y55/H55,0)*0.00651),"")</f>
        <v/>
      </c>
      <c r="AA55" s="56"/>
      <c r="AB55" s="57"/>
      <c r="AC55" s="99" t="s">
        <v>132</v>
      </c>
      <c r="AG55" s="64"/>
      <c r="AJ55" s="68" t="s">
        <v>92</v>
      </c>
      <c r="AK55" s="68">
        <v>29.4</v>
      </c>
      <c r="BB55" s="100" t="s">
        <v>1</v>
      </c>
      <c r="BM55" s="64">
        <f t="shared" si="1"/>
        <v>0</v>
      </c>
      <c r="BN55" s="64">
        <f t="shared" si="2"/>
        <v>0</v>
      </c>
      <c r="BO55" s="64">
        <f t="shared" si="3"/>
        <v>0</v>
      </c>
      <c r="BP55" s="64">
        <f t="shared" si="4"/>
        <v>0</v>
      </c>
    </row>
    <row r="56" spans="1:68" ht="37.5" customHeight="1" x14ac:dyDescent="0.25">
      <c r="A56" s="54" t="s">
        <v>133</v>
      </c>
      <c r="B56" s="54" t="s">
        <v>134</v>
      </c>
      <c r="C56" s="31">
        <v>4301011801</v>
      </c>
      <c r="D56" s="558">
        <v>4680115881419</v>
      </c>
      <c r="E56" s="559"/>
      <c r="F56" s="550">
        <v>0.45</v>
      </c>
      <c r="G56" s="32">
        <v>10</v>
      </c>
      <c r="H56" s="550">
        <v>4.5</v>
      </c>
      <c r="I56" s="550">
        <v>4.6900000000000004</v>
      </c>
      <c r="J56" s="32">
        <v>132</v>
      </c>
      <c r="K56" s="32" t="s">
        <v>110</v>
      </c>
      <c r="L56" s="32"/>
      <c r="M56" s="33" t="s">
        <v>106</v>
      </c>
      <c r="N56" s="33"/>
      <c r="O56" s="32">
        <v>50</v>
      </c>
      <c r="P56" s="594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6" s="556"/>
      <c r="R56" s="556"/>
      <c r="S56" s="556"/>
      <c r="T56" s="557"/>
      <c r="U56" s="34"/>
      <c r="V56" s="34"/>
      <c r="W56" s="35" t="s">
        <v>69</v>
      </c>
      <c r="X56" s="551">
        <v>0</v>
      </c>
      <c r="Y56" s="552">
        <f t="shared" si="0"/>
        <v>0</v>
      </c>
      <c r="Z56" s="36" t="str">
        <f>IFERROR(IF(Y56=0,"",ROUNDUP(Y56/H56,0)*0.00902),"")</f>
        <v/>
      </c>
      <c r="AA56" s="56"/>
      <c r="AB56" s="57"/>
      <c r="AC56" s="101" t="s">
        <v>135</v>
      </c>
      <c r="AG56" s="64"/>
      <c r="AJ56" s="68"/>
      <c r="AK56" s="68">
        <v>0</v>
      </c>
      <c r="BB56" s="102" t="s">
        <v>1</v>
      </c>
      <c r="BM56" s="64">
        <f t="shared" si="1"/>
        <v>0</v>
      </c>
      <c r="BN56" s="64">
        <f t="shared" si="2"/>
        <v>0</v>
      </c>
      <c r="BO56" s="64">
        <f t="shared" si="3"/>
        <v>0</v>
      </c>
      <c r="BP56" s="64">
        <f t="shared" si="4"/>
        <v>0</v>
      </c>
    </row>
    <row r="57" spans="1:68" x14ac:dyDescent="0.2">
      <c r="A57" s="563"/>
      <c r="B57" s="564"/>
      <c r="C57" s="564"/>
      <c r="D57" s="564"/>
      <c r="E57" s="564"/>
      <c r="F57" s="564"/>
      <c r="G57" s="564"/>
      <c r="H57" s="564"/>
      <c r="I57" s="564"/>
      <c r="J57" s="564"/>
      <c r="K57" s="564"/>
      <c r="L57" s="564"/>
      <c r="M57" s="564"/>
      <c r="N57" s="564"/>
      <c r="O57" s="565"/>
      <c r="P57" s="570" t="s">
        <v>75</v>
      </c>
      <c r="Q57" s="571"/>
      <c r="R57" s="571"/>
      <c r="S57" s="571"/>
      <c r="T57" s="571"/>
      <c r="U57" s="571"/>
      <c r="V57" s="572"/>
      <c r="W57" s="37" t="s">
        <v>76</v>
      </c>
      <c r="X57" s="553">
        <f>IFERROR(X51/H51,"0")+IFERROR(X52/H52,"0")+IFERROR(X53/H53,"0")+IFERROR(X54/H54,"0")+IFERROR(X55/H55,"0")+IFERROR(X56/H56,"0")</f>
        <v>8.9285714285714288</v>
      </c>
      <c r="Y57" s="553">
        <f>IFERROR(Y51/H51,"0")+IFERROR(Y52/H52,"0")+IFERROR(Y53/H53,"0")+IFERROR(Y54/H54,"0")+IFERROR(Y55/H55,"0")+IFERROR(Y56/H56,"0")</f>
        <v>9</v>
      </c>
      <c r="Z57" s="553">
        <f>IFERROR(IF(Z51="",0,Z51),"0")+IFERROR(IF(Z52="",0,Z52),"0")+IFERROR(IF(Z53="",0,Z53),"0")+IFERROR(IF(Z54="",0,Z54),"0")+IFERROR(IF(Z55="",0,Z55),"0")+IFERROR(IF(Z56="",0,Z56),"0")</f>
        <v>0.17082</v>
      </c>
      <c r="AA57" s="554"/>
      <c r="AB57" s="554"/>
      <c r="AC57" s="554"/>
    </row>
    <row r="58" spans="1:68" x14ac:dyDescent="0.2">
      <c r="A58" s="564"/>
      <c r="B58" s="564"/>
      <c r="C58" s="564"/>
      <c r="D58" s="564"/>
      <c r="E58" s="564"/>
      <c r="F58" s="564"/>
      <c r="G58" s="564"/>
      <c r="H58" s="564"/>
      <c r="I58" s="564"/>
      <c r="J58" s="564"/>
      <c r="K58" s="564"/>
      <c r="L58" s="564"/>
      <c r="M58" s="564"/>
      <c r="N58" s="564"/>
      <c r="O58" s="565"/>
      <c r="P58" s="570" t="s">
        <v>75</v>
      </c>
      <c r="Q58" s="571"/>
      <c r="R58" s="571"/>
      <c r="S58" s="571"/>
      <c r="T58" s="571"/>
      <c r="U58" s="571"/>
      <c r="V58" s="572"/>
      <c r="W58" s="37" t="s">
        <v>69</v>
      </c>
      <c r="X58" s="553">
        <f>IFERROR(SUM(X51:X56),"0")</f>
        <v>100</v>
      </c>
      <c r="Y58" s="553">
        <f>IFERROR(SUM(Y51:Y56),"0")</f>
        <v>100.8</v>
      </c>
      <c r="Z58" s="37"/>
      <c r="AA58" s="554"/>
      <c r="AB58" s="554"/>
      <c r="AC58" s="554"/>
    </row>
    <row r="59" spans="1:68" ht="14.25" customHeight="1" x14ac:dyDescent="0.25">
      <c r="A59" s="567" t="s">
        <v>136</v>
      </c>
      <c r="B59" s="564"/>
      <c r="C59" s="564"/>
      <c r="D59" s="564"/>
      <c r="E59" s="564"/>
      <c r="F59" s="564"/>
      <c r="G59" s="564"/>
      <c r="H59" s="564"/>
      <c r="I59" s="564"/>
      <c r="J59" s="564"/>
      <c r="K59" s="564"/>
      <c r="L59" s="564"/>
      <c r="M59" s="564"/>
      <c r="N59" s="564"/>
      <c r="O59" s="564"/>
      <c r="P59" s="564"/>
      <c r="Q59" s="564"/>
      <c r="R59" s="564"/>
      <c r="S59" s="564"/>
      <c r="T59" s="564"/>
      <c r="U59" s="564"/>
      <c r="V59" s="564"/>
      <c r="W59" s="564"/>
      <c r="X59" s="564"/>
      <c r="Y59" s="564"/>
      <c r="Z59" s="564"/>
      <c r="AA59" s="545"/>
      <c r="AB59" s="545"/>
      <c r="AC59" s="545"/>
    </row>
    <row r="60" spans="1:68" ht="16.5" customHeight="1" x14ac:dyDescent="0.25">
      <c r="A60" s="54" t="s">
        <v>137</v>
      </c>
      <c r="B60" s="54" t="s">
        <v>138</v>
      </c>
      <c r="C60" s="31">
        <v>4301020298</v>
      </c>
      <c r="D60" s="558">
        <v>4680115881440</v>
      </c>
      <c r="E60" s="559"/>
      <c r="F60" s="550">
        <v>1.35</v>
      </c>
      <c r="G60" s="32">
        <v>8</v>
      </c>
      <c r="H60" s="550">
        <v>10.8</v>
      </c>
      <c r="I60" s="550">
        <v>11.21</v>
      </c>
      <c r="J60" s="32">
        <v>64</v>
      </c>
      <c r="K60" s="32" t="s">
        <v>104</v>
      </c>
      <c r="L60" s="32" t="s">
        <v>105</v>
      </c>
      <c r="M60" s="33" t="s">
        <v>106</v>
      </c>
      <c r="N60" s="33"/>
      <c r="O60" s="32">
        <v>50</v>
      </c>
      <c r="P60" s="866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0" s="556"/>
      <c r="R60" s="556"/>
      <c r="S60" s="556"/>
      <c r="T60" s="557"/>
      <c r="U60" s="34"/>
      <c r="V60" s="34"/>
      <c r="W60" s="35" t="s">
        <v>69</v>
      </c>
      <c r="X60" s="551">
        <v>1400</v>
      </c>
      <c r="Y60" s="552">
        <f>IFERROR(IF(X60="",0,CEILING((X60/$H60),1)*$H60),"")</f>
        <v>1404</v>
      </c>
      <c r="Z60" s="36">
        <f>IFERROR(IF(Y60=0,"",ROUNDUP(Y60/H60,0)*0.01898),"")</f>
        <v>2.4674</v>
      </c>
      <c r="AA60" s="56"/>
      <c r="AB60" s="57"/>
      <c r="AC60" s="103" t="s">
        <v>139</v>
      </c>
      <c r="AG60" s="64"/>
      <c r="AJ60" s="68" t="s">
        <v>92</v>
      </c>
      <c r="AK60" s="68">
        <v>86.4</v>
      </c>
      <c r="BB60" s="104" t="s">
        <v>1</v>
      </c>
      <c r="BM60" s="64">
        <f>IFERROR(X60*I60/H60,"0")</f>
        <v>1453.1481481481483</v>
      </c>
      <c r="BN60" s="64">
        <f>IFERROR(Y60*I60/H60,"0")</f>
        <v>1457.3000000000002</v>
      </c>
      <c r="BO60" s="64">
        <f>IFERROR(1/J60*(X60/H60),"0")</f>
        <v>2.0254629629629628</v>
      </c>
      <c r="BP60" s="64">
        <f>IFERROR(1/J60*(Y60/H60),"0")</f>
        <v>2.03125</v>
      </c>
    </row>
    <row r="61" spans="1:68" ht="16.5" customHeight="1" x14ac:dyDescent="0.25">
      <c r="A61" s="54" t="s">
        <v>140</v>
      </c>
      <c r="B61" s="54" t="s">
        <v>141</v>
      </c>
      <c r="C61" s="31">
        <v>4301020358</v>
      </c>
      <c r="D61" s="558">
        <v>4680115885950</v>
      </c>
      <c r="E61" s="559"/>
      <c r="F61" s="550">
        <v>0.37</v>
      </c>
      <c r="G61" s="32">
        <v>6</v>
      </c>
      <c r="H61" s="550">
        <v>2.2200000000000002</v>
      </c>
      <c r="I61" s="550">
        <v>2.4</v>
      </c>
      <c r="J61" s="32">
        <v>182</v>
      </c>
      <c r="K61" s="32" t="s">
        <v>67</v>
      </c>
      <c r="L61" s="32"/>
      <c r="M61" s="33" t="s">
        <v>80</v>
      </c>
      <c r="N61" s="33"/>
      <c r="O61" s="32">
        <v>50</v>
      </c>
      <c r="P61" s="806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1" s="556"/>
      <c r="R61" s="556"/>
      <c r="S61" s="556"/>
      <c r="T61" s="557"/>
      <c r="U61" s="34"/>
      <c r="V61" s="34"/>
      <c r="W61" s="35" t="s">
        <v>69</v>
      </c>
      <c r="X61" s="551">
        <v>0</v>
      </c>
      <c r="Y61" s="552">
        <f>IFERROR(IF(X61="",0,CEILING((X61/$H61),1)*$H61),"")</f>
        <v>0</v>
      </c>
      <c r="Z61" s="36" t="str">
        <f>IFERROR(IF(Y61=0,"",ROUNDUP(Y61/H61,0)*0.00651),"")</f>
        <v/>
      </c>
      <c r="AA61" s="56"/>
      <c r="AB61" s="57"/>
      <c r="AC61" s="105" t="s">
        <v>139</v>
      </c>
      <c r="AG61" s="64"/>
      <c r="AJ61" s="68"/>
      <c r="AK61" s="68">
        <v>0</v>
      </c>
      <c r="BB61" s="106" t="s">
        <v>1</v>
      </c>
      <c r="BM61" s="64">
        <f>IFERROR(X61*I61/H61,"0")</f>
        <v>0</v>
      </c>
      <c r="BN61" s="64">
        <f>IFERROR(Y61*I61/H61,"0")</f>
        <v>0</v>
      </c>
      <c r="BO61" s="64">
        <f>IFERROR(1/J61*(X61/H61),"0")</f>
        <v>0</v>
      </c>
      <c r="BP61" s="64">
        <f>IFERROR(1/J61*(Y61/H61),"0")</f>
        <v>0</v>
      </c>
    </row>
    <row r="62" spans="1:68" ht="27" customHeight="1" x14ac:dyDescent="0.25">
      <c r="A62" s="54" t="s">
        <v>142</v>
      </c>
      <c r="B62" s="54" t="s">
        <v>143</v>
      </c>
      <c r="C62" s="31">
        <v>4301020296</v>
      </c>
      <c r="D62" s="558">
        <v>4680115881433</v>
      </c>
      <c r="E62" s="559"/>
      <c r="F62" s="550">
        <v>0.45</v>
      </c>
      <c r="G62" s="32">
        <v>6</v>
      </c>
      <c r="H62" s="550">
        <v>2.7</v>
      </c>
      <c r="I62" s="550">
        <v>2.88</v>
      </c>
      <c r="J62" s="32">
        <v>182</v>
      </c>
      <c r="K62" s="32" t="s">
        <v>67</v>
      </c>
      <c r="L62" s="32"/>
      <c r="M62" s="33" t="s">
        <v>106</v>
      </c>
      <c r="N62" s="33"/>
      <c r="O62" s="32">
        <v>50</v>
      </c>
      <c r="P62" s="826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2" s="556"/>
      <c r="R62" s="556"/>
      <c r="S62" s="556"/>
      <c r="T62" s="557"/>
      <c r="U62" s="34"/>
      <c r="V62" s="34"/>
      <c r="W62" s="35" t="s">
        <v>69</v>
      </c>
      <c r="X62" s="551">
        <v>162</v>
      </c>
      <c r="Y62" s="552">
        <f>IFERROR(IF(X62="",0,CEILING((X62/$H62),1)*$H62),"")</f>
        <v>162</v>
      </c>
      <c r="Z62" s="36">
        <f>IFERROR(IF(Y62=0,"",ROUNDUP(Y62/H62,0)*0.00651),"")</f>
        <v>0.3906</v>
      </c>
      <c r="AA62" s="56"/>
      <c r="AB62" s="57"/>
      <c r="AC62" s="107" t="s">
        <v>139</v>
      </c>
      <c r="AG62" s="64"/>
      <c r="AJ62" s="68"/>
      <c r="AK62" s="68">
        <v>0</v>
      </c>
      <c r="BB62" s="108" t="s">
        <v>1</v>
      </c>
      <c r="BM62" s="64">
        <f>IFERROR(X62*I62/H62,"0")</f>
        <v>172.79999999999998</v>
      </c>
      <c r="BN62" s="64">
        <f>IFERROR(Y62*I62/H62,"0")</f>
        <v>172.79999999999998</v>
      </c>
      <c r="BO62" s="64">
        <f>IFERROR(1/J62*(X62/H62),"0")</f>
        <v>0.32967032967032966</v>
      </c>
      <c r="BP62" s="64">
        <f>IFERROR(1/J62*(Y62/H62),"0")</f>
        <v>0.32967032967032966</v>
      </c>
    </row>
    <row r="63" spans="1:68" x14ac:dyDescent="0.2">
      <c r="A63" s="563"/>
      <c r="B63" s="564"/>
      <c r="C63" s="564"/>
      <c r="D63" s="564"/>
      <c r="E63" s="564"/>
      <c r="F63" s="564"/>
      <c r="G63" s="564"/>
      <c r="H63" s="564"/>
      <c r="I63" s="564"/>
      <c r="J63" s="564"/>
      <c r="K63" s="564"/>
      <c r="L63" s="564"/>
      <c r="M63" s="564"/>
      <c r="N63" s="564"/>
      <c r="O63" s="565"/>
      <c r="P63" s="570" t="s">
        <v>75</v>
      </c>
      <c r="Q63" s="571"/>
      <c r="R63" s="571"/>
      <c r="S63" s="571"/>
      <c r="T63" s="571"/>
      <c r="U63" s="571"/>
      <c r="V63" s="572"/>
      <c r="W63" s="37" t="s">
        <v>76</v>
      </c>
      <c r="X63" s="553">
        <f>IFERROR(X60/H60,"0")+IFERROR(X61/H61,"0")+IFERROR(X62/H62,"0")</f>
        <v>189.62962962962962</v>
      </c>
      <c r="Y63" s="553">
        <f>IFERROR(Y60/H60,"0")+IFERROR(Y61/H61,"0")+IFERROR(Y62/H62,"0")</f>
        <v>190</v>
      </c>
      <c r="Z63" s="553">
        <f>IFERROR(IF(Z60="",0,Z60),"0")+IFERROR(IF(Z61="",0,Z61),"0")+IFERROR(IF(Z62="",0,Z62),"0")</f>
        <v>2.8580000000000001</v>
      </c>
      <c r="AA63" s="554"/>
      <c r="AB63" s="554"/>
      <c r="AC63" s="554"/>
    </row>
    <row r="64" spans="1:68" x14ac:dyDescent="0.2">
      <c r="A64" s="564"/>
      <c r="B64" s="564"/>
      <c r="C64" s="564"/>
      <c r="D64" s="564"/>
      <c r="E64" s="564"/>
      <c r="F64" s="564"/>
      <c r="G64" s="564"/>
      <c r="H64" s="564"/>
      <c r="I64" s="564"/>
      <c r="J64" s="564"/>
      <c r="K64" s="564"/>
      <c r="L64" s="564"/>
      <c r="M64" s="564"/>
      <c r="N64" s="564"/>
      <c r="O64" s="565"/>
      <c r="P64" s="570" t="s">
        <v>75</v>
      </c>
      <c r="Q64" s="571"/>
      <c r="R64" s="571"/>
      <c r="S64" s="571"/>
      <c r="T64" s="571"/>
      <c r="U64" s="571"/>
      <c r="V64" s="572"/>
      <c r="W64" s="37" t="s">
        <v>69</v>
      </c>
      <c r="X64" s="553">
        <f>IFERROR(SUM(X60:X62),"0")</f>
        <v>1562</v>
      </c>
      <c r="Y64" s="553">
        <f>IFERROR(SUM(Y60:Y62),"0")</f>
        <v>1566</v>
      </c>
      <c r="Z64" s="37"/>
      <c r="AA64" s="554"/>
      <c r="AB64" s="554"/>
      <c r="AC64" s="554"/>
    </row>
    <row r="65" spans="1:68" ht="14.25" customHeight="1" x14ac:dyDescent="0.25">
      <c r="A65" s="567" t="s">
        <v>64</v>
      </c>
      <c r="B65" s="564"/>
      <c r="C65" s="564"/>
      <c r="D65" s="564"/>
      <c r="E65" s="564"/>
      <c r="F65" s="564"/>
      <c r="G65" s="564"/>
      <c r="H65" s="564"/>
      <c r="I65" s="564"/>
      <c r="J65" s="564"/>
      <c r="K65" s="564"/>
      <c r="L65" s="564"/>
      <c r="M65" s="564"/>
      <c r="N65" s="564"/>
      <c r="O65" s="564"/>
      <c r="P65" s="564"/>
      <c r="Q65" s="564"/>
      <c r="R65" s="564"/>
      <c r="S65" s="564"/>
      <c r="T65" s="564"/>
      <c r="U65" s="564"/>
      <c r="V65" s="564"/>
      <c r="W65" s="564"/>
      <c r="X65" s="564"/>
      <c r="Y65" s="564"/>
      <c r="Z65" s="564"/>
      <c r="AA65" s="545"/>
      <c r="AB65" s="545"/>
      <c r="AC65" s="545"/>
    </row>
    <row r="66" spans="1:68" ht="27" customHeight="1" x14ac:dyDescent="0.25">
      <c r="A66" s="54" t="s">
        <v>144</v>
      </c>
      <c r="B66" s="54" t="s">
        <v>145</v>
      </c>
      <c r="C66" s="31">
        <v>4301031243</v>
      </c>
      <c r="D66" s="558">
        <v>4680115885073</v>
      </c>
      <c r="E66" s="559"/>
      <c r="F66" s="550">
        <v>0.3</v>
      </c>
      <c r="G66" s="32">
        <v>6</v>
      </c>
      <c r="H66" s="550">
        <v>1.8</v>
      </c>
      <c r="I66" s="550">
        <v>1.9</v>
      </c>
      <c r="J66" s="32">
        <v>234</v>
      </c>
      <c r="K66" s="32" t="s">
        <v>73</v>
      </c>
      <c r="L66" s="32"/>
      <c r="M66" s="33" t="s">
        <v>68</v>
      </c>
      <c r="N66" s="33"/>
      <c r="O66" s="32">
        <v>40</v>
      </c>
      <c r="P66" s="698" t="str">
        <f>HYPERLINK("https://abi.ru/products/Охлажденные/Вязанка/Филейская/Копченые колбасы/P003573/","В/к колбасы «Салями Филейская» срез ф/в 0,3 фиброуз ТМ «Вязанка»")</f>
        <v>В/к колбасы «Салями Филейская» срез ф/в 0,3 фиброуз ТМ «Вязанка»</v>
      </c>
      <c r="Q66" s="556"/>
      <c r="R66" s="556"/>
      <c r="S66" s="556"/>
      <c r="T66" s="557"/>
      <c r="U66" s="34"/>
      <c r="V66" s="34"/>
      <c r="W66" s="35" t="s">
        <v>69</v>
      </c>
      <c r="X66" s="551">
        <v>0</v>
      </c>
      <c r="Y66" s="552">
        <f>IFERROR(IF(X66="",0,CEILING((X66/$H66),1)*$H66),"")</f>
        <v>0</v>
      </c>
      <c r="Z66" s="36" t="str">
        <f>IFERROR(IF(Y66=0,"",ROUNDUP(Y66/H66,0)*0.00502),"")</f>
        <v/>
      </c>
      <c r="AA66" s="56"/>
      <c r="AB66" s="57"/>
      <c r="AC66" s="109" t="s">
        <v>146</v>
      </c>
      <c r="AG66" s="64"/>
      <c r="AJ66" s="68"/>
      <c r="AK66" s="68">
        <v>0</v>
      </c>
      <c r="BB66" s="110" t="s">
        <v>1</v>
      </c>
      <c r="BM66" s="64">
        <f>IFERROR(X66*I66/H66,"0")</f>
        <v>0</v>
      </c>
      <c r="BN66" s="64">
        <f>IFERROR(Y66*I66/H66,"0")</f>
        <v>0</v>
      </c>
      <c r="BO66" s="64">
        <f>IFERROR(1/J66*(X66/H66),"0")</f>
        <v>0</v>
      </c>
      <c r="BP66" s="64">
        <f>IFERROR(1/J66*(Y66/H66),"0")</f>
        <v>0</v>
      </c>
    </row>
    <row r="67" spans="1:68" ht="27" customHeight="1" x14ac:dyDescent="0.25">
      <c r="A67" s="54" t="s">
        <v>147</v>
      </c>
      <c r="B67" s="54" t="s">
        <v>148</v>
      </c>
      <c r="C67" s="31">
        <v>4301031316</v>
      </c>
      <c r="D67" s="558">
        <v>4680115885097</v>
      </c>
      <c r="E67" s="559"/>
      <c r="F67" s="550">
        <v>0.3</v>
      </c>
      <c r="G67" s="32">
        <v>6</v>
      </c>
      <c r="H67" s="550">
        <v>1.8</v>
      </c>
      <c r="I67" s="550">
        <v>1.9</v>
      </c>
      <c r="J67" s="32">
        <v>234</v>
      </c>
      <c r="K67" s="32" t="s">
        <v>73</v>
      </c>
      <c r="L67" s="32"/>
      <c r="M67" s="33" t="s">
        <v>68</v>
      </c>
      <c r="N67" s="33"/>
      <c r="O67" s="32">
        <v>40</v>
      </c>
      <c r="P67" s="838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7" s="556"/>
      <c r="R67" s="556"/>
      <c r="S67" s="556"/>
      <c r="T67" s="557"/>
      <c r="U67" s="34"/>
      <c r="V67" s="34"/>
      <c r="W67" s="35" t="s">
        <v>69</v>
      </c>
      <c r="X67" s="551">
        <v>0</v>
      </c>
      <c r="Y67" s="552">
        <f>IFERROR(IF(X67="",0,CEILING((X67/$H67),1)*$H67),"")</f>
        <v>0</v>
      </c>
      <c r="Z67" s="36" t="str">
        <f>IFERROR(IF(Y67=0,"",ROUNDUP(Y67/H67,0)*0.00502),"")</f>
        <v/>
      </c>
      <c r="AA67" s="56"/>
      <c r="AB67" s="57"/>
      <c r="AC67" s="111" t="s">
        <v>149</v>
      </c>
      <c r="AG67" s="64"/>
      <c r="AJ67" s="68"/>
      <c r="AK67" s="68">
        <v>0</v>
      </c>
      <c r="BB67" s="112" t="s">
        <v>1</v>
      </c>
      <c r="BM67" s="64">
        <f>IFERROR(X67*I67/H67,"0")</f>
        <v>0</v>
      </c>
      <c r="BN67" s="64">
        <f>IFERROR(Y67*I67/H67,"0")</f>
        <v>0</v>
      </c>
      <c r="BO67" s="64">
        <f>IFERROR(1/J67*(X67/H67),"0")</f>
        <v>0</v>
      </c>
      <c r="BP67" s="64">
        <f>IFERROR(1/J67*(Y67/H67),"0")</f>
        <v>0</v>
      </c>
    </row>
    <row r="68" spans="1:68" x14ac:dyDescent="0.2">
      <c r="A68" s="563"/>
      <c r="B68" s="564"/>
      <c r="C68" s="564"/>
      <c r="D68" s="564"/>
      <c r="E68" s="564"/>
      <c r="F68" s="564"/>
      <c r="G68" s="564"/>
      <c r="H68" s="564"/>
      <c r="I68" s="564"/>
      <c r="J68" s="564"/>
      <c r="K68" s="564"/>
      <c r="L68" s="564"/>
      <c r="M68" s="564"/>
      <c r="N68" s="564"/>
      <c r="O68" s="565"/>
      <c r="P68" s="570" t="s">
        <v>75</v>
      </c>
      <c r="Q68" s="571"/>
      <c r="R68" s="571"/>
      <c r="S68" s="571"/>
      <c r="T68" s="571"/>
      <c r="U68" s="571"/>
      <c r="V68" s="572"/>
      <c r="W68" s="37" t="s">
        <v>76</v>
      </c>
      <c r="X68" s="553">
        <f>IFERROR(X66/H66,"0")+IFERROR(X67/H67,"0")</f>
        <v>0</v>
      </c>
      <c r="Y68" s="553">
        <f>IFERROR(Y66/H66,"0")+IFERROR(Y67/H67,"0")</f>
        <v>0</v>
      </c>
      <c r="Z68" s="553">
        <f>IFERROR(IF(Z66="",0,Z66),"0")+IFERROR(IF(Z67="",0,Z67),"0")</f>
        <v>0</v>
      </c>
      <c r="AA68" s="554"/>
      <c r="AB68" s="554"/>
      <c r="AC68" s="554"/>
    </row>
    <row r="69" spans="1:68" x14ac:dyDescent="0.2">
      <c r="A69" s="564"/>
      <c r="B69" s="564"/>
      <c r="C69" s="564"/>
      <c r="D69" s="564"/>
      <c r="E69" s="564"/>
      <c r="F69" s="564"/>
      <c r="G69" s="564"/>
      <c r="H69" s="564"/>
      <c r="I69" s="564"/>
      <c r="J69" s="564"/>
      <c r="K69" s="564"/>
      <c r="L69" s="564"/>
      <c r="M69" s="564"/>
      <c r="N69" s="564"/>
      <c r="O69" s="565"/>
      <c r="P69" s="570" t="s">
        <v>75</v>
      </c>
      <c r="Q69" s="571"/>
      <c r="R69" s="571"/>
      <c r="S69" s="571"/>
      <c r="T69" s="571"/>
      <c r="U69" s="571"/>
      <c r="V69" s="572"/>
      <c r="W69" s="37" t="s">
        <v>69</v>
      </c>
      <c r="X69" s="553">
        <f>IFERROR(SUM(X66:X67),"0")</f>
        <v>0</v>
      </c>
      <c r="Y69" s="553">
        <f>IFERROR(SUM(Y66:Y67),"0")</f>
        <v>0</v>
      </c>
      <c r="Z69" s="37"/>
      <c r="AA69" s="554"/>
      <c r="AB69" s="554"/>
      <c r="AC69" s="554"/>
    </row>
    <row r="70" spans="1:68" ht="14.25" customHeight="1" x14ac:dyDescent="0.25">
      <c r="A70" s="567" t="s">
        <v>77</v>
      </c>
      <c r="B70" s="564"/>
      <c r="C70" s="564"/>
      <c r="D70" s="564"/>
      <c r="E70" s="564"/>
      <c r="F70" s="564"/>
      <c r="G70" s="564"/>
      <c r="H70" s="564"/>
      <c r="I70" s="564"/>
      <c r="J70" s="564"/>
      <c r="K70" s="564"/>
      <c r="L70" s="564"/>
      <c r="M70" s="564"/>
      <c r="N70" s="564"/>
      <c r="O70" s="564"/>
      <c r="P70" s="564"/>
      <c r="Q70" s="564"/>
      <c r="R70" s="564"/>
      <c r="S70" s="564"/>
      <c r="T70" s="564"/>
      <c r="U70" s="564"/>
      <c r="V70" s="564"/>
      <c r="W70" s="564"/>
      <c r="X70" s="564"/>
      <c r="Y70" s="564"/>
      <c r="Z70" s="564"/>
      <c r="AA70" s="545"/>
      <c r="AB70" s="545"/>
      <c r="AC70" s="545"/>
    </row>
    <row r="71" spans="1:68" ht="27" customHeight="1" x14ac:dyDescent="0.25">
      <c r="A71" s="54" t="s">
        <v>150</v>
      </c>
      <c r="B71" s="54" t="s">
        <v>151</v>
      </c>
      <c r="C71" s="31">
        <v>4301051846</v>
      </c>
      <c r="D71" s="558">
        <v>4680115885769</v>
      </c>
      <c r="E71" s="559"/>
      <c r="F71" s="550">
        <v>1.4</v>
      </c>
      <c r="G71" s="32">
        <v>6</v>
      </c>
      <c r="H71" s="550">
        <v>8.4</v>
      </c>
      <c r="I71" s="550">
        <v>8.81</v>
      </c>
      <c r="J71" s="32">
        <v>64</v>
      </c>
      <c r="K71" s="32" t="s">
        <v>104</v>
      </c>
      <c r="L71" s="32"/>
      <c r="M71" s="33" t="s">
        <v>80</v>
      </c>
      <c r="N71" s="33"/>
      <c r="O71" s="32">
        <v>45</v>
      </c>
      <c r="P71" s="878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1" s="556"/>
      <c r="R71" s="556"/>
      <c r="S71" s="556"/>
      <c r="T71" s="557"/>
      <c r="U71" s="34"/>
      <c r="V71" s="34"/>
      <c r="W71" s="35" t="s">
        <v>69</v>
      </c>
      <c r="X71" s="551">
        <v>0</v>
      </c>
      <c r="Y71" s="552">
        <f>IFERROR(IF(X71="",0,CEILING((X71/$H71),1)*$H71),"")</f>
        <v>0</v>
      </c>
      <c r="Z71" s="36" t="str">
        <f>IFERROR(IF(Y71=0,"",ROUNDUP(Y71/H71,0)*0.01898),"")</f>
        <v/>
      </c>
      <c r="AA71" s="56"/>
      <c r="AB71" s="57"/>
      <c r="AC71" s="113" t="s">
        <v>152</v>
      </c>
      <c r="AG71" s="64"/>
      <c r="AJ71" s="68"/>
      <c r="AK71" s="68">
        <v>0</v>
      </c>
      <c r="BB71" s="114" t="s">
        <v>1</v>
      </c>
      <c r="BM71" s="64">
        <f>IFERROR(X71*I71/H71,"0")</f>
        <v>0</v>
      </c>
      <c r="BN71" s="64">
        <f>IFERROR(Y71*I71/H71,"0")</f>
        <v>0</v>
      </c>
      <c r="BO71" s="64">
        <f>IFERROR(1/J71*(X71/H71),"0")</f>
        <v>0</v>
      </c>
      <c r="BP71" s="64">
        <f>IFERROR(1/J71*(Y71/H71),"0")</f>
        <v>0</v>
      </c>
    </row>
    <row r="72" spans="1:68" ht="16.5" customHeight="1" x14ac:dyDescent="0.25">
      <c r="A72" s="54" t="s">
        <v>153</v>
      </c>
      <c r="B72" s="54" t="s">
        <v>154</v>
      </c>
      <c r="C72" s="31">
        <v>4301051837</v>
      </c>
      <c r="D72" s="558">
        <v>4680115884311</v>
      </c>
      <c r="E72" s="559"/>
      <c r="F72" s="550">
        <v>0.3</v>
      </c>
      <c r="G72" s="32">
        <v>6</v>
      </c>
      <c r="H72" s="550">
        <v>1.8</v>
      </c>
      <c r="I72" s="550">
        <v>2.0459999999999998</v>
      </c>
      <c r="J72" s="32">
        <v>182</v>
      </c>
      <c r="K72" s="32" t="s">
        <v>67</v>
      </c>
      <c r="L72" s="32" t="s">
        <v>90</v>
      </c>
      <c r="M72" s="33" t="s">
        <v>80</v>
      </c>
      <c r="N72" s="33"/>
      <c r="O72" s="32">
        <v>40</v>
      </c>
      <c r="P72" s="849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2" s="556"/>
      <c r="R72" s="556"/>
      <c r="S72" s="556"/>
      <c r="T72" s="557"/>
      <c r="U72" s="34"/>
      <c r="V72" s="34"/>
      <c r="W72" s="35" t="s">
        <v>69</v>
      </c>
      <c r="X72" s="551">
        <v>0</v>
      </c>
      <c r="Y72" s="552">
        <f>IFERROR(IF(X72="",0,CEILING((X72/$H72),1)*$H72),"")</f>
        <v>0</v>
      </c>
      <c r="Z72" s="36" t="str">
        <f>IFERROR(IF(Y72=0,"",ROUNDUP(Y72/H72,0)*0.00651),"")</f>
        <v/>
      </c>
      <c r="AA72" s="56"/>
      <c r="AB72" s="57"/>
      <c r="AC72" s="115" t="s">
        <v>155</v>
      </c>
      <c r="AG72" s="64"/>
      <c r="AJ72" s="68" t="s">
        <v>92</v>
      </c>
      <c r="AK72" s="68">
        <v>25.2</v>
      </c>
      <c r="BB72" s="116" t="s">
        <v>1</v>
      </c>
      <c r="BM72" s="64">
        <f>IFERROR(X72*I72/H72,"0")</f>
        <v>0</v>
      </c>
      <c r="BN72" s="64">
        <f>IFERROR(Y72*I72/H72,"0")</f>
        <v>0</v>
      </c>
      <c r="BO72" s="64">
        <f>IFERROR(1/J72*(X72/H72),"0")</f>
        <v>0</v>
      </c>
      <c r="BP72" s="64">
        <f>IFERROR(1/J72*(Y72/H72),"0")</f>
        <v>0</v>
      </c>
    </row>
    <row r="73" spans="1:68" ht="27" customHeight="1" x14ac:dyDescent="0.25">
      <c r="A73" s="54" t="s">
        <v>156</v>
      </c>
      <c r="B73" s="54" t="s">
        <v>157</v>
      </c>
      <c r="C73" s="31">
        <v>4301051844</v>
      </c>
      <c r="D73" s="558">
        <v>4680115885929</v>
      </c>
      <c r="E73" s="559"/>
      <c r="F73" s="550">
        <v>0.42</v>
      </c>
      <c r="G73" s="32">
        <v>6</v>
      </c>
      <c r="H73" s="550">
        <v>2.52</v>
      </c>
      <c r="I73" s="550">
        <v>2.7</v>
      </c>
      <c r="J73" s="32">
        <v>182</v>
      </c>
      <c r="K73" s="32" t="s">
        <v>67</v>
      </c>
      <c r="L73" s="32"/>
      <c r="M73" s="33" t="s">
        <v>80</v>
      </c>
      <c r="N73" s="33"/>
      <c r="O73" s="32">
        <v>45</v>
      </c>
      <c r="P73" s="560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3" s="556"/>
      <c r="R73" s="556"/>
      <c r="S73" s="556"/>
      <c r="T73" s="557"/>
      <c r="U73" s="34"/>
      <c r="V73" s="34"/>
      <c r="W73" s="35" t="s">
        <v>69</v>
      </c>
      <c r="X73" s="551">
        <v>0</v>
      </c>
      <c r="Y73" s="552">
        <f>IFERROR(IF(X73="",0,CEILING((X73/$H73),1)*$H73),"")</f>
        <v>0</v>
      </c>
      <c r="Z73" s="36" t="str">
        <f>IFERROR(IF(Y73=0,"",ROUNDUP(Y73/H73,0)*0.00651),"")</f>
        <v/>
      </c>
      <c r="AA73" s="56"/>
      <c r="AB73" s="57"/>
      <c r="AC73" s="117" t="s">
        <v>152</v>
      </c>
      <c r="AG73" s="64"/>
      <c r="AJ73" s="68"/>
      <c r="AK73" s="68">
        <v>0</v>
      </c>
      <c r="BB73" s="118" t="s">
        <v>1</v>
      </c>
      <c r="BM73" s="64">
        <f>IFERROR(X73*I73/H73,"0")</f>
        <v>0</v>
      </c>
      <c r="BN73" s="64">
        <f>IFERROR(Y73*I73/H73,"0")</f>
        <v>0</v>
      </c>
      <c r="BO73" s="64">
        <f>IFERROR(1/J73*(X73/H73),"0")</f>
        <v>0</v>
      </c>
      <c r="BP73" s="64">
        <f>IFERROR(1/J73*(Y73/H73),"0")</f>
        <v>0</v>
      </c>
    </row>
    <row r="74" spans="1:68" ht="27" customHeight="1" x14ac:dyDescent="0.25">
      <c r="A74" s="54" t="s">
        <v>158</v>
      </c>
      <c r="B74" s="54" t="s">
        <v>159</v>
      </c>
      <c r="C74" s="31">
        <v>4301051929</v>
      </c>
      <c r="D74" s="558">
        <v>4680115884403</v>
      </c>
      <c r="E74" s="559"/>
      <c r="F74" s="550">
        <v>0.3</v>
      </c>
      <c r="G74" s="32">
        <v>6</v>
      </c>
      <c r="H74" s="550">
        <v>1.8</v>
      </c>
      <c r="I74" s="550">
        <v>1.98</v>
      </c>
      <c r="J74" s="32">
        <v>182</v>
      </c>
      <c r="K74" s="32" t="s">
        <v>67</v>
      </c>
      <c r="L74" s="32" t="s">
        <v>90</v>
      </c>
      <c r="M74" s="33" t="s">
        <v>80</v>
      </c>
      <c r="N74" s="33"/>
      <c r="O74" s="32">
        <v>40</v>
      </c>
      <c r="P74" s="721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4" s="556"/>
      <c r="R74" s="556"/>
      <c r="S74" s="556"/>
      <c r="T74" s="557"/>
      <c r="U74" s="34"/>
      <c r="V74" s="34"/>
      <c r="W74" s="35" t="s">
        <v>69</v>
      </c>
      <c r="X74" s="551">
        <v>0</v>
      </c>
      <c r="Y74" s="552">
        <f>IFERROR(IF(X74="",0,CEILING((X74/$H74),1)*$H74),"")</f>
        <v>0</v>
      </c>
      <c r="Z74" s="36" t="str">
        <f>IFERROR(IF(Y74=0,"",ROUNDUP(Y74/H74,0)*0.00651),"")</f>
        <v/>
      </c>
      <c r="AA74" s="56"/>
      <c r="AB74" s="57"/>
      <c r="AC74" s="119" t="s">
        <v>160</v>
      </c>
      <c r="AG74" s="64"/>
      <c r="AJ74" s="68" t="s">
        <v>92</v>
      </c>
      <c r="AK74" s="68">
        <v>25.2</v>
      </c>
      <c r="BB74" s="120" t="s">
        <v>1</v>
      </c>
      <c r="BM74" s="64">
        <f>IFERROR(X74*I74/H74,"0")</f>
        <v>0</v>
      </c>
      <c r="BN74" s="64">
        <f>IFERROR(Y74*I74/H74,"0")</f>
        <v>0</v>
      </c>
      <c r="BO74" s="64">
        <f>IFERROR(1/J74*(X74/H74),"0")</f>
        <v>0</v>
      </c>
      <c r="BP74" s="64">
        <f>IFERROR(1/J74*(Y74/H74),"0")</f>
        <v>0</v>
      </c>
    </row>
    <row r="75" spans="1:68" x14ac:dyDescent="0.2">
      <c r="A75" s="563"/>
      <c r="B75" s="564"/>
      <c r="C75" s="564"/>
      <c r="D75" s="564"/>
      <c r="E75" s="564"/>
      <c r="F75" s="564"/>
      <c r="G75" s="564"/>
      <c r="H75" s="564"/>
      <c r="I75" s="564"/>
      <c r="J75" s="564"/>
      <c r="K75" s="564"/>
      <c r="L75" s="564"/>
      <c r="M75" s="564"/>
      <c r="N75" s="564"/>
      <c r="O75" s="565"/>
      <c r="P75" s="570" t="s">
        <v>75</v>
      </c>
      <c r="Q75" s="571"/>
      <c r="R75" s="571"/>
      <c r="S75" s="571"/>
      <c r="T75" s="571"/>
      <c r="U75" s="571"/>
      <c r="V75" s="572"/>
      <c r="W75" s="37" t="s">
        <v>76</v>
      </c>
      <c r="X75" s="553">
        <f>IFERROR(X71/H71,"0")+IFERROR(X72/H72,"0")+IFERROR(X73/H73,"0")+IFERROR(X74/H74,"0")</f>
        <v>0</v>
      </c>
      <c r="Y75" s="553">
        <f>IFERROR(Y71/H71,"0")+IFERROR(Y72/H72,"0")+IFERROR(Y73/H73,"0")+IFERROR(Y74/H74,"0")</f>
        <v>0</v>
      </c>
      <c r="Z75" s="553">
        <f>IFERROR(IF(Z71="",0,Z71),"0")+IFERROR(IF(Z72="",0,Z72),"0")+IFERROR(IF(Z73="",0,Z73),"0")+IFERROR(IF(Z74="",0,Z74),"0")</f>
        <v>0</v>
      </c>
      <c r="AA75" s="554"/>
      <c r="AB75" s="554"/>
      <c r="AC75" s="554"/>
    </row>
    <row r="76" spans="1:68" x14ac:dyDescent="0.2">
      <c r="A76" s="564"/>
      <c r="B76" s="564"/>
      <c r="C76" s="564"/>
      <c r="D76" s="564"/>
      <c r="E76" s="564"/>
      <c r="F76" s="564"/>
      <c r="G76" s="564"/>
      <c r="H76" s="564"/>
      <c r="I76" s="564"/>
      <c r="J76" s="564"/>
      <c r="K76" s="564"/>
      <c r="L76" s="564"/>
      <c r="M76" s="564"/>
      <c r="N76" s="564"/>
      <c r="O76" s="565"/>
      <c r="P76" s="570" t="s">
        <v>75</v>
      </c>
      <c r="Q76" s="571"/>
      <c r="R76" s="571"/>
      <c r="S76" s="571"/>
      <c r="T76" s="571"/>
      <c r="U76" s="571"/>
      <c r="V76" s="572"/>
      <c r="W76" s="37" t="s">
        <v>69</v>
      </c>
      <c r="X76" s="553">
        <f>IFERROR(SUM(X71:X74),"0")</f>
        <v>0</v>
      </c>
      <c r="Y76" s="553">
        <f>IFERROR(SUM(Y71:Y74),"0")</f>
        <v>0</v>
      </c>
      <c r="Z76" s="37"/>
      <c r="AA76" s="554"/>
      <c r="AB76" s="554"/>
      <c r="AC76" s="554"/>
    </row>
    <row r="77" spans="1:68" ht="14.25" customHeight="1" x14ac:dyDescent="0.25">
      <c r="A77" s="567" t="s">
        <v>161</v>
      </c>
      <c r="B77" s="564"/>
      <c r="C77" s="564"/>
      <c r="D77" s="564"/>
      <c r="E77" s="564"/>
      <c r="F77" s="564"/>
      <c r="G77" s="564"/>
      <c r="H77" s="564"/>
      <c r="I77" s="564"/>
      <c r="J77" s="564"/>
      <c r="K77" s="564"/>
      <c r="L77" s="564"/>
      <c r="M77" s="564"/>
      <c r="N77" s="564"/>
      <c r="O77" s="564"/>
      <c r="P77" s="564"/>
      <c r="Q77" s="564"/>
      <c r="R77" s="564"/>
      <c r="S77" s="564"/>
      <c r="T77" s="564"/>
      <c r="U77" s="564"/>
      <c r="V77" s="564"/>
      <c r="W77" s="564"/>
      <c r="X77" s="564"/>
      <c r="Y77" s="564"/>
      <c r="Z77" s="564"/>
      <c r="AA77" s="545"/>
      <c r="AB77" s="545"/>
      <c r="AC77" s="545"/>
    </row>
    <row r="78" spans="1:68" ht="27" customHeight="1" x14ac:dyDescent="0.25">
      <c r="A78" s="54" t="s">
        <v>162</v>
      </c>
      <c r="B78" s="54" t="s">
        <v>163</v>
      </c>
      <c r="C78" s="31">
        <v>4301060455</v>
      </c>
      <c r="D78" s="558">
        <v>4680115881532</v>
      </c>
      <c r="E78" s="559"/>
      <c r="F78" s="550">
        <v>1.3</v>
      </c>
      <c r="G78" s="32">
        <v>6</v>
      </c>
      <c r="H78" s="550">
        <v>7.8</v>
      </c>
      <c r="I78" s="550">
        <v>8.2100000000000009</v>
      </c>
      <c r="J78" s="32">
        <v>64</v>
      </c>
      <c r="K78" s="32" t="s">
        <v>104</v>
      </c>
      <c r="L78" s="32" t="s">
        <v>105</v>
      </c>
      <c r="M78" s="33" t="s">
        <v>86</v>
      </c>
      <c r="N78" s="33"/>
      <c r="O78" s="32">
        <v>30</v>
      </c>
      <c r="P78" s="672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8" s="556"/>
      <c r="R78" s="556"/>
      <c r="S78" s="556"/>
      <c r="T78" s="557"/>
      <c r="U78" s="34"/>
      <c r="V78" s="34"/>
      <c r="W78" s="35" t="s">
        <v>69</v>
      </c>
      <c r="X78" s="551">
        <v>0</v>
      </c>
      <c r="Y78" s="552">
        <f>IFERROR(IF(X78="",0,CEILING((X78/$H78),1)*$H78),"")</f>
        <v>0</v>
      </c>
      <c r="Z78" s="36" t="str">
        <f>IFERROR(IF(Y78=0,"",ROUNDUP(Y78/H78,0)*0.01898),"")</f>
        <v/>
      </c>
      <c r="AA78" s="56"/>
      <c r="AB78" s="57"/>
      <c r="AC78" s="121" t="s">
        <v>164</v>
      </c>
      <c r="AG78" s="64"/>
      <c r="AJ78" s="68" t="s">
        <v>92</v>
      </c>
      <c r="AK78" s="68">
        <v>62.4</v>
      </c>
      <c r="BB78" s="122" t="s">
        <v>1</v>
      </c>
      <c r="BM78" s="64">
        <f>IFERROR(X78*I78/H78,"0")</f>
        <v>0</v>
      </c>
      <c r="BN78" s="64">
        <f>IFERROR(Y78*I78/H78,"0")</f>
        <v>0</v>
      </c>
      <c r="BO78" s="64">
        <f>IFERROR(1/J78*(X78/H78),"0")</f>
        <v>0</v>
      </c>
      <c r="BP78" s="64">
        <f>IFERROR(1/J78*(Y78/H78),"0")</f>
        <v>0</v>
      </c>
    </row>
    <row r="79" spans="1:68" ht="27" customHeight="1" x14ac:dyDescent="0.25">
      <c r="A79" s="54" t="s">
        <v>165</v>
      </c>
      <c r="B79" s="54" t="s">
        <v>166</v>
      </c>
      <c r="C79" s="31">
        <v>4301060351</v>
      </c>
      <c r="D79" s="558">
        <v>4680115881464</v>
      </c>
      <c r="E79" s="559"/>
      <c r="F79" s="550">
        <v>0.4</v>
      </c>
      <c r="G79" s="32">
        <v>6</v>
      </c>
      <c r="H79" s="550">
        <v>2.4</v>
      </c>
      <c r="I79" s="550">
        <v>2.59</v>
      </c>
      <c r="J79" s="32">
        <v>132</v>
      </c>
      <c r="K79" s="32" t="s">
        <v>110</v>
      </c>
      <c r="L79" s="32" t="s">
        <v>111</v>
      </c>
      <c r="M79" s="33" t="s">
        <v>80</v>
      </c>
      <c r="N79" s="33"/>
      <c r="O79" s="32">
        <v>30</v>
      </c>
      <c r="P79" s="555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79" s="556"/>
      <c r="R79" s="556"/>
      <c r="S79" s="556"/>
      <c r="T79" s="557"/>
      <c r="U79" s="34"/>
      <c r="V79" s="34"/>
      <c r="W79" s="35" t="s">
        <v>69</v>
      </c>
      <c r="X79" s="551">
        <v>0</v>
      </c>
      <c r="Y79" s="552">
        <f>IFERROR(IF(X79="",0,CEILING((X79/$H79),1)*$H79),"")</f>
        <v>0</v>
      </c>
      <c r="Z79" s="36" t="str">
        <f>IFERROR(IF(Y79=0,"",ROUNDUP(Y79/H79,0)*0.00902),"")</f>
        <v/>
      </c>
      <c r="AA79" s="56"/>
      <c r="AB79" s="57"/>
      <c r="AC79" s="123" t="s">
        <v>167</v>
      </c>
      <c r="AG79" s="64"/>
      <c r="AJ79" s="68" t="s">
        <v>92</v>
      </c>
      <c r="AK79" s="68">
        <v>28.8</v>
      </c>
      <c r="BB79" s="124" t="s">
        <v>1</v>
      </c>
      <c r="BM79" s="64">
        <f>IFERROR(X79*I79/H79,"0")</f>
        <v>0</v>
      </c>
      <c r="BN79" s="64">
        <f>IFERROR(Y79*I79/H79,"0")</f>
        <v>0</v>
      </c>
      <c r="BO79" s="64">
        <f>IFERROR(1/J79*(X79/H79),"0")</f>
        <v>0</v>
      </c>
      <c r="BP79" s="64">
        <f>IFERROR(1/J79*(Y79/H79),"0")</f>
        <v>0</v>
      </c>
    </row>
    <row r="80" spans="1:68" x14ac:dyDescent="0.2">
      <c r="A80" s="563"/>
      <c r="B80" s="564"/>
      <c r="C80" s="564"/>
      <c r="D80" s="564"/>
      <c r="E80" s="564"/>
      <c r="F80" s="564"/>
      <c r="G80" s="564"/>
      <c r="H80" s="564"/>
      <c r="I80" s="564"/>
      <c r="J80" s="564"/>
      <c r="K80" s="564"/>
      <c r="L80" s="564"/>
      <c r="M80" s="564"/>
      <c r="N80" s="564"/>
      <c r="O80" s="565"/>
      <c r="P80" s="570" t="s">
        <v>75</v>
      </c>
      <c r="Q80" s="571"/>
      <c r="R80" s="571"/>
      <c r="S80" s="571"/>
      <c r="T80" s="571"/>
      <c r="U80" s="571"/>
      <c r="V80" s="572"/>
      <c r="W80" s="37" t="s">
        <v>76</v>
      </c>
      <c r="X80" s="553">
        <f>IFERROR(X78/H78,"0")+IFERROR(X79/H79,"0")</f>
        <v>0</v>
      </c>
      <c r="Y80" s="553">
        <f>IFERROR(Y78/H78,"0")+IFERROR(Y79/H79,"0")</f>
        <v>0</v>
      </c>
      <c r="Z80" s="553">
        <f>IFERROR(IF(Z78="",0,Z78),"0")+IFERROR(IF(Z79="",0,Z79),"0")</f>
        <v>0</v>
      </c>
      <c r="AA80" s="554"/>
      <c r="AB80" s="554"/>
      <c r="AC80" s="554"/>
    </row>
    <row r="81" spans="1:68" x14ac:dyDescent="0.2">
      <c r="A81" s="564"/>
      <c r="B81" s="564"/>
      <c r="C81" s="564"/>
      <c r="D81" s="564"/>
      <c r="E81" s="564"/>
      <c r="F81" s="564"/>
      <c r="G81" s="564"/>
      <c r="H81" s="564"/>
      <c r="I81" s="564"/>
      <c r="J81" s="564"/>
      <c r="K81" s="564"/>
      <c r="L81" s="564"/>
      <c r="M81" s="564"/>
      <c r="N81" s="564"/>
      <c r="O81" s="565"/>
      <c r="P81" s="570" t="s">
        <v>75</v>
      </c>
      <c r="Q81" s="571"/>
      <c r="R81" s="571"/>
      <c r="S81" s="571"/>
      <c r="T81" s="571"/>
      <c r="U81" s="571"/>
      <c r="V81" s="572"/>
      <c r="W81" s="37" t="s">
        <v>69</v>
      </c>
      <c r="X81" s="553">
        <f>IFERROR(SUM(X78:X79),"0")</f>
        <v>0</v>
      </c>
      <c r="Y81" s="553">
        <f>IFERROR(SUM(Y78:Y79),"0")</f>
        <v>0</v>
      </c>
      <c r="Z81" s="37"/>
      <c r="AA81" s="554"/>
      <c r="AB81" s="554"/>
      <c r="AC81" s="554"/>
    </row>
    <row r="82" spans="1:68" ht="16.5" customHeight="1" x14ac:dyDescent="0.25">
      <c r="A82" s="573" t="s">
        <v>168</v>
      </c>
      <c r="B82" s="564"/>
      <c r="C82" s="564"/>
      <c r="D82" s="564"/>
      <c r="E82" s="564"/>
      <c r="F82" s="564"/>
      <c r="G82" s="564"/>
      <c r="H82" s="564"/>
      <c r="I82" s="564"/>
      <c r="J82" s="564"/>
      <c r="K82" s="564"/>
      <c r="L82" s="564"/>
      <c r="M82" s="564"/>
      <c r="N82" s="564"/>
      <c r="O82" s="564"/>
      <c r="P82" s="564"/>
      <c r="Q82" s="564"/>
      <c r="R82" s="564"/>
      <c r="S82" s="564"/>
      <c r="T82" s="564"/>
      <c r="U82" s="564"/>
      <c r="V82" s="564"/>
      <c r="W82" s="564"/>
      <c r="X82" s="564"/>
      <c r="Y82" s="564"/>
      <c r="Z82" s="564"/>
      <c r="AA82" s="546"/>
      <c r="AB82" s="546"/>
      <c r="AC82" s="546"/>
    </row>
    <row r="83" spans="1:68" ht="14.25" customHeight="1" x14ac:dyDescent="0.25">
      <c r="A83" s="567" t="s">
        <v>101</v>
      </c>
      <c r="B83" s="564"/>
      <c r="C83" s="564"/>
      <c r="D83" s="564"/>
      <c r="E83" s="564"/>
      <c r="F83" s="564"/>
      <c r="G83" s="564"/>
      <c r="H83" s="564"/>
      <c r="I83" s="564"/>
      <c r="J83" s="564"/>
      <c r="K83" s="564"/>
      <c r="L83" s="564"/>
      <c r="M83" s="564"/>
      <c r="N83" s="564"/>
      <c r="O83" s="564"/>
      <c r="P83" s="564"/>
      <c r="Q83" s="564"/>
      <c r="R83" s="564"/>
      <c r="S83" s="564"/>
      <c r="T83" s="564"/>
      <c r="U83" s="564"/>
      <c r="V83" s="564"/>
      <c r="W83" s="564"/>
      <c r="X83" s="564"/>
      <c r="Y83" s="564"/>
      <c r="Z83" s="564"/>
      <c r="AA83" s="545"/>
      <c r="AB83" s="545"/>
      <c r="AC83" s="545"/>
    </row>
    <row r="84" spans="1:68" ht="27" customHeight="1" x14ac:dyDescent="0.25">
      <c r="A84" s="54" t="s">
        <v>169</v>
      </c>
      <c r="B84" s="54" t="s">
        <v>170</v>
      </c>
      <c r="C84" s="31">
        <v>4301011468</v>
      </c>
      <c r="D84" s="558">
        <v>4680115881327</v>
      </c>
      <c r="E84" s="559"/>
      <c r="F84" s="550">
        <v>1.35</v>
      </c>
      <c r="G84" s="32">
        <v>8</v>
      </c>
      <c r="H84" s="550">
        <v>10.8</v>
      </c>
      <c r="I84" s="550">
        <v>11.21</v>
      </c>
      <c r="J84" s="32">
        <v>64</v>
      </c>
      <c r="K84" s="32" t="s">
        <v>104</v>
      </c>
      <c r="L84" s="32" t="s">
        <v>105</v>
      </c>
      <c r="M84" s="33" t="s">
        <v>86</v>
      </c>
      <c r="N84" s="33"/>
      <c r="O84" s="32">
        <v>50</v>
      </c>
      <c r="P84" s="786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4" s="556"/>
      <c r="R84" s="556"/>
      <c r="S84" s="556"/>
      <c r="T84" s="557"/>
      <c r="U84" s="34"/>
      <c r="V84" s="34"/>
      <c r="W84" s="35" t="s">
        <v>69</v>
      </c>
      <c r="X84" s="551">
        <v>0</v>
      </c>
      <c r="Y84" s="552">
        <f>IFERROR(IF(X84="",0,CEILING((X84/$H84),1)*$H84),"")</f>
        <v>0</v>
      </c>
      <c r="Z84" s="36" t="str">
        <f>IFERROR(IF(Y84=0,"",ROUNDUP(Y84/H84,0)*0.01898),"")</f>
        <v/>
      </c>
      <c r="AA84" s="56"/>
      <c r="AB84" s="57"/>
      <c r="AC84" s="125" t="s">
        <v>171</v>
      </c>
      <c r="AG84" s="64"/>
      <c r="AJ84" s="68" t="s">
        <v>92</v>
      </c>
      <c r="AK84" s="68">
        <v>86.4</v>
      </c>
      <c r="BB84" s="126" t="s">
        <v>1</v>
      </c>
      <c r="BM84" s="64">
        <f>IFERROR(X84*I84/H84,"0")</f>
        <v>0</v>
      </c>
      <c r="BN84" s="64">
        <f>IFERROR(Y84*I84/H84,"0")</f>
        <v>0</v>
      </c>
      <c r="BO84" s="64">
        <f>IFERROR(1/J84*(X84/H84),"0")</f>
        <v>0</v>
      </c>
      <c r="BP84" s="64">
        <f>IFERROR(1/J84*(Y84/H84),"0")</f>
        <v>0</v>
      </c>
    </row>
    <row r="85" spans="1:68" ht="27" customHeight="1" x14ac:dyDescent="0.25">
      <c r="A85" s="54" t="s">
        <v>172</v>
      </c>
      <c r="B85" s="54" t="s">
        <v>173</v>
      </c>
      <c r="C85" s="31">
        <v>4301011261</v>
      </c>
      <c r="D85" s="558">
        <v>4680115887732</v>
      </c>
      <c r="E85" s="559"/>
      <c r="F85" s="550">
        <v>0.17</v>
      </c>
      <c r="G85" s="32">
        <v>10</v>
      </c>
      <c r="H85" s="550">
        <v>1.7</v>
      </c>
      <c r="I85" s="550">
        <v>1.8</v>
      </c>
      <c r="J85" s="32">
        <v>192</v>
      </c>
      <c r="K85" s="32" t="s">
        <v>174</v>
      </c>
      <c r="L85" s="32"/>
      <c r="M85" s="33" t="s">
        <v>68</v>
      </c>
      <c r="N85" s="33"/>
      <c r="O85" s="32">
        <v>30</v>
      </c>
      <c r="P85" s="865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5" s="556"/>
      <c r="R85" s="556"/>
      <c r="S85" s="556"/>
      <c r="T85" s="557"/>
      <c r="U85" s="34"/>
      <c r="V85" s="34"/>
      <c r="W85" s="35" t="s">
        <v>69</v>
      </c>
      <c r="X85" s="551">
        <v>0</v>
      </c>
      <c r="Y85" s="552">
        <f>IFERROR(IF(X85="",0,CEILING((X85/$H85),1)*$H85),"")</f>
        <v>0</v>
      </c>
      <c r="Z85" s="36" t="str">
        <f>IFERROR(IF(Y85=0,"",ROUNDUP(Y85/H85,0)*0.00726),"")</f>
        <v/>
      </c>
      <c r="AA85" s="56"/>
      <c r="AB85" s="57"/>
      <c r="AC85" s="127" t="s">
        <v>175</v>
      </c>
      <c r="AG85" s="64"/>
      <c r="AJ85" s="68"/>
      <c r="AK85" s="68">
        <v>0</v>
      </c>
      <c r="BB85" s="128" t="s">
        <v>1</v>
      </c>
      <c r="BM85" s="64">
        <f>IFERROR(X85*I85/H85,"0")</f>
        <v>0</v>
      </c>
      <c r="BN85" s="64">
        <f>IFERROR(Y85*I85/H85,"0")</f>
        <v>0</v>
      </c>
      <c r="BO85" s="64">
        <f>IFERROR(1/J85*(X85/H85),"0")</f>
        <v>0</v>
      </c>
      <c r="BP85" s="64">
        <f>IFERROR(1/J85*(Y85/H85),"0")</f>
        <v>0</v>
      </c>
    </row>
    <row r="86" spans="1:68" ht="27" customHeight="1" x14ac:dyDescent="0.25">
      <c r="A86" s="54" t="s">
        <v>176</v>
      </c>
      <c r="B86" s="54" t="s">
        <v>177</v>
      </c>
      <c r="C86" s="31">
        <v>4301011476</v>
      </c>
      <c r="D86" s="558">
        <v>4680115881518</v>
      </c>
      <c r="E86" s="559"/>
      <c r="F86" s="550">
        <v>0.4</v>
      </c>
      <c r="G86" s="32">
        <v>10</v>
      </c>
      <c r="H86" s="550">
        <v>4</v>
      </c>
      <c r="I86" s="550">
        <v>4.1900000000000004</v>
      </c>
      <c r="J86" s="32">
        <v>132</v>
      </c>
      <c r="K86" s="32" t="s">
        <v>110</v>
      </c>
      <c r="L86" s="32"/>
      <c r="M86" s="33" t="s">
        <v>80</v>
      </c>
      <c r="N86" s="33"/>
      <c r="O86" s="32">
        <v>50</v>
      </c>
      <c r="P86" s="576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6" s="556"/>
      <c r="R86" s="556"/>
      <c r="S86" s="556"/>
      <c r="T86" s="557"/>
      <c r="U86" s="34"/>
      <c r="V86" s="34"/>
      <c r="W86" s="35" t="s">
        <v>69</v>
      </c>
      <c r="X86" s="551">
        <v>0</v>
      </c>
      <c r="Y86" s="552">
        <f>IFERROR(IF(X86="",0,CEILING((X86/$H86),1)*$H86),"")</f>
        <v>0</v>
      </c>
      <c r="Z86" s="36" t="str">
        <f>IFERROR(IF(Y86=0,"",ROUNDUP(Y86/H86,0)*0.00902),"")</f>
        <v/>
      </c>
      <c r="AA86" s="56"/>
      <c r="AB86" s="57"/>
      <c r="AC86" s="129" t="s">
        <v>171</v>
      </c>
      <c r="AG86" s="64"/>
      <c r="AJ86" s="68"/>
      <c r="AK86" s="68">
        <v>0</v>
      </c>
      <c r="BB86" s="130" t="s">
        <v>1</v>
      </c>
      <c r="BM86" s="64">
        <f>IFERROR(X86*I86/H86,"0")</f>
        <v>0</v>
      </c>
      <c r="BN86" s="64">
        <f>IFERROR(Y86*I86/H86,"0")</f>
        <v>0</v>
      </c>
      <c r="BO86" s="64">
        <f>IFERROR(1/J86*(X86/H86),"0")</f>
        <v>0</v>
      </c>
      <c r="BP86" s="64">
        <f>IFERROR(1/J86*(Y86/H86),"0")</f>
        <v>0</v>
      </c>
    </row>
    <row r="87" spans="1:68" ht="27" customHeight="1" x14ac:dyDescent="0.25">
      <c r="A87" s="54" t="s">
        <v>178</v>
      </c>
      <c r="B87" s="54" t="s">
        <v>179</v>
      </c>
      <c r="C87" s="31">
        <v>4301011443</v>
      </c>
      <c r="D87" s="558">
        <v>4680115881303</v>
      </c>
      <c r="E87" s="559"/>
      <c r="F87" s="550">
        <v>0.45</v>
      </c>
      <c r="G87" s="32">
        <v>10</v>
      </c>
      <c r="H87" s="550">
        <v>4.5</v>
      </c>
      <c r="I87" s="550">
        <v>4.6900000000000004</v>
      </c>
      <c r="J87" s="32">
        <v>132</v>
      </c>
      <c r="K87" s="32" t="s">
        <v>110</v>
      </c>
      <c r="L87" s="32" t="s">
        <v>111</v>
      </c>
      <c r="M87" s="33" t="s">
        <v>86</v>
      </c>
      <c r="N87" s="33"/>
      <c r="O87" s="32">
        <v>50</v>
      </c>
      <c r="P87" s="734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7" s="556"/>
      <c r="R87" s="556"/>
      <c r="S87" s="556"/>
      <c r="T87" s="557"/>
      <c r="U87" s="34"/>
      <c r="V87" s="34"/>
      <c r="W87" s="35" t="s">
        <v>69</v>
      </c>
      <c r="X87" s="551">
        <v>0</v>
      </c>
      <c r="Y87" s="552">
        <f>IFERROR(IF(X87="",0,CEILING((X87/$H87),1)*$H87),"")</f>
        <v>0</v>
      </c>
      <c r="Z87" s="36" t="str">
        <f>IFERROR(IF(Y87=0,"",ROUNDUP(Y87/H87,0)*0.00902),"")</f>
        <v/>
      </c>
      <c r="AA87" s="56"/>
      <c r="AB87" s="57"/>
      <c r="AC87" s="131" t="s">
        <v>171</v>
      </c>
      <c r="AG87" s="64"/>
      <c r="AJ87" s="68" t="s">
        <v>92</v>
      </c>
      <c r="AK87" s="68">
        <v>54</v>
      </c>
      <c r="BB87" s="132" t="s">
        <v>1</v>
      </c>
      <c r="BM87" s="64">
        <f>IFERROR(X87*I87/H87,"0")</f>
        <v>0</v>
      </c>
      <c r="BN87" s="64">
        <f>IFERROR(Y87*I87/H87,"0")</f>
        <v>0</v>
      </c>
      <c r="BO87" s="64">
        <f>IFERROR(1/J87*(X87/H87),"0")</f>
        <v>0</v>
      </c>
      <c r="BP87" s="64">
        <f>IFERROR(1/J87*(Y87/H87),"0")</f>
        <v>0</v>
      </c>
    </row>
    <row r="88" spans="1:68" x14ac:dyDescent="0.2">
      <c r="A88" s="563"/>
      <c r="B88" s="564"/>
      <c r="C88" s="564"/>
      <c r="D88" s="564"/>
      <c r="E88" s="564"/>
      <c r="F88" s="564"/>
      <c r="G88" s="564"/>
      <c r="H88" s="564"/>
      <c r="I88" s="564"/>
      <c r="J88" s="564"/>
      <c r="K88" s="564"/>
      <c r="L88" s="564"/>
      <c r="M88" s="564"/>
      <c r="N88" s="564"/>
      <c r="O88" s="565"/>
      <c r="P88" s="570" t="s">
        <v>75</v>
      </c>
      <c r="Q88" s="571"/>
      <c r="R88" s="571"/>
      <c r="S88" s="571"/>
      <c r="T88" s="571"/>
      <c r="U88" s="571"/>
      <c r="V88" s="572"/>
      <c r="W88" s="37" t="s">
        <v>76</v>
      </c>
      <c r="X88" s="553">
        <f>IFERROR(X84/H84,"0")+IFERROR(X85/H85,"0")+IFERROR(X86/H86,"0")+IFERROR(X87/H87,"0")</f>
        <v>0</v>
      </c>
      <c r="Y88" s="553">
        <f>IFERROR(Y84/H84,"0")+IFERROR(Y85/H85,"0")+IFERROR(Y86/H86,"0")+IFERROR(Y87/H87,"0")</f>
        <v>0</v>
      </c>
      <c r="Z88" s="553">
        <f>IFERROR(IF(Z84="",0,Z84),"0")+IFERROR(IF(Z85="",0,Z85),"0")+IFERROR(IF(Z86="",0,Z86),"0")+IFERROR(IF(Z87="",0,Z87),"0")</f>
        <v>0</v>
      </c>
      <c r="AA88" s="554"/>
      <c r="AB88" s="554"/>
      <c r="AC88" s="554"/>
    </row>
    <row r="89" spans="1:68" x14ac:dyDescent="0.2">
      <c r="A89" s="564"/>
      <c r="B89" s="564"/>
      <c r="C89" s="564"/>
      <c r="D89" s="564"/>
      <c r="E89" s="564"/>
      <c r="F89" s="564"/>
      <c r="G89" s="564"/>
      <c r="H89" s="564"/>
      <c r="I89" s="564"/>
      <c r="J89" s="564"/>
      <c r="K89" s="564"/>
      <c r="L89" s="564"/>
      <c r="M89" s="564"/>
      <c r="N89" s="564"/>
      <c r="O89" s="565"/>
      <c r="P89" s="570" t="s">
        <v>75</v>
      </c>
      <c r="Q89" s="571"/>
      <c r="R89" s="571"/>
      <c r="S89" s="571"/>
      <c r="T89" s="571"/>
      <c r="U89" s="571"/>
      <c r="V89" s="572"/>
      <c r="W89" s="37" t="s">
        <v>69</v>
      </c>
      <c r="X89" s="553">
        <f>IFERROR(SUM(X84:X87),"0")</f>
        <v>0</v>
      </c>
      <c r="Y89" s="553">
        <f>IFERROR(SUM(Y84:Y87),"0")</f>
        <v>0</v>
      </c>
      <c r="Z89" s="37"/>
      <c r="AA89" s="554"/>
      <c r="AB89" s="554"/>
      <c r="AC89" s="554"/>
    </row>
    <row r="90" spans="1:68" ht="14.25" customHeight="1" x14ac:dyDescent="0.25">
      <c r="A90" s="567" t="s">
        <v>77</v>
      </c>
      <c r="B90" s="564"/>
      <c r="C90" s="564"/>
      <c r="D90" s="564"/>
      <c r="E90" s="564"/>
      <c r="F90" s="564"/>
      <c r="G90" s="564"/>
      <c r="H90" s="564"/>
      <c r="I90" s="564"/>
      <c r="J90" s="564"/>
      <c r="K90" s="564"/>
      <c r="L90" s="564"/>
      <c r="M90" s="564"/>
      <c r="N90" s="564"/>
      <c r="O90" s="564"/>
      <c r="P90" s="564"/>
      <c r="Q90" s="564"/>
      <c r="R90" s="564"/>
      <c r="S90" s="564"/>
      <c r="T90" s="564"/>
      <c r="U90" s="564"/>
      <c r="V90" s="564"/>
      <c r="W90" s="564"/>
      <c r="X90" s="564"/>
      <c r="Y90" s="564"/>
      <c r="Z90" s="564"/>
      <c r="AA90" s="545"/>
      <c r="AB90" s="545"/>
      <c r="AC90" s="545"/>
    </row>
    <row r="91" spans="1:68" ht="27" customHeight="1" x14ac:dyDescent="0.25">
      <c r="A91" s="54" t="s">
        <v>180</v>
      </c>
      <c r="B91" s="54" t="s">
        <v>181</v>
      </c>
      <c r="C91" s="31">
        <v>4301051712</v>
      </c>
      <c r="D91" s="558">
        <v>4607091386967</v>
      </c>
      <c r="E91" s="559"/>
      <c r="F91" s="550">
        <v>1.35</v>
      </c>
      <c r="G91" s="32">
        <v>6</v>
      </c>
      <c r="H91" s="550">
        <v>8.1</v>
      </c>
      <c r="I91" s="550">
        <v>8.5939999999999994</v>
      </c>
      <c r="J91" s="32">
        <v>64</v>
      </c>
      <c r="K91" s="32" t="s">
        <v>104</v>
      </c>
      <c r="L91" s="32" t="s">
        <v>105</v>
      </c>
      <c r="M91" s="33" t="s">
        <v>86</v>
      </c>
      <c r="N91" s="33"/>
      <c r="O91" s="32">
        <v>45</v>
      </c>
      <c r="P91" s="766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1" s="556"/>
      <c r="R91" s="556"/>
      <c r="S91" s="556"/>
      <c r="T91" s="557"/>
      <c r="U91" s="34"/>
      <c r="V91" s="34"/>
      <c r="W91" s="35" t="s">
        <v>69</v>
      </c>
      <c r="X91" s="551">
        <v>670</v>
      </c>
      <c r="Y91" s="552">
        <f>IFERROR(IF(X91="",0,CEILING((X91/$H91),1)*$H91),"")</f>
        <v>672.3</v>
      </c>
      <c r="Z91" s="36">
        <f>IFERROR(IF(Y91=0,"",ROUNDUP(Y91/H91,0)*0.01898),"")</f>
        <v>1.57534</v>
      </c>
      <c r="AA91" s="56"/>
      <c r="AB91" s="57"/>
      <c r="AC91" s="133" t="s">
        <v>182</v>
      </c>
      <c r="AG91" s="64"/>
      <c r="AJ91" s="68" t="s">
        <v>92</v>
      </c>
      <c r="AK91" s="68">
        <v>64.8</v>
      </c>
      <c r="BB91" s="134" t="s">
        <v>1</v>
      </c>
      <c r="BM91" s="64">
        <f>IFERROR(X91*I91/H91,"0")</f>
        <v>710.86172839506173</v>
      </c>
      <c r="BN91" s="64">
        <f>IFERROR(Y91*I91/H91,"0")</f>
        <v>713.30200000000002</v>
      </c>
      <c r="BO91" s="64">
        <f>IFERROR(1/J91*(X91/H91),"0")</f>
        <v>1.2924382716049383</v>
      </c>
      <c r="BP91" s="64">
        <f>IFERROR(1/J91*(Y91/H91),"0")</f>
        <v>1.296875</v>
      </c>
    </row>
    <row r="92" spans="1:68" ht="27" customHeight="1" x14ac:dyDescent="0.25">
      <c r="A92" s="54" t="s">
        <v>183</v>
      </c>
      <c r="B92" s="54" t="s">
        <v>184</v>
      </c>
      <c r="C92" s="31">
        <v>4301051788</v>
      </c>
      <c r="D92" s="558">
        <v>4680115884953</v>
      </c>
      <c r="E92" s="559"/>
      <c r="F92" s="550">
        <v>0.37</v>
      </c>
      <c r="G92" s="32">
        <v>6</v>
      </c>
      <c r="H92" s="550">
        <v>2.2200000000000002</v>
      </c>
      <c r="I92" s="550">
        <v>2.472</v>
      </c>
      <c r="J92" s="32">
        <v>182</v>
      </c>
      <c r="K92" s="32" t="s">
        <v>67</v>
      </c>
      <c r="L92" s="32"/>
      <c r="M92" s="33" t="s">
        <v>80</v>
      </c>
      <c r="N92" s="33"/>
      <c r="O92" s="32">
        <v>45</v>
      </c>
      <c r="P92" s="613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2" s="556"/>
      <c r="R92" s="556"/>
      <c r="S92" s="556"/>
      <c r="T92" s="557"/>
      <c r="U92" s="34"/>
      <c r="V92" s="34"/>
      <c r="W92" s="35" t="s">
        <v>69</v>
      </c>
      <c r="X92" s="551">
        <v>0</v>
      </c>
      <c r="Y92" s="552">
        <f>IFERROR(IF(X92="",0,CEILING((X92/$H92),1)*$H92),"")</f>
        <v>0</v>
      </c>
      <c r="Z92" s="36" t="str">
        <f>IFERROR(IF(Y92=0,"",ROUNDUP(Y92/H92,0)*0.00651),"")</f>
        <v/>
      </c>
      <c r="AA92" s="56"/>
      <c r="AB92" s="57"/>
      <c r="AC92" s="135" t="s">
        <v>182</v>
      </c>
      <c r="AG92" s="64"/>
      <c r="AJ92" s="68"/>
      <c r="AK92" s="68">
        <v>0</v>
      </c>
      <c r="BB92" s="136" t="s">
        <v>1</v>
      </c>
      <c r="BM92" s="64">
        <f>IFERROR(X92*I92/H92,"0")</f>
        <v>0</v>
      </c>
      <c r="BN92" s="64">
        <f>IFERROR(Y92*I92/H92,"0")</f>
        <v>0</v>
      </c>
      <c r="BO92" s="64">
        <f>IFERROR(1/J92*(X92/H92),"0")</f>
        <v>0</v>
      </c>
      <c r="BP92" s="64">
        <f>IFERROR(1/J92*(Y92/H92),"0")</f>
        <v>0</v>
      </c>
    </row>
    <row r="93" spans="1:68" ht="27" customHeight="1" x14ac:dyDescent="0.25">
      <c r="A93" s="54" t="s">
        <v>185</v>
      </c>
      <c r="B93" s="54" t="s">
        <v>186</v>
      </c>
      <c r="C93" s="31">
        <v>4301051718</v>
      </c>
      <c r="D93" s="558">
        <v>4607091385731</v>
      </c>
      <c r="E93" s="559"/>
      <c r="F93" s="550">
        <v>0.45</v>
      </c>
      <c r="G93" s="32">
        <v>6</v>
      </c>
      <c r="H93" s="550">
        <v>2.7</v>
      </c>
      <c r="I93" s="550">
        <v>2.952</v>
      </c>
      <c r="J93" s="32">
        <v>182</v>
      </c>
      <c r="K93" s="32" t="s">
        <v>67</v>
      </c>
      <c r="L93" s="32"/>
      <c r="M93" s="33" t="s">
        <v>86</v>
      </c>
      <c r="N93" s="33"/>
      <c r="O93" s="32">
        <v>45</v>
      </c>
      <c r="P93" s="802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3" s="556"/>
      <c r="R93" s="556"/>
      <c r="S93" s="556"/>
      <c r="T93" s="557"/>
      <c r="U93" s="34"/>
      <c r="V93" s="34"/>
      <c r="W93" s="35" t="s">
        <v>69</v>
      </c>
      <c r="X93" s="551">
        <v>0</v>
      </c>
      <c r="Y93" s="552">
        <f>IFERROR(IF(X93="",0,CEILING((X93/$H93),1)*$H93),"")</f>
        <v>0</v>
      </c>
      <c r="Z93" s="36" t="str">
        <f>IFERROR(IF(Y93=0,"",ROUNDUP(Y93/H93,0)*0.00651),"")</f>
        <v/>
      </c>
      <c r="AA93" s="56"/>
      <c r="AB93" s="57"/>
      <c r="AC93" s="137" t="s">
        <v>182</v>
      </c>
      <c r="AG93" s="64"/>
      <c r="AJ93" s="68"/>
      <c r="AK93" s="68">
        <v>0</v>
      </c>
      <c r="BB93" s="138" t="s">
        <v>1</v>
      </c>
      <c r="BM93" s="64">
        <f>IFERROR(X93*I93/H93,"0")</f>
        <v>0</v>
      </c>
      <c r="BN93" s="64">
        <f>IFERROR(Y93*I93/H93,"0")</f>
        <v>0</v>
      </c>
      <c r="BO93" s="64">
        <f>IFERROR(1/J93*(X93/H93),"0")</f>
        <v>0</v>
      </c>
      <c r="BP93" s="64">
        <f>IFERROR(1/J93*(Y93/H93),"0")</f>
        <v>0</v>
      </c>
    </row>
    <row r="94" spans="1:68" ht="16.5" customHeight="1" x14ac:dyDescent="0.25">
      <c r="A94" s="54" t="s">
        <v>187</v>
      </c>
      <c r="B94" s="54" t="s">
        <v>188</v>
      </c>
      <c r="C94" s="31">
        <v>4301051438</v>
      </c>
      <c r="D94" s="558">
        <v>4680115880894</v>
      </c>
      <c r="E94" s="559"/>
      <c r="F94" s="550">
        <v>0.33</v>
      </c>
      <c r="G94" s="32">
        <v>6</v>
      </c>
      <c r="H94" s="550">
        <v>1.98</v>
      </c>
      <c r="I94" s="550">
        <v>2.238</v>
      </c>
      <c r="J94" s="32">
        <v>182</v>
      </c>
      <c r="K94" s="32" t="s">
        <v>67</v>
      </c>
      <c r="L94" s="32" t="s">
        <v>90</v>
      </c>
      <c r="M94" s="33" t="s">
        <v>80</v>
      </c>
      <c r="N94" s="33"/>
      <c r="O94" s="32">
        <v>45</v>
      </c>
      <c r="P94" s="619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4" s="556"/>
      <c r="R94" s="556"/>
      <c r="S94" s="556"/>
      <c r="T94" s="557"/>
      <c r="U94" s="34"/>
      <c r="V94" s="34"/>
      <c r="W94" s="35" t="s">
        <v>69</v>
      </c>
      <c r="X94" s="551">
        <v>0</v>
      </c>
      <c r="Y94" s="552">
        <f>IFERROR(IF(X94="",0,CEILING((X94/$H94),1)*$H94),"")</f>
        <v>0</v>
      </c>
      <c r="Z94" s="36" t="str">
        <f>IFERROR(IF(Y94=0,"",ROUNDUP(Y94/H94,0)*0.00651),"")</f>
        <v/>
      </c>
      <c r="AA94" s="56"/>
      <c r="AB94" s="57"/>
      <c r="AC94" s="139" t="s">
        <v>189</v>
      </c>
      <c r="AG94" s="64"/>
      <c r="AJ94" s="68" t="s">
        <v>92</v>
      </c>
      <c r="AK94" s="68">
        <v>27.72</v>
      </c>
      <c r="BB94" s="140" t="s">
        <v>1</v>
      </c>
      <c r="BM94" s="64">
        <f>IFERROR(X94*I94/H94,"0")</f>
        <v>0</v>
      </c>
      <c r="BN94" s="64">
        <f>IFERROR(Y94*I94/H94,"0")</f>
        <v>0</v>
      </c>
      <c r="BO94" s="64">
        <f>IFERROR(1/J94*(X94/H94),"0")</f>
        <v>0</v>
      </c>
      <c r="BP94" s="64">
        <f>IFERROR(1/J94*(Y94/H94),"0")</f>
        <v>0</v>
      </c>
    </row>
    <row r="95" spans="1:68" x14ac:dyDescent="0.2">
      <c r="A95" s="563"/>
      <c r="B95" s="564"/>
      <c r="C95" s="564"/>
      <c r="D95" s="564"/>
      <c r="E95" s="564"/>
      <c r="F95" s="564"/>
      <c r="G95" s="564"/>
      <c r="H95" s="564"/>
      <c r="I95" s="564"/>
      <c r="J95" s="564"/>
      <c r="K95" s="564"/>
      <c r="L95" s="564"/>
      <c r="M95" s="564"/>
      <c r="N95" s="564"/>
      <c r="O95" s="565"/>
      <c r="P95" s="570" t="s">
        <v>75</v>
      </c>
      <c r="Q95" s="571"/>
      <c r="R95" s="571"/>
      <c r="S95" s="571"/>
      <c r="T95" s="571"/>
      <c r="U95" s="571"/>
      <c r="V95" s="572"/>
      <c r="W95" s="37" t="s">
        <v>76</v>
      </c>
      <c r="X95" s="553">
        <f>IFERROR(X91/H91,"0")+IFERROR(X92/H92,"0")+IFERROR(X93/H93,"0")+IFERROR(X94/H94,"0")</f>
        <v>82.716049382716051</v>
      </c>
      <c r="Y95" s="553">
        <f>IFERROR(Y91/H91,"0")+IFERROR(Y92/H92,"0")+IFERROR(Y93/H93,"0")+IFERROR(Y94/H94,"0")</f>
        <v>83</v>
      </c>
      <c r="Z95" s="553">
        <f>IFERROR(IF(Z91="",0,Z91),"0")+IFERROR(IF(Z92="",0,Z92),"0")+IFERROR(IF(Z93="",0,Z93),"0")+IFERROR(IF(Z94="",0,Z94),"0")</f>
        <v>1.57534</v>
      </c>
      <c r="AA95" s="554"/>
      <c r="AB95" s="554"/>
      <c r="AC95" s="554"/>
    </row>
    <row r="96" spans="1:68" x14ac:dyDescent="0.2">
      <c r="A96" s="564"/>
      <c r="B96" s="564"/>
      <c r="C96" s="564"/>
      <c r="D96" s="564"/>
      <c r="E96" s="564"/>
      <c r="F96" s="564"/>
      <c r="G96" s="564"/>
      <c r="H96" s="564"/>
      <c r="I96" s="564"/>
      <c r="J96" s="564"/>
      <c r="K96" s="564"/>
      <c r="L96" s="564"/>
      <c r="M96" s="564"/>
      <c r="N96" s="564"/>
      <c r="O96" s="565"/>
      <c r="P96" s="570" t="s">
        <v>75</v>
      </c>
      <c r="Q96" s="571"/>
      <c r="R96" s="571"/>
      <c r="S96" s="571"/>
      <c r="T96" s="571"/>
      <c r="U96" s="571"/>
      <c r="V96" s="572"/>
      <c r="W96" s="37" t="s">
        <v>69</v>
      </c>
      <c r="X96" s="553">
        <f>IFERROR(SUM(X91:X94),"0")</f>
        <v>670</v>
      </c>
      <c r="Y96" s="553">
        <f>IFERROR(SUM(Y91:Y94),"0")</f>
        <v>672.3</v>
      </c>
      <c r="Z96" s="37"/>
      <c r="AA96" s="554"/>
      <c r="AB96" s="554"/>
      <c r="AC96" s="554"/>
    </row>
    <row r="97" spans="1:68" ht="16.5" customHeight="1" x14ac:dyDescent="0.25">
      <c r="A97" s="573" t="s">
        <v>190</v>
      </c>
      <c r="B97" s="564"/>
      <c r="C97" s="564"/>
      <c r="D97" s="564"/>
      <c r="E97" s="564"/>
      <c r="F97" s="564"/>
      <c r="G97" s="564"/>
      <c r="H97" s="564"/>
      <c r="I97" s="564"/>
      <c r="J97" s="564"/>
      <c r="K97" s="564"/>
      <c r="L97" s="564"/>
      <c r="M97" s="564"/>
      <c r="N97" s="564"/>
      <c r="O97" s="564"/>
      <c r="P97" s="564"/>
      <c r="Q97" s="564"/>
      <c r="R97" s="564"/>
      <c r="S97" s="564"/>
      <c r="T97" s="564"/>
      <c r="U97" s="564"/>
      <c r="V97" s="564"/>
      <c r="W97" s="564"/>
      <c r="X97" s="564"/>
      <c r="Y97" s="564"/>
      <c r="Z97" s="564"/>
      <c r="AA97" s="546"/>
      <c r="AB97" s="546"/>
      <c r="AC97" s="546"/>
    </row>
    <row r="98" spans="1:68" ht="14.25" customHeight="1" x14ac:dyDescent="0.25">
      <c r="A98" s="567" t="s">
        <v>101</v>
      </c>
      <c r="B98" s="564"/>
      <c r="C98" s="564"/>
      <c r="D98" s="564"/>
      <c r="E98" s="564"/>
      <c r="F98" s="564"/>
      <c r="G98" s="564"/>
      <c r="H98" s="564"/>
      <c r="I98" s="564"/>
      <c r="J98" s="564"/>
      <c r="K98" s="564"/>
      <c r="L98" s="564"/>
      <c r="M98" s="564"/>
      <c r="N98" s="564"/>
      <c r="O98" s="564"/>
      <c r="P98" s="564"/>
      <c r="Q98" s="564"/>
      <c r="R98" s="564"/>
      <c r="S98" s="564"/>
      <c r="T98" s="564"/>
      <c r="U98" s="564"/>
      <c r="V98" s="564"/>
      <c r="W98" s="564"/>
      <c r="X98" s="564"/>
      <c r="Y98" s="564"/>
      <c r="Z98" s="564"/>
      <c r="AA98" s="545"/>
      <c r="AB98" s="545"/>
      <c r="AC98" s="545"/>
    </row>
    <row r="99" spans="1:68" ht="37.5" customHeight="1" x14ac:dyDescent="0.25">
      <c r="A99" s="54" t="s">
        <v>191</v>
      </c>
      <c r="B99" s="54" t="s">
        <v>192</v>
      </c>
      <c r="C99" s="31">
        <v>4301011514</v>
      </c>
      <c r="D99" s="558">
        <v>4680115882133</v>
      </c>
      <c r="E99" s="559"/>
      <c r="F99" s="550">
        <v>1.35</v>
      </c>
      <c r="G99" s="32">
        <v>8</v>
      </c>
      <c r="H99" s="550">
        <v>10.8</v>
      </c>
      <c r="I99" s="550">
        <v>11.21</v>
      </c>
      <c r="J99" s="32">
        <v>64</v>
      </c>
      <c r="K99" s="32" t="s">
        <v>104</v>
      </c>
      <c r="L99" s="32" t="s">
        <v>105</v>
      </c>
      <c r="M99" s="33" t="s">
        <v>106</v>
      </c>
      <c r="N99" s="33"/>
      <c r="O99" s="32">
        <v>50</v>
      </c>
      <c r="P99" s="597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99" s="556"/>
      <c r="R99" s="556"/>
      <c r="S99" s="556"/>
      <c r="T99" s="557"/>
      <c r="U99" s="34"/>
      <c r="V99" s="34"/>
      <c r="W99" s="35" t="s">
        <v>69</v>
      </c>
      <c r="X99" s="551">
        <v>0</v>
      </c>
      <c r="Y99" s="552">
        <f>IFERROR(IF(X99="",0,CEILING((X99/$H99),1)*$H99),"")</f>
        <v>0</v>
      </c>
      <c r="Z99" s="36" t="str">
        <f>IFERROR(IF(Y99=0,"",ROUNDUP(Y99/H99,0)*0.01898),"")</f>
        <v/>
      </c>
      <c r="AA99" s="56"/>
      <c r="AB99" s="57"/>
      <c r="AC99" s="141" t="s">
        <v>193</v>
      </c>
      <c r="AG99" s="64"/>
      <c r="AJ99" s="68" t="s">
        <v>92</v>
      </c>
      <c r="AK99" s="68">
        <v>86.4</v>
      </c>
      <c r="BB99" s="142" t="s">
        <v>1</v>
      </c>
      <c r="BM99" s="64">
        <f>IFERROR(X99*I99/H99,"0")</f>
        <v>0</v>
      </c>
      <c r="BN99" s="64">
        <f>IFERROR(Y99*I99/H99,"0")</f>
        <v>0</v>
      </c>
      <c r="BO99" s="64">
        <f>IFERROR(1/J99*(X99/H99),"0")</f>
        <v>0</v>
      </c>
      <c r="BP99" s="64">
        <f>IFERROR(1/J99*(Y99/H99),"0")</f>
        <v>0</v>
      </c>
    </row>
    <row r="100" spans="1:68" ht="27" customHeight="1" x14ac:dyDescent="0.25">
      <c r="A100" s="54" t="s">
        <v>194</v>
      </c>
      <c r="B100" s="54" t="s">
        <v>195</v>
      </c>
      <c r="C100" s="31">
        <v>4301012051</v>
      </c>
      <c r="D100" s="558">
        <v>4680115887718</v>
      </c>
      <c r="E100" s="559"/>
      <c r="F100" s="550">
        <v>0.11</v>
      </c>
      <c r="G100" s="32">
        <v>10</v>
      </c>
      <c r="H100" s="550">
        <v>1.1000000000000001</v>
      </c>
      <c r="I100" s="550">
        <v>1.31</v>
      </c>
      <c r="J100" s="32">
        <v>192</v>
      </c>
      <c r="K100" s="32" t="s">
        <v>174</v>
      </c>
      <c r="L100" s="32"/>
      <c r="M100" s="33" t="s">
        <v>68</v>
      </c>
      <c r="N100" s="33"/>
      <c r="O100" s="32">
        <v>30</v>
      </c>
      <c r="P100" s="617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0" s="556"/>
      <c r="R100" s="556"/>
      <c r="S100" s="556"/>
      <c r="T100" s="557"/>
      <c r="U100" s="34"/>
      <c r="V100" s="34"/>
      <c r="W100" s="35" t="s">
        <v>69</v>
      </c>
      <c r="X100" s="551">
        <v>0</v>
      </c>
      <c r="Y100" s="552">
        <f>IFERROR(IF(X100="",0,CEILING((X100/$H100),1)*$H100),"")</f>
        <v>0</v>
      </c>
      <c r="Z100" s="36" t="str">
        <f>IFERROR(IF(Y100=0,"",ROUNDUP(Y100/H100,0)*0.00726),"")</f>
        <v/>
      </c>
      <c r="AA100" s="56"/>
      <c r="AB100" s="57"/>
      <c r="AC100" s="143" t="s">
        <v>196</v>
      </c>
      <c r="AG100" s="64"/>
      <c r="AJ100" s="68"/>
      <c r="AK100" s="68">
        <v>0</v>
      </c>
      <c r="BB100" s="144" t="s">
        <v>1</v>
      </c>
      <c r="BM100" s="64">
        <f>IFERROR(X100*I100/H100,"0")</f>
        <v>0</v>
      </c>
      <c r="BN100" s="64">
        <f>IFERROR(Y100*I100/H100,"0")</f>
        <v>0</v>
      </c>
      <c r="BO100" s="64">
        <f>IFERROR(1/J100*(X100/H100),"0")</f>
        <v>0</v>
      </c>
      <c r="BP100" s="64">
        <f>IFERROR(1/J100*(Y100/H100),"0")</f>
        <v>0</v>
      </c>
    </row>
    <row r="101" spans="1:68" ht="37.5" customHeight="1" x14ac:dyDescent="0.25">
      <c r="A101" s="54" t="s">
        <v>197</v>
      </c>
      <c r="B101" s="54" t="s">
        <v>198</v>
      </c>
      <c r="C101" s="31">
        <v>4301011417</v>
      </c>
      <c r="D101" s="558">
        <v>4680115880269</v>
      </c>
      <c r="E101" s="559"/>
      <c r="F101" s="550">
        <v>0.375</v>
      </c>
      <c r="G101" s="32">
        <v>10</v>
      </c>
      <c r="H101" s="550">
        <v>3.75</v>
      </c>
      <c r="I101" s="550">
        <v>3.94</v>
      </c>
      <c r="J101" s="32">
        <v>132</v>
      </c>
      <c r="K101" s="32" t="s">
        <v>110</v>
      </c>
      <c r="L101" s="32" t="s">
        <v>111</v>
      </c>
      <c r="M101" s="33" t="s">
        <v>80</v>
      </c>
      <c r="N101" s="33"/>
      <c r="O101" s="32">
        <v>50</v>
      </c>
      <c r="P101" s="817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1" s="556"/>
      <c r="R101" s="556"/>
      <c r="S101" s="556"/>
      <c r="T101" s="557"/>
      <c r="U101" s="34"/>
      <c r="V101" s="34"/>
      <c r="W101" s="35" t="s">
        <v>69</v>
      </c>
      <c r="X101" s="551">
        <v>0</v>
      </c>
      <c r="Y101" s="552">
        <f>IFERROR(IF(X101="",0,CEILING((X101/$H101),1)*$H101),"")</f>
        <v>0</v>
      </c>
      <c r="Z101" s="36" t="str">
        <f>IFERROR(IF(Y101=0,"",ROUNDUP(Y101/H101,0)*0.00902),"")</f>
        <v/>
      </c>
      <c r="AA101" s="56"/>
      <c r="AB101" s="57"/>
      <c r="AC101" s="145" t="s">
        <v>193</v>
      </c>
      <c r="AG101" s="64"/>
      <c r="AJ101" s="68" t="s">
        <v>92</v>
      </c>
      <c r="AK101" s="68">
        <v>45</v>
      </c>
      <c r="BB101" s="146" t="s">
        <v>1</v>
      </c>
      <c r="BM101" s="64">
        <f>IFERROR(X101*I101/H101,"0")</f>
        <v>0</v>
      </c>
      <c r="BN101" s="64">
        <f>IFERROR(Y101*I101/H101,"0")</f>
        <v>0</v>
      </c>
      <c r="BO101" s="64">
        <f>IFERROR(1/J101*(X101/H101),"0")</f>
        <v>0</v>
      </c>
      <c r="BP101" s="64">
        <f>IFERROR(1/J101*(Y101/H101),"0")</f>
        <v>0</v>
      </c>
    </row>
    <row r="102" spans="1:68" ht="37.5" customHeight="1" x14ac:dyDescent="0.25">
      <c r="A102" s="54" t="s">
        <v>199</v>
      </c>
      <c r="B102" s="54" t="s">
        <v>200</v>
      </c>
      <c r="C102" s="31">
        <v>4301011415</v>
      </c>
      <c r="D102" s="558">
        <v>4680115880429</v>
      </c>
      <c r="E102" s="559"/>
      <c r="F102" s="550">
        <v>0.45</v>
      </c>
      <c r="G102" s="32">
        <v>10</v>
      </c>
      <c r="H102" s="550">
        <v>4.5</v>
      </c>
      <c r="I102" s="550">
        <v>4.6900000000000004</v>
      </c>
      <c r="J102" s="32">
        <v>132</v>
      </c>
      <c r="K102" s="32" t="s">
        <v>110</v>
      </c>
      <c r="L102" s="32" t="s">
        <v>111</v>
      </c>
      <c r="M102" s="33" t="s">
        <v>80</v>
      </c>
      <c r="N102" s="33"/>
      <c r="O102" s="32">
        <v>50</v>
      </c>
      <c r="P102" s="822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2" s="556"/>
      <c r="R102" s="556"/>
      <c r="S102" s="556"/>
      <c r="T102" s="557"/>
      <c r="U102" s="34"/>
      <c r="V102" s="34"/>
      <c r="W102" s="35" t="s">
        <v>69</v>
      </c>
      <c r="X102" s="551">
        <v>0</v>
      </c>
      <c r="Y102" s="552">
        <f>IFERROR(IF(X102="",0,CEILING((X102/$H102),1)*$H102),"")</f>
        <v>0</v>
      </c>
      <c r="Z102" s="36" t="str">
        <f>IFERROR(IF(Y102=0,"",ROUNDUP(Y102/H102,0)*0.00902),"")</f>
        <v/>
      </c>
      <c r="AA102" s="56"/>
      <c r="AB102" s="57"/>
      <c r="AC102" s="147" t="s">
        <v>193</v>
      </c>
      <c r="AG102" s="64"/>
      <c r="AJ102" s="68" t="s">
        <v>92</v>
      </c>
      <c r="AK102" s="68">
        <v>54</v>
      </c>
      <c r="BB102" s="148" t="s">
        <v>1</v>
      </c>
      <c r="BM102" s="64">
        <f>IFERROR(X102*I102/H102,"0")</f>
        <v>0</v>
      </c>
      <c r="BN102" s="64">
        <f>IFERROR(Y102*I102/H102,"0")</f>
        <v>0</v>
      </c>
      <c r="BO102" s="64">
        <f>IFERROR(1/J102*(X102/H102),"0")</f>
        <v>0</v>
      </c>
      <c r="BP102" s="64">
        <f>IFERROR(1/J102*(Y102/H102),"0")</f>
        <v>0</v>
      </c>
    </row>
    <row r="103" spans="1:68" ht="37.5" customHeight="1" x14ac:dyDescent="0.25">
      <c r="A103" s="54" t="s">
        <v>201</v>
      </c>
      <c r="B103" s="54" t="s">
        <v>202</v>
      </c>
      <c r="C103" s="31">
        <v>4301011462</v>
      </c>
      <c r="D103" s="558">
        <v>4680115881457</v>
      </c>
      <c r="E103" s="559"/>
      <c r="F103" s="550">
        <v>0.75</v>
      </c>
      <c r="G103" s="32">
        <v>6</v>
      </c>
      <c r="H103" s="550">
        <v>4.5</v>
      </c>
      <c r="I103" s="550">
        <v>4.6900000000000004</v>
      </c>
      <c r="J103" s="32">
        <v>132</v>
      </c>
      <c r="K103" s="32" t="s">
        <v>110</v>
      </c>
      <c r="L103" s="32"/>
      <c r="M103" s="33" t="s">
        <v>80</v>
      </c>
      <c r="N103" s="33"/>
      <c r="O103" s="32">
        <v>50</v>
      </c>
      <c r="P103" s="647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3" s="556"/>
      <c r="R103" s="556"/>
      <c r="S103" s="556"/>
      <c r="T103" s="557"/>
      <c r="U103" s="34"/>
      <c r="V103" s="34"/>
      <c r="W103" s="35" t="s">
        <v>69</v>
      </c>
      <c r="X103" s="551">
        <v>0</v>
      </c>
      <c r="Y103" s="552">
        <f>IFERROR(IF(X103="",0,CEILING((X103/$H103),1)*$H103),"")</f>
        <v>0</v>
      </c>
      <c r="Z103" s="36" t="str">
        <f>IFERROR(IF(Y103=0,"",ROUNDUP(Y103/H103,0)*0.00902),"")</f>
        <v/>
      </c>
      <c r="AA103" s="56"/>
      <c r="AB103" s="57"/>
      <c r="AC103" s="149" t="s">
        <v>193</v>
      </c>
      <c r="AG103" s="64"/>
      <c r="AJ103" s="68"/>
      <c r="AK103" s="68">
        <v>0</v>
      </c>
      <c r="BB103" s="150" t="s">
        <v>1</v>
      </c>
      <c r="BM103" s="64">
        <f>IFERROR(X103*I103/H103,"0")</f>
        <v>0</v>
      </c>
      <c r="BN103" s="64">
        <f>IFERROR(Y103*I103/H103,"0")</f>
        <v>0</v>
      </c>
      <c r="BO103" s="64">
        <f>IFERROR(1/J103*(X103/H103),"0")</f>
        <v>0</v>
      </c>
      <c r="BP103" s="64">
        <f>IFERROR(1/J103*(Y103/H103),"0")</f>
        <v>0</v>
      </c>
    </row>
    <row r="104" spans="1:68" x14ac:dyDescent="0.2">
      <c r="A104" s="563"/>
      <c r="B104" s="564"/>
      <c r="C104" s="564"/>
      <c r="D104" s="564"/>
      <c r="E104" s="564"/>
      <c r="F104" s="564"/>
      <c r="G104" s="564"/>
      <c r="H104" s="564"/>
      <c r="I104" s="564"/>
      <c r="J104" s="564"/>
      <c r="K104" s="564"/>
      <c r="L104" s="564"/>
      <c r="M104" s="564"/>
      <c r="N104" s="564"/>
      <c r="O104" s="565"/>
      <c r="P104" s="570" t="s">
        <v>75</v>
      </c>
      <c r="Q104" s="571"/>
      <c r="R104" s="571"/>
      <c r="S104" s="571"/>
      <c r="T104" s="571"/>
      <c r="U104" s="571"/>
      <c r="V104" s="572"/>
      <c r="W104" s="37" t="s">
        <v>76</v>
      </c>
      <c r="X104" s="553">
        <f>IFERROR(X99/H99,"0")+IFERROR(X100/H100,"0")+IFERROR(X101/H101,"0")+IFERROR(X102/H102,"0")+IFERROR(X103/H103,"0")</f>
        <v>0</v>
      </c>
      <c r="Y104" s="553">
        <f>IFERROR(Y99/H99,"0")+IFERROR(Y100/H100,"0")+IFERROR(Y101/H101,"0")+IFERROR(Y102/H102,"0")+IFERROR(Y103/H103,"0")</f>
        <v>0</v>
      </c>
      <c r="Z104" s="553">
        <f>IFERROR(IF(Z99="",0,Z99),"0")+IFERROR(IF(Z100="",0,Z100),"0")+IFERROR(IF(Z101="",0,Z101),"0")+IFERROR(IF(Z102="",0,Z102),"0")+IFERROR(IF(Z103="",0,Z103),"0")</f>
        <v>0</v>
      </c>
      <c r="AA104" s="554"/>
      <c r="AB104" s="554"/>
      <c r="AC104" s="554"/>
    </row>
    <row r="105" spans="1:68" x14ac:dyDescent="0.2">
      <c r="A105" s="564"/>
      <c r="B105" s="564"/>
      <c r="C105" s="564"/>
      <c r="D105" s="564"/>
      <c r="E105" s="564"/>
      <c r="F105" s="564"/>
      <c r="G105" s="564"/>
      <c r="H105" s="564"/>
      <c r="I105" s="564"/>
      <c r="J105" s="564"/>
      <c r="K105" s="564"/>
      <c r="L105" s="564"/>
      <c r="M105" s="564"/>
      <c r="N105" s="564"/>
      <c r="O105" s="565"/>
      <c r="P105" s="570" t="s">
        <v>75</v>
      </c>
      <c r="Q105" s="571"/>
      <c r="R105" s="571"/>
      <c r="S105" s="571"/>
      <c r="T105" s="571"/>
      <c r="U105" s="571"/>
      <c r="V105" s="572"/>
      <c r="W105" s="37" t="s">
        <v>69</v>
      </c>
      <c r="X105" s="553">
        <f>IFERROR(SUM(X99:X103),"0")</f>
        <v>0</v>
      </c>
      <c r="Y105" s="553">
        <f>IFERROR(SUM(Y99:Y103),"0")</f>
        <v>0</v>
      </c>
      <c r="Z105" s="37"/>
      <c r="AA105" s="554"/>
      <c r="AB105" s="554"/>
      <c r="AC105" s="554"/>
    </row>
    <row r="106" spans="1:68" ht="14.25" customHeight="1" x14ac:dyDescent="0.25">
      <c r="A106" s="567" t="s">
        <v>136</v>
      </c>
      <c r="B106" s="564"/>
      <c r="C106" s="564"/>
      <c r="D106" s="564"/>
      <c r="E106" s="564"/>
      <c r="F106" s="564"/>
      <c r="G106" s="564"/>
      <c r="H106" s="564"/>
      <c r="I106" s="564"/>
      <c r="J106" s="564"/>
      <c r="K106" s="564"/>
      <c r="L106" s="564"/>
      <c r="M106" s="564"/>
      <c r="N106" s="564"/>
      <c r="O106" s="564"/>
      <c r="P106" s="564"/>
      <c r="Q106" s="564"/>
      <c r="R106" s="564"/>
      <c r="S106" s="564"/>
      <c r="T106" s="564"/>
      <c r="U106" s="564"/>
      <c r="V106" s="564"/>
      <c r="W106" s="564"/>
      <c r="X106" s="564"/>
      <c r="Y106" s="564"/>
      <c r="Z106" s="564"/>
      <c r="AA106" s="545"/>
      <c r="AB106" s="545"/>
      <c r="AC106" s="545"/>
    </row>
    <row r="107" spans="1:68" ht="16.5" customHeight="1" x14ac:dyDescent="0.25">
      <c r="A107" s="54" t="s">
        <v>203</v>
      </c>
      <c r="B107" s="54" t="s">
        <v>204</v>
      </c>
      <c r="C107" s="31">
        <v>4301020345</v>
      </c>
      <c r="D107" s="558">
        <v>4680115881488</v>
      </c>
      <c r="E107" s="559"/>
      <c r="F107" s="550">
        <v>1.35</v>
      </c>
      <c r="G107" s="32">
        <v>8</v>
      </c>
      <c r="H107" s="550">
        <v>10.8</v>
      </c>
      <c r="I107" s="550">
        <v>11.21</v>
      </c>
      <c r="J107" s="32">
        <v>64</v>
      </c>
      <c r="K107" s="32" t="s">
        <v>104</v>
      </c>
      <c r="L107" s="32"/>
      <c r="M107" s="33" t="s">
        <v>106</v>
      </c>
      <c r="N107" s="33"/>
      <c r="O107" s="32">
        <v>55</v>
      </c>
      <c r="P107" s="816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07" s="556"/>
      <c r="R107" s="556"/>
      <c r="S107" s="556"/>
      <c r="T107" s="557"/>
      <c r="U107" s="34"/>
      <c r="V107" s="34"/>
      <c r="W107" s="35" t="s">
        <v>69</v>
      </c>
      <c r="X107" s="551">
        <v>0</v>
      </c>
      <c r="Y107" s="552">
        <f>IFERROR(IF(X107="",0,CEILING((X107/$H107),1)*$H107),"")</f>
        <v>0</v>
      </c>
      <c r="Z107" s="36" t="str">
        <f>IFERROR(IF(Y107=0,"",ROUNDUP(Y107/H107,0)*0.01898),"")</f>
        <v/>
      </c>
      <c r="AA107" s="56"/>
      <c r="AB107" s="57"/>
      <c r="AC107" s="151" t="s">
        <v>205</v>
      </c>
      <c r="AG107" s="64"/>
      <c r="AJ107" s="68"/>
      <c r="AK107" s="68">
        <v>0</v>
      </c>
      <c r="BB107" s="152" t="s">
        <v>1</v>
      </c>
      <c r="BM107" s="64">
        <f>IFERROR(X107*I107/H107,"0")</f>
        <v>0</v>
      </c>
      <c r="BN107" s="64">
        <f>IFERROR(Y107*I107/H107,"0")</f>
        <v>0</v>
      </c>
      <c r="BO107" s="64">
        <f>IFERROR(1/J107*(X107/H107),"0")</f>
        <v>0</v>
      </c>
      <c r="BP107" s="64">
        <f>IFERROR(1/J107*(Y107/H107),"0")</f>
        <v>0</v>
      </c>
    </row>
    <row r="108" spans="1:68" ht="27" customHeight="1" x14ac:dyDescent="0.25">
      <c r="A108" s="54" t="s">
        <v>206</v>
      </c>
      <c r="B108" s="54" t="s">
        <v>207</v>
      </c>
      <c r="C108" s="31">
        <v>4301020186</v>
      </c>
      <c r="D108" s="558">
        <v>4680115887664</v>
      </c>
      <c r="E108" s="559"/>
      <c r="F108" s="550">
        <v>0.1</v>
      </c>
      <c r="G108" s="32">
        <v>10</v>
      </c>
      <c r="H108" s="550">
        <v>1</v>
      </c>
      <c r="I108" s="550">
        <v>1.21</v>
      </c>
      <c r="J108" s="32">
        <v>392</v>
      </c>
      <c r="K108" s="32" t="s">
        <v>208</v>
      </c>
      <c r="L108" s="32"/>
      <c r="M108" s="33" t="s">
        <v>68</v>
      </c>
      <c r="N108" s="33"/>
      <c r="O108" s="32">
        <v>30</v>
      </c>
      <c r="P108" s="772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08" s="556"/>
      <c r="R108" s="556"/>
      <c r="S108" s="556"/>
      <c r="T108" s="557"/>
      <c r="U108" s="34"/>
      <c r="V108" s="34"/>
      <c r="W108" s="35" t="s">
        <v>69</v>
      </c>
      <c r="X108" s="551">
        <v>0</v>
      </c>
      <c r="Y108" s="552">
        <f>IFERROR(IF(X108="",0,CEILING((X108/$H108),1)*$H108),"")</f>
        <v>0</v>
      </c>
      <c r="Z108" s="36" t="str">
        <f>IFERROR(IF(Y108=0,"",ROUNDUP(Y108/H108,0)*0.00358),"")</f>
        <v/>
      </c>
      <c r="AA108" s="56"/>
      <c r="AB108" s="57"/>
      <c r="AC108" s="153" t="s">
        <v>209</v>
      </c>
      <c r="AG108" s="64"/>
      <c r="AJ108" s="68"/>
      <c r="AK108" s="68">
        <v>0</v>
      </c>
      <c r="BB108" s="154" t="s">
        <v>1</v>
      </c>
      <c r="BM108" s="64">
        <f>IFERROR(X108*I108/H108,"0")</f>
        <v>0</v>
      </c>
      <c r="BN108" s="64">
        <f>IFERROR(Y108*I108/H108,"0")</f>
        <v>0</v>
      </c>
      <c r="BO108" s="64">
        <f>IFERROR(1/J108*(X108/H108),"0")</f>
        <v>0</v>
      </c>
      <c r="BP108" s="64">
        <f>IFERROR(1/J108*(Y108/H108),"0")</f>
        <v>0</v>
      </c>
    </row>
    <row r="109" spans="1:68" ht="16.5" customHeight="1" x14ac:dyDescent="0.25">
      <c r="A109" s="54" t="s">
        <v>210</v>
      </c>
      <c r="B109" s="54" t="s">
        <v>211</v>
      </c>
      <c r="C109" s="31">
        <v>4301020346</v>
      </c>
      <c r="D109" s="558">
        <v>4680115882775</v>
      </c>
      <c r="E109" s="559"/>
      <c r="F109" s="550">
        <v>0.3</v>
      </c>
      <c r="G109" s="32">
        <v>8</v>
      </c>
      <c r="H109" s="550">
        <v>2.4</v>
      </c>
      <c r="I109" s="550">
        <v>2.5</v>
      </c>
      <c r="J109" s="32">
        <v>234</v>
      </c>
      <c r="K109" s="32" t="s">
        <v>73</v>
      </c>
      <c r="L109" s="32"/>
      <c r="M109" s="33" t="s">
        <v>106</v>
      </c>
      <c r="N109" s="33"/>
      <c r="O109" s="32">
        <v>55</v>
      </c>
      <c r="P109" s="784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09" s="556"/>
      <c r="R109" s="556"/>
      <c r="S109" s="556"/>
      <c r="T109" s="557"/>
      <c r="U109" s="34"/>
      <c r="V109" s="34"/>
      <c r="W109" s="35" t="s">
        <v>69</v>
      </c>
      <c r="X109" s="551">
        <v>0</v>
      </c>
      <c r="Y109" s="552">
        <f>IFERROR(IF(X109="",0,CEILING((X109/$H109),1)*$H109),"")</f>
        <v>0</v>
      </c>
      <c r="Z109" s="36" t="str">
        <f>IFERROR(IF(Y109=0,"",ROUNDUP(Y109/H109,0)*0.00502),"")</f>
        <v/>
      </c>
      <c r="AA109" s="56"/>
      <c r="AB109" s="57"/>
      <c r="AC109" s="155" t="s">
        <v>205</v>
      </c>
      <c r="AG109" s="64"/>
      <c r="AJ109" s="68"/>
      <c r="AK109" s="68">
        <v>0</v>
      </c>
      <c r="BB109" s="156" t="s">
        <v>1</v>
      </c>
      <c r="BM109" s="64">
        <f>IFERROR(X109*I109/H109,"0")</f>
        <v>0</v>
      </c>
      <c r="BN109" s="64">
        <f>IFERROR(Y109*I109/H109,"0")</f>
        <v>0</v>
      </c>
      <c r="BO109" s="64">
        <f>IFERROR(1/J109*(X109/H109),"0")</f>
        <v>0</v>
      </c>
      <c r="BP109" s="64">
        <f>IFERROR(1/J109*(Y109/H109),"0")</f>
        <v>0</v>
      </c>
    </row>
    <row r="110" spans="1:68" ht="16.5" customHeight="1" x14ac:dyDescent="0.25">
      <c r="A110" s="54" t="s">
        <v>212</v>
      </c>
      <c r="B110" s="54" t="s">
        <v>213</v>
      </c>
      <c r="C110" s="31">
        <v>4301020344</v>
      </c>
      <c r="D110" s="558">
        <v>4680115880658</v>
      </c>
      <c r="E110" s="559"/>
      <c r="F110" s="550">
        <v>0.4</v>
      </c>
      <c r="G110" s="32">
        <v>6</v>
      </c>
      <c r="H110" s="550">
        <v>2.4</v>
      </c>
      <c r="I110" s="550">
        <v>2.58</v>
      </c>
      <c r="J110" s="32">
        <v>182</v>
      </c>
      <c r="K110" s="32" t="s">
        <v>67</v>
      </c>
      <c r="L110" s="32"/>
      <c r="M110" s="33" t="s">
        <v>106</v>
      </c>
      <c r="N110" s="33"/>
      <c r="O110" s="32">
        <v>55</v>
      </c>
      <c r="P110" s="845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10" s="556"/>
      <c r="R110" s="556"/>
      <c r="S110" s="556"/>
      <c r="T110" s="557"/>
      <c r="U110" s="34"/>
      <c r="V110" s="34"/>
      <c r="W110" s="35" t="s">
        <v>69</v>
      </c>
      <c r="X110" s="551">
        <v>0</v>
      </c>
      <c r="Y110" s="552">
        <f>IFERROR(IF(X110="",0,CEILING((X110/$H110),1)*$H110),"")</f>
        <v>0</v>
      </c>
      <c r="Z110" s="36" t="str">
        <f>IFERROR(IF(Y110=0,"",ROUNDUP(Y110/H110,0)*0.00651),"")</f>
        <v/>
      </c>
      <c r="AA110" s="56"/>
      <c r="AB110" s="57"/>
      <c r="AC110" s="157" t="s">
        <v>205</v>
      </c>
      <c r="AG110" s="64"/>
      <c r="AJ110" s="68"/>
      <c r="AK110" s="68">
        <v>0</v>
      </c>
      <c r="BB110" s="158" t="s">
        <v>1</v>
      </c>
      <c r="BM110" s="64">
        <f>IFERROR(X110*I110/H110,"0")</f>
        <v>0</v>
      </c>
      <c r="BN110" s="64">
        <f>IFERROR(Y110*I110/H110,"0")</f>
        <v>0</v>
      </c>
      <c r="BO110" s="64">
        <f>IFERROR(1/J110*(X110/H110),"0")</f>
        <v>0</v>
      </c>
      <c r="BP110" s="64">
        <f>IFERROR(1/J110*(Y110/H110),"0")</f>
        <v>0</v>
      </c>
    </row>
    <row r="111" spans="1:68" x14ac:dyDescent="0.2">
      <c r="A111" s="563"/>
      <c r="B111" s="564"/>
      <c r="C111" s="564"/>
      <c r="D111" s="564"/>
      <c r="E111" s="564"/>
      <c r="F111" s="564"/>
      <c r="G111" s="564"/>
      <c r="H111" s="564"/>
      <c r="I111" s="564"/>
      <c r="J111" s="564"/>
      <c r="K111" s="564"/>
      <c r="L111" s="564"/>
      <c r="M111" s="564"/>
      <c r="N111" s="564"/>
      <c r="O111" s="565"/>
      <c r="P111" s="570" t="s">
        <v>75</v>
      </c>
      <c r="Q111" s="571"/>
      <c r="R111" s="571"/>
      <c r="S111" s="571"/>
      <c r="T111" s="571"/>
      <c r="U111" s="571"/>
      <c r="V111" s="572"/>
      <c r="W111" s="37" t="s">
        <v>76</v>
      </c>
      <c r="X111" s="553">
        <f>IFERROR(X107/H107,"0")+IFERROR(X108/H108,"0")+IFERROR(X109/H109,"0")+IFERROR(X110/H110,"0")</f>
        <v>0</v>
      </c>
      <c r="Y111" s="553">
        <f>IFERROR(Y107/H107,"0")+IFERROR(Y108/H108,"0")+IFERROR(Y109/H109,"0")+IFERROR(Y110/H110,"0")</f>
        <v>0</v>
      </c>
      <c r="Z111" s="553">
        <f>IFERROR(IF(Z107="",0,Z107),"0")+IFERROR(IF(Z108="",0,Z108),"0")+IFERROR(IF(Z109="",0,Z109),"0")+IFERROR(IF(Z110="",0,Z110),"0")</f>
        <v>0</v>
      </c>
      <c r="AA111" s="554"/>
      <c r="AB111" s="554"/>
      <c r="AC111" s="554"/>
    </row>
    <row r="112" spans="1:68" x14ac:dyDescent="0.2">
      <c r="A112" s="564"/>
      <c r="B112" s="564"/>
      <c r="C112" s="564"/>
      <c r="D112" s="564"/>
      <c r="E112" s="564"/>
      <c r="F112" s="564"/>
      <c r="G112" s="564"/>
      <c r="H112" s="564"/>
      <c r="I112" s="564"/>
      <c r="J112" s="564"/>
      <c r="K112" s="564"/>
      <c r="L112" s="564"/>
      <c r="M112" s="564"/>
      <c r="N112" s="564"/>
      <c r="O112" s="565"/>
      <c r="P112" s="570" t="s">
        <v>75</v>
      </c>
      <c r="Q112" s="571"/>
      <c r="R112" s="571"/>
      <c r="S112" s="571"/>
      <c r="T112" s="571"/>
      <c r="U112" s="571"/>
      <c r="V112" s="572"/>
      <c r="W112" s="37" t="s">
        <v>69</v>
      </c>
      <c r="X112" s="553">
        <f>IFERROR(SUM(X107:X110),"0")</f>
        <v>0</v>
      </c>
      <c r="Y112" s="553">
        <f>IFERROR(SUM(Y107:Y110),"0")</f>
        <v>0</v>
      </c>
      <c r="Z112" s="37"/>
      <c r="AA112" s="554"/>
      <c r="AB112" s="554"/>
      <c r="AC112" s="554"/>
    </row>
    <row r="113" spans="1:68" ht="14.25" customHeight="1" x14ac:dyDescent="0.25">
      <c r="A113" s="567" t="s">
        <v>77</v>
      </c>
      <c r="B113" s="564"/>
      <c r="C113" s="564"/>
      <c r="D113" s="564"/>
      <c r="E113" s="564"/>
      <c r="F113" s="564"/>
      <c r="G113" s="564"/>
      <c r="H113" s="564"/>
      <c r="I113" s="564"/>
      <c r="J113" s="564"/>
      <c r="K113" s="564"/>
      <c r="L113" s="564"/>
      <c r="M113" s="564"/>
      <c r="N113" s="564"/>
      <c r="O113" s="564"/>
      <c r="P113" s="564"/>
      <c r="Q113" s="564"/>
      <c r="R113" s="564"/>
      <c r="S113" s="564"/>
      <c r="T113" s="564"/>
      <c r="U113" s="564"/>
      <c r="V113" s="564"/>
      <c r="W113" s="564"/>
      <c r="X113" s="564"/>
      <c r="Y113" s="564"/>
      <c r="Z113" s="564"/>
      <c r="AA113" s="545"/>
      <c r="AB113" s="545"/>
      <c r="AC113" s="545"/>
    </row>
    <row r="114" spans="1:68" ht="27" customHeight="1" x14ac:dyDescent="0.25">
      <c r="A114" s="54" t="s">
        <v>214</v>
      </c>
      <c r="B114" s="54" t="s">
        <v>215</v>
      </c>
      <c r="C114" s="31">
        <v>4301051724</v>
      </c>
      <c r="D114" s="558">
        <v>4607091385168</v>
      </c>
      <c r="E114" s="559"/>
      <c r="F114" s="550">
        <v>1.35</v>
      </c>
      <c r="G114" s="32">
        <v>6</v>
      </c>
      <c r="H114" s="550">
        <v>8.1</v>
      </c>
      <c r="I114" s="550">
        <v>8.5879999999999992</v>
      </c>
      <c r="J114" s="32">
        <v>64</v>
      </c>
      <c r="K114" s="32" t="s">
        <v>104</v>
      </c>
      <c r="L114" s="32" t="s">
        <v>105</v>
      </c>
      <c r="M114" s="33" t="s">
        <v>86</v>
      </c>
      <c r="N114" s="33"/>
      <c r="O114" s="32">
        <v>45</v>
      </c>
      <c r="P114" s="810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4" s="556"/>
      <c r="R114" s="556"/>
      <c r="S114" s="556"/>
      <c r="T114" s="557"/>
      <c r="U114" s="34"/>
      <c r="V114" s="34"/>
      <c r="W114" s="35" t="s">
        <v>69</v>
      </c>
      <c r="X114" s="551">
        <v>650</v>
      </c>
      <c r="Y114" s="552">
        <f>IFERROR(IF(X114="",0,CEILING((X114/$H114),1)*$H114),"")</f>
        <v>656.1</v>
      </c>
      <c r="Z114" s="36">
        <f>IFERROR(IF(Y114=0,"",ROUNDUP(Y114/H114,0)*0.01898),"")</f>
        <v>1.53738</v>
      </c>
      <c r="AA114" s="56"/>
      <c r="AB114" s="57"/>
      <c r="AC114" s="159" t="s">
        <v>216</v>
      </c>
      <c r="AG114" s="64"/>
      <c r="AJ114" s="68" t="s">
        <v>92</v>
      </c>
      <c r="AK114" s="68">
        <v>64.8</v>
      </c>
      <c r="BB114" s="160" t="s">
        <v>1</v>
      </c>
      <c r="BM114" s="64">
        <f>IFERROR(X114*I114/H114,"0")</f>
        <v>689.16049382716051</v>
      </c>
      <c r="BN114" s="64">
        <f>IFERROR(Y114*I114/H114,"0")</f>
        <v>695.62800000000004</v>
      </c>
      <c r="BO114" s="64">
        <f>IFERROR(1/J114*(X114/H114),"0")</f>
        <v>1.253858024691358</v>
      </c>
      <c r="BP114" s="64">
        <f>IFERROR(1/J114*(Y114/H114),"0")</f>
        <v>1.265625</v>
      </c>
    </row>
    <row r="115" spans="1:68" ht="27" customHeight="1" x14ac:dyDescent="0.25">
      <c r="A115" s="54" t="s">
        <v>217</v>
      </c>
      <c r="B115" s="54" t="s">
        <v>218</v>
      </c>
      <c r="C115" s="31">
        <v>4301051730</v>
      </c>
      <c r="D115" s="558">
        <v>4607091383256</v>
      </c>
      <c r="E115" s="559"/>
      <c r="F115" s="550">
        <v>0.33</v>
      </c>
      <c r="G115" s="32">
        <v>6</v>
      </c>
      <c r="H115" s="550">
        <v>1.98</v>
      </c>
      <c r="I115" s="550">
        <v>2.226</v>
      </c>
      <c r="J115" s="32">
        <v>182</v>
      </c>
      <c r="K115" s="32" t="s">
        <v>67</v>
      </c>
      <c r="L115" s="32" t="s">
        <v>90</v>
      </c>
      <c r="M115" s="33" t="s">
        <v>86</v>
      </c>
      <c r="N115" s="33"/>
      <c r="O115" s="32">
        <v>45</v>
      </c>
      <c r="P115" s="744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5" s="556"/>
      <c r="R115" s="556"/>
      <c r="S115" s="556"/>
      <c r="T115" s="557"/>
      <c r="U115" s="34"/>
      <c r="V115" s="34"/>
      <c r="W115" s="35" t="s">
        <v>69</v>
      </c>
      <c r="X115" s="551">
        <v>0</v>
      </c>
      <c r="Y115" s="552">
        <f>IFERROR(IF(X115="",0,CEILING((X115/$H115),1)*$H115),"")</f>
        <v>0</v>
      </c>
      <c r="Z115" s="36" t="str">
        <f>IFERROR(IF(Y115=0,"",ROUNDUP(Y115/H115,0)*0.00651),"")</f>
        <v/>
      </c>
      <c r="AA115" s="56"/>
      <c r="AB115" s="57"/>
      <c r="AC115" s="161" t="s">
        <v>216</v>
      </c>
      <c r="AG115" s="64"/>
      <c r="AJ115" s="68" t="s">
        <v>92</v>
      </c>
      <c r="AK115" s="68">
        <v>27.72</v>
      </c>
      <c r="BB115" s="162" t="s">
        <v>1</v>
      </c>
      <c r="BM115" s="64">
        <f>IFERROR(X115*I115/H115,"0")</f>
        <v>0</v>
      </c>
      <c r="BN115" s="64">
        <f>IFERROR(Y115*I115/H115,"0")</f>
        <v>0</v>
      </c>
      <c r="BO115" s="64">
        <f>IFERROR(1/J115*(X115/H115),"0")</f>
        <v>0</v>
      </c>
      <c r="BP115" s="64">
        <f>IFERROR(1/J115*(Y115/H115),"0")</f>
        <v>0</v>
      </c>
    </row>
    <row r="116" spans="1:68" ht="27" customHeight="1" x14ac:dyDescent="0.25">
      <c r="A116" s="54" t="s">
        <v>219</v>
      </c>
      <c r="B116" s="54" t="s">
        <v>220</v>
      </c>
      <c r="C116" s="31">
        <v>4301051721</v>
      </c>
      <c r="D116" s="558">
        <v>4607091385748</v>
      </c>
      <c r="E116" s="559"/>
      <c r="F116" s="550">
        <v>0.45</v>
      </c>
      <c r="G116" s="32">
        <v>6</v>
      </c>
      <c r="H116" s="550">
        <v>2.7</v>
      </c>
      <c r="I116" s="550">
        <v>2.952</v>
      </c>
      <c r="J116" s="32">
        <v>182</v>
      </c>
      <c r="K116" s="32" t="s">
        <v>67</v>
      </c>
      <c r="L116" s="32" t="s">
        <v>90</v>
      </c>
      <c r="M116" s="33" t="s">
        <v>86</v>
      </c>
      <c r="N116" s="33"/>
      <c r="O116" s="32">
        <v>45</v>
      </c>
      <c r="P116" s="646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6" s="556"/>
      <c r="R116" s="556"/>
      <c r="S116" s="556"/>
      <c r="T116" s="557"/>
      <c r="U116" s="34"/>
      <c r="V116" s="34"/>
      <c r="W116" s="35" t="s">
        <v>69</v>
      </c>
      <c r="X116" s="551">
        <v>0</v>
      </c>
      <c r="Y116" s="552">
        <f>IFERROR(IF(X116="",0,CEILING((X116/$H116),1)*$H116),"")</f>
        <v>0</v>
      </c>
      <c r="Z116" s="36" t="str">
        <f>IFERROR(IF(Y116=0,"",ROUNDUP(Y116/H116,0)*0.00651),"")</f>
        <v/>
      </c>
      <c r="AA116" s="56"/>
      <c r="AB116" s="57"/>
      <c r="AC116" s="163" t="s">
        <v>216</v>
      </c>
      <c r="AG116" s="64"/>
      <c r="AJ116" s="68" t="s">
        <v>92</v>
      </c>
      <c r="AK116" s="68">
        <v>37.799999999999997</v>
      </c>
      <c r="BB116" s="164" t="s">
        <v>1</v>
      </c>
      <c r="BM116" s="64">
        <f>IFERROR(X116*I116/H116,"0")</f>
        <v>0</v>
      </c>
      <c r="BN116" s="64">
        <f>IFERROR(Y116*I116/H116,"0")</f>
        <v>0</v>
      </c>
      <c r="BO116" s="64">
        <f>IFERROR(1/J116*(X116/H116),"0")</f>
        <v>0</v>
      </c>
      <c r="BP116" s="64">
        <f>IFERROR(1/J116*(Y116/H116),"0")</f>
        <v>0</v>
      </c>
    </row>
    <row r="117" spans="1:68" ht="16.5" customHeight="1" x14ac:dyDescent="0.25">
      <c r="A117" s="54" t="s">
        <v>221</v>
      </c>
      <c r="B117" s="54" t="s">
        <v>222</v>
      </c>
      <c r="C117" s="31">
        <v>4301051740</v>
      </c>
      <c r="D117" s="558">
        <v>4680115884533</v>
      </c>
      <c r="E117" s="559"/>
      <c r="F117" s="550">
        <v>0.3</v>
      </c>
      <c r="G117" s="32">
        <v>6</v>
      </c>
      <c r="H117" s="550">
        <v>1.8</v>
      </c>
      <c r="I117" s="550">
        <v>1.98</v>
      </c>
      <c r="J117" s="32">
        <v>182</v>
      </c>
      <c r="K117" s="32" t="s">
        <v>67</v>
      </c>
      <c r="L117" s="32" t="s">
        <v>90</v>
      </c>
      <c r="M117" s="33" t="s">
        <v>80</v>
      </c>
      <c r="N117" s="33"/>
      <c r="O117" s="32">
        <v>45</v>
      </c>
      <c r="P117" s="683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17" s="556"/>
      <c r="R117" s="556"/>
      <c r="S117" s="556"/>
      <c r="T117" s="557"/>
      <c r="U117" s="34"/>
      <c r="V117" s="34"/>
      <c r="W117" s="35" t="s">
        <v>69</v>
      </c>
      <c r="X117" s="551">
        <v>0</v>
      </c>
      <c r="Y117" s="552">
        <f>IFERROR(IF(X117="",0,CEILING((X117/$H117),1)*$H117),"")</f>
        <v>0</v>
      </c>
      <c r="Z117" s="36" t="str">
        <f>IFERROR(IF(Y117=0,"",ROUNDUP(Y117/H117,0)*0.00651),"")</f>
        <v/>
      </c>
      <c r="AA117" s="56"/>
      <c r="AB117" s="57"/>
      <c r="AC117" s="165" t="s">
        <v>223</v>
      </c>
      <c r="AG117" s="64"/>
      <c r="AJ117" s="68" t="s">
        <v>92</v>
      </c>
      <c r="AK117" s="68">
        <v>25.2</v>
      </c>
      <c r="BB117" s="166" t="s">
        <v>1</v>
      </c>
      <c r="BM117" s="64">
        <f>IFERROR(X117*I117/H117,"0")</f>
        <v>0</v>
      </c>
      <c r="BN117" s="64">
        <f>IFERROR(Y117*I117/H117,"0")</f>
        <v>0</v>
      </c>
      <c r="BO117" s="64">
        <f>IFERROR(1/J117*(X117/H117),"0")</f>
        <v>0</v>
      </c>
      <c r="BP117" s="64">
        <f>IFERROR(1/J117*(Y117/H117),"0")</f>
        <v>0</v>
      </c>
    </row>
    <row r="118" spans="1:68" x14ac:dyDescent="0.2">
      <c r="A118" s="563"/>
      <c r="B118" s="564"/>
      <c r="C118" s="564"/>
      <c r="D118" s="564"/>
      <c r="E118" s="564"/>
      <c r="F118" s="564"/>
      <c r="G118" s="564"/>
      <c r="H118" s="564"/>
      <c r="I118" s="564"/>
      <c r="J118" s="564"/>
      <c r="K118" s="564"/>
      <c r="L118" s="564"/>
      <c r="M118" s="564"/>
      <c r="N118" s="564"/>
      <c r="O118" s="565"/>
      <c r="P118" s="570" t="s">
        <v>75</v>
      </c>
      <c r="Q118" s="571"/>
      <c r="R118" s="571"/>
      <c r="S118" s="571"/>
      <c r="T118" s="571"/>
      <c r="U118" s="571"/>
      <c r="V118" s="572"/>
      <c r="W118" s="37" t="s">
        <v>76</v>
      </c>
      <c r="X118" s="553">
        <f>IFERROR(X114/H114,"0")+IFERROR(X115/H115,"0")+IFERROR(X116/H116,"0")+IFERROR(X117/H117,"0")</f>
        <v>80.246913580246911</v>
      </c>
      <c r="Y118" s="553">
        <f>IFERROR(Y114/H114,"0")+IFERROR(Y115/H115,"0")+IFERROR(Y116/H116,"0")+IFERROR(Y117/H117,"0")</f>
        <v>81</v>
      </c>
      <c r="Z118" s="553">
        <f>IFERROR(IF(Z114="",0,Z114),"0")+IFERROR(IF(Z115="",0,Z115),"0")+IFERROR(IF(Z116="",0,Z116),"0")+IFERROR(IF(Z117="",0,Z117),"0")</f>
        <v>1.53738</v>
      </c>
      <c r="AA118" s="554"/>
      <c r="AB118" s="554"/>
      <c r="AC118" s="554"/>
    </row>
    <row r="119" spans="1:68" x14ac:dyDescent="0.2">
      <c r="A119" s="564"/>
      <c r="B119" s="564"/>
      <c r="C119" s="564"/>
      <c r="D119" s="564"/>
      <c r="E119" s="564"/>
      <c r="F119" s="564"/>
      <c r="G119" s="564"/>
      <c r="H119" s="564"/>
      <c r="I119" s="564"/>
      <c r="J119" s="564"/>
      <c r="K119" s="564"/>
      <c r="L119" s="564"/>
      <c r="M119" s="564"/>
      <c r="N119" s="564"/>
      <c r="O119" s="565"/>
      <c r="P119" s="570" t="s">
        <v>75</v>
      </c>
      <c r="Q119" s="571"/>
      <c r="R119" s="571"/>
      <c r="S119" s="571"/>
      <c r="T119" s="571"/>
      <c r="U119" s="571"/>
      <c r="V119" s="572"/>
      <c r="W119" s="37" t="s">
        <v>69</v>
      </c>
      <c r="X119" s="553">
        <f>IFERROR(SUM(X114:X117),"0")</f>
        <v>650</v>
      </c>
      <c r="Y119" s="553">
        <f>IFERROR(SUM(Y114:Y117),"0")</f>
        <v>656.1</v>
      </c>
      <c r="Z119" s="37"/>
      <c r="AA119" s="554"/>
      <c r="AB119" s="554"/>
      <c r="AC119" s="554"/>
    </row>
    <row r="120" spans="1:68" ht="14.25" customHeight="1" x14ac:dyDescent="0.25">
      <c r="A120" s="567" t="s">
        <v>161</v>
      </c>
      <c r="B120" s="564"/>
      <c r="C120" s="564"/>
      <c r="D120" s="564"/>
      <c r="E120" s="564"/>
      <c r="F120" s="564"/>
      <c r="G120" s="564"/>
      <c r="H120" s="564"/>
      <c r="I120" s="564"/>
      <c r="J120" s="564"/>
      <c r="K120" s="564"/>
      <c r="L120" s="564"/>
      <c r="M120" s="564"/>
      <c r="N120" s="564"/>
      <c r="O120" s="564"/>
      <c r="P120" s="564"/>
      <c r="Q120" s="564"/>
      <c r="R120" s="564"/>
      <c r="S120" s="564"/>
      <c r="T120" s="564"/>
      <c r="U120" s="564"/>
      <c r="V120" s="564"/>
      <c r="W120" s="564"/>
      <c r="X120" s="564"/>
      <c r="Y120" s="564"/>
      <c r="Z120" s="564"/>
      <c r="AA120" s="545"/>
      <c r="AB120" s="545"/>
      <c r="AC120" s="545"/>
    </row>
    <row r="121" spans="1:68" ht="16.5" customHeight="1" x14ac:dyDescent="0.25">
      <c r="A121" s="54" t="s">
        <v>224</v>
      </c>
      <c r="B121" s="54" t="s">
        <v>225</v>
      </c>
      <c r="C121" s="31">
        <v>4301060317</v>
      </c>
      <c r="D121" s="558">
        <v>4680115880238</v>
      </c>
      <c r="E121" s="559"/>
      <c r="F121" s="550">
        <v>0.33</v>
      </c>
      <c r="G121" s="32">
        <v>6</v>
      </c>
      <c r="H121" s="550">
        <v>1.98</v>
      </c>
      <c r="I121" s="550">
        <v>2.238</v>
      </c>
      <c r="J121" s="32">
        <v>182</v>
      </c>
      <c r="K121" s="32" t="s">
        <v>67</v>
      </c>
      <c r="L121" s="32" t="s">
        <v>90</v>
      </c>
      <c r="M121" s="33" t="s">
        <v>80</v>
      </c>
      <c r="N121" s="33"/>
      <c r="O121" s="32">
        <v>40</v>
      </c>
      <c r="P121" s="843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1" s="556"/>
      <c r="R121" s="556"/>
      <c r="S121" s="556"/>
      <c r="T121" s="557"/>
      <c r="U121" s="34"/>
      <c r="V121" s="34"/>
      <c r="W121" s="35" t="s">
        <v>69</v>
      </c>
      <c r="X121" s="551">
        <v>0</v>
      </c>
      <c r="Y121" s="552">
        <f>IFERROR(IF(X121="",0,CEILING((X121/$H121),1)*$H121),"")</f>
        <v>0</v>
      </c>
      <c r="Z121" s="36" t="str">
        <f>IFERROR(IF(Y121=0,"",ROUNDUP(Y121/H121,0)*0.00651),"")</f>
        <v/>
      </c>
      <c r="AA121" s="56"/>
      <c r="AB121" s="57"/>
      <c r="AC121" s="167" t="s">
        <v>226</v>
      </c>
      <c r="AG121" s="64"/>
      <c r="AJ121" s="68" t="s">
        <v>92</v>
      </c>
      <c r="AK121" s="68">
        <v>27.72</v>
      </c>
      <c r="BB121" s="168" t="s">
        <v>1</v>
      </c>
      <c r="BM121" s="64">
        <f>IFERROR(X121*I121/H121,"0")</f>
        <v>0</v>
      </c>
      <c r="BN121" s="64">
        <f>IFERROR(Y121*I121/H121,"0")</f>
        <v>0</v>
      </c>
      <c r="BO121" s="64">
        <f>IFERROR(1/J121*(X121/H121),"0")</f>
        <v>0</v>
      </c>
      <c r="BP121" s="64">
        <f>IFERROR(1/J121*(Y121/H121),"0")</f>
        <v>0</v>
      </c>
    </row>
    <row r="122" spans="1:68" x14ac:dyDescent="0.2">
      <c r="A122" s="563"/>
      <c r="B122" s="564"/>
      <c r="C122" s="564"/>
      <c r="D122" s="564"/>
      <c r="E122" s="564"/>
      <c r="F122" s="564"/>
      <c r="G122" s="564"/>
      <c r="H122" s="564"/>
      <c r="I122" s="564"/>
      <c r="J122" s="564"/>
      <c r="K122" s="564"/>
      <c r="L122" s="564"/>
      <c r="M122" s="564"/>
      <c r="N122" s="564"/>
      <c r="O122" s="565"/>
      <c r="P122" s="570" t="s">
        <v>75</v>
      </c>
      <c r="Q122" s="571"/>
      <c r="R122" s="571"/>
      <c r="S122" s="571"/>
      <c r="T122" s="571"/>
      <c r="U122" s="571"/>
      <c r="V122" s="572"/>
      <c r="W122" s="37" t="s">
        <v>76</v>
      </c>
      <c r="X122" s="553">
        <f>IFERROR(X121/H121,"0")</f>
        <v>0</v>
      </c>
      <c r="Y122" s="553">
        <f>IFERROR(Y121/H121,"0")</f>
        <v>0</v>
      </c>
      <c r="Z122" s="553">
        <f>IFERROR(IF(Z121="",0,Z121),"0")</f>
        <v>0</v>
      </c>
      <c r="AA122" s="554"/>
      <c r="AB122" s="554"/>
      <c r="AC122" s="554"/>
    </row>
    <row r="123" spans="1:68" x14ac:dyDescent="0.2">
      <c r="A123" s="564"/>
      <c r="B123" s="564"/>
      <c r="C123" s="564"/>
      <c r="D123" s="564"/>
      <c r="E123" s="564"/>
      <c r="F123" s="564"/>
      <c r="G123" s="564"/>
      <c r="H123" s="564"/>
      <c r="I123" s="564"/>
      <c r="J123" s="564"/>
      <c r="K123" s="564"/>
      <c r="L123" s="564"/>
      <c r="M123" s="564"/>
      <c r="N123" s="564"/>
      <c r="O123" s="565"/>
      <c r="P123" s="570" t="s">
        <v>75</v>
      </c>
      <c r="Q123" s="571"/>
      <c r="R123" s="571"/>
      <c r="S123" s="571"/>
      <c r="T123" s="571"/>
      <c r="U123" s="571"/>
      <c r="V123" s="572"/>
      <c r="W123" s="37" t="s">
        <v>69</v>
      </c>
      <c r="X123" s="553">
        <f>IFERROR(SUM(X121:X121),"0")</f>
        <v>0</v>
      </c>
      <c r="Y123" s="553">
        <f>IFERROR(SUM(Y121:Y121),"0")</f>
        <v>0</v>
      </c>
      <c r="Z123" s="37"/>
      <c r="AA123" s="554"/>
      <c r="AB123" s="554"/>
      <c r="AC123" s="554"/>
    </row>
    <row r="124" spans="1:68" ht="16.5" customHeight="1" x14ac:dyDescent="0.25">
      <c r="A124" s="573" t="s">
        <v>227</v>
      </c>
      <c r="B124" s="564"/>
      <c r="C124" s="564"/>
      <c r="D124" s="564"/>
      <c r="E124" s="564"/>
      <c r="F124" s="564"/>
      <c r="G124" s="564"/>
      <c r="H124" s="564"/>
      <c r="I124" s="564"/>
      <c r="J124" s="564"/>
      <c r="K124" s="564"/>
      <c r="L124" s="564"/>
      <c r="M124" s="564"/>
      <c r="N124" s="564"/>
      <c r="O124" s="564"/>
      <c r="P124" s="564"/>
      <c r="Q124" s="564"/>
      <c r="R124" s="564"/>
      <c r="S124" s="564"/>
      <c r="T124" s="564"/>
      <c r="U124" s="564"/>
      <c r="V124" s="564"/>
      <c r="W124" s="564"/>
      <c r="X124" s="564"/>
      <c r="Y124" s="564"/>
      <c r="Z124" s="564"/>
      <c r="AA124" s="546"/>
      <c r="AB124" s="546"/>
      <c r="AC124" s="546"/>
    </row>
    <row r="125" spans="1:68" ht="14.25" customHeight="1" x14ac:dyDescent="0.25">
      <c r="A125" s="567" t="s">
        <v>101</v>
      </c>
      <c r="B125" s="564"/>
      <c r="C125" s="564"/>
      <c r="D125" s="564"/>
      <c r="E125" s="564"/>
      <c r="F125" s="564"/>
      <c r="G125" s="564"/>
      <c r="H125" s="564"/>
      <c r="I125" s="564"/>
      <c r="J125" s="564"/>
      <c r="K125" s="564"/>
      <c r="L125" s="564"/>
      <c r="M125" s="564"/>
      <c r="N125" s="564"/>
      <c r="O125" s="564"/>
      <c r="P125" s="564"/>
      <c r="Q125" s="564"/>
      <c r="R125" s="564"/>
      <c r="S125" s="564"/>
      <c r="T125" s="564"/>
      <c r="U125" s="564"/>
      <c r="V125" s="564"/>
      <c r="W125" s="564"/>
      <c r="X125" s="564"/>
      <c r="Y125" s="564"/>
      <c r="Z125" s="564"/>
      <c r="AA125" s="545"/>
      <c r="AB125" s="545"/>
      <c r="AC125" s="545"/>
    </row>
    <row r="126" spans="1:68" ht="27" customHeight="1" x14ac:dyDescent="0.25">
      <c r="A126" s="54" t="s">
        <v>228</v>
      </c>
      <c r="B126" s="54" t="s">
        <v>229</v>
      </c>
      <c r="C126" s="31">
        <v>4301011564</v>
      </c>
      <c r="D126" s="558">
        <v>4680115882577</v>
      </c>
      <c r="E126" s="559"/>
      <c r="F126" s="550">
        <v>0.4</v>
      </c>
      <c r="G126" s="32">
        <v>8</v>
      </c>
      <c r="H126" s="550">
        <v>3.2</v>
      </c>
      <c r="I126" s="550">
        <v>3.38</v>
      </c>
      <c r="J126" s="32">
        <v>182</v>
      </c>
      <c r="K126" s="32" t="s">
        <v>67</v>
      </c>
      <c r="L126" s="32" t="s">
        <v>90</v>
      </c>
      <c r="M126" s="33" t="s">
        <v>96</v>
      </c>
      <c r="N126" s="33"/>
      <c r="O126" s="32">
        <v>90</v>
      </c>
      <c r="P126" s="876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26" s="556"/>
      <c r="R126" s="556"/>
      <c r="S126" s="556"/>
      <c r="T126" s="557"/>
      <c r="U126" s="34"/>
      <c r="V126" s="34"/>
      <c r="W126" s="35" t="s">
        <v>69</v>
      </c>
      <c r="X126" s="551">
        <v>0</v>
      </c>
      <c r="Y126" s="552">
        <f>IFERROR(IF(X126="",0,CEILING((X126/$H126),1)*$H126),"")</f>
        <v>0</v>
      </c>
      <c r="Z126" s="36" t="str">
        <f>IFERROR(IF(Y126=0,"",ROUNDUP(Y126/H126,0)*0.00651),"")</f>
        <v/>
      </c>
      <c r="AA126" s="56"/>
      <c r="AB126" s="57"/>
      <c r="AC126" s="169" t="s">
        <v>230</v>
      </c>
      <c r="AG126" s="64"/>
      <c r="AJ126" s="68" t="s">
        <v>92</v>
      </c>
      <c r="AK126" s="68">
        <v>44.8</v>
      </c>
      <c r="BB126" s="170" t="s">
        <v>1</v>
      </c>
      <c r="BM126" s="64">
        <f>IFERROR(X126*I126/H126,"0")</f>
        <v>0</v>
      </c>
      <c r="BN126" s="64">
        <f>IFERROR(Y126*I126/H126,"0")</f>
        <v>0</v>
      </c>
      <c r="BO126" s="64">
        <f>IFERROR(1/J126*(X126/H126),"0")</f>
        <v>0</v>
      </c>
      <c r="BP126" s="64">
        <f>IFERROR(1/J126*(Y126/H126),"0")</f>
        <v>0</v>
      </c>
    </row>
    <row r="127" spans="1:68" ht="27" customHeight="1" x14ac:dyDescent="0.25">
      <c r="A127" s="54" t="s">
        <v>228</v>
      </c>
      <c r="B127" s="54" t="s">
        <v>231</v>
      </c>
      <c r="C127" s="31">
        <v>4301011562</v>
      </c>
      <c r="D127" s="558">
        <v>4680115882577</v>
      </c>
      <c r="E127" s="559"/>
      <c r="F127" s="550">
        <v>0.4</v>
      </c>
      <c r="G127" s="32">
        <v>8</v>
      </c>
      <c r="H127" s="550">
        <v>3.2</v>
      </c>
      <c r="I127" s="550">
        <v>3.38</v>
      </c>
      <c r="J127" s="32">
        <v>182</v>
      </c>
      <c r="K127" s="32" t="s">
        <v>67</v>
      </c>
      <c r="L127" s="32" t="s">
        <v>90</v>
      </c>
      <c r="M127" s="33" t="s">
        <v>96</v>
      </c>
      <c r="N127" s="33"/>
      <c r="O127" s="32">
        <v>90</v>
      </c>
      <c r="P127" s="828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27" s="556"/>
      <c r="R127" s="556"/>
      <c r="S127" s="556"/>
      <c r="T127" s="557"/>
      <c r="U127" s="34"/>
      <c r="V127" s="34"/>
      <c r="W127" s="35" t="s">
        <v>69</v>
      </c>
      <c r="X127" s="551">
        <v>0</v>
      </c>
      <c r="Y127" s="552">
        <f>IFERROR(IF(X127="",0,CEILING((X127/$H127),1)*$H127),"")</f>
        <v>0</v>
      </c>
      <c r="Z127" s="36" t="str">
        <f>IFERROR(IF(Y127=0,"",ROUNDUP(Y127/H127,0)*0.00651),"")</f>
        <v/>
      </c>
      <c r="AA127" s="56"/>
      <c r="AB127" s="57"/>
      <c r="AC127" s="171" t="s">
        <v>230</v>
      </c>
      <c r="AG127" s="64"/>
      <c r="AJ127" s="68" t="s">
        <v>92</v>
      </c>
      <c r="AK127" s="68">
        <v>44.8</v>
      </c>
      <c r="BB127" s="172" t="s">
        <v>1</v>
      </c>
      <c r="BM127" s="64">
        <f>IFERROR(X127*I127/H127,"0")</f>
        <v>0</v>
      </c>
      <c r="BN127" s="64">
        <f>IFERROR(Y127*I127/H127,"0")</f>
        <v>0</v>
      </c>
      <c r="BO127" s="64">
        <f>IFERROR(1/J127*(X127/H127),"0")</f>
        <v>0</v>
      </c>
      <c r="BP127" s="64">
        <f>IFERROR(1/J127*(Y127/H127),"0")</f>
        <v>0</v>
      </c>
    </row>
    <row r="128" spans="1:68" x14ac:dyDescent="0.2">
      <c r="A128" s="563"/>
      <c r="B128" s="564"/>
      <c r="C128" s="564"/>
      <c r="D128" s="564"/>
      <c r="E128" s="564"/>
      <c r="F128" s="564"/>
      <c r="G128" s="564"/>
      <c r="H128" s="564"/>
      <c r="I128" s="564"/>
      <c r="J128" s="564"/>
      <c r="K128" s="564"/>
      <c r="L128" s="564"/>
      <c r="M128" s="564"/>
      <c r="N128" s="564"/>
      <c r="O128" s="565"/>
      <c r="P128" s="570" t="s">
        <v>75</v>
      </c>
      <c r="Q128" s="571"/>
      <c r="R128" s="571"/>
      <c r="S128" s="571"/>
      <c r="T128" s="571"/>
      <c r="U128" s="571"/>
      <c r="V128" s="572"/>
      <c r="W128" s="37" t="s">
        <v>76</v>
      </c>
      <c r="X128" s="553">
        <f>IFERROR(X126/H126,"0")+IFERROR(X127/H127,"0")</f>
        <v>0</v>
      </c>
      <c r="Y128" s="553">
        <f>IFERROR(Y126/H126,"0")+IFERROR(Y127/H127,"0")</f>
        <v>0</v>
      </c>
      <c r="Z128" s="553">
        <f>IFERROR(IF(Z126="",0,Z126),"0")+IFERROR(IF(Z127="",0,Z127),"0")</f>
        <v>0</v>
      </c>
      <c r="AA128" s="554"/>
      <c r="AB128" s="554"/>
      <c r="AC128" s="554"/>
    </row>
    <row r="129" spans="1:68" x14ac:dyDescent="0.2">
      <c r="A129" s="564"/>
      <c r="B129" s="564"/>
      <c r="C129" s="564"/>
      <c r="D129" s="564"/>
      <c r="E129" s="564"/>
      <c r="F129" s="564"/>
      <c r="G129" s="564"/>
      <c r="H129" s="564"/>
      <c r="I129" s="564"/>
      <c r="J129" s="564"/>
      <c r="K129" s="564"/>
      <c r="L129" s="564"/>
      <c r="M129" s="564"/>
      <c r="N129" s="564"/>
      <c r="O129" s="565"/>
      <c r="P129" s="570" t="s">
        <v>75</v>
      </c>
      <c r="Q129" s="571"/>
      <c r="R129" s="571"/>
      <c r="S129" s="571"/>
      <c r="T129" s="571"/>
      <c r="U129" s="571"/>
      <c r="V129" s="572"/>
      <c r="W129" s="37" t="s">
        <v>69</v>
      </c>
      <c r="X129" s="553">
        <f>IFERROR(SUM(X126:X127),"0")</f>
        <v>0</v>
      </c>
      <c r="Y129" s="553">
        <f>IFERROR(SUM(Y126:Y127),"0")</f>
        <v>0</v>
      </c>
      <c r="Z129" s="37"/>
      <c r="AA129" s="554"/>
      <c r="AB129" s="554"/>
      <c r="AC129" s="554"/>
    </row>
    <row r="130" spans="1:68" ht="14.25" customHeight="1" x14ac:dyDescent="0.25">
      <c r="A130" s="567" t="s">
        <v>64</v>
      </c>
      <c r="B130" s="564"/>
      <c r="C130" s="564"/>
      <c r="D130" s="564"/>
      <c r="E130" s="564"/>
      <c r="F130" s="564"/>
      <c r="G130" s="564"/>
      <c r="H130" s="564"/>
      <c r="I130" s="564"/>
      <c r="J130" s="564"/>
      <c r="K130" s="564"/>
      <c r="L130" s="564"/>
      <c r="M130" s="564"/>
      <c r="N130" s="564"/>
      <c r="O130" s="564"/>
      <c r="P130" s="564"/>
      <c r="Q130" s="564"/>
      <c r="R130" s="564"/>
      <c r="S130" s="564"/>
      <c r="T130" s="564"/>
      <c r="U130" s="564"/>
      <c r="V130" s="564"/>
      <c r="W130" s="564"/>
      <c r="X130" s="564"/>
      <c r="Y130" s="564"/>
      <c r="Z130" s="564"/>
      <c r="AA130" s="545"/>
      <c r="AB130" s="545"/>
      <c r="AC130" s="545"/>
    </row>
    <row r="131" spans="1:68" ht="27" customHeight="1" x14ac:dyDescent="0.25">
      <c r="A131" s="54" t="s">
        <v>232</v>
      </c>
      <c r="B131" s="54" t="s">
        <v>233</v>
      </c>
      <c r="C131" s="31">
        <v>4301031234</v>
      </c>
      <c r="D131" s="558">
        <v>4680115883444</v>
      </c>
      <c r="E131" s="559"/>
      <c r="F131" s="550">
        <v>0.35</v>
      </c>
      <c r="G131" s="32">
        <v>8</v>
      </c>
      <c r="H131" s="550">
        <v>2.8</v>
      </c>
      <c r="I131" s="550">
        <v>3.0680000000000001</v>
      </c>
      <c r="J131" s="32">
        <v>182</v>
      </c>
      <c r="K131" s="32" t="s">
        <v>67</v>
      </c>
      <c r="L131" s="32" t="s">
        <v>90</v>
      </c>
      <c r="M131" s="33" t="s">
        <v>96</v>
      </c>
      <c r="N131" s="33"/>
      <c r="O131" s="32">
        <v>90</v>
      </c>
      <c r="P131" s="659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1" s="556"/>
      <c r="R131" s="556"/>
      <c r="S131" s="556"/>
      <c r="T131" s="557"/>
      <c r="U131" s="34"/>
      <c r="V131" s="34"/>
      <c r="W131" s="35" t="s">
        <v>69</v>
      </c>
      <c r="X131" s="551">
        <v>0</v>
      </c>
      <c r="Y131" s="552">
        <f>IFERROR(IF(X131="",0,CEILING((X131/$H131),1)*$H131),"")</f>
        <v>0</v>
      </c>
      <c r="Z131" s="36" t="str">
        <f>IFERROR(IF(Y131=0,"",ROUNDUP(Y131/H131,0)*0.00651),"")</f>
        <v/>
      </c>
      <c r="AA131" s="56"/>
      <c r="AB131" s="57"/>
      <c r="AC131" s="173" t="s">
        <v>234</v>
      </c>
      <c r="AG131" s="64"/>
      <c r="AJ131" s="68" t="s">
        <v>92</v>
      </c>
      <c r="AK131" s="68">
        <v>39.200000000000003</v>
      </c>
      <c r="BB131" s="174" t="s">
        <v>1</v>
      </c>
      <c r="BM131" s="64">
        <f>IFERROR(X131*I131/H131,"0")</f>
        <v>0</v>
      </c>
      <c r="BN131" s="64">
        <f>IFERROR(Y131*I131/H131,"0")</f>
        <v>0</v>
      </c>
      <c r="BO131" s="64">
        <f>IFERROR(1/J131*(X131/H131),"0")</f>
        <v>0</v>
      </c>
      <c r="BP131" s="64">
        <f>IFERROR(1/J131*(Y131/H131),"0")</f>
        <v>0</v>
      </c>
    </row>
    <row r="132" spans="1:68" ht="27" customHeight="1" x14ac:dyDescent="0.25">
      <c r="A132" s="54" t="s">
        <v>232</v>
      </c>
      <c r="B132" s="54" t="s">
        <v>235</v>
      </c>
      <c r="C132" s="31">
        <v>4301031235</v>
      </c>
      <c r="D132" s="558">
        <v>4680115883444</v>
      </c>
      <c r="E132" s="559"/>
      <c r="F132" s="550">
        <v>0.35</v>
      </c>
      <c r="G132" s="32">
        <v>8</v>
      </c>
      <c r="H132" s="550">
        <v>2.8</v>
      </c>
      <c r="I132" s="550">
        <v>3.0680000000000001</v>
      </c>
      <c r="J132" s="32">
        <v>182</v>
      </c>
      <c r="K132" s="32" t="s">
        <v>67</v>
      </c>
      <c r="L132" s="32" t="s">
        <v>90</v>
      </c>
      <c r="M132" s="33" t="s">
        <v>96</v>
      </c>
      <c r="N132" s="33"/>
      <c r="O132" s="32">
        <v>90</v>
      </c>
      <c r="P132" s="707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2" s="556"/>
      <c r="R132" s="556"/>
      <c r="S132" s="556"/>
      <c r="T132" s="557"/>
      <c r="U132" s="34"/>
      <c r="V132" s="34"/>
      <c r="W132" s="35" t="s">
        <v>69</v>
      </c>
      <c r="X132" s="551">
        <v>0</v>
      </c>
      <c r="Y132" s="552">
        <f>IFERROR(IF(X132="",0,CEILING((X132/$H132),1)*$H132),"")</f>
        <v>0</v>
      </c>
      <c r="Z132" s="36" t="str">
        <f>IFERROR(IF(Y132=0,"",ROUNDUP(Y132/H132,0)*0.00651),"")</f>
        <v/>
      </c>
      <c r="AA132" s="56"/>
      <c r="AB132" s="57"/>
      <c r="AC132" s="175" t="s">
        <v>234</v>
      </c>
      <c r="AG132" s="64"/>
      <c r="AJ132" s="68" t="s">
        <v>92</v>
      </c>
      <c r="AK132" s="68">
        <v>39.200000000000003</v>
      </c>
      <c r="BB132" s="176" t="s">
        <v>1</v>
      </c>
      <c r="BM132" s="64">
        <f>IFERROR(X132*I132/H132,"0")</f>
        <v>0</v>
      </c>
      <c r="BN132" s="64">
        <f>IFERROR(Y132*I132/H132,"0")</f>
        <v>0</v>
      </c>
      <c r="BO132" s="64">
        <f>IFERROR(1/J132*(X132/H132),"0")</f>
        <v>0</v>
      </c>
      <c r="BP132" s="64">
        <f>IFERROR(1/J132*(Y132/H132),"0")</f>
        <v>0</v>
      </c>
    </row>
    <row r="133" spans="1:68" x14ac:dyDescent="0.2">
      <c r="A133" s="563"/>
      <c r="B133" s="564"/>
      <c r="C133" s="564"/>
      <c r="D133" s="564"/>
      <c r="E133" s="564"/>
      <c r="F133" s="564"/>
      <c r="G133" s="564"/>
      <c r="H133" s="564"/>
      <c r="I133" s="564"/>
      <c r="J133" s="564"/>
      <c r="K133" s="564"/>
      <c r="L133" s="564"/>
      <c r="M133" s="564"/>
      <c r="N133" s="564"/>
      <c r="O133" s="565"/>
      <c r="P133" s="570" t="s">
        <v>75</v>
      </c>
      <c r="Q133" s="571"/>
      <c r="R133" s="571"/>
      <c r="S133" s="571"/>
      <c r="T133" s="571"/>
      <c r="U133" s="571"/>
      <c r="V133" s="572"/>
      <c r="W133" s="37" t="s">
        <v>76</v>
      </c>
      <c r="X133" s="553">
        <f>IFERROR(X131/H131,"0")+IFERROR(X132/H132,"0")</f>
        <v>0</v>
      </c>
      <c r="Y133" s="553">
        <f>IFERROR(Y131/H131,"0")+IFERROR(Y132/H132,"0")</f>
        <v>0</v>
      </c>
      <c r="Z133" s="553">
        <f>IFERROR(IF(Z131="",0,Z131),"0")+IFERROR(IF(Z132="",0,Z132),"0")</f>
        <v>0</v>
      </c>
      <c r="AA133" s="554"/>
      <c r="AB133" s="554"/>
      <c r="AC133" s="554"/>
    </row>
    <row r="134" spans="1:68" x14ac:dyDescent="0.2">
      <c r="A134" s="564"/>
      <c r="B134" s="564"/>
      <c r="C134" s="564"/>
      <c r="D134" s="564"/>
      <c r="E134" s="564"/>
      <c r="F134" s="564"/>
      <c r="G134" s="564"/>
      <c r="H134" s="564"/>
      <c r="I134" s="564"/>
      <c r="J134" s="564"/>
      <c r="K134" s="564"/>
      <c r="L134" s="564"/>
      <c r="M134" s="564"/>
      <c r="N134" s="564"/>
      <c r="O134" s="565"/>
      <c r="P134" s="570" t="s">
        <v>75</v>
      </c>
      <c r="Q134" s="571"/>
      <c r="R134" s="571"/>
      <c r="S134" s="571"/>
      <c r="T134" s="571"/>
      <c r="U134" s="571"/>
      <c r="V134" s="572"/>
      <c r="W134" s="37" t="s">
        <v>69</v>
      </c>
      <c r="X134" s="553">
        <f>IFERROR(SUM(X131:X132),"0")</f>
        <v>0</v>
      </c>
      <c r="Y134" s="553">
        <f>IFERROR(SUM(Y131:Y132),"0")</f>
        <v>0</v>
      </c>
      <c r="Z134" s="37"/>
      <c r="AA134" s="554"/>
      <c r="AB134" s="554"/>
      <c r="AC134" s="554"/>
    </row>
    <row r="135" spans="1:68" ht="14.25" customHeight="1" x14ac:dyDescent="0.25">
      <c r="A135" s="567" t="s">
        <v>77</v>
      </c>
      <c r="B135" s="564"/>
      <c r="C135" s="564"/>
      <c r="D135" s="564"/>
      <c r="E135" s="564"/>
      <c r="F135" s="564"/>
      <c r="G135" s="564"/>
      <c r="H135" s="564"/>
      <c r="I135" s="564"/>
      <c r="J135" s="564"/>
      <c r="K135" s="564"/>
      <c r="L135" s="564"/>
      <c r="M135" s="564"/>
      <c r="N135" s="564"/>
      <c r="O135" s="564"/>
      <c r="P135" s="564"/>
      <c r="Q135" s="564"/>
      <c r="R135" s="564"/>
      <c r="S135" s="564"/>
      <c r="T135" s="564"/>
      <c r="U135" s="564"/>
      <c r="V135" s="564"/>
      <c r="W135" s="564"/>
      <c r="X135" s="564"/>
      <c r="Y135" s="564"/>
      <c r="Z135" s="564"/>
      <c r="AA135" s="545"/>
      <c r="AB135" s="545"/>
      <c r="AC135" s="545"/>
    </row>
    <row r="136" spans="1:68" ht="16.5" customHeight="1" x14ac:dyDescent="0.25">
      <c r="A136" s="54" t="s">
        <v>236</v>
      </c>
      <c r="B136" s="54" t="s">
        <v>237</v>
      </c>
      <c r="C136" s="31">
        <v>4301051477</v>
      </c>
      <c r="D136" s="558">
        <v>4680115882584</v>
      </c>
      <c r="E136" s="559"/>
      <c r="F136" s="550">
        <v>0.33</v>
      </c>
      <c r="G136" s="32">
        <v>8</v>
      </c>
      <c r="H136" s="550">
        <v>2.64</v>
      </c>
      <c r="I136" s="550">
        <v>2.9079999999999999</v>
      </c>
      <c r="J136" s="32">
        <v>182</v>
      </c>
      <c r="K136" s="32" t="s">
        <v>67</v>
      </c>
      <c r="L136" s="32"/>
      <c r="M136" s="33" t="s">
        <v>96</v>
      </c>
      <c r="N136" s="33"/>
      <c r="O136" s="32">
        <v>60</v>
      </c>
      <c r="P136" s="856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36" s="556"/>
      <c r="R136" s="556"/>
      <c r="S136" s="556"/>
      <c r="T136" s="557"/>
      <c r="U136" s="34"/>
      <c r="V136" s="34"/>
      <c r="W136" s="35" t="s">
        <v>69</v>
      </c>
      <c r="X136" s="551">
        <v>0</v>
      </c>
      <c r="Y136" s="552">
        <f>IFERROR(IF(X136="",0,CEILING((X136/$H136),1)*$H136),"")</f>
        <v>0</v>
      </c>
      <c r="Z136" s="36" t="str">
        <f>IFERROR(IF(Y136=0,"",ROUNDUP(Y136/H136,0)*0.00651),"")</f>
        <v/>
      </c>
      <c r="AA136" s="56"/>
      <c r="AB136" s="57"/>
      <c r="AC136" s="177" t="s">
        <v>230</v>
      </c>
      <c r="AG136" s="64"/>
      <c r="AJ136" s="68"/>
      <c r="AK136" s="68">
        <v>0</v>
      </c>
      <c r="BB136" s="178" t="s">
        <v>1</v>
      </c>
      <c r="BM136" s="64">
        <f>IFERROR(X136*I136/H136,"0")</f>
        <v>0</v>
      </c>
      <c r="BN136" s="64">
        <f>IFERROR(Y136*I136/H136,"0")</f>
        <v>0</v>
      </c>
      <c r="BO136" s="64">
        <f>IFERROR(1/J136*(X136/H136),"0")</f>
        <v>0</v>
      </c>
      <c r="BP136" s="64">
        <f>IFERROR(1/J136*(Y136/H136),"0")</f>
        <v>0</v>
      </c>
    </row>
    <row r="137" spans="1:68" ht="16.5" customHeight="1" x14ac:dyDescent="0.25">
      <c r="A137" s="54" t="s">
        <v>236</v>
      </c>
      <c r="B137" s="54" t="s">
        <v>238</v>
      </c>
      <c r="C137" s="31">
        <v>4301051476</v>
      </c>
      <c r="D137" s="558">
        <v>4680115882584</v>
      </c>
      <c r="E137" s="559"/>
      <c r="F137" s="550">
        <v>0.33</v>
      </c>
      <c r="G137" s="32">
        <v>8</v>
      </c>
      <c r="H137" s="550">
        <v>2.64</v>
      </c>
      <c r="I137" s="550">
        <v>2.9079999999999999</v>
      </c>
      <c r="J137" s="32">
        <v>182</v>
      </c>
      <c r="K137" s="32" t="s">
        <v>67</v>
      </c>
      <c r="L137" s="32" t="s">
        <v>90</v>
      </c>
      <c r="M137" s="33" t="s">
        <v>96</v>
      </c>
      <c r="N137" s="33"/>
      <c r="O137" s="32">
        <v>60</v>
      </c>
      <c r="P137" s="700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37" s="556"/>
      <c r="R137" s="556"/>
      <c r="S137" s="556"/>
      <c r="T137" s="557"/>
      <c r="U137" s="34"/>
      <c r="V137" s="34"/>
      <c r="W137" s="35" t="s">
        <v>69</v>
      </c>
      <c r="X137" s="551">
        <v>0</v>
      </c>
      <c r="Y137" s="552">
        <f>IFERROR(IF(X137="",0,CEILING((X137/$H137),1)*$H137),"")</f>
        <v>0</v>
      </c>
      <c r="Z137" s="36" t="str">
        <f>IFERROR(IF(Y137=0,"",ROUNDUP(Y137/H137,0)*0.00651),"")</f>
        <v/>
      </c>
      <c r="AA137" s="56"/>
      <c r="AB137" s="57"/>
      <c r="AC137" s="179" t="s">
        <v>230</v>
      </c>
      <c r="AG137" s="64"/>
      <c r="AJ137" s="68" t="s">
        <v>92</v>
      </c>
      <c r="AK137" s="68">
        <v>36.96</v>
      </c>
      <c r="BB137" s="180" t="s">
        <v>1</v>
      </c>
      <c r="BM137" s="64">
        <f>IFERROR(X137*I137/H137,"0")</f>
        <v>0</v>
      </c>
      <c r="BN137" s="64">
        <f>IFERROR(Y137*I137/H137,"0")</f>
        <v>0</v>
      </c>
      <c r="BO137" s="64">
        <f>IFERROR(1/J137*(X137/H137),"0")</f>
        <v>0</v>
      </c>
      <c r="BP137" s="64">
        <f>IFERROR(1/J137*(Y137/H137),"0")</f>
        <v>0</v>
      </c>
    </row>
    <row r="138" spans="1:68" x14ac:dyDescent="0.2">
      <c r="A138" s="563"/>
      <c r="B138" s="564"/>
      <c r="C138" s="564"/>
      <c r="D138" s="564"/>
      <c r="E138" s="564"/>
      <c r="F138" s="564"/>
      <c r="G138" s="564"/>
      <c r="H138" s="564"/>
      <c r="I138" s="564"/>
      <c r="J138" s="564"/>
      <c r="K138" s="564"/>
      <c r="L138" s="564"/>
      <c r="M138" s="564"/>
      <c r="N138" s="564"/>
      <c r="O138" s="565"/>
      <c r="P138" s="570" t="s">
        <v>75</v>
      </c>
      <c r="Q138" s="571"/>
      <c r="R138" s="571"/>
      <c r="S138" s="571"/>
      <c r="T138" s="571"/>
      <c r="U138" s="571"/>
      <c r="V138" s="572"/>
      <c r="W138" s="37" t="s">
        <v>76</v>
      </c>
      <c r="X138" s="553">
        <f>IFERROR(X136/H136,"0")+IFERROR(X137/H137,"0")</f>
        <v>0</v>
      </c>
      <c r="Y138" s="553">
        <f>IFERROR(Y136/H136,"0")+IFERROR(Y137/H137,"0")</f>
        <v>0</v>
      </c>
      <c r="Z138" s="553">
        <f>IFERROR(IF(Z136="",0,Z136),"0")+IFERROR(IF(Z137="",0,Z137),"0")</f>
        <v>0</v>
      </c>
      <c r="AA138" s="554"/>
      <c r="AB138" s="554"/>
      <c r="AC138" s="554"/>
    </row>
    <row r="139" spans="1:68" x14ac:dyDescent="0.2">
      <c r="A139" s="564"/>
      <c r="B139" s="564"/>
      <c r="C139" s="564"/>
      <c r="D139" s="564"/>
      <c r="E139" s="564"/>
      <c r="F139" s="564"/>
      <c r="G139" s="564"/>
      <c r="H139" s="564"/>
      <c r="I139" s="564"/>
      <c r="J139" s="564"/>
      <c r="K139" s="564"/>
      <c r="L139" s="564"/>
      <c r="M139" s="564"/>
      <c r="N139" s="564"/>
      <c r="O139" s="565"/>
      <c r="P139" s="570" t="s">
        <v>75</v>
      </c>
      <c r="Q139" s="571"/>
      <c r="R139" s="571"/>
      <c r="S139" s="571"/>
      <c r="T139" s="571"/>
      <c r="U139" s="571"/>
      <c r="V139" s="572"/>
      <c r="W139" s="37" t="s">
        <v>69</v>
      </c>
      <c r="X139" s="553">
        <f>IFERROR(SUM(X136:X137),"0")</f>
        <v>0</v>
      </c>
      <c r="Y139" s="553">
        <f>IFERROR(SUM(Y136:Y137),"0")</f>
        <v>0</v>
      </c>
      <c r="Z139" s="37"/>
      <c r="AA139" s="554"/>
      <c r="AB139" s="554"/>
      <c r="AC139" s="554"/>
    </row>
    <row r="140" spans="1:68" ht="16.5" customHeight="1" x14ac:dyDescent="0.25">
      <c r="A140" s="573" t="s">
        <v>99</v>
      </c>
      <c r="B140" s="564"/>
      <c r="C140" s="564"/>
      <c r="D140" s="564"/>
      <c r="E140" s="564"/>
      <c r="F140" s="564"/>
      <c r="G140" s="564"/>
      <c r="H140" s="564"/>
      <c r="I140" s="564"/>
      <c r="J140" s="564"/>
      <c r="K140" s="564"/>
      <c r="L140" s="564"/>
      <c r="M140" s="564"/>
      <c r="N140" s="564"/>
      <c r="O140" s="564"/>
      <c r="P140" s="564"/>
      <c r="Q140" s="564"/>
      <c r="R140" s="564"/>
      <c r="S140" s="564"/>
      <c r="T140" s="564"/>
      <c r="U140" s="564"/>
      <c r="V140" s="564"/>
      <c r="W140" s="564"/>
      <c r="X140" s="564"/>
      <c r="Y140" s="564"/>
      <c r="Z140" s="564"/>
      <c r="AA140" s="546"/>
      <c r="AB140" s="546"/>
      <c r="AC140" s="546"/>
    </row>
    <row r="141" spans="1:68" ht="14.25" customHeight="1" x14ac:dyDescent="0.25">
      <c r="A141" s="567" t="s">
        <v>101</v>
      </c>
      <c r="B141" s="564"/>
      <c r="C141" s="564"/>
      <c r="D141" s="564"/>
      <c r="E141" s="564"/>
      <c r="F141" s="564"/>
      <c r="G141" s="564"/>
      <c r="H141" s="564"/>
      <c r="I141" s="564"/>
      <c r="J141" s="564"/>
      <c r="K141" s="564"/>
      <c r="L141" s="564"/>
      <c r="M141" s="564"/>
      <c r="N141" s="564"/>
      <c r="O141" s="564"/>
      <c r="P141" s="564"/>
      <c r="Q141" s="564"/>
      <c r="R141" s="564"/>
      <c r="S141" s="564"/>
      <c r="T141" s="564"/>
      <c r="U141" s="564"/>
      <c r="V141" s="564"/>
      <c r="W141" s="564"/>
      <c r="X141" s="564"/>
      <c r="Y141" s="564"/>
      <c r="Z141" s="564"/>
      <c r="AA141" s="545"/>
      <c r="AB141" s="545"/>
      <c r="AC141" s="545"/>
    </row>
    <row r="142" spans="1:68" ht="27" customHeight="1" x14ac:dyDescent="0.25">
      <c r="A142" s="54" t="s">
        <v>239</v>
      </c>
      <c r="B142" s="54" t="s">
        <v>240</v>
      </c>
      <c r="C142" s="31">
        <v>4301012244</v>
      </c>
      <c r="D142" s="558">
        <v>4680115887374</v>
      </c>
      <c r="E142" s="559"/>
      <c r="F142" s="550">
        <v>1.6</v>
      </c>
      <c r="G142" s="32">
        <v>8</v>
      </c>
      <c r="H142" s="550">
        <v>12.8</v>
      </c>
      <c r="I142" s="550">
        <v>13.21</v>
      </c>
      <c r="J142" s="32">
        <v>64</v>
      </c>
      <c r="K142" s="32" t="s">
        <v>104</v>
      </c>
      <c r="L142" s="32"/>
      <c r="M142" s="33" t="s">
        <v>106</v>
      </c>
      <c r="N142" s="33"/>
      <c r="O142" s="32">
        <v>55</v>
      </c>
      <c r="P142" s="682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42" s="556"/>
      <c r="R142" s="556"/>
      <c r="S142" s="556"/>
      <c r="T142" s="557"/>
      <c r="U142" s="34"/>
      <c r="V142" s="34"/>
      <c r="W142" s="35" t="s">
        <v>69</v>
      </c>
      <c r="X142" s="551">
        <v>0</v>
      </c>
      <c r="Y142" s="552">
        <f>IFERROR(IF(X142="",0,CEILING((X142/$H142),1)*$H142),"")</f>
        <v>0</v>
      </c>
      <c r="Z142" s="36" t="str">
        <f>IFERROR(IF(Y142=0,"",ROUNDUP(Y142/H142,0)*0.01898),"")</f>
        <v/>
      </c>
      <c r="AA142" s="56"/>
      <c r="AB142" s="57"/>
      <c r="AC142" s="181" t="s">
        <v>241</v>
      </c>
      <c r="AG142" s="64"/>
      <c r="AJ142" s="68"/>
      <c r="AK142" s="68">
        <v>0</v>
      </c>
      <c r="BB142" s="182" t="s">
        <v>1</v>
      </c>
      <c r="BM142" s="64">
        <f>IFERROR(X142*I142/H142,"0")</f>
        <v>0</v>
      </c>
      <c r="BN142" s="64">
        <f>IFERROR(Y142*I142/H142,"0")</f>
        <v>0</v>
      </c>
      <c r="BO142" s="64">
        <f>IFERROR(1/J142*(X142/H142),"0")</f>
        <v>0</v>
      </c>
      <c r="BP142" s="64">
        <f>IFERROR(1/J142*(Y142/H142),"0")</f>
        <v>0</v>
      </c>
    </row>
    <row r="143" spans="1:68" ht="27" customHeight="1" x14ac:dyDescent="0.25">
      <c r="A143" s="54" t="s">
        <v>242</v>
      </c>
      <c r="B143" s="54" t="s">
        <v>243</v>
      </c>
      <c r="C143" s="31">
        <v>4301011705</v>
      </c>
      <c r="D143" s="558">
        <v>4607091384604</v>
      </c>
      <c r="E143" s="559"/>
      <c r="F143" s="550">
        <v>0.4</v>
      </c>
      <c r="G143" s="32">
        <v>10</v>
      </c>
      <c r="H143" s="550">
        <v>4</v>
      </c>
      <c r="I143" s="550">
        <v>4.1900000000000004</v>
      </c>
      <c r="J143" s="32">
        <v>132</v>
      </c>
      <c r="K143" s="32" t="s">
        <v>110</v>
      </c>
      <c r="L143" s="32" t="s">
        <v>111</v>
      </c>
      <c r="M143" s="33" t="s">
        <v>106</v>
      </c>
      <c r="N143" s="33"/>
      <c r="O143" s="32">
        <v>50</v>
      </c>
      <c r="P143" s="754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43" s="556"/>
      <c r="R143" s="556"/>
      <c r="S143" s="556"/>
      <c r="T143" s="557"/>
      <c r="U143" s="34"/>
      <c r="V143" s="34"/>
      <c r="W143" s="35" t="s">
        <v>69</v>
      </c>
      <c r="X143" s="551">
        <v>0</v>
      </c>
      <c r="Y143" s="552">
        <f>IFERROR(IF(X143="",0,CEILING((X143/$H143),1)*$H143),"")</f>
        <v>0</v>
      </c>
      <c r="Z143" s="36" t="str">
        <f>IFERROR(IF(Y143=0,"",ROUNDUP(Y143/H143,0)*0.00902),"")</f>
        <v/>
      </c>
      <c r="AA143" s="56"/>
      <c r="AB143" s="57"/>
      <c r="AC143" s="183" t="s">
        <v>244</v>
      </c>
      <c r="AG143" s="64"/>
      <c r="AJ143" s="68" t="s">
        <v>92</v>
      </c>
      <c r="AK143" s="68">
        <v>48</v>
      </c>
      <c r="BB143" s="184" t="s">
        <v>1</v>
      </c>
      <c r="BM143" s="64">
        <f>IFERROR(X143*I143/H143,"0")</f>
        <v>0</v>
      </c>
      <c r="BN143" s="64">
        <f>IFERROR(Y143*I143/H143,"0")</f>
        <v>0</v>
      </c>
      <c r="BO143" s="64">
        <f>IFERROR(1/J143*(X143/H143),"0")</f>
        <v>0</v>
      </c>
      <c r="BP143" s="64">
        <f>IFERROR(1/J143*(Y143/H143),"0")</f>
        <v>0</v>
      </c>
    </row>
    <row r="144" spans="1:68" x14ac:dyDescent="0.2">
      <c r="A144" s="563"/>
      <c r="B144" s="564"/>
      <c r="C144" s="564"/>
      <c r="D144" s="564"/>
      <c r="E144" s="564"/>
      <c r="F144" s="564"/>
      <c r="G144" s="564"/>
      <c r="H144" s="564"/>
      <c r="I144" s="564"/>
      <c r="J144" s="564"/>
      <c r="K144" s="564"/>
      <c r="L144" s="564"/>
      <c r="M144" s="564"/>
      <c r="N144" s="564"/>
      <c r="O144" s="565"/>
      <c r="P144" s="570" t="s">
        <v>75</v>
      </c>
      <c r="Q144" s="571"/>
      <c r="R144" s="571"/>
      <c r="S144" s="571"/>
      <c r="T144" s="571"/>
      <c r="U144" s="571"/>
      <c r="V144" s="572"/>
      <c r="W144" s="37" t="s">
        <v>76</v>
      </c>
      <c r="X144" s="553">
        <f>IFERROR(X142/H142,"0")+IFERROR(X143/H143,"0")</f>
        <v>0</v>
      </c>
      <c r="Y144" s="553">
        <f>IFERROR(Y142/H142,"0")+IFERROR(Y143/H143,"0")</f>
        <v>0</v>
      </c>
      <c r="Z144" s="553">
        <f>IFERROR(IF(Z142="",0,Z142),"0")+IFERROR(IF(Z143="",0,Z143),"0")</f>
        <v>0</v>
      </c>
      <c r="AA144" s="554"/>
      <c r="AB144" s="554"/>
      <c r="AC144" s="554"/>
    </row>
    <row r="145" spans="1:68" x14ac:dyDescent="0.2">
      <c r="A145" s="564"/>
      <c r="B145" s="564"/>
      <c r="C145" s="564"/>
      <c r="D145" s="564"/>
      <c r="E145" s="564"/>
      <c r="F145" s="564"/>
      <c r="G145" s="564"/>
      <c r="H145" s="564"/>
      <c r="I145" s="564"/>
      <c r="J145" s="564"/>
      <c r="K145" s="564"/>
      <c r="L145" s="564"/>
      <c r="M145" s="564"/>
      <c r="N145" s="564"/>
      <c r="O145" s="565"/>
      <c r="P145" s="570" t="s">
        <v>75</v>
      </c>
      <c r="Q145" s="571"/>
      <c r="R145" s="571"/>
      <c r="S145" s="571"/>
      <c r="T145" s="571"/>
      <c r="U145" s="571"/>
      <c r="V145" s="572"/>
      <c r="W145" s="37" t="s">
        <v>69</v>
      </c>
      <c r="X145" s="553">
        <f>IFERROR(SUM(X142:X143),"0")</f>
        <v>0</v>
      </c>
      <c r="Y145" s="553">
        <f>IFERROR(SUM(Y142:Y143),"0")</f>
        <v>0</v>
      </c>
      <c r="Z145" s="37"/>
      <c r="AA145" s="554"/>
      <c r="AB145" s="554"/>
      <c r="AC145" s="554"/>
    </row>
    <row r="146" spans="1:68" ht="14.25" customHeight="1" x14ac:dyDescent="0.25">
      <c r="A146" s="567" t="s">
        <v>64</v>
      </c>
      <c r="B146" s="564"/>
      <c r="C146" s="564"/>
      <c r="D146" s="564"/>
      <c r="E146" s="564"/>
      <c r="F146" s="564"/>
      <c r="G146" s="564"/>
      <c r="H146" s="564"/>
      <c r="I146" s="564"/>
      <c r="J146" s="564"/>
      <c r="K146" s="564"/>
      <c r="L146" s="564"/>
      <c r="M146" s="564"/>
      <c r="N146" s="564"/>
      <c r="O146" s="564"/>
      <c r="P146" s="564"/>
      <c r="Q146" s="564"/>
      <c r="R146" s="564"/>
      <c r="S146" s="564"/>
      <c r="T146" s="564"/>
      <c r="U146" s="564"/>
      <c r="V146" s="564"/>
      <c r="W146" s="564"/>
      <c r="X146" s="564"/>
      <c r="Y146" s="564"/>
      <c r="Z146" s="564"/>
      <c r="AA146" s="545"/>
      <c r="AB146" s="545"/>
      <c r="AC146" s="545"/>
    </row>
    <row r="147" spans="1:68" ht="16.5" customHeight="1" x14ac:dyDescent="0.25">
      <c r="A147" s="54" t="s">
        <v>245</v>
      </c>
      <c r="B147" s="54" t="s">
        <v>246</v>
      </c>
      <c r="C147" s="31">
        <v>4301030895</v>
      </c>
      <c r="D147" s="558">
        <v>4607091387667</v>
      </c>
      <c r="E147" s="559"/>
      <c r="F147" s="550">
        <v>0.9</v>
      </c>
      <c r="G147" s="32">
        <v>10</v>
      </c>
      <c r="H147" s="550">
        <v>9</v>
      </c>
      <c r="I147" s="550">
        <v>9.56</v>
      </c>
      <c r="J147" s="32">
        <v>64</v>
      </c>
      <c r="K147" s="32" t="s">
        <v>104</v>
      </c>
      <c r="L147" s="32" t="s">
        <v>105</v>
      </c>
      <c r="M147" s="33" t="s">
        <v>106</v>
      </c>
      <c r="N147" s="33"/>
      <c r="O147" s="32">
        <v>40</v>
      </c>
      <c r="P147" s="606" t="str">
        <f>HYPERLINK("https://abi.ru/products/Охлажденные/Вязанка/Вязанка/Копченые колбасы/P001841/","В/к колбасы Балыковая Вязанка Весовые Фиброуз в/у Вязанка")</f>
        <v>В/к колбасы Балыковая Вязанка Весовые Фиброуз в/у Вязанка</v>
      </c>
      <c r="Q147" s="556"/>
      <c r="R147" s="556"/>
      <c r="S147" s="556"/>
      <c r="T147" s="557"/>
      <c r="U147" s="34"/>
      <c r="V147" s="34"/>
      <c r="W147" s="35" t="s">
        <v>69</v>
      </c>
      <c r="X147" s="551">
        <v>60</v>
      </c>
      <c r="Y147" s="552">
        <f t="shared" ref="Y147:Y152" si="5">IFERROR(IF(X147="",0,CEILING((X147/$H147),1)*$H147),"")</f>
        <v>63</v>
      </c>
      <c r="Z147" s="36">
        <f>IFERROR(IF(Y147=0,"",ROUNDUP(Y147/H147,0)*0.01898),"")</f>
        <v>0.13286000000000001</v>
      </c>
      <c r="AA147" s="56"/>
      <c r="AB147" s="57"/>
      <c r="AC147" s="185" t="s">
        <v>247</v>
      </c>
      <c r="AG147" s="64"/>
      <c r="AJ147" s="68" t="s">
        <v>92</v>
      </c>
      <c r="AK147" s="68">
        <v>72</v>
      </c>
      <c r="BB147" s="186" t="s">
        <v>1</v>
      </c>
      <c r="BM147" s="64">
        <f t="shared" ref="BM147:BM152" si="6">IFERROR(X147*I147/H147,"0")</f>
        <v>63.733333333333334</v>
      </c>
      <c r="BN147" s="64">
        <f t="shared" ref="BN147:BN152" si="7">IFERROR(Y147*I147/H147,"0")</f>
        <v>66.920000000000016</v>
      </c>
      <c r="BO147" s="64">
        <f t="shared" ref="BO147:BO152" si="8">IFERROR(1/J147*(X147/H147),"0")</f>
        <v>0.10416666666666667</v>
      </c>
      <c r="BP147" s="64">
        <f t="shared" ref="BP147:BP152" si="9">IFERROR(1/J147*(Y147/H147),"0")</f>
        <v>0.109375</v>
      </c>
    </row>
    <row r="148" spans="1:68" ht="16.5" customHeight="1" x14ac:dyDescent="0.25">
      <c r="A148" s="54" t="s">
        <v>248</v>
      </c>
      <c r="B148" s="54" t="s">
        <v>249</v>
      </c>
      <c r="C148" s="31">
        <v>4301031450</v>
      </c>
      <c r="D148" s="558">
        <v>4680115887428</v>
      </c>
      <c r="E148" s="559"/>
      <c r="F148" s="550">
        <v>0.7</v>
      </c>
      <c r="G148" s="32">
        <v>6</v>
      </c>
      <c r="H148" s="550">
        <v>4.2</v>
      </c>
      <c r="I148" s="550">
        <v>4.3899999999999997</v>
      </c>
      <c r="J148" s="32">
        <v>132</v>
      </c>
      <c r="K148" s="32" t="s">
        <v>110</v>
      </c>
      <c r="L148" s="32"/>
      <c r="M148" s="33" t="s">
        <v>68</v>
      </c>
      <c r="N148" s="33"/>
      <c r="O148" s="32">
        <v>40</v>
      </c>
      <c r="P148" s="639" t="str">
        <f>HYPERLINK("https://abi.ru/products/Охлажденные/Вязанка/Вязанка/Копченые колбасы/P005165/","Копченые колбасы «Балыковая» Весовой фиброуз ТМ «Вязанка»")</f>
        <v>Копченые колбасы «Балыковая» Весовой фиброуз ТМ «Вязанка»</v>
      </c>
      <c r="Q148" s="556"/>
      <c r="R148" s="556"/>
      <c r="S148" s="556"/>
      <c r="T148" s="557"/>
      <c r="U148" s="34"/>
      <c r="V148" s="34"/>
      <c r="W148" s="35" t="s">
        <v>69</v>
      </c>
      <c r="X148" s="551">
        <v>0</v>
      </c>
      <c r="Y148" s="552">
        <f t="shared" si="5"/>
        <v>0</v>
      </c>
      <c r="Z148" s="36" t="str">
        <f>IFERROR(IF(Y148=0,"",ROUNDUP(Y148/H148,0)*0.00902),"")</f>
        <v/>
      </c>
      <c r="AA148" s="56"/>
      <c r="AB148" s="57"/>
      <c r="AC148" s="187" t="s">
        <v>250</v>
      </c>
      <c r="AG148" s="64"/>
      <c r="AJ148" s="68"/>
      <c r="AK148" s="68">
        <v>0</v>
      </c>
      <c r="BB148" s="188" t="s">
        <v>1</v>
      </c>
      <c r="BM148" s="64">
        <f t="shared" si="6"/>
        <v>0</v>
      </c>
      <c r="BN148" s="64">
        <f t="shared" si="7"/>
        <v>0</v>
      </c>
      <c r="BO148" s="64">
        <f t="shared" si="8"/>
        <v>0</v>
      </c>
      <c r="BP148" s="64">
        <f t="shared" si="9"/>
        <v>0</v>
      </c>
    </row>
    <row r="149" spans="1:68" ht="16.5" customHeight="1" x14ac:dyDescent="0.25">
      <c r="A149" s="54" t="s">
        <v>251</v>
      </c>
      <c r="B149" s="54" t="s">
        <v>252</v>
      </c>
      <c r="C149" s="31">
        <v>4301030961</v>
      </c>
      <c r="D149" s="558">
        <v>4607091387636</v>
      </c>
      <c r="E149" s="559"/>
      <c r="F149" s="550">
        <v>0.7</v>
      </c>
      <c r="G149" s="32">
        <v>6</v>
      </c>
      <c r="H149" s="550">
        <v>4.2</v>
      </c>
      <c r="I149" s="550">
        <v>4.47</v>
      </c>
      <c r="J149" s="32">
        <v>182</v>
      </c>
      <c r="K149" s="32" t="s">
        <v>67</v>
      </c>
      <c r="L149" s="32"/>
      <c r="M149" s="33" t="s">
        <v>68</v>
      </c>
      <c r="N149" s="33"/>
      <c r="O149" s="32">
        <v>40</v>
      </c>
      <c r="P149" s="868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149" s="556"/>
      <c r="R149" s="556"/>
      <c r="S149" s="556"/>
      <c r="T149" s="557"/>
      <c r="U149" s="34"/>
      <c r="V149" s="34"/>
      <c r="W149" s="35" t="s">
        <v>69</v>
      </c>
      <c r="X149" s="551">
        <v>25</v>
      </c>
      <c r="Y149" s="552">
        <f t="shared" si="5"/>
        <v>25.200000000000003</v>
      </c>
      <c r="Z149" s="36">
        <f>IFERROR(IF(Y149=0,"",ROUNDUP(Y149/H149,0)*0.00651),"")</f>
        <v>3.9059999999999997E-2</v>
      </c>
      <c r="AA149" s="56"/>
      <c r="AB149" s="57"/>
      <c r="AC149" s="189" t="s">
        <v>253</v>
      </c>
      <c r="AG149" s="64"/>
      <c r="AJ149" s="68"/>
      <c r="AK149" s="68">
        <v>0</v>
      </c>
      <c r="BB149" s="190" t="s">
        <v>1</v>
      </c>
      <c r="BM149" s="64">
        <f t="shared" si="6"/>
        <v>26.607142857142858</v>
      </c>
      <c r="BN149" s="64">
        <f t="shared" si="7"/>
        <v>26.82</v>
      </c>
      <c r="BO149" s="64">
        <f t="shared" si="8"/>
        <v>3.2705389848246995E-2</v>
      </c>
      <c r="BP149" s="64">
        <f t="shared" si="9"/>
        <v>3.2967032967032968E-2</v>
      </c>
    </row>
    <row r="150" spans="1:68" ht="27" customHeight="1" x14ac:dyDescent="0.25">
      <c r="A150" s="54" t="s">
        <v>254</v>
      </c>
      <c r="B150" s="54" t="s">
        <v>255</v>
      </c>
      <c r="C150" s="31">
        <v>4301031453</v>
      </c>
      <c r="D150" s="558">
        <v>4680115887336</v>
      </c>
      <c r="E150" s="559"/>
      <c r="F150" s="550">
        <v>0.7</v>
      </c>
      <c r="G150" s="32">
        <v>6</v>
      </c>
      <c r="H150" s="550">
        <v>4.2</v>
      </c>
      <c r="I150" s="550">
        <v>4.3899999999999997</v>
      </c>
      <c r="J150" s="32">
        <v>132</v>
      </c>
      <c r="K150" s="32" t="s">
        <v>110</v>
      </c>
      <c r="L150" s="32"/>
      <c r="M150" s="33" t="s">
        <v>68</v>
      </c>
      <c r="N150" s="33"/>
      <c r="O150" s="32">
        <v>40</v>
      </c>
      <c r="P150" s="584" t="str">
        <f>HYPERLINK("https://abi.ru/products/Охлажденные/Вязанка/Вязанка/Копченые колбасы/P005168/","Копченые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50" s="556"/>
      <c r="R150" s="556"/>
      <c r="S150" s="556"/>
      <c r="T150" s="557"/>
      <c r="U150" s="34"/>
      <c r="V150" s="34"/>
      <c r="W150" s="35" t="s">
        <v>69</v>
      </c>
      <c r="X150" s="551">
        <v>0</v>
      </c>
      <c r="Y150" s="552">
        <f t="shared" si="5"/>
        <v>0</v>
      </c>
      <c r="Z150" s="36" t="str">
        <f>IFERROR(IF(Y150=0,"",ROUNDUP(Y150/H150,0)*0.00902),"")</f>
        <v/>
      </c>
      <c r="AA150" s="56"/>
      <c r="AB150" s="57"/>
      <c r="AC150" s="191" t="s">
        <v>256</v>
      </c>
      <c r="AG150" s="64"/>
      <c r="AJ150" s="68"/>
      <c r="AK150" s="68">
        <v>0</v>
      </c>
      <c r="BB150" s="192" t="s">
        <v>1</v>
      </c>
      <c r="BM150" s="64">
        <f t="shared" si="6"/>
        <v>0</v>
      </c>
      <c r="BN150" s="64">
        <f t="shared" si="7"/>
        <v>0</v>
      </c>
      <c r="BO150" s="64">
        <f t="shared" si="8"/>
        <v>0</v>
      </c>
      <c r="BP150" s="64">
        <f t="shared" si="9"/>
        <v>0</v>
      </c>
    </row>
    <row r="151" spans="1:68" ht="27" customHeight="1" x14ac:dyDescent="0.25">
      <c r="A151" s="54" t="s">
        <v>257</v>
      </c>
      <c r="B151" s="54" t="s">
        <v>258</v>
      </c>
      <c r="C151" s="31">
        <v>4301030963</v>
      </c>
      <c r="D151" s="558">
        <v>4607091382426</v>
      </c>
      <c r="E151" s="559"/>
      <c r="F151" s="550">
        <v>0.9</v>
      </c>
      <c r="G151" s="32">
        <v>10</v>
      </c>
      <c r="H151" s="550">
        <v>9</v>
      </c>
      <c r="I151" s="550">
        <v>9.56</v>
      </c>
      <c r="J151" s="32">
        <v>64</v>
      </c>
      <c r="K151" s="32" t="s">
        <v>104</v>
      </c>
      <c r="L151" s="32" t="s">
        <v>105</v>
      </c>
      <c r="M151" s="33" t="s">
        <v>68</v>
      </c>
      <c r="N151" s="33"/>
      <c r="O151" s="32">
        <v>40</v>
      </c>
      <c r="P151" s="875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51" s="556"/>
      <c r="R151" s="556"/>
      <c r="S151" s="556"/>
      <c r="T151" s="557"/>
      <c r="U151" s="34"/>
      <c r="V151" s="34"/>
      <c r="W151" s="35" t="s">
        <v>69</v>
      </c>
      <c r="X151" s="551">
        <v>0</v>
      </c>
      <c r="Y151" s="552">
        <f t="shared" si="5"/>
        <v>0</v>
      </c>
      <c r="Z151" s="36" t="str">
        <f>IFERROR(IF(Y151=0,"",ROUNDUP(Y151/H151,0)*0.01898),"")</f>
        <v/>
      </c>
      <c r="AA151" s="56"/>
      <c r="AB151" s="57"/>
      <c r="AC151" s="193" t="s">
        <v>259</v>
      </c>
      <c r="AG151" s="64"/>
      <c r="AJ151" s="68" t="s">
        <v>92</v>
      </c>
      <c r="AK151" s="68">
        <v>72</v>
      </c>
      <c r="BB151" s="194" t="s">
        <v>1</v>
      </c>
      <c r="BM151" s="64">
        <f t="shared" si="6"/>
        <v>0</v>
      </c>
      <c r="BN151" s="64">
        <f t="shared" si="7"/>
        <v>0</v>
      </c>
      <c r="BO151" s="64">
        <f t="shared" si="8"/>
        <v>0</v>
      </c>
      <c r="BP151" s="64">
        <f t="shared" si="9"/>
        <v>0</v>
      </c>
    </row>
    <row r="152" spans="1:68" ht="27" customHeight="1" x14ac:dyDescent="0.25">
      <c r="A152" s="54" t="s">
        <v>260</v>
      </c>
      <c r="B152" s="54" t="s">
        <v>261</v>
      </c>
      <c r="C152" s="31">
        <v>4301031456</v>
      </c>
      <c r="D152" s="558">
        <v>4680115887398</v>
      </c>
      <c r="E152" s="559"/>
      <c r="F152" s="550">
        <v>0.7</v>
      </c>
      <c r="G152" s="32">
        <v>6</v>
      </c>
      <c r="H152" s="550">
        <v>4.2</v>
      </c>
      <c r="I152" s="550">
        <v>4.3899999999999997</v>
      </c>
      <c r="J152" s="32">
        <v>132</v>
      </c>
      <c r="K152" s="32" t="s">
        <v>110</v>
      </c>
      <c r="L152" s="32"/>
      <c r="M152" s="33" t="s">
        <v>68</v>
      </c>
      <c r="N152" s="33"/>
      <c r="O152" s="32">
        <v>40</v>
      </c>
      <c r="P152" s="590" t="str">
        <f>HYPERLINK("https://abi.ru/products/Охлажденные/Вязанка/Вязанка/Копченые колбасы/P005171/","Копченые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52" s="556"/>
      <c r="R152" s="556"/>
      <c r="S152" s="556"/>
      <c r="T152" s="557"/>
      <c r="U152" s="34"/>
      <c r="V152" s="34"/>
      <c r="W152" s="35" t="s">
        <v>69</v>
      </c>
      <c r="X152" s="551">
        <v>0</v>
      </c>
      <c r="Y152" s="552">
        <f t="shared" si="5"/>
        <v>0</v>
      </c>
      <c r="Z152" s="36" t="str">
        <f>IFERROR(IF(Y152=0,"",ROUNDUP(Y152/H152,0)*0.00902),"")</f>
        <v/>
      </c>
      <c r="AA152" s="56"/>
      <c r="AB152" s="57"/>
      <c r="AC152" s="195" t="s">
        <v>262</v>
      </c>
      <c r="AG152" s="64"/>
      <c r="AJ152" s="68"/>
      <c r="AK152" s="68">
        <v>0</v>
      </c>
      <c r="BB152" s="196" t="s">
        <v>1</v>
      </c>
      <c r="BM152" s="64">
        <f t="shared" si="6"/>
        <v>0</v>
      </c>
      <c r="BN152" s="64">
        <f t="shared" si="7"/>
        <v>0</v>
      </c>
      <c r="BO152" s="64">
        <f t="shared" si="8"/>
        <v>0</v>
      </c>
      <c r="BP152" s="64">
        <f t="shared" si="9"/>
        <v>0</v>
      </c>
    </row>
    <row r="153" spans="1:68" x14ac:dyDescent="0.2">
      <c r="A153" s="563"/>
      <c r="B153" s="564"/>
      <c r="C153" s="564"/>
      <c r="D153" s="564"/>
      <c r="E153" s="564"/>
      <c r="F153" s="564"/>
      <c r="G153" s="564"/>
      <c r="H153" s="564"/>
      <c r="I153" s="564"/>
      <c r="J153" s="564"/>
      <c r="K153" s="564"/>
      <c r="L153" s="564"/>
      <c r="M153" s="564"/>
      <c r="N153" s="564"/>
      <c r="O153" s="565"/>
      <c r="P153" s="570" t="s">
        <v>75</v>
      </c>
      <c r="Q153" s="571"/>
      <c r="R153" s="571"/>
      <c r="S153" s="571"/>
      <c r="T153" s="571"/>
      <c r="U153" s="571"/>
      <c r="V153" s="572"/>
      <c r="W153" s="37" t="s">
        <v>76</v>
      </c>
      <c r="X153" s="553">
        <f>IFERROR(X147/H147,"0")+IFERROR(X148/H148,"0")+IFERROR(X149/H149,"0")+IFERROR(X150/H150,"0")+IFERROR(X151/H151,"0")+IFERROR(X152/H152,"0")</f>
        <v>12.61904761904762</v>
      </c>
      <c r="Y153" s="553">
        <f>IFERROR(Y147/H147,"0")+IFERROR(Y148/H148,"0")+IFERROR(Y149/H149,"0")+IFERROR(Y150/H150,"0")+IFERROR(Y151/H151,"0")+IFERROR(Y152/H152,"0")</f>
        <v>13</v>
      </c>
      <c r="Z153" s="553">
        <f>IFERROR(IF(Z147="",0,Z147),"0")+IFERROR(IF(Z148="",0,Z148),"0")+IFERROR(IF(Z149="",0,Z149),"0")+IFERROR(IF(Z150="",0,Z150),"0")+IFERROR(IF(Z151="",0,Z151),"0")+IFERROR(IF(Z152="",0,Z152),"0")</f>
        <v>0.17192000000000002</v>
      </c>
      <c r="AA153" s="554"/>
      <c r="AB153" s="554"/>
      <c r="AC153" s="554"/>
    </row>
    <row r="154" spans="1:68" x14ac:dyDescent="0.2">
      <c r="A154" s="564"/>
      <c r="B154" s="564"/>
      <c r="C154" s="564"/>
      <c r="D154" s="564"/>
      <c r="E154" s="564"/>
      <c r="F154" s="564"/>
      <c r="G154" s="564"/>
      <c r="H154" s="564"/>
      <c r="I154" s="564"/>
      <c r="J154" s="564"/>
      <c r="K154" s="564"/>
      <c r="L154" s="564"/>
      <c r="M154" s="564"/>
      <c r="N154" s="564"/>
      <c r="O154" s="565"/>
      <c r="P154" s="570" t="s">
        <v>75</v>
      </c>
      <c r="Q154" s="571"/>
      <c r="R154" s="571"/>
      <c r="S154" s="571"/>
      <c r="T154" s="571"/>
      <c r="U154" s="571"/>
      <c r="V154" s="572"/>
      <c r="W154" s="37" t="s">
        <v>69</v>
      </c>
      <c r="X154" s="553">
        <f>IFERROR(SUM(X147:X152),"0")</f>
        <v>85</v>
      </c>
      <c r="Y154" s="553">
        <f>IFERROR(SUM(Y147:Y152),"0")</f>
        <v>88.2</v>
      </c>
      <c r="Z154" s="37"/>
      <c r="AA154" s="554"/>
      <c r="AB154" s="554"/>
      <c r="AC154" s="554"/>
    </row>
    <row r="155" spans="1:68" ht="14.25" customHeight="1" x14ac:dyDescent="0.25">
      <c r="A155" s="567" t="s">
        <v>77</v>
      </c>
      <c r="B155" s="564"/>
      <c r="C155" s="564"/>
      <c r="D155" s="564"/>
      <c r="E155" s="564"/>
      <c r="F155" s="564"/>
      <c r="G155" s="564"/>
      <c r="H155" s="564"/>
      <c r="I155" s="564"/>
      <c r="J155" s="564"/>
      <c r="K155" s="564"/>
      <c r="L155" s="564"/>
      <c r="M155" s="564"/>
      <c r="N155" s="564"/>
      <c r="O155" s="564"/>
      <c r="P155" s="564"/>
      <c r="Q155" s="564"/>
      <c r="R155" s="564"/>
      <c r="S155" s="564"/>
      <c r="T155" s="564"/>
      <c r="U155" s="564"/>
      <c r="V155" s="564"/>
      <c r="W155" s="564"/>
      <c r="X155" s="564"/>
      <c r="Y155" s="564"/>
      <c r="Z155" s="564"/>
      <c r="AA155" s="545"/>
      <c r="AB155" s="545"/>
      <c r="AC155" s="545"/>
    </row>
    <row r="156" spans="1:68" ht="27" customHeight="1" x14ac:dyDescent="0.25">
      <c r="A156" s="54" t="s">
        <v>263</v>
      </c>
      <c r="B156" s="54" t="s">
        <v>264</v>
      </c>
      <c r="C156" s="31">
        <v>4301052064</v>
      </c>
      <c r="D156" s="558">
        <v>4680115887459</v>
      </c>
      <c r="E156" s="559"/>
      <c r="F156" s="550">
        <v>0.3</v>
      </c>
      <c r="G156" s="32">
        <v>6</v>
      </c>
      <c r="H156" s="550">
        <v>1.8</v>
      </c>
      <c r="I156" s="550">
        <v>2.0579999999999998</v>
      </c>
      <c r="J156" s="32">
        <v>182</v>
      </c>
      <c r="K156" s="32" t="s">
        <v>67</v>
      </c>
      <c r="L156" s="32"/>
      <c r="M156" s="33" t="s">
        <v>80</v>
      </c>
      <c r="N156" s="33"/>
      <c r="O156" s="32">
        <v>45</v>
      </c>
      <c r="P156" s="767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56" s="556"/>
      <c r="R156" s="556"/>
      <c r="S156" s="556"/>
      <c r="T156" s="557"/>
      <c r="U156" s="34"/>
      <c r="V156" s="34"/>
      <c r="W156" s="35" t="s">
        <v>69</v>
      </c>
      <c r="X156" s="551">
        <v>0</v>
      </c>
      <c r="Y156" s="552">
        <f>IFERROR(IF(X156="",0,CEILING((X156/$H156),1)*$H156),"")</f>
        <v>0</v>
      </c>
      <c r="Z156" s="36" t="str">
        <f>IFERROR(IF(Y156=0,"",ROUNDUP(Y156/H156,0)*0.00651),"")</f>
        <v/>
      </c>
      <c r="AA156" s="56"/>
      <c r="AB156" s="57"/>
      <c r="AC156" s="197" t="s">
        <v>265</v>
      </c>
      <c r="AG156" s="64"/>
      <c r="AJ156" s="68"/>
      <c r="AK156" s="68">
        <v>0</v>
      </c>
      <c r="BB156" s="198" t="s">
        <v>1</v>
      </c>
      <c r="BM156" s="64">
        <f>IFERROR(X156*I156/H156,"0")</f>
        <v>0</v>
      </c>
      <c r="BN156" s="64">
        <f>IFERROR(Y156*I156/H156,"0")</f>
        <v>0</v>
      </c>
      <c r="BO156" s="64">
        <f>IFERROR(1/J156*(X156/H156),"0")</f>
        <v>0</v>
      </c>
      <c r="BP156" s="64">
        <f>IFERROR(1/J156*(Y156/H156),"0")</f>
        <v>0</v>
      </c>
    </row>
    <row r="157" spans="1:68" x14ac:dyDescent="0.2">
      <c r="A157" s="563"/>
      <c r="B157" s="564"/>
      <c r="C157" s="564"/>
      <c r="D157" s="564"/>
      <c r="E157" s="564"/>
      <c r="F157" s="564"/>
      <c r="G157" s="564"/>
      <c r="H157" s="564"/>
      <c r="I157" s="564"/>
      <c r="J157" s="564"/>
      <c r="K157" s="564"/>
      <c r="L157" s="564"/>
      <c r="M157" s="564"/>
      <c r="N157" s="564"/>
      <c r="O157" s="565"/>
      <c r="P157" s="570" t="s">
        <v>75</v>
      </c>
      <c r="Q157" s="571"/>
      <c r="R157" s="571"/>
      <c r="S157" s="571"/>
      <c r="T157" s="571"/>
      <c r="U157" s="571"/>
      <c r="V157" s="572"/>
      <c r="W157" s="37" t="s">
        <v>76</v>
      </c>
      <c r="X157" s="553">
        <f>IFERROR(X156/H156,"0")</f>
        <v>0</v>
      </c>
      <c r="Y157" s="553">
        <f>IFERROR(Y156/H156,"0")</f>
        <v>0</v>
      </c>
      <c r="Z157" s="553">
        <f>IFERROR(IF(Z156="",0,Z156),"0")</f>
        <v>0</v>
      </c>
      <c r="AA157" s="554"/>
      <c r="AB157" s="554"/>
      <c r="AC157" s="554"/>
    </row>
    <row r="158" spans="1:68" x14ac:dyDescent="0.2">
      <c r="A158" s="564"/>
      <c r="B158" s="564"/>
      <c r="C158" s="564"/>
      <c r="D158" s="564"/>
      <c r="E158" s="564"/>
      <c r="F158" s="564"/>
      <c r="G158" s="564"/>
      <c r="H158" s="564"/>
      <c r="I158" s="564"/>
      <c r="J158" s="564"/>
      <c r="K158" s="564"/>
      <c r="L158" s="564"/>
      <c r="M158" s="564"/>
      <c r="N158" s="564"/>
      <c r="O158" s="565"/>
      <c r="P158" s="570" t="s">
        <v>75</v>
      </c>
      <c r="Q158" s="571"/>
      <c r="R158" s="571"/>
      <c r="S158" s="571"/>
      <c r="T158" s="571"/>
      <c r="U158" s="571"/>
      <c r="V158" s="572"/>
      <c r="W158" s="37" t="s">
        <v>69</v>
      </c>
      <c r="X158" s="553">
        <f>IFERROR(SUM(X156:X156),"0")</f>
        <v>0</v>
      </c>
      <c r="Y158" s="553">
        <f>IFERROR(SUM(Y156:Y156),"0")</f>
        <v>0</v>
      </c>
      <c r="Z158" s="37"/>
      <c r="AA158" s="554"/>
      <c r="AB158" s="554"/>
      <c r="AC158" s="554"/>
    </row>
    <row r="159" spans="1:68" ht="27.75" customHeight="1" x14ac:dyDescent="0.2">
      <c r="A159" s="626" t="s">
        <v>266</v>
      </c>
      <c r="B159" s="627"/>
      <c r="C159" s="627"/>
      <c r="D159" s="627"/>
      <c r="E159" s="627"/>
      <c r="F159" s="627"/>
      <c r="G159" s="627"/>
      <c r="H159" s="627"/>
      <c r="I159" s="627"/>
      <c r="J159" s="627"/>
      <c r="K159" s="627"/>
      <c r="L159" s="627"/>
      <c r="M159" s="627"/>
      <c r="N159" s="627"/>
      <c r="O159" s="627"/>
      <c r="P159" s="627"/>
      <c r="Q159" s="627"/>
      <c r="R159" s="627"/>
      <c r="S159" s="627"/>
      <c r="T159" s="627"/>
      <c r="U159" s="627"/>
      <c r="V159" s="627"/>
      <c r="W159" s="627"/>
      <c r="X159" s="627"/>
      <c r="Y159" s="627"/>
      <c r="Z159" s="627"/>
      <c r="AA159" s="48"/>
      <c r="AB159" s="48"/>
      <c r="AC159" s="48"/>
    </row>
    <row r="160" spans="1:68" ht="16.5" customHeight="1" x14ac:dyDescent="0.25">
      <c r="A160" s="573" t="s">
        <v>267</v>
      </c>
      <c r="B160" s="564"/>
      <c r="C160" s="564"/>
      <c r="D160" s="564"/>
      <c r="E160" s="564"/>
      <c r="F160" s="564"/>
      <c r="G160" s="564"/>
      <c r="H160" s="564"/>
      <c r="I160" s="564"/>
      <c r="J160" s="564"/>
      <c r="K160" s="564"/>
      <c r="L160" s="564"/>
      <c r="M160" s="564"/>
      <c r="N160" s="564"/>
      <c r="O160" s="564"/>
      <c r="P160" s="564"/>
      <c r="Q160" s="564"/>
      <c r="R160" s="564"/>
      <c r="S160" s="564"/>
      <c r="T160" s="564"/>
      <c r="U160" s="564"/>
      <c r="V160" s="564"/>
      <c r="W160" s="564"/>
      <c r="X160" s="564"/>
      <c r="Y160" s="564"/>
      <c r="Z160" s="564"/>
      <c r="AA160" s="546"/>
      <c r="AB160" s="546"/>
      <c r="AC160" s="546"/>
    </row>
    <row r="161" spans="1:68" ht="14.25" customHeight="1" x14ac:dyDescent="0.25">
      <c r="A161" s="567" t="s">
        <v>136</v>
      </c>
      <c r="B161" s="564"/>
      <c r="C161" s="564"/>
      <c r="D161" s="564"/>
      <c r="E161" s="564"/>
      <c r="F161" s="564"/>
      <c r="G161" s="564"/>
      <c r="H161" s="564"/>
      <c r="I161" s="564"/>
      <c r="J161" s="564"/>
      <c r="K161" s="564"/>
      <c r="L161" s="564"/>
      <c r="M161" s="564"/>
      <c r="N161" s="564"/>
      <c r="O161" s="564"/>
      <c r="P161" s="564"/>
      <c r="Q161" s="564"/>
      <c r="R161" s="564"/>
      <c r="S161" s="564"/>
      <c r="T161" s="564"/>
      <c r="U161" s="564"/>
      <c r="V161" s="564"/>
      <c r="W161" s="564"/>
      <c r="X161" s="564"/>
      <c r="Y161" s="564"/>
      <c r="Z161" s="564"/>
      <c r="AA161" s="545"/>
      <c r="AB161" s="545"/>
      <c r="AC161" s="545"/>
    </row>
    <row r="162" spans="1:68" ht="27" customHeight="1" x14ac:dyDescent="0.25">
      <c r="A162" s="54" t="s">
        <v>268</v>
      </c>
      <c r="B162" s="54" t="s">
        <v>269</v>
      </c>
      <c r="C162" s="31">
        <v>4301020323</v>
      </c>
      <c r="D162" s="558">
        <v>4680115886223</v>
      </c>
      <c r="E162" s="559"/>
      <c r="F162" s="550">
        <v>0.33</v>
      </c>
      <c r="G162" s="32">
        <v>6</v>
      </c>
      <c r="H162" s="550">
        <v>1.98</v>
      </c>
      <c r="I162" s="550">
        <v>2.08</v>
      </c>
      <c r="J162" s="32">
        <v>234</v>
      </c>
      <c r="K162" s="32" t="s">
        <v>73</v>
      </c>
      <c r="L162" s="32"/>
      <c r="M162" s="33" t="s">
        <v>68</v>
      </c>
      <c r="N162" s="33"/>
      <c r="O162" s="32">
        <v>40</v>
      </c>
      <c r="P162" s="798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62" s="556"/>
      <c r="R162" s="556"/>
      <c r="S162" s="556"/>
      <c r="T162" s="557"/>
      <c r="U162" s="34"/>
      <c r="V162" s="34"/>
      <c r="W162" s="35" t="s">
        <v>69</v>
      </c>
      <c r="X162" s="551">
        <v>0</v>
      </c>
      <c r="Y162" s="552">
        <f>IFERROR(IF(X162="",0,CEILING((X162/$H162),1)*$H162),"")</f>
        <v>0</v>
      </c>
      <c r="Z162" s="36" t="str">
        <f>IFERROR(IF(Y162=0,"",ROUNDUP(Y162/H162,0)*0.00502),"")</f>
        <v/>
      </c>
      <c r="AA162" s="56"/>
      <c r="AB162" s="57"/>
      <c r="AC162" s="199" t="s">
        <v>270</v>
      </c>
      <c r="AG162" s="64"/>
      <c r="AJ162" s="68"/>
      <c r="AK162" s="68">
        <v>0</v>
      </c>
      <c r="BB162" s="200" t="s">
        <v>1</v>
      </c>
      <c r="BM162" s="64">
        <f>IFERROR(X162*I162/H162,"0")</f>
        <v>0</v>
      </c>
      <c r="BN162" s="64">
        <f>IFERROR(Y162*I162/H162,"0")</f>
        <v>0</v>
      </c>
      <c r="BO162" s="64">
        <f>IFERROR(1/J162*(X162/H162),"0")</f>
        <v>0</v>
      </c>
      <c r="BP162" s="64">
        <f>IFERROR(1/J162*(Y162/H162),"0")</f>
        <v>0</v>
      </c>
    </row>
    <row r="163" spans="1:68" x14ac:dyDescent="0.2">
      <c r="A163" s="563"/>
      <c r="B163" s="564"/>
      <c r="C163" s="564"/>
      <c r="D163" s="564"/>
      <c r="E163" s="564"/>
      <c r="F163" s="564"/>
      <c r="G163" s="564"/>
      <c r="H163" s="564"/>
      <c r="I163" s="564"/>
      <c r="J163" s="564"/>
      <c r="K163" s="564"/>
      <c r="L163" s="564"/>
      <c r="M163" s="564"/>
      <c r="N163" s="564"/>
      <c r="O163" s="565"/>
      <c r="P163" s="570" t="s">
        <v>75</v>
      </c>
      <c r="Q163" s="571"/>
      <c r="R163" s="571"/>
      <c r="S163" s="571"/>
      <c r="T163" s="571"/>
      <c r="U163" s="571"/>
      <c r="V163" s="572"/>
      <c r="W163" s="37" t="s">
        <v>76</v>
      </c>
      <c r="X163" s="553">
        <f>IFERROR(X162/H162,"0")</f>
        <v>0</v>
      </c>
      <c r="Y163" s="553">
        <f>IFERROR(Y162/H162,"0")</f>
        <v>0</v>
      </c>
      <c r="Z163" s="553">
        <f>IFERROR(IF(Z162="",0,Z162),"0")</f>
        <v>0</v>
      </c>
      <c r="AA163" s="554"/>
      <c r="AB163" s="554"/>
      <c r="AC163" s="554"/>
    </row>
    <row r="164" spans="1:68" x14ac:dyDescent="0.2">
      <c r="A164" s="564"/>
      <c r="B164" s="564"/>
      <c r="C164" s="564"/>
      <c r="D164" s="564"/>
      <c r="E164" s="564"/>
      <c r="F164" s="564"/>
      <c r="G164" s="564"/>
      <c r="H164" s="564"/>
      <c r="I164" s="564"/>
      <c r="J164" s="564"/>
      <c r="K164" s="564"/>
      <c r="L164" s="564"/>
      <c r="M164" s="564"/>
      <c r="N164" s="564"/>
      <c r="O164" s="565"/>
      <c r="P164" s="570" t="s">
        <v>75</v>
      </c>
      <c r="Q164" s="571"/>
      <c r="R164" s="571"/>
      <c r="S164" s="571"/>
      <c r="T164" s="571"/>
      <c r="U164" s="571"/>
      <c r="V164" s="572"/>
      <c r="W164" s="37" t="s">
        <v>69</v>
      </c>
      <c r="X164" s="553">
        <f>IFERROR(SUM(X162:X162),"0")</f>
        <v>0</v>
      </c>
      <c r="Y164" s="553">
        <f>IFERROR(SUM(Y162:Y162),"0")</f>
        <v>0</v>
      </c>
      <c r="Z164" s="37"/>
      <c r="AA164" s="554"/>
      <c r="AB164" s="554"/>
      <c r="AC164" s="554"/>
    </row>
    <row r="165" spans="1:68" ht="14.25" customHeight="1" x14ac:dyDescent="0.25">
      <c r="A165" s="567" t="s">
        <v>64</v>
      </c>
      <c r="B165" s="564"/>
      <c r="C165" s="564"/>
      <c r="D165" s="564"/>
      <c r="E165" s="564"/>
      <c r="F165" s="564"/>
      <c r="G165" s="564"/>
      <c r="H165" s="564"/>
      <c r="I165" s="564"/>
      <c r="J165" s="564"/>
      <c r="K165" s="564"/>
      <c r="L165" s="564"/>
      <c r="M165" s="564"/>
      <c r="N165" s="564"/>
      <c r="O165" s="564"/>
      <c r="P165" s="564"/>
      <c r="Q165" s="564"/>
      <c r="R165" s="564"/>
      <c r="S165" s="564"/>
      <c r="T165" s="564"/>
      <c r="U165" s="564"/>
      <c r="V165" s="564"/>
      <c r="W165" s="564"/>
      <c r="X165" s="564"/>
      <c r="Y165" s="564"/>
      <c r="Z165" s="564"/>
      <c r="AA165" s="545"/>
      <c r="AB165" s="545"/>
      <c r="AC165" s="545"/>
    </row>
    <row r="166" spans="1:68" ht="27" customHeight="1" x14ac:dyDescent="0.25">
      <c r="A166" s="54" t="s">
        <v>271</v>
      </c>
      <c r="B166" s="54" t="s">
        <v>272</v>
      </c>
      <c r="C166" s="31">
        <v>4301031191</v>
      </c>
      <c r="D166" s="558">
        <v>4680115880993</v>
      </c>
      <c r="E166" s="559"/>
      <c r="F166" s="550">
        <v>0.7</v>
      </c>
      <c r="G166" s="32">
        <v>6</v>
      </c>
      <c r="H166" s="550">
        <v>4.2</v>
      </c>
      <c r="I166" s="550">
        <v>4.45</v>
      </c>
      <c r="J166" s="32">
        <v>132</v>
      </c>
      <c r="K166" s="32" t="s">
        <v>110</v>
      </c>
      <c r="L166" s="32" t="s">
        <v>111</v>
      </c>
      <c r="M166" s="33" t="s">
        <v>68</v>
      </c>
      <c r="N166" s="33"/>
      <c r="O166" s="32">
        <v>40</v>
      </c>
      <c r="P166" s="644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66" s="556"/>
      <c r="R166" s="556"/>
      <c r="S166" s="556"/>
      <c r="T166" s="557"/>
      <c r="U166" s="34"/>
      <c r="V166" s="34"/>
      <c r="W166" s="35" t="s">
        <v>69</v>
      </c>
      <c r="X166" s="551">
        <v>50</v>
      </c>
      <c r="Y166" s="552">
        <f t="shared" ref="Y166:Y179" si="10">IFERROR(IF(X166="",0,CEILING((X166/$H166),1)*$H166),"")</f>
        <v>50.400000000000006</v>
      </c>
      <c r="Z166" s="36">
        <f>IFERROR(IF(Y166=0,"",ROUNDUP(Y166/H166,0)*0.00902),"")</f>
        <v>0.10824</v>
      </c>
      <c r="AA166" s="56"/>
      <c r="AB166" s="57"/>
      <c r="AC166" s="201" t="s">
        <v>273</v>
      </c>
      <c r="AG166" s="64"/>
      <c r="AJ166" s="68" t="s">
        <v>92</v>
      </c>
      <c r="AK166" s="68">
        <v>50.4</v>
      </c>
      <c r="BB166" s="202" t="s">
        <v>1</v>
      </c>
      <c r="BM166" s="64">
        <f t="shared" ref="BM166:BM179" si="11">IFERROR(X166*I166/H166,"0")</f>
        <v>52.976190476190474</v>
      </c>
      <c r="BN166" s="64">
        <f t="shared" ref="BN166:BN179" si="12">IFERROR(Y166*I166/H166,"0")</f>
        <v>53.400000000000006</v>
      </c>
      <c r="BO166" s="64">
        <f t="shared" ref="BO166:BO179" si="13">IFERROR(1/J166*(X166/H166),"0")</f>
        <v>9.0187590187590191E-2</v>
      </c>
      <c r="BP166" s="64">
        <f t="shared" ref="BP166:BP179" si="14">IFERROR(1/J166*(Y166/H166),"0")</f>
        <v>9.0909090909090912E-2</v>
      </c>
    </row>
    <row r="167" spans="1:68" ht="27" customHeight="1" x14ac:dyDescent="0.25">
      <c r="A167" s="54" t="s">
        <v>274</v>
      </c>
      <c r="B167" s="54" t="s">
        <v>275</v>
      </c>
      <c r="C167" s="31">
        <v>4301031204</v>
      </c>
      <c r="D167" s="558">
        <v>4680115881761</v>
      </c>
      <c r="E167" s="559"/>
      <c r="F167" s="550">
        <v>0.7</v>
      </c>
      <c r="G167" s="32">
        <v>6</v>
      </c>
      <c r="H167" s="550">
        <v>4.2</v>
      </c>
      <c r="I167" s="550">
        <v>4.45</v>
      </c>
      <c r="J167" s="32">
        <v>132</v>
      </c>
      <c r="K167" s="32" t="s">
        <v>110</v>
      </c>
      <c r="L167" s="32"/>
      <c r="M167" s="33" t="s">
        <v>68</v>
      </c>
      <c r="N167" s="33"/>
      <c r="O167" s="32">
        <v>40</v>
      </c>
      <c r="P167" s="681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67" s="556"/>
      <c r="R167" s="556"/>
      <c r="S167" s="556"/>
      <c r="T167" s="557"/>
      <c r="U167" s="34"/>
      <c r="V167" s="34"/>
      <c r="W167" s="35" t="s">
        <v>69</v>
      </c>
      <c r="X167" s="551">
        <v>0</v>
      </c>
      <c r="Y167" s="552">
        <f t="shared" si="10"/>
        <v>0</v>
      </c>
      <c r="Z167" s="36" t="str">
        <f>IFERROR(IF(Y167=0,"",ROUNDUP(Y167/H167,0)*0.00902),"")</f>
        <v/>
      </c>
      <c r="AA167" s="56"/>
      <c r="AB167" s="57"/>
      <c r="AC167" s="203" t="s">
        <v>276</v>
      </c>
      <c r="AG167" s="64"/>
      <c r="AJ167" s="68"/>
      <c r="AK167" s="68">
        <v>0</v>
      </c>
      <c r="BB167" s="204" t="s">
        <v>1</v>
      </c>
      <c r="BM167" s="64">
        <f t="shared" si="11"/>
        <v>0</v>
      </c>
      <c r="BN167" s="64">
        <f t="shared" si="12"/>
        <v>0</v>
      </c>
      <c r="BO167" s="64">
        <f t="shared" si="13"/>
        <v>0</v>
      </c>
      <c r="BP167" s="64">
        <f t="shared" si="14"/>
        <v>0</v>
      </c>
    </row>
    <row r="168" spans="1:68" ht="27" customHeight="1" x14ac:dyDescent="0.25">
      <c r="A168" s="54" t="s">
        <v>277</v>
      </c>
      <c r="B168" s="54" t="s">
        <v>278</v>
      </c>
      <c r="C168" s="31">
        <v>4301031201</v>
      </c>
      <c r="D168" s="558">
        <v>4680115881563</v>
      </c>
      <c r="E168" s="559"/>
      <c r="F168" s="550">
        <v>0.7</v>
      </c>
      <c r="G168" s="32">
        <v>6</v>
      </c>
      <c r="H168" s="550">
        <v>4.2</v>
      </c>
      <c r="I168" s="550">
        <v>4.3899999999999997</v>
      </c>
      <c r="J168" s="32">
        <v>132</v>
      </c>
      <c r="K168" s="32" t="s">
        <v>110</v>
      </c>
      <c r="L168" s="32" t="s">
        <v>111</v>
      </c>
      <c r="M168" s="33" t="s">
        <v>68</v>
      </c>
      <c r="N168" s="33"/>
      <c r="O168" s="32">
        <v>40</v>
      </c>
      <c r="P168" s="649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68" s="556"/>
      <c r="R168" s="556"/>
      <c r="S168" s="556"/>
      <c r="T168" s="557"/>
      <c r="U168" s="34"/>
      <c r="V168" s="34"/>
      <c r="W168" s="35" t="s">
        <v>69</v>
      </c>
      <c r="X168" s="551">
        <v>0</v>
      </c>
      <c r="Y168" s="552">
        <f t="shared" si="10"/>
        <v>0</v>
      </c>
      <c r="Z168" s="36" t="str">
        <f>IFERROR(IF(Y168=0,"",ROUNDUP(Y168/H168,0)*0.00902),"")</f>
        <v/>
      </c>
      <c r="AA168" s="56"/>
      <c r="AB168" s="57"/>
      <c r="AC168" s="205" t="s">
        <v>279</v>
      </c>
      <c r="AG168" s="64"/>
      <c r="AJ168" s="68" t="s">
        <v>92</v>
      </c>
      <c r="AK168" s="68">
        <v>50.4</v>
      </c>
      <c r="BB168" s="206" t="s">
        <v>1</v>
      </c>
      <c r="BM168" s="64">
        <f t="shared" si="11"/>
        <v>0</v>
      </c>
      <c r="BN168" s="64">
        <f t="shared" si="12"/>
        <v>0</v>
      </c>
      <c r="BO168" s="64">
        <f t="shared" si="13"/>
        <v>0</v>
      </c>
      <c r="BP168" s="64">
        <f t="shared" si="14"/>
        <v>0</v>
      </c>
    </row>
    <row r="169" spans="1:68" ht="37.5" customHeight="1" x14ac:dyDescent="0.25">
      <c r="A169" s="54" t="s">
        <v>280</v>
      </c>
      <c r="B169" s="54" t="s">
        <v>281</v>
      </c>
      <c r="C169" s="31">
        <v>4301031447</v>
      </c>
      <c r="D169" s="558">
        <v>4680115887565</v>
      </c>
      <c r="E169" s="559"/>
      <c r="F169" s="550">
        <v>0.08</v>
      </c>
      <c r="G169" s="32">
        <v>10</v>
      </c>
      <c r="H169" s="550">
        <v>0.8</v>
      </c>
      <c r="I169" s="550">
        <v>0.93</v>
      </c>
      <c r="J169" s="32">
        <v>216</v>
      </c>
      <c r="K169" s="32" t="s">
        <v>73</v>
      </c>
      <c r="L169" s="32"/>
      <c r="M169" s="33" t="s">
        <v>68</v>
      </c>
      <c r="N169" s="33"/>
      <c r="O169" s="32">
        <v>45</v>
      </c>
      <c r="P169" s="687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169" s="556"/>
      <c r="R169" s="556"/>
      <c r="S169" s="556"/>
      <c r="T169" s="557"/>
      <c r="U169" s="34"/>
      <c r="V169" s="34"/>
      <c r="W169" s="35" t="s">
        <v>69</v>
      </c>
      <c r="X169" s="551">
        <v>0</v>
      </c>
      <c r="Y169" s="552">
        <f t="shared" si="10"/>
        <v>0</v>
      </c>
      <c r="Z169" s="36" t="str">
        <f>IFERROR(IF(Y169=0,"",ROUNDUP(Y169/H169,0)*0.00556),"")</f>
        <v/>
      </c>
      <c r="AA169" s="56"/>
      <c r="AB169" s="57"/>
      <c r="AC169" s="207" t="s">
        <v>282</v>
      </c>
      <c r="AG169" s="64"/>
      <c r="AJ169" s="68"/>
      <c r="AK169" s="68">
        <v>0</v>
      </c>
      <c r="BB169" s="208" t="s">
        <v>1</v>
      </c>
      <c r="BM169" s="64">
        <f t="shared" si="11"/>
        <v>0</v>
      </c>
      <c r="BN169" s="64">
        <f t="shared" si="12"/>
        <v>0</v>
      </c>
      <c r="BO169" s="64">
        <f t="shared" si="13"/>
        <v>0</v>
      </c>
      <c r="BP169" s="64">
        <f t="shared" si="14"/>
        <v>0</v>
      </c>
    </row>
    <row r="170" spans="1:68" ht="27" customHeight="1" x14ac:dyDescent="0.25">
      <c r="A170" s="54" t="s">
        <v>283</v>
      </c>
      <c r="B170" s="54" t="s">
        <v>284</v>
      </c>
      <c r="C170" s="31">
        <v>4301031199</v>
      </c>
      <c r="D170" s="558">
        <v>4680115880986</v>
      </c>
      <c r="E170" s="559"/>
      <c r="F170" s="550">
        <v>0.35</v>
      </c>
      <c r="G170" s="32">
        <v>6</v>
      </c>
      <c r="H170" s="550">
        <v>2.1</v>
      </c>
      <c r="I170" s="550">
        <v>2.23</v>
      </c>
      <c r="J170" s="32">
        <v>234</v>
      </c>
      <c r="K170" s="32" t="s">
        <v>73</v>
      </c>
      <c r="L170" s="32" t="s">
        <v>285</v>
      </c>
      <c r="M170" s="33" t="s">
        <v>68</v>
      </c>
      <c r="N170" s="33"/>
      <c r="O170" s="32">
        <v>40</v>
      </c>
      <c r="P170" s="598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70" s="556"/>
      <c r="R170" s="556"/>
      <c r="S170" s="556"/>
      <c r="T170" s="557"/>
      <c r="U170" s="34"/>
      <c r="V170" s="34"/>
      <c r="W170" s="35" t="s">
        <v>69</v>
      </c>
      <c r="X170" s="551">
        <v>0</v>
      </c>
      <c r="Y170" s="552">
        <f t="shared" si="10"/>
        <v>0</v>
      </c>
      <c r="Z170" s="36" t="str">
        <f>IFERROR(IF(Y170=0,"",ROUNDUP(Y170/H170,0)*0.00502),"")</f>
        <v/>
      </c>
      <c r="AA170" s="56"/>
      <c r="AB170" s="57"/>
      <c r="AC170" s="209" t="s">
        <v>273</v>
      </c>
      <c r="AG170" s="64"/>
      <c r="AJ170" s="68" t="s">
        <v>92</v>
      </c>
      <c r="AK170" s="68">
        <v>37.799999999999997</v>
      </c>
      <c r="BB170" s="210" t="s">
        <v>1</v>
      </c>
      <c r="BM170" s="64">
        <f t="shared" si="11"/>
        <v>0</v>
      </c>
      <c r="BN170" s="64">
        <f t="shared" si="12"/>
        <v>0</v>
      </c>
      <c r="BO170" s="64">
        <f t="shared" si="13"/>
        <v>0</v>
      </c>
      <c r="BP170" s="64">
        <f t="shared" si="14"/>
        <v>0</v>
      </c>
    </row>
    <row r="171" spans="1:68" ht="27" customHeight="1" x14ac:dyDescent="0.25">
      <c r="A171" s="54" t="s">
        <v>286</v>
      </c>
      <c r="B171" s="54" t="s">
        <v>287</v>
      </c>
      <c r="C171" s="31">
        <v>4301031443</v>
      </c>
      <c r="D171" s="558">
        <v>4680115887213</v>
      </c>
      <c r="E171" s="559"/>
      <c r="F171" s="550">
        <v>0.3</v>
      </c>
      <c r="G171" s="32">
        <v>6</v>
      </c>
      <c r="H171" s="550">
        <v>1.8</v>
      </c>
      <c r="I171" s="550">
        <v>1.9</v>
      </c>
      <c r="J171" s="32">
        <v>234</v>
      </c>
      <c r="K171" s="32" t="s">
        <v>73</v>
      </c>
      <c r="L171" s="32"/>
      <c r="M171" s="33" t="s">
        <v>68</v>
      </c>
      <c r="N171" s="33"/>
      <c r="O171" s="32">
        <v>45</v>
      </c>
      <c r="P171" s="634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171" s="556"/>
      <c r="R171" s="556"/>
      <c r="S171" s="556"/>
      <c r="T171" s="557"/>
      <c r="U171" s="34"/>
      <c r="V171" s="34"/>
      <c r="W171" s="35" t="s">
        <v>69</v>
      </c>
      <c r="X171" s="551">
        <v>0</v>
      </c>
      <c r="Y171" s="552">
        <f t="shared" si="10"/>
        <v>0</v>
      </c>
      <c r="Z171" s="36" t="str">
        <f>IFERROR(IF(Y171=0,"",ROUNDUP(Y171/H171,0)*0.00502),"")</f>
        <v/>
      </c>
      <c r="AA171" s="56"/>
      <c r="AB171" s="57"/>
      <c r="AC171" s="211" t="s">
        <v>288</v>
      </c>
      <c r="AG171" s="64"/>
      <c r="AJ171" s="68"/>
      <c r="AK171" s="68">
        <v>0</v>
      </c>
      <c r="BB171" s="212" t="s">
        <v>1</v>
      </c>
      <c r="BM171" s="64">
        <f t="shared" si="11"/>
        <v>0</v>
      </c>
      <c r="BN171" s="64">
        <f t="shared" si="12"/>
        <v>0</v>
      </c>
      <c r="BO171" s="64">
        <f t="shared" si="13"/>
        <v>0</v>
      </c>
      <c r="BP171" s="64">
        <f t="shared" si="14"/>
        <v>0</v>
      </c>
    </row>
    <row r="172" spans="1:68" ht="27" customHeight="1" x14ac:dyDescent="0.25">
      <c r="A172" s="54" t="s">
        <v>289</v>
      </c>
      <c r="B172" s="54" t="s">
        <v>290</v>
      </c>
      <c r="C172" s="31">
        <v>4301031205</v>
      </c>
      <c r="D172" s="558">
        <v>4680115881785</v>
      </c>
      <c r="E172" s="559"/>
      <c r="F172" s="550">
        <v>0.35</v>
      </c>
      <c r="G172" s="32">
        <v>6</v>
      </c>
      <c r="H172" s="550">
        <v>2.1</v>
      </c>
      <c r="I172" s="550">
        <v>2.23</v>
      </c>
      <c r="J172" s="32">
        <v>234</v>
      </c>
      <c r="K172" s="32" t="s">
        <v>73</v>
      </c>
      <c r="L172" s="32" t="s">
        <v>285</v>
      </c>
      <c r="M172" s="33" t="s">
        <v>68</v>
      </c>
      <c r="N172" s="33"/>
      <c r="O172" s="32">
        <v>40</v>
      </c>
      <c r="P172" s="582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72" s="556"/>
      <c r="R172" s="556"/>
      <c r="S172" s="556"/>
      <c r="T172" s="557"/>
      <c r="U172" s="34"/>
      <c r="V172" s="34"/>
      <c r="W172" s="35" t="s">
        <v>69</v>
      </c>
      <c r="X172" s="551">
        <v>0</v>
      </c>
      <c r="Y172" s="552">
        <f t="shared" si="10"/>
        <v>0</v>
      </c>
      <c r="Z172" s="36" t="str">
        <f>IFERROR(IF(Y172=0,"",ROUNDUP(Y172/H172,0)*0.00502),"")</f>
        <v/>
      </c>
      <c r="AA172" s="56"/>
      <c r="AB172" s="57"/>
      <c r="AC172" s="213" t="s">
        <v>276</v>
      </c>
      <c r="AG172" s="64"/>
      <c r="AJ172" s="68" t="s">
        <v>92</v>
      </c>
      <c r="AK172" s="68">
        <v>37.799999999999997</v>
      </c>
      <c r="BB172" s="214" t="s">
        <v>1</v>
      </c>
      <c r="BM172" s="64">
        <f t="shared" si="11"/>
        <v>0</v>
      </c>
      <c r="BN172" s="64">
        <f t="shared" si="12"/>
        <v>0</v>
      </c>
      <c r="BO172" s="64">
        <f t="shared" si="13"/>
        <v>0</v>
      </c>
      <c r="BP172" s="64">
        <f t="shared" si="14"/>
        <v>0</v>
      </c>
    </row>
    <row r="173" spans="1:68" ht="27" customHeight="1" x14ac:dyDescent="0.25">
      <c r="A173" s="54" t="s">
        <v>291</v>
      </c>
      <c r="B173" s="54" t="s">
        <v>292</v>
      </c>
      <c r="C173" s="31">
        <v>4301031463</v>
      </c>
      <c r="D173" s="558">
        <v>4680115887824</v>
      </c>
      <c r="E173" s="559"/>
      <c r="F173" s="550">
        <v>0.15</v>
      </c>
      <c r="G173" s="32">
        <v>16</v>
      </c>
      <c r="H173" s="550">
        <v>2.4</v>
      </c>
      <c r="I173" s="550">
        <v>2.58</v>
      </c>
      <c r="J173" s="32">
        <v>182</v>
      </c>
      <c r="K173" s="32" t="s">
        <v>67</v>
      </c>
      <c r="L173" s="32"/>
      <c r="M173" s="33" t="s">
        <v>293</v>
      </c>
      <c r="N173" s="33"/>
      <c r="O173" s="32">
        <v>60</v>
      </c>
      <c r="P173" s="615" t="str">
        <f>HYPERLINK("https://abi.ru/products/Охлажденные/Стародворье/Мясорубская/Копченые колбасы/P005231/","Копченые колбасы «Сервелат Вяленый» Фикс.вес 0,15 фиброуз ТМ «Стародворье»")</f>
        <v>Копченые колбасы «Сервелат Вяленый» Фикс.вес 0,15 фиброуз ТМ «Стародворье»</v>
      </c>
      <c r="Q173" s="556"/>
      <c r="R173" s="556"/>
      <c r="S173" s="556"/>
      <c r="T173" s="557"/>
      <c r="U173" s="34"/>
      <c r="V173" s="34"/>
      <c r="W173" s="35" t="s">
        <v>69</v>
      </c>
      <c r="X173" s="551">
        <v>0</v>
      </c>
      <c r="Y173" s="552">
        <f t="shared" si="10"/>
        <v>0</v>
      </c>
      <c r="Z173" s="36" t="str">
        <f>IFERROR(IF(Y173=0,"",ROUNDUP(Y173/H173,0)*0.00651),"")</f>
        <v/>
      </c>
      <c r="AA173" s="56"/>
      <c r="AB173" s="57"/>
      <c r="AC173" s="215" t="s">
        <v>294</v>
      </c>
      <c r="AG173" s="64"/>
      <c r="AJ173" s="68"/>
      <c r="AK173" s="68">
        <v>0</v>
      </c>
      <c r="BB173" s="216" t="s">
        <v>1</v>
      </c>
      <c r="BM173" s="64">
        <f t="shared" si="11"/>
        <v>0</v>
      </c>
      <c r="BN173" s="64">
        <f t="shared" si="12"/>
        <v>0</v>
      </c>
      <c r="BO173" s="64">
        <f t="shared" si="13"/>
        <v>0</v>
      </c>
      <c r="BP173" s="64">
        <f t="shared" si="14"/>
        <v>0</v>
      </c>
    </row>
    <row r="174" spans="1:68" ht="27" customHeight="1" x14ac:dyDescent="0.25">
      <c r="A174" s="54" t="s">
        <v>295</v>
      </c>
      <c r="B174" s="54" t="s">
        <v>296</v>
      </c>
      <c r="C174" s="31">
        <v>4301031464</v>
      </c>
      <c r="D174" s="558">
        <v>4680115887701</v>
      </c>
      <c r="E174" s="559"/>
      <c r="F174" s="550">
        <v>0.3</v>
      </c>
      <c r="G174" s="32">
        <v>8</v>
      </c>
      <c r="H174" s="550">
        <v>2.4</v>
      </c>
      <c r="I174" s="550">
        <v>2.58</v>
      </c>
      <c r="J174" s="32">
        <v>182</v>
      </c>
      <c r="K174" s="32" t="s">
        <v>67</v>
      </c>
      <c r="L174" s="32"/>
      <c r="M174" s="33" t="s">
        <v>293</v>
      </c>
      <c r="N174" s="33"/>
      <c r="O174" s="32">
        <v>60</v>
      </c>
      <c r="P174" s="867" t="str">
        <f>HYPERLINK("https://abi.ru/products/Охлажденные/Стародворье/Мясорубская/Копченые колбасы/P005232/","Копченые колбасы «Сервелат Вяленый» Фикс.вес 0,3 фиброуз ТМ «Стародворье»")</f>
        <v>Копченые колбасы «Сервелат Вяленый» Фикс.вес 0,3 фиброуз ТМ «Стародворье»</v>
      </c>
      <c r="Q174" s="556"/>
      <c r="R174" s="556"/>
      <c r="S174" s="556"/>
      <c r="T174" s="557"/>
      <c r="U174" s="34"/>
      <c r="V174" s="34"/>
      <c r="W174" s="35" t="s">
        <v>69</v>
      </c>
      <c r="X174" s="551">
        <v>0</v>
      </c>
      <c r="Y174" s="552">
        <f t="shared" si="10"/>
        <v>0</v>
      </c>
      <c r="Z174" s="36" t="str">
        <f>IFERROR(IF(Y174=0,"",ROUNDUP(Y174/H174,0)*0.00651),"")</f>
        <v/>
      </c>
      <c r="AA174" s="56"/>
      <c r="AB174" s="57"/>
      <c r="AC174" s="217" t="s">
        <v>294</v>
      </c>
      <c r="AG174" s="64"/>
      <c r="AJ174" s="68"/>
      <c r="AK174" s="68">
        <v>0</v>
      </c>
      <c r="BB174" s="218" t="s">
        <v>1</v>
      </c>
      <c r="BM174" s="64">
        <f t="shared" si="11"/>
        <v>0</v>
      </c>
      <c r="BN174" s="64">
        <f t="shared" si="12"/>
        <v>0</v>
      </c>
      <c r="BO174" s="64">
        <f t="shared" si="13"/>
        <v>0</v>
      </c>
      <c r="BP174" s="64">
        <f t="shared" si="14"/>
        <v>0</v>
      </c>
    </row>
    <row r="175" spans="1:68" ht="27" customHeight="1" x14ac:dyDescent="0.25">
      <c r="A175" s="54" t="s">
        <v>297</v>
      </c>
      <c r="B175" s="54" t="s">
        <v>298</v>
      </c>
      <c r="C175" s="31">
        <v>4301031399</v>
      </c>
      <c r="D175" s="558">
        <v>4680115886537</v>
      </c>
      <c r="E175" s="559"/>
      <c r="F175" s="550">
        <v>0.3</v>
      </c>
      <c r="G175" s="32">
        <v>6</v>
      </c>
      <c r="H175" s="550">
        <v>1.8</v>
      </c>
      <c r="I175" s="550">
        <v>1.93</v>
      </c>
      <c r="J175" s="32">
        <v>234</v>
      </c>
      <c r="K175" s="32" t="s">
        <v>73</v>
      </c>
      <c r="L175" s="32"/>
      <c r="M175" s="33" t="s">
        <v>68</v>
      </c>
      <c r="N175" s="33"/>
      <c r="O175" s="32">
        <v>40</v>
      </c>
      <c r="P175" s="797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175" s="556"/>
      <c r="R175" s="556"/>
      <c r="S175" s="556"/>
      <c r="T175" s="557"/>
      <c r="U175" s="34"/>
      <c r="V175" s="34"/>
      <c r="W175" s="35" t="s">
        <v>69</v>
      </c>
      <c r="X175" s="551">
        <v>0</v>
      </c>
      <c r="Y175" s="552">
        <f t="shared" si="10"/>
        <v>0</v>
      </c>
      <c r="Z175" s="36" t="str">
        <f>IFERROR(IF(Y175=0,"",ROUNDUP(Y175/H175,0)*0.00502),"")</f>
        <v/>
      </c>
      <c r="AA175" s="56"/>
      <c r="AB175" s="57"/>
      <c r="AC175" s="219" t="s">
        <v>299</v>
      </c>
      <c r="AG175" s="64"/>
      <c r="AJ175" s="68"/>
      <c r="AK175" s="68">
        <v>0</v>
      </c>
      <c r="BB175" s="220" t="s">
        <v>1</v>
      </c>
      <c r="BM175" s="64">
        <f t="shared" si="11"/>
        <v>0</v>
      </c>
      <c r="BN175" s="64">
        <f t="shared" si="12"/>
        <v>0</v>
      </c>
      <c r="BO175" s="64">
        <f t="shared" si="13"/>
        <v>0</v>
      </c>
      <c r="BP175" s="64">
        <f t="shared" si="14"/>
        <v>0</v>
      </c>
    </row>
    <row r="176" spans="1:68" ht="27" customHeight="1" x14ac:dyDescent="0.25">
      <c r="A176" s="54" t="s">
        <v>300</v>
      </c>
      <c r="B176" s="54" t="s">
        <v>301</v>
      </c>
      <c r="C176" s="31">
        <v>4301031279</v>
      </c>
      <c r="D176" s="558">
        <v>4680115887596</v>
      </c>
      <c r="E176" s="559"/>
      <c r="F176" s="550">
        <v>0.08</v>
      </c>
      <c r="G176" s="32">
        <v>10</v>
      </c>
      <c r="H176" s="550">
        <v>0.8</v>
      </c>
      <c r="I176" s="550">
        <v>1.01</v>
      </c>
      <c r="J176" s="32">
        <v>336</v>
      </c>
      <c r="K176" s="32" t="s">
        <v>174</v>
      </c>
      <c r="L176" s="32"/>
      <c r="M176" s="33" t="s">
        <v>68</v>
      </c>
      <c r="N176" s="33"/>
      <c r="O176" s="32">
        <v>45</v>
      </c>
      <c r="P176" s="809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176" s="556"/>
      <c r="R176" s="556"/>
      <c r="S176" s="556"/>
      <c r="T176" s="557"/>
      <c r="U176" s="34"/>
      <c r="V176" s="34"/>
      <c r="W176" s="35" t="s">
        <v>69</v>
      </c>
      <c r="X176" s="551">
        <v>0</v>
      </c>
      <c r="Y176" s="552">
        <f t="shared" si="10"/>
        <v>0</v>
      </c>
      <c r="Z176" s="36" t="str">
        <f>IFERROR(IF(Y176=0,"",ROUNDUP(Y176/H176,0)*0.00417),"")</f>
        <v/>
      </c>
      <c r="AA176" s="56"/>
      <c r="AB176" s="57"/>
      <c r="AC176" s="221" t="s">
        <v>302</v>
      </c>
      <c r="AG176" s="64"/>
      <c r="AJ176" s="68"/>
      <c r="AK176" s="68">
        <v>0</v>
      </c>
      <c r="BB176" s="222" t="s">
        <v>1</v>
      </c>
      <c r="BM176" s="64">
        <f t="shared" si="11"/>
        <v>0</v>
      </c>
      <c r="BN176" s="64">
        <f t="shared" si="12"/>
        <v>0</v>
      </c>
      <c r="BO176" s="64">
        <f t="shared" si="13"/>
        <v>0</v>
      </c>
      <c r="BP176" s="64">
        <f t="shared" si="14"/>
        <v>0</v>
      </c>
    </row>
    <row r="177" spans="1:68" ht="37.5" customHeight="1" x14ac:dyDescent="0.25">
      <c r="A177" s="54" t="s">
        <v>303</v>
      </c>
      <c r="B177" s="54" t="s">
        <v>304</v>
      </c>
      <c r="C177" s="31">
        <v>4301031202</v>
      </c>
      <c r="D177" s="558">
        <v>4680115881679</v>
      </c>
      <c r="E177" s="559"/>
      <c r="F177" s="550">
        <v>0.35</v>
      </c>
      <c r="G177" s="32">
        <v>6</v>
      </c>
      <c r="H177" s="550">
        <v>2.1</v>
      </c>
      <c r="I177" s="550">
        <v>2.2000000000000002</v>
      </c>
      <c r="J177" s="32">
        <v>234</v>
      </c>
      <c r="K177" s="32" t="s">
        <v>73</v>
      </c>
      <c r="L177" s="32" t="s">
        <v>285</v>
      </c>
      <c r="M177" s="33" t="s">
        <v>68</v>
      </c>
      <c r="N177" s="33"/>
      <c r="O177" s="32">
        <v>40</v>
      </c>
      <c r="P177" s="801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77" s="556"/>
      <c r="R177" s="556"/>
      <c r="S177" s="556"/>
      <c r="T177" s="557"/>
      <c r="U177" s="34"/>
      <c r="V177" s="34"/>
      <c r="W177" s="35" t="s">
        <v>69</v>
      </c>
      <c r="X177" s="551">
        <v>0</v>
      </c>
      <c r="Y177" s="552">
        <f t="shared" si="10"/>
        <v>0</v>
      </c>
      <c r="Z177" s="36" t="str">
        <f>IFERROR(IF(Y177=0,"",ROUNDUP(Y177/H177,0)*0.00502),"")</f>
        <v/>
      </c>
      <c r="AA177" s="56"/>
      <c r="AB177" s="57"/>
      <c r="AC177" s="223" t="s">
        <v>279</v>
      </c>
      <c r="AG177" s="64"/>
      <c r="AJ177" s="68" t="s">
        <v>92</v>
      </c>
      <c r="AK177" s="68">
        <v>37.799999999999997</v>
      </c>
      <c r="BB177" s="224" t="s">
        <v>1</v>
      </c>
      <c r="BM177" s="64">
        <f t="shared" si="11"/>
        <v>0</v>
      </c>
      <c r="BN177" s="64">
        <f t="shared" si="12"/>
        <v>0</v>
      </c>
      <c r="BO177" s="64">
        <f t="shared" si="13"/>
        <v>0</v>
      </c>
      <c r="BP177" s="64">
        <f t="shared" si="14"/>
        <v>0</v>
      </c>
    </row>
    <row r="178" spans="1:68" ht="27" customHeight="1" x14ac:dyDescent="0.25">
      <c r="A178" s="54" t="s">
        <v>305</v>
      </c>
      <c r="B178" s="54" t="s">
        <v>306</v>
      </c>
      <c r="C178" s="31">
        <v>4301031158</v>
      </c>
      <c r="D178" s="558">
        <v>4680115880191</v>
      </c>
      <c r="E178" s="559"/>
      <c r="F178" s="550">
        <v>0.4</v>
      </c>
      <c r="G178" s="32">
        <v>6</v>
      </c>
      <c r="H178" s="550">
        <v>2.4</v>
      </c>
      <c r="I178" s="550">
        <v>2.58</v>
      </c>
      <c r="J178" s="32">
        <v>182</v>
      </c>
      <c r="K178" s="32" t="s">
        <v>67</v>
      </c>
      <c r="L178" s="32"/>
      <c r="M178" s="33" t="s">
        <v>68</v>
      </c>
      <c r="N178" s="33"/>
      <c r="O178" s="32">
        <v>40</v>
      </c>
      <c r="P178" s="814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78" s="556"/>
      <c r="R178" s="556"/>
      <c r="S178" s="556"/>
      <c r="T178" s="557"/>
      <c r="U178" s="34"/>
      <c r="V178" s="34"/>
      <c r="W178" s="35" t="s">
        <v>69</v>
      </c>
      <c r="X178" s="551">
        <v>0</v>
      </c>
      <c r="Y178" s="552">
        <f t="shared" si="10"/>
        <v>0</v>
      </c>
      <c r="Z178" s="36" t="str">
        <f>IFERROR(IF(Y178=0,"",ROUNDUP(Y178/H178,0)*0.00651),"")</f>
        <v/>
      </c>
      <c r="AA178" s="56"/>
      <c r="AB178" s="57"/>
      <c r="AC178" s="225" t="s">
        <v>279</v>
      </c>
      <c r="AG178" s="64"/>
      <c r="AJ178" s="68"/>
      <c r="AK178" s="68">
        <v>0</v>
      </c>
      <c r="BB178" s="226" t="s">
        <v>1</v>
      </c>
      <c r="BM178" s="64">
        <f t="shared" si="11"/>
        <v>0</v>
      </c>
      <c r="BN178" s="64">
        <f t="shared" si="12"/>
        <v>0</v>
      </c>
      <c r="BO178" s="64">
        <f t="shared" si="13"/>
        <v>0</v>
      </c>
      <c r="BP178" s="64">
        <f t="shared" si="14"/>
        <v>0</v>
      </c>
    </row>
    <row r="179" spans="1:68" ht="27" customHeight="1" x14ac:dyDescent="0.25">
      <c r="A179" s="54" t="s">
        <v>307</v>
      </c>
      <c r="B179" s="54" t="s">
        <v>308</v>
      </c>
      <c r="C179" s="31">
        <v>4301031245</v>
      </c>
      <c r="D179" s="558">
        <v>4680115883963</v>
      </c>
      <c r="E179" s="559"/>
      <c r="F179" s="550">
        <v>0.28000000000000003</v>
      </c>
      <c r="G179" s="32">
        <v>6</v>
      </c>
      <c r="H179" s="550">
        <v>1.68</v>
      </c>
      <c r="I179" s="550">
        <v>1.78</v>
      </c>
      <c r="J179" s="32">
        <v>234</v>
      </c>
      <c r="K179" s="32" t="s">
        <v>73</v>
      </c>
      <c r="L179" s="32"/>
      <c r="M179" s="33" t="s">
        <v>68</v>
      </c>
      <c r="N179" s="33"/>
      <c r="O179" s="32">
        <v>40</v>
      </c>
      <c r="P179" s="748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79" s="556"/>
      <c r="R179" s="556"/>
      <c r="S179" s="556"/>
      <c r="T179" s="557"/>
      <c r="U179" s="34"/>
      <c r="V179" s="34"/>
      <c r="W179" s="35" t="s">
        <v>69</v>
      </c>
      <c r="X179" s="551">
        <v>0</v>
      </c>
      <c r="Y179" s="552">
        <f t="shared" si="10"/>
        <v>0</v>
      </c>
      <c r="Z179" s="36" t="str">
        <f>IFERROR(IF(Y179=0,"",ROUNDUP(Y179/H179,0)*0.00502),"")</f>
        <v/>
      </c>
      <c r="AA179" s="56"/>
      <c r="AB179" s="57"/>
      <c r="AC179" s="227" t="s">
        <v>309</v>
      </c>
      <c r="AG179" s="64"/>
      <c r="AJ179" s="68"/>
      <c r="AK179" s="68">
        <v>0</v>
      </c>
      <c r="BB179" s="228" t="s">
        <v>1</v>
      </c>
      <c r="BM179" s="64">
        <f t="shared" si="11"/>
        <v>0</v>
      </c>
      <c r="BN179" s="64">
        <f t="shared" si="12"/>
        <v>0</v>
      </c>
      <c r="BO179" s="64">
        <f t="shared" si="13"/>
        <v>0</v>
      </c>
      <c r="BP179" s="64">
        <f t="shared" si="14"/>
        <v>0</v>
      </c>
    </row>
    <row r="180" spans="1:68" x14ac:dyDescent="0.2">
      <c r="A180" s="563"/>
      <c r="B180" s="564"/>
      <c r="C180" s="564"/>
      <c r="D180" s="564"/>
      <c r="E180" s="564"/>
      <c r="F180" s="564"/>
      <c r="G180" s="564"/>
      <c r="H180" s="564"/>
      <c r="I180" s="564"/>
      <c r="J180" s="564"/>
      <c r="K180" s="564"/>
      <c r="L180" s="564"/>
      <c r="M180" s="564"/>
      <c r="N180" s="564"/>
      <c r="O180" s="565"/>
      <c r="P180" s="570" t="s">
        <v>75</v>
      </c>
      <c r="Q180" s="571"/>
      <c r="R180" s="571"/>
      <c r="S180" s="571"/>
      <c r="T180" s="571"/>
      <c r="U180" s="571"/>
      <c r="V180" s="572"/>
      <c r="W180" s="37" t="s">
        <v>76</v>
      </c>
      <c r="X180" s="553">
        <f>IFERROR(X166/H166,"0")+IFERROR(X167/H167,"0")+IFERROR(X168/H168,"0")+IFERROR(X169/H169,"0")+IFERROR(X170/H170,"0")+IFERROR(X171/H171,"0")+IFERROR(X172/H172,"0")+IFERROR(X173/H173,"0")+IFERROR(X174/H174,"0")+IFERROR(X175/H175,"0")+IFERROR(X176/H176,"0")+IFERROR(X177/H177,"0")+IFERROR(X178/H178,"0")+IFERROR(X179/H179,"0")</f>
        <v>11.904761904761905</v>
      </c>
      <c r="Y180" s="553">
        <f>IFERROR(Y166/H166,"0")+IFERROR(Y167/H167,"0")+IFERROR(Y168/H168,"0")+IFERROR(Y169/H169,"0")+IFERROR(Y170/H170,"0")+IFERROR(Y171/H171,"0")+IFERROR(Y172/H172,"0")+IFERROR(Y173/H173,"0")+IFERROR(Y174/H174,"0")+IFERROR(Y175/H175,"0")+IFERROR(Y176/H176,"0")+IFERROR(Y177/H177,"0")+IFERROR(Y178/H178,"0")+IFERROR(Y179/H179,"0")</f>
        <v>12</v>
      </c>
      <c r="Z180" s="553">
        <f>IFERROR(IF(Z166="",0,Z166),"0")+IFERROR(IF(Z167="",0,Z167),"0")+IFERROR(IF(Z168="",0,Z168),"0")+IFERROR(IF(Z169="",0,Z169),"0")+IFERROR(IF(Z170="",0,Z170),"0")+IFERROR(IF(Z171="",0,Z171),"0")+IFERROR(IF(Z172="",0,Z172),"0")+IFERROR(IF(Z173="",0,Z173),"0")+IFERROR(IF(Z174="",0,Z174),"0")+IFERROR(IF(Z175="",0,Z175),"0")+IFERROR(IF(Z176="",0,Z176),"0")+IFERROR(IF(Z177="",0,Z177),"0")+IFERROR(IF(Z178="",0,Z178),"0")+IFERROR(IF(Z179="",0,Z179),"0")</f>
        <v>0.10824</v>
      </c>
      <c r="AA180" s="554"/>
      <c r="AB180" s="554"/>
      <c r="AC180" s="554"/>
    </row>
    <row r="181" spans="1:68" x14ac:dyDescent="0.2">
      <c r="A181" s="564"/>
      <c r="B181" s="564"/>
      <c r="C181" s="564"/>
      <c r="D181" s="564"/>
      <c r="E181" s="564"/>
      <c r="F181" s="564"/>
      <c r="G181" s="564"/>
      <c r="H181" s="564"/>
      <c r="I181" s="564"/>
      <c r="J181" s="564"/>
      <c r="K181" s="564"/>
      <c r="L181" s="564"/>
      <c r="M181" s="564"/>
      <c r="N181" s="564"/>
      <c r="O181" s="565"/>
      <c r="P181" s="570" t="s">
        <v>75</v>
      </c>
      <c r="Q181" s="571"/>
      <c r="R181" s="571"/>
      <c r="S181" s="571"/>
      <c r="T181" s="571"/>
      <c r="U181" s="571"/>
      <c r="V181" s="572"/>
      <c r="W181" s="37" t="s">
        <v>69</v>
      </c>
      <c r="X181" s="553">
        <f>IFERROR(SUM(X166:X179),"0")</f>
        <v>50</v>
      </c>
      <c r="Y181" s="553">
        <f>IFERROR(SUM(Y166:Y179),"0")</f>
        <v>50.400000000000006</v>
      </c>
      <c r="Z181" s="37"/>
      <c r="AA181" s="554"/>
      <c r="AB181" s="554"/>
      <c r="AC181" s="554"/>
    </row>
    <row r="182" spans="1:68" ht="14.25" customHeight="1" x14ac:dyDescent="0.25">
      <c r="A182" s="567" t="s">
        <v>93</v>
      </c>
      <c r="B182" s="564"/>
      <c r="C182" s="564"/>
      <c r="D182" s="564"/>
      <c r="E182" s="564"/>
      <c r="F182" s="564"/>
      <c r="G182" s="564"/>
      <c r="H182" s="564"/>
      <c r="I182" s="564"/>
      <c r="J182" s="564"/>
      <c r="K182" s="564"/>
      <c r="L182" s="564"/>
      <c r="M182" s="564"/>
      <c r="N182" s="564"/>
      <c r="O182" s="564"/>
      <c r="P182" s="564"/>
      <c r="Q182" s="564"/>
      <c r="R182" s="564"/>
      <c r="S182" s="564"/>
      <c r="T182" s="564"/>
      <c r="U182" s="564"/>
      <c r="V182" s="564"/>
      <c r="W182" s="564"/>
      <c r="X182" s="564"/>
      <c r="Y182" s="564"/>
      <c r="Z182" s="564"/>
      <c r="AA182" s="545"/>
      <c r="AB182" s="545"/>
      <c r="AC182" s="545"/>
    </row>
    <row r="183" spans="1:68" ht="27" customHeight="1" x14ac:dyDescent="0.25">
      <c r="A183" s="54" t="s">
        <v>310</v>
      </c>
      <c r="B183" s="54" t="s">
        <v>311</v>
      </c>
      <c r="C183" s="31">
        <v>4301032053</v>
      </c>
      <c r="D183" s="558">
        <v>4680115886780</v>
      </c>
      <c r="E183" s="559"/>
      <c r="F183" s="550">
        <v>7.0000000000000007E-2</v>
      </c>
      <c r="G183" s="32">
        <v>18</v>
      </c>
      <c r="H183" s="550">
        <v>1.26</v>
      </c>
      <c r="I183" s="550">
        <v>1.45</v>
      </c>
      <c r="J183" s="32">
        <v>216</v>
      </c>
      <c r="K183" s="32" t="s">
        <v>312</v>
      </c>
      <c r="L183" s="32"/>
      <c r="M183" s="33" t="s">
        <v>293</v>
      </c>
      <c r="N183" s="33"/>
      <c r="O183" s="32">
        <v>60</v>
      </c>
      <c r="P183" s="824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183" s="556"/>
      <c r="R183" s="556"/>
      <c r="S183" s="556"/>
      <c r="T183" s="557"/>
      <c r="U183" s="34"/>
      <c r="V183" s="34"/>
      <c r="W183" s="35" t="s">
        <v>69</v>
      </c>
      <c r="X183" s="551">
        <v>0</v>
      </c>
      <c r="Y183" s="552">
        <f>IFERROR(IF(X183="",0,CEILING((X183/$H183),1)*$H183),"")</f>
        <v>0</v>
      </c>
      <c r="Z183" s="36" t="str">
        <f>IFERROR(IF(Y183=0,"",ROUNDUP(Y183/H183,0)*0.0059),"")</f>
        <v/>
      </c>
      <c r="AA183" s="56"/>
      <c r="AB183" s="57"/>
      <c r="AC183" s="229" t="s">
        <v>313</v>
      </c>
      <c r="AG183" s="64"/>
      <c r="AJ183" s="68"/>
      <c r="AK183" s="68">
        <v>0</v>
      </c>
      <c r="BB183" s="230" t="s">
        <v>1</v>
      </c>
      <c r="BM183" s="64">
        <f>IFERROR(X183*I183/H183,"0")</f>
        <v>0</v>
      </c>
      <c r="BN183" s="64">
        <f>IFERROR(Y183*I183/H183,"0")</f>
        <v>0</v>
      </c>
      <c r="BO183" s="64">
        <f>IFERROR(1/J183*(X183/H183),"0")</f>
        <v>0</v>
      </c>
      <c r="BP183" s="64">
        <f>IFERROR(1/J183*(Y183/H183),"0")</f>
        <v>0</v>
      </c>
    </row>
    <row r="184" spans="1:68" ht="27" customHeight="1" x14ac:dyDescent="0.25">
      <c r="A184" s="54" t="s">
        <v>314</v>
      </c>
      <c r="B184" s="54" t="s">
        <v>315</v>
      </c>
      <c r="C184" s="31">
        <v>4301032051</v>
      </c>
      <c r="D184" s="558">
        <v>4680115886742</v>
      </c>
      <c r="E184" s="559"/>
      <c r="F184" s="550">
        <v>7.0000000000000007E-2</v>
      </c>
      <c r="G184" s="32">
        <v>18</v>
      </c>
      <c r="H184" s="550">
        <v>1.26</v>
      </c>
      <c r="I184" s="550">
        <v>1.45</v>
      </c>
      <c r="J184" s="32">
        <v>216</v>
      </c>
      <c r="K184" s="32" t="s">
        <v>312</v>
      </c>
      <c r="L184" s="32"/>
      <c r="M184" s="33" t="s">
        <v>293</v>
      </c>
      <c r="N184" s="33"/>
      <c r="O184" s="32">
        <v>90</v>
      </c>
      <c r="P184" s="633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184" s="556"/>
      <c r="R184" s="556"/>
      <c r="S184" s="556"/>
      <c r="T184" s="557"/>
      <c r="U184" s="34"/>
      <c r="V184" s="34"/>
      <c r="W184" s="35" t="s">
        <v>69</v>
      </c>
      <c r="X184" s="551">
        <v>0</v>
      </c>
      <c r="Y184" s="552">
        <f>IFERROR(IF(X184="",0,CEILING((X184/$H184),1)*$H184),"")</f>
        <v>0</v>
      </c>
      <c r="Z184" s="36" t="str">
        <f>IFERROR(IF(Y184=0,"",ROUNDUP(Y184/H184,0)*0.0059),"")</f>
        <v/>
      </c>
      <c r="AA184" s="56"/>
      <c r="AB184" s="57"/>
      <c r="AC184" s="231" t="s">
        <v>316</v>
      </c>
      <c r="AG184" s="64"/>
      <c r="AJ184" s="68"/>
      <c r="AK184" s="68">
        <v>0</v>
      </c>
      <c r="BB184" s="232" t="s">
        <v>1</v>
      </c>
      <c r="BM184" s="64">
        <f>IFERROR(X184*I184/H184,"0")</f>
        <v>0</v>
      </c>
      <c r="BN184" s="64">
        <f>IFERROR(Y184*I184/H184,"0")</f>
        <v>0</v>
      </c>
      <c r="BO184" s="64">
        <f>IFERROR(1/J184*(X184/H184),"0")</f>
        <v>0</v>
      </c>
      <c r="BP184" s="64">
        <f>IFERROR(1/J184*(Y184/H184),"0")</f>
        <v>0</v>
      </c>
    </row>
    <row r="185" spans="1:68" ht="27" customHeight="1" x14ac:dyDescent="0.25">
      <c r="A185" s="54" t="s">
        <v>317</v>
      </c>
      <c r="B185" s="54" t="s">
        <v>318</v>
      </c>
      <c r="C185" s="31">
        <v>4301032052</v>
      </c>
      <c r="D185" s="558">
        <v>4680115886766</v>
      </c>
      <c r="E185" s="559"/>
      <c r="F185" s="550">
        <v>7.0000000000000007E-2</v>
      </c>
      <c r="G185" s="32">
        <v>18</v>
      </c>
      <c r="H185" s="550">
        <v>1.26</v>
      </c>
      <c r="I185" s="550">
        <v>1.45</v>
      </c>
      <c r="J185" s="32">
        <v>216</v>
      </c>
      <c r="K185" s="32" t="s">
        <v>312</v>
      </c>
      <c r="L185" s="32"/>
      <c r="M185" s="33" t="s">
        <v>293</v>
      </c>
      <c r="N185" s="33"/>
      <c r="O185" s="32">
        <v>90</v>
      </c>
      <c r="P185" s="717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185" s="556"/>
      <c r="R185" s="556"/>
      <c r="S185" s="556"/>
      <c r="T185" s="557"/>
      <c r="U185" s="34"/>
      <c r="V185" s="34"/>
      <c r="W185" s="35" t="s">
        <v>69</v>
      </c>
      <c r="X185" s="551">
        <v>0</v>
      </c>
      <c r="Y185" s="552">
        <f>IFERROR(IF(X185="",0,CEILING((X185/$H185),1)*$H185),"")</f>
        <v>0</v>
      </c>
      <c r="Z185" s="36" t="str">
        <f>IFERROR(IF(Y185=0,"",ROUNDUP(Y185/H185,0)*0.0059),"")</f>
        <v/>
      </c>
      <c r="AA185" s="56"/>
      <c r="AB185" s="57"/>
      <c r="AC185" s="233" t="s">
        <v>316</v>
      </c>
      <c r="AG185" s="64"/>
      <c r="AJ185" s="68"/>
      <c r="AK185" s="68">
        <v>0</v>
      </c>
      <c r="BB185" s="234" t="s">
        <v>1</v>
      </c>
      <c r="BM185" s="64">
        <f>IFERROR(X185*I185/H185,"0")</f>
        <v>0</v>
      </c>
      <c r="BN185" s="64">
        <f>IFERROR(Y185*I185/H185,"0")</f>
        <v>0</v>
      </c>
      <c r="BO185" s="64">
        <f>IFERROR(1/J185*(X185/H185),"0")</f>
        <v>0</v>
      </c>
      <c r="BP185" s="64">
        <f>IFERROR(1/J185*(Y185/H185),"0")</f>
        <v>0</v>
      </c>
    </row>
    <row r="186" spans="1:68" x14ac:dyDescent="0.2">
      <c r="A186" s="563"/>
      <c r="B186" s="564"/>
      <c r="C186" s="564"/>
      <c r="D186" s="564"/>
      <c r="E186" s="564"/>
      <c r="F186" s="564"/>
      <c r="G186" s="564"/>
      <c r="H186" s="564"/>
      <c r="I186" s="564"/>
      <c r="J186" s="564"/>
      <c r="K186" s="564"/>
      <c r="L186" s="564"/>
      <c r="M186" s="564"/>
      <c r="N186" s="564"/>
      <c r="O186" s="565"/>
      <c r="P186" s="570" t="s">
        <v>75</v>
      </c>
      <c r="Q186" s="571"/>
      <c r="R186" s="571"/>
      <c r="S186" s="571"/>
      <c r="T186" s="571"/>
      <c r="U186" s="571"/>
      <c r="V186" s="572"/>
      <c r="W186" s="37" t="s">
        <v>76</v>
      </c>
      <c r="X186" s="553">
        <f>IFERROR(X183/H183,"0")+IFERROR(X184/H184,"0")+IFERROR(X185/H185,"0")</f>
        <v>0</v>
      </c>
      <c r="Y186" s="553">
        <f>IFERROR(Y183/H183,"0")+IFERROR(Y184/H184,"0")+IFERROR(Y185/H185,"0")</f>
        <v>0</v>
      </c>
      <c r="Z186" s="553">
        <f>IFERROR(IF(Z183="",0,Z183),"0")+IFERROR(IF(Z184="",0,Z184),"0")+IFERROR(IF(Z185="",0,Z185),"0")</f>
        <v>0</v>
      </c>
      <c r="AA186" s="554"/>
      <c r="AB186" s="554"/>
      <c r="AC186" s="554"/>
    </row>
    <row r="187" spans="1:68" x14ac:dyDescent="0.2">
      <c r="A187" s="564"/>
      <c r="B187" s="564"/>
      <c r="C187" s="564"/>
      <c r="D187" s="564"/>
      <c r="E187" s="564"/>
      <c r="F187" s="564"/>
      <c r="G187" s="564"/>
      <c r="H187" s="564"/>
      <c r="I187" s="564"/>
      <c r="J187" s="564"/>
      <c r="K187" s="564"/>
      <c r="L187" s="564"/>
      <c r="M187" s="564"/>
      <c r="N187" s="564"/>
      <c r="O187" s="565"/>
      <c r="P187" s="570" t="s">
        <v>75</v>
      </c>
      <c r="Q187" s="571"/>
      <c r="R187" s="571"/>
      <c r="S187" s="571"/>
      <c r="T187" s="571"/>
      <c r="U187" s="571"/>
      <c r="V187" s="572"/>
      <c r="W187" s="37" t="s">
        <v>69</v>
      </c>
      <c r="X187" s="553">
        <f>IFERROR(SUM(X183:X185),"0")</f>
        <v>0</v>
      </c>
      <c r="Y187" s="553">
        <f>IFERROR(SUM(Y183:Y185),"0")</f>
        <v>0</v>
      </c>
      <c r="Z187" s="37"/>
      <c r="AA187" s="554"/>
      <c r="AB187" s="554"/>
      <c r="AC187" s="554"/>
    </row>
    <row r="188" spans="1:68" ht="14.25" customHeight="1" x14ac:dyDescent="0.25">
      <c r="A188" s="567" t="s">
        <v>319</v>
      </c>
      <c r="B188" s="564"/>
      <c r="C188" s="564"/>
      <c r="D188" s="564"/>
      <c r="E188" s="564"/>
      <c r="F188" s="564"/>
      <c r="G188" s="564"/>
      <c r="H188" s="564"/>
      <c r="I188" s="564"/>
      <c r="J188" s="564"/>
      <c r="K188" s="564"/>
      <c r="L188" s="564"/>
      <c r="M188" s="564"/>
      <c r="N188" s="564"/>
      <c r="O188" s="564"/>
      <c r="P188" s="564"/>
      <c r="Q188" s="564"/>
      <c r="R188" s="564"/>
      <c r="S188" s="564"/>
      <c r="T188" s="564"/>
      <c r="U188" s="564"/>
      <c r="V188" s="564"/>
      <c r="W188" s="564"/>
      <c r="X188" s="564"/>
      <c r="Y188" s="564"/>
      <c r="Z188" s="564"/>
      <c r="AA188" s="545"/>
      <c r="AB188" s="545"/>
      <c r="AC188" s="545"/>
    </row>
    <row r="189" spans="1:68" ht="27" customHeight="1" x14ac:dyDescent="0.25">
      <c r="A189" s="54" t="s">
        <v>320</v>
      </c>
      <c r="B189" s="54" t="s">
        <v>321</v>
      </c>
      <c r="C189" s="31">
        <v>4301170013</v>
      </c>
      <c r="D189" s="558">
        <v>4680115886797</v>
      </c>
      <c r="E189" s="559"/>
      <c r="F189" s="550">
        <v>7.0000000000000007E-2</v>
      </c>
      <c r="G189" s="32">
        <v>18</v>
      </c>
      <c r="H189" s="550">
        <v>1.26</v>
      </c>
      <c r="I189" s="550">
        <v>1.45</v>
      </c>
      <c r="J189" s="32">
        <v>216</v>
      </c>
      <c r="K189" s="32" t="s">
        <v>312</v>
      </c>
      <c r="L189" s="32"/>
      <c r="M189" s="33" t="s">
        <v>293</v>
      </c>
      <c r="N189" s="33"/>
      <c r="O189" s="32">
        <v>90</v>
      </c>
      <c r="P189" s="666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189" s="556"/>
      <c r="R189" s="556"/>
      <c r="S189" s="556"/>
      <c r="T189" s="557"/>
      <c r="U189" s="34"/>
      <c r="V189" s="34"/>
      <c r="W189" s="35" t="s">
        <v>69</v>
      </c>
      <c r="X189" s="551">
        <v>0</v>
      </c>
      <c r="Y189" s="552">
        <f>IFERROR(IF(X189="",0,CEILING((X189/$H189),1)*$H189),"")</f>
        <v>0</v>
      </c>
      <c r="Z189" s="36" t="str">
        <f>IFERROR(IF(Y189=0,"",ROUNDUP(Y189/H189,0)*0.0059),"")</f>
        <v/>
      </c>
      <c r="AA189" s="56"/>
      <c r="AB189" s="57"/>
      <c r="AC189" s="235" t="s">
        <v>316</v>
      </c>
      <c r="AG189" s="64"/>
      <c r="AJ189" s="68"/>
      <c r="AK189" s="68">
        <v>0</v>
      </c>
      <c r="BB189" s="236" t="s">
        <v>1</v>
      </c>
      <c r="BM189" s="64">
        <f>IFERROR(X189*I189/H189,"0")</f>
        <v>0</v>
      </c>
      <c r="BN189" s="64">
        <f>IFERROR(Y189*I189/H189,"0")</f>
        <v>0</v>
      </c>
      <c r="BO189" s="64">
        <f>IFERROR(1/J189*(X189/H189),"0")</f>
        <v>0</v>
      </c>
      <c r="BP189" s="64">
        <f>IFERROR(1/J189*(Y189/H189),"0")</f>
        <v>0</v>
      </c>
    </row>
    <row r="190" spans="1:68" x14ac:dyDescent="0.2">
      <c r="A190" s="563"/>
      <c r="B190" s="564"/>
      <c r="C190" s="564"/>
      <c r="D190" s="564"/>
      <c r="E190" s="564"/>
      <c r="F190" s="564"/>
      <c r="G190" s="564"/>
      <c r="H190" s="564"/>
      <c r="I190" s="564"/>
      <c r="J190" s="564"/>
      <c r="K190" s="564"/>
      <c r="L190" s="564"/>
      <c r="M190" s="564"/>
      <c r="N190" s="564"/>
      <c r="O190" s="565"/>
      <c r="P190" s="570" t="s">
        <v>75</v>
      </c>
      <c r="Q190" s="571"/>
      <c r="R190" s="571"/>
      <c r="S190" s="571"/>
      <c r="T190" s="571"/>
      <c r="U190" s="571"/>
      <c r="V190" s="572"/>
      <c r="W190" s="37" t="s">
        <v>76</v>
      </c>
      <c r="X190" s="553">
        <f>IFERROR(X189/H189,"0")</f>
        <v>0</v>
      </c>
      <c r="Y190" s="553">
        <f>IFERROR(Y189/H189,"0")</f>
        <v>0</v>
      </c>
      <c r="Z190" s="553">
        <f>IFERROR(IF(Z189="",0,Z189),"0")</f>
        <v>0</v>
      </c>
      <c r="AA190" s="554"/>
      <c r="AB190" s="554"/>
      <c r="AC190" s="554"/>
    </row>
    <row r="191" spans="1:68" x14ac:dyDescent="0.2">
      <c r="A191" s="564"/>
      <c r="B191" s="564"/>
      <c r="C191" s="564"/>
      <c r="D191" s="564"/>
      <c r="E191" s="564"/>
      <c r="F191" s="564"/>
      <c r="G191" s="564"/>
      <c r="H191" s="564"/>
      <c r="I191" s="564"/>
      <c r="J191" s="564"/>
      <c r="K191" s="564"/>
      <c r="L191" s="564"/>
      <c r="M191" s="564"/>
      <c r="N191" s="564"/>
      <c r="O191" s="565"/>
      <c r="P191" s="570" t="s">
        <v>75</v>
      </c>
      <c r="Q191" s="571"/>
      <c r="R191" s="571"/>
      <c r="S191" s="571"/>
      <c r="T191" s="571"/>
      <c r="U191" s="571"/>
      <c r="V191" s="572"/>
      <c r="W191" s="37" t="s">
        <v>69</v>
      </c>
      <c r="X191" s="553">
        <f>IFERROR(SUM(X189:X189),"0")</f>
        <v>0</v>
      </c>
      <c r="Y191" s="553">
        <f>IFERROR(SUM(Y189:Y189),"0")</f>
        <v>0</v>
      </c>
      <c r="Z191" s="37"/>
      <c r="AA191" s="554"/>
      <c r="AB191" s="554"/>
      <c r="AC191" s="554"/>
    </row>
    <row r="192" spans="1:68" ht="16.5" customHeight="1" x14ac:dyDescent="0.25">
      <c r="A192" s="573" t="s">
        <v>322</v>
      </c>
      <c r="B192" s="564"/>
      <c r="C192" s="564"/>
      <c r="D192" s="564"/>
      <c r="E192" s="564"/>
      <c r="F192" s="564"/>
      <c r="G192" s="564"/>
      <c r="H192" s="564"/>
      <c r="I192" s="564"/>
      <c r="J192" s="564"/>
      <c r="K192" s="564"/>
      <c r="L192" s="564"/>
      <c r="M192" s="564"/>
      <c r="N192" s="564"/>
      <c r="O192" s="564"/>
      <c r="P192" s="564"/>
      <c r="Q192" s="564"/>
      <c r="R192" s="564"/>
      <c r="S192" s="564"/>
      <c r="T192" s="564"/>
      <c r="U192" s="564"/>
      <c r="V192" s="564"/>
      <c r="W192" s="564"/>
      <c r="X192" s="564"/>
      <c r="Y192" s="564"/>
      <c r="Z192" s="564"/>
      <c r="AA192" s="546"/>
      <c r="AB192" s="546"/>
      <c r="AC192" s="546"/>
    </row>
    <row r="193" spans="1:68" ht="14.25" customHeight="1" x14ac:dyDescent="0.25">
      <c r="A193" s="567" t="s">
        <v>101</v>
      </c>
      <c r="B193" s="564"/>
      <c r="C193" s="564"/>
      <c r="D193" s="564"/>
      <c r="E193" s="564"/>
      <c r="F193" s="564"/>
      <c r="G193" s="564"/>
      <c r="H193" s="564"/>
      <c r="I193" s="564"/>
      <c r="J193" s="564"/>
      <c r="K193" s="564"/>
      <c r="L193" s="564"/>
      <c r="M193" s="564"/>
      <c r="N193" s="564"/>
      <c r="O193" s="564"/>
      <c r="P193" s="564"/>
      <c r="Q193" s="564"/>
      <c r="R193" s="564"/>
      <c r="S193" s="564"/>
      <c r="T193" s="564"/>
      <c r="U193" s="564"/>
      <c r="V193" s="564"/>
      <c r="W193" s="564"/>
      <c r="X193" s="564"/>
      <c r="Y193" s="564"/>
      <c r="Z193" s="564"/>
      <c r="AA193" s="545"/>
      <c r="AB193" s="545"/>
      <c r="AC193" s="545"/>
    </row>
    <row r="194" spans="1:68" ht="27" customHeight="1" x14ac:dyDescent="0.25">
      <c r="A194" s="54" t="s">
        <v>323</v>
      </c>
      <c r="B194" s="54" t="s">
        <v>324</v>
      </c>
      <c r="C194" s="31">
        <v>4301011450</v>
      </c>
      <c r="D194" s="558">
        <v>4680115881402</v>
      </c>
      <c r="E194" s="559"/>
      <c r="F194" s="550">
        <v>1.35</v>
      </c>
      <c r="G194" s="32">
        <v>8</v>
      </c>
      <c r="H194" s="550">
        <v>10.8</v>
      </c>
      <c r="I194" s="550">
        <v>11.21</v>
      </c>
      <c r="J194" s="32">
        <v>64</v>
      </c>
      <c r="K194" s="32" t="s">
        <v>104</v>
      </c>
      <c r="L194" s="32"/>
      <c r="M194" s="33" t="s">
        <v>106</v>
      </c>
      <c r="N194" s="33"/>
      <c r="O194" s="32">
        <v>55</v>
      </c>
      <c r="P194" s="657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94" s="556"/>
      <c r="R194" s="556"/>
      <c r="S194" s="556"/>
      <c r="T194" s="557"/>
      <c r="U194" s="34"/>
      <c r="V194" s="34"/>
      <c r="W194" s="35" t="s">
        <v>69</v>
      </c>
      <c r="X194" s="551">
        <v>0</v>
      </c>
      <c r="Y194" s="552">
        <f>IFERROR(IF(X194="",0,CEILING((X194/$H194),1)*$H194),"")</f>
        <v>0</v>
      </c>
      <c r="Z194" s="36" t="str">
        <f>IFERROR(IF(Y194=0,"",ROUNDUP(Y194/H194,0)*0.01898),"")</f>
        <v/>
      </c>
      <c r="AA194" s="56"/>
      <c r="AB194" s="57"/>
      <c r="AC194" s="237" t="s">
        <v>325</v>
      </c>
      <c r="AG194" s="64"/>
      <c r="AJ194" s="68"/>
      <c r="AK194" s="68">
        <v>0</v>
      </c>
      <c r="BB194" s="238" t="s">
        <v>1</v>
      </c>
      <c r="BM194" s="64">
        <f>IFERROR(X194*I194/H194,"0")</f>
        <v>0</v>
      </c>
      <c r="BN194" s="64">
        <f>IFERROR(Y194*I194/H194,"0")</f>
        <v>0</v>
      </c>
      <c r="BO194" s="64">
        <f>IFERROR(1/J194*(X194/H194),"0")</f>
        <v>0</v>
      </c>
      <c r="BP194" s="64">
        <f>IFERROR(1/J194*(Y194/H194),"0")</f>
        <v>0</v>
      </c>
    </row>
    <row r="195" spans="1:68" ht="27" customHeight="1" x14ac:dyDescent="0.25">
      <c r="A195" s="54" t="s">
        <v>326</v>
      </c>
      <c r="B195" s="54" t="s">
        <v>327</v>
      </c>
      <c r="C195" s="31">
        <v>4301011768</v>
      </c>
      <c r="D195" s="558">
        <v>4680115881396</v>
      </c>
      <c r="E195" s="559"/>
      <c r="F195" s="550">
        <v>0.45</v>
      </c>
      <c r="G195" s="32">
        <v>6</v>
      </c>
      <c r="H195" s="550">
        <v>2.7</v>
      </c>
      <c r="I195" s="550">
        <v>2.88</v>
      </c>
      <c r="J195" s="32">
        <v>182</v>
      </c>
      <c r="K195" s="32" t="s">
        <v>67</v>
      </c>
      <c r="L195" s="32" t="s">
        <v>90</v>
      </c>
      <c r="M195" s="33" t="s">
        <v>106</v>
      </c>
      <c r="N195" s="33"/>
      <c r="O195" s="32">
        <v>55</v>
      </c>
      <c r="P195" s="694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95" s="556"/>
      <c r="R195" s="556"/>
      <c r="S195" s="556"/>
      <c r="T195" s="557"/>
      <c r="U195" s="34"/>
      <c r="V195" s="34"/>
      <c r="W195" s="35" t="s">
        <v>69</v>
      </c>
      <c r="X195" s="551">
        <v>0</v>
      </c>
      <c r="Y195" s="552">
        <f>IFERROR(IF(X195="",0,CEILING((X195/$H195),1)*$H195),"")</f>
        <v>0</v>
      </c>
      <c r="Z195" s="36" t="str">
        <f>IFERROR(IF(Y195=0,"",ROUNDUP(Y195/H195,0)*0.00651),"")</f>
        <v/>
      </c>
      <c r="AA195" s="56"/>
      <c r="AB195" s="57"/>
      <c r="AC195" s="239" t="s">
        <v>325</v>
      </c>
      <c r="AG195" s="64"/>
      <c r="AJ195" s="68" t="s">
        <v>92</v>
      </c>
      <c r="AK195" s="68">
        <v>37.799999999999997</v>
      </c>
      <c r="BB195" s="240" t="s">
        <v>1</v>
      </c>
      <c r="BM195" s="64">
        <f>IFERROR(X195*I195/H195,"0")</f>
        <v>0</v>
      </c>
      <c r="BN195" s="64">
        <f>IFERROR(Y195*I195/H195,"0")</f>
        <v>0</v>
      </c>
      <c r="BO195" s="64">
        <f>IFERROR(1/J195*(X195/H195),"0")</f>
        <v>0</v>
      </c>
      <c r="BP195" s="64">
        <f>IFERROR(1/J195*(Y195/H195),"0")</f>
        <v>0</v>
      </c>
    </row>
    <row r="196" spans="1:68" x14ac:dyDescent="0.2">
      <c r="A196" s="563"/>
      <c r="B196" s="564"/>
      <c r="C196" s="564"/>
      <c r="D196" s="564"/>
      <c r="E196" s="564"/>
      <c r="F196" s="564"/>
      <c r="G196" s="564"/>
      <c r="H196" s="564"/>
      <c r="I196" s="564"/>
      <c r="J196" s="564"/>
      <c r="K196" s="564"/>
      <c r="L196" s="564"/>
      <c r="M196" s="564"/>
      <c r="N196" s="564"/>
      <c r="O196" s="565"/>
      <c r="P196" s="570" t="s">
        <v>75</v>
      </c>
      <c r="Q196" s="571"/>
      <c r="R196" s="571"/>
      <c r="S196" s="571"/>
      <c r="T196" s="571"/>
      <c r="U196" s="571"/>
      <c r="V196" s="572"/>
      <c r="W196" s="37" t="s">
        <v>76</v>
      </c>
      <c r="X196" s="553">
        <f>IFERROR(X194/H194,"0")+IFERROR(X195/H195,"0")</f>
        <v>0</v>
      </c>
      <c r="Y196" s="553">
        <f>IFERROR(Y194/H194,"0")+IFERROR(Y195/H195,"0")</f>
        <v>0</v>
      </c>
      <c r="Z196" s="553">
        <f>IFERROR(IF(Z194="",0,Z194),"0")+IFERROR(IF(Z195="",0,Z195),"0")</f>
        <v>0</v>
      </c>
      <c r="AA196" s="554"/>
      <c r="AB196" s="554"/>
      <c r="AC196" s="554"/>
    </row>
    <row r="197" spans="1:68" x14ac:dyDescent="0.2">
      <c r="A197" s="564"/>
      <c r="B197" s="564"/>
      <c r="C197" s="564"/>
      <c r="D197" s="564"/>
      <c r="E197" s="564"/>
      <c r="F197" s="564"/>
      <c r="G197" s="564"/>
      <c r="H197" s="564"/>
      <c r="I197" s="564"/>
      <c r="J197" s="564"/>
      <c r="K197" s="564"/>
      <c r="L197" s="564"/>
      <c r="M197" s="564"/>
      <c r="N197" s="564"/>
      <c r="O197" s="565"/>
      <c r="P197" s="570" t="s">
        <v>75</v>
      </c>
      <c r="Q197" s="571"/>
      <c r="R197" s="571"/>
      <c r="S197" s="571"/>
      <c r="T197" s="571"/>
      <c r="U197" s="571"/>
      <c r="V197" s="572"/>
      <c r="W197" s="37" t="s">
        <v>69</v>
      </c>
      <c r="X197" s="553">
        <f>IFERROR(SUM(X194:X195),"0")</f>
        <v>0</v>
      </c>
      <c r="Y197" s="553">
        <f>IFERROR(SUM(Y194:Y195),"0")</f>
        <v>0</v>
      </c>
      <c r="Z197" s="37"/>
      <c r="AA197" s="554"/>
      <c r="AB197" s="554"/>
      <c r="AC197" s="554"/>
    </row>
    <row r="198" spans="1:68" ht="14.25" customHeight="1" x14ac:dyDescent="0.25">
      <c r="A198" s="567" t="s">
        <v>136</v>
      </c>
      <c r="B198" s="564"/>
      <c r="C198" s="564"/>
      <c r="D198" s="564"/>
      <c r="E198" s="564"/>
      <c r="F198" s="564"/>
      <c r="G198" s="564"/>
      <c r="H198" s="564"/>
      <c r="I198" s="564"/>
      <c r="J198" s="564"/>
      <c r="K198" s="564"/>
      <c r="L198" s="564"/>
      <c r="M198" s="564"/>
      <c r="N198" s="564"/>
      <c r="O198" s="564"/>
      <c r="P198" s="564"/>
      <c r="Q198" s="564"/>
      <c r="R198" s="564"/>
      <c r="S198" s="564"/>
      <c r="T198" s="564"/>
      <c r="U198" s="564"/>
      <c r="V198" s="564"/>
      <c r="W198" s="564"/>
      <c r="X198" s="564"/>
      <c r="Y198" s="564"/>
      <c r="Z198" s="564"/>
      <c r="AA198" s="545"/>
      <c r="AB198" s="545"/>
      <c r="AC198" s="545"/>
    </row>
    <row r="199" spans="1:68" ht="16.5" customHeight="1" x14ac:dyDescent="0.25">
      <c r="A199" s="54" t="s">
        <v>328</v>
      </c>
      <c r="B199" s="54" t="s">
        <v>329</v>
      </c>
      <c r="C199" s="31">
        <v>4301020261</v>
      </c>
      <c r="D199" s="558">
        <v>4680115882935</v>
      </c>
      <c r="E199" s="559"/>
      <c r="F199" s="550">
        <v>1.35</v>
      </c>
      <c r="G199" s="32">
        <v>8</v>
      </c>
      <c r="H199" s="550">
        <v>10.8</v>
      </c>
      <c r="I199" s="550">
        <v>11.21</v>
      </c>
      <c r="J199" s="32">
        <v>64</v>
      </c>
      <c r="K199" s="32" t="s">
        <v>104</v>
      </c>
      <c r="L199" s="32"/>
      <c r="M199" s="33" t="s">
        <v>106</v>
      </c>
      <c r="N199" s="33"/>
      <c r="O199" s="32">
        <v>50</v>
      </c>
      <c r="P199" s="851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199" s="556"/>
      <c r="R199" s="556"/>
      <c r="S199" s="556"/>
      <c r="T199" s="557"/>
      <c r="U199" s="34"/>
      <c r="V199" s="34"/>
      <c r="W199" s="35" t="s">
        <v>69</v>
      </c>
      <c r="X199" s="551">
        <v>0</v>
      </c>
      <c r="Y199" s="552">
        <f>IFERROR(IF(X199="",0,CEILING((X199/$H199),1)*$H199),"")</f>
        <v>0</v>
      </c>
      <c r="Z199" s="36" t="str">
        <f>IFERROR(IF(Y199=0,"",ROUNDUP(Y199/H199,0)*0.01898),"")</f>
        <v/>
      </c>
      <c r="AA199" s="56"/>
      <c r="AB199" s="57"/>
      <c r="AC199" s="241" t="s">
        <v>330</v>
      </c>
      <c r="AG199" s="64"/>
      <c r="AJ199" s="68"/>
      <c r="AK199" s="68">
        <v>0</v>
      </c>
      <c r="BB199" s="242" t="s">
        <v>1</v>
      </c>
      <c r="BM199" s="64">
        <f>IFERROR(X199*I199/H199,"0")</f>
        <v>0</v>
      </c>
      <c r="BN199" s="64">
        <f>IFERROR(Y199*I199/H199,"0")</f>
        <v>0</v>
      </c>
      <c r="BO199" s="64">
        <f>IFERROR(1/J199*(X199/H199),"0")</f>
        <v>0</v>
      </c>
      <c r="BP199" s="64">
        <f>IFERROR(1/J199*(Y199/H199),"0")</f>
        <v>0</v>
      </c>
    </row>
    <row r="200" spans="1:68" ht="16.5" customHeight="1" x14ac:dyDescent="0.25">
      <c r="A200" s="54" t="s">
        <v>331</v>
      </c>
      <c r="B200" s="54" t="s">
        <v>332</v>
      </c>
      <c r="C200" s="31">
        <v>4301020220</v>
      </c>
      <c r="D200" s="558">
        <v>4680115880764</v>
      </c>
      <c r="E200" s="559"/>
      <c r="F200" s="550">
        <v>0.35</v>
      </c>
      <c r="G200" s="32">
        <v>6</v>
      </c>
      <c r="H200" s="550">
        <v>2.1</v>
      </c>
      <c r="I200" s="550">
        <v>2.2799999999999998</v>
      </c>
      <c r="J200" s="32">
        <v>182</v>
      </c>
      <c r="K200" s="32" t="s">
        <v>67</v>
      </c>
      <c r="L200" s="32"/>
      <c r="M200" s="33" t="s">
        <v>106</v>
      </c>
      <c r="N200" s="33"/>
      <c r="O200" s="32">
        <v>50</v>
      </c>
      <c r="P200" s="862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00" s="556"/>
      <c r="R200" s="556"/>
      <c r="S200" s="556"/>
      <c r="T200" s="557"/>
      <c r="U200" s="34"/>
      <c r="V200" s="34"/>
      <c r="W200" s="35" t="s">
        <v>69</v>
      </c>
      <c r="X200" s="551">
        <v>0</v>
      </c>
      <c r="Y200" s="552">
        <f>IFERROR(IF(X200="",0,CEILING((X200/$H200),1)*$H200),"")</f>
        <v>0</v>
      </c>
      <c r="Z200" s="36" t="str">
        <f>IFERROR(IF(Y200=0,"",ROUNDUP(Y200/H200,0)*0.00651),"")</f>
        <v/>
      </c>
      <c r="AA200" s="56"/>
      <c r="AB200" s="57"/>
      <c r="AC200" s="243" t="s">
        <v>330</v>
      </c>
      <c r="AG200" s="64"/>
      <c r="AJ200" s="68"/>
      <c r="AK200" s="68">
        <v>0</v>
      </c>
      <c r="BB200" s="244" t="s">
        <v>1</v>
      </c>
      <c r="BM200" s="64">
        <f>IFERROR(X200*I200/H200,"0")</f>
        <v>0</v>
      </c>
      <c r="BN200" s="64">
        <f>IFERROR(Y200*I200/H200,"0")</f>
        <v>0</v>
      </c>
      <c r="BO200" s="64">
        <f>IFERROR(1/J200*(X200/H200),"0")</f>
        <v>0</v>
      </c>
      <c r="BP200" s="64">
        <f>IFERROR(1/J200*(Y200/H200),"0")</f>
        <v>0</v>
      </c>
    </row>
    <row r="201" spans="1:68" x14ac:dyDescent="0.2">
      <c r="A201" s="563"/>
      <c r="B201" s="564"/>
      <c r="C201" s="564"/>
      <c r="D201" s="564"/>
      <c r="E201" s="564"/>
      <c r="F201" s="564"/>
      <c r="G201" s="564"/>
      <c r="H201" s="564"/>
      <c r="I201" s="564"/>
      <c r="J201" s="564"/>
      <c r="K201" s="564"/>
      <c r="L201" s="564"/>
      <c r="M201" s="564"/>
      <c r="N201" s="564"/>
      <c r="O201" s="565"/>
      <c r="P201" s="570" t="s">
        <v>75</v>
      </c>
      <c r="Q201" s="571"/>
      <c r="R201" s="571"/>
      <c r="S201" s="571"/>
      <c r="T201" s="571"/>
      <c r="U201" s="571"/>
      <c r="V201" s="572"/>
      <c r="W201" s="37" t="s">
        <v>76</v>
      </c>
      <c r="X201" s="553">
        <f>IFERROR(X199/H199,"0")+IFERROR(X200/H200,"0")</f>
        <v>0</v>
      </c>
      <c r="Y201" s="553">
        <f>IFERROR(Y199/H199,"0")+IFERROR(Y200/H200,"0")</f>
        <v>0</v>
      </c>
      <c r="Z201" s="553">
        <f>IFERROR(IF(Z199="",0,Z199),"0")+IFERROR(IF(Z200="",0,Z200),"0")</f>
        <v>0</v>
      </c>
      <c r="AA201" s="554"/>
      <c r="AB201" s="554"/>
      <c r="AC201" s="554"/>
    </row>
    <row r="202" spans="1:68" x14ac:dyDescent="0.2">
      <c r="A202" s="564"/>
      <c r="B202" s="564"/>
      <c r="C202" s="564"/>
      <c r="D202" s="564"/>
      <c r="E202" s="564"/>
      <c r="F202" s="564"/>
      <c r="G202" s="564"/>
      <c r="H202" s="564"/>
      <c r="I202" s="564"/>
      <c r="J202" s="564"/>
      <c r="K202" s="564"/>
      <c r="L202" s="564"/>
      <c r="M202" s="564"/>
      <c r="N202" s="564"/>
      <c r="O202" s="565"/>
      <c r="P202" s="570" t="s">
        <v>75</v>
      </c>
      <c r="Q202" s="571"/>
      <c r="R202" s="571"/>
      <c r="S202" s="571"/>
      <c r="T202" s="571"/>
      <c r="U202" s="571"/>
      <c r="V202" s="572"/>
      <c r="W202" s="37" t="s">
        <v>69</v>
      </c>
      <c r="X202" s="553">
        <f>IFERROR(SUM(X199:X200),"0")</f>
        <v>0</v>
      </c>
      <c r="Y202" s="553">
        <f>IFERROR(SUM(Y199:Y200),"0")</f>
        <v>0</v>
      </c>
      <c r="Z202" s="37"/>
      <c r="AA202" s="554"/>
      <c r="AB202" s="554"/>
      <c r="AC202" s="554"/>
    </row>
    <row r="203" spans="1:68" ht="14.25" customHeight="1" x14ac:dyDescent="0.25">
      <c r="A203" s="567" t="s">
        <v>64</v>
      </c>
      <c r="B203" s="564"/>
      <c r="C203" s="564"/>
      <c r="D203" s="564"/>
      <c r="E203" s="564"/>
      <c r="F203" s="564"/>
      <c r="G203" s="564"/>
      <c r="H203" s="564"/>
      <c r="I203" s="564"/>
      <c r="J203" s="564"/>
      <c r="K203" s="564"/>
      <c r="L203" s="564"/>
      <c r="M203" s="564"/>
      <c r="N203" s="564"/>
      <c r="O203" s="564"/>
      <c r="P203" s="564"/>
      <c r="Q203" s="564"/>
      <c r="R203" s="564"/>
      <c r="S203" s="564"/>
      <c r="T203" s="564"/>
      <c r="U203" s="564"/>
      <c r="V203" s="564"/>
      <c r="W203" s="564"/>
      <c r="X203" s="564"/>
      <c r="Y203" s="564"/>
      <c r="Z203" s="564"/>
      <c r="AA203" s="545"/>
      <c r="AB203" s="545"/>
      <c r="AC203" s="545"/>
    </row>
    <row r="204" spans="1:68" ht="27" customHeight="1" x14ac:dyDescent="0.25">
      <c r="A204" s="54" t="s">
        <v>333</v>
      </c>
      <c r="B204" s="54" t="s">
        <v>334</v>
      </c>
      <c r="C204" s="31">
        <v>4301031224</v>
      </c>
      <c r="D204" s="558">
        <v>4680115882683</v>
      </c>
      <c r="E204" s="559"/>
      <c r="F204" s="550">
        <v>0.9</v>
      </c>
      <c r="G204" s="32">
        <v>6</v>
      </c>
      <c r="H204" s="550">
        <v>5.4</v>
      </c>
      <c r="I204" s="550">
        <v>5.59</v>
      </c>
      <c r="J204" s="32">
        <v>132</v>
      </c>
      <c r="K204" s="32" t="s">
        <v>110</v>
      </c>
      <c r="L204" s="32" t="s">
        <v>111</v>
      </c>
      <c r="M204" s="33" t="s">
        <v>68</v>
      </c>
      <c r="N204" s="33"/>
      <c r="O204" s="32">
        <v>40</v>
      </c>
      <c r="P204" s="747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04" s="556"/>
      <c r="R204" s="556"/>
      <c r="S204" s="556"/>
      <c r="T204" s="557"/>
      <c r="U204" s="34"/>
      <c r="V204" s="34"/>
      <c r="W204" s="35" t="s">
        <v>69</v>
      </c>
      <c r="X204" s="551">
        <v>60</v>
      </c>
      <c r="Y204" s="552">
        <f t="shared" ref="Y204:Y211" si="15">IFERROR(IF(X204="",0,CEILING((X204/$H204),1)*$H204),"")</f>
        <v>64.800000000000011</v>
      </c>
      <c r="Z204" s="36">
        <f>IFERROR(IF(Y204=0,"",ROUNDUP(Y204/H204,0)*0.00902),"")</f>
        <v>0.10824</v>
      </c>
      <c r="AA204" s="56"/>
      <c r="AB204" s="57"/>
      <c r="AC204" s="245" t="s">
        <v>335</v>
      </c>
      <c r="AG204" s="64"/>
      <c r="AJ204" s="68" t="s">
        <v>92</v>
      </c>
      <c r="AK204" s="68">
        <v>64.8</v>
      </c>
      <c r="BB204" s="246" t="s">
        <v>1</v>
      </c>
      <c r="BM204" s="64">
        <f t="shared" ref="BM204:BM211" si="16">IFERROR(X204*I204/H204,"0")</f>
        <v>62.1111111111111</v>
      </c>
      <c r="BN204" s="64">
        <f t="shared" ref="BN204:BN211" si="17">IFERROR(Y204*I204/H204,"0")</f>
        <v>67.08</v>
      </c>
      <c r="BO204" s="64">
        <f t="shared" ref="BO204:BO211" si="18">IFERROR(1/J204*(X204/H204),"0")</f>
        <v>8.4175084175084181E-2</v>
      </c>
      <c r="BP204" s="64">
        <f t="shared" ref="BP204:BP211" si="19">IFERROR(1/J204*(Y204/H204),"0")</f>
        <v>9.0909090909090925E-2</v>
      </c>
    </row>
    <row r="205" spans="1:68" ht="27" customHeight="1" x14ac:dyDescent="0.25">
      <c r="A205" s="54" t="s">
        <v>336</v>
      </c>
      <c r="B205" s="54" t="s">
        <v>337</v>
      </c>
      <c r="C205" s="31">
        <v>4301031230</v>
      </c>
      <c r="D205" s="558">
        <v>4680115882690</v>
      </c>
      <c r="E205" s="559"/>
      <c r="F205" s="550">
        <v>0.9</v>
      </c>
      <c r="G205" s="32">
        <v>6</v>
      </c>
      <c r="H205" s="550">
        <v>5.4</v>
      </c>
      <c r="I205" s="550">
        <v>5.59</v>
      </c>
      <c r="J205" s="32">
        <v>132</v>
      </c>
      <c r="K205" s="32" t="s">
        <v>110</v>
      </c>
      <c r="L205" s="32" t="s">
        <v>111</v>
      </c>
      <c r="M205" s="33" t="s">
        <v>68</v>
      </c>
      <c r="N205" s="33"/>
      <c r="O205" s="32">
        <v>40</v>
      </c>
      <c r="P205" s="675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05" s="556"/>
      <c r="R205" s="556"/>
      <c r="S205" s="556"/>
      <c r="T205" s="557"/>
      <c r="U205" s="34"/>
      <c r="V205" s="34"/>
      <c r="W205" s="35" t="s">
        <v>69</v>
      </c>
      <c r="X205" s="551">
        <v>60</v>
      </c>
      <c r="Y205" s="552">
        <f t="shared" si="15"/>
        <v>64.800000000000011</v>
      </c>
      <c r="Z205" s="36">
        <f>IFERROR(IF(Y205=0,"",ROUNDUP(Y205/H205,0)*0.00902),"")</f>
        <v>0.10824</v>
      </c>
      <c r="AA205" s="56"/>
      <c r="AB205" s="57"/>
      <c r="AC205" s="247" t="s">
        <v>338</v>
      </c>
      <c r="AG205" s="64"/>
      <c r="AJ205" s="68" t="s">
        <v>92</v>
      </c>
      <c r="AK205" s="68">
        <v>64.8</v>
      </c>
      <c r="BB205" s="248" t="s">
        <v>1</v>
      </c>
      <c r="BM205" s="64">
        <f t="shared" si="16"/>
        <v>62.1111111111111</v>
      </c>
      <c r="BN205" s="64">
        <f t="shared" si="17"/>
        <v>67.08</v>
      </c>
      <c r="BO205" s="64">
        <f t="shared" si="18"/>
        <v>8.4175084175084181E-2</v>
      </c>
      <c r="BP205" s="64">
        <f t="shared" si="19"/>
        <v>9.0909090909090925E-2</v>
      </c>
    </row>
    <row r="206" spans="1:68" ht="27" customHeight="1" x14ac:dyDescent="0.25">
      <c r="A206" s="54" t="s">
        <v>339</v>
      </c>
      <c r="B206" s="54" t="s">
        <v>340</v>
      </c>
      <c r="C206" s="31">
        <v>4301031220</v>
      </c>
      <c r="D206" s="558">
        <v>4680115882669</v>
      </c>
      <c r="E206" s="559"/>
      <c r="F206" s="550">
        <v>0.9</v>
      </c>
      <c r="G206" s="32">
        <v>6</v>
      </c>
      <c r="H206" s="550">
        <v>5.4</v>
      </c>
      <c r="I206" s="550">
        <v>5.59</v>
      </c>
      <c r="J206" s="32">
        <v>132</v>
      </c>
      <c r="K206" s="32" t="s">
        <v>110</v>
      </c>
      <c r="L206" s="32" t="s">
        <v>111</v>
      </c>
      <c r="M206" s="33" t="s">
        <v>68</v>
      </c>
      <c r="N206" s="33"/>
      <c r="O206" s="32">
        <v>40</v>
      </c>
      <c r="P206" s="752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06" s="556"/>
      <c r="R206" s="556"/>
      <c r="S206" s="556"/>
      <c r="T206" s="557"/>
      <c r="U206" s="34"/>
      <c r="V206" s="34"/>
      <c r="W206" s="35" t="s">
        <v>69</v>
      </c>
      <c r="X206" s="551">
        <v>200</v>
      </c>
      <c r="Y206" s="552">
        <f t="shared" si="15"/>
        <v>205.20000000000002</v>
      </c>
      <c r="Z206" s="36">
        <f>IFERROR(IF(Y206=0,"",ROUNDUP(Y206/H206,0)*0.00902),"")</f>
        <v>0.34276000000000001</v>
      </c>
      <c r="AA206" s="56"/>
      <c r="AB206" s="57"/>
      <c r="AC206" s="249" t="s">
        <v>341</v>
      </c>
      <c r="AG206" s="64"/>
      <c r="AJ206" s="68" t="s">
        <v>92</v>
      </c>
      <c r="AK206" s="68">
        <v>64.8</v>
      </c>
      <c r="BB206" s="250" t="s">
        <v>1</v>
      </c>
      <c r="BM206" s="64">
        <f t="shared" si="16"/>
        <v>207.03703703703701</v>
      </c>
      <c r="BN206" s="64">
        <f t="shared" si="17"/>
        <v>212.42</v>
      </c>
      <c r="BO206" s="64">
        <f t="shared" si="18"/>
        <v>0.28058361391694725</v>
      </c>
      <c r="BP206" s="64">
        <f t="shared" si="19"/>
        <v>0.2878787878787879</v>
      </c>
    </row>
    <row r="207" spans="1:68" ht="27" customHeight="1" x14ac:dyDescent="0.25">
      <c r="A207" s="54" t="s">
        <v>342</v>
      </c>
      <c r="B207" s="54" t="s">
        <v>343</v>
      </c>
      <c r="C207" s="31">
        <v>4301031221</v>
      </c>
      <c r="D207" s="558">
        <v>4680115882676</v>
      </c>
      <c r="E207" s="559"/>
      <c r="F207" s="550">
        <v>0.9</v>
      </c>
      <c r="G207" s="32">
        <v>6</v>
      </c>
      <c r="H207" s="550">
        <v>5.4</v>
      </c>
      <c r="I207" s="550">
        <v>5.59</v>
      </c>
      <c r="J207" s="32">
        <v>132</v>
      </c>
      <c r="K207" s="32" t="s">
        <v>110</v>
      </c>
      <c r="L207" s="32" t="s">
        <v>111</v>
      </c>
      <c r="M207" s="33" t="s">
        <v>68</v>
      </c>
      <c r="N207" s="33"/>
      <c r="O207" s="32">
        <v>40</v>
      </c>
      <c r="P207" s="758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07" s="556"/>
      <c r="R207" s="556"/>
      <c r="S207" s="556"/>
      <c r="T207" s="557"/>
      <c r="U207" s="34"/>
      <c r="V207" s="34"/>
      <c r="W207" s="35" t="s">
        <v>69</v>
      </c>
      <c r="X207" s="551">
        <v>60</v>
      </c>
      <c r="Y207" s="552">
        <f t="shared" si="15"/>
        <v>64.800000000000011</v>
      </c>
      <c r="Z207" s="36">
        <f>IFERROR(IF(Y207=0,"",ROUNDUP(Y207/H207,0)*0.00902),"")</f>
        <v>0.10824</v>
      </c>
      <c r="AA207" s="56"/>
      <c r="AB207" s="57"/>
      <c r="AC207" s="251" t="s">
        <v>344</v>
      </c>
      <c r="AG207" s="64"/>
      <c r="AJ207" s="68" t="s">
        <v>92</v>
      </c>
      <c r="AK207" s="68">
        <v>64.8</v>
      </c>
      <c r="BB207" s="252" t="s">
        <v>1</v>
      </c>
      <c r="BM207" s="64">
        <f t="shared" si="16"/>
        <v>62.1111111111111</v>
      </c>
      <c r="BN207" s="64">
        <f t="shared" si="17"/>
        <v>67.08</v>
      </c>
      <c r="BO207" s="64">
        <f t="shared" si="18"/>
        <v>8.4175084175084181E-2</v>
      </c>
      <c r="BP207" s="64">
        <f t="shared" si="19"/>
        <v>9.0909090909090925E-2</v>
      </c>
    </row>
    <row r="208" spans="1:68" ht="27" customHeight="1" x14ac:dyDescent="0.25">
      <c r="A208" s="54" t="s">
        <v>345</v>
      </c>
      <c r="B208" s="54" t="s">
        <v>346</v>
      </c>
      <c r="C208" s="31">
        <v>4301031223</v>
      </c>
      <c r="D208" s="558">
        <v>4680115884014</v>
      </c>
      <c r="E208" s="559"/>
      <c r="F208" s="550">
        <v>0.3</v>
      </c>
      <c r="G208" s="32">
        <v>6</v>
      </c>
      <c r="H208" s="550">
        <v>1.8</v>
      </c>
      <c r="I208" s="550">
        <v>1.93</v>
      </c>
      <c r="J208" s="32">
        <v>234</v>
      </c>
      <c r="K208" s="32" t="s">
        <v>73</v>
      </c>
      <c r="L208" s="32" t="s">
        <v>285</v>
      </c>
      <c r="M208" s="33" t="s">
        <v>68</v>
      </c>
      <c r="N208" s="33"/>
      <c r="O208" s="32">
        <v>40</v>
      </c>
      <c r="P208" s="710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08" s="556"/>
      <c r="R208" s="556"/>
      <c r="S208" s="556"/>
      <c r="T208" s="557"/>
      <c r="U208" s="34"/>
      <c r="V208" s="34"/>
      <c r="W208" s="35" t="s">
        <v>69</v>
      </c>
      <c r="X208" s="551">
        <v>0</v>
      </c>
      <c r="Y208" s="552">
        <f t="shared" si="15"/>
        <v>0</v>
      </c>
      <c r="Z208" s="36" t="str">
        <f>IFERROR(IF(Y208=0,"",ROUNDUP(Y208/H208,0)*0.00502),"")</f>
        <v/>
      </c>
      <c r="AA208" s="56"/>
      <c r="AB208" s="57"/>
      <c r="AC208" s="253" t="s">
        <v>335</v>
      </c>
      <c r="AG208" s="64"/>
      <c r="AJ208" s="68" t="s">
        <v>92</v>
      </c>
      <c r="AK208" s="68">
        <v>32.4</v>
      </c>
      <c r="BB208" s="254" t="s">
        <v>1</v>
      </c>
      <c r="BM208" s="64">
        <f t="shared" si="16"/>
        <v>0</v>
      </c>
      <c r="BN208" s="64">
        <f t="shared" si="17"/>
        <v>0</v>
      </c>
      <c r="BO208" s="64">
        <f t="shared" si="18"/>
        <v>0</v>
      </c>
      <c r="BP208" s="64">
        <f t="shared" si="19"/>
        <v>0</v>
      </c>
    </row>
    <row r="209" spans="1:68" ht="27" customHeight="1" x14ac:dyDescent="0.25">
      <c r="A209" s="54" t="s">
        <v>347</v>
      </c>
      <c r="B209" s="54" t="s">
        <v>348</v>
      </c>
      <c r="C209" s="31">
        <v>4301031222</v>
      </c>
      <c r="D209" s="558">
        <v>4680115884007</v>
      </c>
      <c r="E209" s="559"/>
      <c r="F209" s="550">
        <v>0.3</v>
      </c>
      <c r="G209" s="32">
        <v>6</v>
      </c>
      <c r="H209" s="550">
        <v>1.8</v>
      </c>
      <c r="I209" s="550">
        <v>1.9</v>
      </c>
      <c r="J209" s="32">
        <v>234</v>
      </c>
      <c r="K209" s="32" t="s">
        <v>73</v>
      </c>
      <c r="L209" s="32" t="s">
        <v>285</v>
      </c>
      <c r="M209" s="33" t="s">
        <v>68</v>
      </c>
      <c r="N209" s="33"/>
      <c r="O209" s="32">
        <v>40</v>
      </c>
      <c r="P209" s="605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09" s="556"/>
      <c r="R209" s="556"/>
      <c r="S209" s="556"/>
      <c r="T209" s="557"/>
      <c r="U209" s="34"/>
      <c r="V209" s="34"/>
      <c r="W209" s="35" t="s">
        <v>69</v>
      </c>
      <c r="X209" s="551">
        <v>0</v>
      </c>
      <c r="Y209" s="552">
        <f t="shared" si="15"/>
        <v>0</v>
      </c>
      <c r="Z209" s="36" t="str">
        <f>IFERROR(IF(Y209=0,"",ROUNDUP(Y209/H209,0)*0.00502),"")</f>
        <v/>
      </c>
      <c r="AA209" s="56"/>
      <c r="AB209" s="57"/>
      <c r="AC209" s="255" t="s">
        <v>338</v>
      </c>
      <c r="AG209" s="64"/>
      <c r="AJ209" s="68" t="s">
        <v>92</v>
      </c>
      <c r="AK209" s="68">
        <v>32.4</v>
      </c>
      <c r="BB209" s="256" t="s">
        <v>1</v>
      </c>
      <c r="BM209" s="64">
        <f t="shared" si="16"/>
        <v>0</v>
      </c>
      <c r="BN209" s="64">
        <f t="shared" si="17"/>
        <v>0</v>
      </c>
      <c r="BO209" s="64">
        <f t="shared" si="18"/>
        <v>0</v>
      </c>
      <c r="BP209" s="64">
        <f t="shared" si="19"/>
        <v>0</v>
      </c>
    </row>
    <row r="210" spans="1:68" ht="27" customHeight="1" x14ac:dyDescent="0.25">
      <c r="A210" s="54" t="s">
        <v>349</v>
      </c>
      <c r="B210" s="54" t="s">
        <v>350</v>
      </c>
      <c r="C210" s="31">
        <v>4301031229</v>
      </c>
      <c r="D210" s="558">
        <v>4680115884038</v>
      </c>
      <c r="E210" s="559"/>
      <c r="F210" s="550">
        <v>0.3</v>
      </c>
      <c r="G210" s="32">
        <v>6</v>
      </c>
      <c r="H210" s="550">
        <v>1.8</v>
      </c>
      <c r="I210" s="550">
        <v>1.9</v>
      </c>
      <c r="J210" s="32">
        <v>234</v>
      </c>
      <c r="K210" s="32" t="s">
        <v>73</v>
      </c>
      <c r="L210" s="32"/>
      <c r="M210" s="33" t="s">
        <v>68</v>
      </c>
      <c r="N210" s="33"/>
      <c r="O210" s="32">
        <v>40</v>
      </c>
      <c r="P210" s="715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10" s="556"/>
      <c r="R210" s="556"/>
      <c r="S210" s="556"/>
      <c r="T210" s="557"/>
      <c r="U210" s="34"/>
      <c r="V210" s="34"/>
      <c r="W210" s="35" t="s">
        <v>69</v>
      </c>
      <c r="X210" s="551">
        <v>0</v>
      </c>
      <c r="Y210" s="552">
        <f t="shared" si="15"/>
        <v>0</v>
      </c>
      <c r="Z210" s="36" t="str">
        <f>IFERROR(IF(Y210=0,"",ROUNDUP(Y210/H210,0)*0.00502),"")</f>
        <v/>
      </c>
      <c r="AA210" s="56"/>
      <c r="AB210" s="57"/>
      <c r="AC210" s="257" t="s">
        <v>341</v>
      </c>
      <c r="AG210" s="64"/>
      <c r="AJ210" s="68"/>
      <c r="AK210" s="68">
        <v>0</v>
      </c>
      <c r="BB210" s="258" t="s">
        <v>1</v>
      </c>
      <c r="BM210" s="64">
        <f t="shared" si="16"/>
        <v>0</v>
      </c>
      <c r="BN210" s="64">
        <f t="shared" si="17"/>
        <v>0</v>
      </c>
      <c r="BO210" s="64">
        <f t="shared" si="18"/>
        <v>0</v>
      </c>
      <c r="BP210" s="64">
        <f t="shared" si="19"/>
        <v>0</v>
      </c>
    </row>
    <row r="211" spans="1:68" ht="27" customHeight="1" x14ac:dyDescent="0.25">
      <c r="A211" s="54" t="s">
        <v>351</v>
      </c>
      <c r="B211" s="54" t="s">
        <v>352</v>
      </c>
      <c r="C211" s="31">
        <v>4301031225</v>
      </c>
      <c r="D211" s="558">
        <v>4680115884021</v>
      </c>
      <c r="E211" s="559"/>
      <c r="F211" s="550">
        <v>0.3</v>
      </c>
      <c r="G211" s="32">
        <v>6</v>
      </c>
      <c r="H211" s="550">
        <v>1.8</v>
      </c>
      <c r="I211" s="550">
        <v>1.9</v>
      </c>
      <c r="J211" s="32">
        <v>234</v>
      </c>
      <c r="K211" s="32" t="s">
        <v>73</v>
      </c>
      <c r="L211" s="32" t="s">
        <v>285</v>
      </c>
      <c r="M211" s="33" t="s">
        <v>68</v>
      </c>
      <c r="N211" s="33"/>
      <c r="O211" s="32">
        <v>40</v>
      </c>
      <c r="P211" s="739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11" s="556"/>
      <c r="R211" s="556"/>
      <c r="S211" s="556"/>
      <c r="T211" s="557"/>
      <c r="U211" s="34"/>
      <c r="V211" s="34"/>
      <c r="W211" s="35" t="s">
        <v>69</v>
      </c>
      <c r="X211" s="551">
        <v>0</v>
      </c>
      <c r="Y211" s="552">
        <f t="shared" si="15"/>
        <v>0</v>
      </c>
      <c r="Z211" s="36" t="str">
        <f>IFERROR(IF(Y211=0,"",ROUNDUP(Y211/H211,0)*0.00502),"")</f>
        <v/>
      </c>
      <c r="AA211" s="56"/>
      <c r="AB211" s="57"/>
      <c r="AC211" s="259" t="s">
        <v>344</v>
      </c>
      <c r="AG211" s="64"/>
      <c r="AJ211" s="68" t="s">
        <v>92</v>
      </c>
      <c r="AK211" s="68">
        <v>32.4</v>
      </c>
      <c r="BB211" s="260" t="s">
        <v>1</v>
      </c>
      <c r="BM211" s="64">
        <f t="shared" si="16"/>
        <v>0</v>
      </c>
      <c r="BN211" s="64">
        <f t="shared" si="17"/>
        <v>0</v>
      </c>
      <c r="BO211" s="64">
        <f t="shared" si="18"/>
        <v>0</v>
      </c>
      <c r="BP211" s="64">
        <f t="shared" si="19"/>
        <v>0</v>
      </c>
    </row>
    <row r="212" spans="1:68" x14ac:dyDescent="0.2">
      <c r="A212" s="563"/>
      <c r="B212" s="564"/>
      <c r="C212" s="564"/>
      <c r="D212" s="564"/>
      <c r="E212" s="564"/>
      <c r="F212" s="564"/>
      <c r="G212" s="564"/>
      <c r="H212" s="564"/>
      <c r="I212" s="564"/>
      <c r="J212" s="564"/>
      <c r="K212" s="564"/>
      <c r="L212" s="564"/>
      <c r="M212" s="564"/>
      <c r="N212" s="564"/>
      <c r="O212" s="565"/>
      <c r="P212" s="570" t="s">
        <v>75</v>
      </c>
      <c r="Q212" s="571"/>
      <c r="R212" s="571"/>
      <c r="S212" s="571"/>
      <c r="T212" s="571"/>
      <c r="U212" s="571"/>
      <c r="V212" s="572"/>
      <c r="W212" s="37" t="s">
        <v>76</v>
      </c>
      <c r="X212" s="553">
        <f>IFERROR(X204/H204,"0")+IFERROR(X205/H205,"0")+IFERROR(X206/H206,"0")+IFERROR(X207/H207,"0")+IFERROR(X208/H208,"0")+IFERROR(X209/H209,"0")+IFERROR(X210/H210,"0")+IFERROR(X211/H211,"0")</f>
        <v>70.370370370370367</v>
      </c>
      <c r="Y212" s="553">
        <f>IFERROR(Y204/H204,"0")+IFERROR(Y205/H205,"0")+IFERROR(Y206/H206,"0")+IFERROR(Y207/H207,"0")+IFERROR(Y208/H208,"0")+IFERROR(Y209/H209,"0")+IFERROR(Y210/H210,"0")+IFERROR(Y211/H211,"0")</f>
        <v>74</v>
      </c>
      <c r="Z212" s="553">
        <f>IFERROR(IF(Z204="",0,Z204),"0")+IFERROR(IF(Z205="",0,Z205),"0")+IFERROR(IF(Z206="",0,Z206),"0")+IFERROR(IF(Z207="",0,Z207),"0")+IFERROR(IF(Z208="",0,Z208),"0")+IFERROR(IF(Z209="",0,Z209),"0")+IFERROR(IF(Z210="",0,Z210),"0")+IFERROR(IF(Z211="",0,Z211),"0")</f>
        <v>0.66747999999999996</v>
      </c>
      <c r="AA212" s="554"/>
      <c r="AB212" s="554"/>
      <c r="AC212" s="554"/>
    </row>
    <row r="213" spans="1:68" x14ac:dyDescent="0.2">
      <c r="A213" s="564"/>
      <c r="B213" s="564"/>
      <c r="C213" s="564"/>
      <c r="D213" s="564"/>
      <c r="E213" s="564"/>
      <c r="F213" s="564"/>
      <c r="G213" s="564"/>
      <c r="H213" s="564"/>
      <c r="I213" s="564"/>
      <c r="J213" s="564"/>
      <c r="K213" s="564"/>
      <c r="L213" s="564"/>
      <c r="M213" s="564"/>
      <c r="N213" s="564"/>
      <c r="O213" s="565"/>
      <c r="P213" s="570" t="s">
        <v>75</v>
      </c>
      <c r="Q213" s="571"/>
      <c r="R213" s="571"/>
      <c r="S213" s="571"/>
      <c r="T213" s="571"/>
      <c r="U213" s="571"/>
      <c r="V213" s="572"/>
      <c r="W213" s="37" t="s">
        <v>69</v>
      </c>
      <c r="X213" s="553">
        <f>IFERROR(SUM(X204:X211),"0")</f>
        <v>380</v>
      </c>
      <c r="Y213" s="553">
        <f>IFERROR(SUM(Y204:Y211),"0")</f>
        <v>399.60000000000008</v>
      </c>
      <c r="Z213" s="37"/>
      <c r="AA213" s="554"/>
      <c r="AB213" s="554"/>
      <c r="AC213" s="554"/>
    </row>
    <row r="214" spans="1:68" ht="14.25" customHeight="1" x14ac:dyDescent="0.25">
      <c r="A214" s="567" t="s">
        <v>77</v>
      </c>
      <c r="B214" s="564"/>
      <c r="C214" s="564"/>
      <c r="D214" s="564"/>
      <c r="E214" s="564"/>
      <c r="F214" s="564"/>
      <c r="G214" s="564"/>
      <c r="H214" s="564"/>
      <c r="I214" s="564"/>
      <c r="J214" s="564"/>
      <c r="K214" s="564"/>
      <c r="L214" s="564"/>
      <c r="M214" s="564"/>
      <c r="N214" s="564"/>
      <c r="O214" s="564"/>
      <c r="P214" s="564"/>
      <c r="Q214" s="564"/>
      <c r="R214" s="564"/>
      <c r="S214" s="564"/>
      <c r="T214" s="564"/>
      <c r="U214" s="564"/>
      <c r="V214" s="564"/>
      <c r="W214" s="564"/>
      <c r="X214" s="564"/>
      <c r="Y214" s="564"/>
      <c r="Z214" s="564"/>
      <c r="AA214" s="545"/>
      <c r="AB214" s="545"/>
      <c r="AC214" s="545"/>
    </row>
    <row r="215" spans="1:68" ht="27" customHeight="1" x14ac:dyDescent="0.25">
      <c r="A215" s="54" t="s">
        <v>353</v>
      </c>
      <c r="B215" s="54" t="s">
        <v>354</v>
      </c>
      <c r="C215" s="31">
        <v>4301051408</v>
      </c>
      <c r="D215" s="558">
        <v>4680115881594</v>
      </c>
      <c r="E215" s="559"/>
      <c r="F215" s="550">
        <v>1.35</v>
      </c>
      <c r="G215" s="32">
        <v>6</v>
      </c>
      <c r="H215" s="550">
        <v>8.1</v>
      </c>
      <c r="I215" s="550">
        <v>8.5939999999999994</v>
      </c>
      <c r="J215" s="32">
        <v>64</v>
      </c>
      <c r="K215" s="32" t="s">
        <v>104</v>
      </c>
      <c r="L215" s="32"/>
      <c r="M215" s="33" t="s">
        <v>80</v>
      </c>
      <c r="N215" s="33"/>
      <c r="O215" s="32">
        <v>40</v>
      </c>
      <c r="P215" s="586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15" s="556"/>
      <c r="R215" s="556"/>
      <c r="S215" s="556"/>
      <c r="T215" s="557"/>
      <c r="U215" s="34"/>
      <c r="V215" s="34"/>
      <c r="W215" s="35" t="s">
        <v>69</v>
      </c>
      <c r="X215" s="551">
        <v>0</v>
      </c>
      <c r="Y215" s="552">
        <f t="shared" ref="Y215:Y223" si="20">IFERROR(IF(X215="",0,CEILING((X215/$H215),1)*$H215),"")</f>
        <v>0</v>
      </c>
      <c r="Z215" s="36" t="str">
        <f>IFERROR(IF(Y215=0,"",ROUNDUP(Y215/H215,0)*0.01898),"")</f>
        <v/>
      </c>
      <c r="AA215" s="56"/>
      <c r="AB215" s="57"/>
      <c r="AC215" s="261" t="s">
        <v>355</v>
      </c>
      <c r="AG215" s="64"/>
      <c r="AJ215" s="68"/>
      <c r="AK215" s="68">
        <v>0</v>
      </c>
      <c r="BB215" s="262" t="s">
        <v>1</v>
      </c>
      <c r="BM215" s="64">
        <f t="shared" ref="BM215:BM223" si="21">IFERROR(X215*I215/H215,"0")</f>
        <v>0</v>
      </c>
      <c r="BN215" s="64">
        <f t="shared" ref="BN215:BN223" si="22">IFERROR(Y215*I215/H215,"0")</f>
        <v>0</v>
      </c>
      <c r="BO215" s="64">
        <f t="shared" ref="BO215:BO223" si="23">IFERROR(1/J215*(X215/H215),"0")</f>
        <v>0</v>
      </c>
      <c r="BP215" s="64">
        <f t="shared" ref="BP215:BP223" si="24">IFERROR(1/J215*(Y215/H215),"0")</f>
        <v>0</v>
      </c>
    </row>
    <row r="216" spans="1:68" ht="27" customHeight="1" x14ac:dyDescent="0.25">
      <c r="A216" s="54" t="s">
        <v>356</v>
      </c>
      <c r="B216" s="54" t="s">
        <v>357</v>
      </c>
      <c r="C216" s="31">
        <v>4301051411</v>
      </c>
      <c r="D216" s="558">
        <v>4680115881617</v>
      </c>
      <c r="E216" s="559"/>
      <c r="F216" s="550">
        <v>1.35</v>
      </c>
      <c r="G216" s="32">
        <v>6</v>
      </c>
      <c r="H216" s="550">
        <v>8.1</v>
      </c>
      <c r="I216" s="550">
        <v>8.5760000000000005</v>
      </c>
      <c r="J216" s="32">
        <v>64</v>
      </c>
      <c r="K216" s="32" t="s">
        <v>104</v>
      </c>
      <c r="L216" s="32"/>
      <c r="M216" s="33" t="s">
        <v>80</v>
      </c>
      <c r="N216" s="33"/>
      <c r="O216" s="32">
        <v>40</v>
      </c>
      <c r="P216" s="732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16" s="556"/>
      <c r="R216" s="556"/>
      <c r="S216" s="556"/>
      <c r="T216" s="557"/>
      <c r="U216" s="34"/>
      <c r="V216" s="34"/>
      <c r="W216" s="35" t="s">
        <v>69</v>
      </c>
      <c r="X216" s="551">
        <v>0</v>
      </c>
      <c r="Y216" s="552">
        <f t="shared" si="20"/>
        <v>0</v>
      </c>
      <c r="Z216" s="36" t="str">
        <f>IFERROR(IF(Y216=0,"",ROUNDUP(Y216/H216,0)*0.01898),"")</f>
        <v/>
      </c>
      <c r="AA216" s="56"/>
      <c r="AB216" s="57"/>
      <c r="AC216" s="263" t="s">
        <v>358</v>
      </c>
      <c r="AG216" s="64"/>
      <c r="AJ216" s="68"/>
      <c r="AK216" s="68">
        <v>0</v>
      </c>
      <c r="BB216" s="264" t="s">
        <v>1</v>
      </c>
      <c r="BM216" s="64">
        <f t="shared" si="21"/>
        <v>0</v>
      </c>
      <c r="BN216" s="64">
        <f t="shared" si="22"/>
        <v>0</v>
      </c>
      <c r="BO216" s="64">
        <f t="shared" si="23"/>
        <v>0</v>
      </c>
      <c r="BP216" s="64">
        <f t="shared" si="24"/>
        <v>0</v>
      </c>
    </row>
    <row r="217" spans="1:68" ht="27" customHeight="1" x14ac:dyDescent="0.25">
      <c r="A217" s="54" t="s">
        <v>359</v>
      </c>
      <c r="B217" s="54" t="s">
        <v>360</v>
      </c>
      <c r="C217" s="31">
        <v>4301051656</v>
      </c>
      <c r="D217" s="558">
        <v>4680115880573</v>
      </c>
      <c r="E217" s="559"/>
      <c r="F217" s="550">
        <v>1.45</v>
      </c>
      <c r="G217" s="32">
        <v>6</v>
      </c>
      <c r="H217" s="550">
        <v>8.6999999999999993</v>
      </c>
      <c r="I217" s="550">
        <v>9.1940000000000008</v>
      </c>
      <c r="J217" s="32">
        <v>64</v>
      </c>
      <c r="K217" s="32" t="s">
        <v>104</v>
      </c>
      <c r="L217" s="32" t="s">
        <v>105</v>
      </c>
      <c r="M217" s="33" t="s">
        <v>80</v>
      </c>
      <c r="N217" s="33"/>
      <c r="O217" s="32">
        <v>45</v>
      </c>
      <c r="P217" s="763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17" s="556"/>
      <c r="R217" s="556"/>
      <c r="S217" s="556"/>
      <c r="T217" s="557"/>
      <c r="U217" s="34"/>
      <c r="V217" s="34"/>
      <c r="W217" s="35" t="s">
        <v>69</v>
      </c>
      <c r="X217" s="551">
        <v>0</v>
      </c>
      <c r="Y217" s="552">
        <f t="shared" si="20"/>
        <v>0</v>
      </c>
      <c r="Z217" s="36" t="str">
        <f>IFERROR(IF(Y217=0,"",ROUNDUP(Y217/H217,0)*0.01898),"")</f>
        <v/>
      </c>
      <c r="AA217" s="56"/>
      <c r="AB217" s="57"/>
      <c r="AC217" s="265" t="s">
        <v>361</v>
      </c>
      <c r="AG217" s="64"/>
      <c r="AJ217" s="68" t="s">
        <v>92</v>
      </c>
      <c r="AK217" s="68">
        <v>69.599999999999994</v>
      </c>
      <c r="BB217" s="266" t="s">
        <v>1</v>
      </c>
      <c r="BM217" s="64">
        <f t="shared" si="21"/>
        <v>0</v>
      </c>
      <c r="BN217" s="64">
        <f t="shared" si="22"/>
        <v>0</v>
      </c>
      <c r="BO217" s="64">
        <f t="shared" si="23"/>
        <v>0</v>
      </c>
      <c r="BP217" s="64">
        <f t="shared" si="24"/>
        <v>0</v>
      </c>
    </row>
    <row r="218" spans="1:68" ht="37.5" customHeight="1" x14ac:dyDescent="0.25">
      <c r="A218" s="54" t="s">
        <v>362</v>
      </c>
      <c r="B218" s="54" t="s">
        <v>363</v>
      </c>
      <c r="C218" s="31">
        <v>4301051407</v>
      </c>
      <c r="D218" s="558">
        <v>4680115882195</v>
      </c>
      <c r="E218" s="559"/>
      <c r="F218" s="550">
        <v>0.4</v>
      </c>
      <c r="G218" s="32">
        <v>6</v>
      </c>
      <c r="H218" s="550">
        <v>2.4</v>
      </c>
      <c r="I218" s="550">
        <v>2.67</v>
      </c>
      <c r="J218" s="32">
        <v>182</v>
      </c>
      <c r="K218" s="32" t="s">
        <v>67</v>
      </c>
      <c r="L218" s="32" t="s">
        <v>90</v>
      </c>
      <c r="M218" s="33" t="s">
        <v>80</v>
      </c>
      <c r="N218" s="33"/>
      <c r="O218" s="32">
        <v>40</v>
      </c>
      <c r="P218" s="877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18" s="556"/>
      <c r="R218" s="556"/>
      <c r="S218" s="556"/>
      <c r="T218" s="557"/>
      <c r="U218" s="34"/>
      <c r="V218" s="34"/>
      <c r="W218" s="35" t="s">
        <v>69</v>
      </c>
      <c r="X218" s="551">
        <v>0</v>
      </c>
      <c r="Y218" s="552">
        <f t="shared" si="20"/>
        <v>0</v>
      </c>
      <c r="Z218" s="36" t="str">
        <f t="shared" ref="Z218:Z223" si="25">IFERROR(IF(Y218=0,"",ROUNDUP(Y218/H218,0)*0.00651),"")</f>
        <v/>
      </c>
      <c r="AA218" s="56"/>
      <c r="AB218" s="57"/>
      <c r="AC218" s="267" t="s">
        <v>364</v>
      </c>
      <c r="AG218" s="64"/>
      <c r="AJ218" s="68" t="s">
        <v>92</v>
      </c>
      <c r="AK218" s="68">
        <v>33.6</v>
      </c>
      <c r="BB218" s="268" t="s">
        <v>1</v>
      </c>
      <c r="BM218" s="64">
        <f t="shared" si="21"/>
        <v>0</v>
      </c>
      <c r="BN218" s="64">
        <f t="shared" si="22"/>
        <v>0</v>
      </c>
      <c r="BO218" s="64">
        <f t="shared" si="23"/>
        <v>0</v>
      </c>
      <c r="BP218" s="64">
        <f t="shared" si="24"/>
        <v>0</v>
      </c>
    </row>
    <row r="219" spans="1:68" ht="27" customHeight="1" x14ac:dyDescent="0.25">
      <c r="A219" s="54" t="s">
        <v>365</v>
      </c>
      <c r="B219" s="54" t="s">
        <v>366</v>
      </c>
      <c r="C219" s="31">
        <v>4301051752</v>
      </c>
      <c r="D219" s="558">
        <v>4680115882607</v>
      </c>
      <c r="E219" s="559"/>
      <c r="F219" s="550">
        <v>0.3</v>
      </c>
      <c r="G219" s="32">
        <v>6</v>
      </c>
      <c r="H219" s="550">
        <v>1.8</v>
      </c>
      <c r="I219" s="550">
        <v>2.052</v>
      </c>
      <c r="J219" s="32">
        <v>182</v>
      </c>
      <c r="K219" s="32" t="s">
        <v>67</v>
      </c>
      <c r="L219" s="32" t="s">
        <v>90</v>
      </c>
      <c r="M219" s="33" t="s">
        <v>86</v>
      </c>
      <c r="N219" s="33"/>
      <c r="O219" s="32">
        <v>45</v>
      </c>
      <c r="P219" s="713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19" s="556"/>
      <c r="R219" s="556"/>
      <c r="S219" s="556"/>
      <c r="T219" s="557"/>
      <c r="U219" s="34"/>
      <c r="V219" s="34"/>
      <c r="W219" s="35" t="s">
        <v>69</v>
      </c>
      <c r="X219" s="551">
        <v>0</v>
      </c>
      <c r="Y219" s="552">
        <f t="shared" si="20"/>
        <v>0</v>
      </c>
      <c r="Z219" s="36" t="str">
        <f t="shared" si="25"/>
        <v/>
      </c>
      <c r="AA219" s="56"/>
      <c r="AB219" s="57"/>
      <c r="AC219" s="269" t="s">
        <v>361</v>
      </c>
      <c r="AG219" s="64"/>
      <c r="AJ219" s="68" t="s">
        <v>92</v>
      </c>
      <c r="AK219" s="68">
        <v>25.2</v>
      </c>
      <c r="BB219" s="270" t="s">
        <v>1</v>
      </c>
      <c r="BM219" s="64">
        <f t="shared" si="21"/>
        <v>0</v>
      </c>
      <c r="BN219" s="64">
        <f t="shared" si="22"/>
        <v>0</v>
      </c>
      <c r="BO219" s="64">
        <f t="shared" si="23"/>
        <v>0</v>
      </c>
      <c r="BP219" s="64">
        <f t="shared" si="24"/>
        <v>0</v>
      </c>
    </row>
    <row r="220" spans="1:68" ht="27" customHeight="1" x14ac:dyDescent="0.25">
      <c r="A220" s="54" t="s">
        <v>367</v>
      </c>
      <c r="B220" s="54" t="s">
        <v>368</v>
      </c>
      <c r="C220" s="31">
        <v>4301051666</v>
      </c>
      <c r="D220" s="558">
        <v>4680115880092</v>
      </c>
      <c r="E220" s="559"/>
      <c r="F220" s="550">
        <v>0.4</v>
      </c>
      <c r="G220" s="32">
        <v>6</v>
      </c>
      <c r="H220" s="550">
        <v>2.4</v>
      </c>
      <c r="I220" s="550">
        <v>2.6520000000000001</v>
      </c>
      <c r="J220" s="32">
        <v>182</v>
      </c>
      <c r="K220" s="32" t="s">
        <v>67</v>
      </c>
      <c r="L220" s="32" t="s">
        <v>90</v>
      </c>
      <c r="M220" s="33" t="s">
        <v>80</v>
      </c>
      <c r="N220" s="33"/>
      <c r="O220" s="32">
        <v>45</v>
      </c>
      <c r="P220" s="575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20" s="556"/>
      <c r="R220" s="556"/>
      <c r="S220" s="556"/>
      <c r="T220" s="557"/>
      <c r="U220" s="34"/>
      <c r="V220" s="34"/>
      <c r="W220" s="35" t="s">
        <v>69</v>
      </c>
      <c r="X220" s="551">
        <v>0</v>
      </c>
      <c r="Y220" s="552">
        <f t="shared" si="20"/>
        <v>0</v>
      </c>
      <c r="Z220" s="36" t="str">
        <f t="shared" si="25"/>
        <v/>
      </c>
      <c r="AA220" s="56"/>
      <c r="AB220" s="57"/>
      <c r="AC220" s="271" t="s">
        <v>361</v>
      </c>
      <c r="AG220" s="64"/>
      <c r="AJ220" s="68" t="s">
        <v>92</v>
      </c>
      <c r="AK220" s="68">
        <v>33.6</v>
      </c>
      <c r="BB220" s="272" t="s">
        <v>1</v>
      </c>
      <c r="BM220" s="64">
        <f t="shared" si="21"/>
        <v>0</v>
      </c>
      <c r="BN220" s="64">
        <f t="shared" si="22"/>
        <v>0</v>
      </c>
      <c r="BO220" s="64">
        <f t="shared" si="23"/>
        <v>0</v>
      </c>
      <c r="BP220" s="64">
        <f t="shared" si="24"/>
        <v>0</v>
      </c>
    </row>
    <row r="221" spans="1:68" ht="27" customHeight="1" x14ac:dyDescent="0.25">
      <c r="A221" s="54" t="s">
        <v>369</v>
      </c>
      <c r="B221" s="54" t="s">
        <v>370</v>
      </c>
      <c r="C221" s="31">
        <v>4301051668</v>
      </c>
      <c r="D221" s="558">
        <v>4680115880221</v>
      </c>
      <c r="E221" s="559"/>
      <c r="F221" s="550">
        <v>0.4</v>
      </c>
      <c r="G221" s="32">
        <v>6</v>
      </c>
      <c r="H221" s="550">
        <v>2.4</v>
      </c>
      <c r="I221" s="550">
        <v>2.6520000000000001</v>
      </c>
      <c r="J221" s="32">
        <v>182</v>
      </c>
      <c r="K221" s="32" t="s">
        <v>67</v>
      </c>
      <c r="L221" s="32" t="s">
        <v>90</v>
      </c>
      <c r="M221" s="33" t="s">
        <v>80</v>
      </c>
      <c r="N221" s="33"/>
      <c r="O221" s="32">
        <v>45</v>
      </c>
      <c r="P221" s="585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21" s="556"/>
      <c r="R221" s="556"/>
      <c r="S221" s="556"/>
      <c r="T221" s="557"/>
      <c r="U221" s="34"/>
      <c r="V221" s="34"/>
      <c r="W221" s="35" t="s">
        <v>69</v>
      </c>
      <c r="X221" s="551">
        <v>0</v>
      </c>
      <c r="Y221" s="552">
        <f t="shared" si="20"/>
        <v>0</v>
      </c>
      <c r="Z221" s="36" t="str">
        <f t="shared" si="25"/>
        <v/>
      </c>
      <c r="AA221" s="56"/>
      <c r="AB221" s="57"/>
      <c r="AC221" s="273" t="s">
        <v>361</v>
      </c>
      <c r="AG221" s="64"/>
      <c r="AJ221" s="68" t="s">
        <v>92</v>
      </c>
      <c r="AK221" s="68">
        <v>33.6</v>
      </c>
      <c r="BB221" s="274" t="s">
        <v>1</v>
      </c>
      <c r="BM221" s="64">
        <f t="shared" si="21"/>
        <v>0</v>
      </c>
      <c r="BN221" s="64">
        <f t="shared" si="22"/>
        <v>0</v>
      </c>
      <c r="BO221" s="64">
        <f t="shared" si="23"/>
        <v>0</v>
      </c>
      <c r="BP221" s="64">
        <f t="shared" si="24"/>
        <v>0</v>
      </c>
    </row>
    <row r="222" spans="1:68" ht="27" customHeight="1" x14ac:dyDescent="0.25">
      <c r="A222" s="54" t="s">
        <v>371</v>
      </c>
      <c r="B222" s="54" t="s">
        <v>372</v>
      </c>
      <c r="C222" s="31">
        <v>4301051945</v>
      </c>
      <c r="D222" s="558">
        <v>4680115880504</v>
      </c>
      <c r="E222" s="559"/>
      <c r="F222" s="550">
        <v>0.4</v>
      </c>
      <c r="G222" s="32">
        <v>6</v>
      </c>
      <c r="H222" s="550">
        <v>2.4</v>
      </c>
      <c r="I222" s="550">
        <v>2.6520000000000001</v>
      </c>
      <c r="J222" s="32">
        <v>182</v>
      </c>
      <c r="K222" s="32" t="s">
        <v>67</v>
      </c>
      <c r="L222" s="32" t="s">
        <v>90</v>
      </c>
      <c r="M222" s="33" t="s">
        <v>86</v>
      </c>
      <c r="N222" s="33"/>
      <c r="O222" s="32">
        <v>40</v>
      </c>
      <c r="P222" s="787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22" s="556"/>
      <c r="R222" s="556"/>
      <c r="S222" s="556"/>
      <c r="T222" s="557"/>
      <c r="U222" s="34"/>
      <c r="V222" s="34"/>
      <c r="W222" s="35" t="s">
        <v>69</v>
      </c>
      <c r="X222" s="551">
        <v>0</v>
      </c>
      <c r="Y222" s="552">
        <f t="shared" si="20"/>
        <v>0</v>
      </c>
      <c r="Z222" s="36" t="str">
        <f t="shared" si="25"/>
        <v/>
      </c>
      <c r="AA222" s="56"/>
      <c r="AB222" s="57"/>
      <c r="AC222" s="275" t="s">
        <v>373</v>
      </c>
      <c r="AG222" s="64"/>
      <c r="AJ222" s="68" t="s">
        <v>92</v>
      </c>
      <c r="AK222" s="68">
        <v>33.6</v>
      </c>
      <c r="BB222" s="276" t="s">
        <v>1</v>
      </c>
      <c r="BM222" s="64">
        <f t="shared" si="21"/>
        <v>0</v>
      </c>
      <c r="BN222" s="64">
        <f t="shared" si="22"/>
        <v>0</v>
      </c>
      <c r="BO222" s="64">
        <f t="shared" si="23"/>
        <v>0</v>
      </c>
      <c r="BP222" s="64">
        <f t="shared" si="24"/>
        <v>0</v>
      </c>
    </row>
    <row r="223" spans="1:68" ht="27" customHeight="1" x14ac:dyDescent="0.25">
      <c r="A223" s="54" t="s">
        <v>374</v>
      </c>
      <c r="B223" s="54" t="s">
        <v>375</v>
      </c>
      <c r="C223" s="31">
        <v>4301051410</v>
      </c>
      <c r="D223" s="558">
        <v>4680115882164</v>
      </c>
      <c r="E223" s="559"/>
      <c r="F223" s="550">
        <v>0.4</v>
      </c>
      <c r="G223" s="32">
        <v>6</v>
      </c>
      <c r="H223" s="550">
        <v>2.4</v>
      </c>
      <c r="I223" s="550">
        <v>2.6579999999999999</v>
      </c>
      <c r="J223" s="32">
        <v>182</v>
      </c>
      <c r="K223" s="32" t="s">
        <v>67</v>
      </c>
      <c r="L223" s="32" t="s">
        <v>90</v>
      </c>
      <c r="M223" s="33" t="s">
        <v>80</v>
      </c>
      <c r="N223" s="33"/>
      <c r="O223" s="32">
        <v>40</v>
      </c>
      <c r="P223" s="663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23" s="556"/>
      <c r="R223" s="556"/>
      <c r="S223" s="556"/>
      <c r="T223" s="557"/>
      <c r="U223" s="34"/>
      <c r="V223" s="34"/>
      <c r="W223" s="35" t="s">
        <v>69</v>
      </c>
      <c r="X223" s="551">
        <v>0</v>
      </c>
      <c r="Y223" s="552">
        <f t="shared" si="20"/>
        <v>0</v>
      </c>
      <c r="Z223" s="36" t="str">
        <f t="shared" si="25"/>
        <v/>
      </c>
      <c r="AA223" s="56"/>
      <c r="AB223" s="57"/>
      <c r="AC223" s="277" t="s">
        <v>358</v>
      </c>
      <c r="AG223" s="64"/>
      <c r="AJ223" s="68" t="s">
        <v>92</v>
      </c>
      <c r="AK223" s="68">
        <v>33.6</v>
      </c>
      <c r="BB223" s="278" t="s">
        <v>1</v>
      </c>
      <c r="BM223" s="64">
        <f t="shared" si="21"/>
        <v>0</v>
      </c>
      <c r="BN223" s="64">
        <f t="shared" si="22"/>
        <v>0</v>
      </c>
      <c r="BO223" s="64">
        <f t="shared" si="23"/>
        <v>0</v>
      </c>
      <c r="BP223" s="64">
        <f t="shared" si="24"/>
        <v>0</v>
      </c>
    </row>
    <row r="224" spans="1:68" x14ac:dyDescent="0.2">
      <c r="A224" s="563"/>
      <c r="B224" s="564"/>
      <c r="C224" s="564"/>
      <c r="D224" s="564"/>
      <c r="E224" s="564"/>
      <c r="F224" s="564"/>
      <c r="G224" s="564"/>
      <c r="H224" s="564"/>
      <c r="I224" s="564"/>
      <c r="J224" s="564"/>
      <c r="K224" s="564"/>
      <c r="L224" s="564"/>
      <c r="M224" s="564"/>
      <c r="N224" s="564"/>
      <c r="O224" s="565"/>
      <c r="P224" s="570" t="s">
        <v>75</v>
      </c>
      <c r="Q224" s="571"/>
      <c r="R224" s="571"/>
      <c r="S224" s="571"/>
      <c r="T224" s="571"/>
      <c r="U224" s="571"/>
      <c r="V224" s="572"/>
      <c r="W224" s="37" t="s">
        <v>76</v>
      </c>
      <c r="X224" s="553">
        <f>IFERROR(X215/H215,"0")+IFERROR(X216/H216,"0")+IFERROR(X217/H217,"0")+IFERROR(X218/H218,"0")+IFERROR(X219/H219,"0")+IFERROR(X220/H220,"0")+IFERROR(X221/H221,"0")+IFERROR(X222/H222,"0")+IFERROR(X223/H223,"0")</f>
        <v>0</v>
      </c>
      <c r="Y224" s="553">
        <f>IFERROR(Y215/H215,"0")+IFERROR(Y216/H216,"0")+IFERROR(Y217/H217,"0")+IFERROR(Y218/H218,"0")+IFERROR(Y219/H219,"0")+IFERROR(Y220/H220,"0")+IFERROR(Y221/H221,"0")+IFERROR(Y222/H222,"0")+IFERROR(Y223/H223,"0")</f>
        <v>0</v>
      </c>
      <c r="Z224" s="553">
        <f>IFERROR(IF(Z215="",0,Z215),"0")+IFERROR(IF(Z216="",0,Z216),"0")+IFERROR(IF(Z217="",0,Z217),"0")+IFERROR(IF(Z218="",0,Z218),"0")+IFERROR(IF(Z219="",0,Z219),"0")+IFERROR(IF(Z220="",0,Z220),"0")+IFERROR(IF(Z221="",0,Z221),"0")+IFERROR(IF(Z222="",0,Z222),"0")+IFERROR(IF(Z223="",0,Z223),"0")</f>
        <v>0</v>
      </c>
      <c r="AA224" s="554"/>
      <c r="AB224" s="554"/>
      <c r="AC224" s="554"/>
    </row>
    <row r="225" spans="1:68" x14ac:dyDescent="0.2">
      <c r="A225" s="564"/>
      <c r="B225" s="564"/>
      <c r="C225" s="564"/>
      <c r="D225" s="564"/>
      <c r="E225" s="564"/>
      <c r="F225" s="564"/>
      <c r="G225" s="564"/>
      <c r="H225" s="564"/>
      <c r="I225" s="564"/>
      <c r="J225" s="564"/>
      <c r="K225" s="564"/>
      <c r="L225" s="564"/>
      <c r="M225" s="564"/>
      <c r="N225" s="564"/>
      <c r="O225" s="565"/>
      <c r="P225" s="570" t="s">
        <v>75</v>
      </c>
      <c r="Q225" s="571"/>
      <c r="R225" s="571"/>
      <c r="S225" s="571"/>
      <c r="T225" s="571"/>
      <c r="U225" s="571"/>
      <c r="V225" s="572"/>
      <c r="W225" s="37" t="s">
        <v>69</v>
      </c>
      <c r="X225" s="553">
        <f>IFERROR(SUM(X215:X223),"0")</f>
        <v>0</v>
      </c>
      <c r="Y225" s="553">
        <f>IFERROR(SUM(Y215:Y223),"0")</f>
        <v>0</v>
      </c>
      <c r="Z225" s="37"/>
      <c r="AA225" s="554"/>
      <c r="AB225" s="554"/>
      <c r="AC225" s="554"/>
    </row>
    <row r="226" spans="1:68" ht="14.25" customHeight="1" x14ac:dyDescent="0.25">
      <c r="A226" s="567" t="s">
        <v>161</v>
      </c>
      <c r="B226" s="564"/>
      <c r="C226" s="564"/>
      <c r="D226" s="564"/>
      <c r="E226" s="564"/>
      <c r="F226" s="564"/>
      <c r="G226" s="564"/>
      <c r="H226" s="564"/>
      <c r="I226" s="564"/>
      <c r="J226" s="564"/>
      <c r="K226" s="564"/>
      <c r="L226" s="564"/>
      <c r="M226" s="564"/>
      <c r="N226" s="564"/>
      <c r="O226" s="564"/>
      <c r="P226" s="564"/>
      <c r="Q226" s="564"/>
      <c r="R226" s="564"/>
      <c r="S226" s="564"/>
      <c r="T226" s="564"/>
      <c r="U226" s="564"/>
      <c r="V226" s="564"/>
      <c r="W226" s="564"/>
      <c r="X226" s="564"/>
      <c r="Y226" s="564"/>
      <c r="Z226" s="564"/>
      <c r="AA226" s="545"/>
      <c r="AB226" s="545"/>
      <c r="AC226" s="545"/>
    </row>
    <row r="227" spans="1:68" ht="27" customHeight="1" x14ac:dyDescent="0.25">
      <c r="A227" s="54" t="s">
        <v>376</v>
      </c>
      <c r="B227" s="54" t="s">
        <v>377</v>
      </c>
      <c r="C227" s="31">
        <v>4301060463</v>
      </c>
      <c r="D227" s="558">
        <v>4680115880818</v>
      </c>
      <c r="E227" s="559"/>
      <c r="F227" s="550">
        <v>0.4</v>
      </c>
      <c r="G227" s="32">
        <v>6</v>
      </c>
      <c r="H227" s="550">
        <v>2.4</v>
      </c>
      <c r="I227" s="550">
        <v>2.6520000000000001</v>
      </c>
      <c r="J227" s="32">
        <v>182</v>
      </c>
      <c r="K227" s="32" t="s">
        <v>67</v>
      </c>
      <c r="L227" s="32" t="s">
        <v>90</v>
      </c>
      <c r="M227" s="33" t="s">
        <v>86</v>
      </c>
      <c r="N227" s="33"/>
      <c r="O227" s="32">
        <v>40</v>
      </c>
      <c r="P227" s="799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27" s="556"/>
      <c r="R227" s="556"/>
      <c r="S227" s="556"/>
      <c r="T227" s="557"/>
      <c r="U227" s="34"/>
      <c r="V227" s="34"/>
      <c r="W227" s="35" t="s">
        <v>69</v>
      </c>
      <c r="X227" s="551">
        <v>0</v>
      </c>
      <c r="Y227" s="552">
        <f>IFERROR(IF(X227="",0,CEILING((X227/$H227),1)*$H227),"")</f>
        <v>0</v>
      </c>
      <c r="Z227" s="36" t="str">
        <f>IFERROR(IF(Y227=0,"",ROUNDUP(Y227/H227,0)*0.00651),"")</f>
        <v/>
      </c>
      <c r="AA227" s="56"/>
      <c r="AB227" s="57"/>
      <c r="AC227" s="279" t="s">
        <v>378</v>
      </c>
      <c r="AG227" s="64"/>
      <c r="AJ227" s="68" t="s">
        <v>92</v>
      </c>
      <c r="AK227" s="68">
        <v>33.6</v>
      </c>
      <c r="BB227" s="280" t="s">
        <v>1</v>
      </c>
      <c r="BM227" s="64">
        <f>IFERROR(X227*I227/H227,"0")</f>
        <v>0</v>
      </c>
      <c r="BN227" s="64">
        <f>IFERROR(Y227*I227/H227,"0")</f>
        <v>0</v>
      </c>
      <c r="BO227" s="64">
        <f>IFERROR(1/J227*(X227/H227),"0")</f>
        <v>0</v>
      </c>
      <c r="BP227" s="64">
        <f>IFERROR(1/J227*(Y227/H227),"0")</f>
        <v>0</v>
      </c>
    </row>
    <row r="228" spans="1:68" ht="37.5" customHeight="1" x14ac:dyDescent="0.25">
      <c r="A228" s="54" t="s">
        <v>379</v>
      </c>
      <c r="B228" s="54" t="s">
        <v>380</v>
      </c>
      <c r="C228" s="31">
        <v>4301060389</v>
      </c>
      <c r="D228" s="558">
        <v>4680115880801</v>
      </c>
      <c r="E228" s="559"/>
      <c r="F228" s="550">
        <v>0.4</v>
      </c>
      <c r="G228" s="32">
        <v>6</v>
      </c>
      <c r="H228" s="550">
        <v>2.4</v>
      </c>
      <c r="I228" s="550">
        <v>2.6520000000000001</v>
      </c>
      <c r="J228" s="32">
        <v>182</v>
      </c>
      <c r="K228" s="32" t="s">
        <v>67</v>
      </c>
      <c r="L228" s="32"/>
      <c r="M228" s="33" t="s">
        <v>80</v>
      </c>
      <c r="N228" s="33"/>
      <c r="O228" s="32">
        <v>40</v>
      </c>
      <c r="P228" s="859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28" s="556"/>
      <c r="R228" s="556"/>
      <c r="S228" s="556"/>
      <c r="T228" s="557"/>
      <c r="U228" s="34"/>
      <c r="V228" s="34"/>
      <c r="W228" s="35" t="s">
        <v>69</v>
      </c>
      <c r="X228" s="551">
        <v>0</v>
      </c>
      <c r="Y228" s="552">
        <f>IFERROR(IF(X228="",0,CEILING((X228/$H228),1)*$H228),"")</f>
        <v>0</v>
      </c>
      <c r="Z228" s="36" t="str">
        <f>IFERROR(IF(Y228=0,"",ROUNDUP(Y228/H228,0)*0.00651),"")</f>
        <v/>
      </c>
      <c r="AA228" s="56"/>
      <c r="AB228" s="57"/>
      <c r="AC228" s="281" t="s">
        <v>381</v>
      </c>
      <c r="AG228" s="64"/>
      <c r="AJ228" s="68"/>
      <c r="AK228" s="68">
        <v>0</v>
      </c>
      <c r="BB228" s="282" t="s">
        <v>1</v>
      </c>
      <c r="BM228" s="64">
        <f>IFERROR(X228*I228/H228,"0")</f>
        <v>0</v>
      </c>
      <c r="BN228" s="64">
        <f>IFERROR(Y228*I228/H228,"0")</f>
        <v>0</v>
      </c>
      <c r="BO228" s="64">
        <f>IFERROR(1/J228*(X228/H228),"0")</f>
        <v>0</v>
      </c>
      <c r="BP228" s="64">
        <f>IFERROR(1/J228*(Y228/H228),"0")</f>
        <v>0</v>
      </c>
    </row>
    <row r="229" spans="1:68" x14ac:dyDescent="0.2">
      <c r="A229" s="563"/>
      <c r="B229" s="564"/>
      <c r="C229" s="564"/>
      <c r="D229" s="564"/>
      <c r="E229" s="564"/>
      <c r="F229" s="564"/>
      <c r="G229" s="564"/>
      <c r="H229" s="564"/>
      <c r="I229" s="564"/>
      <c r="J229" s="564"/>
      <c r="K229" s="564"/>
      <c r="L229" s="564"/>
      <c r="M229" s="564"/>
      <c r="N229" s="564"/>
      <c r="O229" s="565"/>
      <c r="P229" s="570" t="s">
        <v>75</v>
      </c>
      <c r="Q229" s="571"/>
      <c r="R229" s="571"/>
      <c r="S229" s="571"/>
      <c r="T229" s="571"/>
      <c r="U229" s="571"/>
      <c r="V229" s="572"/>
      <c r="W229" s="37" t="s">
        <v>76</v>
      </c>
      <c r="X229" s="553">
        <f>IFERROR(X227/H227,"0")+IFERROR(X228/H228,"0")</f>
        <v>0</v>
      </c>
      <c r="Y229" s="553">
        <f>IFERROR(Y227/H227,"0")+IFERROR(Y228/H228,"0")</f>
        <v>0</v>
      </c>
      <c r="Z229" s="553">
        <f>IFERROR(IF(Z227="",0,Z227),"0")+IFERROR(IF(Z228="",0,Z228),"0")</f>
        <v>0</v>
      </c>
      <c r="AA229" s="554"/>
      <c r="AB229" s="554"/>
      <c r="AC229" s="554"/>
    </row>
    <row r="230" spans="1:68" x14ac:dyDescent="0.2">
      <c r="A230" s="564"/>
      <c r="B230" s="564"/>
      <c r="C230" s="564"/>
      <c r="D230" s="564"/>
      <c r="E230" s="564"/>
      <c r="F230" s="564"/>
      <c r="G230" s="564"/>
      <c r="H230" s="564"/>
      <c r="I230" s="564"/>
      <c r="J230" s="564"/>
      <c r="K230" s="564"/>
      <c r="L230" s="564"/>
      <c r="M230" s="564"/>
      <c r="N230" s="564"/>
      <c r="O230" s="565"/>
      <c r="P230" s="570" t="s">
        <v>75</v>
      </c>
      <c r="Q230" s="571"/>
      <c r="R230" s="571"/>
      <c r="S230" s="571"/>
      <c r="T230" s="571"/>
      <c r="U230" s="571"/>
      <c r="V230" s="572"/>
      <c r="W230" s="37" t="s">
        <v>69</v>
      </c>
      <c r="X230" s="553">
        <f>IFERROR(SUM(X227:X228),"0")</f>
        <v>0</v>
      </c>
      <c r="Y230" s="553">
        <f>IFERROR(SUM(Y227:Y228),"0")</f>
        <v>0</v>
      </c>
      <c r="Z230" s="37"/>
      <c r="AA230" s="554"/>
      <c r="AB230" s="554"/>
      <c r="AC230" s="554"/>
    </row>
    <row r="231" spans="1:68" ht="16.5" customHeight="1" x14ac:dyDescent="0.25">
      <c r="A231" s="573" t="s">
        <v>382</v>
      </c>
      <c r="B231" s="564"/>
      <c r="C231" s="564"/>
      <c r="D231" s="564"/>
      <c r="E231" s="564"/>
      <c r="F231" s="564"/>
      <c r="G231" s="564"/>
      <c r="H231" s="564"/>
      <c r="I231" s="564"/>
      <c r="J231" s="564"/>
      <c r="K231" s="564"/>
      <c r="L231" s="564"/>
      <c r="M231" s="564"/>
      <c r="N231" s="564"/>
      <c r="O231" s="564"/>
      <c r="P231" s="564"/>
      <c r="Q231" s="564"/>
      <c r="R231" s="564"/>
      <c r="S231" s="564"/>
      <c r="T231" s="564"/>
      <c r="U231" s="564"/>
      <c r="V231" s="564"/>
      <c r="W231" s="564"/>
      <c r="X231" s="564"/>
      <c r="Y231" s="564"/>
      <c r="Z231" s="564"/>
      <c r="AA231" s="546"/>
      <c r="AB231" s="546"/>
      <c r="AC231" s="546"/>
    </row>
    <row r="232" spans="1:68" ht="14.25" customHeight="1" x14ac:dyDescent="0.25">
      <c r="A232" s="567" t="s">
        <v>101</v>
      </c>
      <c r="B232" s="564"/>
      <c r="C232" s="564"/>
      <c r="D232" s="564"/>
      <c r="E232" s="564"/>
      <c r="F232" s="564"/>
      <c r="G232" s="564"/>
      <c r="H232" s="564"/>
      <c r="I232" s="564"/>
      <c r="J232" s="564"/>
      <c r="K232" s="564"/>
      <c r="L232" s="564"/>
      <c r="M232" s="564"/>
      <c r="N232" s="564"/>
      <c r="O232" s="564"/>
      <c r="P232" s="564"/>
      <c r="Q232" s="564"/>
      <c r="R232" s="564"/>
      <c r="S232" s="564"/>
      <c r="T232" s="564"/>
      <c r="U232" s="564"/>
      <c r="V232" s="564"/>
      <c r="W232" s="564"/>
      <c r="X232" s="564"/>
      <c r="Y232" s="564"/>
      <c r="Z232" s="564"/>
      <c r="AA232" s="545"/>
      <c r="AB232" s="545"/>
      <c r="AC232" s="545"/>
    </row>
    <row r="233" spans="1:68" ht="27" customHeight="1" x14ac:dyDescent="0.25">
      <c r="A233" s="54" t="s">
        <v>383</v>
      </c>
      <c r="B233" s="54" t="s">
        <v>384</v>
      </c>
      <c r="C233" s="31">
        <v>4301011826</v>
      </c>
      <c r="D233" s="558">
        <v>4680115884137</v>
      </c>
      <c r="E233" s="559"/>
      <c r="F233" s="550">
        <v>1.45</v>
      </c>
      <c r="G233" s="32">
        <v>8</v>
      </c>
      <c r="H233" s="550">
        <v>11.6</v>
      </c>
      <c r="I233" s="550">
        <v>12.01</v>
      </c>
      <c r="J233" s="32">
        <v>64</v>
      </c>
      <c r="K233" s="32" t="s">
        <v>104</v>
      </c>
      <c r="L233" s="32"/>
      <c r="M233" s="33" t="s">
        <v>106</v>
      </c>
      <c r="N233" s="33"/>
      <c r="O233" s="32">
        <v>55</v>
      </c>
      <c r="P233" s="753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33" s="556"/>
      <c r="R233" s="556"/>
      <c r="S233" s="556"/>
      <c r="T233" s="557"/>
      <c r="U233" s="34"/>
      <c r="V233" s="34"/>
      <c r="W233" s="35" t="s">
        <v>69</v>
      </c>
      <c r="X233" s="551">
        <v>0</v>
      </c>
      <c r="Y233" s="552">
        <f t="shared" ref="Y233:Y241" si="26">IFERROR(IF(X233="",0,CEILING((X233/$H233),1)*$H233),"")</f>
        <v>0</v>
      </c>
      <c r="Z233" s="36" t="str">
        <f>IFERROR(IF(Y233=0,"",ROUNDUP(Y233/H233,0)*0.01898),"")</f>
        <v/>
      </c>
      <c r="AA233" s="56"/>
      <c r="AB233" s="57"/>
      <c r="AC233" s="283" t="s">
        <v>385</v>
      </c>
      <c r="AG233" s="64"/>
      <c r="AJ233" s="68"/>
      <c r="AK233" s="68">
        <v>0</v>
      </c>
      <c r="BB233" s="284" t="s">
        <v>1</v>
      </c>
      <c r="BM233" s="64">
        <f t="shared" ref="BM233:BM241" si="27">IFERROR(X233*I233/H233,"0")</f>
        <v>0</v>
      </c>
      <c r="BN233" s="64">
        <f t="shared" ref="BN233:BN241" si="28">IFERROR(Y233*I233/H233,"0")</f>
        <v>0</v>
      </c>
      <c r="BO233" s="64">
        <f t="shared" ref="BO233:BO241" si="29">IFERROR(1/J233*(X233/H233),"0")</f>
        <v>0</v>
      </c>
      <c r="BP233" s="64">
        <f t="shared" ref="BP233:BP241" si="30">IFERROR(1/J233*(Y233/H233),"0")</f>
        <v>0</v>
      </c>
    </row>
    <row r="234" spans="1:68" ht="27" customHeight="1" x14ac:dyDescent="0.25">
      <c r="A234" s="54" t="s">
        <v>386</v>
      </c>
      <c r="B234" s="54" t="s">
        <v>387</v>
      </c>
      <c r="C234" s="31">
        <v>4301011724</v>
      </c>
      <c r="D234" s="558">
        <v>4680115884236</v>
      </c>
      <c r="E234" s="559"/>
      <c r="F234" s="550">
        <v>1.45</v>
      </c>
      <c r="G234" s="32">
        <v>8</v>
      </c>
      <c r="H234" s="550">
        <v>11.6</v>
      </c>
      <c r="I234" s="550">
        <v>12.01</v>
      </c>
      <c r="J234" s="32">
        <v>64</v>
      </c>
      <c r="K234" s="32" t="s">
        <v>104</v>
      </c>
      <c r="L234" s="32"/>
      <c r="M234" s="33" t="s">
        <v>106</v>
      </c>
      <c r="N234" s="33"/>
      <c r="O234" s="32">
        <v>55</v>
      </c>
      <c r="P234" s="608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34" s="556"/>
      <c r="R234" s="556"/>
      <c r="S234" s="556"/>
      <c r="T234" s="557"/>
      <c r="U234" s="34"/>
      <c r="V234" s="34"/>
      <c r="W234" s="35" t="s">
        <v>69</v>
      </c>
      <c r="X234" s="551">
        <v>0</v>
      </c>
      <c r="Y234" s="552">
        <f t="shared" si="26"/>
        <v>0</v>
      </c>
      <c r="Z234" s="36" t="str">
        <f>IFERROR(IF(Y234=0,"",ROUNDUP(Y234/H234,0)*0.01898),"")</f>
        <v/>
      </c>
      <c r="AA234" s="56"/>
      <c r="AB234" s="57"/>
      <c r="AC234" s="285" t="s">
        <v>388</v>
      </c>
      <c r="AG234" s="64"/>
      <c r="AJ234" s="68"/>
      <c r="AK234" s="68">
        <v>0</v>
      </c>
      <c r="BB234" s="286" t="s">
        <v>1</v>
      </c>
      <c r="BM234" s="64">
        <f t="shared" si="27"/>
        <v>0</v>
      </c>
      <c r="BN234" s="64">
        <f t="shared" si="28"/>
        <v>0</v>
      </c>
      <c r="BO234" s="64">
        <f t="shared" si="29"/>
        <v>0</v>
      </c>
      <c r="BP234" s="64">
        <f t="shared" si="30"/>
        <v>0</v>
      </c>
    </row>
    <row r="235" spans="1:68" ht="27" customHeight="1" x14ac:dyDescent="0.25">
      <c r="A235" s="54" t="s">
        <v>389</v>
      </c>
      <c r="B235" s="54" t="s">
        <v>390</v>
      </c>
      <c r="C235" s="31">
        <v>4301011721</v>
      </c>
      <c r="D235" s="558">
        <v>4680115884175</v>
      </c>
      <c r="E235" s="559"/>
      <c r="F235" s="550">
        <v>1.45</v>
      </c>
      <c r="G235" s="32">
        <v>8</v>
      </c>
      <c r="H235" s="550">
        <v>11.6</v>
      </c>
      <c r="I235" s="550">
        <v>12.01</v>
      </c>
      <c r="J235" s="32">
        <v>64</v>
      </c>
      <c r="K235" s="32" t="s">
        <v>104</v>
      </c>
      <c r="L235" s="32"/>
      <c r="M235" s="33" t="s">
        <v>106</v>
      </c>
      <c r="N235" s="33"/>
      <c r="O235" s="32">
        <v>55</v>
      </c>
      <c r="P235" s="755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35" s="556"/>
      <c r="R235" s="556"/>
      <c r="S235" s="556"/>
      <c r="T235" s="557"/>
      <c r="U235" s="34"/>
      <c r="V235" s="34"/>
      <c r="W235" s="35" t="s">
        <v>69</v>
      </c>
      <c r="X235" s="551">
        <v>0</v>
      </c>
      <c r="Y235" s="552">
        <f t="shared" si="26"/>
        <v>0</v>
      </c>
      <c r="Z235" s="36" t="str">
        <f>IFERROR(IF(Y235=0,"",ROUNDUP(Y235/H235,0)*0.01898),"")</f>
        <v/>
      </c>
      <c r="AA235" s="56"/>
      <c r="AB235" s="57"/>
      <c r="AC235" s="287" t="s">
        <v>391</v>
      </c>
      <c r="AG235" s="64"/>
      <c r="AJ235" s="68"/>
      <c r="AK235" s="68">
        <v>0</v>
      </c>
      <c r="BB235" s="288" t="s">
        <v>1</v>
      </c>
      <c r="BM235" s="64">
        <f t="shared" si="27"/>
        <v>0</v>
      </c>
      <c r="BN235" s="64">
        <f t="shared" si="28"/>
        <v>0</v>
      </c>
      <c r="BO235" s="64">
        <f t="shared" si="29"/>
        <v>0</v>
      </c>
      <c r="BP235" s="64">
        <f t="shared" si="30"/>
        <v>0</v>
      </c>
    </row>
    <row r="236" spans="1:68" ht="27" customHeight="1" x14ac:dyDescent="0.25">
      <c r="A236" s="54" t="s">
        <v>392</v>
      </c>
      <c r="B236" s="54" t="s">
        <v>393</v>
      </c>
      <c r="C236" s="31">
        <v>4301011824</v>
      </c>
      <c r="D236" s="558">
        <v>4680115884144</v>
      </c>
      <c r="E236" s="559"/>
      <c r="F236" s="550">
        <v>0.4</v>
      </c>
      <c r="G236" s="32">
        <v>10</v>
      </c>
      <c r="H236" s="550">
        <v>4</v>
      </c>
      <c r="I236" s="550">
        <v>4.1900000000000004</v>
      </c>
      <c r="J236" s="32">
        <v>132</v>
      </c>
      <c r="K236" s="32" t="s">
        <v>110</v>
      </c>
      <c r="L236" s="32" t="s">
        <v>111</v>
      </c>
      <c r="M236" s="33" t="s">
        <v>106</v>
      </c>
      <c r="N236" s="33"/>
      <c r="O236" s="32">
        <v>55</v>
      </c>
      <c r="P236" s="612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36" s="556"/>
      <c r="R236" s="556"/>
      <c r="S236" s="556"/>
      <c r="T236" s="557"/>
      <c r="U236" s="34"/>
      <c r="V236" s="34"/>
      <c r="W236" s="35" t="s">
        <v>69</v>
      </c>
      <c r="X236" s="551">
        <v>0</v>
      </c>
      <c r="Y236" s="552">
        <f t="shared" si="26"/>
        <v>0</v>
      </c>
      <c r="Z236" s="36" t="str">
        <f>IFERROR(IF(Y236=0,"",ROUNDUP(Y236/H236,0)*0.00902),"")</f>
        <v/>
      </c>
      <c r="AA236" s="56"/>
      <c r="AB236" s="57"/>
      <c r="AC236" s="289" t="s">
        <v>385</v>
      </c>
      <c r="AG236" s="64"/>
      <c r="AJ236" s="68" t="s">
        <v>92</v>
      </c>
      <c r="AK236" s="68">
        <v>48</v>
      </c>
      <c r="BB236" s="290" t="s">
        <v>1</v>
      </c>
      <c r="BM236" s="64">
        <f t="shared" si="27"/>
        <v>0</v>
      </c>
      <c r="BN236" s="64">
        <f t="shared" si="28"/>
        <v>0</v>
      </c>
      <c r="BO236" s="64">
        <f t="shared" si="29"/>
        <v>0</v>
      </c>
      <c r="BP236" s="64">
        <f t="shared" si="30"/>
        <v>0</v>
      </c>
    </row>
    <row r="237" spans="1:68" ht="27" customHeight="1" x14ac:dyDescent="0.25">
      <c r="A237" s="54" t="s">
        <v>392</v>
      </c>
      <c r="B237" s="54" t="s">
        <v>394</v>
      </c>
      <c r="C237" s="31">
        <v>4301012196</v>
      </c>
      <c r="D237" s="558">
        <v>4680115884144</v>
      </c>
      <c r="E237" s="559"/>
      <c r="F237" s="550">
        <v>0.4</v>
      </c>
      <c r="G237" s="32">
        <v>10</v>
      </c>
      <c r="H237" s="550">
        <v>4</v>
      </c>
      <c r="I237" s="550">
        <v>4.1900000000000004</v>
      </c>
      <c r="J237" s="32">
        <v>132</v>
      </c>
      <c r="K237" s="32" t="s">
        <v>110</v>
      </c>
      <c r="L237" s="32"/>
      <c r="M237" s="33" t="s">
        <v>106</v>
      </c>
      <c r="N237" s="33"/>
      <c r="O237" s="32">
        <v>55</v>
      </c>
      <c r="P237" s="624" t="str">
        <f>HYPERLINK("https://abi.ru/products/Охлажденные/Стародворье/Стародворская/Вареные колбасы/P005062/","Вареные колбасы «Молочная Стародворская с молоком» Фикс.вес 0,4 п/а ТМ «Стародворье»")</f>
        <v>Вареные колбасы «Молочная Стародворская с молоком» Фикс.вес 0,4 п/а ТМ «Стародворье»</v>
      </c>
      <c r="Q237" s="556"/>
      <c r="R237" s="556"/>
      <c r="S237" s="556"/>
      <c r="T237" s="557"/>
      <c r="U237" s="34"/>
      <c r="V237" s="34"/>
      <c r="W237" s="35" t="s">
        <v>69</v>
      </c>
      <c r="X237" s="551">
        <v>0</v>
      </c>
      <c r="Y237" s="552">
        <f t="shared" si="26"/>
        <v>0</v>
      </c>
      <c r="Z237" s="36" t="str">
        <f>IFERROR(IF(Y237=0,"",ROUNDUP(Y237/H237,0)*0.00902),"")</f>
        <v/>
      </c>
      <c r="AA237" s="56"/>
      <c r="AB237" s="57"/>
      <c r="AC237" s="291" t="s">
        <v>385</v>
      </c>
      <c r="AG237" s="64"/>
      <c r="AJ237" s="68"/>
      <c r="AK237" s="68">
        <v>0</v>
      </c>
      <c r="BB237" s="292" t="s">
        <v>1</v>
      </c>
      <c r="BM237" s="64">
        <f t="shared" si="27"/>
        <v>0</v>
      </c>
      <c r="BN237" s="64">
        <f t="shared" si="28"/>
        <v>0</v>
      </c>
      <c r="BO237" s="64">
        <f t="shared" si="29"/>
        <v>0</v>
      </c>
      <c r="BP237" s="64">
        <f t="shared" si="30"/>
        <v>0</v>
      </c>
    </row>
    <row r="238" spans="1:68" ht="27" customHeight="1" x14ac:dyDescent="0.25">
      <c r="A238" s="54" t="s">
        <v>395</v>
      </c>
      <c r="B238" s="54" t="s">
        <v>396</v>
      </c>
      <c r="C238" s="31">
        <v>4301012149</v>
      </c>
      <c r="D238" s="558">
        <v>4680115886551</v>
      </c>
      <c r="E238" s="559"/>
      <c r="F238" s="550">
        <v>0.4</v>
      </c>
      <c r="G238" s="32">
        <v>10</v>
      </c>
      <c r="H238" s="550">
        <v>4</v>
      </c>
      <c r="I238" s="550">
        <v>4.1900000000000004</v>
      </c>
      <c r="J238" s="32">
        <v>132</v>
      </c>
      <c r="K238" s="32" t="s">
        <v>110</v>
      </c>
      <c r="L238" s="32"/>
      <c r="M238" s="33" t="s">
        <v>106</v>
      </c>
      <c r="N238" s="33"/>
      <c r="O238" s="32">
        <v>55</v>
      </c>
      <c r="P238" s="746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38" s="556"/>
      <c r="R238" s="556"/>
      <c r="S238" s="556"/>
      <c r="T238" s="557"/>
      <c r="U238" s="34"/>
      <c r="V238" s="34"/>
      <c r="W238" s="35" t="s">
        <v>69</v>
      </c>
      <c r="X238" s="551">
        <v>0</v>
      </c>
      <c r="Y238" s="552">
        <f t="shared" si="26"/>
        <v>0</v>
      </c>
      <c r="Z238" s="36" t="str">
        <f>IFERROR(IF(Y238=0,"",ROUNDUP(Y238/H238,0)*0.00902),"")</f>
        <v/>
      </c>
      <c r="AA238" s="56"/>
      <c r="AB238" s="57"/>
      <c r="AC238" s="293" t="s">
        <v>397</v>
      </c>
      <c r="AG238" s="64"/>
      <c r="AJ238" s="68"/>
      <c r="AK238" s="68">
        <v>0</v>
      </c>
      <c r="BB238" s="294" t="s">
        <v>1</v>
      </c>
      <c r="BM238" s="64">
        <f t="shared" si="27"/>
        <v>0</v>
      </c>
      <c r="BN238" s="64">
        <f t="shared" si="28"/>
        <v>0</v>
      </c>
      <c r="BO238" s="64">
        <f t="shared" si="29"/>
        <v>0</v>
      </c>
      <c r="BP238" s="64">
        <f t="shared" si="30"/>
        <v>0</v>
      </c>
    </row>
    <row r="239" spans="1:68" ht="27" customHeight="1" x14ac:dyDescent="0.25">
      <c r="A239" s="54" t="s">
        <v>398</v>
      </c>
      <c r="B239" s="54" t="s">
        <v>399</v>
      </c>
      <c r="C239" s="31">
        <v>4301012228</v>
      </c>
      <c r="D239" s="558">
        <v>4680115887282</v>
      </c>
      <c r="E239" s="559"/>
      <c r="F239" s="550">
        <v>0.4</v>
      </c>
      <c r="G239" s="32">
        <v>6</v>
      </c>
      <c r="H239" s="550">
        <v>2.4</v>
      </c>
      <c r="I239" s="550">
        <v>2.58</v>
      </c>
      <c r="J239" s="32">
        <v>182</v>
      </c>
      <c r="K239" s="32" t="s">
        <v>67</v>
      </c>
      <c r="L239" s="32"/>
      <c r="M239" s="33" t="s">
        <v>106</v>
      </c>
      <c r="N239" s="33"/>
      <c r="O239" s="32">
        <v>55</v>
      </c>
      <c r="P239" s="705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39" s="556"/>
      <c r="R239" s="556"/>
      <c r="S239" s="556"/>
      <c r="T239" s="557"/>
      <c r="U239" s="34"/>
      <c r="V239" s="34"/>
      <c r="W239" s="35" t="s">
        <v>69</v>
      </c>
      <c r="X239" s="551">
        <v>0</v>
      </c>
      <c r="Y239" s="552">
        <f t="shared" si="26"/>
        <v>0</v>
      </c>
      <c r="Z239" s="36" t="str">
        <f>IFERROR(IF(Y239=0,"",ROUNDUP(Y239/H239,0)*0.00651),"")</f>
        <v/>
      </c>
      <c r="AA239" s="56"/>
      <c r="AB239" s="57"/>
      <c r="AC239" s="295" t="s">
        <v>400</v>
      </c>
      <c r="AG239" s="64"/>
      <c r="AJ239" s="68"/>
      <c r="AK239" s="68">
        <v>0</v>
      </c>
      <c r="BB239" s="296" t="s">
        <v>1</v>
      </c>
      <c r="BM239" s="64">
        <f t="shared" si="27"/>
        <v>0</v>
      </c>
      <c r="BN239" s="64">
        <f t="shared" si="28"/>
        <v>0</v>
      </c>
      <c r="BO239" s="64">
        <f t="shared" si="29"/>
        <v>0</v>
      </c>
      <c r="BP239" s="64">
        <f t="shared" si="30"/>
        <v>0</v>
      </c>
    </row>
    <row r="240" spans="1:68" ht="27" customHeight="1" x14ac:dyDescent="0.25">
      <c r="A240" s="54" t="s">
        <v>401</v>
      </c>
      <c r="B240" s="54" t="s">
        <v>402</v>
      </c>
      <c r="C240" s="31">
        <v>4301011722</v>
      </c>
      <c r="D240" s="558">
        <v>4680115884205</v>
      </c>
      <c r="E240" s="559"/>
      <c r="F240" s="550">
        <v>0.4</v>
      </c>
      <c r="G240" s="32">
        <v>10</v>
      </c>
      <c r="H240" s="550">
        <v>4</v>
      </c>
      <c r="I240" s="550">
        <v>4.1900000000000004</v>
      </c>
      <c r="J240" s="32">
        <v>132</v>
      </c>
      <c r="K240" s="32" t="s">
        <v>110</v>
      </c>
      <c r="L240" s="32" t="s">
        <v>111</v>
      </c>
      <c r="M240" s="33" t="s">
        <v>106</v>
      </c>
      <c r="N240" s="33"/>
      <c r="O240" s="32">
        <v>55</v>
      </c>
      <c r="P240" s="640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40" s="556"/>
      <c r="R240" s="556"/>
      <c r="S240" s="556"/>
      <c r="T240" s="557"/>
      <c r="U240" s="34"/>
      <c r="V240" s="34"/>
      <c r="W240" s="35" t="s">
        <v>69</v>
      </c>
      <c r="X240" s="551">
        <v>0</v>
      </c>
      <c r="Y240" s="552">
        <f t="shared" si="26"/>
        <v>0</v>
      </c>
      <c r="Z240" s="36" t="str">
        <f>IFERROR(IF(Y240=0,"",ROUNDUP(Y240/H240,0)*0.00902),"")</f>
        <v/>
      </c>
      <c r="AA240" s="56"/>
      <c r="AB240" s="57"/>
      <c r="AC240" s="297" t="s">
        <v>391</v>
      </c>
      <c r="AG240" s="64"/>
      <c r="AJ240" s="68" t="s">
        <v>92</v>
      </c>
      <c r="AK240" s="68">
        <v>48</v>
      </c>
      <c r="BB240" s="298" t="s">
        <v>1</v>
      </c>
      <c r="BM240" s="64">
        <f t="shared" si="27"/>
        <v>0</v>
      </c>
      <c r="BN240" s="64">
        <f t="shared" si="28"/>
        <v>0</v>
      </c>
      <c r="BO240" s="64">
        <f t="shared" si="29"/>
        <v>0</v>
      </c>
      <c r="BP240" s="64">
        <f t="shared" si="30"/>
        <v>0</v>
      </c>
    </row>
    <row r="241" spans="1:68" ht="27" customHeight="1" x14ac:dyDescent="0.25">
      <c r="A241" s="54" t="s">
        <v>401</v>
      </c>
      <c r="B241" s="54" t="s">
        <v>403</v>
      </c>
      <c r="C241" s="31">
        <v>4301012195</v>
      </c>
      <c r="D241" s="558">
        <v>4680115884205</v>
      </c>
      <c r="E241" s="559"/>
      <c r="F241" s="550">
        <v>0.4</v>
      </c>
      <c r="G241" s="32">
        <v>10</v>
      </c>
      <c r="H241" s="550">
        <v>4</v>
      </c>
      <c r="I241" s="550">
        <v>4.1900000000000004</v>
      </c>
      <c r="J241" s="32">
        <v>132</v>
      </c>
      <c r="K241" s="32" t="s">
        <v>110</v>
      </c>
      <c r="L241" s="32"/>
      <c r="M241" s="33" t="s">
        <v>106</v>
      </c>
      <c r="N241" s="33"/>
      <c r="O241" s="32">
        <v>55</v>
      </c>
      <c r="P241" s="811" t="str">
        <f>HYPERLINK("https://abi.ru/products/Охлажденные/Стародворье/Стародворская/Вареные колбасы/P005061/","Вареные колбасы «Стародворская с окороком» Фикс.вес 0,4 п/а ТМ «Стародворье»")</f>
        <v>Вареные колбасы «Стародворская с окороком» Фикс.вес 0,4 п/а ТМ «Стародворье»</v>
      </c>
      <c r="Q241" s="556"/>
      <c r="R241" s="556"/>
      <c r="S241" s="556"/>
      <c r="T241" s="557"/>
      <c r="U241" s="34"/>
      <c r="V241" s="34"/>
      <c r="W241" s="35" t="s">
        <v>69</v>
      </c>
      <c r="X241" s="551">
        <v>0</v>
      </c>
      <c r="Y241" s="552">
        <f t="shared" si="26"/>
        <v>0</v>
      </c>
      <c r="Z241" s="36" t="str">
        <f>IFERROR(IF(Y241=0,"",ROUNDUP(Y241/H241,0)*0.00902),"")</f>
        <v/>
      </c>
      <c r="AA241" s="56"/>
      <c r="AB241" s="57"/>
      <c r="AC241" s="299" t="s">
        <v>391</v>
      </c>
      <c r="AG241" s="64"/>
      <c r="AJ241" s="68"/>
      <c r="AK241" s="68">
        <v>0</v>
      </c>
      <c r="BB241" s="300" t="s">
        <v>1</v>
      </c>
      <c r="BM241" s="64">
        <f t="shared" si="27"/>
        <v>0</v>
      </c>
      <c r="BN241" s="64">
        <f t="shared" si="28"/>
        <v>0</v>
      </c>
      <c r="BO241" s="64">
        <f t="shared" si="29"/>
        <v>0</v>
      </c>
      <c r="BP241" s="64">
        <f t="shared" si="30"/>
        <v>0</v>
      </c>
    </row>
    <row r="242" spans="1:68" x14ac:dyDescent="0.2">
      <c r="A242" s="563"/>
      <c r="B242" s="564"/>
      <c r="C242" s="564"/>
      <c r="D242" s="564"/>
      <c r="E242" s="564"/>
      <c r="F242" s="564"/>
      <c r="G242" s="564"/>
      <c r="H242" s="564"/>
      <c r="I242" s="564"/>
      <c r="J242" s="564"/>
      <c r="K242" s="564"/>
      <c r="L242" s="564"/>
      <c r="M242" s="564"/>
      <c r="N242" s="564"/>
      <c r="O242" s="565"/>
      <c r="P242" s="570" t="s">
        <v>75</v>
      </c>
      <c r="Q242" s="571"/>
      <c r="R242" s="571"/>
      <c r="S242" s="571"/>
      <c r="T242" s="571"/>
      <c r="U242" s="571"/>
      <c r="V242" s="572"/>
      <c r="W242" s="37" t="s">
        <v>76</v>
      </c>
      <c r="X242" s="553">
        <f>IFERROR(X233/H233,"0")+IFERROR(X234/H234,"0")+IFERROR(X235/H235,"0")+IFERROR(X236/H236,"0")+IFERROR(X237/H237,"0")+IFERROR(X238/H238,"0")+IFERROR(X239/H239,"0")+IFERROR(X240/H240,"0")+IFERROR(X241/H241,"0")</f>
        <v>0</v>
      </c>
      <c r="Y242" s="553">
        <f>IFERROR(Y233/H233,"0")+IFERROR(Y234/H234,"0")+IFERROR(Y235/H235,"0")+IFERROR(Y236/H236,"0")+IFERROR(Y237/H237,"0")+IFERROR(Y238/H238,"0")+IFERROR(Y239/H239,"0")+IFERROR(Y240/H240,"0")+IFERROR(Y241/H241,"0")</f>
        <v>0</v>
      </c>
      <c r="Z242" s="553">
        <f>IFERROR(IF(Z233="",0,Z233),"0")+IFERROR(IF(Z234="",0,Z234),"0")+IFERROR(IF(Z235="",0,Z235),"0")+IFERROR(IF(Z236="",0,Z236),"0")+IFERROR(IF(Z237="",0,Z237),"0")+IFERROR(IF(Z238="",0,Z238),"0")+IFERROR(IF(Z239="",0,Z239),"0")+IFERROR(IF(Z240="",0,Z240),"0")+IFERROR(IF(Z241="",0,Z241),"0")</f>
        <v>0</v>
      </c>
      <c r="AA242" s="554"/>
      <c r="AB242" s="554"/>
      <c r="AC242" s="554"/>
    </row>
    <row r="243" spans="1:68" x14ac:dyDescent="0.2">
      <c r="A243" s="564"/>
      <c r="B243" s="564"/>
      <c r="C243" s="564"/>
      <c r="D243" s="564"/>
      <c r="E243" s="564"/>
      <c r="F243" s="564"/>
      <c r="G243" s="564"/>
      <c r="H243" s="564"/>
      <c r="I243" s="564"/>
      <c r="J243" s="564"/>
      <c r="K243" s="564"/>
      <c r="L243" s="564"/>
      <c r="M243" s="564"/>
      <c r="N243" s="564"/>
      <c r="O243" s="565"/>
      <c r="P243" s="570" t="s">
        <v>75</v>
      </c>
      <c r="Q243" s="571"/>
      <c r="R243" s="571"/>
      <c r="S243" s="571"/>
      <c r="T243" s="571"/>
      <c r="U243" s="571"/>
      <c r="V243" s="572"/>
      <c r="W243" s="37" t="s">
        <v>69</v>
      </c>
      <c r="X243" s="553">
        <f>IFERROR(SUM(X233:X241),"0")</f>
        <v>0</v>
      </c>
      <c r="Y243" s="553">
        <f>IFERROR(SUM(Y233:Y241),"0")</f>
        <v>0</v>
      </c>
      <c r="Z243" s="37"/>
      <c r="AA243" s="554"/>
      <c r="AB243" s="554"/>
      <c r="AC243" s="554"/>
    </row>
    <row r="244" spans="1:68" ht="14.25" customHeight="1" x14ac:dyDescent="0.25">
      <c r="A244" s="567" t="s">
        <v>136</v>
      </c>
      <c r="B244" s="564"/>
      <c r="C244" s="564"/>
      <c r="D244" s="564"/>
      <c r="E244" s="564"/>
      <c r="F244" s="564"/>
      <c r="G244" s="564"/>
      <c r="H244" s="564"/>
      <c r="I244" s="564"/>
      <c r="J244" s="564"/>
      <c r="K244" s="564"/>
      <c r="L244" s="564"/>
      <c r="M244" s="564"/>
      <c r="N244" s="564"/>
      <c r="O244" s="564"/>
      <c r="P244" s="564"/>
      <c r="Q244" s="564"/>
      <c r="R244" s="564"/>
      <c r="S244" s="564"/>
      <c r="T244" s="564"/>
      <c r="U244" s="564"/>
      <c r="V244" s="564"/>
      <c r="W244" s="564"/>
      <c r="X244" s="564"/>
      <c r="Y244" s="564"/>
      <c r="Z244" s="564"/>
      <c r="AA244" s="545"/>
      <c r="AB244" s="545"/>
      <c r="AC244" s="545"/>
    </row>
    <row r="245" spans="1:68" ht="27" customHeight="1" x14ac:dyDescent="0.25">
      <c r="A245" s="54" t="s">
        <v>404</v>
      </c>
      <c r="B245" s="54" t="s">
        <v>405</v>
      </c>
      <c r="C245" s="31">
        <v>4301020377</v>
      </c>
      <c r="D245" s="558">
        <v>4680115885981</v>
      </c>
      <c r="E245" s="559"/>
      <c r="F245" s="550">
        <v>0.33</v>
      </c>
      <c r="G245" s="32">
        <v>6</v>
      </c>
      <c r="H245" s="550">
        <v>1.98</v>
      </c>
      <c r="I245" s="550">
        <v>2.08</v>
      </c>
      <c r="J245" s="32">
        <v>234</v>
      </c>
      <c r="K245" s="32" t="s">
        <v>73</v>
      </c>
      <c r="L245" s="32"/>
      <c r="M245" s="33" t="s">
        <v>80</v>
      </c>
      <c r="N245" s="33"/>
      <c r="O245" s="32">
        <v>50</v>
      </c>
      <c r="P245" s="736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245" s="556"/>
      <c r="R245" s="556"/>
      <c r="S245" s="556"/>
      <c r="T245" s="557"/>
      <c r="U245" s="34"/>
      <c r="V245" s="34"/>
      <c r="W245" s="35" t="s">
        <v>69</v>
      </c>
      <c r="X245" s="551">
        <v>0</v>
      </c>
      <c r="Y245" s="552">
        <f>IFERROR(IF(X245="",0,CEILING((X245/$H245),1)*$H245),"")</f>
        <v>0</v>
      </c>
      <c r="Z245" s="36" t="str">
        <f>IFERROR(IF(Y245=0,"",ROUNDUP(Y245/H245,0)*0.00502),"")</f>
        <v/>
      </c>
      <c r="AA245" s="56"/>
      <c r="AB245" s="57"/>
      <c r="AC245" s="301" t="s">
        <v>406</v>
      </c>
      <c r="AG245" s="64"/>
      <c r="AJ245" s="68"/>
      <c r="AK245" s="68">
        <v>0</v>
      </c>
      <c r="BB245" s="302" t="s">
        <v>1</v>
      </c>
      <c r="BM245" s="64">
        <f>IFERROR(X245*I245/H245,"0")</f>
        <v>0</v>
      </c>
      <c r="BN245" s="64">
        <f>IFERROR(Y245*I245/H245,"0")</f>
        <v>0</v>
      </c>
      <c r="BO245" s="64">
        <f>IFERROR(1/J245*(X245/H245),"0")</f>
        <v>0</v>
      </c>
      <c r="BP245" s="64">
        <f>IFERROR(1/J245*(Y245/H245),"0")</f>
        <v>0</v>
      </c>
    </row>
    <row r="246" spans="1:68" x14ac:dyDescent="0.2">
      <c r="A246" s="563"/>
      <c r="B246" s="564"/>
      <c r="C246" s="564"/>
      <c r="D246" s="564"/>
      <c r="E246" s="564"/>
      <c r="F246" s="564"/>
      <c r="G246" s="564"/>
      <c r="H246" s="564"/>
      <c r="I246" s="564"/>
      <c r="J246" s="564"/>
      <c r="K246" s="564"/>
      <c r="L246" s="564"/>
      <c r="M246" s="564"/>
      <c r="N246" s="564"/>
      <c r="O246" s="565"/>
      <c r="P246" s="570" t="s">
        <v>75</v>
      </c>
      <c r="Q246" s="571"/>
      <c r="R246" s="571"/>
      <c r="S246" s="571"/>
      <c r="T246" s="571"/>
      <c r="U246" s="571"/>
      <c r="V246" s="572"/>
      <c r="W246" s="37" t="s">
        <v>76</v>
      </c>
      <c r="X246" s="553">
        <f>IFERROR(X245/H245,"0")</f>
        <v>0</v>
      </c>
      <c r="Y246" s="553">
        <f>IFERROR(Y245/H245,"0")</f>
        <v>0</v>
      </c>
      <c r="Z246" s="553">
        <f>IFERROR(IF(Z245="",0,Z245),"0")</f>
        <v>0</v>
      </c>
      <c r="AA246" s="554"/>
      <c r="AB246" s="554"/>
      <c r="AC246" s="554"/>
    </row>
    <row r="247" spans="1:68" x14ac:dyDescent="0.2">
      <c r="A247" s="564"/>
      <c r="B247" s="564"/>
      <c r="C247" s="564"/>
      <c r="D247" s="564"/>
      <c r="E247" s="564"/>
      <c r="F247" s="564"/>
      <c r="G247" s="564"/>
      <c r="H247" s="564"/>
      <c r="I247" s="564"/>
      <c r="J247" s="564"/>
      <c r="K247" s="564"/>
      <c r="L247" s="564"/>
      <c r="M247" s="564"/>
      <c r="N247" s="564"/>
      <c r="O247" s="565"/>
      <c r="P247" s="570" t="s">
        <v>75</v>
      </c>
      <c r="Q247" s="571"/>
      <c r="R247" s="571"/>
      <c r="S247" s="571"/>
      <c r="T247" s="571"/>
      <c r="U247" s="571"/>
      <c r="V247" s="572"/>
      <c r="W247" s="37" t="s">
        <v>69</v>
      </c>
      <c r="X247" s="553">
        <f>IFERROR(SUM(X245:X245),"0")</f>
        <v>0</v>
      </c>
      <c r="Y247" s="553">
        <f>IFERROR(SUM(Y245:Y245),"0")</f>
        <v>0</v>
      </c>
      <c r="Z247" s="37"/>
      <c r="AA247" s="554"/>
      <c r="AB247" s="554"/>
      <c r="AC247" s="554"/>
    </row>
    <row r="248" spans="1:68" ht="14.25" customHeight="1" x14ac:dyDescent="0.25">
      <c r="A248" s="567" t="s">
        <v>407</v>
      </c>
      <c r="B248" s="564"/>
      <c r="C248" s="564"/>
      <c r="D248" s="564"/>
      <c r="E248" s="564"/>
      <c r="F248" s="564"/>
      <c r="G248" s="564"/>
      <c r="H248" s="564"/>
      <c r="I248" s="564"/>
      <c r="J248" s="564"/>
      <c r="K248" s="564"/>
      <c r="L248" s="564"/>
      <c r="M248" s="564"/>
      <c r="N248" s="564"/>
      <c r="O248" s="564"/>
      <c r="P248" s="564"/>
      <c r="Q248" s="564"/>
      <c r="R248" s="564"/>
      <c r="S248" s="564"/>
      <c r="T248" s="564"/>
      <c r="U248" s="564"/>
      <c r="V248" s="564"/>
      <c r="W248" s="564"/>
      <c r="X248" s="564"/>
      <c r="Y248" s="564"/>
      <c r="Z248" s="564"/>
      <c r="AA248" s="545"/>
      <c r="AB248" s="545"/>
      <c r="AC248" s="545"/>
    </row>
    <row r="249" spans="1:68" ht="27" customHeight="1" x14ac:dyDescent="0.25">
      <c r="A249" s="54" t="s">
        <v>408</v>
      </c>
      <c r="B249" s="54" t="s">
        <v>409</v>
      </c>
      <c r="C249" s="31">
        <v>4301040362</v>
      </c>
      <c r="D249" s="558">
        <v>4680115886803</v>
      </c>
      <c r="E249" s="559"/>
      <c r="F249" s="550">
        <v>0.12</v>
      </c>
      <c r="G249" s="32">
        <v>15</v>
      </c>
      <c r="H249" s="550">
        <v>1.8</v>
      </c>
      <c r="I249" s="550">
        <v>1.9750000000000001</v>
      </c>
      <c r="J249" s="32">
        <v>216</v>
      </c>
      <c r="K249" s="32" t="s">
        <v>312</v>
      </c>
      <c r="L249" s="32"/>
      <c r="M249" s="33" t="s">
        <v>293</v>
      </c>
      <c r="N249" s="33"/>
      <c r="O249" s="32">
        <v>45</v>
      </c>
      <c r="P249" s="579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249" s="556"/>
      <c r="R249" s="556"/>
      <c r="S249" s="556"/>
      <c r="T249" s="557"/>
      <c r="U249" s="34"/>
      <c r="V249" s="34"/>
      <c r="W249" s="35" t="s">
        <v>69</v>
      </c>
      <c r="X249" s="551">
        <v>0</v>
      </c>
      <c r="Y249" s="552">
        <f>IFERROR(IF(X249="",0,CEILING((X249/$H249),1)*$H249),"")</f>
        <v>0</v>
      </c>
      <c r="Z249" s="36" t="str">
        <f>IFERROR(IF(Y249=0,"",ROUNDUP(Y249/H249,0)*0.0059),"")</f>
        <v/>
      </c>
      <c r="AA249" s="56"/>
      <c r="AB249" s="57"/>
      <c r="AC249" s="303" t="s">
        <v>410</v>
      </c>
      <c r="AG249" s="64"/>
      <c r="AJ249" s="68"/>
      <c r="AK249" s="68">
        <v>0</v>
      </c>
      <c r="BB249" s="304" t="s">
        <v>1</v>
      </c>
      <c r="BM249" s="64">
        <f>IFERROR(X249*I249/H249,"0")</f>
        <v>0</v>
      </c>
      <c r="BN249" s="64">
        <f>IFERROR(Y249*I249/H249,"0")</f>
        <v>0</v>
      </c>
      <c r="BO249" s="64">
        <f>IFERROR(1/J249*(X249/H249),"0")</f>
        <v>0</v>
      </c>
      <c r="BP249" s="64">
        <f>IFERROR(1/J249*(Y249/H249),"0")</f>
        <v>0</v>
      </c>
    </row>
    <row r="250" spans="1:68" x14ac:dyDescent="0.2">
      <c r="A250" s="563"/>
      <c r="B250" s="564"/>
      <c r="C250" s="564"/>
      <c r="D250" s="564"/>
      <c r="E250" s="564"/>
      <c r="F250" s="564"/>
      <c r="G250" s="564"/>
      <c r="H250" s="564"/>
      <c r="I250" s="564"/>
      <c r="J250" s="564"/>
      <c r="K250" s="564"/>
      <c r="L250" s="564"/>
      <c r="M250" s="564"/>
      <c r="N250" s="564"/>
      <c r="O250" s="565"/>
      <c r="P250" s="570" t="s">
        <v>75</v>
      </c>
      <c r="Q250" s="571"/>
      <c r="R250" s="571"/>
      <c r="S250" s="571"/>
      <c r="T250" s="571"/>
      <c r="U250" s="571"/>
      <c r="V250" s="572"/>
      <c r="W250" s="37" t="s">
        <v>76</v>
      </c>
      <c r="X250" s="553">
        <f>IFERROR(X249/H249,"0")</f>
        <v>0</v>
      </c>
      <c r="Y250" s="553">
        <f>IFERROR(Y249/H249,"0")</f>
        <v>0</v>
      </c>
      <c r="Z250" s="553">
        <f>IFERROR(IF(Z249="",0,Z249),"0")</f>
        <v>0</v>
      </c>
      <c r="AA250" s="554"/>
      <c r="AB250" s="554"/>
      <c r="AC250" s="554"/>
    </row>
    <row r="251" spans="1:68" x14ac:dyDescent="0.2">
      <c r="A251" s="564"/>
      <c r="B251" s="564"/>
      <c r="C251" s="564"/>
      <c r="D251" s="564"/>
      <c r="E251" s="564"/>
      <c r="F251" s="564"/>
      <c r="G251" s="564"/>
      <c r="H251" s="564"/>
      <c r="I251" s="564"/>
      <c r="J251" s="564"/>
      <c r="K251" s="564"/>
      <c r="L251" s="564"/>
      <c r="M251" s="564"/>
      <c r="N251" s="564"/>
      <c r="O251" s="565"/>
      <c r="P251" s="570" t="s">
        <v>75</v>
      </c>
      <c r="Q251" s="571"/>
      <c r="R251" s="571"/>
      <c r="S251" s="571"/>
      <c r="T251" s="571"/>
      <c r="U251" s="571"/>
      <c r="V251" s="572"/>
      <c r="W251" s="37" t="s">
        <v>69</v>
      </c>
      <c r="X251" s="553">
        <f>IFERROR(SUM(X249:X249),"0")</f>
        <v>0</v>
      </c>
      <c r="Y251" s="553">
        <f>IFERROR(SUM(Y249:Y249),"0")</f>
        <v>0</v>
      </c>
      <c r="Z251" s="37"/>
      <c r="AA251" s="554"/>
      <c r="AB251" s="554"/>
      <c r="AC251" s="554"/>
    </row>
    <row r="252" spans="1:68" ht="14.25" customHeight="1" x14ac:dyDescent="0.25">
      <c r="A252" s="567" t="s">
        <v>411</v>
      </c>
      <c r="B252" s="564"/>
      <c r="C252" s="564"/>
      <c r="D252" s="564"/>
      <c r="E252" s="564"/>
      <c r="F252" s="564"/>
      <c r="G252" s="564"/>
      <c r="H252" s="564"/>
      <c r="I252" s="564"/>
      <c r="J252" s="564"/>
      <c r="K252" s="564"/>
      <c r="L252" s="564"/>
      <c r="M252" s="564"/>
      <c r="N252" s="564"/>
      <c r="O252" s="564"/>
      <c r="P252" s="564"/>
      <c r="Q252" s="564"/>
      <c r="R252" s="564"/>
      <c r="S252" s="564"/>
      <c r="T252" s="564"/>
      <c r="U252" s="564"/>
      <c r="V252" s="564"/>
      <c r="W252" s="564"/>
      <c r="X252" s="564"/>
      <c r="Y252" s="564"/>
      <c r="Z252" s="564"/>
      <c r="AA252" s="545"/>
      <c r="AB252" s="545"/>
      <c r="AC252" s="545"/>
    </row>
    <row r="253" spans="1:68" ht="27" customHeight="1" x14ac:dyDescent="0.25">
      <c r="A253" s="54" t="s">
        <v>412</v>
      </c>
      <c r="B253" s="54" t="s">
        <v>413</v>
      </c>
      <c r="C253" s="31">
        <v>4301041004</v>
      </c>
      <c r="D253" s="558">
        <v>4680115886704</v>
      </c>
      <c r="E253" s="559"/>
      <c r="F253" s="550">
        <v>5.5E-2</v>
      </c>
      <c r="G253" s="32">
        <v>18</v>
      </c>
      <c r="H253" s="550">
        <v>0.99</v>
      </c>
      <c r="I253" s="550">
        <v>1.18</v>
      </c>
      <c r="J253" s="32">
        <v>216</v>
      </c>
      <c r="K253" s="32" t="s">
        <v>312</v>
      </c>
      <c r="L253" s="32"/>
      <c r="M253" s="33" t="s">
        <v>293</v>
      </c>
      <c r="N253" s="33"/>
      <c r="O253" s="32">
        <v>90</v>
      </c>
      <c r="P253" s="839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253" s="556"/>
      <c r="R253" s="556"/>
      <c r="S253" s="556"/>
      <c r="T253" s="557"/>
      <c r="U253" s="34"/>
      <c r="V253" s="34"/>
      <c r="W253" s="35" t="s">
        <v>69</v>
      </c>
      <c r="X253" s="551">
        <v>0</v>
      </c>
      <c r="Y253" s="552">
        <f>IFERROR(IF(X253="",0,CEILING((X253/$H253),1)*$H253),"")</f>
        <v>0</v>
      </c>
      <c r="Z253" s="36" t="str">
        <f>IFERROR(IF(Y253=0,"",ROUNDUP(Y253/H253,0)*0.0059),"")</f>
        <v/>
      </c>
      <c r="AA253" s="56"/>
      <c r="AB253" s="57"/>
      <c r="AC253" s="305" t="s">
        <v>414</v>
      </c>
      <c r="AG253" s="64"/>
      <c r="AJ253" s="68"/>
      <c r="AK253" s="68">
        <v>0</v>
      </c>
      <c r="BB253" s="306" t="s">
        <v>1</v>
      </c>
      <c r="BM253" s="64">
        <f>IFERROR(X253*I253/H253,"0")</f>
        <v>0</v>
      </c>
      <c r="BN253" s="64">
        <f>IFERROR(Y253*I253/H253,"0")</f>
        <v>0</v>
      </c>
      <c r="BO253" s="64">
        <f>IFERROR(1/J253*(X253/H253),"0")</f>
        <v>0</v>
      </c>
      <c r="BP253" s="64">
        <f>IFERROR(1/J253*(Y253/H253),"0")</f>
        <v>0</v>
      </c>
    </row>
    <row r="254" spans="1:68" ht="27" customHeight="1" x14ac:dyDescent="0.25">
      <c r="A254" s="54" t="s">
        <v>415</v>
      </c>
      <c r="B254" s="54" t="s">
        <v>416</v>
      </c>
      <c r="C254" s="31">
        <v>4301041008</v>
      </c>
      <c r="D254" s="558">
        <v>4680115886681</v>
      </c>
      <c r="E254" s="559"/>
      <c r="F254" s="550">
        <v>0.12</v>
      </c>
      <c r="G254" s="32">
        <v>15</v>
      </c>
      <c r="H254" s="550">
        <v>1.8</v>
      </c>
      <c r="I254" s="550">
        <v>1.9750000000000001</v>
      </c>
      <c r="J254" s="32">
        <v>216</v>
      </c>
      <c r="K254" s="32" t="s">
        <v>312</v>
      </c>
      <c r="L254" s="32"/>
      <c r="M254" s="33" t="s">
        <v>293</v>
      </c>
      <c r="N254" s="33"/>
      <c r="O254" s="32">
        <v>90</v>
      </c>
      <c r="P254" s="775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254" s="556"/>
      <c r="R254" s="556"/>
      <c r="S254" s="556"/>
      <c r="T254" s="557"/>
      <c r="U254" s="34"/>
      <c r="V254" s="34"/>
      <c r="W254" s="35" t="s">
        <v>69</v>
      </c>
      <c r="X254" s="551">
        <v>0</v>
      </c>
      <c r="Y254" s="552">
        <f>IFERROR(IF(X254="",0,CEILING((X254/$H254),1)*$H254),"")</f>
        <v>0</v>
      </c>
      <c r="Z254" s="36" t="str">
        <f>IFERROR(IF(Y254=0,"",ROUNDUP(Y254/H254,0)*0.0059),"")</f>
        <v/>
      </c>
      <c r="AA254" s="56"/>
      <c r="AB254" s="57"/>
      <c r="AC254" s="307" t="s">
        <v>414</v>
      </c>
      <c r="AG254" s="64"/>
      <c r="AJ254" s="68"/>
      <c r="AK254" s="68">
        <v>0</v>
      </c>
      <c r="BB254" s="308" t="s">
        <v>1</v>
      </c>
      <c r="BM254" s="64">
        <f>IFERROR(X254*I254/H254,"0")</f>
        <v>0</v>
      </c>
      <c r="BN254" s="64">
        <f>IFERROR(Y254*I254/H254,"0")</f>
        <v>0</v>
      </c>
      <c r="BO254" s="64">
        <f>IFERROR(1/J254*(X254/H254),"0")</f>
        <v>0</v>
      </c>
      <c r="BP254" s="64">
        <f>IFERROR(1/J254*(Y254/H254),"0")</f>
        <v>0</v>
      </c>
    </row>
    <row r="255" spans="1:68" ht="27" customHeight="1" x14ac:dyDescent="0.25">
      <c r="A255" s="54" t="s">
        <v>417</v>
      </c>
      <c r="B255" s="54" t="s">
        <v>418</v>
      </c>
      <c r="C255" s="31">
        <v>4301041007</v>
      </c>
      <c r="D255" s="558">
        <v>4680115886735</v>
      </c>
      <c r="E255" s="559"/>
      <c r="F255" s="550">
        <v>0.05</v>
      </c>
      <c r="G255" s="32">
        <v>18</v>
      </c>
      <c r="H255" s="550">
        <v>0.9</v>
      </c>
      <c r="I255" s="550">
        <v>1.0900000000000001</v>
      </c>
      <c r="J255" s="32">
        <v>216</v>
      </c>
      <c r="K255" s="32" t="s">
        <v>312</v>
      </c>
      <c r="L255" s="32"/>
      <c r="M255" s="33" t="s">
        <v>293</v>
      </c>
      <c r="N255" s="33"/>
      <c r="O255" s="32">
        <v>90</v>
      </c>
      <c r="P255" s="651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255" s="556"/>
      <c r="R255" s="556"/>
      <c r="S255" s="556"/>
      <c r="T255" s="557"/>
      <c r="U255" s="34"/>
      <c r="V255" s="34"/>
      <c r="W255" s="35" t="s">
        <v>69</v>
      </c>
      <c r="X255" s="551">
        <v>0</v>
      </c>
      <c r="Y255" s="552">
        <f>IFERROR(IF(X255="",0,CEILING((X255/$H255),1)*$H255),"")</f>
        <v>0</v>
      </c>
      <c r="Z255" s="36" t="str">
        <f>IFERROR(IF(Y255=0,"",ROUNDUP(Y255/H255,0)*0.0059),"")</f>
        <v/>
      </c>
      <c r="AA255" s="56"/>
      <c r="AB255" s="57"/>
      <c r="AC255" s="309" t="s">
        <v>414</v>
      </c>
      <c r="AG255" s="64"/>
      <c r="AJ255" s="68"/>
      <c r="AK255" s="68">
        <v>0</v>
      </c>
      <c r="BB255" s="310" t="s">
        <v>1</v>
      </c>
      <c r="BM255" s="64">
        <f>IFERROR(X255*I255/H255,"0")</f>
        <v>0</v>
      </c>
      <c r="BN255" s="64">
        <f>IFERROR(Y255*I255/H255,"0")</f>
        <v>0</v>
      </c>
      <c r="BO255" s="64">
        <f>IFERROR(1/J255*(X255/H255),"0")</f>
        <v>0</v>
      </c>
      <c r="BP255" s="64">
        <f>IFERROR(1/J255*(Y255/H255),"0")</f>
        <v>0</v>
      </c>
    </row>
    <row r="256" spans="1:68" ht="27" customHeight="1" x14ac:dyDescent="0.25">
      <c r="A256" s="54" t="s">
        <v>419</v>
      </c>
      <c r="B256" s="54" t="s">
        <v>420</v>
      </c>
      <c r="C256" s="31">
        <v>4301041006</v>
      </c>
      <c r="D256" s="558">
        <v>4680115886728</v>
      </c>
      <c r="E256" s="559"/>
      <c r="F256" s="550">
        <v>5.5E-2</v>
      </c>
      <c r="G256" s="32">
        <v>18</v>
      </c>
      <c r="H256" s="550">
        <v>0.99</v>
      </c>
      <c r="I256" s="550">
        <v>1.18</v>
      </c>
      <c r="J256" s="32">
        <v>216</v>
      </c>
      <c r="K256" s="32" t="s">
        <v>312</v>
      </c>
      <c r="L256" s="32"/>
      <c r="M256" s="33" t="s">
        <v>293</v>
      </c>
      <c r="N256" s="33"/>
      <c r="O256" s="32">
        <v>90</v>
      </c>
      <c r="P256" s="783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256" s="556"/>
      <c r="R256" s="556"/>
      <c r="S256" s="556"/>
      <c r="T256" s="557"/>
      <c r="U256" s="34"/>
      <c r="V256" s="34"/>
      <c r="W256" s="35" t="s">
        <v>69</v>
      </c>
      <c r="X256" s="551">
        <v>0</v>
      </c>
      <c r="Y256" s="552">
        <f>IFERROR(IF(X256="",0,CEILING((X256/$H256),1)*$H256),"")</f>
        <v>0</v>
      </c>
      <c r="Z256" s="36" t="str">
        <f>IFERROR(IF(Y256=0,"",ROUNDUP(Y256/H256,0)*0.0059),"")</f>
        <v/>
      </c>
      <c r="AA256" s="56"/>
      <c r="AB256" s="57"/>
      <c r="AC256" s="311" t="s">
        <v>414</v>
      </c>
      <c r="AG256" s="64"/>
      <c r="AJ256" s="68"/>
      <c r="AK256" s="68">
        <v>0</v>
      </c>
      <c r="BB256" s="312" t="s">
        <v>1</v>
      </c>
      <c r="BM256" s="64">
        <f>IFERROR(X256*I256/H256,"0")</f>
        <v>0</v>
      </c>
      <c r="BN256" s="64">
        <f>IFERROR(Y256*I256/H256,"0")</f>
        <v>0</v>
      </c>
      <c r="BO256" s="64">
        <f>IFERROR(1/J256*(X256/H256),"0")</f>
        <v>0</v>
      </c>
      <c r="BP256" s="64">
        <f>IFERROR(1/J256*(Y256/H256),"0")</f>
        <v>0</v>
      </c>
    </row>
    <row r="257" spans="1:68" ht="27" customHeight="1" x14ac:dyDescent="0.25">
      <c r="A257" s="54" t="s">
        <v>421</v>
      </c>
      <c r="B257" s="54" t="s">
        <v>422</v>
      </c>
      <c r="C257" s="31">
        <v>4301041005</v>
      </c>
      <c r="D257" s="558">
        <v>4680115886711</v>
      </c>
      <c r="E257" s="559"/>
      <c r="F257" s="550">
        <v>5.5E-2</v>
      </c>
      <c r="G257" s="32">
        <v>18</v>
      </c>
      <c r="H257" s="550">
        <v>0.99</v>
      </c>
      <c r="I257" s="550">
        <v>1.18</v>
      </c>
      <c r="J257" s="32">
        <v>216</v>
      </c>
      <c r="K257" s="32" t="s">
        <v>312</v>
      </c>
      <c r="L257" s="32"/>
      <c r="M257" s="33" t="s">
        <v>293</v>
      </c>
      <c r="N257" s="33"/>
      <c r="O257" s="32">
        <v>90</v>
      </c>
      <c r="P257" s="790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257" s="556"/>
      <c r="R257" s="556"/>
      <c r="S257" s="556"/>
      <c r="T257" s="557"/>
      <c r="U257" s="34"/>
      <c r="V257" s="34"/>
      <c r="W257" s="35" t="s">
        <v>69</v>
      </c>
      <c r="X257" s="551">
        <v>0</v>
      </c>
      <c r="Y257" s="552">
        <f>IFERROR(IF(X257="",0,CEILING((X257/$H257),1)*$H257),"")</f>
        <v>0</v>
      </c>
      <c r="Z257" s="36" t="str">
        <f>IFERROR(IF(Y257=0,"",ROUNDUP(Y257/H257,0)*0.0059),"")</f>
        <v/>
      </c>
      <c r="AA257" s="56"/>
      <c r="AB257" s="57"/>
      <c r="AC257" s="313" t="s">
        <v>414</v>
      </c>
      <c r="AG257" s="64"/>
      <c r="AJ257" s="68"/>
      <c r="AK257" s="68">
        <v>0</v>
      </c>
      <c r="BB257" s="314" t="s">
        <v>1</v>
      </c>
      <c r="BM257" s="64">
        <f>IFERROR(X257*I257/H257,"0")</f>
        <v>0</v>
      </c>
      <c r="BN257" s="64">
        <f>IFERROR(Y257*I257/H257,"0")</f>
        <v>0</v>
      </c>
      <c r="BO257" s="64">
        <f>IFERROR(1/J257*(X257/H257),"0")</f>
        <v>0</v>
      </c>
      <c r="BP257" s="64">
        <f>IFERROR(1/J257*(Y257/H257),"0")</f>
        <v>0</v>
      </c>
    </row>
    <row r="258" spans="1:68" x14ac:dyDescent="0.2">
      <c r="A258" s="563"/>
      <c r="B258" s="564"/>
      <c r="C258" s="564"/>
      <c r="D258" s="564"/>
      <c r="E258" s="564"/>
      <c r="F258" s="564"/>
      <c r="G258" s="564"/>
      <c r="H258" s="564"/>
      <c r="I258" s="564"/>
      <c r="J258" s="564"/>
      <c r="K258" s="564"/>
      <c r="L258" s="564"/>
      <c r="M258" s="564"/>
      <c r="N258" s="564"/>
      <c r="O258" s="565"/>
      <c r="P258" s="570" t="s">
        <v>75</v>
      </c>
      <c r="Q258" s="571"/>
      <c r="R258" s="571"/>
      <c r="S258" s="571"/>
      <c r="T258" s="571"/>
      <c r="U258" s="571"/>
      <c r="V258" s="572"/>
      <c r="W258" s="37" t="s">
        <v>76</v>
      </c>
      <c r="X258" s="553">
        <f>IFERROR(X253/H253,"0")+IFERROR(X254/H254,"0")+IFERROR(X255/H255,"0")+IFERROR(X256/H256,"0")+IFERROR(X257/H257,"0")</f>
        <v>0</v>
      </c>
      <c r="Y258" s="553">
        <f>IFERROR(Y253/H253,"0")+IFERROR(Y254/H254,"0")+IFERROR(Y255/H255,"0")+IFERROR(Y256/H256,"0")+IFERROR(Y257/H257,"0")</f>
        <v>0</v>
      </c>
      <c r="Z258" s="553">
        <f>IFERROR(IF(Z253="",0,Z253),"0")+IFERROR(IF(Z254="",0,Z254),"0")+IFERROR(IF(Z255="",0,Z255),"0")+IFERROR(IF(Z256="",0,Z256),"0")+IFERROR(IF(Z257="",0,Z257),"0")</f>
        <v>0</v>
      </c>
      <c r="AA258" s="554"/>
      <c r="AB258" s="554"/>
      <c r="AC258" s="554"/>
    </row>
    <row r="259" spans="1:68" x14ac:dyDescent="0.2">
      <c r="A259" s="564"/>
      <c r="B259" s="564"/>
      <c r="C259" s="564"/>
      <c r="D259" s="564"/>
      <c r="E259" s="564"/>
      <c r="F259" s="564"/>
      <c r="G259" s="564"/>
      <c r="H259" s="564"/>
      <c r="I259" s="564"/>
      <c r="J259" s="564"/>
      <c r="K259" s="564"/>
      <c r="L259" s="564"/>
      <c r="M259" s="564"/>
      <c r="N259" s="564"/>
      <c r="O259" s="565"/>
      <c r="P259" s="570" t="s">
        <v>75</v>
      </c>
      <c r="Q259" s="571"/>
      <c r="R259" s="571"/>
      <c r="S259" s="571"/>
      <c r="T259" s="571"/>
      <c r="U259" s="571"/>
      <c r="V259" s="572"/>
      <c r="W259" s="37" t="s">
        <v>69</v>
      </c>
      <c r="X259" s="553">
        <f>IFERROR(SUM(X253:X257),"0")</f>
        <v>0</v>
      </c>
      <c r="Y259" s="553">
        <f>IFERROR(SUM(Y253:Y257),"0")</f>
        <v>0</v>
      </c>
      <c r="Z259" s="37"/>
      <c r="AA259" s="554"/>
      <c r="AB259" s="554"/>
      <c r="AC259" s="554"/>
    </row>
    <row r="260" spans="1:68" ht="16.5" customHeight="1" x14ac:dyDescent="0.25">
      <c r="A260" s="573" t="s">
        <v>423</v>
      </c>
      <c r="B260" s="564"/>
      <c r="C260" s="564"/>
      <c r="D260" s="564"/>
      <c r="E260" s="564"/>
      <c r="F260" s="564"/>
      <c r="G260" s="564"/>
      <c r="H260" s="564"/>
      <c r="I260" s="564"/>
      <c r="J260" s="564"/>
      <c r="K260" s="564"/>
      <c r="L260" s="564"/>
      <c r="M260" s="564"/>
      <c r="N260" s="564"/>
      <c r="O260" s="564"/>
      <c r="P260" s="564"/>
      <c r="Q260" s="564"/>
      <c r="R260" s="564"/>
      <c r="S260" s="564"/>
      <c r="T260" s="564"/>
      <c r="U260" s="564"/>
      <c r="V260" s="564"/>
      <c r="W260" s="564"/>
      <c r="X260" s="564"/>
      <c r="Y260" s="564"/>
      <c r="Z260" s="564"/>
      <c r="AA260" s="546"/>
      <c r="AB260" s="546"/>
      <c r="AC260" s="546"/>
    </row>
    <row r="261" spans="1:68" ht="14.25" customHeight="1" x14ac:dyDescent="0.25">
      <c r="A261" s="567" t="s">
        <v>101</v>
      </c>
      <c r="B261" s="564"/>
      <c r="C261" s="564"/>
      <c r="D261" s="564"/>
      <c r="E261" s="564"/>
      <c r="F261" s="564"/>
      <c r="G261" s="564"/>
      <c r="H261" s="564"/>
      <c r="I261" s="564"/>
      <c r="J261" s="564"/>
      <c r="K261" s="564"/>
      <c r="L261" s="564"/>
      <c r="M261" s="564"/>
      <c r="N261" s="564"/>
      <c r="O261" s="564"/>
      <c r="P261" s="564"/>
      <c r="Q261" s="564"/>
      <c r="R261" s="564"/>
      <c r="S261" s="564"/>
      <c r="T261" s="564"/>
      <c r="U261" s="564"/>
      <c r="V261" s="564"/>
      <c r="W261" s="564"/>
      <c r="X261" s="564"/>
      <c r="Y261" s="564"/>
      <c r="Z261" s="564"/>
      <c r="AA261" s="545"/>
      <c r="AB261" s="545"/>
      <c r="AC261" s="545"/>
    </row>
    <row r="262" spans="1:68" ht="27" customHeight="1" x14ac:dyDescent="0.25">
      <c r="A262" s="54" t="s">
        <v>424</v>
      </c>
      <c r="B262" s="54" t="s">
        <v>425</v>
      </c>
      <c r="C262" s="31">
        <v>4301011855</v>
      </c>
      <c r="D262" s="558">
        <v>4680115885837</v>
      </c>
      <c r="E262" s="559"/>
      <c r="F262" s="550">
        <v>1.35</v>
      </c>
      <c r="G262" s="32">
        <v>8</v>
      </c>
      <c r="H262" s="550">
        <v>10.8</v>
      </c>
      <c r="I262" s="550">
        <v>11.21</v>
      </c>
      <c r="J262" s="32">
        <v>64</v>
      </c>
      <c r="K262" s="32" t="s">
        <v>104</v>
      </c>
      <c r="L262" s="32" t="s">
        <v>105</v>
      </c>
      <c r="M262" s="33" t="s">
        <v>106</v>
      </c>
      <c r="N262" s="33"/>
      <c r="O262" s="32">
        <v>55</v>
      </c>
      <c r="P262" s="847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62" s="556"/>
      <c r="R262" s="556"/>
      <c r="S262" s="556"/>
      <c r="T262" s="557"/>
      <c r="U262" s="34"/>
      <c r="V262" s="34"/>
      <c r="W262" s="35" t="s">
        <v>69</v>
      </c>
      <c r="X262" s="551">
        <v>100</v>
      </c>
      <c r="Y262" s="552">
        <f>IFERROR(IF(X262="",0,CEILING((X262/$H262),1)*$H262),"")</f>
        <v>108</v>
      </c>
      <c r="Z262" s="36">
        <f>IFERROR(IF(Y262=0,"",ROUNDUP(Y262/H262,0)*0.01898),"")</f>
        <v>0.1898</v>
      </c>
      <c r="AA262" s="56"/>
      <c r="AB262" s="57"/>
      <c r="AC262" s="315" t="s">
        <v>426</v>
      </c>
      <c r="AG262" s="64"/>
      <c r="AJ262" s="68" t="s">
        <v>92</v>
      </c>
      <c r="AK262" s="68">
        <v>86.4</v>
      </c>
      <c r="BB262" s="316" t="s">
        <v>1</v>
      </c>
      <c r="BM262" s="64">
        <f>IFERROR(X262*I262/H262,"0")</f>
        <v>103.79629629629629</v>
      </c>
      <c r="BN262" s="64">
        <f>IFERROR(Y262*I262/H262,"0")</f>
        <v>112.1</v>
      </c>
      <c r="BO262" s="64">
        <f>IFERROR(1/J262*(X262/H262),"0")</f>
        <v>0.14467592592592593</v>
      </c>
      <c r="BP262" s="64">
        <f>IFERROR(1/J262*(Y262/H262),"0")</f>
        <v>0.15625</v>
      </c>
    </row>
    <row r="263" spans="1:68" ht="37.5" customHeight="1" x14ac:dyDescent="0.25">
      <c r="A263" s="54" t="s">
        <v>427</v>
      </c>
      <c r="B263" s="54" t="s">
        <v>428</v>
      </c>
      <c r="C263" s="31">
        <v>4301011853</v>
      </c>
      <c r="D263" s="558">
        <v>4680115885851</v>
      </c>
      <c r="E263" s="559"/>
      <c r="F263" s="550">
        <v>1.35</v>
      </c>
      <c r="G263" s="32">
        <v>8</v>
      </c>
      <c r="H263" s="550">
        <v>10.8</v>
      </c>
      <c r="I263" s="550">
        <v>11.21</v>
      </c>
      <c r="J263" s="32">
        <v>64</v>
      </c>
      <c r="K263" s="32" t="s">
        <v>104</v>
      </c>
      <c r="L263" s="32"/>
      <c r="M263" s="33" t="s">
        <v>106</v>
      </c>
      <c r="N263" s="33"/>
      <c r="O263" s="32">
        <v>55</v>
      </c>
      <c r="P263" s="857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63" s="556"/>
      <c r="R263" s="556"/>
      <c r="S263" s="556"/>
      <c r="T263" s="557"/>
      <c r="U263" s="34"/>
      <c r="V263" s="34"/>
      <c r="W263" s="35" t="s">
        <v>69</v>
      </c>
      <c r="X263" s="551">
        <v>0</v>
      </c>
      <c r="Y263" s="552">
        <f>IFERROR(IF(X263="",0,CEILING((X263/$H263),1)*$H263),"")</f>
        <v>0</v>
      </c>
      <c r="Z263" s="36" t="str">
        <f>IFERROR(IF(Y263=0,"",ROUNDUP(Y263/H263,0)*0.01898),"")</f>
        <v/>
      </c>
      <c r="AA263" s="56"/>
      <c r="AB263" s="57"/>
      <c r="AC263" s="317" t="s">
        <v>429</v>
      </c>
      <c r="AG263" s="64"/>
      <c r="AJ263" s="68"/>
      <c r="AK263" s="68">
        <v>0</v>
      </c>
      <c r="BB263" s="318" t="s">
        <v>1</v>
      </c>
      <c r="BM263" s="64">
        <f>IFERROR(X263*I263/H263,"0")</f>
        <v>0</v>
      </c>
      <c r="BN263" s="64">
        <f>IFERROR(Y263*I263/H263,"0")</f>
        <v>0</v>
      </c>
      <c r="BO263" s="64">
        <f>IFERROR(1/J263*(X263/H263),"0")</f>
        <v>0</v>
      </c>
      <c r="BP263" s="64">
        <f>IFERROR(1/J263*(Y263/H263),"0")</f>
        <v>0</v>
      </c>
    </row>
    <row r="264" spans="1:68" ht="27" customHeight="1" x14ac:dyDescent="0.25">
      <c r="A264" s="54" t="s">
        <v>430</v>
      </c>
      <c r="B264" s="54" t="s">
        <v>431</v>
      </c>
      <c r="C264" s="31">
        <v>4301011850</v>
      </c>
      <c r="D264" s="558">
        <v>4680115885806</v>
      </c>
      <c r="E264" s="559"/>
      <c r="F264" s="550">
        <v>1.35</v>
      </c>
      <c r="G264" s="32">
        <v>8</v>
      </c>
      <c r="H264" s="550">
        <v>10.8</v>
      </c>
      <c r="I264" s="550">
        <v>11.21</v>
      </c>
      <c r="J264" s="32">
        <v>64</v>
      </c>
      <c r="K264" s="32" t="s">
        <v>104</v>
      </c>
      <c r="L264" s="32" t="s">
        <v>105</v>
      </c>
      <c r="M264" s="33" t="s">
        <v>106</v>
      </c>
      <c r="N264" s="33"/>
      <c r="O264" s="32">
        <v>55</v>
      </c>
      <c r="P264" s="704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64" s="556"/>
      <c r="R264" s="556"/>
      <c r="S264" s="556"/>
      <c r="T264" s="557"/>
      <c r="U264" s="34"/>
      <c r="V264" s="34"/>
      <c r="W264" s="35" t="s">
        <v>69</v>
      </c>
      <c r="X264" s="551">
        <v>0</v>
      </c>
      <c r="Y264" s="552">
        <f>IFERROR(IF(X264="",0,CEILING((X264/$H264),1)*$H264),"")</f>
        <v>0</v>
      </c>
      <c r="Z264" s="36" t="str">
        <f>IFERROR(IF(Y264=0,"",ROUNDUP(Y264/H264,0)*0.01898),"")</f>
        <v/>
      </c>
      <c r="AA264" s="56"/>
      <c r="AB264" s="57"/>
      <c r="AC264" s="319" t="s">
        <v>432</v>
      </c>
      <c r="AG264" s="64"/>
      <c r="AJ264" s="68" t="s">
        <v>92</v>
      </c>
      <c r="AK264" s="68">
        <v>86.4</v>
      </c>
      <c r="BB264" s="320" t="s">
        <v>1</v>
      </c>
      <c r="BM264" s="64">
        <f>IFERROR(X264*I264/H264,"0")</f>
        <v>0</v>
      </c>
      <c r="BN264" s="64">
        <f>IFERROR(Y264*I264/H264,"0")</f>
        <v>0</v>
      </c>
      <c r="BO264" s="64">
        <f>IFERROR(1/J264*(X264/H264),"0")</f>
        <v>0</v>
      </c>
      <c r="BP264" s="64">
        <f>IFERROR(1/J264*(Y264/H264),"0")</f>
        <v>0</v>
      </c>
    </row>
    <row r="265" spans="1:68" ht="27" customHeight="1" x14ac:dyDescent="0.25">
      <c r="A265" s="54" t="s">
        <v>433</v>
      </c>
      <c r="B265" s="54" t="s">
        <v>434</v>
      </c>
      <c r="C265" s="31">
        <v>4301011852</v>
      </c>
      <c r="D265" s="558">
        <v>4680115885844</v>
      </c>
      <c r="E265" s="559"/>
      <c r="F265" s="550">
        <v>0.4</v>
      </c>
      <c r="G265" s="32">
        <v>10</v>
      </c>
      <c r="H265" s="550">
        <v>4</v>
      </c>
      <c r="I265" s="550">
        <v>4.1900000000000004</v>
      </c>
      <c r="J265" s="32">
        <v>132</v>
      </c>
      <c r="K265" s="32" t="s">
        <v>110</v>
      </c>
      <c r="L265" s="32"/>
      <c r="M265" s="33" t="s">
        <v>106</v>
      </c>
      <c r="N265" s="33"/>
      <c r="O265" s="32">
        <v>55</v>
      </c>
      <c r="P265" s="620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65" s="556"/>
      <c r="R265" s="556"/>
      <c r="S265" s="556"/>
      <c r="T265" s="557"/>
      <c r="U265" s="34"/>
      <c r="V265" s="34"/>
      <c r="W265" s="35" t="s">
        <v>69</v>
      </c>
      <c r="X265" s="551">
        <v>0</v>
      </c>
      <c r="Y265" s="552">
        <f>IFERROR(IF(X265="",0,CEILING((X265/$H265),1)*$H265),"")</f>
        <v>0</v>
      </c>
      <c r="Z265" s="36" t="str">
        <f>IFERROR(IF(Y265=0,"",ROUNDUP(Y265/H265,0)*0.00902),"")</f>
        <v/>
      </c>
      <c r="AA265" s="56"/>
      <c r="AB265" s="57"/>
      <c r="AC265" s="321" t="s">
        <v>435</v>
      </c>
      <c r="AG265" s="64"/>
      <c r="AJ265" s="68"/>
      <c r="AK265" s="68">
        <v>0</v>
      </c>
      <c r="BB265" s="322" t="s">
        <v>1</v>
      </c>
      <c r="BM265" s="64">
        <f>IFERROR(X265*I265/H265,"0")</f>
        <v>0</v>
      </c>
      <c r="BN265" s="64">
        <f>IFERROR(Y265*I265/H265,"0")</f>
        <v>0</v>
      </c>
      <c r="BO265" s="64">
        <f>IFERROR(1/J265*(X265/H265),"0")</f>
        <v>0</v>
      </c>
      <c r="BP265" s="64">
        <f>IFERROR(1/J265*(Y265/H265),"0")</f>
        <v>0</v>
      </c>
    </row>
    <row r="266" spans="1:68" ht="37.5" customHeight="1" x14ac:dyDescent="0.25">
      <c r="A266" s="54" t="s">
        <v>436</v>
      </c>
      <c r="B266" s="54" t="s">
        <v>437</v>
      </c>
      <c r="C266" s="31">
        <v>4301011851</v>
      </c>
      <c r="D266" s="558">
        <v>4680115885820</v>
      </c>
      <c r="E266" s="559"/>
      <c r="F266" s="550">
        <v>0.4</v>
      </c>
      <c r="G266" s="32">
        <v>10</v>
      </c>
      <c r="H266" s="550">
        <v>4</v>
      </c>
      <c r="I266" s="550">
        <v>4.1900000000000004</v>
      </c>
      <c r="J266" s="32">
        <v>132</v>
      </c>
      <c r="K266" s="32" t="s">
        <v>110</v>
      </c>
      <c r="L266" s="32" t="s">
        <v>111</v>
      </c>
      <c r="M266" s="33" t="s">
        <v>106</v>
      </c>
      <c r="N266" s="33"/>
      <c r="O266" s="32">
        <v>55</v>
      </c>
      <c r="P266" s="629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66" s="556"/>
      <c r="R266" s="556"/>
      <c r="S266" s="556"/>
      <c r="T266" s="557"/>
      <c r="U266" s="34"/>
      <c r="V266" s="34"/>
      <c r="W266" s="35" t="s">
        <v>69</v>
      </c>
      <c r="X266" s="551">
        <v>80</v>
      </c>
      <c r="Y266" s="552">
        <f>IFERROR(IF(X266="",0,CEILING((X266/$H266),1)*$H266),"")</f>
        <v>80</v>
      </c>
      <c r="Z266" s="36">
        <f>IFERROR(IF(Y266=0,"",ROUNDUP(Y266/H266,0)*0.00902),"")</f>
        <v>0.1804</v>
      </c>
      <c r="AA266" s="56"/>
      <c r="AB266" s="57"/>
      <c r="AC266" s="323" t="s">
        <v>438</v>
      </c>
      <c r="AG266" s="64"/>
      <c r="AJ266" s="68" t="s">
        <v>92</v>
      </c>
      <c r="AK266" s="68">
        <v>48</v>
      </c>
      <c r="BB266" s="324" t="s">
        <v>1</v>
      </c>
      <c r="BM266" s="64">
        <f>IFERROR(X266*I266/H266,"0")</f>
        <v>83.800000000000011</v>
      </c>
      <c r="BN266" s="64">
        <f>IFERROR(Y266*I266/H266,"0")</f>
        <v>83.800000000000011</v>
      </c>
      <c r="BO266" s="64">
        <f>IFERROR(1/J266*(X266/H266),"0")</f>
        <v>0.15151515151515152</v>
      </c>
      <c r="BP266" s="64">
        <f>IFERROR(1/J266*(Y266/H266),"0")</f>
        <v>0.15151515151515152</v>
      </c>
    </row>
    <row r="267" spans="1:68" x14ac:dyDescent="0.2">
      <c r="A267" s="563"/>
      <c r="B267" s="564"/>
      <c r="C267" s="564"/>
      <c r="D267" s="564"/>
      <c r="E267" s="564"/>
      <c r="F267" s="564"/>
      <c r="G267" s="564"/>
      <c r="H267" s="564"/>
      <c r="I267" s="564"/>
      <c r="J267" s="564"/>
      <c r="K267" s="564"/>
      <c r="L267" s="564"/>
      <c r="M267" s="564"/>
      <c r="N267" s="564"/>
      <c r="O267" s="565"/>
      <c r="P267" s="570" t="s">
        <v>75</v>
      </c>
      <c r="Q267" s="571"/>
      <c r="R267" s="571"/>
      <c r="S267" s="571"/>
      <c r="T267" s="571"/>
      <c r="U267" s="571"/>
      <c r="V267" s="572"/>
      <c r="W267" s="37" t="s">
        <v>76</v>
      </c>
      <c r="X267" s="553">
        <f>IFERROR(X262/H262,"0")+IFERROR(X263/H263,"0")+IFERROR(X264/H264,"0")+IFERROR(X265/H265,"0")+IFERROR(X266/H266,"0")</f>
        <v>29.25925925925926</v>
      </c>
      <c r="Y267" s="553">
        <f>IFERROR(Y262/H262,"0")+IFERROR(Y263/H263,"0")+IFERROR(Y264/H264,"0")+IFERROR(Y265/H265,"0")+IFERROR(Y266/H266,"0")</f>
        <v>30</v>
      </c>
      <c r="Z267" s="553">
        <f>IFERROR(IF(Z262="",0,Z262),"0")+IFERROR(IF(Z263="",0,Z263),"0")+IFERROR(IF(Z264="",0,Z264),"0")+IFERROR(IF(Z265="",0,Z265),"0")+IFERROR(IF(Z266="",0,Z266),"0")</f>
        <v>0.37019999999999997</v>
      </c>
      <c r="AA267" s="554"/>
      <c r="AB267" s="554"/>
      <c r="AC267" s="554"/>
    </row>
    <row r="268" spans="1:68" x14ac:dyDescent="0.2">
      <c r="A268" s="564"/>
      <c r="B268" s="564"/>
      <c r="C268" s="564"/>
      <c r="D268" s="564"/>
      <c r="E268" s="564"/>
      <c r="F268" s="564"/>
      <c r="G268" s="564"/>
      <c r="H268" s="564"/>
      <c r="I268" s="564"/>
      <c r="J268" s="564"/>
      <c r="K268" s="564"/>
      <c r="L268" s="564"/>
      <c r="M268" s="564"/>
      <c r="N268" s="564"/>
      <c r="O268" s="565"/>
      <c r="P268" s="570" t="s">
        <v>75</v>
      </c>
      <c r="Q268" s="571"/>
      <c r="R268" s="571"/>
      <c r="S268" s="571"/>
      <c r="T268" s="571"/>
      <c r="U268" s="571"/>
      <c r="V268" s="572"/>
      <c r="W268" s="37" t="s">
        <v>69</v>
      </c>
      <c r="X268" s="553">
        <f>IFERROR(SUM(X262:X266),"0")</f>
        <v>180</v>
      </c>
      <c r="Y268" s="553">
        <f>IFERROR(SUM(Y262:Y266),"0")</f>
        <v>188</v>
      </c>
      <c r="Z268" s="37"/>
      <c r="AA268" s="554"/>
      <c r="AB268" s="554"/>
      <c r="AC268" s="554"/>
    </row>
    <row r="269" spans="1:68" ht="16.5" customHeight="1" x14ac:dyDescent="0.25">
      <c r="A269" s="573" t="s">
        <v>439</v>
      </c>
      <c r="B269" s="564"/>
      <c r="C269" s="564"/>
      <c r="D269" s="564"/>
      <c r="E269" s="564"/>
      <c r="F269" s="564"/>
      <c r="G269" s="564"/>
      <c r="H269" s="564"/>
      <c r="I269" s="564"/>
      <c r="J269" s="564"/>
      <c r="K269" s="564"/>
      <c r="L269" s="564"/>
      <c r="M269" s="564"/>
      <c r="N269" s="564"/>
      <c r="O269" s="564"/>
      <c r="P269" s="564"/>
      <c r="Q269" s="564"/>
      <c r="R269" s="564"/>
      <c r="S269" s="564"/>
      <c r="T269" s="564"/>
      <c r="U269" s="564"/>
      <c r="V269" s="564"/>
      <c r="W269" s="564"/>
      <c r="X269" s="564"/>
      <c r="Y269" s="564"/>
      <c r="Z269" s="564"/>
      <c r="AA269" s="546"/>
      <c r="AB269" s="546"/>
      <c r="AC269" s="546"/>
    </row>
    <row r="270" spans="1:68" ht="14.25" customHeight="1" x14ac:dyDescent="0.25">
      <c r="A270" s="567" t="s">
        <v>101</v>
      </c>
      <c r="B270" s="564"/>
      <c r="C270" s="564"/>
      <c r="D270" s="564"/>
      <c r="E270" s="564"/>
      <c r="F270" s="564"/>
      <c r="G270" s="564"/>
      <c r="H270" s="564"/>
      <c r="I270" s="564"/>
      <c r="J270" s="564"/>
      <c r="K270" s="564"/>
      <c r="L270" s="564"/>
      <c r="M270" s="564"/>
      <c r="N270" s="564"/>
      <c r="O270" s="564"/>
      <c r="P270" s="564"/>
      <c r="Q270" s="564"/>
      <c r="R270" s="564"/>
      <c r="S270" s="564"/>
      <c r="T270" s="564"/>
      <c r="U270" s="564"/>
      <c r="V270" s="564"/>
      <c r="W270" s="564"/>
      <c r="X270" s="564"/>
      <c r="Y270" s="564"/>
      <c r="Z270" s="564"/>
      <c r="AA270" s="545"/>
      <c r="AB270" s="545"/>
      <c r="AC270" s="545"/>
    </row>
    <row r="271" spans="1:68" ht="27" customHeight="1" x14ac:dyDescent="0.25">
      <c r="A271" s="54" t="s">
        <v>440</v>
      </c>
      <c r="B271" s="54" t="s">
        <v>441</v>
      </c>
      <c r="C271" s="31">
        <v>4301011223</v>
      </c>
      <c r="D271" s="558">
        <v>4607091383423</v>
      </c>
      <c r="E271" s="559"/>
      <c r="F271" s="550">
        <v>1.35</v>
      </c>
      <c r="G271" s="32">
        <v>8</v>
      </c>
      <c r="H271" s="550">
        <v>10.8</v>
      </c>
      <c r="I271" s="550">
        <v>11.305999999999999</v>
      </c>
      <c r="J271" s="32">
        <v>64</v>
      </c>
      <c r="K271" s="32" t="s">
        <v>104</v>
      </c>
      <c r="L271" s="32"/>
      <c r="M271" s="33" t="s">
        <v>80</v>
      </c>
      <c r="N271" s="33"/>
      <c r="O271" s="32">
        <v>35</v>
      </c>
      <c r="P271" s="618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71" s="556"/>
      <c r="R271" s="556"/>
      <c r="S271" s="556"/>
      <c r="T271" s="557"/>
      <c r="U271" s="34"/>
      <c r="V271" s="34"/>
      <c r="W271" s="35" t="s">
        <v>69</v>
      </c>
      <c r="X271" s="551">
        <v>0</v>
      </c>
      <c r="Y271" s="552">
        <f>IFERROR(IF(X271="",0,CEILING((X271/$H271),1)*$H271),"")</f>
        <v>0</v>
      </c>
      <c r="Z271" s="36" t="str">
        <f>IFERROR(IF(Y271=0,"",ROUNDUP(Y271/H271,0)*0.01898),"")</f>
        <v/>
      </c>
      <c r="AA271" s="56"/>
      <c r="AB271" s="57"/>
      <c r="AC271" s="325" t="s">
        <v>107</v>
      </c>
      <c r="AG271" s="64"/>
      <c r="AJ271" s="68"/>
      <c r="AK271" s="68">
        <v>0</v>
      </c>
      <c r="BB271" s="326" t="s">
        <v>1</v>
      </c>
      <c r="BM271" s="64">
        <f>IFERROR(X271*I271/H271,"0")</f>
        <v>0</v>
      </c>
      <c r="BN271" s="64">
        <f>IFERROR(Y271*I271/H271,"0")</f>
        <v>0</v>
      </c>
      <c r="BO271" s="64">
        <f>IFERROR(1/J271*(X271/H271),"0")</f>
        <v>0</v>
      </c>
      <c r="BP271" s="64">
        <f>IFERROR(1/J271*(Y271/H271),"0")</f>
        <v>0</v>
      </c>
    </row>
    <row r="272" spans="1:68" ht="37.5" customHeight="1" x14ac:dyDescent="0.25">
      <c r="A272" s="54" t="s">
        <v>442</v>
      </c>
      <c r="B272" s="54" t="s">
        <v>443</v>
      </c>
      <c r="C272" s="31">
        <v>4301012199</v>
      </c>
      <c r="D272" s="558">
        <v>4680115886957</v>
      </c>
      <c r="E272" s="559"/>
      <c r="F272" s="550">
        <v>1.35</v>
      </c>
      <c r="G272" s="32">
        <v>8</v>
      </c>
      <c r="H272" s="550">
        <v>10.8</v>
      </c>
      <c r="I272" s="550">
        <v>11.21</v>
      </c>
      <c r="J272" s="32">
        <v>64</v>
      </c>
      <c r="K272" s="32" t="s">
        <v>104</v>
      </c>
      <c r="L272" s="32"/>
      <c r="M272" s="33" t="s">
        <v>80</v>
      </c>
      <c r="N272" s="33"/>
      <c r="O272" s="32">
        <v>30</v>
      </c>
      <c r="P272" s="714" t="str">
        <f>HYPERLINK("https://abi.ru/products/Охлажденные/Стародворье/Стародворская Золоченная в печи/Вареные колбасы/P005063/","Вареные колбасы «со шпиком» Весовой фиброуз ТМ «Стародворье»")</f>
        <v>Вареные колбасы «со шпиком» Весовой фиброуз ТМ «Стародворье»</v>
      </c>
      <c r="Q272" s="556"/>
      <c r="R272" s="556"/>
      <c r="S272" s="556"/>
      <c r="T272" s="557"/>
      <c r="U272" s="34"/>
      <c r="V272" s="34"/>
      <c r="W272" s="35" t="s">
        <v>69</v>
      </c>
      <c r="X272" s="551">
        <v>0</v>
      </c>
      <c r="Y272" s="552">
        <f>IFERROR(IF(X272="",0,CEILING((X272/$H272),1)*$H272),"")</f>
        <v>0</v>
      </c>
      <c r="Z272" s="36" t="str">
        <f>IFERROR(IF(Y272=0,"",ROUNDUP(Y272/H272,0)*0.01898),"")</f>
        <v/>
      </c>
      <c r="AA272" s="56"/>
      <c r="AB272" s="57"/>
      <c r="AC272" s="327" t="s">
        <v>444</v>
      </c>
      <c r="AG272" s="64"/>
      <c r="AJ272" s="68"/>
      <c r="AK272" s="68">
        <v>0</v>
      </c>
      <c r="BB272" s="328" t="s">
        <v>1</v>
      </c>
      <c r="BM272" s="64">
        <f>IFERROR(X272*I272/H272,"0")</f>
        <v>0</v>
      </c>
      <c r="BN272" s="64">
        <f>IFERROR(Y272*I272/H272,"0")</f>
        <v>0</v>
      </c>
      <c r="BO272" s="64">
        <f>IFERROR(1/J272*(X272/H272),"0")</f>
        <v>0</v>
      </c>
      <c r="BP272" s="64">
        <f>IFERROR(1/J272*(Y272/H272),"0")</f>
        <v>0</v>
      </c>
    </row>
    <row r="273" spans="1:68" ht="27" customHeight="1" x14ac:dyDescent="0.25">
      <c r="A273" s="54" t="s">
        <v>445</v>
      </c>
      <c r="B273" s="54" t="s">
        <v>446</v>
      </c>
      <c r="C273" s="31">
        <v>4301012098</v>
      </c>
      <c r="D273" s="558">
        <v>4680115885660</v>
      </c>
      <c r="E273" s="559"/>
      <c r="F273" s="550">
        <v>1.35</v>
      </c>
      <c r="G273" s="32">
        <v>8</v>
      </c>
      <c r="H273" s="550">
        <v>10.8</v>
      </c>
      <c r="I273" s="550">
        <v>11.21</v>
      </c>
      <c r="J273" s="32">
        <v>64</v>
      </c>
      <c r="K273" s="32" t="s">
        <v>104</v>
      </c>
      <c r="L273" s="32"/>
      <c r="M273" s="33" t="s">
        <v>80</v>
      </c>
      <c r="N273" s="33"/>
      <c r="O273" s="32">
        <v>35</v>
      </c>
      <c r="P273" s="642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73" s="556"/>
      <c r="R273" s="556"/>
      <c r="S273" s="556"/>
      <c r="T273" s="557"/>
      <c r="U273" s="34"/>
      <c r="V273" s="34"/>
      <c r="W273" s="35" t="s">
        <v>69</v>
      </c>
      <c r="X273" s="551">
        <v>0</v>
      </c>
      <c r="Y273" s="552">
        <f>IFERROR(IF(X273="",0,CEILING((X273/$H273),1)*$H273),"")</f>
        <v>0</v>
      </c>
      <c r="Z273" s="36" t="str">
        <f>IFERROR(IF(Y273=0,"",ROUNDUP(Y273/H273,0)*0.01898),"")</f>
        <v/>
      </c>
      <c r="AA273" s="56"/>
      <c r="AB273" s="57"/>
      <c r="AC273" s="329" t="s">
        <v>391</v>
      </c>
      <c r="AG273" s="64"/>
      <c r="AJ273" s="68"/>
      <c r="AK273" s="68">
        <v>0</v>
      </c>
      <c r="BB273" s="330" t="s">
        <v>1</v>
      </c>
      <c r="BM273" s="64">
        <f>IFERROR(X273*I273/H273,"0")</f>
        <v>0</v>
      </c>
      <c r="BN273" s="64">
        <f>IFERROR(Y273*I273/H273,"0")</f>
        <v>0</v>
      </c>
      <c r="BO273" s="64">
        <f>IFERROR(1/J273*(X273/H273),"0")</f>
        <v>0</v>
      </c>
      <c r="BP273" s="64">
        <f>IFERROR(1/J273*(Y273/H273),"0")</f>
        <v>0</v>
      </c>
    </row>
    <row r="274" spans="1:68" ht="37.5" customHeight="1" x14ac:dyDescent="0.25">
      <c r="A274" s="54" t="s">
        <v>447</v>
      </c>
      <c r="B274" s="54" t="s">
        <v>448</v>
      </c>
      <c r="C274" s="31">
        <v>4301012176</v>
      </c>
      <c r="D274" s="558">
        <v>4680115886773</v>
      </c>
      <c r="E274" s="559"/>
      <c r="F274" s="550">
        <v>0.9</v>
      </c>
      <c r="G274" s="32">
        <v>10</v>
      </c>
      <c r="H274" s="550">
        <v>9</v>
      </c>
      <c r="I274" s="550">
        <v>9.41</v>
      </c>
      <c r="J274" s="32">
        <v>64</v>
      </c>
      <c r="K274" s="32" t="s">
        <v>104</v>
      </c>
      <c r="L274" s="32"/>
      <c r="M274" s="33" t="s">
        <v>106</v>
      </c>
      <c r="N274" s="33"/>
      <c r="O274" s="32">
        <v>31</v>
      </c>
      <c r="P274" s="785" t="str">
        <f>HYPERLINK("https://abi.ru/products/Охлажденные/Стародворье/Стародворская Золоченная в печи/Вареные колбасы/P005038/","Вареные колбасы «Стародворская» Весовой б/о ТМ «Стародворье»")</f>
        <v>Вареные колбасы «Стародворская» Весовой б/о ТМ «Стародворье»</v>
      </c>
      <c r="Q274" s="556"/>
      <c r="R274" s="556"/>
      <c r="S274" s="556"/>
      <c r="T274" s="557"/>
      <c r="U274" s="34"/>
      <c r="V274" s="34"/>
      <c r="W274" s="35" t="s">
        <v>69</v>
      </c>
      <c r="X274" s="551">
        <v>0</v>
      </c>
      <c r="Y274" s="552">
        <f>IFERROR(IF(X274="",0,CEILING((X274/$H274),1)*$H274),"")</f>
        <v>0</v>
      </c>
      <c r="Z274" s="36" t="str">
        <f>IFERROR(IF(Y274=0,"",ROUNDUP(Y274/H274,0)*0.01898),"")</f>
        <v/>
      </c>
      <c r="AA274" s="56"/>
      <c r="AB274" s="57"/>
      <c r="AC274" s="331" t="s">
        <v>449</v>
      </c>
      <c r="AG274" s="64"/>
      <c r="AJ274" s="68"/>
      <c r="AK274" s="68">
        <v>0</v>
      </c>
      <c r="BB274" s="332" t="s">
        <v>1</v>
      </c>
      <c r="BM274" s="64">
        <f>IFERROR(X274*I274/H274,"0")</f>
        <v>0</v>
      </c>
      <c r="BN274" s="64">
        <f>IFERROR(Y274*I274/H274,"0")</f>
        <v>0</v>
      </c>
      <c r="BO274" s="64">
        <f>IFERROR(1/J274*(X274/H274),"0")</f>
        <v>0</v>
      </c>
      <c r="BP274" s="64">
        <f>IFERROR(1/J274*(Y274/H274),"0")</f>
        <v>0</v>
      </c>
    </row>
    <row r="275" spans="1:68" x14ac:dyDescent="0.2">
      <c r="A275" s="563"/>
      <c r="B275" s="564"/>
      <c r="C275" s="564"/>
      <c r="D275" s="564"/>
      <c r="E275" s="564"/>
      <c r="F275" s="564"/>
      <c r="G275" s="564"/>
      <c r="H275" s="564"/>
      <c r="I275" s="564"/>
      <c r="J275" s="564"/>
      <c r="K275" s="564"/>
      <c r="L275" s="564"/>
      <c r="M275" s="564"/>
      <c r="N275" s="564"/>
      <c r="O275" s="565"/>
      <c r="P275" s="570" t="s">
        <v>75</v>
      </c>
      <c r="Q275" s="571"/>
      <c r="R275" s="571"/>
      <c r="S275" s="571"/>
      <c r="T275" s="571"/>
      <c r="U275" s="571"/>
      <c r="V275" s="572"/>
      <c r="W275" s="37" t="s">
        <v>76</v>
      </c>
      <c r="X275" s="553">
        <f>IFERROR(X271/H271,"0")+IFERROR(X272/H272,"0")+IFERROR(X273/H273,"0")+IFERROR(X274/H274,"0")</f>
        <v>0</v>
      </c>
      <c r="Y275" s="553">
        <f>IFERROR(Y271/H271,"0")+IFERROR(Y272/H272,"0")+IFERROR(Y273/H273,"0")+IFERROR(Y274/H274,"0")</f>
        <v>0</v>
      </c>
      <c r="Z275" s="553">
        <f>IFERROR(IF(Z271="",0,Z271),"0")+IFERROR(IF(Z272="",0,Z272),"0")+IFERROR(IF(Z273="",0,Z273),"0")+IFERROR(IF(Z274="",0,Z274),"0")</f>
        <v>0</v>
      </c>
      <c r="AA275" s="554"/>
      <c r="AB275" s="554"/>
      <c r="AC275" s="554"/>
    </row>
    <row r="276" spans="1:68" x14ac:dyDescent="0.2">
      <c r="A276" s="564"/>
      <c r="B276" s="564"/>
      <c r="C276" s="564"/>
      <c r="D276" s="564"/>
      <c r="E276" s="564"/>
      <c r="F276" s="564"/>
      <c r="G276" s="564"/>
      <c r="H276" s="564"/>
      <c r="I276" s="564"/>
      <c r="J276" s="564"/>
      <c r="K276" s="564"/>
      <c r="L276" s="564"/>
      <c r="M276" s="564"/>
      <c r="N276" s="564"/>
      <c r="O276" s="565"/>
      <c r="P276" s="570" t="s">
        <v>75</v>
      </c>
      <c r="Q276" s="571"/>
      <c r="R276" s="571"/>
      <c r="S276" s="571"/>
      <c r="T276" s="571"/>
      <c r="U276" s="571"/>
      <c r="V276" s="572"/>
      <c r="W276" s="37" t="s">
        <v>69</v>
      </c>
      <c r="X276" s="553">
        <f>IFERROR(SUM(X271:X274),"0")</f>
        <v>0</v>
      </c>
      <c r="Y276" s="553">
        <f>IFERROR(SUM(Y271:Y274),"0")</f>
        <v>0</v>
      </c>
      <c r="Z276" s="37"/>
      <c r="AA276" s="554"/>
      <c r="AB276" s="554"/>
      <c r="AC276" s="554"/>
    </row>
    <row r="277" spans="1:68" ht="16.5" customHeight="1" x14ac:dyDescent="0.25">
      <c r="A277" s="573" t="s">
        <v>450</v>
      </c>
      <c r="B277" s="564"/>
      <c r="C277" s="564"/>
      <c r="D277" s="564"/>
      <c r="E277" s="564"/>
      <c r="F277" s="564"/>
      <c r="G277" s="564"/>
      <c r="H277" s="564"/>
      <c r="I277" s="564"/>
      <c r="J277" s="564"/>
      <c r="K277" s="564"/>
      <c r="L277" s="564"/>
      <c r="M277" s="564"/>
      <c r="N277" s="564"/>
      <c r="O277" s="564"/>
      <c r="P277" s="564"/>
      <c r="Q277" s="564"/>
      <c r="R277" s="564"/>
      <c r="S277" s="564"/>
      <c r="T277" s="564"/>
      <c r="U277" s="564"/>
      <c r="V277" s="564"/>
      <c r="W277" s="564"/>
      <c r="X277" s="564"/>
      <c r="Y277" s="564"/>
      <c r="Z277" s="564"/>
      <c r="AA277" s="546"/>
      <c r="AB277" s="546"/>
      <c r="AC277" s="546"/>
    </row>
    <row r="278" spans="1:68" ht="14.25" customHeight="1" x14ac:dyDescent="0.25">
      <c r="A278" s="567" t="s">
        <v>77</v>
      </c>
      <c r="B278" s="564"/>
      <c r="C278" s="564"/>
      <c r="D278" s="564"/>
      <c r="E278" s="564"/>
      <c r="F278" s="564"/>
      <c r="G278" s="564"/>
      <c r="H278" s="564"/>
      <c r="I278" s="564"/>
      <c r="J278" s="564"/>
      <c r="K278" s="564"/>
      <c r="L278" s="564"/>
      <c r="M278" s="564"/>
      <c r="N278" s="564"/>
      <c r="O278" s="564"/>
      <c r="P278" s="564"/>
      <c r="Q278" s="564"/>
      <c r="R278" s="564"/>
      <c r="S278" s="564"/>
      <c r="T278" s="564"/>
      <c r="U278" s="564"/>
      <c r="V278" s="564"/>
      <c r="W278" s="564"/>
      <c r="X278" s="564"/>
      <c r="Y278" s="564"/>
      <c r="Z278" s="564"/>
      <c r="AA278" s="545"/>
      <c r="AB278" s="545"/>
      <c r="AC278" s="545"/>
    </row>
    <row r="279" spans="1:68" ht="27" customHeight="1" x14ac:dyDescent="0.25">
      <c r="A279" s="54" t="s">
        <v>451</v>
      </c>
      <c r="B279" s="54" t="s">
        <v>452</v>
      </c>
      <c r="C279" s="31">
        <v>4301051893</v>
      </c>
      <c r="D279" s="558">
        <v>4680115886186</v>
      </c>
      <c r="E279" s="559"/>
      <c r="F279" s="550">
        <v>0.3</v>
      </c>
      <c r="G279" s="32">
        <v>6</v>
      </c>
      <c r="H279" s="550">
        <v>1.8</v>
      </c>
      <c r="I279" s="550">
        <v>1.98</v>
      </c>
      <c r="J279" s="32">
        <v>182</v>
      </c>
      <c r="K279" s="32" t="s">
        <v>67</v>
      </c>
      <c r="L279" s="32"/>
      <c r="M279" s="33" t="s">
        <v>80</v>
      </c>
      <c r="N279" s="33"/>
      <c r="O279" s="32">
        <v>45</v>
      </c>
      <c r="P279" s="773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79" s="556"/>
      <c r="R279" s="556"/>
      <c r="S279" s="556"/>
      <c r="T279" s="557"/>
      <c r="U279" s="34"/>
      <c r="V279" s="34"/>
      <c r="W279" s="35" t="s">
        <v>69</v>
      </c>
      <c r="X279" s="551">
        <v>0</v>
      </c>
      <c r="Y279" s="552">
        <f>IFERROR(IF(X279="",0,CEILING((X279/$H279),1)*$H279),"")</f>
        <v>0</v>
      </c>
      <c r="Z279" s="36" t="str">
        <f>IFERROR(IF(Y279=0,"",ROUNDUP(Y279/H279,0)*0.00651),"")</f>
        <v/>
      </c>
      <c r="AA279" s="56"/>
      <c r="AB279" s="57"/>
      <c r="AC279" s="333" t="s">
        <v>453</v>
      </c>
      <c r="AG279" s="64"/>
      <c r="AJ279" s="68"/>
      <c r="AK279" s="68">
        <v>0</v>
      </c>
      <c r="BB279" s="334" t="s">
        <v>1</v>
      </c>
      <c r="BM279" s="64">
        <f>IFERROR(X279*I279/H279,"0")</f>
        <v>0</v>
      </c>
      <c r="BN279" s="64">
        <f>IFERROR(Y279*I279/H279,"0")</f>
        <v>0</v>
      </c>
      <c r="BO279" s="64">
        <f>IFERROR(1/J279*(X279/H279),"0")</f>
        <v>0</v>
      </c>
      <c r="BP279" s="64">
        <f>IFERROR(1/J279*(Y279/H279),"0")</f>
        <v>0</v>
      </c>
    </row>
    <row r="280" spans="1:68" ht="27" customHeight="1" x14ac:dyDescent="0.25">
      <c r="A280" s="54" t="s">
        <v>454</v>
      </c>
      <c r="B280" s="54" t="s">
        <v>455</v>
      </c>
      <c r="C280" s="31">
        <v>4301051795</v>
      </c>
      <c r="D280" s="558">
        <v>4680115881228</v>
      </c>
      <c r="E280" s="559"/>
      <c r="F280" s="550">
        <v>0.4</v>
      </c>
      <c r="G280" s="32">
        <v>6</v>
      </c>
      <c r="H280" s="550">
        <v>2.4</v>
      </c>
      <c r="I280" s="550">
        <v>2.6520000000000001</v>
      </c>
      <c r="J280" s="32">
        <v>182</v>
      </c>
      <c r="K280" s="32" t="s">
        <v>67</v>
      </c>
      <c r="L280" s="32"/>
      <c r="M280" s="33" t="s">
        <v>86</v>
      </c>
      <c r="N280" s="33"/>
      <c r="O280" s="32">
        <v>40</v>
      </c>
      <c r="P280" s="686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80" s="556"/>
      <c r="R280" s="556"/>
      <c r="S280" s="556"/>
      <c r="T280" s="557"/>
      <c r="U280" s="34"/>
      <c r="V280" s="34"/>
      <c r="W280" s="35" t="s">
        <v>69</v>
      </c>
      <c r="X280" s="551">
        <v>0</v>
      </c>
      <c r="Y280" s="552">
        <f>IFERROR(IF(X280="",0,CEILING((X280/$H280),1)*$H280),"")</f>
        <v>0</v>
      </c>
      <c r="Z280" s="36" t="str">
        <f>IFERROR(IF(Y280=0,"",ROUNDUP(Y280/H280,0)*0.00651),"")</f>
        <v/>
      </c>
      <c r="AA280" s="56"/>
      <c r="AB280" s="57"/>
      <c r="AC280" s="335" t="s">
        <v>456</v>
      </c>
      <c r="AG280" s="64"/>
      <c r="AJ280" s="68"/>
      <c r="AK280" s="68">
        <v>0</v>
      </c>
      <c r="BB280" s="336" t="s">
        <v>1</v>
      </c>
      <c r="BM280" s="64">
        <f>IFERROR(X280*I280/H280,"0")</f>
        <v>0</v>
      </c>
      <c r="BN280" s="64">
        <f>IFERROR(Y280*I280/H280,"0")</f>
        <v>0</v>
      </c>
      <c r="BO280" s="64">
        <f>IFERROR(1/J280*(X280/H280),"0")</f>
        <v>0</v>
      </c>
      <c r="BP280" s="64">
        <f>IFERROR(1/J280*(Y280/H280),"0")</f>
        <v>0</v>
      </c>
    </row>
    <row r="281" spans="1:68" ht="27" customHeight="1" x14ac:dyDescent="0.25">
      <c r="A281" s="54" t="s">
        <v>457</v>
      </c>
      <c r="B281" s="54" t="s">
        <v>458</v>
      </c>
      <c r="C281" s="31">
        <v>4301051388</v>
      </c>
      <c r="D281" s="558">
        <v>4680115881211</v>
      </c>
      <c r="E281" s="559"/>
      <c r="F281" s="550">
        <v>0.4</v>
      </c>
      <c r="G281" s="32">
        <v>6</v>
      </c>
      <c r="H281" s="550">
        <v>2.4</v>
      </c>
      <c r="I281" s="550">
        <v>2.58</v>
      </c>
      <c r="J281" s="32">
        <v>182</v>
      </c>
      <c r="K281" s="32" t="s">
        <v>67</v>
      </c>
      <c r="L281" s="32" t="s">
        <v>90</v>
      </c>
      <c r="M281" s="33" t="s">
        <v>80</v>
      </c>
      <c r="N281" s="33"/>
      <c r="O281" s="32">
        <v>45</v>
      </c>
      <c r="P281" s="668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81" s="556"/>
      <c r="R281" s="556"/>
      <c r="S281" s="556"/>
      <c r="T281" s="557"/>
      <c r="U281" s="34"/>
      <c r="V281" s="34"/>
      <c r="W281" s="35" t="s">
        <v>69</v>
      </c>
      <c r="X281" s="551">
        <v>0</v>
      </c>
      <c r="Y281" s="552">
        <f>IFERROR(IF(X281="",0,CEILING((X281/$H281),1)*$H281),"")</f>
        <v>0</v>
      </c>
      <c r="Z281" s="36" t="str">
        <f>IFERROR(IF(Y281=0,"",ROUNDUP(Y281/H281,0)*0.00651),"")</f>
        <v/>
      </c>
      <c r="AA281" s="56"/>
      <c r="AB281" s="57"/>
      <c r="AC281" s="337" t="s">
        <v>453</v>
      </c>
      <c r="AG281" s="64"/>
      <c r="AJ281" s="68" t="s">
        <v>92</v>
      </c>
      <c r="AK281" s="68">
        <v>33.6</v>
      </c>
      <c r="BB281" s="338" t="s">
        <v>1</v>
      </c>
      <c r="BM281" s="64">
        <f>IFERROR(X281*I281/H281,"0")</f>
        <v>0</v>
      </c>
      <c r="BN281" s="64">
        <f>IFERROR(Y281*I281/H281,"0")</f>
        <v>0</v>
      </c>
      <c r="BO281" s="64">
        <f>IFERROR(1/J281*(X281/H281),"0")</f>
        <v>0</v>
      </c>
      <c r="BP281" s="64">
        <f>IFERROR(1/J281*(Y281/H281),"0")</f>
        <v>0</v>
      </c>
    </row>
    <row r="282" spans="1:68" x14ac:dyDescent="0.2">
      <c r="A282" s="563"/>
      <c r="B282" s="564"/>
      <c r="C282" s="564"/>
      <c r="D282" s="564"/>
      <c r="E282" s="564"/>
      <c r="F282" s="564"/>
      <c r="G282" s="564"/>
      <c r="H282" s="564"/>
      <c r="I282" s="564"/>
      <c r="J282" s="564"/>
      <c r="K282" s="564"/>
      <c r="L282" s="564"/>
      <c r="M282" s="564"/>
      <c r="N282" s="564"/>
      <c r="O282" s="565"/>
      <c r="P282" s="570" t="s">
        <v>75</v>
      </c>
      <c r="Q282" s="571"/>
      <c r="R282" s="571"/>
      <c r="S282" s="571"/>
      <c r="T282" s="571"/>
      <c r="U282" s="571"/>
      <c r="V282" s="572"/>
      <c r="W282" s="37" t="s">
        <v>76</v>
      </c>
      <c r="X282" s="553">
        <f>IFERROR(X279/H279,"0")+IFERROR(X280/H280,"0")+IFERROR(X281/H281,"0")</f>
        <v>0</v>
      </c>
      <c r="Y282" s="553">
        <f>IFERROR(Y279/H279,"0")+IFERROR(Y280/H280,"0")+IFERROR(Y281/H281,"0")</f>
        <v>0</v>
      </c>
      <c r="Z282" s="553">
        <f>IFERROR(IF(Z279="",0,Z279),"0")+IFERROR(IF(Z280="",0,Z280),"0")+IFERROR(IF(Z281="",0,Z281),"0")</f>
        <v>0</v>
      </c>
      <c r="AA282" s="554"/>
      <c r="AB282" s="554"/>
      <c r="AC282" s="554"/>
    </row>
    <row r="283" spans="1:68" x14ac:dyDescent="0.2">
      <c r="A283" s="564"/>
      <c r="B283" s="564"/>
      <c r="C283" s="564"/>
      <c r="D283" s="564"/>
      <c r="E283" s="564"/>
      <c r="F283" s="564"/>
      <c r="G283" s="564"/>
      <c r="H283" s="564"/>
      <c r="I283" s="564"/>
      <c r="J283" s="564"/>
      <c r="K283" s="564"/>
      <c r="L283" s="564"/>
      <c r="M283" s="564"/>
      <c r="N283" s="564"/>
      <c r="O283" s="565"/>
      <c r="P283" s="570" t="s">
        <v>75</v>
      </c>
      <c r="Q283" s="571"/>
      <c r="R283" s="571"/>
      <c r="S283" s="571"/>
      <c r="T283" s="571"/>
      <c r="U283" s="571"/>
      <c r="V283" s="572"/>
      <c r="W283" s="37" t="s">
        <v>69</v>
      </c>
      <c r="X283" s="553">
        <f>IFERROR(SUM(X279:X281),"0")</f>
        <v>0</v>
      </c>
      <c r="Y283" s="553">
        <f>IFERROR(SUM(Y279:Y281),"0")</f>
        <v>0</v>
      </c>
      <c r="Z283" s="37"/>
      <c r="AA283" s="554"/>
      <c r="AB283" s="554"/>
      <c r="AC283" s="554"/>
    </row>
    <row r="284" spans="1:68" ht="16.5" customHeight="1" x14ac:dyDescent="0.25">
      <c r="A284" s="573" t="s">
        <v>459</v>
      </c>
      <c r="B284" s="564"/>
      <c r="C284" s="564"/>
      <c r="D284" s="564"/>
      <c r="E284" s="564"/>
      <c r="F284" s="564"/>
      <c r="G284" s="564"/>
      <c r="H284" s="564"/>
      <c r="I284" s="564"/>
      <c r="J284" s="564"/>
      <c r="K284" s="564"/>
      <c r="L284" s="564"/>
      <c r="M284" s="564"/>
      <c r="N284" s="564"/>
      <c r="O284" s="564"/>
      <c r="P284" s="564"/>
      <c r="Q284" s="564"/>
      <c r="R284" s="564"/>
      <c r="S284" s="564"/>
      <c r="T284" s="564"/>
      <c r="U284" s="564"/>
      <c r="V284" s="564"/>
      <c r="W284" s="564"/>
      <c r="X284" s="564"/>
      <c r="Y284" s="564"/>
      <c r="Z284" s="564"/>
      <c r="AA284" s="546"/>
      <c r="AB284" s="546"/>
      <c r="AC284" s="546"/>
    </row>
    <row r="285" spans="1:68" ht="14.25" customHeight="1" x14ac:dyDescent="0.25">
      <c r="A285" s="567" t="s">
        <v>64</v>
      </c>
      <c r="B285" s="564"/>
      <c r="C285" s="564"/>
      <c r="D285" s="564"/>
      <c r="E285" s="564"/>
      <c r="F285" s="564"/>
      <c r="G285" s="564"/>
      <c r="H285" s="564"/>
      <c r="I285" s="564"/>
      <c r="J285" s="564"/>
      <c r="K285" s="564"/>
      <c r="L285" s="564"/>
      <c r="M285" s="564"/>
      <c r="N285" s="564"/>
      <c r="O285" s="564"/>
      <c r="P285" s="564"/>
      <c r="Q285" s="564"/>
      <c r="R285" s="564"/>
      <c r="S285" s="564"/>
      <c r="T285" s="564"/>
      <c r="U285" s="564"/>
      <c r="V285" s="564"/>
      <c r="W285" s="564"/>
      <c r="X285" s="564"/>
      <c r="Y285" s="564"/>
      <c r="Z285" s="564"/>
      <c r="AA285" s="545"/>
      <c r="AB285" s="545"/>
      <c r="AC285" s="545"/>
    </row>
    <row r="286" spans="1:68" ht="27" customHeight="1" x14ac:dyDescent="0.25">
      <c r="A286" s="54" t="s">
        <v>460</v>
      </c>
      <c r="B286" s="54" t="s">
        <v>461</v>
      </c>
      <c r="C286" s="31">
        <v>4301031307</v>
      </c>
      <c r="D286" s="558">
        <v>4680115880344</v>
      </c>
      <c r="E286" s="559"/>
      <c r="F286" s="550">
        <v>0.28000000000000003</v>
      </c>
      <c r="G286" s="32">
        <v>6</v>
      </c>
      <c r="H286" s="550">
        <v>1.68</v>
      </c>
      <c r="I286" s="550">
        <v>1.78</v>
      </c>
      <c r="J286" s="32">
        <v>234</v>
      </c>
      <c r="K286" s="32" t="s">
        <v>73</v>
      </c>
      <c r="L286" s="32"/>
      <c r="M286" s="33" t="s">
        <v>68</v>
      </c>
      <c r="N286" s="33"/>
      <c r="O286" s="32">
        <v>40</v>
      </c>
      <c r="P286" s="658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86" s="556"/>
      <c r="R286" s="556"/>
      <c r="S286" s="556"/>
      <c r="T286" s="557"/>
      <c r="U286" s="34"/>
      <c r="V286" s="34"/>
      <c r="W286" s="35" t="s">
        <v>69</v>
      </c>
      <c r="X286" s="551">
        <v>0</v>
      </c>
      <c r="Y286" s="552">
        <f>IFERROR(IF(X286="",0,CEILING((X286/$H286),1)*$H286),"")</f>
        <v>0</v>
      </c>
      <c r="Z286" s="36" t="str">
        <f>IFERROR(IF(Y286=0,"",ROUNDUP(Y286/H286,0)*0.00502),"")</f>
        <v/>
      </c>
      <c r="AA286" s="56"/>
      <c r="AB286" s="57"/>
      <c r="AC286" s="339" t="s">
        <v>462</v>
      </c>
      <c r="AG286" s="64"/>
      <c r="AJ286" s="68"/>
      <c r="AK286" s="68">
        <v>0</v>
      </c>
      <c r="BB286" s="340" t="s">
        <v>1</v>
      </c>
      <c r="BM286" s="64">
        <f>IFERROR(X286*I286/H286,"0")</f>
        <v>0</v>
      </c>
      <c r="BN286" s="64">
        <f>IFERROR(Y286*I286/H286,"0")</f>
        <v>0</v>
      </c>
      <c r="BO286" s="64">
        <f>IFERROR(1/J286*(X286/H286),"0")</f>
        <v>0</v>
      </c>
      <c r="BP286" s="64">
        <f>IFERROR(1/J286*(Y286/H286),"0")</f>
        <v>0</v>
      </c>
    </row>
    <row r="287" spans="1:68" ht="27" customHeight="1" x14ac:dyDescent="0.25">
      <c r="A287" s="54" t="s">
        <v>463</v>
      </c>
      <c r="B287" s="54" t="s">
        <v>464</v>
      </c>
      <c r="C287" s="31">
        <v>4301031429</v>
      </c>
      <c r="D287" s="558">
        <v>4680115886919</v>
      </c>
      <c r="E287" s="559"/>
      <c r="F287" s="550">
        <v>0.4</v>
      </c>
      <c r="G287" s="32">
        <v>6</v>
      </c>
      <c r="H287" s="550">
        <v>2.4</v>
      </c>
      <c r="I287" s="550">
        <v>2.58</v>
      </c>
      <c r="J287" s="32">
        <v>182</v>
      </c>
      <c r="K287" s="32" t="s">
        <v>67</v>
      </c>
      <c r="L287" s="32"/>
      <c r="M287" s="33" t="s">
        <v>68</v>
      </c>
      <c r="N287" s="33"/>
      <c r="O287" s="32">
        <v>40</v>
      </c>
      <c r="P287" s="667" t="str">
        <f>HYPERLINK("https://abi.ru/products/Охлажденные/Стародворье/Стародворская EDLP/EDPP/Копченые колбасы/P005056/","Копченые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287" s="556"/>
      <c r="R287" s="556"/>
      <c r="S287" s="556"/>
      <c r="T287" s="557"/>
      <c r="U287" s="34"/>
      <c r="V287" s="34"/>
      <c r="W287" s="35" t="s">
        <v>69</v>
      </c>
      <c r="X287" s="551">
        <v>0</v>
      </c>
      <c r="Y287" s="552">
        <f>IFERROR(IF(X287="",0,CEILING((X287/$H287),1)*$H287),"")</f>
        <v>0</v>
      </c>
      <c r="Z287" s="36" t="str">
        <f>IFERROR(IF(Y287=0,"",ROUNDUP(Y287/H287,0)*0.00651),"")</f>
        <v/>
      </c>
      <c r="AA287" s="56"/>
      <c r="AB287" s="57"/>
      <c r="AC287" s="341" t="s">
        <v>465</v>
      </c>
      <c r="AG287" s="64"/>
      <c r="AJ287" s="68"/>
      <c r="AK287" s="68">
        <v>0</v>
      </c>
      <c r="BB287" s="342" t="s">
        <v>1</v>
      </c>
      <c r="BM287" s="64">
        <f>IFERROR(X287*I287/H287,"0")</f>
        <v>0</v>
      </c>
      <c r="BN287" s="64">
        <f>IFERROR(Y287*I287/H287,"0")</f>
        <v>0</v>
      </c>
      <c r="BO287" s="64">
        <f>IFERROR(1/J287*(X287/H287),"0")</f>
        <v>0</v>
      </c>
      <c r="BP287" s="64">
        <f>IFERROR(1/J287*(Y287/H287),"0")</f>
        <v>0</v>
      </c>
    </row>
    <row r="288" spans="1:68" x14ac:dyDescent="0.2">
      <c r="A288" s="563"/>
      <c r="B288" s="564"/>
      <c r="C288" s="564"/>
      <c r="D288" s="564"/>
      <c r="E288" s="564"/>
      <c r="F288" s="564"/>
      <c r="G288" s="564"/>
      <c r="H288" s="564"/>
      <c r="I288" s="564"/>
      <c r="J288" s="564"/>
      <c r="K288" s="564"/>
      <c r="L288" s="564"/>
      <c r="M288" s="564"/>
      <c r="N288" s="564"/>
      <c r="O288" s="565"/>
      <c r="P288" s="570" t="s">
        <v>75</v>
      </c>
      <c r="Q288" s="571"/>
      <c r="R288" s="571"/>
      <c r="S288" s="571"/>
      <c r="T288" s="571"/>
      <c r="U288" s="571"/>
      <c r="V288" s="572"/>
      <c r="W288" s="37" t="s">
        <v>76</v>
      </c>
      <c r="X288" s="553">
        <f>IFERROR(X286/H286,"0")+IFERROR(X287/H287,"0")</f>
        <v>0</v>
      </c>
      <c r="Y288" s="553">
        <f>IFERROR(Y286/H286,"0")+IFERROR(Y287/H287,"0")</f>
        <v>0</v>
      </c>
      <c r="Z288" s="553">
        <f>IFERROR(IF(Z286="",0,Z286),"0")+IFERROR(IF(Z287="",0,Z287),"0")</f>
        <v>0</v>
      </c>
      <c r="AA288" s="554"/>
      <c r="AB288" s="554"/>
      <c r="AC288" s="554"/>
    </row>
    <row r="289" spans="1:68" x14ac:dyDescent="0.2">
      <c r="A289" s="564"/>
      <c r="B289" s="564"/>
      <c r="C289" s="564"/>
      <c r="D289" s="564"/>
      <c r="E289" s="564"/>
      <c r="F289" s="564"/>
      <c r="G289" s="564"/>
      <c r="H289" s="564"/>
      <c r="I289" s="564"/>
      <c r="J289" s="564"/>
      <c r="K289" s="564"/>
      <c r="L289" s="564"/>
      <c r="M289" s="564"/>
      <c r="N289" s="564"/>
      <c r="O289" s="565"/>
      <c r="P289" s="570" t="s">
        <v>75</v>
      </c>
      <c r="Q289" s="571"/>
      <c r="R289" s="571"/>
      <c r="S289" s="571"/>
      <c r="T289" s="571"/>
      <c r="U289" s="571"/>
      <c r="V289" s="572"/>
      <c r="W289" s="37" t="s">
        <v>69</v>
      </c>
      <c r="X289" s="553">
        <f>IFERROR(SUM(X286:X287),"0")</f>
        <v>0</v>
      </c>
      <c r="Y289" s="553">
        <f>IFERROR(SUM(Y286:Y287),"0")</f>
        <v>0</v>
      </c>
      <c r="Z289" s="37"/>
      <c r="AA289" s="554"/>
      <c r="AB289" s="554"/>
      <c r="AC289" s="554"/>
    </row>
    <row r="290" spans="1:68" ht="14.25" customHeight="1" x14ac:dyDescent="0.25">
      <c r="A290" s="567" t="s">
        <v>77</v>
      </c>
      <c r="B290" s="564"/>
      <c r="C290" s="564"/>
      <c r="D290" s="564"/>
      <c r="E290" s="564"/>
      <c r="F290" s="564"/>
      <c r="G290" s="564"/>
      <c r="H290" s="564"/>
      <c r="I290" s="564"/>
      <c r="J290" s="564"/>
      <c r="K290" s="564"/>
      <c r="L290" s="564"/>
      <c r="M290" s="564"/>
      <c r="N290" s="564"/>
      <c r="O290" s="564"/>
      <c r="P290" s="564"/>
      <c r="Q290" s="564"/>
      <c r="R290" s="564"/>
      <c r="S290" s="564"/>
      <c r="T290" s="564"/>
      <c r="U290" s="564"/>
      <c r="V290" s="564"/>
      <c r="W290" s="564"/>
      <c r="X290" s="564"/>
      <c r="Y290" s="564"/>
      <c r="Z290" s="564"/>
      <c r="AA290" s="545"/>
      <c r="AB290" s="545"/>
      <c r="AC290" s="545"/>
    </row>
    <row r="291" spans="1:68" ht="37.5" customHeight="1" x14ac:dyDescent="0.25">
      <c r="A291" s="54" t="s">
        <v>466</v>
      </c>
      <c r="B291" s="54" t="s">
        <v>467</v>
      </c>
      <c r="C291" s="31">
        <v>4301051782</v>
      </c>
      <c r="D291" s="558">
        <v>4680115884618</v>
      </c>
      <c r="E291" s="559"/>
      <c r="F291" s="550">
        <v>0.6</v>
      </c>
      <c r="G291" s="32">
        <v>6</v>
      </c>
      <c r="H291" s="550">
        <v>3.6</v>
      </c>
      <c r="I291" s="550">
        <v>3.79</v>
      </c>
      <c r="J291" s="32">
        <v>132</v>
      </c>
      <c r="K291" s="32" t="s">
        <v>110</v>
      </c>
      <c r="L291" s="32" t="s">
        <v>111</v>
      </c>
      <c r="M291" s="33" t="s">
        <v>80</v>
      </c>
      <c r="N291" s="33"/>
      <c r="O291" s="32">
        <v>45</v>
      </c>
      <c r="P291" s="855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291" s="556"/>
      <c r="R291" s="556"/>
      <c r="S291" s="556"/>
      <c r="T291" s="557"/>
      <c r="U291" s="34"/>
      <c r="V291" s="34"/>
      <c r="W291" s="35" t="s">
        <v>69</v>
      </c>
      <c r="X291" s="551">
        <v>0</v>
      </c>
      <c r="Y291" s="552">
        <f>IFERROR(IF(X291="",0,CEILING((X291/$H291),1)*$H291),"")</f>
        <v>0</v>
      </c>
      <c r="Z291" s="36" t="str">
        <f>IFERROR(IF(Y291=0,"",ROUNDUP(Y291/H291,0)*0.00902),"")</f>
        <v/>
      </c>
      <c r="AA291" s="56"/>
      <c r="AB291" s="57"/>
      <c r="AC291" s="343" t="s">
        <v>468</v>
      </c>
      <c r="AG291" s="64"/>
      <c r="AJ291" s="68" t="s">
        <v>92</v>
      </c>
      <c r="AK291" s="68">
        <v>43.2</v>
      </c>
      <c r="BB291" s="344" t="s">
        <v>1</v>
      </c>
      <c r="BM291" s="64">
        <f>IFERROR(X291*I291/H291,"0")</f>
        <v>0</v>
      </c>
      <c r="BN291" s="64">
        <f>IFERROR(Y291*I291/H291,"0")</f>
        <v>0</v>
      </c>
      <c r="BO291" s="64">
        <f>IFERROR(1/J291*(X291/H291),"0")</f>
        <v>0</v>
      </c>
      <c r="BP291" s="64">
        <f>IFERROR(1/J291*(Y291/H291),"0")</f>
        <v>0</v>
      </c>
    </row>
    <row r="292" spans="1:68" ht="27" customHeight="1" x14ac:dyDescent="0.25">
      <c r="A292" s="54" t="s">
        <v>469</v>
      </c>
      <c r="B292" s="54" t="s">
        <v>470</v>
      </c>
      <c r="C292" s="31">
        <v>4301052057</v>
      </c>
      <c r="D292" s="558">
        <v>4680115887114</v>
      </c>
      <c r="E292" s="559"/>
      <c r="F292" s="550">
        <v>0.55000000000000004</v>
      </c>
      <c r="G292" s="32">
        <v>6</v>
      </c>
      <c r="H292" s="550">
        <v>3.3</v>
      </c>
      <c r="I292" s="550">
        <v>3.49</v>
      </c>
      <c r="J292" s="32">
        <v>132</v>
      </c>
      <c r="K292" s="32" t="s">
        <v>110</v>
      </c>
      <c r="L292" s="32"/>
      <c r="M292" s="33" t="s">
        <v>80</v>
      </c>
      <c r="N292" s="33"/>
      <c r="O292" s="32">
        <v>45</v>
      </c>
      <c r="P292" s="864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292" s="556"/>
      <c r="R292" s="556"/>
      <c r="S292" s="556"/>
      <c r="T292" s="557"/>
      <c r="U292" s="34"/>
      <c r="V292" s="34"/>
      <c r="W292" s="35" t="s">
        <v>69</v>
      </c>
      <c r="X292" s="551">
        <v>0</v>
      </c>
      <c r="Y292" s="552">
        <f>IFERROR(IF(X292="",0,CEILING((X292/$H292),1)*$H292),"")</f>
        <v>0</v>
      </c>
      <c r="Z292" s="36" t="str">
        <f>IFERROR(IF(Y292=0,"",ROUNDUP(Y292/H292,0)*0.00902),"")</f>
        <v/>
      </c>
      <c r="AA292" s="56"/>
      <c r="AB292" s="57"/>
      <c r="AC292" s="345" t="s">
        <v>471</v>
      </c>
      <c r="AG292" s="64"/>
      <c r="AJ292" s="68"/>
      <c r="AK292" s="68">
        <v>0</v>
      </c>
      <c r="BB292" s="346" t="s">
        <v>1</v>
      </c>
      <c r="BM292" s="64">
        <f>IFERROR(X292*I292/H292,"0")</f>
        <v>0</v>
      </c>
      <c r="BN292" s="64">
        <f>IFERROR(Y292*I292/H292,"0")</f>
        <v>0</v>
      </c>
      <c r="BO292" s="64">
        <f>IFERROR(1/J292*(X292/H292),"0")</f>
        <v>0</v>
      </c>
      <c r="BP292" s="64">
        <f>IFERROR(1/J292*(Y292/H292),"0")</f>
        <v>0</v>
      </c>
    </row>
    <row r="293" spans="1:68" x14ac:dyDescent="0.2">
      <c r="A293" s="563"/>
      <c r="B293" s="564"/>
      <c r="C293" s="564"/>
      <c r="D293" s="564"/>
      <c r="E293" s="564"/>
      <c r="F293" s="564"/>
      <c r="G293" s="564"/>
      <c r="H293" s="564"/>
      <c r="I293" s="564"/>
      <c r="J293" s="564"/>
      <c r="K293" s="564"/>
      <c r="L293" s="564"/>
      <c r="M293" s="564"/>
      <c r="N293" s="564"/>
      <c r="O293" s="565"/>
      <c r="P293" s="570" t="s">
        <v>75</v>
      </c>
      <c r="Q293" s="571"/>
      <c r="R293" s="571"/>
      <c r="S293" s="571"/>
      <c r="T293" s="571"/>
      <c r="U293" s="571"/>
      <c r="V293" s="572"/>
      <c r="W293" s="37" t="s">
        <v>76</v>
      </c>
      <c r="X293" s="553">
        <f>IFERROR(X291/H291,"0")+IFERROR(X292/H292,"0")</f>
        <v>0</v>
      </c>
      <c r="Y293" s="553">
        <f>IFERROR(Y291/H291,"0")+IFERROR(Y292/H292,"0")</f>
        <v>0</v>
      </c>
      <c r="Z293" s="553">
        <f>IFERROR(IF(Z291="",0,Z291),"0")+IFERROR(IF(Z292="",0,Z292),"0")</f>
        <v>0</v>
      </c>
      <c r="AA293" s="554"/>
      <c r="AB293" s="554"/>
      <c r="AC293" s="554"/>
    </row>
    <row r="294" spans="1:68" x14ac:dyDescent="0.2">
      <c r="A294" s="564"/>
      <c r="B294" s="564"/>
      <c r="C294" s="564"/>
      <c r="D294" s="564"/>
      <c r="E294" s="564"/>
      <c r="F294" s="564"/>
      <c r="G294" s="564"/>
      <c r="H294" s="564"/>
      <c r="I294" s="564"/>
      <c r="J294" s="564"/>
      <c r="K294" s="564"/>
      <c r="L294" s="564"/>
      <c r="M294" s="564"/>
      <c r="N294" s="564"/>
      <c r="O294" s="565"/>
      <c r="P294" s="570" t="s">
        <v>75</v>
      </c>
      <c r="Q294" s="571"/>
      <c r="R294" s="571"/>
      <c r="S294" s="571"/>
      <c r="T294" s="571"/>
      <c r="U294" s="571"/>
      <c r="V294" s="572"/>
      <c r="W294" s="37" t="s">
        <v>69</v>
      </c>
      <c r="X294" s="553">
        <f>IFERROR(SUM(X291:X292),"0")</f>
        <v>0</v>
      </c>
      <c r="Y294" s="553">
        <f>IFERROR(SUM(Y291:Y292),"0")</f>
        <v>0</v>
      </c>
      <c r="Z294" s="37"/>
      <c r="AA294" s="554"/>
      <c r="AB294" s="554"/>
      <c r="AC294" s="554"/>
    </row>
    <row r="295" spans="1:68" ht="16.5" customHeight="1" x14ac:dyDescent="0.25">
      <c r="A295" s="573" t="s">
        <v>472</v>
      </c>
      <c r="B295" s="564"/>
      <c r="C295" s="564"/>
      <c r="D295" s="564"/>
      <c r="E295" s="564"/>
      <c r="F295" s="564"/>
      <c r="G295" s="564"/>
      <c r="H295" s="564"/>
      <c r="I295" s="564"/>
      <c r="J295" s="564"/>
      <c r="K295" s="564"/>
      <c r="L295" s="564"/>
      <c r="M295" s="564"/>
      <c r="N295" s="564"/>
      <c r="O295" s="564"/>
      <c r="P295" s="564"/>
      <c r="Q295" s="564"/>
      <c r="R295" s="564"/>
      <c r="S295" s="564"/>
      <c r="T295" s="564"/>
      <c r="U295" s="564"/>
      <c r="V295" s="564"/>
      <c r="W295" s="564"/>
      <c r="X295" s="564"/>
      <c r="Y295" s="564"/>
      <c r="Z295" s="564"/>
      <c r="AA295" s="546"/>
      <c r="AB295" s="546"/>
      <c r="AC295" s="546"/>
    </row>
    <row r="296" spans="1:68" ht="14.25" customHeight="1" x14ac:dyDescent="0.25">
      <c r="A296" s="567" t="s">
        <v>101</v>
      </c>
      <c r="B296" s="564"/>
      <c r="C296" s="564"/>
      <c r="D296" s="564"/>
      <c r="E296" s="564"/>
      <c r="F296" s="564"/>
      <c r="G296" s="564"/>
      <c r="H296" s="564"/>
      <c r="I296" s="564"/>
      <c r="J296" s="564"/>
      <c r="K296" s="564"/>
      <c r="L296" s="564"/>
      <c r="M296" s="564"/>
      <c r="N296" s="564"/>
      <c r="O296" s="564"/>
      <c r="P296" s="564"/>
      <c r="Q296" s="564"/>
      <c r="R296" s="564"/>
      <c r="S296" s="564"/>
      <c r="T296" s="564"/>
      <c r="U296" s="564"/>
      <c r="V296" s="564"/>
      <c r="W296" s="564"/>
      <c r="X296" s="564"/>
      <c r="Y296" s="564"/>
      <c r="Z296" s="564"/>
      <c r="AA296" s="545"/>
      <c r="AB296" s="545"/>
      <c r="AC296" s="545"/>
    </row>
    <row r="297" spans="1:68" ht="27" customHeight="1" x14ac:dyDescent="0.25">
      <c r="A297" s="54" t="s">
        <v>473</v>
      </c>
      <c r="B297" s="54" t="s">
        <v>474</v>
      </c>
      <c r="C297" s="31">
        <v>4301012126</v>
      </c>
      <c r="D297" s="558">
        <v>4607091386004</v>
      </c>
      <c r="E297" s="559"/>
      <c r="F297" s="550">
        <v>1.35</v>
      </c>
      <c r="G297" s="32">
        <v>8</v>
      </c>
      <c r="H297" s="550">
        <v>10.8</v>
      </c>
      <c r="I297" s="550">
        <v>11.21</v>
      </c>
      <c r="J297" s="32">
        <v>64</v>
      </c>
      <c r="K297" s="32" t="s">
        <v>104</v>
      </c>
      <c r="L297" s="32"/>
      <c r="M297" s="33" t="s">
        <v>106</v>
      </c>
      <c r="N297" s="33"/>
      <c r="O297" s="32">
        <v>55</v>
      </c>
      <c r="P297" s="853" t="str">
        <f>HYPERLINK("https://abi.ru/products/Охлажденные/Стародворье/Бордо/Вареные колбасы/P004919/","Вареные колбасы «Докторская Стародворская» Весовой п/а ТМ «Стародворье»")</f>
        <v>Вареные колбасы «Докторская Стародворская» Весовой п/а ТМ «Стародворье»</v>
      </c>
      <c r="Q297" s="556"/>
      <c r="R297" s="556"/>
      <c r="S297" s="556"/>
      <c r="T297" s="557"/>
      <c r="U297" s="34"/>
      <c r="V297" s="34"/>
      <c r="W297" s="35" t="s">
        <v>69</v>
      </c>
      <c r="X297" s="551">
        <v>0</v>
      </c>
      <c r="Y297" s="552">
        <f t="shared" ref="Y297:Y302" si="31">IFERROR(IF(X297="",0,CEILING((X297/$H297),1)*$H297),"")</f>
        <v>0</v>
      </c>
      <c r="Z297" s="36" t="str">
        <f>IFERROR(IF(Y297=0,"",ROUNDUP(Y297/H297,0)*0.01898),"")</f>
        <v/>
      </c>
      <c r="AA297" s="56"/>
      <c r="AB297" s="57"/>
      <c r="AC297" s="347" t="s">
        <v>475</v>
      </c>
      <c r="AG297" s="64"/>
      <c r="AJ297" s="68"/>
      <c r="AK297" s="68">
        <v>0</v>
      </c>
      <c r="BB297" s="348" t="s">
        <v>1</v>
      </c>
      <c r="BM297" s="64">
        <f t="shared" ref="BM297:BM302" si="32">IFERROR(X297*I297/H297,"0")</f>
        <v>0</v>
      </c>
      <c r="BN297" s="64">
        <f t="shared" ref="BN297:BN302" si="33">IFERROR(Y297*I297/H297,"0")</f>
        <v>0</v>
      </c>
      <c r="BO297" s="64">
        <f t="shared" ref="BO297:BO302" si="34">IFERROR(1/J297*(X297/H297),"0")</f>
        <v>0</v>
      </c>
      <c r="BP297" s="64">
        <f t="shared" ref="BP297:BP302" si="35">IFERROR(1/J297*(Y297/H297),"0")</f>
        <v>0</v>
      </c>
    </row>
    <row r="298" spans="1:68" ht="27" customHeight="1" x14ac:dyDescent="0.25">
      <c r="A298" s="54" t="s">
        <v>476</v>
      </c>
      <c r="B298" s="54" t="s">
        <v>477</v>
      </c>
      <c r="C298" s="31">
        <v>4301012024</v>
      </c>
      <c r="D298" s="558">
        <v>4680115885615</v>
      </c>
      <c r="E298" s="559"/>
      <c r="F298" s="550">
        <v>1.35</v>
      </c>
      <c r="G298" s="32">
        <v>8</v>
      </c>
      <c r="H298" s="550">
        <v>10.8</v>
      </c>
      <c r="I298" s="550">
        <v>11.21</v>
      </c>
      <c r="J298" s="32">
        <v>64</v>
      </c>
      <c r="K298" s="32" t="s">
        <v>104</v>
      </c>
      <c r="L298" s="32" t="s">
        <v>105</v>
      </c>
      <c r="M298" s="33" t="s">
        <v>80</v>
      </c>
      <c r="N298" s="33"/>
      <c r="O298" s="32">
        <v>55</v>
      </c>
      <c r="P298" s="829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298" s="556"/>
      <c r="R298" s="556"/>
      <c r="S298" s="556"/>
      <c r="T298" s="557"/>
      <c r="U298" s="34"/>
      <c r="V298" s="34"/>
      <c r="W298" s="35" t="s">
        <v>69</v>
      </c>
      <c r="X298" s="551">
        <v>250</v>
      </c>
      <c r="Y298" s="552">
        <f t="shared" si="31"/>
        <v>259.20000000000005</v>
      </c>
      <c r="Z298" s="36">
        <f>IFERROR(IF(Y298=0,"",ROUNDUP(Y298/H298,0)*0.01898),"")</f>
        <v>0.45552000000000004</v>
      </c>
      <c r="AA298" s="56"/>
      <c r="AB298" s="57"/>
      <c r="AC298" s="349" t="s">
        <v>478</v>
      </c>
      <c r="AG298" s="64"/>
      <c r="AJ298" s="68" t="s">
        <v>92</v>
      </c>
      <c r="AK298" s="68">
        <v>86.4</v>
      </c>
      <c r="BB298" s="350" t="s">
        <v>1</v>
      </c>
      <c r="BM298" s="64">
        <f t="shared" si="32"/>
        <v>259.4907407407407</v>
      </c>
      <c r="BN298" s="64">
        <f t="shared" si="33"/>
        <v>269.04000000000002</v>
      </c>
      <c r="BO298" s="64">
        <f t="shared" si="34"/>
        <v>0.36168981481481477</v>
      </c>
      <c r="BP298" s="64">
        <f t="shared" si="35"/>
        <v>0.37500000000000006</v>
      </c>
    </row>
    <row r="299" spans="1:68" ht="37.5" customHeight="1" x14ac:dyDescent="0.25">
      <c r="A299" s="54" t="s">
        <v>479</v>
      </c>
      <c r="B299" s="54" t="s">
        <v>480</v>
      </c>
      <c r="C299" s="31">
        <v>4301011858</v>
      </c>
      <c r="D299" s="558">
        <v>4680115885646</v>
      </c>
      <c r="E299" s="559"/>
      <c r="F299" s="550">
        <v>1.35</v>
      </c>
      <c r="G299" s="32">
        <v>8</v>
      </c>
      <c r="H299" s="550">
        <v>10.8</v>
      </c>
      <c r="I299" s="550">
        <v>11.21</v>
      </c>
      <c r="J299" s="32">
        <v>64</v>
      </c>
      <c r="K299" s="32" t="s">
        <v>104</v>
      </c>
      <c r="L299" s="32" t="s">
        <v>105</v>
      </c>
      <c r="M299" s="33" t="s">
        <v>106</v>
      </c>
      <c r="N299" s="33"/>
      <c r="O299" s="32">
        <v>55</v>
      </c>
      <c r="P299" s="759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299" s="556"/>
      <c r="R299" s="556"/>
      <c r="S299" s="556"/>
      <c r="T299" s="557"/>
      <c r="U299" s="34"/>
      <c r="V299" s="34"/>
      <c r="W299" s="35" t="s">
        <v>69</v>
      </c>
      <c r="X299" s="551">
        <v>200</v>
      </c>
      <c r="Y299" s="552">
        <f t="shared" si="31"/>
        <v>205.20000000000002</v>
      </c>
      <c r="Z299" s="36">
        <f>IFERROR(IF(Y299=0,"",ROUNDUP(Y299/H299,0)*0.01898),"")</f>
        <v>0.36062</v>
      </c>
      <c r="AA299" s="56"/>
      <c r="AB299" s="57"/>
      <c r="AC299" s="351" t="s">
        <v>481</v>
      </c>
      <c r="AG299" s="64"/>
      <c r="AJ299" s="68" t="s">
        <v>92</v>
      </c>
      <c r="AK299" s="68">
        <v>86.4</v>
      </c>
      <c r="BB299" s="352" t="s">
        <v>1</v>
      </c>
      <c r="BM299" s="64">
        <f t="shared" si="32"/>
        <v>207.59259259259258</v>
      </c>
      <c r="BN299" s="64">
        <f t="shared" si="33"/>
        <v>212.99</v>
      </c>
      <c r="BO299" s="64">
        <f t="shared" si="34"/>
        <v>0.28935185185185186</v>
      </c>
      <c r="BP299" s="64">
        <f t="shared" si="35"/>
        <v>0.296875</v>
      </c>
    </row>
    <row r="300" spans="1:68" ht="27" customHeight="1" x14ac:dyDescent="0.25">
      <c r="A300" s="54" t="s">
        <v>482</v>
      </c>
      <c r="B300" s="54" t="s">
        <v>483</v>
      </c>
      <c r="C300" s="31">
        <v>4301012016</v>
      </c>
      <c r="D300" s="558">
        <v>4680115885554</v>
      </c>
      <c r="E300" s="559"/>
      <c r="F300" s="550">
        <v>1.35</v>
      </c>
      <c r="G300" s="32">
        <v>8</v>
      </c>
      <c r="H300" s="550">
        <v>10.8</v>
      </c>
      <c r="I300" s="550">
        <v>11.21</v>
      </c>
      <c r="J300" s="32">
        <v>64</v>
      </c>
      <c r="K300" s="32" t="s">
        <v>104</v>
      </c>
      <c r="L300" s="32"/>
      <c r="M300" s="33" t="s">
        <v>80</v>
      </c>
      <c r="N300" s="33"/>
      <c r="O300" s="32">
        <v>55</v>
      </c>
      <c r="P300" s="696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00" s="556"/>
      <c r="R300" s="556"/>
      <c r="S300" s="556"/>
      <c r="T300" s="557"/>
      <c r="U300" s="34"/>
      <c r="V300" s="34"/>
      <c r="W300" s="35" t="s">
        <v>69</v>
      </c>
      <c r="X300" s="551">
        <v>0</v>
      </c>
      <c r="Y300" s="552">
        <f t="shared" si="31"/>
        <v>0</v>
      </c>
      <c r="Z300" s="36" t="str">
        <f>IFERROR(IF(Y300=0,"",ROUNDUP(Y300/H300,0)*0.01898),"")</f>
        <v/>
      </c>
      <c r="AA300" s="56"/>
      <c r="AB300" s="57"/>
      <c r="AC300" s="353" t="s">
        <v>484</v>
      </c>
      <c r="AG300" s="64"/>
      <c r="AJ300" s="68"/>
      <c r="AK300" s="68">
        <v>0</v>
      </c>
      <c r="BB300" s="354" t="s">
        <v>1</v>
      </c>
      <c r="BM300" s="64">
        <f t="shared" si="32"/>
        <v>0</v>
      </c>
      <c r="BN300" s="64">
        <f t="shared" si="33"/>
        <v>0</v>
      </c>
      <c r="BO300" s="64">
        <f t="shared" si="34"/>
        <v>0</v>
      </c>
      <c r="BP300" s="64">
        <f t="shared" si="35"/>
        <v>0</v>
      </c>
    </row>
    <row r="301" spans="1:68" ht="27" customHeight="1" x14ac:dyDescent="0.25">
      <c r="A301" s="54" t="s">
        <v>485</v>
      </c>
      <c r="B301" s="54" t="s">
        <v>486</v>
      </c>
      <c r="C301" s="31">
        <v>4301011857</v>
      </c>
      <c r="D301" s="558">
        <v>4680115885622</v>
      </c>
      <c r="E301" s="559"/>
      <c r="F301" s="550">
        <v>0.4</v>
      </c>
      <c r="G301" s="32">
        <v>10</v>
      </c>
      <c r="H301" s="550">
        <v>4</v>
      </c>
      <c r="I301" s="550">
        <v>4.1900000000000004</v>
      </c>
      <c r="J301" s="32">
        <v>132</v>
      </c>
      <c r="K301" s="32" t="s">
        <v>110</v>
      </c>
      <c r="L301" s="32" t="s">
        <v>111</v>
      </c>
      <c r="M301" s="33" t="s">
        <v>106</v>
      </c>
      <c r="N301" s="33"/>
      <c r="O301" s="32">
        <v>55</v>
      </c>
      <c r="P301" s="813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301" s="556"/>
      <c r="R301" s="556"/>
      <c r="S301" s="556"/>
      <c r="T301" s="557"/>
      <c r="U301" s="34"/>
      <c r="V301" s="34"/>
      <c r="W301" s="35" t="s">
        <v>69</v>
      </c>
      <c r="X301" s="551">
        <v>0</v>
      </c>
      <c r="Y301" s="552">
        <f t="shared" si="31"/>
        <v>0</v>
      </c>
      <c r="Z301" s="36" t="str">
        <f>IFERROR(IF(Y301=0,"",ROUNDUP(Y301/H301,0)*0.00902),"")</f>
        <v/>
      </c>
      <c r="AA301" s="56"/>
      <c r="AB301" s="57"/>
      <c r="AC301" s="355" t="s">
        <v>478</v>
      </c>
      <c r="AG301" s="64"/>
      <c r="AJ301" s="68" t="s">
        <v>92</v>
      </c>
      <c r="AK301" s="68">
        <v>48</v>
      </c>
      <c r="BB301" s="356" t="s">
        <v>1</v>
      </c>
      <c r="BM301" s="64">
        <f t="shared" si="32"/>
        <v>0</v>
      </c>
      <c r="BN301" s="64">
        <f t="shared" si="33"/>
        <v>0</v>
      </c>
      <c r="BO301" s="64">
        <f t="shared" si="34"/>
        <v>0</v>
      </c>
      <c r="BP301" s="64">
        <f t="shared" si="35"/>
        <v>0</v>
      </c>
    </row>
    <row r="302" spans="1:68" ht="27" customHeight="1" x14ac:dyDescent="0.25">
      <c r="A302" s="54" t="s">
        <v>487</v>
      </c>
      <c r="B302" s="54" t="s">
        <v>488</v>
      </c>
      <c r="C302" s="31">
        <v>4301011859</v>
      </c>
      <c r="D302" s="558">
        <v>4680115885608</v>
      </c>
      <c r="E302" s="559"/>
      <c r="F302" s="550">
        <v>0.4</v>
      </c>
      <c r="G302" s="32">
        <v>10</v>
      </c>
      <c r="H302" s="550">
        <v>4</v>
      </c>
      <c r="I302" s="550">
        <v>4.1900000000000004</v>
      </c>
      <c r="J302" s="32">
        <v>132</v>
      </c>
      <c r="K302" s="32" t="s">
        <v>110</v>
      </c>
      <c r="L302" s="32" t="s">
        <v>111</v>
      </c>
      <c r="M302" s="33" t="s">
        <v>106</v>
      </c>
      <c r="N302" s="33"/>
      <c r="O302" s="32">
        <v>55</v>
      </c>
      <c r="P302" s="566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02" s="556"/>
      <c r="R302" s="556"/>
      <c r="S302" s="556"/>
      <c r="T302" s="557"/>
      <c r="U302" s="34"/>
      <c r="V302" s="34"/>
      <c r="W302" s="35" t="s">
        <v>69</v>
      </c>
      <c r="X302" s="551">
        <v>0</v>
      </c>
      <c r="Y302" s="552">
        <f t="shared" si="31"/>
        <v>0</v>
      </c>
      <c r="Z302" s="36" t="str">
        <f>IFERROR(IF(Y302=0,"",ROUNDUP(Y302/H302,0)*0.00902),"")</f>
        <v/>
      </c>
      <c r="AA302" s="56"/>
      <c r="AB302" s="57"/>
      <c r="AC302" s="357" t="s">
        <v>489</v>
      </c>
      <c r="AG302" s="64"/>
      <c r="AJ302" s="68" t="s">
        <v>92</v>
      </c>
      <c r="AK302" s="68">
        <v>48</v>
      </c>
      <c r="BB302" s="358" t="s">
        <v>1</v>
      </c>
      <c r="BM302" s="64">
        <f t="shared" si="32"/>
        <v>0</v>
      </c>
      <c r="BN302" s="64">
        <f t="shared" si="33"/>
        <v>0</v>
      </c>
      <c r="BO302" s="64">
        <f t="shared" si="34"/>
        <v>0</v>
      </c>
      <c r="BP302" s="64">
        <f t="shared" si="35"/>
        <v>0</v>
      </c>
    </row>
    <row r="303" spans="1:68" x14ac:dyDescent="0.2">
      <c r="A303" s="563"/>
      <c r="B303" s="564"/>
      <c r="C303" s="564"/>
      <c r="D303" s="564"/>
      <c r="E303" s="564"/>
      <c r="F303" s="564"/>
      <c r="G303" s="564"/>
      <c r="H303" s="564"/>
      <c r="I303" s="564"/>
      <c r="J303" s="564"/>
      <c r="K303" s="564"/>
      <c r="L303" s="564"/>
      <c r="M303" s="564"/>
      <c r="N303" s="564"/>
      <c r="O303" s="565"/>
      <c r="P303" s="570" t="s">
        <v>75</v>
      </c>
      <c r="Q303" s="571"/>
      <c r="R303" s="571"/>
      <c r="S303" s="571"/>
      <c r="T303" s="571"/>
      <c r="U303" s="571"/>
      <c r="V303" s="572"/>
      <c r="W303" s="37" t="s">
        <v>76</v>
      </c>
      <c r="X303" s="553">
        <f>IFERROR(X297/H297,"0")+IFERROR(X298/H298,"0")+IFERROR(X299/H299,"0")+IFERROR(X300/H300,"0")+IFERROR(X301/H301,"0")+IFERROR(X302/H302,"0")</f>
        <v>41.666666666666664</v>
      </c>
      <c r="Y303" s="553">
        <f>IFERROR(Y297/H297,"0")+IFERROR(Y298/H298,"0")+IFERROR(Y299/H299,"0")+IFERROR(Y300/H300,"0")+IFERROR(Y301/H301,"0")+IFERROR(Y302/H302,"0")</f>
        <v>43</v>
      </c>
      <c r="Z303" s="553">
        <f>IFERROR(IF(Z297="",0,Z297),"0")+IFERROR(IF(Z298="",0,Z298),"0")+IFERROR(IF(Z299="",0,Z299),"0")+IFERROR(IF(Z300="",0,Z300),"0")+IFERROR(IF(Z301="",0,Z301),"0")+IFERROR(IF(Z302="",0,Z302),"0")</f>
        <v>0.81614000000000009</v>
      </c>
      <c r="AA303" s="554"/>
      <c r="AB303" s="554"/>
      <c r="AC303" s="554"/>
    </row>
    <row r="304" spans="1:68" x14ac:dyDescent="0.2">
      <c r="A304" s="564"/>
      <c r="B304" s="564"/>
      <c r="C304" s="564"/>
      <c r="D304" s="564"/>
      <c r="E304" s="564"/>
      <c r="F304" s="564"/>
      <c r="G304" s="564"/>
      <c r="H304" s="564"/>
      <c r="I304" s="564"/>
      <c r="J304" s="564"/>
      <c r="K304" s="564"/>
      <c r="L304" s="564"/>
      <c r="M304" s="564"/>
      <c r="N304" s="564"/>
      <c r="O304" s="565"/>
      <c r="P304" s="570" t="s">
        <v>75</v>
      </c>
      <c r="Q304" s="571"/>
      <c r="R304" s="571"/>
      <c r="S304" s="571"/>
      <c r="T304" s="571"/>
      <c r="U304" s="571"/>
      <c r="V304" s="572"/>
      <c r="W304" s="37" t="s">
        <v>69</v>
      </c>
      <c r="X304" s="553">
        <f>IFERROR(SUM(X297:X302),"0")</f>
        <v>450</v>
      </c>
      <c r="Y304" s="553">
        <f>IFERROR(SUM(Y297:Y302),"0")</f>
        <v>464.40000000000009</v>
      </c>
      <c r="Z304" s="37"/>
      <c r="AA304" s="554"/>
      <c r="AB304" s="554"/>
      <c r="AC304" s="554"/>
    </row>
    <row r="305" spans="1:68" ht="14.25" customHeight="1" x14ac:dyDescent="0.25">
      <c r="A305" s="567" t="s">
        <v>64</v>
      </c>
      <c r="B305" s="564"/>
      <c r="C305" s="564"/>
      <c r="D305" s="564"/>
      <c r="E305" s="564"/>
      <c r="F305" s="564"/>
      <c r="G305" s="564"/>
      <c r="H305" s="564"/>
      <c r="I305" s="564"/>
      <c r="J305" s="564"/>
      <c r="K305" s="564"/>
      <c r="L305" s="564"/>
      <c r="M305" s="564"/>
      <c r="N305" s="564"/>
      <c r="O305" s="564"/>
      <c r="P305" s="564"/>
      <c r="Q305" s="564"/>
      <c r="R305" s="564"/>
      <c r="S305" s="564"/>
      <c r="T305" s="564"/>
      <c r="U305" s="564"/>
      <c r="V305" s="564"/>
      <c r="W305" s="564"/>
      <c r="X305" s="564"/>
      <c r="Y305" s="564"/>
      <c r="Z305" s="564"/>
      <c r="AA305" s="545"/>
      <c r="AB305" s="545"/>
      <c r="AC305" s="545"/>
    </row>
    <row r="306" spans="1:68" ht="27" customHeight="1" x14ac:dyDescent="0.25">
      <c r="A306" s="54" t="s">
        <v>490</v>
      </c>
      <c r="B306" s="54" t="s">
        <v>491</v>
      </c>
      <c r="C306" s="31">
        <v>4301030878</v>
      </c>
      <c r="D306" s="558">
        <v>4607091387193</v>
      </c>
      <c r="E306" s="559"/>
      <c r="F306" s="550">
        <v>0.7</v>
      </c>
      <c r="G306" s="32">
        <v>6</v>
      </c>
      <c r="H306" s="550">
        <v>4.2</v>
      </c>
      <c r="I306" s="550">
        <v>4.45</v>
      </c>
      <c r="J306" s="32">
        <v>132</v>
      </c>
      <c r="K306" s="32" t="s">
        <v>110</v>
      </c>
      <c r="L306" s="32" t="s">
        <v>111</v>
      </c>
      <c r="M306" s="33" t="s">
        <v>68</v>
      </c>
      <c r="N306" s="33"/>
      <c r="O306" s="32">
        <v>35</v>
      </c>
      <c r="P306" s="756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06" s="556"/>
      <c r="R306" s="556"/>
      <c r="S306" s="556"/>
      <c r="T306" s="557"/>
      <c r="U306" s="34"/>
      <c r="V306" s="34"/>
      <c r="W306" s="35" t="s">
        <v>69</v>
      </c>
      <c r="X306" s="551">
        <v>200</v>
      </c>
      <c r="Y306" s="552">
        <f t="shared" ref="Y306:Y311" si="36">IFERROR(IF(X306="",0,CEILING((X306/$H306),1)*$H306),"")</f>
        <v>201.60000000000002</v>
      </c>
      <c r="Z306" s="36">
        <f>IFERROR(IF(Y306=0,"",ROUNDUP(Y306/H306,0)*0.00902),"")</f>
        <v>0.43296000000000001</v>
      </c>
      <c r="AA306" s="56"/>
      <c r="AB306" s="57"/>
      <c r="AC306" s="359" t="s">
        <v>492</v>
      </c>
      <c r="AG306" s="64"/>
      <c r="AJ306" s="68" t="s">
        <v>92</v>
      </c>
      <c r="AK306" s="68">
        <v>50.4</v>
      </c>
      <c r="BB306" s="360" t="s">
        <v>1</v>
      </c>
      <c r="BM306" s="64">
        <f t="shared" ref="BM306:BM311" si="37">IFERROR(X306*I306/H306,"0")</f>
        <v>211.9047619047619</v>
      </c>
      <c r="BN306" s="64">
        <f t="shared" ref="BN306:BN311" si="38">IFERROR(Y306*I306/H306,"0")</f>
        <v>213.60000000000002</v>
      </c>
      <c r="BO306" s="64">
        <f t="shared" ref="BO306:BO311" si="39">IFERROR(1/J306*(X306/H306),"0")</f>
        <v>0.36075036075036077</v>
      </c>
      <c r="BP306" s="64">
        <f t="shared" ref="BP306:BP311" si="40">IFERROR(1/J306*(Y306/H306),"0")</f>
        <v>0.36363636363636365</v>
      </c>
    </row>
    <row r="307" spans="1:68" ht="27" customHeight="1" x14ac:dyDescent="0.25">
      <c r="A307" s="54" t="s">
        <v>493</v>
      </c>
      <c r="B307" s="54" t="s">
        <v>494</v>
      </c>
      <c r="C307" s="31">
        <v>4301031153</v>
      </c>
      <c r="D307" s="558">
        <v>4607091387230</v>
      </c>
      <c r="E307" s="559"/>
      <c r="F307" s="550">
        <v>0.7</v>
      </c>
      <c r="G307" s="32">
        <v>6</v>
      </c>
      <c r="H307" s="550">
        <v>4.2</v>
      </c>
      <c r="I307" s="550">
        <v>4.45</v>
      </c>
      <c r="J307" s="32">
        <v>132</v>
      </c>
      <c r="K307" s="32" t="s">
        <v>110</v>
      </c>
      <c r="L307" s="32" t="s">
        <v>111</v>
      </c>
      <c r="M307" s="33" t="s">
        <v>68</v>
      </c>
      <c r="N307" s="33"/>
      <c r="O307" s="32">
        <v>40</v>
      </c>
      <c r="P307" s="879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07" s="556"/>
      <c r="R307" s="556"/>
      <c r="S307" s="556"/>
      <c r="T307" s="557"/>
      <c r="U307" s="34"/>
      <c r="V307" s="34"/>
      <c r="W307" s="35" t="s">
        <v>69</v>
      </c>
      <c r="X307" s="551">
        <v>500</v>
      </c>
      <c r="Y307" s="552">
        <f t="shared" si="36"/>
        <v>504</v>
      </c>
      <c r="Z307" s="36">
        <f>IFERROR(IF(Y307=0,"",ROUNDUP(Y307/H307,0)*0.00902),"")</f>
        <v>1.0824</v>
      </c>
      <c r="AA307" s="56"/>
      <c r="AB307" s="57"/>
      <c r="AC307" s="361" t="s">
        <v>495</v>
      </c>
      <c r="AG307" s="64"/>
      <c r="AJ307" s="68" t="s">
        <v>92</v>
      </c>
      <c r="AK307" s="68">
        <v>50.4</v>
      </c>
      <c r="BB307" s="362" t="s">
        <v>1</v>
      </c>
      <c r="BM307" s="64">
        <f t="shared" si="37"/>
        <v>529.7619047619047</v>
      </c>
      <c r="BN307" s="64">
        <f t="shared" si="38"/>
        <v>534</v>
      </c>
      <c r="BO307" s="64">
        <f t="shared" si="39"/>
        <v>0.90187590187590183</v>
      </c>
      <c r="BP307" s="64">
        <f t="shared" si="40"/>
        <v>0.90909090909090917</v>
      </c>
    </row>
    <row r="308" spans="1:68" ht="27" customHeight="1" x14ac:dyDescent="0.25">
      <c r="A308" s="54" t="s">
        <v>496</v>
      </c>
      <c r="B308" s="54" t="s">
        <v>497</v>
      </c>
      <c r="C308" s="31">
        <v>4301031154</v>
      </c>
      <c r="D308" s="558">
        <v>4607091387292</v>
      </c>
      <c r="E308" s="559"/>
      <c r="F308" s="550">
        <v>0.73</v>
      </c>
      <c r="G308" s="32">
        <v>6</v>
      </c>
      <c r="H308" s="550">
        <v>4.38</v>
      </c>
      <c r="I308" s="550">
        <v>4.63</v>
      </c>
      <c r="J308" s="32">
        <v>132</v>
      </c>
      <c r="K308" s="32" t="s">
        <v>110</v>
      </c>
      <c r="L308" s="32"/>
      <c r="M308" s="33" t="s">
        <v>68</v>
      </c>
      <c r="N308" s="33"/>
      <c r="O308" s="32">
        <v>45</v>
      </c>
      <c r="P308" s="716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08" s="556"/>
      <c r="R308" s="556"/>
      <c r="S308" s="556"/>
      <c r="T308" s="557"/>
      <c r="U308" s="34"/>
      <c r="V308" s="34"/>
      <c r="W308" s="35" t="s">
        <v>69</v>
      </c>
      <c r="X308" s="551">
        <v>0</v>
      </c>
      <c r="Y308" s="552">
        <f t="shared" si="36"/>
        <v>0</v>
      </c>
      <c r="Z308" s="36" t="str">
        <f>IFERROR(IF(Y308=0,"",ROUNDUP(Y308/H308,0)*0.00902),"")</f>
        <v/>
      </c>
      <c r="AA308" s="56"/>
      <c r="AB308" s="57"/>
      <c r="AC308" s="363" t="s">
        <v>498</v>
      </c>
      <c r="AG308" s="64"/>
      <c r="AJ308" s="68"/>
      <c r="AK308" s="68">
        <v>0</v>
      </c>
      <c r="BB308" s="364" t="s">
        <v>1</v>
      </c>
      <c r="BM308" s="64">
        <f t="shared" si="37"/>
        <v>0</v>
      </c>
      <c r="BN308" s="64">
        <f t="shared" si="38"/>
        <v>0</v>
      </c>
      <c r="BO308" s="64">
        <f t="shared" si="39"/>
        <v>0</v>
      </c>
      <c r="BP308" s="64">
        <f t="shared" si="40"/>
        <v>0</v>
      </c>
    </row>
    <row r="309" spans="1:68" ht="27" customHeight="1" x14ac:dyDescent="0.25">
      <c r="A309" s="54" t="s">
        <v>499</v>
      </c>
      <c r="B309" s="54" t="s">
        <v>500</v>
      </c>
      <c r="C309" s="31">
        <v>4301031152</v>
      </c>
      <c r="D309" s="558">
        <v>4607091387285</v>
      </c>
      <c r="E309" s="559"/>
      <c r="F309" s="550">
        <v>0.35</v>
      </c>
      <c r="G309" s="32">
        <v>6</v>
      </c>
      <c r="H309" s="550">
        <v>2.1</v>
      </c>
      <c r="I309" s="550">
        <v>2.23</v>
      </c>
      <c r="J309" s="32">
        <v>234</v>
      </c>
      <c r="K309" s="32" t="s">
        <v>73</v>
      </c>
      <c r="L309" s="32" t="s">
        <v>285</v>
      </c>
      <c r="M309" s="33" t="s">
        <v>68</v>
      </c>
      <c r="N309" s="33"/>
      <c r="O309" s="32">
        <v>40</v>
      </c>
      <c r="P309" s="740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09" s="556"/>
      <c r="R309" s="556"/>
      <c r="S309" s="556"/>
      <c r="T309" s="557"/>
      <c r="U309" s="34"/>
      <c r="V309" s="34"/>
      <c r="W309" s="35" t="s">
        <v>69</v>
      </c>
      <c r="X309" s="551">
        <v>42</v>
      </c>
      <c r="Y309" s="552">
        <f t="shared" si="36"/>
        <v>42</v>
      </c>
      <c r="Z309" s="36">
        <f>IFERROR(IF(Y309=0,"",ROUNDUP(Y309/H309,0)*0.00502),"")</f>
        <v>0.1004</v>
      </c>
      <c r="AA309" s="56"/>
      <c r="AB309" s="57"/>
      <c r="AC309" s="365" t="s">
        <v>495</v>
      </c>
      <c r="AG309" s="64"/>
      <c r="AJ309" s="68" t="s">
        <v>92</v>
      </c>
      <c r="AK309" s="68">
        <v>37.799999999999997</v>
      </c>
      <c r="BB309" s="366" t="s">
        <v>1</v>
      </c>
      <c r="BM309" s="64">
        <f t="shared" si="37"/>
        <v>44.599999999999994</v>
      </c>
      <c r="BN309" s="64">
        <f t="shared" si="38"/>
        <v>44.599999999999994</v>
      </c>
      <c r="BO309" s="64">
        <f t="shared" si="39"/>
        <v>8.5470085470085472E-2</v>
      </c>
      <c r="BP309" s="64">
        <f t="shared" si="40"/>
        <v>8.5470085470085472E-2</v>
      </c>
    </row>
    <row r="310" spans="1:68" ht="27" customHeight="1" x14ac:dyDescent="0.25">
      <c r="A310" s="54" t="s">
        <v>501</v>
      </c>
      <c r="B310" s="54" t="s">
        <v>502</v>
      </c>
      <c r="C310" s="31">
        <v>4301031305</v>
      </c>
      <c r="D310" s="558">
        <v>4607091389845</v>
      </c>
      <c r="E310" s="559"/>
      <c r="F310" s="550">
        <v>0.35</v>
      </c>
      <c r="G310" s="32">
        <v>6</v>
      </c>
      <c r="H310" s="550">
        <v>2.1</v>
      </c>
      <c r="I310" s="550">
        <v>2.2000000000000002</v>
      </c>
      <c r="J310" s="32">
        <v>234</v>
      </c>
      <c r="K310" s="32" t="s">
        <v>73</v>
      </c>
      <c r="L310" s="32" t="s">
        <v>285</v>
      </c>
      <c r="M310" s="33" t="s">
        <v>68</v>
      </c>
      <c r="N310" s="33"/>
      <c r="O310" s="32">
        <v>40</v>
      </c>
      <c r="P310" s="722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10" s="556"/>
      <c r="R310" s="556"/>
      <c r="S310" s="556"/>
      <c r="T310" s="557"/>
      <c r="U310" s="34"/>
      <c r="V310" s="34"/>
      <c r="W310" s="35" t="s">
        <v>69</v>
      </c>
      <c r="X310" s="551">
        <v>0</v>
      </c>
      <c r="Y310" s="552">
        <f t="shared" si="36"/>
        <v>0</v>
      </c>
      <c r="Z310" s="36" t="str">
        <f>IFERROR(IF(Y310=0,"",ROUNDUP(Y310/H310,0)*0.00502),"")</f>
        <v/>
      </c>
      <c r="AA310" s="56"/>
      <c r="AB310" s="57"/>
      <c r="AC310" s="367" t="s">
        <v>503</v>
      </c>
      <c r="AG310" s="64"/>
      <c r="AJ310" s="68" t="s">
        <v>92</v>
      </c>
      <c r="AK310" s="68">
        <v>37.799999999999997</v>
      </c>
      <c r="BB310" s="368" t="s">
        <v>1</v>
      </c>
      <c r="BM310" s="64">
        <f t="shared" si="37"/>
        <v>0</v>
      </c>
      <c r="BN310" s="64">
        <f t="shared" si="38"/>
        <v>0</v>
      </c>
      <c r="BO310" s="64">
        <f t="shared" si="39"/>
        <v>0</v>
      </c>
      <c r="BP310" s="64">
        <f t="shared" si="40"/>
        <v>0</v>
      </c>
    </row>
    <row r="311" spans="1:68" ht="27" customHeight="1" x14ac:dyDescent="0.25">
      <c r="A311" s="54" t="s">
        <v>504</v>
      </c>
      <c r="B311" s="54" t="s">
        <v>505</v>
      </c>
      <c r="C311" s="31">
        <v>4301031066</v>
      </c>
      <c r="D311" s="558">
        <v>4607091383836</v>
      </c>
      <c r="E311" s="559"/>
      <c r="F311" s="550">
        <v>0.3</v>
      </c>
      <c r="G311" s="32">
        <v>6</v>
      </c>
      <c r="H311" s="550">
        <v>1.8</v>
      </c>
      <c r="I311" s="550">
        <v>2.028</v>
      </c>
      <c r="J311" s="32">
        <v>182</v>
      </c>
      <c r="K311" s="32" t="s">
        <v>67</v>
      </c>
      <c r="L311" s="32" t="s">
        <v>90</v>
      </c>
      <c r="M311" s="33" t="s">
        <v>68</v>
      </c>
      <c r="N311" s="33"/>
      <c r="O311" s="32">
        <v>40</v>
      </c>
      <c r="P311" s="726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11" s="556"/>
      <c r="R311" s="556"/>
      <c r="S311" s="556"/>
      <c r="T311" s="557"/>
      <c r="U311" s="34"/>
      <c r="V311" s="34"/>
      <c r="W311" s="35" t="s">
        <v>69</v>
      </c>
      <c r="X311" s="551">
        <v>0</v>
      </c>
      <c r="Y311" s="552">
        <f t="shared" si="36"/>
        <v>0</v>
      </c>
      <c r="Z311" s="36" t="str">
        <f>IFERROR(IF(Y311=0,"",ROUNDUP(Y311/H311,0)*0.00651),"")</f>
        <v/>
      </c>
      <c r="AA311" s="56"/>
      <c r="AB311" s="57"/>
      <c r="AC311" s="369" t="s">
        <v>506</v>
      </c>
      <c r="AG311" s="64"/>
      <c r="AJ311" s="68" t="s">
        <v>92</v>
      </c>
      <c r="AK311" s="68">
        <v>25.2</v>
      </c>
      <c r="BB311" s="370" t="s">
        <v>1</v>
      </c>
      <c r="BM311" s="64">
        <f t="shared" si="37"/>
        <v>0</v>
      </c>
      <c r="BN311" s="64">
        <f t="shared" si="38"/>
        <v>0</v>
      </c>
      <c r="BO311" s="64">
        <f t="shared" si="39"/>
        <v>0</v>
      </c>
      <c r="BP311" s="64">
        <f t="shared" si="40"/>
        <v>0</v>
      </c>
    </row>
    <row r="312" spans="1:68" x14ac:dyDescent="0.2">
      <c r="A312" s="563"/>
      <c r="B312" s="564"/>
      <c r="C312" s="564"/>
      <c r="D312" s="564"/>
      <c r="E312" s="564"/>
      <c r="F312" s="564"/>
      <c r="G312" s="564"/>
      <c r="H312" s="564"/>
      <c r="I312" s="564"/>
      <c r="J312" s="564"/>
      <c r="K312" s="564"/>
      <c r="L312" s="564"/>
      <c r="M312" s="564"/>
      <c r="N312" s="564"/>
      <c r="O312" s="565"/>
      <c r="P312" s="570" t="s">
        <v>75</v>
      </c>
      <c r="Q312" s="571"/>
      <c r="R312" s="571"/>
      <c r="S312" s="571"/>
      <c r="T312" s="571"/>
      <c r="U312" s="571"/>
      <c r="V312" s="572"/>
      <c r="W312" s="37" t="s">
        <v>76</v>
      </c>
      <c r="X312" s="553">
        <f>IFERROR(X306/H306,"0")+IFERROR(X307/H307,"0")+IFERROR(X308/H308,"0")+IFERROR(X309/H309,"0")+IFERROR(X310/H310,"0")+IFERROR(X311/H311,"0")</f>
        <v>186.66666666666666</v>
      </c>
      <c r="Y312" s="553">
        <f>IFERROR(Y306/H306,"0")+IFERROR(Y307/H307,"0")+IFERROR(Y308/H308,"0")+IFERROR(Y309/H309,"0")+IFERROR(Y310/H310,"0")+IFERROR(Y311/H311,"0")</f>
        <v>188</v>
      </c>
      <c r="Z312" s="553">
        <f>IFERROR(IF(Z306="",0,Z306),"0")+IFERROR(IF(Z307="",0,Z307),"0")+IFERROR(IF(Z308="",0,Z308),"0")+IFERROR(IF(Z309="",0,Z309),"0")+IFERROR(IF(Z310="",0,Z310),"0")+IFERROR(IF(Z311="",0,Z311),"0")</f>
        <v>1.6157600000000001</v>
      </c>
      <c r="AA312" s="554"/>
      <c r="AB312" s="554"/>
      <c r="AC312" s="554"/>
    </row>
    <row r="313" spans="1:68" x14ac:dyDescent="0.2">
      <c r="A313" s="564"/>
      <c r="B313" s="564"/>
      <c r="C313" s="564"/>
      <c r="D313" s="564"/>
      <c r="E313" s="564"/>
      <c r="F313" s="564"/>
      <c r="G313" s="564"/>
      <c r="H313" s="564"/>
      <c r="I313" s="564"/>
      <c r="J313" s="564"/>
      <c r="K313" s="564"/>
      <c r="L313" s="564"/>
      <c r="M313" s="564"/>
      <c r="N313" s="564"/>
      <c r="O313" s="565"/>
      <c r="P313" s="570" t="s">
        <v>75</v>
      </c>
      <c r="Q313" s="571"/>
      <c r="R313" s="571"/>
      <c r="S313" s="571"/>
      <c r="T313" s="571"/>
      <c r="U313" s="571"/>
      <c r="V313" s="572"/>
      <c r="W313" s="37" t="s">
        <v>69</v>
      </c>
      <c r="X313" s="553">
        <f>IFERROR(SUM(X306:X311),"0")</f>
        <v>742</v>
      </c>
      <c r="Y313" s="553">
        <f>IFERROR(SUM(Y306:Y311),"0")</f>
        <v>747.6</v>
      </c>
      <c r="Z313" s="37"/>
      <c r="AA313" s="554"/>
      <c r="AB313" s="554"/>
      <c r="AC313" s="554"/>
    </row>
    <row r="314" spans="1:68" ht="14.25" customHeight="1" x14ac:dyDescent="0.25">
      <c r="A314" s="567" t="s">
        <v>77</v>
      </c>
      <c r="B314" s="564"/>
      <c r="C314" s="564"/>
      <c r="D314" s="564"/>
      <c r="E314" s="564"/>
      <c r="F314" s="564"/>
      <c r="G314" s="564"/>
      <c r="H314" s="564"/>
      <c r="I314" s="564"/>
      <c r="J314" s="564"/>
      <c r="K314" s="564"/>
      <c r="L314" s="564"/>
      <c r="M314" s="564"/>
      <c r="N314" s="564"/>
      <c r="O314" s="564"/>
      <c r="P314" s="564"/>
      <c r="Q314" s="564"/>
      <c r="R314" s="564"/>
      <c r="S314" s="564"/>
      <c r="T314" s="564"/>
      <c r="U314" s="564"/>
      <c r="V314" s="564"/>
      <c r="W314" s="564"/>
      <c r="X314" s="564"/>
      <c r="Y314" s="564"/>
      <c r="Z314" s="564"/>
      <c r="AA314" s="545"/>
      <c r="AB314" s="545"/>
      <c r="AC314" s="545"/>
    </row>
    <row r="315" spans="1:68" ht="27" customHeight="1" x14ac:dyDescent="0.25">
      <c r="A315" s="54" t="s">
        <v>507</v>
      </c>
      <c r="B315" s="54" t="s">
        <v>508</v>
      </c>
      <c r="C315" s="31">
        <v>4301051100</v>
      </c>
      <c r="D315" s="558">
        <v>4607091387766</v>
      </c>
      <c r="E315" s="559"/>
      <c r="F315" s="550">
        <v>1.3</v>
      </c>
      <c r="G315" s="32">
        <v>6</v>
      </c>
      <c r="H315" s="550">
        <v>7.8</v>
      </c>
      <c r="I315" s="550">
        <v>8.2880000000000003</v>
      </c>
      <c r="J315" s="32">
        <v>64</v>
      </c>
      <c r="K315" s="32" t="s">
        <v>104</v>
      </c>
      <c r="L315" s="32" t="s">
        <v>105</v>
      </c>
      <c r="M315" s="33" t="s">
        <v>80</v>
      </c>
      <c r="N315" s="33"/>
      <c r="O315" s="32">
        <v>40</v>
      </c>
      <c r="P315" s="561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15" s="556"/>
      <c r="R315" s="556"/>
      <c r="S315" s="556"/>
      <c r="T315" s="557"/>
      <c r="U315" s="34"/>
      <c r="V315" s="34"/>
      <c r="W315" s="35" t="s">
        <v>69</v>
      </c>
      <c r="X315" s="551">
        <v>1300</v>
      </c>
      <c r="Y315" s="552">
        <f>IFERROR(IF(X315="",0,CEILING((X315/$H315),1)*$H315),"")</f>
        <v>1302.5999999999999</v>
      </c>
      <c r="Z315" s="36">
        <f>IFERROR(IF(Y315=0,"",ROUNDUP(Y315/H315,0)*0.01898),"")</f>
        <v>3.1696599999999999</v>
      </c>
      <c r="AA315" s="56"/>
      <c r="AB315" s="57"/>
      <c r="AC315" s="371" t="s">
        <v>509</v>
      </c>
      <c r="AG315" s="64"/>
      <c r="AJ315" s="68" t="s">
        <v>92</v>
      </c>
      <c r="AK315" s="68">
        <v>62.4</v>
      </c>
      <c r="BB315" s="372" t="s">
        <v>1</v>
      </c>
      <c r="BM315" s="64">
        <f>IFERROR(X315*I315/H315,"0")</f>
        <v>1381.3333333333333</v>
      </c>
      <c r="BN315" s="64">
        <f>IFERROR(Y315*I315/H315,"0")</f>
        <v>1384.096</v>
      </c>
      <c r="BO315" s="64">
        <f>IFERROR(1/J315*(X315/H315),"0")</f>
        <v>2.6041666666666665</v>
      </c>
      <c r="BP315" s="64">
        <f>IFERROR(1/J315*(Y315/H315),"0")</f>
        <v>2.609375</v>
      </c>
    </row>
    <row r="316" spans="1:68" ht="27" customHeight="1" x14ac:dyDescent="0.25">
      <c r="A316" s="54" t="s">
        <v>510</v>
      </c>
      <c r="B316" s="54" t="s">
        <v>511</v>
      </c>
      <c r="C316" s="31">
        <v>4301051818</v>
      </c>
      <c r="D316" s="558">
        <v>4607091387957</v>
      </c>
      <c r="E316" s="559"/>
      <c r="F316" s="550">
        <v>1.3</v>
      </c>
      <c r="G316" s="32">
        <v>6</v>
      </c>
      <c r="H316" s="550">
        <v>7.8</v>
      </c>
      <c r="I316" s="550">
        <v>8.2940000000000005</v>
      </c>
      <c r="J316" s="32">
        <v>64</v>
      </c>
      <c r="K316" s="32" t="s">
        <v>104</v>
      </c>
      <c r="L316" s="32"/>
      <c r="M316" s="33" t="s">
        <v>80</v>
      </c>
      <c r="N316" s="33"/>
      <c r="O316" s="32">
        <v>40</v>
      </c>
      <c r="P316" s="601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16" s="556"/>
      <c r="R316" s="556"/>
      <c r="S316" s="556"/>
      <c r="T316" s="557"/>
      <c r="U316" s="34"/>
      <c r="V316" s="34"/>
      <c r="W316" s="35" t="s">
        <v>69</v>
      </c>
      <c r="X316" s="551">
        <v>0</v>
      </c>
      <c r="Y316" s="552">
        <f>IFERROR(IF(X316="",0,CEILING((X316/$H316),1)*$H316),"")</f>
        <v>0</v>
      </c>
      <c r="Z316" s="36" t="str">
        <f>IFERROR(IF(Y316=0,"",ROUNDUP(Y316/H316,0)*0.01898),"")</f>
        <v/>
      </c>
      <c r="AA316" s="56"/>
      <c r="AB316" s="57"/>
      <c r="AC316" s="373" t="s">
        <v>512</v>
      </c>
      <c r="AG316" s="64"/>
      <c r="AJ316" s="68"/>
      <c r="AK316" s="68">
        <v>0</v>
      </c>
      <c r="BB316" s="374" t="s">
        <v>1</v>
      </c>
      <c r="BM316" s="64">
        <f>IFERROR(X316*I316/H316,"0")</f>
        <v>0</v>
      </c>
      <c r="BN316" s="64">
        <f>IFERROR(Y316*I316/H316,"0")</f>
        <v>0</v>
      </c>
      <c r="BO316" s="64">
        <f>IFERROR(1/J316*(X316/H316),"0")</f>
        <v>0</v>
      </c>
      <c r="BP316" s="64">
        <f>IFERROR(1/J316*(Y316/H316),"0")</f>
        <v>0</v>
      </c>
    </row>
    <row r="317" spans="1:68" ht="27" customHeight="1" x14ac:dyDescent="0.25">
      <c r="A317" s="54" t="s">
        <v>513</v>
      </c>
      <c r="B317" s="54" t="s">
        <v>514</v>
      </c>
      <c r="C317" s="31">
        <v>4301051819</v>
      </c>
      <c r="D317" s="558">
        <v>4607091387964</v>
      </c>
      <c r="E317" s="559"/>
      <c r="F317" s="550">
        <v>1.35</v>
      </c>
      <c r="G317" s="32">
        <v>6</v>
      </c>
      <c r="H317" s="550">
        <v>8.1</v>
      </c>
      <c r="I317" s="550">
        <v>8.5760000000000005</v>
      </c>
      <c r="J317" s="32">
        <v>64</v>
      </c>
      <c r="K317" s="32" t="s">
        <v>104</v>
      </c>
      <c r="L317" s="32"/>
      <c r="M317" s="33" t="s">
        <v>80</v>
      </c>
      <c r="N317" s="33"/>
      <c r="O317" s="32">
        <v>40</v>
      </c>
      <c r="P317" s="842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17" s="556"/>
      <c r="R317" s="556"/>
      <c r="S317" s="556"/>
      <c r="T317" s="557"/>
      <c r="U317" s="34"/>
      <c r="V317" s="34"/>
      <c r="W317" s="35" t="s">
        <v>69</v>
      </c>
      <c r="X317" s="551">
        <v>0</v>
      </c>
      <c r="Y317" s="552">
        <f>IFERROR(IF(X317="",0,CEILING((X317/$H317),1)*$H317),"")</f>
        <v>0</v>
      </c>
      <c r="Z317" s="36" t="str">
        <f>IFERROR(IF(Y317=0,"",ROUNDUP(Y317/H317,0)*0.01898),"")</f>
        <v/>
      </c>
      <c r="AA317" s="56"/>
      <c r="AB317" s="57"/>
      <c r="AC317" s="375" t="s">
        <v>515</v>
      </c>
      <c r="AG317" s="64"/>
      <c r="AJ317" s="68"/>
      <c r="AK317" s="68">
        <v>0</v>
      </c>
      <c r="BB317" s="376" t="s">
        <v>1</v>
      </c>
      <c r="BM317" s="64">
        <f>IFERROR(X317*I317/H317,"0")</f>
        <v>0</v>
      </c>
      <c r="BN317" s="64">
        <f>IFERROR(Y317*I317/H317,"0")</f>
        <v>0</v>
      </c>
      <c r="BO317" s="64">
        <f>IFERROR(1/J317*(X317/H317),"0")</f>
        <v>0</v>
      </c>
      <c r="BP317" s="64">
        <f>IFERROR(1/J317*(Y317/H317),"0")</f>
        <v>0</v>
      </c>
    </row>
    <row r="318" spans="1:68" ht="27" customHeight="1" x14ac:dyDescent="0.25">
      <c r="A318" s="54" t="s">
        <v>516</v>
      </c>
      <c r="B318" s="54" t="s">
        <v>517</v>
      </c>
      <c r="C318" s="31">
        <v>4301051734</v>
      </c>
      <c r="D318" s="558">
        <v>4680115884588</v>
      </c>
      <c r="E318" s="559"/>
      <c r="F318" s="550">
        <v>0.5</v>
      </c>
      <c r="G318" s="32">
        <v>6</v>
      </c>
      <c r="H318" s="550">
        <v>3</v>
      </c>
      <c r="I318" s="550">
        <v>3.246</v>
      </c>
      <c r="J318" s="32">
        <v>182</v>
      </c>
      <c r="K318" s="32" t="s">
        <v>67</v>
      </c>
      <c r="L318" s="32" t="s">
        <v>90</v>
      </c>
      <c r="M318" s="33" t="s">
        <v>80</v>
      </c>
      <c r="N318" s="33"/>
      <c r="O318" s="32">
        <v>40</v>
      </c>
      <c r="P318" s="777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18" s="556"/>
      <c r="R318" s="556"/>
      <c r="S318" s="556"/>
      <c r="T318" s="557"/>
      <c r="U318" s="34"/>
      <c r="V318" s="34"/>
      <c r="W318" s="35" t="s">
        <v>69</v>
      </c>
      <c r="X318" s="551">
        <v>0</v>
      </c>
      <c r="Y318" s="552">
        <f>IFERROR(IF(X318="",0,CEILING((X318/$H318),1)*$H318),"")</f>
        <v>0</v>
      </c>
      <c r="Z318" s="36" t="str">
        <f>IFERROR(IF(Y318=0,"",ROUNDUP(Y318/H318,0)*0.00651),"")</f>
        <v/>
      </c>
      <c r="AA318" s="56"/>
      <c r="AB318" s="57"/>
      <c r="AC318" s="377" t="s">
        <v>518</v>
      </c>
      <c r="AG318" s="64"/>
      <c r="AJ318" s="68" t="s">
        <v>92</v>
      </c>
      <c r="AK318" s="68">
        <v>42</v>
      </c>
      <c r="BB318" s="378" t="s">
        <v>1</v>
      </c>
      <c r="BM318" s="64">
        <f>IFERROR(X318*I318/H318,"0")</f>
        <v>0</v>
      </c>
      <c r="BN318" s="64">
        <f>IFERROR(Y318*I318/H318,"0")</f>
        <v>0</v>
      </c>
      <c r="BO318" s="64">
        <f>IFERROR(1/J318*(X318/H318),"0")</f>
        <v>0</v>
      </c>
      <c r="BP318" s="64">
        <f>IFERROR(1/J318*(Y318/H318),"0")</f>
        <v>0</v>
      </c>
    </row>
    <row r="319" spans="1:68" x14ac:dyDescent="0.2">
      <c r="A319" s="563"/>
      <c r="B319" s="564"/>
      <c r="C319" s="564"/>
      <c r="D319" s="564"/>
      <c r="E319" s="564"/>
      <c r="F319" s="564"/>
      <c r="G319" s="564"/>
      <c r="H319" s="564"/>
      <c r="I319" s="564"/>
      <c r="J319" s="564"/>
      <c r="K319" s="564"/>
      <c r="L319" s="564"/>
      <c r="M319" s="564"/>
      <c r="N319" s="564"/>
      <c r="O319" s="565"/>
      <c r="P319" s="570" t="s">
        <v>75</v>
      </c>
      <c r="Q319" s="571"/>
      <c r="R319" s="571"/>
      <c r="S319" s="571"/>
      <c r="T319" s="571"/>
      <c r="U319" s="571"/>
      <c r="V319" s="572"/>
      <c r="W319" s="37" t="s">
        <v>76</v>
      </c>
      <c r="X319" s="553">
        <f>IFERROR(X315/H315,"0")+IFERROR(X316/H316,"0")+IFERROR(X317/H317,"0")+IFERROR(X318/H318,"0")</f>
        <v>166.66666666666666</v>
      </c>
      <c r="Y319" s="553">
        <f>IFERROR(Y315/H315,"0")+IFERROR(Y316/H316,"0")+IFERROR(Y317/H317,"0")+IFERROR(Y318/H318,"0")</f>
        <v>167</v>
      </c>
      <c r="Z319" s="553">
        <f>IFERROR(IF(Z315="",0,Z315),"0")+IFERROR(IF(Z316="",0,Z316),"0")+IFERROR(IF(Z317="",0,Z317),"0")+IFERROR(IF(Z318="",0,Z318),"0")</f>
        <v>3.1696599999999999</v>
      </c>
      <c r="AA319" s="554"/>
      <c r="AB319" s="554"/>
      <c r="AC319" s="554"/>
    </row>
    <row r="320" spans="1:68" x14ac:dyDescent="0.2">
      <c r="A320" s="564"/>
      <c r="B320" s="564"/>
      <c r="C320" s="564"/>
      <c r="D320" s="564"/>
      <c r="E320" s="564"/>
      <c r="F320" s="564"/>
      <c r="G320" s="564"/>
      <c r="H320" s="564"/>
      <c r="I320" s="564"/>
      <c r="J320" s="564"/>
      <c r="K320" s="564"/>
      <c r="L320" s="564"/>
      <c r="M320" s="564"/>
      <c r="N320" s="564"/>
      <c r="O320" s="565"/>
      <c r="P320" s="570" t="s">
        <v>75</v>
      </c>
      <c r="Q320" s="571"/>
      <c r="R320" s="571"/>
      <c r="S320" s="571"/>
      <c r="T320" s="571"/>
      <c r="U320" s="571"/>
      <c r="V320" s="572"/>
      <c r="W320" s="37" t="s">
        <v>69</v>
      </c>
      <c r="X320" s="553">
        <f>IFERROR(SUM(X315:X318),"0")</f>
        <v>1300</v>
      </c>
      <c r="Y320" s="553">
        <f>IFERROR(SUM(Y315:Y318),"0")</f>
        <v>1302.5999999999999</v>
      </c>
      <c r="Z320" s="37"/>
      <c r="AA320" s="554"/>
      <c r="AB320" s="554"/>
      <c r="AC320" s="554"/>
    </row>
    <row r="321" spans="1:68" ht="14.25" customHeight="1" x14ac:dyDescent="0.25">
      <c r="A321" s="567" t="s">
        <v>161</v>
      </c>
      <c r="B321" s="564"/>
      <c r="C321" s="564"/>
      <c r="D321" s="564"/>
      <c r="E321" s="564"/>
      <c r="F321" s="564"/>
      <c r="G321" s="564"/>
      <c r="H321" s="564"/>
      <c r="I321" s="564"/>
      <c r="J321" s="564"/>
      <c r="K321" s="564"/>
      <c r="L321" s="564"/>
      <c r="M321" s="564"/>
      <c r="N321" s="564"/>
      <c r="O321" s="564"/>
      <c r="P321" s="564"/>
      <c r="Q321" s="564"/>
      <c r="R321" s="564"/>
      <c r="S321" s="564"/>
      <c r="T321" s="564"/>
      <c r="U321" s="564"/>
      <c r="V321" s="564"/>
      <c r="W321" s="564"/>
      <c r="X321" s="564"/>
      <c r="Y321" s="564"/>
      <c r="Z321" s="564"/>
      <c r="AA321" s="545"/>
      <c r="AB321" s="545"/>
      <c r="AC321" s="545"/>
    </row>
    <row r="322" spans="1:68" ht="27" customHeight="1" x14ac:dyDescent="0.25">
      <c r="A322" s="54" t="s">
        <v>519</v>
      </c>
      <c r="B322" s="54" t="s">
        <v>520</v>
      </c>
      <c r="C322" s="31">
        <v>4301060387</v>
      </c>
      <c r="D322" s="558">
        <v>4607091380880</v>
      </c>
      <c r="E322" s="559"/>
      <c r="F322" s="550">
        <v>1.4</v>
      </c>
      <c r="G322" s="32">
        <v>6</v>
      </c>
      <c r="H322" s="550">
        <v>8.4</v>
      </c>
      <c r="I322" s="550">
        <v>8.8940000000000001</v>
      </c>
      <c r="J322" s="32">
        <v>64</v>
      </c>
      <c r="K322" s="32" t="s">
        <v>104</v>
      </c>
      <c r="L322" s="32" t="s">
        <v>105</v>
      </c>
      <c r="M322" s="33" t="s">
        <v>80</v>
      </c>
      <c r="N322" s="33"/>
      <c r="O322" s="32">
        <v>30</v>
      </c>
      <c r="P322" s="738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22" s="556"/>
      <c r="R322" s="556"/>
      <c r="S322" s="556"/>
      <c r="T322" s="557"/>
      <c r="U322" s="34"/>
      <c r="V322" s="34"/>
      <c r="W322" s="35" t="s">
        <v>69</v>
      </c>
      <c r="X322" s="551">
        <v>0</v>
      </c>
      <c r="Y322" s="552">
        <f>IFERROR(IF(X322="",0,CEILING((X322/$H322),1)*$H322),"")</f>
        <v>0</v>
      </c>
      <c r="Z322" s="36" t="str">
        <f>IFERROR(IF(Y322=0,"",ROUNDUP(Y322/H322,0)*0.01898),"")</f>
        <v/>
      </c>
      <c r="AA322" s="56"/>
      <c r="AB322" s="57"/>
      <c r="AC322" s="379" t="s">
        <v>521</v>
      </c>
      <c r="AG322" s="64"/>
      <c r="AJ322" s="68" t="s">
        <v>92</v>
      </c>
      <c r="AK322" s="68">
        <v>67.2</v>
      </c>
      <c r="BB322" s="380" t="s">
        <v>1</v>
      </c>
      <c r="BM322" s="64">
        <f>IFERROR(X322*I322/H322,"0")</f>
        <v>0</v>
      </c>
      <c r="BN322" s="64">
        <f>IFERROR(Y322*I322/H322,"0")</f>
        <v>0</v>
      </c>
      <c r="BO322" s="64">
        <f>IFERROR(1/J322*(X322/H322),"0")</f>
        <v>0</v>
      </c>
      <c r="BP322" s="64">
        <f>IFERROR(1/J322*(Y322/H322),"0")</f>
        <v>0</v>
      </c>
    </row>
    <row r="323" spans="1:68" ht="27" customHeight="1" x14ac:dyDescent="0.25">
      <c r="A323" s="54" t="s">
        <v>522</v>
      </c>
      <c r="B323" s="54" t="s">
        <v>523</v>
      </c>
      <c r="C323" s="31">
        <v>4301060406</v>
      </c>
      <c r="D323" s="558">
        <v>4607091384482</v>
      </c>
      <c r="E323" s="559"/>
      <c r="F323" s="550">
        <v>1.3</v>
      </c>
      <c r="G323" s="32">
        <v>6</v>
      </c>
      <c r="H323" s="550">
        <v>7.8</v>
      </c>
      <c r="I323" s="550">
        <v>8.2940000000000005</v>
      </c>
      <c r="J323" s="32">
        <v>64</v>
      </c>
      <c r="K323" s="32" t="s">
        <v>104</v>
      </c>
      <c r="L323" s="32" t="s">
        <v>105</v>
      </c>
      <c r="M323" s="33" t="s">
        <v>80</v>
      </c>
      <c r="N323" s="33"/>
      <c r="O323" s="32">
        <v>30</v>
      </c>
      <c r="P323" s="807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23" s="556"/>
      <c r="R323" s="556"/>
      <c r="S323" s="556"/>
      <c r="T323" s="557"/>
      <c r="U323" s="34"/>
      <c r="V323" s="34"/>
      <c r="W323" s="35" t="s">
        <v>69</v>
      </c>
      <c r="X323" s="551">
        <v>600</v>
      </c>
      <c r="Y323" s="552">
        <f>IFERROR(IF(X323="",0,CEILING((X323/$H323),1)*$H323),"")</f>
        <v>600.6</v>
      </c>
      <c r="Z323" s="36">
        <f>IFERROR(IF(Y323=0,"",ROUNDUP(Y323/H323,0)*0.01898),"")</f>
        <v>1.46146</v>
      </c>
      <c r="AA323" s="56"/>
      <c r="AB323" s="57"/>
      <c r="AC323" s="381" t="s">
        <v>524</v>
      </c>
      <c r="AG323" s="64"/>
      <c r="AJ323" s="68" t="s">
        <v>92</v>
      </c>
      <c r="AK323" s="68">
        <v>62.4</v>
      </c>
      <c r="BB323" s="382" t="s">
        <v>1</v>
      </c>
      <c r="BM323" s="64">
        <f>IFERROR(X323*I323/H323,"0")</f>
        <v>638.00000000000011</v>
      </c>
      <c r="BN323" s="64">
        <f>IFERROR(Y323*I323/H323,"0")</f>
        <v>638.63800000000003</v>
      </c>
      <c r="BO323" s="64">
        <f>IFERROR(1/J323*(X323/H323),"0")</f>
        <v>1.2019230769230769</v>
      </c>
      <c r="BP323" s="64">
        <f>IFERROR(1/J323*(Y323/H323),"0")</f>
        <v>1.203125</v>
      </c>
    </row>
    <row r="324" spans="1:68" ht="16.5" customHeight="1" x14ac:dyDescent="0.25">
      <c r="A324" s="54" t="s">
        <v>525</v>
      </c>
      <c r="B324" s="54" t="s">
        <v>526</v>
      </c>
      <c r="C324" s="31">
        <v>4301060484</v>
      </c>
      <c r="D324" s="558">
        <v>4607091380897</v>
      </c>
      <c r="E324" s="559"/>
      <c r="F324" s="550">
        <v>1.4</v>
      </c>
      <c r="G324" s="32">
        <v>6</v>
      </c>
      <c r="H324" s="550">
        <v>8.4</v>
      </c>
      <c r="I324" s="550">
        <v>8.8940000000000001</v>
      </c>
      <c r="J324" s="32">
        <v>64</v>
      </c>
      <c r="K324" s="32" t="s">
        <v>104</v>
      </c>
      <c r="L324" s="32" t="s">
        <v>105</v>
      </c>
      <c r="M324" s="33" t="s">
        <v>86</v>
      </c>
      <c r="N324" s="33"/>
      <c r="O324" s="32">
        <v>30</v>
      </c>
      <c r="P324" s="742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24" s="556"/>
      <c r="R324" s="556"/>
      <c r="S324" s="556"/>
      <c r="T324" s="557"/>
      <c r="U324" s="34"/>
      <c r="V324" s="34"/>
      <c r="W324" s="35" t="s">
        <v>69</v>
      </c>
      <c r="X324" s="551">
        <v>120</v>
      </c>
      <c r="Y324" s="552">
        <f>IFERROR(IF(X324="",0,CEILING((X324/$H324),1)*$H324),"")</f>
        <v>126</v>
      </c>
      <c r="Z324" s="36">
        <f>IFERROR(IF(Y324=0,"",ROUNDUP(Y324/H324,0)*0.01898),"")</f>
        <v>0.28470000000000001</v>
      </c>
      <c r="AA324" s="56"/>
      <c r="AB324" s="57"/>
      <c r="AC324" s="383" t="s">
        <v>527</v>
      </c>
      <c r="AG324" s="64"/>
      <c r="AJ324" s="68" t="s">
        <v>92</v>
      </c>
      <c r="AK324" s="68">
        <v>67.2</v>
      </c>
      <c r="BB324" s="384" t="s">
        <v>1</v>
      </c>
      <c r="BM324" s="64">
        <f>IFERROR(X324*I324/H324,"0")</f>
        <v>127.05714285714285</v>
      </c>
      <c r="BN324" s="64">
        <f>IFERROR(Y324*I324/H324,"0")</f>
        <v>133.41</v>
      </c>
      <c r="BO324" s="64">
        <f>IFERROR(1/J324*(X324/H324),"0")</f>
        <v>0.2232142857142857</v>
      </c>
      <c r="BP324" s="64">
        <f>IFERROR(1/J324*(Y324/H324),"0")</f>
        <v>0.234375</v>
      </c>
    </row>
    <row r="325" spans="1:68" x14ac:dyDescent="0.2">
      <c r="A325" s="563"/>
      <c r="B325" s="564"/>
      <c r="C325" s="564"/>
      <c r="D325" s="564"/>
      <c r="E325" s="564"/>
      <c r="F325" s="564"/>
      <c r="G325" s="564"/>
      <c r="H325" s="564"/>
      <c r="I325" s="564"/>
      <c r="J325" s="564"/>
      <c r="K325" s="564"/>
      <c r="L325" s="564"/>
      <c r="M325" s="564"/>
      <c r="N325" s="564"/>
      <c r="O325" s="565"/>
      <c r="P325" s="570" t="s">
        <v>75</v>
      </c>
      <c r="Q325" s="571"/>
      <c r="R325" s="571"/>
      <c r="S325" s="571"/>
      <c r="T325" s="571"/>
      <c r="U325" s="571"/>
      <c r="V325" s="572"/>
      <c r="W325" s="37" t="s">
        <v>76</v>
      </c>
      <c r="X325" s="553">
        <f>IFERROR(X322/H322,"0")+IFERROR(X323/H323,"0")+IFERROR(X324/H324,"0")</f>
        <v>91.208791208791212</v>
      </c>
      <c r="Y325" s="553">
        <f>IFERROR(Y322/H322,"0")+IFERROR(Y323/H323,"0")+IFERROR(Y324/H324,"0")</f>
        <v>92</v>
      </c>
      <c r="Z325" s="553">
        <f>IFERROR(IF(Z322="",0,Z322),"0")+IFERROR(IF(Z323="",0,Z323),"0")+IFERROR(IF(Z324="",0,Z324),"0")</f>
        <v>1.7461599999999999</v>
      </c>
      <c r="AA325" s="554"/>
      <c r="AB325" s="554"/>
      <c r="AC325" s="554"/>
    </row>
    <row r="326" spans="1:68" x14ac:dyDescent="0.2">
      <c r="A326" s="564"/>
      <c r="B326" s="564"/>
      <c r="C326" s="564"/>
      <c r="D326" s="564"/>
      <c r="E326" s="564"/>
      <c r="F326" s="564"/>
      <c r="G326" s="564"/>
      <c r="H326" s="564"/>
      <c r="I326" s="564"/>
      <c r="J326" s="564"/>
      <c r="K326" s="564"/>
      <c r="L326" s="564"/>
      <c r="M326" s="564"/>
      <c r="N326" s="564"/>
      <c r="O326" s="565"/>
      <c r="P326" s="570" t="s">
        <v>75</v>
      </c>
      <c r="Q326" s="571"/>
      <c r="R326" s="571"/>
      <c r="S326" s="571"/>
      <c r="T326" s="571"/>
      <c r="U326" s="571"/>
      <c r="V326" s="572"/>
      <c r="W326" s="37" t="s">
        <v>69</v>
      </c>
      <c r="X326" s="553">
        <f>IFERROR(SUM(X322:X324),"0")</f>
        <v>720</v>
      </c>
      <c r="Y326" s="553">
        <f>IFERROR(SUM(Y322:Y324),"0")</f>
        <v>726.6</v>
      </c>
      <c r="Z326" s="37"/>
      <c r="AA326" s="554"/>
      <c r="AB326" s="554"/>
      <c r="AC326" s="554"/>
    </row>
    <row r="327" spans="1:68" ht="14.25" customHeight="1" x14ac:dyDescent="0.25">
      <c r="A327" s="567" t="s">
        <v>93</v>
      </c>
      <c r="B327" s="564"/>
      <c r="C327" s="564"/>
      <c r="D327" s="564"/>
      <c r="E327" s="564"/>
      <c r="F327" s="564"/>
      <c r="G327" s="564"/>
      <c r="H327" s="564"/>
      <c r="I327" s="564"/>
      <c r="J327" s="564"/>
      <c r="K327" s="564"/>
      <c r="L327" s="564"/>
      <c r="M327" s="564"/>
      <c r="N327" s="564"/>
      <c r="O327" s="564"/>
      <c r="P327" s="564"/>
      <c r="Q327" s="564"/>
      <c r="R327" s="564"/>
      <c r="S327" s="564"/>
      <c r="T327" s="564"/>
      <c r="U327" s="564"/>
      <c r="V327" s="564"/>
      <c r="W327" s="564"/>
      <c r="X327" s="564"/>
      <c r="Y327" s="564"/>
      <c r="Z327" s="564"/>
      <c r="AA327" s="545"/>
      <c r="AB327" s="545"/>
      <c r="AC327" s="545"/>
    </row>
    <row r="328" spans="1:68" ht="27" customHeight="1" x14ac:dyDescent="0.25">
      <c r="A328" s="54" t="s">
        <v>528</v>
      </c>
      <c r="B328" s="54" t="s">
        <v>529</v>
      </c>
      <c r="C328" s="31">
        <v>4301030235</v>
      </c>
      <c r="D328" s="558">
        <v>4607091388381</v>
      </c>
      <c r="E328" s="559"/>
      <c r="F328" s="550">
        <v>0.38</v>
      </c>
      <c r="G328" s="32">
        <v>8</v>
      </c>
      <c r="H328" s="550">
        <v>3.04</v>
      </c>
      <c r="I328" s="550">
        <v>3.31</v>
      </c>
      <c r="J328" s="32">
        <v>132</v>
      </c>
      <c r="K328" s="32" t="s">
        <v>110</v>
      </c>
      <c r="L328" s="32"/>
      <c r="M328" s="33" t="s">
        <v>96</v>
      </c>
      <c r="N328" s="33"/>
      <c r="O328" s="32">
        <v>180</v>
      </c>
      <c r="P328" s="577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28" s="556"/>
      <c r="R328" s="556"/>
      <c r="S328" s="556"/>
      <c r="T328" s="557"/>
      <c r="U328" s="34"/>
      <c r="V328" s="34"/>
      <c r="W328" s="35" t="s">
        <v>69</v>
      </c>
      <c r="X328" s="551">
        <v>0</v>
      </c>
      <c r="Y328" s="552">
        <f>IFERROR(IF(X328="",0,CEILING((X328/$H328),1)*$H328),"")</f>
        <v>0</v>
      </c>
      <c r="Z328" s="36" t="str">
        <f>IFERROR(IF(Y328=0,"",ROUNDUP(Y328/H328,0)*0.00902),"")</f>
        <v/>
      </c>
      <c r="AA328" s="56"/>
      <c r="AB328" s="57"/>
      <c r="AC328" s="385" t="s">
        <v>530</v>
      </c>
      <c r="AG328" s="64"/>
      <c r="AJ328" s="68"/>
      <c r="AK328" s="68">
        <v>0</v>
      </c>
      <c r="BB328" s="386" t="s">
        <v>1</v>
      </c>
      <c r="BM328" s="64">
        <f>IFERROR(X328*I328/H328,"0")</f>
        <v>0</v>
      </c>
      <c r="BN328" s="64">
        <f>IFERROR(Y328*I328/H328,"0")</f>
        <v>0</v>
      </c>
      <c r="BO328" s="64">
        <f>IFERROR(1/J328*(X328/H328),"0")</f>
        <v>0</v>
      </c>
      <c r="BP328" s="64">
        <f>IFERROR(1/J328*(Y328/H328),"0")</f>
        <v>0</v>
      </c>
    </row>
    <row r="329" spans="1:68" ht="27" customHeight="1" x14ac:dyDescent="0.25">
      <c r="A329" s="54" t="s">
        <v>531</v>
      </c>
      <c r="B329" s="54" t="s">
        <v>532</v>
      </c>
      <c r="C329" s="31">
        <v>4301030232</v>
      </c>
      <c r="D329" s="558">
        <v>4607091388374</v>
      </c>
      <c r="E329" s="559"/>
      <c r="F329" s="550">
        <v>0.38</v>
      </c>
      <c r="G329" s="32">
        <v>8</v>
      </c>
      <c r="H329" s="550">
        <v>3.04</v>
      </c>
      <c r="I329" s="550">
        <v>3.27</v>
      </c>
      <c r="J329" s="32">
        <v>132</v>
      </c>
      <c r="K329" s="32" t="s">
        <v>110</v>
      </c>
      <c r="L329" s="32"/>
      <c r="M329" s="33" t="s">
        <v>96</v>
      </c>
      <c r="N329" s="33"/>
      <c r="O329" s="32">
        <v>180</v>
      </c>
      <c r="P329" s="628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29" s="556"/>
      <c r="R329" s="556"/>
      <c r="S329" s="556"/>
      <c r="T329" s="557"/>
      <c r="U329" s="34"/>
      <c r="V329" s="34"/>
      <c r="W329" s="35" t="s">
        <v>69</v>
      </c>
      <c r="X329" s="551">
        <v>0</v>
      </c>
      <c r="Y329" s="552">
        <f>IFERROR(IF(X329="",0,CEILING((X329/$H329),1)*$H329),"")</f>
        <v>0</v>
      </c>
      <c r="Z329" s="36" t="str">
        <f>IFERROR(IF(Y329=0,"",ROUNDUP(Y329/H329,0)*0.00902),"")</f>
        <v/>
      </c>
      <c r="AA329" s="56"/>
      <c r="AB329" s="57"/>
      <c r="AC329" s="387" t="s">
        <v>530</v>
      </c>
      <c r="AG329" s="64"/>
      <c r="AJ329" s="68"/>
      <c r="AK329" s="68">
        <v>0</v>
      </c>
      <c r="BB329" s="388" t="s">
        <v>1</v>
      </c>
      <c r="BM329" s="64">
        <f>IFERROR(X329*I329/H329,"0")</f>
        <v>0</v>
      </c>
      <c r="BN329" s="64">
        <f>IFERROR(Y329*I329/H329,"0")</f>
        <v>0</v>
      </c>
      <c r="BO329" s="64">
        <f>IFERROR(1/J329*(X329/H329),"0")</f>
        <v>0</v>
      </c>
      <c r="BP329" s="64">
        <f>IFERROR(1/J329*(Y329/H329),"0")</f>
        <v>0</v>
      </c>
    </row>
    <row r="330" spans="1:68" ht="27" customHeight="1" x14ac:dyDescent="0.25">
      <c r="A330" s="54" t="s">
        <v>533</v>
      </c>
      <c r="B330" s="54" t="s">
        <v>534</v>
      </c>
      <c r="C330" s="31">
        <v>4301032015</v>
      </c>
      <c r="D330" s="558">
        <v>4607091383102</v>
      </c>
      <c r="E330" s="559"/>
      <c r="F330" s="550">
        <v>0.17</v>
      </c>
      <c r="G330" s="32">
        <v>15</v>
      </c>
      <c r="H330" s="550">
        <v>2.5499999999999998</v>
      </c>
      <c r="I330" s="550">
        <v>2.9550000000000001</v>
      </c>
      <c r="J330" s="32">
        <v>182</v>
      </c>
      <c r="K330" s="32" t="s">
        <v>67</v>
      </c>
      <c r="L330" s="32"/>
      <c r="M330" s="33" t="s">
        <v>96</v>
      </c>
      <c r="N330" s="33"/>
      <c r="O330" s="32">
        <v>180</v>
      </c>
      <c r="P330" s="761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30" s="556"/>
      <c r="R330" s="556"/>
      <c r="S330" s="556"/>
      <c r="T330" s="557"/>
      <c r="U330" s="34"/>
      <c r="V330" s="34"/>
      <c r="W330" s="35" t="s">
        <v>69</v>
      </c>
      <c r="X330" s="551">
        <v>0</v>
      </c>
      <c r="Y330" s="552">
        <f>IFERROR(IF(X330="",0,CEILING((X330/$H330),1)*$H330),"")</f>
        <v>0</v>
      </c>
      <c r="Z330" s="36" t="str">
        <f>IFERROR(IF(Y330=0,"",ROUNDUP(Y330/H330,0)*0.00651),"")</f>
        <v/>
      </c>
      <c r="AA330" s="56"/>
      <c r="AB330" s="57"/>
      <c r="AC330" s="389" t="s">
        <v>530</v>
      </c>
      <c r="AG330" s="64"/>
      <c r="AJ330" s="68"/>
      <c r="AK330" s="68">
        <v>0</v>
      </c>
      <c r="BB330" s="390" t="s">
        <v>1</v>
      </c>
      <c r="BM330" s="64">
        <f>IFERROR(X330*I330/H330,"0")</f>
        <v>0</v>
      </c>
      <c r="BN330" s="64">
        <f>IFERROR(Y330*I330/H330,"0")</f>
        <v>0</v>
      </c>
      <c r="BO330" s="64">
        <f>IFERROR(1/J330*(X330/H330),"0")</f>
        <v>0</v>
      </c>
      <c r="BP330" s="64">
        <f>IFERROR(1/J330*(Y330/H330),"0")</f>
        <v>0</v>
      </c>
    </row>
    <row r="331" spans="1:68" ht="27" customHeight="1" x14ac:dyDescent="0.25">
      <c r="A331" s="54" t="s">
        <v>535</v>
      </c>
      <c r="B331" s="54" t="s">
        <v>536</v>
      </c>
      <c r="C331" s="31">
        <v>4301030233</v>
      </c>
      <c r="D331" s="558">
        <v>4607091388404</v>
      </c>
      <c r="E331" s="559"/>
      <c r="F331" s="550">
        <v>0.17</v>
      </c>
      <c r="G331" s="32">
        <v>15</v>
      </c>
      <c r="H331" s="550">
        <v>2.5499999999999998</v>
      </c>
      <c r="I331" s="550">
        <v>2.88</v>
      </c>
      <c r="J331" s="32">
        <v>182</v>
      </c>
      <c r="K331" s="32" t="s">
        <v>67</v>
      </c>
      <c r="L331" s="32" t="s">
        <v>90</v>
      </c>
      <c r="M331" s="33" t="s">
        <v>96</v>
      </c>
      <c r="N331" s="33"/>
      <c r="O331" s="32">
        <v>180</v>
      </c>
      <c r="P331" s="630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31" s="556"/>
      <c r="R331" s="556"/>
      <c r="S331" s="556"/>
      <c r="T331" s="557"/>
      <c r="U331" s="34"/>
      <c r="V331" s="34"/>
      <c r="W331" s="35" t="s">
        <v>69</v>
      </c>
      <c r="X331" s="551">
        <v>25</v>
      </c>
      <c r="Y331" s="552">
        <f>IFERROR(IF(X331="",0,CEILING((X331/$H331),1)*$H331),"")</f>
        <v>25.5</v>
      </c>
      <c r="Z331" s="36">
        <f>IFERROR(IF(Y331=0,"",ROUNDUP(Y331/H331,0)*0.00651),"")</f>
        <v>6.5100000000000005E-2</v>
      </c>
      <c r="AA331" s="56"/>
      <c r="AB331" s="57"/>
      <c r="AC331" s="391" t="s">
        <v>530</v>
      </c>
      <c r="AG331" s="64"/>
      <c r="AJ331" s="68" t="s">
        <v>92</v>
      </c>
      <c r="AK331" s="68">
        <v>35.700000000000003</v>
      </c>
      <c r="BB331" s="392" t="s">
        <v>1</v>
      </c>
      <c r="BM331" s="64">
        <f>IFERROR(X331*I331/H331,"0")</f>
        <v>28.235294117647062</v>
      </c>
      <c r="BN331" s="64">
        <f>IFERROR(Y331*I331/H331,"0")</f>
        <v>28.8</v>
      </c>
      <c r="BO331" s="64">
        <f>IFERROR(1/J331*(X331/H331),"0")</f>
        <v>5.3867700926524466E-2</v>
      </c>
      <c r="BP331" s="64">
        <f>IFERROR(1/J331*(Y331/H331),"0")</f>
        <v>5.4945054945054951E-2</v>
      </c>
    </row>
    <row r="332" spans="1:68" x14ac:dyDescent="0.2">
      <c r="A332" s="563"/>
      <c r="B332" s="564"/>
      <c r="C332" s="564"/>
      <c r="D332" s="564"/>
      <c r="E332" s="564"/>
      <c r="F332" s="564"/>
      <c r="G332" s="564"/>
      <c r="H332" s="564"/>
      <c r="I332" s="564"/>
      <c r="J332" s="564"/>
      <c r="K332" s="564"/>
      <c r="L332" s="564"/>
      <c r="M332" s="564"/>
      <c r="N332" s="564"/>
      <c r="O332" s="565"/>
      <c r="P332" s="570" t="s">
        <v>75</v>
      </c>
      <c r="Q332" s="571"/>
      <c r="R332" s="571"/>
      <c r="S332" s="571"/>
      <c r="T332" s="571"/>
      <c r="U332" s="571"/>
      <c r="V332" s="572"/>
      <c r="W332" s="37" t="s">
        <v>76</v>
      </c>
      <c r="X332" s="553">
        <f>IFERROR(X328/H328,"0")+IFERROR(X329/H329,"0")+IFERROR(X330/H330,"0")+IFERROR(X331/H331,"0")</f>
        <v>9.8039215686274517</v>
      </c>
      <c r="Y332" s="553">
        <f>IFERROR(Y328/H328,"0")+IFERROR(Y329/H329,"0")+IFERROR(Y330/H330,"0")+IFERROR(Y331/H331,"0")</f>
        <v>10</v>
      </c>
      <c r="Z332" s="553">
        <f>IFERROR(IF(Z328="",0,Z328),"0")+IFERROR(IF(Z329="",0,Z329),"0")+IFERROR(IF(Z330="",0,Z330),"0")+IFERROR(IF(Z331="",0,Z331),"0")</f>
        <v>6.5100000000000005E-2</v>
      </c>
      <c r="AA332" s="554"/>
      <c r="AB332" s="554"/>
      <c r="AC332" s="554"/>
    </row>
    <row r="333" spans="1:68" x14ac:dyDescent="0.2">
      <c r="A333" s="564"/>
      <c r="B333" s="564"/>
      <c r="C333" s="564"/>
      <c r="D333" s="564"/>
      <c r="E333" s="564"/>
      <c r="F333" s="564"/>
      <c r="G333" s="564"/>
      <c r="H333" s="564"/>
      <c r="I333" s="564"/>
      <c r="J333" s="564"/>
      <c r="K333" s="564"/>
      <c r="L333" s="564"/>
      <c r="M333" s="564"/>
      <c r="N333" s="564"/>
      <c r="O333" s="565"/>
      <c r="P333" s="570" t="s">
        <v>75</v>
      </c>
      <c r="Q333" s="571"/>
      <c r="R333" s="571"/>
      <c r="S333" s="571"/>
      <c r="T333" s="571"/>
      <c r="U333" s="571"/>
      <c r="V333" s="572"/>
      <c r="W333" s="37" t="s">
        <v>69</v>
      </c>
      <c r="X333" s="553">
        <f>IFERROR(SUM(X328:X331),"0")</f>
        <v>25</v>
      </c>
      <c r="Y333" s="553">
        <f>IFERROR(SUM(Y328:Y331),"0")</f>
        <v>25.5</v>
      </c>
      <c r="Z333" s="37"/>
      <c r="AA333" s="554"/>
      <c r="AB333" s="554"/>
      <c r="AC333" s="554"/>
    </row>
    <row r="334" spans="1:68" ht="14.25" customHeight="1" x14ac:dyDescent="0.25">
      <c r="A334" s="567" t="s">
        <v>537</v>
      </c>
      <c r="B334" s="564"/>
      <c r="C334" s="564"/>
      <c r="D334" s="564"/>
      <c r="E334" s="564"/>
      <c r="F334" s="564"/>
      <c r="G334" s="564"/>
      <c r="H334" s="564"/>
      <c r="I334" s="564"/>
      <c r="J334" s="564"/>
      <c r="K334" s="564"/>
      <c r="L334" s="564"/>
      <c r="M334" s="564"/>
      <c r="N334" s="564"/>
      <c r="O334" s="564"/>
      <c r="P334" s="564"/>
      <c r="Q334" s="564"/>
      <c r="R334" s="564"/>
      <c r="S334" s="564"/>
      <c r="T334" s="564"/>
      <c r="U334" s="564"/>
      <c r="V334" s="564"/>
      <c r="W334" s="564"/>
      <c r="X334" s="564"/>
      <c r="Y334" s="564"/>
      <c r="Z334" s="564"/>
      <c r="AA334" s="545"/>
      <c r="AB334" s="545"/>
      <c r="AC334" s="545"/>
    </row>
    <row r="335" spans="1:68" ht="16.5" customHeight="1" x14ac:dyDescent="0.25">
      <c r="A335" s="54" t="s">
        <v>538</v>
      </c>
      <c r="B335" s="54" t="s">
        <v>539</v>
      </c>
      <c r="C335" s="31">
        <v>4301180007</v>
      </c>
      <c r="D335" s="558">
        <v>4680115881808</v>
      </c>
      <c r="E335" s="559"/>
      <c r="F335" s="550">
        <v>0.1</v>
      </c>
      <c r="G335" s="32">
        <v>20</v>
      </c>
      <c r="H335" s="550">
        <v>2</v>
      </c>
      <c r="I335" s="550">
        <v>2.2400000000000002</v>
      </c>
      <c r="J335" s="32">
        <v>238</v>
      </c>
      <c r="K335" s="32" t="s">
        <v>67</v>
      </c>
      <c r="L335" s="32"/>
      <c r="M335" s="33" t="s">
        <v>540</v>
      </c>
      <c r="N335" s="33"/>
      <c r="O335" s="32">
        <v>730</v>
      </c>
      <c r="P335" s="803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35" s="556"/>
      <c r="R335" s="556"/>
      <c r="S335" s="556"/>
      <c r="T335" s="557"/>
      <c r="U335" s="34"/>
      <c r="V335" s="34"/>
      <c r="W335" s="35" t="s">
        <v>69</v>
      </c>
      <c r="X335" s="551">
        <v>0</v>
      </c>
      <c r="Y335" s="552">
        <f>IFERROR(IF(X335="",0,CEILING((X335/$H335),1)*$H335),"")</f>
        <v>0</v>
      </c>
      <c r="Z335" s="36" t="str">
        <f>IFERROR(IF(Y335=0,"",ROUNDUP(Y335/H335,0)*0.00474),"")</f>
        <v/>
      </c>
      <c r="AA335" s="56"/>
      <c r="AB335" s="57"/>
      <c r="AC335" s="393" t="s">
        <v>541</v>
      </c>
      <c r="AG335" s="64"/>
      <c r="AJ335" s="68"/>
      <c r="AK335" s="68">
        <v>0</v>
      </c>
      <c r="BB335" s="394" t="s">
        <v>1</v>
      </c>
      <c r="BM335" s="64">
        <f>IFERROR(X335*I335/H335,"0")</f>
        <v>0</v>
      </c>
      <c r="BN335" s="64">
        <f>IFERROR(Y335*I335/H335,"0")</f>
        <v>0</v>
      </c>
      <c r="BO335" s="64">
        <f>IFERROR(1/J335*(X335/H335),"0")</f>
        <v>0</v>
      </c>
      <c r="BP335" s="64">
        <f>IFERROR(1/J335*(Y335/H335),"0")</f>
        <v>0</v>
      </c>
    </row>
    <row r="336" spans="1:68" ht="27" customHeight="1" x14ac:dyDescent="0.25">
      <c r="A336" s="54" t="s">
        <v>542</v>
      </c>
      <c r="B336" s="54" t="s">
        <v>543</v>
      </c>
      <c r="C336" s="31">
        <v>4301180006</v>
      </c>
      <c r="D336" s="558">
        <v>4680115881822</v>
      </c>
      <c r="E336" s="559"/>
      <c r="F336" s="550">
        <v>0.1</v>
      </c>
      <c r="G336" s="32">
        <v>20</v>
      </c>
      <c r="H336" s="550">
        <v>2</v>
      </c>
      <c r="I336" s="550">
        <v>2.2400000000000002</v>
      </c>
      <c r="J336" s="32">
        <v>238</v>
      </c>
      <c r="K336" s="32" t="s">
        <v>67</v>
      </c>
      <c r="L336" s="32"/>
      <c r="M336" s="33" t="s">
        <v>540</v>
      </c>
      <c r="N336" s="33"/>
      <c r="O336" s="32">
        <v>730</v>
      </c>
      <c r="P336" s="820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36" s="556"/>
      <c r="R336" s="556"/>
      <c r="S336" s="556"/>
      <c r="T336" s="557"/>
      <c r="U336" s="34"/>
      <c r="V336" s="34"/>
      <c r="W336" s="35" t="s">
        <v>69</v>
      </c>
      <c r="X336" s="551">
        <v>0</v>
      </c>
      <c r="Y336" s="552">
        <f>IFERROR(IF(X336="",0,CEILING((X336/$H336),1)*$H336),"")</f>
        <v>0</v>
      </c>
      <c r="Z336" s="36" t="str">
        <f>IFERROR(IF(Y336=0,"",ROUNDUP(Y336/H336,0)*0.00474),"")</f>
        <v/>
      </c>
      <c r="AA336" s="56"/>
      <c r="AB336" s="57"/>
      <c r="AC336" s="395" t="s">
        <v>541</v>
      </c>
      <c r="AG336" s="64"/>
      <c r="AJ336" s="68"/>
      <c r="AK336" s="68">
        <v>0</v>
      </c>
      <c r="BB336" s="396" t="s">
        <v>1</v>
      </c>
      <c r="BM336" s="64">
        <f>IFERROR(X336*I336/H336,"0")</f>
        <v>0</v>
      </c>
      <c r="BN336" s="64">
        <f>IFERROR(Y336*I336/H336,"0")</f>
        <v>0</v>
      </c>
      <c r="BO336" s="64">
        <f>IFERROR(1/J336*(X336/H336),"0")</f>
        <v>0</v>
      </c>
      <c r="BP336" s="64">
        <f>IFERROR(1/J336*(Y336/H336),"0")</f>
        <v>0</v>
      </c>
    </row>
    <row r="337" spans="1:68" ht="27" customHeight="1" x14ac:dyDescent="0.25">
      <c r="A337" s="54" t="s">
        <v>544</v>
      </c>
      <c r="B337" s="54" t="s">
        <v>545</v>
      </c>
      <c r="C337" s="31">
        <v>4301180001</v>
      </c>
      <c r="D337" s="558">
        <v>4680115880016</v>
      </c>
      <c r="E337" s="559"/>
      <c r="F337" s="550">
        <v>0.1</v>
      </c>
      <c r="G337" s="32">
        <v>20</v>
      </c>
      <c r="H337" s="550">
        <v>2</v>
      </c>
      <c r="I337" s="550">
        <v>2.2400000000000002</v>
      </c>
      <c r="J337" s="32">
        <v>238</v>
      </c>
      <c r="K337" s="32" t="s">
        <v>67</v>
      </c>
      <c r="L337" s="32"/>
      <c r="M337" s="33" t="s">
        <v>540</v>
      </c>
      <c r="N337" s="33"/>
      <c r="O337" s="32">
        <v>730</v>
      </c>
      <c r="P337" s="645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37" s="556"/>
      <c r="R337" s="556"/>
      <c r="S337" s="556"/>
      <c r="T337" s="557"/>
      <c r="U337" s="34"/>
      <c r="V337" s="34"/>
      <c r="W337" s="35" t="s">
        <v>69</v>
      </c>
      <c r="X337" s="551">
        <v>0</v>
      </c>
      <c r="Y337" s="552">
        <f>IFERROR(IF(X337="",0,CEILING((X337/$H337),1)*$H337),"")</f>
        <v>0</v>
      </c>
      <c r="Z337" s="36" t="str">
        <f>IFERROR(IF(Y337=0,"",ROUNDUP(Y337/H337,0)*0.00474),"")</f>
        <v/>
      </c>
      <c r="AA337" s="56"/>
      <c r="AB337" s="57"/>
      <c r="AC337" s="397" t="s">
        <v>541</v>
      </c>
      <c r="AG337" s="64"/>
      <c r="AJ337" s="68"/>
      <c r="AK337" s="68">
        <v>0</v>
      </c>
      <c r="BB337" s="398" t="s">
        <v>1</v>
      </c>
      <c r="BM337" s="64">
        <f>IFERROR(X337*I337/H337,"0")</f>
        <v>0</v>
      </c>
      <c r="BN337" s="64">
        <f>IFERROR(Y337*I337/H337,"0")</f>
        <v>0</v>
      </c>
      <c r="BO337" s="64">
        <f>IFERROR(1/J337*(X337/H337),"0")</f>
        <v>0</v>
      </c>
      <c r="BP337" s="64">
        <f>IFERROR(1/J337*(Y337/H337),"0")</f>
        <v>0</v>
      </c>
    </row>
    <row r="338" spans="1:68" x14ac:dyDescent="0.2">
      <c r="A338" s="563"/>
      <c r="B338" s="564"/>
      <c r="C338" s="564"/>
      <c r="D338" s="564"/>
      <c r="E338" s="564"/>
      <c r="F338" s="564"/>
      <c r="G338" s="564"/>
      <c r="H338" s="564"/>
      <c r="I338" s="564"/>
      <c r="J338" s="564"/>
      <c r="K338" s="564"/>
      <c r="L338" s="564"/>
      <c r="M338" s="564"/>
      <c r="N338" s="564"/>
      <c r="O338" s="565"/>
      <c r="P338" s="570" t="s">
        <v>75</v>
      </c>
      <c r="Q338" s="571"/>
      <c r="R338" s="571"/>
      <c r="S338" s="571"/>
      <c r="T338" s="571"/>
      <c r="U338" s="571"/>
      <c r="V338" s="572"/>
      <c r="W338" s="37" t="s">
        <v>76</v>
      </c>
      <c r="X338" s="553">
        <f>IFERROR(X335/H335,"0")+IFERROR(X336/H336,"0")+IFERROR(X337/H337,"0")</f>
        <v>0</v>
      </c>
      <c r="Y338" s="553">
        <f>IFERROR(Y335/H335,"0")+IFERROR(Y336/H336,"0")+IFERROR(Y337/H337,"0")</f>
        <v>0</v>
      </c>
      <c r="Z338" s="553">
        <f>IFERROR(IF(Z335="",0,Z335),"0")+IFERROR(IF(Z336="",0,Z336),"0")+IFERROR(IF(Z337="",0,Z337),"0")</f>
        <v>0</v>
      </c>
      <c r="AA338" s="554"/>
      <c r="AB338" s="554"/>
      <c r="AC338" s="554"/>
    </row>
    <row r="339" spans="1:68" x14ac:dyDescent="0.2">
      <c r="A339" s="564"/>
      <c r="B339" s="564"/>
      <c r="C339" s="564"/>
      <c r="D339" s="564"/>
      <c r="E339" s="564"/>
      <c r="F339" s="564"/>
      <c r="G339" s="564"/>
      <c r="H339" s="564"/>
      <c r="I339" s="564"/>
      <c r="J339" s="564"/>
      <c r="K339" s="564"/>
      <c r="L339" s="564"/>
      <c r="M339" s="564"/>
      <c r="N339" s="564"/>
      <c r="O339" s="565"/>
      <c r="P339" s="570" t="s">
        <v>75</v>
      </c>
      <c r="Q339" s="571"/>
      <c r="R339" s="571"/>
      <c r="S339" s="571"/>
      <c r="T339" s="571"/>
      <c r="U339" s="571"/>
      <c r="V339" s="572"/>
      <c r="W339" s="37" t="s">
        <v>69</v>
      </c>
      <c r="X339" s="553">
        <f>IFERROR(SUM(X335:X337),"0")</f>
        <v>0</v>
      </c>
      <c r="Y339" s="553">
        <f>IFERROR(SUM(Y335:Y337),"0")</f>
        <v>0</v>
      </c>
      <c r="Z339" s="37"/>
      <c r="AA339" s="554"/>
      <c r="AB339" s="554"/>
      <c r="AC339" s="554"/>
    </row>
    <row r="340" spans="1:68" ht="16.5" customHeight="1" x14ac:dyDescent="0.25">
      <c r="A340" s="573" t="s">
        <v>546</v>
      </c>
      <c r="B340" s="564"/>
      <c r="C340" s="564"/>
      <c r="D340" s="564"/>
      <c r="E340" s="564"/>
      <c r="F340" s="564"/>
      <c r="G340" s="564"/>
      <c r="H340" s="564"/>
      <c r="I340" s="564"/>
      <c r="J340" s="564"/>
      <c r="K340" s="564"/>
      <c r="L340" s="564"/>
      <c r="M340" s="564"/>
      <c r="N340" s="564"/>
      <c r="O340" s="564"/>
      <c r="P340" s="564"/>
      <c r="Q340" s="564"/>
      <c r="R340" s="564"/>
      <c r="S340" s="564"/>
      <c r="T340" s="564"/>
      <c r="U340" s="564"/>
      <c r="V340" s="564"/>
      <c r="W340" s="564"/>
      <c r="X340" s="564"/>
      <c r="Y340" s="564"/>
      <c r="Z340" s="564"/>
      <c r="AA340" s="546"/>
      <c r="AB340" s="546"/>
      <c r="AC340" s="546"/>
    </row>
    <row r="341" spans="1:68" ht="14.25" customHeight="1" x14ac:dyDescent="0.25">
      <c r="A341" s="567" t="s">
        <v>77</v>
      </c>
      <c r="B341" s="564"/>
      <c r="C341" s="564"/>
      <c r="D341" s="564"/>
      <c r="E341" s="564"/>
      <c r="F341" s="564"/>
      <c r="G341" s="564"/>
      <c r="H341" s="564"/>
      <c r="I341" s="564"/>
      <c r="J341" s="564"/>
      <c r="K341" s="564"/>
      <c r="L341" s="564"/>
      <c r="M341" s="564"/>
      <c r="N341" s="564"/>
      <c r="O341" s="564"/>
      <c r="P341" s="564"/>
      <c r="Q341" s="564"/>
      <c r="R341" s="564"/>
      <c r="S341" s="564"/>
      <c r="T341" s="564"/>
      <c r="U341" s="564"/>
      <c r="V341" s="564"/>
      <c r="W341" s="564"/>
      <c r="X341" s="564"/>
      <c r="Y341" s="564"/>
      <c r="Z341" s="564"/>
      <c r="AA341" s="545"/>
      <c r="AB341" s="545"/>
      <c r="AC341" s="545"/>
    </row>
    <row r="342" spans="1:68" ht="27" customHeight="1" x14ac:dyDescent="0.25">
      <c r="A342" s="54" t="s">
        <v>547</v>
      </c>
      <c r="B342" s="54" t="s">
        <v>548</v>
      </c>
      <c r="C342" s="31">
        <v>4301051489</v>
      </c>
      <c r="D342" s="558">
        <v>4607091387919</v>
      </c>
      <c r="E342" s="559"/>
      <c r="F342" s="550">
        <v>1.35</v>
      </c>
      <c r="G342" s="32">
        <v>6</v>
      </c>
      <c r="H342" s="550">
        <v>8.1</v>
      </c>
      <c r="I342" s="550">
        <v>8.5939999999999994</v>
      </c>
      <c r="J342" s="32">
        <v>64</v>
      </c>
      <c r="K342" s="32" t="s">
        <v>104</v>
      </c>
      <c r="L342" s="32" t="s">
        <v>105</v>
      </c>
      <c r="M342" s="33" t="s">
        <v>86</v>
      </c>
      <c r="N342" s="33"/>
      <c r="O342" s="32">
        <v>45</v>
      </c>
      <c r="P342" s="841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42" s="556"/>
      <c r="R342" s="556"/>
      <c r="S342" s="556"/>
      <c r="T342" s="557"/>
      <c r="U342" s="34"/>
      <c r="V342" s="34"/>
      <c r="W342" s="35" t="s">
        <v>69</v>
      </c>
      <c r="X342" s="551">
        <v>300</v>
      </c>
      <c r="Y342" s="552">
        <f>IFERROR(IF(X342="",0,CEILING((X342/$H342),1)*$H342),"")</f>
        <v>307.8</v>
      </c>
      <c r="Z342" s="36">
        <f>IFERROR(IF(Y342=0,"",ROUNDUP(Y342/H342,0)*0.01898),"")</f>
        <v>0.72123999999999999</v>
      </c>
      <c r="AA342" s="56"/>
      <c r="AB342" s="57"/>
      <c r="AC342" s="399" t="s">
        <v>549</v>
      </c>
      <c r="AG342" s="64"/>
      <c r="AJ342" s="68" t="s">
        <v>92</v>
      </c>
      <c r="AK342" s="68">
        <v>64.8</v>
      </c>
      <c r="BB342" s="400" t="s">
        <v>1</v>
      </c>
      <c r="BM342" s="64">
        <f>IFERROR(X342*I342/H342,"0")</f>
        <v>318.2962962962963</v>
      </c>
      <c r="BN342" s="64">
        <f>IFERROR(Y342*I342/H342,"0")</f>
        <v>326.572</v>
      </c>
      <c r="BO342" s="64">
        <f>IFERROR(1/J342*(X342/H342),"0")</f>
        <v>0.57870370370370372</v>
      </c>
      <c r="BP342" s="64">
        <f>IFERROR(1/J342*(Y342/H342),"0")</f>
        <v>0.59375</v>
      </c>
    </row>
    <row r="343" spans="1:68" ht="27" customHeight="1" x14ac:dyDescent="0.25">
      <c r="A343" s="54" t="s">
        <v>550</v>
      </c>
      <c r="B343" s="54" t="s">
        <v>551</v>
      </c>
      <c r="C343" s="31">
        <v>4301051461</v>
      </c>
      <c r="D343" s="558">
        <v>4680115883604</v>
      </c>
      <c r="E343" s="559"/>
      <c r="F343" s="550">
        <v>0.35</v>
      </c>
      <c r="G343" s="32">
        <v>6</v>
      </c>
      <c r="H343" s="550">
        <v>2.1</v>
      </c>
      <c r="I343" s="550">
        <v>2.3519999999999999</v>
      </c>
      <c r="J343" s="32">
        <v>182</v>
      </c>
      <c r="K343" s="32" t="s">
        <v>67</v>
      </c>
      <c r="L343" s="32" t="s">
        <v>90</v>
      </c>
      <c r="M343" s="33" t="s">
        <v>80</v>
      </c>
      <c r="N343" s="33"/>
      <c r="O343" s="32">
        <v>45</v>
      </c>
      <c r="P343" s="776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43" s="556"/>
      <c r="R343" s="556"/>
      <c r="S343" s="556"/>
      <c r="T343" s="557"/>
      <c r="U343" s="34"/>
      <c r="V343" s="34"/>
      <c r="W343" s="35" t="s">
        <v>69</v>
      </c>
      <c r="X343" s="551">
        <v>70</v>
      </c>
      <c r="Y343" s="552">
        <f>IFERROR(IF(X343="",0,CEILING((X343/$H343),1)*$H343),"")</f>
        <v>71.400000000000006</v>
      </c>
      <c r="Z343" s="36">
        <f>IFERROR(IF(Y343=0,"",ROUNDUP(Y343/H343,0)*0.00651),"")</f>
        <v>0.22134000000000001</v>
      </c>
      <c r="AA343" s="56"/>
      <c r="AB343" s="57"/>
      <c r="AC343" s="401" t="s">
        <v>552</v>
      </c>
      <c r="AG343" s="64"/>
      <c r="AJ343" s="68" t="s">
        <v>92</v>
      </c>
      <c r="AK343" s="68">
        <v>29.4</v>
      </c>
      <c r="BB343" s="402" t="s">
        <v>1</v>
      </c>
      <c r="BM343" s="64">
        <f>IFERROR(X343*I343/H343,"0")</f>
        <v>78.399999999999991</v>
      </c>
      <c r="BN343" s="64">
        <f>IFERROR(Y343*I343/H343,"0")</f>
        <v>79.968000000000004</v>
      </c>
      <c r="BO343" s="64">
        <f>IFERROR(1/J343*(X343/H343),"0")</f>
        <v>0.18315018315018314</v>
      </c>
      <c r="BP343" s="64">
        <f>IFERROR(1/J343*(Y343/H343),"0")</f>
        <v>0.18681318681318682</v>
      </c>
    </row>
    <row r="344" spans="1:68" ht="27" customHeight="1" x14ac:dyDescent="0.25">
      <c r="A344" s="54" t="s">
        <v>553</v>
      </c>
      <c r="B344" s="54" t="s">
        <v>554</v>
      </c>
      <c r="C344" s="31">
        <v>4301051864</v>
      </c>
      <c r="D344" s="558">
        <v>4680115883567</v>
      </c>
      <c r="E344" s="559"/>
      <c r="F344" s="550">
        <v>0.35</v>
      </c>
      <c r="G344" s="32">
        <v>6</v>
      </c>
      <c r="H344" s="550">
        <v>2.1</v>
      </c>
      <c r="I344" s="550">
        <v>2.34</v>
      </c>
      <c r="J344" s="32">
        <v>182</v>
      </c>
      <c r="K344" s="32" t="s">
        <v>67</v>
      </c>
      <c r="L344" s="32" t="s">
        <v>90</v>
      </c>
      <c r="M344" s="33" t="s">
        <v>86</v>
      </c>
      <c r="N344" s="33"/>
      <c r="O344" s="32">
        <v>40</v>
      </c>
      <c r="P344" s="844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44" s="556"/>
      <c r="R344" s="556"/>
      <c r="S344" s="556"/>
      <c r="T344" s="557"/>
      <c r="U344" s="34"/>
      <c r="V344" s="34"/>
      <c r="W344" s="35" t="s">
        <v>69</v>
      </c>
      <c r="X344" s="551">
        <v>0</v>
      </c>
      <c r="Y344" s="552">
        <f>IFERROR(IF(X344="",0,CEILING((X344/$H344),1)*$H344),"")</f>
        <v>0</v>
      </c>
      <c r="Z344" s="36" t="str">
        <f>IFERROR(IF(Y344=0,"",ROUNDUP(Y344/H344,0)*0.00651),"")</f>
        <v/>
      </c>
      <c r="AA344" s="56"/>
      <c r="AB344" s="57"/>
      <c r="AC344" s="403" t="s">
        <v>555</v>
      </c>
      <c r="AG344" s="64"/>
      <c r="AJ344" s="68" t="s">
        <v>92</v>
      </c>
      <c r="AK344" s="68">
        <v>29.4</v>
      </c>
      <c r="BB344" s="404" t="s">
        <v>1</v>
      </c>
      <c r="BM344" s="64">
        <f>IFERROR(X344*I344/H344,"0")</f>
        <v>0</v>
      </c>
      <c r="BN344" s="64">
        <f>IFERROR(Y344*I344/H344,"0")</f>
        <v>0</v>
      </c>
      <c r="BO344" s="64">
        <f>IFERROR(1/J344*(X344/H344),"0")</f>
        <v>0</v>
      </c>
      <c r="BP344" s="64">
        <f>IFERROR(1/J344*(Y344/H344),"0")</f>
        <v>0</v>
      </c>
    </row>
    <row r="345" spans="1:68" x14ac:dyDescent="0.2">
      <c r="A345" s="563"/>
      <c r="B345" s="564"/>
      <c r="C345" s="564"/>
      <c r="D345" s="564"/>
      <c r="E345" s="564"/>
      <c r="F345" s="564"/>
      <c r="G345" s="564"/>
      <c r="H345" s="564"/>
      <c r="I345" s="564"/>
      <c r="J345" s="564"/>
      <c r="K345" s="564"/>
      <c r="L345" s="564"/>
      <c r="M345" s="564"/>
      <c r="N345" s="564"/>
      <c r="O345" s="565"/>
      <c r="P345" s="570" t="s">
        <v>75</v>
      </c>
      <c r="Q345" s="571"/>
      <c r="R345" s="571"/>
      <c r="S345" s="571"/>
      <c r="T345" s="571"/>
      <c r="U345" s="571"/>
      <c r="V345" s="572"/>
      <c r="W345" s="37" t="s">
        <v>76</v>
      </c>
      <c r="X345" s="553">
        <f>IFERROR(X342/H342,"0")+IFERROR(X343/H343,"0")+IFERROR(X344/H344,"0")</f>
        <v>70.370370370370367</v>
      </c>
      <c r="Y345" s="553">
        <f>IFERROR(Y342/H342,"0")+IFERROR(Y343/H343,"0")+IFERROR(Y344/H344,"0")</f>
        <v>72</v>
      </c>
      <c r="Z345" s="553">
        <f>IFERROR(IF(Z342="",0,Z342),"0")+IFERROR(IF(Z343="",0,Z343),"0")+IFERROR(IF(Z344="",0,Z344),"0")</f>
        <v>0.94257999999999997</v>
      </c>
      <c r="AA345" s="554"/>
      <c r="AB345" s="554"/>
      <c r="AC345" s="554"/>
    </row>
    <row r="346" spans="1:68" x14ac:dyDescent="0.2">
      <c r="A346" s="564"/>
      <c r="B346" s="564"/>
      <c r="C346" s="564"/>
      <c r="D346" s="564"/>
      <c r="E346" s="564"/>
      <c r="F346" s="564"/>
      <c r="G346" s="564"/>
      <c r="H346" s="564"/>
      <c r="I346" s="564"/>
      <c r="J346" s="564"/>
      <c r="K346" s="564"/>
      <c r="L346" s="564"/>
      <c r="M346" s="564"/>
      <c r="N346" s="564"/>
      <c r="O346" s="565"/>
      <c r="P346" s="570" t="s">
        <v>75</v>
      </c>
      <c r="Q346" s="571"/>
      <c r="R346" s="571"/>
      <c r="S346" s="571"/>
      <c r="T346" s="571"/>
      <c r="U346" s="571"/>
      <c r="V346" s="572"/>
      <c r="W346" s="37" t="s">
        <v>69</v>
      </c>
      <c r="X346" s="553">
        <f>IFERROR(SUM(X342:X344),"0")</f>
        <v>370</v>
      </c>
      <c r="Y346" s="553">
        <f>IFERROR(SUM(Y342:Y344),"0")</f>
        <v>379.20000000000005</v>
      </c>
      <c r="Z346" s="37"/>
      <c r="AA346" s="554"/>
      <c r="AB346" s="554"/>
      <c r="AC346" s="554"/>
    </row>
    <row r="347" spans="1:68" ht="27.75" customHeight="1" x14ac:dyDescent="0.2">
      <c r="A347" s="626" t="s">
        <v>556</v>
      </c>
      <c r="B347" s="627"/>
      <c r="C347" s="627"/>
      <c r="D347" s="627"/>
      <c r="E347" s="627"/>
      <c r="F347" s="627"/>
      <c r="G347" s="627"/>
      <c r="H347" s="627"/>
      <c r="I347" s="627"/>
      <c r="J347" s="627"/>
      <c r="K347" s="627"/>
      <c r="L347" s="627"/>
      <c r="M347" s="627"/>
      <c r="N347" s="627"/>
      <c r="O347" s="627"/>
      <c r="P347" s="627"/>
      <c r="Q347" s="627"/>
      <c r="R347" s="627"/>
      <c r="S347" s="627"/>
      <c r="T347" s="627"/>
      <c r="U347" s="627"/>
      <c r="V347" s="627"/>
      <c r="W347" s="627"/>
      <c r="X347" s="627"/>
      <c r="Y347" s="627"/>
      <c r="Z347" s="627"/>
      <c r="AA347" s="48"/>
      <c r="AB347" s="48"/>
      <c r="AC347" s="48"/>
    </row>
    <row r="348" spans="1:68" ht="16.5" customHeight="1" x14ac:dyDescent="0.25">
      <c r="A348" s="573" t="s">
        <v>557</v>
      </c>
      <c r="B348" s="564"/>
      <c r="C348" s="564"/>
      <c r="D348" s="564"/>
      <c r="E348" s="564"/>
      <c r="F348" s="564"/>
      <c r="G348" s="564"/>
      <c r="H348" s="564"/>
      <c r="I348" s="564"/>
      <c r="J348" s="564"/>
      <c r="K348" s="564"/>
      <c r="L348" s="564"/>
      <c r="M348" s="564"/>
      <c r="N348" s="564"/>
      <c r="O348" s="564"/>
      <c r="P348" s="564"/>
      <c r="Q348" s="564"/>
      <c r="R348" s="564"/>
      <c r="S348" s="564"/>
      <c r="T348" s="564"/>
      <c r="U348" s="564"/>
      <c r="V348" s="564"/>
      <c r="W348" s="564"/>
      <c r="X348" s="564"/>
      <c r="Y348" s="564"/>
      <c r="Z348" s="564"/>
      <c r="AA348" s="546"/>
      <c r="AB348" s="546"/>
      <c r="AC348" s="546"/>
    </row>
    <row r="349" spans="1:68" ht="14.25" customHeight="1" x14ac:dyDescent="0.25">
      <c r="A349" s="567" t="s">
        <v>101</v>
      </c>
      <c r="B349" s="564"/>
      <c r="C349" s="564"/>
      <c r="D349" s="564"/>
      <c r="E349" s="564"/>
      <c r="F349" s="564"/>
      <c r="G349" s="564"/>
      <c r="H349" s="564"/>
      <c r="I349" s="564"/>
      <c r="J349" s="564"/>
      <c r="K349" s="564"/>
      <c r="L349" s="564"/>
      <c r="M349" s="564"/>
      <c r="N349" s="564"/>
      <c r="O349" s="564"/>
      <c r="P349" s="564"/>
      <c r="Q349" s="564"/>
      <c r="R349" s="564"/>
      <c r="S349" s="564"/>
      <c r="T349" s="564"/>
      <c r="U349" s="564"/>
      <c r="V349" s="564"/>
      <c r="W349" s="564"/>
      <c r="X349" s="564"/>
      <c r="Y349" s="564"/>
      <c r="Z349" s="564"/>
      <c r="AA349" s="545"/>
      <c r="AB349" s="545"/>
      <c r="AC349" s="545"/>
    </row>
    <row r="350" spans="1:68" ht="37.5" customHeight="1" x14ac:dyDescent="0.25">
      <c r="A350" s="54" t="s">
        <v>558</v>
      </c>
      <c r="B350" s="54" t="s">
        <v>559</v>
      </c>
      <c r="C350" s="31">
        <v>4301011869</v>
      </c>
      <c r="D350" s="558">
        <v>4680115884847</v>
      </c>
      <c r="E350" s="559"/>
      <c r="F350" s="550">
        <v>2.5</v>
      </c>
      <c r="G350" s="32">
        <v>6</v>
      </c>
      <c r="H350" s="550">
        <v>15</v>
      </c>
      <c r="I350" s="550">
        <v>15.47</v>
      </c>
      <c r="J350" s="32">
        <v>48</v>
      </c>
      <c r="K350" s="32" t="s">
        <v>104</v>
      </c>
      <c r="L350" s="32"/>
      <c r="M350" s="33" t="s">
        <v>68</v>
      </c>
      <c r="N350" s="33"/>
      <c r="O350" s="32">
        <v>60</v>
      </c>
      <c r="P350" s="664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50" s="556"/>
      <c r="R350" s="556"/>
      <c r="S350" s="556"/>
      <c r="T350" s="557"/>
      <c r="U350" s="34"/>
      <c r="V350" s="34"/>
      <c r="W350" s="35" t="s">
        <v>69</v>
      </c>
      <c r="X350" s="551">
        <v>0</v>
      </c>
      <c r="Y350" s="552">
        <f t="shared" ref="Y350:Y356" si="41">IFERROR(IF(X350="",0,CEILING((X350/$H350),1)*$H350),"")</f>
        <v>0</v>
      </c>
      <c r="Z350" s="36" t="str">
        <f>IFERROR(IF(Y350=0,"",ROUNDUP(Y350/H350,0)*0.02175),"")</f>
        <v/>
      </c>
      <c r="AA350" s="56"/>
      <c r="AB350" s="57"/>
      <c r="AC350" s="405" t="s">
        <v>560</v>
      </c>
      <c r="AG350" s="64"/>
      <c r="AJ350" s="68"/>
      <c r="AK350" s="68">
        <v>0</v>
      </c>
      <c r="BB350" s="406" t="s">
        <v>1</v>
      </c>
      <c r="BM350" s="64">
        <f t="shared" ref="BM350:BM356" si="42">IFERROR(X350*I350/H350,"0")</f>
        <v>0</v>
      </c>
      <c r="BN350" s="64">
        <f t="shared" ref="BN350:BN356" si="43">IFERROR(Y350*I350/H350,"0")</f>
        <v>0</v>
      </c>
      <c r="BO350" s="64">
        <f t="shared" ref="BO350:BO356" si="44">IFERROR(1/J350*(X350/H350),"0")</f>
        <v>0</v>
      </c>
      <c r="BP350" s="64">
        <f t="shared" ref="BP350:BP356" si="45">IFERROR(1/J350*(Y350/H350),"0")</f>
        <v>0</v>
      </c>
    </row>
    <row r="351" spans="1:68" ht="27" customHeight="1" x14ac:dyDescent="0.25">
      <c r="A351" s="54" t="s">
        <v>561</v>
      </c>
      <c r="B351" s="54" t="s">
        <v>562</v>
      </c>
      <c r="C351" s="31">
        <v>4301011870</v>
      </c>
      <c r="D351" s="558">
        <v>4680115884854</v>
      </c>
      <c r="E351" s="559"/>
      <c r="F351" s="550">
        <v>2.5</v>
      </c>
      <c r="G351" s="32">
        <v>6</v>
      </c>
      <c r="H351" s="550">
        <v>15</v>
      </c>
      <c r="I351" s="550">
        <v>15.47</v>
      </c>
      <c r="J351" s="32">
        <v>48</v>
      </c>
      <c r="K351" s="32" t="s">
        <v>104</v>
      </c>
      <c r="L351" s="32"/>
      <c r="M351" s="33" t="s">
        <v>68</v>
      </c>
      <c r="N351" s="33"/>
      <c r="O351" s="32">
        <v>60</v>
      </c>
      <c r="P351" s="703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51" s="556"/>
      <c r="R351" s="556"/>
      <c r="S351" s="556"/>
      <c r="T351" s="557"/>
      <c r="U351" s="34"/>
      <c r="V351" s="34"/>
      <c r="W351" s="35" t="s">
        <v>69</v>
      </c>
      <c r="X351" s="551">
        <v>0</v>
      </c>
      <c r="Y351" s="552">
        <f t="shared" si="41"/>
        <v>0</v>
      </c>
      <c r="Z351" s="36" t="str">
        <f>IFERROR(IF(Y351=0,"",ROUNDUP(Y351/H351,0)*0.02175),"")</f>
        <v/>
      </c>
      <c r="AA351" s="56"/>
      <c r="AB351" s="57"/>
      <c r="AC351" s="407" t="s">
        <v>563</v>
      </c>
      <c r="AG351" s="64"/>
      <c r="AJ351" s="68"/>
      <c r="AK351" s="68">
        <v>0</v>
      </c>
      <c r="BB351" s="408" t="s">
        <v>1</v>
      </c>
      <c r="BM351" s="64">
        <f t="shared" si="42"/>
        <v>0</v>
      </c>
      <c r="BN351" s="64">
        <f t="shared" si="43"/>
        <v>0</v>
      </c>
      <c r="BO351" s="64">
        <f t="shared" si="44"/>
        <v>0</v>
      </c>
      <c r="BP351" s="64">
        <f t="shared" si="45"/>
        <v>0</v>
      </c>
    </row>
    <row r="352" spans="1:68" ht="37.5" customHeight="1" x14ac:dyDescent="0.25">
      <c r="A352" s="54" t="s">
        <v>564</v>
      </c>
      <c r="B352" s="54" t="s">
        <v>565</v>
      </c>
      <c r="C352" s="31">
        <v>4301011867</v>
      </c>
      <c r="D352" s="558">
        <v>4680115884830</v>
      </c>
      <c r="E352" s="559"/>
      <c r="F352" s="550">
        <v>2.5</v>
      </c>
      <c r="G352" s="32">
        <v>6</v>
      </c>
      <c r="H352" s="550">
        <v>15</v>
      </c>
      <c r="I352" s="550">
        <v>15.47</v>
      </c>
      <c r="J352" s="32">
        <v>48</v>
      </c>
      <c r="K352" s="32" t="s">
        <v>104</v>
      </c>
      <c r="L352" s="32"/>
      <c r="M352" s="33" t="s">
        <v>68</v>
      </c>
      <c r="N352" s="33"/>
      <c r="O352" s="32">
        <v>60</v>
      </c>
      <c r="P352" s="669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52" s="556"/>
      <c r="R352" s="556"/>
      <c r="S352" s="556"/>
      <c r="T352" s="557"/>
      <c r="U352" s="34"/>
      <c r="V352" s="34"/>
      <c r="W352" s="35" t="s">
        <v>69</v>
      </c>
      <c r="X352" s="551">
        <v>0</v>
      </c>
      <c r="Y352" s="552">
        <f t="shared" si="41"/>
        <v>0</v>
      </c>
      <c r="Z352" s="36" t="str">
        <f>IFERROR(IF(Y352=0,"",ROUNDUP(Y352/H352,0)*0.02175),"")</f>
        <v/>
      </c>
      <c r="AA352" s="56"/>
      <c r="AB352" s="57"/>
      <c r="AC352" s="409" t="s">
        <v>566</v>
      </c>
      <c r="AG352" s="64"/>
      <c r="AJ352" s="68"/>
      <c r="AK352" s="68">
        <v>0</v>
      </c>
      <c r="BB352" s="410" t="s">
        <v>1</v>
      </c>
      <c r="BM352" s="64">
        <f t="shared" si="42"/>
        <v>0</v>
      </c>
      <c r="BN352" s="64">
        <f t="shared" si="43"/>
        <v>0</v>
      </c>
      <c r="BO352" s="64">
        <f t="shared" si="44"/>
        <v>0</v>
      </c>
      <c r="BP352" s="64">
        <f t="shared" si="45"/>
        <v>0</v>
      </c>
    </row>
    <row r="353" spans="1:68" ht="27" customHeight="1" x14ac:dyDescent="0.25">
      <c r="A353" s="54" t="s">
        <v>567</v>
      </c>
      <c r="B353" s="54" t="s">
        <v>568</v>
      </c>
      <c r="C353" s="31">
        <v>4301012215</v>
      </c>
      <c r="D353" s="558">
        <v>4680115887046</v>
      </c>
      <c r="E353" s="559"/>
      <c r="F353" s="550">
        <v>2.5</v>
      </c>
      <c r="G353" s="32">
        <v>6</v>
      </c>
      <c r="H353" s="550">
        <v>15</v>
      </c>
      <c r="I353" s="550">
        <v>15.47</v>
      </c>
      <c r="J353" s="32">
        <v>48</v>
      </c>
      <c r="K353" s="32" t="s">
        <v>104</v>
      </c>
      <c r="L353" s="32"/>
      <c r="M353" s="33" t="s">
        <v>86</v>
      </c>
      <c r="N353" s="33"/>
      <c r="O353" s="32">
        <v>60</v>
      </c>
      <c r="P353" s="706" t="str">
        <f>HYPERLINK("https://abi.ru/products/Охлажденные/Особый рецепт/Особая/Вареные колбасы/P005077/","Вареные колбасы «Докторская» Весовой п/а ТМ «Особый рецепт»")</f>
        <v>Вареные колбасы «Докторская» Весовой п/а ТМ «Особый рецепт»</v>
      </c>
      <c r="Q353" s="556"/>
      <c r="R353" s="556"/>
      <c r="S353" s="556"/>
      <c r="T353" s="557"/>
      <c r="U353" s="34"/>
      <c r="V353" s="34"/>
      <c r="W353" s="35" t="s">
        <v>69</v>
      </c>
      <c r="X353" s="551">
        <v>3500</v>
      </c>
      <c r="Y353" s="552">
        <f t="shared" si="41"/>
        <v>3510</v>
      </c>
      <c r="Z353" s="36">
        <f>IFERROR(IF(Y353=0,"",ROUNDUP(Y353/H353,0)*0.02175),"")</f>
        <v>5.0894999999999992</v>
      </c>
      <c r="AA353" s="56"/>
      <c r="AB353" s="57"/>
      <c r="AC353" s="411" t="s">
        <v>569</v>
      </c>
      <c r="AG353" s="64"/>
      <c r="AJ353" s="68"/>
      <c r="AK353" s="68">
        <v>0</v>
      </c>
      <c r="BB353" s="412" t="s">
        <v>1</v>
      </c>
      <c r="BM353" s="64">
        <f t="shared" si="42"/>
        <v>3609.6666666666665</v>
      </c>
      <c r="BN353" s="64">
        <f t="shared" si="43"/>
        <v>3619.9800000000005</v>
      </c>
      <c r="BO353" s="64">
        <f t="shared" si="44"/>
        <v>4.8611111111111107</v>
      </c>
      <c r="BP353" s="64">
        <f t="shared" si="45"/>
        <v>4.875</v>
      </c>
    </row>
    <row r="354" spans="1:68" ht="27" customHeight="1" x14ac:dyDescent="0.25">
      <c r="A354" s="54" t="s">
        <v>570</v>
      </c>
      <c r="B354" s="54" t="s">
        <v>571</v>
      </c>
      <c r="C354" s="31">
        <v>4301011433</v>
      </c>
      <c r="D354" s="558">
        <v>4680115882638</v>
      </c>
      <c r="E354" s="559"/>
      <c r="F354" s="550">
        <v>0.4</v>
      </c>
      <c r="G354" s="32">
        <v>10</v>
      </c>
      <c r="H354" s="550">
        <v>4</v>
      </c>
      <c r="I354" s="550">
        <v>4.1900000000000004</v>
      </c>
      <c r="J354" s="32">
        <v>132</v>
      </c>
      <c r="K354" s="32" t="s">
        <v>110</v>
      </c>
      <c r="L354" s="32"/>
      <c r="M354" s="33" t="s">
        <v>106</v>
      </c>
      <c r="N354" s="33"/>
      <c r="O354" s="32">
        <v>90</v>
      </c>
      <c r="P354" s="825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54" s="556"/>
      <c r="R354" s="556"/>
      <c r="S354" s="556"/>
      <c r="T354" s="557"/>
      <c r="U354" s="34"/>
      <c r="V354" s="34"/>
      <c r="W354" s="35" t="s">
        <v>69</v>
      </c>
      <c r="X354" s="551">
        <v>0</v>
      </c>
      <c r="Y354" s="552">
        <f t="shared" si="41"/>
        <v>0</v>
      </c>
      <c r="Z354" s="36" t="str">
        <f>IFERROR(IF(Y354=0,"",ROUNDUP(Y354/H354,0)*0.00902),"")</f>
        <v/>
      </c>
      <c r="AA354" s="56"/>
      <c r="AB354" s="57"/>
      <c r="AC354" s="413" t="s">
        <v>572</v>
      </c>
      <c r="AG354" s="64"/>
      <c r="AJ354" s="68"/>
      <c r="AK354" s="68">
        <v>0</v>
      </c>
      <c r="BB354" s="414" t="s">
        <v>1</v>
      </c>
      <c r="BM354" s="64">
        <f t="shared" si="42"/>
        <v>0</v>
      </c>
      <c r="BN354" s="64">
        <f t="shared" si="43"/>
        <v>0</v>
      </c>
      <c r="BO354" s="64">
        <f t="shared" si="44"/>
        <v>0</v>
      </c>
      <c r="BP354" s="64">
        <f t="shared" si="45"/>
        <v>0</v>
      </c>
    </row>
    <row r="355" spans="1:68" ht="27" customHeight="1" x14ac:dyDescent="0.25">
      <c r="A355" s="54" t="s">
        <v>573</v>
      </c>
      <c r="B355" s="54" t="s">
        <v>574</v>
      </c>
      <c r="C355" s="31">
        <v>4301011952</v>
      </c>
      <c r="D355" s="558">
        <v>4680115884922</v>
      </c>
      <c r="E355" s="559"/>
      <c r="F355" s="550">
        <v>0.5</v>
      </c>
      <c r="G355" s="32">
        <v>10</v>
      </c>
      <c r="H355" s="550">
        <v>5</v>
      </c>
      <c r="I355" s="550">
        <v>5.19</v>
      </c>
      <c r="J355" s="32">
        <v>132</v>
      </c>
      <c r="K355" s="32" t="s">
        <v>110</v>
      </c>
      <c r="L355" s="32"/>
      <c r="M355" s="33" t="s">
        <v>68</v>
      </c>
      <c r="N355" s="33"/>
      <c r="O355" s="32">
        <v>60</v>
      </c>
      <c r="P355" s="860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55" s="556"/>
      <c r="R355" s="556"/>
      <c r="S355" s="556"/>
      <c r="T355" s="557"/>
      <c r="U355" s="34"/>
      <c r="V355" s="34"/>
      <c r="W355" s="35" t="s">
        <v>69</v>
      </c>
      <c r="X355" s="551">
        <v>0</v>
      </c>
      <c r="Y355" s="552">
        <f t="shared" si="41"/>
        <v>0</v>
      </c>
      <c r="Z355" s="36" t="str">
        <f>IFERROR(IF(Y355=0,"",ROUNDUP(Y355/H355,0)*0.00902),"")</f>
        <v/>
      </c>
      <c r="AA355" s="56"/>
      <c r="AB355" s="57"/>
      <c r="AC355" s="415" t="s">
        <v>563</v>
      </c>
      <c r="AG355" s="64"/>
      <c r="AJ355" s="68"/>
      <c r="AK355" s="68">
        <v>0</v>
      </c>
      <c r="BB355" s="416" t="s">
        <v>1</v>
      </c>
      <c r="BM355" s="64">
        <f t="shared" si="42"/>
        <v>0</v>
      </c>
      <c r="BN355" s="64">
        <f t="shared" si="43"/>
        <v>0</v>
      </c>
      <c r="BO355" s="64">
        <f t="shared" si="44"/>
        <v>0</v>
      </c>
      <c r="BP355" s="64">
        <f t="shared" si="45"/>
        <v>0</v>
      </c>
    </row>
    <row r="356" spans="1:68" ht="37.5" customHeight="1" x14ac:dyDescent="0.25">
      <c r="A356" s="54" t="s">
        <v>575</v>
      </c>
      <c r="B356" s="54" t="s">
        <v>576</v>
      </c>
      <c r="C356" s="31">
        <v>4301011868</v>
      </c>
      <c r="D356" s="558">
        <v>4680115884861</v>
      </c>
      <c r="E356" s="559"/>
      <c r="F356" s="550">
        <v>0.5</v>
      </c>
      <c r="G356" s="32">
        <v>10</v>
      </c>
      <c r="H356" s="550">
        <v>5</v>
      </c>
      <c r="I356" s="550">
        <v>5.19</v>
      </c>
      <c r="J356" s="32">
        <v>132</v>
      </c>
      <c r="K356" s="32" t="s">
        <v>110</v>
      </c>
      <c r="L356" s="32" t="s">
        <v>111</v>
      </c>
      <c r="M356" s="33" t="s">
        <v>68</v>
      </c>
      <c r="N356" s="33"/>
      <c r="O356" s="32">
        <v>60</v>
      </c>
      <c r="P356" s="731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56" s="556"/>
      <c r="R356" s="556"/>
      <c r="S356" s="556"/>
      <c r="T356" s="557"/>
      <c r="U356" s="34"/>
      <c r="V356" s="34"/>
      <c r="W356" s="35" t="s">
        <v>69</v>
      </c>
      <c r="X356" s="551">
        <v>50</v>
      </c>
      <c r="Y356" s="552">
        <f t="shared" si="41"/>
        <v>50</v>
      </c>
      <c r="Z356" s="36">
        <f>IFERROR(IF(Y356=0,"",ROUNDUP(Y356/H356,0)*0.00902),"")</f>
        <v>9.0200000000000002E-2</v>
      </c>
      <c r="AA356" s="56"/>
      <c r="AB356" s="57"/>
      <c r="AC356" s="417" t="s">
        <v>566</v>
      </c>
      <c r="AG356" s="64"/>
      <c r="AJ356" s="68" t="s">
        <v>92</v>
      </c>
      <c r="AK356" s="68">
        <v>60</v>
      </c>
      <c r="BB356" s="418" t="s">
        <v>1</v>
      </c>
      <c r="BM356" s="64">
        <f t="shared" si="42"/>
        <v>51.9</v>
      </c>
      <c r="BN356" s="64">
        <f t="shared" si="43"/>
        <v>51.9</v>
      </c>
      <c r="BO356" s="64">
        <f t="shared" si="44"/>
        <v>7.575757575757576E-2</v>
      </c>
      <c r="BP356" s="64">
        <f t="shared" si="45"/>
        <v>7.575757575757576E-2</v>
      </c>
    </row>
    <row r="357" spans="1:68" x14ac:dyDescent="0.2">
      <c r="A357" s="563"/>
      <c r="B357" s="564"/>
      <c r="C357" s="564"/>
      <c r="D357" s="564"/>
      <c r="E357" s="564"/>
      <c r="F357" s="564"/>
      <c r="G357" s="564"/>
      <c r="H357" s="564"/>
      <c r="I357" s="564"/>
      <c r="J357" s="564"/>
      <c r="K357" s="564"/>
      <c r="L357" s="564"/>
      <c r="M357" s="564"/>
      <c r="N357" s="564"/>
      <c r="O357" s="565"/>
      <c r="P357" s="570" t="s">
        <v>75</v>
      </c>
      <c r="Q357" s="571"/>
      <c r="R357" s="571"/>
      <c r="S357" s="571"/>
      <c r="T357" s="571"/>
      <c r="U357" s="571"/>
      <c r="V357" s="572"/>
      <c r="W357" s="37" t="s">
        <v>76</v>
      </c>
      <c r="X357" s="553">
        <f>IFERROR(X350/H350,"0")+IFERROR(X351/H351,"0")+IFERROR(X352/H352,"0")+IFERROR(X353/H353,"0")+IFERROR(X354/H354,"0")+IFERROR(X355/H355,"0")+IFERROR(X356/H356,"0")</f>
        <v>243.33333333333334</v>
      </c>
      <c r="Y357" s="553">
        <f>IFERROR(Y350/H350,"0")+IFERROR(Y351/H351,"0")+IFERROR(Y352/H352,"0")+IFERROR(Y353/H353,"0")+IFERROR(Y354/H354,"0")+IFERROR(Y355/H355,"0")+IFERROR(Y356/H356,"0")</f>
        <v>244</v>
      </c>
      <c r="Z357" s="553">
        <f>IFERROR(IF(Z350="",0,Z350),"0")+IFERROR(IF(Z351="",0,Z351),"0")+IFERROR(IF(Z352="",0,Z352),"0")+IFERROR(IF(Z353="",0,Z353),"0")+IFERROR(IF(Z354="",0,Z354),"0")+IFERROR(IF(Z355="",0,Z355),"0")+IFERROR(IF(Z356="",0,Z356),"0")</f>
        <v>5.1796999999999995</v>
      </c>
      <c r="AA357" s="554"/>
      <c r="AB357" s="554"/>
      <c r="AC357" s="554"/>
    </row>
    <row r="358" spans="1:68" x14ac:dyDescent="0.2">
      <c r="A358" s="564"/>
      <c r="B358" s="564"/>
      <c r="C358" s="564"/>
      <c r="D358" s="564"/>
      <c r="E358" s="564"/>
      <c r="F358" s="564"/>
      <c r="G358" s="564"/>
      <c r="H358" s="564"/>
      <c r="I358" s="564"/>
      <c r="J358" s="564"/>
      <c r="K358" s="564"/>
      <c r="L358" s="564"/>
      <c r="M358" s="564"/>
      <c r="N358" s="564"/>
      <c r="O358" s="565"/>
      <c r="P358" s="570" t="s">
        <v>75</v>
      </c>
      <c r="Q358" s="571"/>
      <c r="R358" s="571"/>
      <c r="S358" s="571"/>
      <c r="T358" s="571"/>
      <c r="U358" s="571"/>
      <c r="V358" s="572"/>
      <c r="W358" s="37" t="s">
        <v>69</v>
      </c>
      <c r="X358" s="553">
        <f>IFERROR(SUM(X350:X356),"0")</f>
        <v>3550</v>
      </c>
      <c r="Y358" s="553">
        <f>IFERROR(SUM(Y350:Y356),"0")</f>
        <v>3560</v>
      </c>
      <c r="Z358" s="37"/>
      <c r="AA358" s="554"/>
      <c r="AB358" s="554"/>
      <c r="AC358" s="554"/>
    </row>
    <row r="359" spans="1:68" ht="14.25" customHeight="1" x14ac:dyDescent="0.25">
      <c r="A359" s="567" t="s">
        <v>136</v>
      </c>
      <c r="B359" s="564"/>
      <c r="C359" s="564"/>
      <c r="D359" s="564"/>
      <c r="E359" s="564"/>
      <c r="F359" s="564"/>
      <c r="G359" s="564"/>
      <c r="H359" s="564"/>
      <c r="I359" s="564"/>
      <c r="J359" s="564"/>
      <c r="K359" s="564"/>
      <c r="L359" s="564"/>
      <c r="M359" s="564"/>
      <c r="N359" s="564"/>
      <c r="O359" s="564"/>
      <c r="P359" s="564"/>
      <c r="Q359" s="564"/>
      <c r="R359" s="564"/>
      <c r="S359" s="564"/>
      <c r="T359" s="564"/>
      <c r="U359" s="564"/>
      <c r="V359" s="564"/>
      <c r="W359" s="564"/>
      <c r="X359" s="564"/>
      <c r="Y359" s="564"/>
      <c r="Z359" s="564"/>
      <c r="AA359" s="545"/>
      <c r="AB359" s="545"/>
      <c r="AC359" s="545"/>
    </row>
    <row r="360" spans="1:68" ht="27" customHeight="1" x14ac:dyDescent="0.25">
      <c r="A360" s="54" t="s">
        <v>577</v>
      </c>
      <c r="B360" s="54" t="s">
        <v>578</v>
      </c>
      <c r="C360" s="31">
        <v>4301020178</v>
      </c>
      <c r="D360" s="558">
        <v>4607091383980</v>
      </c>
      <c r="E360" s="559"/>
      <c r="F360" s="550">
        <v>2.5</v>
      </c>
      <c r="G360" s="32">
        <v>6</v>
      </c>
      <c r="H360" s="550">
        <v>15</v>
      </c>
      <c r="I360" s="550">
        <v>15.47</v>
      </c>
      <c r="J360" s="32">
        <v>48</v>
      </c>
      <c r="K360" s="32" t="s">
        <v>104</v>
      </c>
      <c r="L360" s="32"/>
      <c r="M360" s="33" t="s">
        <v>106</v>
      </c>
      <c r="N360" s="33"/>
      <c r="O360" s="32">
        <v>50</v>
      </c>
      <c r="P360" s="874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60" s="556"/>
      <c r="R360" s="556"/>
      <c r="S360" s="556"/>
      <c r="T360" s="557"/>
      <c r="U360" s="34"/>
      <c r="V360" s="34"/>
      <c r="W360" s="35" t="s">
        <v>69</v>
      </c>
      <c r="X360" s="551">
        <v>2100</v>
      </c>
      <c r="Y360" s="552">
        <f>IFERROR(IF(X360="",0,CEILING((X360/$H360),1)*$H360),"")</f>
        <v>2100</v>
      </c>
      <c r="Z360" s="36">
        <f>IFERROR(IF(Y360=0,"",ROUNDUP(Y360/H360,0)*0.02175),"")</f>
        <v>3.0449999999999999</v>
      </c>
      <c r="AA360" s="56"/>
      <c r="AB360" s="57"/>
      <c r="AC360" s="419" t="s">
        <v>579</v>
      </c>
      <c r="AG360" s="64"/>
      <c r="AJ360" s="68"/>
      <c r="AK360" s="68">
        <v>0</v>
      </c>
      <c r="BB360" s="420" t="s">
        <v>1</v>
      </c>
      <c r="BM360" s="64">
        <f>IFERROR(X360*I360/H360,"0")</f>
        <v>2165.8000000000002</v>
      </c>
      <c r="BN360" s="64">
        <f>IFERROR(Y360*I360/H360,"0")</f>
        <v>2165.8000000000002</v>
      </c>
      <c r="BO360" s="64">
        <f>IFERROR(1/J360*(X360/H360),"0")</f>
        <v>2.9166666666666665</v>
      </c>
      <c r="BP360" s="64">
        <f>IFERROR(1/J360*(Y360/H360),"0")</f>
        <v>2.9166666666666665</v>
      </c>
    </row>
    <row r="361" spans="1:68" ht="27" customHeight="1" x14ac:dyDescent="0.25">
      <c r="A361" s="54" t="s">
        <v>580</v>
      </c>
      <c r="B361" s="54" t="s">
        <v>581</v>
      </c>
      <c r="C361" s="31">
        <v>4301020179</v>
      </c>
      <c r="D361" s="558">
        <v>4607091384178</v>
      </c>
      <c r="E361" s="559"/>
      <c r="F361" s="550">
        <v>0.4</v>
      </c>
      <c r="G361" s="32">
        <v>10</v>
      </c>
      <c r="H361" s="550">
        <v>4</v>
      </c>
      <c r="I361" s="550">
        <v>4.1900000000000004</v>
      </c>
      <c r="J361" s="32">
        <v>132</v>
      </c>
      <c r="K361" s="32" t="s">
        <v>110</v>
      </c>
      <c r="L361" s="32"/>
      <c r="M361" s="33" t="s">
        <v>106</v>
      </c>
      <c r="N361" s="33"/>
      <c r="O361" s="32">
        <v>50</v>
      </c>
      <c r="P361" s="725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61" s="556"/>
      <c r="R361" s="556"/>
      <c r="S361" s="556"/>
      <c r="T361" s="557"/>
      <c r="U361" s="34"/>
      <c r="V361" s="34"/>
      <c r="W361" s="35" t="s">
        <v>69</v>
      </c>
      <c r="X361" s="551">
        <v>40</v>
      </c>
      <c r="Y361" s="552">
        <f>IFERROR(IF(X361="",0,CEILING((X361/$H361),1)*$H361),"")</f>
        <v>40</v>
      </c>
      <c r="Z361" s="36">
        <f>IFERROR(IF(Y361=0,"",ROUNDUP(Y361/H361,0)*0.00902),"")</f>
        <v>9.0200000000000002E-2</v>
      </c>
      <c r="AA361" s="56"/>
      <c r="AB361" s="57"/>
      <c r="AC361" s="421" t="s">
        <v>582</v>
      </c>
      <c r="AG361" s="64"/>
      <c r="AJ361" s="68"/>
      <c r="AK361" s="68">
        <v>0</v>
      </c>
      <c r="BB361" s="422" t="s">
        <v>1</v>
      </c>
      <c r="BM361" s="64">
        <f>IFERROR(X361*I361/H361,"0")</f>
        <v>41.900000000000006</v>
      </c>
      <c r="BN361" s="64">
        <f>IFERROR(Y361*I361/H361,"0")</f>
        <v>41.900000000000006</v>
      </c>
      <c r="BO361" s="64">
        <f>IFERROR(1/J361*(X361/H361),"0")</f>
        <v>7.575757575757576E-2</v>
      </c>
      <c r="BP361" s="64">
        <f>IFERROR(1/J361*(Y361/H361),"0")</f>
        <v>7.575757575757576E-2</v>
      </c>
    </row>
    <row r="362" spans="1:68" x14ac:dyDescent="0.2">
      <c r="A362" s="563"/>
      <c r="B362" s="564"/>
      <c r="C362" s="564"/>
      <c r="D362" s="564"/>
      <c r="E362" s="564"/>
      <c r="F362" s="564"/>
      <c r="G362" s="564"/>
      <c r="H362" s="564"/>
      <c r="I362" s="564"/>
      <c r="J362" s="564"/>
      <c r="K362" s="564"/>
      <c r="L362" s="564"/>
      <c r="M362" s="564"/>
      <c r="N362" s="564"/>
      <c r="O362" s="565"/>
      <c r="P362" s="570" t="s">
        <v>75</v>
      </c>
      <c r="Q362" s="571"/>
      <c r="R362" s="571"/>
      <c r="S362" s="571"/>
      <c r="T362" s="571"/>
      <c r="U362" s="571"/>
      <c r="V362" s="572"/>
      <c r="W362" s="37" t="s">
        <v>76</v>
      </c>
      <c r="X362" s="553">
        <f>IFERROR(X360/H360,"0")+IFERROR(X361/H361,"0")</f>
        <v>150</v>
      </c>
      <c r="Y362" s="553">
        <f>IFERROR(Y360/H360,"0")+IFERROR(Y361/H361,"0")</f>
        <v>150</v>
      </c>
      <c r="Z362" s="553">
        <f>IFERROR(IF(Z360="",0,Z360),"0")+IFERROR(IF(Z361="",0,Z361),"0")</f>
        <v>3.1351999999999998</v>
      </c>
      <c r="AA362" s="554"/>
      <c r="AB362" s="554"/>
      <c r="AC362" s="554"/>
    </row>
    <row r="363" spans="1:68" x14ac:dyDescent="0.2">
      <c r="A363" s="564"/>
      <c r="B363" s="564"/>
      <c r="C363" s="564"/>
      <c r="D363" s="564"/>
      <c r="E363" s="564"/>
      <c r="F363" s="564"/>
      <c r="G363" s="564"/>
      <c r="H363" s="564"/>
      <c r="I363" s="564"/>
      <c r="J363" s="564"/>
      <c r="K363" s="564"/>
      <c r="L363" s="564"/>
      <c r="M363" s="564"/>
      <c r="N363" s="564"/>
      <c r="O363" s="565"/>
      <c r="P363" s="570" t="s">
        <v>75</v>
      </c>
      <c r="Q363" s="571"/>
      <c r="R363" s="571"/>
      <c r="S363" s="571"/>
      <c r="T363" s="571"/>
      <c r="U363" s="571"/>
      <c r="V363" s="572"/>
      <c r="W363" s="37" t="s">
        <v>69</v>
      </c>
      <c r="X363" s="553">
        <f>IFERROR(SUM(X360:X361),"0")</f>
        <v>2140</v>
      </c>
      <c r="Y363" s="553">
        <f>IFERROR(SUM(Y360:Y361),"0")</f>
        <v>2140</v>
      </c>
      <c r="Z363" s="37"/>
      <c r="AA363" s="554"/>
      <c r="AB363" s="554"/>
      <c r="AC363" s="554"/>
    </row>
    <row r="364" spans="1:68" ht="14.25" customHeight="1" x14ac:dyDescent="0.25">
      <c r="A364" s="567" t="s">
        <v>77</v>
      </c>
      <c r="B364" s="564"/>
      <c r="C364" s="564"/>
      <c r="D364" s="564"/>
      <c r="E364" s="564"/>
      <c r="F364" s="564"/>
      <c r="G364" s="564"/>
      <c r="H364" s="564"/>
      <c r="I364" s="564"/>
      <c r="J364" s="564"/>
      <c r="K364" s="564"/>
      <c r="L364" s="564"/>
      <c r="M364" s="564"/>
      <c r="N364" s="564"/>
      <c r="O364" s="564"/>
      <c r="P364" s="564"/>
      <c r="Q364" s="564"/>
      <c r="R364" s="564"/>
      <c r="S364" s="564"/>
      <c r="T364" s="564"/>
      <c r="U364" s="564"/>
      <c r="V364" s="564"/>
      <c r="W364" s="564"/>
      <c r="X364" s="564"/>
      <c r="Y364" s="564"/>
      <c r="Z364" s="564"/>
      <c r="AA364" s="545"/>
      <c r="AB364" s="545"/>
      <c r="AC364" s="545"/>
    </row>
    <row r="365" spans="1:68" ht="27" customHeight="1" x14ac:dyDescent="0.25">
      <c r="A365" s="54" t="s">
        <v>583</v>
      </c>
      <c r="B365" s="54" t="s">
        <v>584</v>
      </c>
      <c r="C365" s="31">
        <v>4301051903</v>
      </c>
      <c r="D365" s="558">
        <v>4607091383928</v>
      </c>
      <c r="E365" s="559"/>
      <c r="F365" s="550">
        <v>1.5</v>
      </c>
      <c r="G365" s="32">
        <v>6</v>
      </c>
      <c r="H365" s="550">
        <v>9</v>
      </c>
      <c r="I365" s="550">
        <v>9.5</v>
      </c>
      <c r="J365" s="32">
        <v>64</v>
      </c>
      <c r="K365" s="32" t="s">
        <v>104</v>
      </c>
      <c r="L365" s="32" t="s">
        <v>105</v>
      </c>
      <c r="M365" s="33" t="s">
        <v>80</v>
      </c>
      <c r="N365" s="33"/>
      <c r="O365" s="32">
        <v>40</v>
      </c>
      <c r="P365" s="883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365" s="556"/>
      <c r="R365" s="556"/>
      <c r="S365" s="556"/>
      <c r="T365" s="557"/>
      <c r="U365" s="34"/>
      <c r="V365" s="34"/>
      <c r="W365" s="35" t="s">
        <v>69</v>
      </c>
      <c r="X365" s="551">
        <v>0</v>
      </c>
      <c r="Y365" s="552">
        <f>IFERROR(IF(X365="",0,CEILING((X365/$H365),1)*$H365),"")</f>
        <v>0</v>
      </c>
      <c r="Z365" s="36" t="str">
        <f>IFERROR(IF(Y365=0,"",ROUNDUP(Y365/H365,0)*0.01898),"")</f>
        <v/>
      </c>
      <c r="AA365" s="56"/>
      <c r="AB365" s="57"/>
      <c r="AC365" s="423" t="s">
        <v>585</v>
      </c>
      <c r="AG365" s="64"/>
      <c r="AJ365" s="68" t="s">
        <v>92</v>
      </c>
      <c r="AK365" s="68">
        <v>72</v>
      </c>
      <c r="BB365" s="424" t="s">
        <v>1</v>
      </c>
      <c r="BM365" s="64">
        <f>IFERROR(X365*I365/H365,"0")</f>
        <v>0</v>
      </c>
      <c r="BN365" s="64">
        <f>IFERROR(Y365*I365/H365,"0")</f>
        <v>0</v>
      </c>
      <c r="BO365" s="64">
        <f>IFERROR(1/J365*(X365/H365),"0")</f>
        <v>0</v>
      </c>
      <c r="BP365" s="64">
        <f>IFERROR(1/J365*(Y365/H365),"0")</f>
        <v>0</v>
      </c>
    </row>
    <row r="366" spans="1:68" ht="27" customHeight="1" x14ac:dyDescent="0.25">
      <c r="A366" s="54" t="s">
        <v>586</v>
      </c>
      <c r="B366" s="54" t="s">
        <v>587</v>
      </c>
      <c r="C366" s="31">
        <v>4301051897</v>
      </c>
      <c r="D366" s="558">
        <v>4607091384260</v>
      </c>
      <c r="E366" s="559"/>
      <c r="F366" s="550">
        <v>1.5</v>
      </c>
      <c r="G366" s="32">
        <v>6</v>
      </c>
      <c r="H366" s="550">
        <v>9</v>
      </c>
      <c r="I366" s="550">
        <v>9.4939999999999998</v>
      </c>
      <c r="J366" s="32">
        <v>64</v>
      </c>
      <c r="K366" s="32" t="s">
        <v>104</v>
      </c>
      <c r="L366" s="32" t="s">
        <v>105</v>
      </c>
      <c r="M366" s="33" t="s">
        <v>80</v>
      </c>
      <c r="N366" s="33"/>
      <c r="O366" s="32">
        <v>40</v>
      </c>
      <c r="P366" s="599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366" s="556"/>
      <c r="R366" s="556"/>
      <c r="S366" s="556"/>
      <c r="T366" s="557"/>
      <c r="U366" s="34"/>
      <c r="V366" s="34"/>
      <c r="W366" s="35" t="s">
        <v>69</v>
      </c>
      <c r="X366" s="551">
        <v>0</v>
      </c>
      <c r="Y366" s="552">
        <f>IFERROR(IF(X366="",0,CEILING((X366/$H366),1)*$H366),"")</f>
        <v>0</v>
      </c>
      <c r="Z366" s="36" t="str">
        <f>IFERROR(IF(Y366=0,"",ROUNDUP(Y366/H366,0)*0.01898),"")</f>
        <v/>
      </c>
      <c r="AA366" s="56"/>
      <c r="AB366" s="57"/>
      <c r="AC366" s="425" t="s">
        <v>588</v>
      </c>
      <c r="AG366" s="64"/>
      <c r="AJ366" s="68" t="s">
        <v>92</v>
      </c>
      <c r="AK366" s="68">
        <v>72</v>
      </c>
      <c r="BB366" s="426" t="s">
        <v>1</v>
      </c>
      <c r="BM366" s="64">
        <f>IFERROR(X366*I366/H366,"0")</f>
        <v>0</v>
      </c>
      <c r="BN366" s="64">
        <f>IFERROR(Y366*I366/H366,"0")</f>
        <v>0</v>
      </c>
      <c r="BO366" s="64">
        <f>IFERROR(1/J366*(X366/H366),"0")</f>
        <v>0</v>
      </c>
      <c r="BP366" s="64">
        <f>IFERROR(1/J366*(Y366/H366),"0")</f>
        <v>0</v>
      </c>
    </row>
    <row r="367" spans="1:68" x14ac:dyDescent="0.2">
      <c r="A367" s="563"/>
      <c r="B367" s="564"/>
      <c r="C367" s="564"/>
      <c r="D367" s="564"/>
      <c r="E367" s="564"/>
      <c r="F367" s="564"/>
      <c r="G367" s="564"/>
      <c r="H367" s="564"/>
      <c r="I367" s="564"/>
      <c r="J367" s="564"/>
      <c r="K367" s="564"/>
      <c r="L367" s="564"/>
      <c r="M367" s="564"/>
      <c r="N367" s="564"/>
      <c r="O367" s="565"/>
      <c r="P367" s="570" t="s">
        <v>75</v>
      </c>
      <c r="Q367" s="571"/>
      <c r="R367" s="571"/>
      <c r="S367" s="571"/>
      <c r="T367" s="571"/>
      <c r="U367" s="571"/>
      <c r="V367" s="572"/>
      <c r="W367" s="37" t="s">
        <v>76</v>
      </c>
      <c r="X367" s="553">
        <f>IFERROR(X365/H365,"0")+IFERROR(X366/H366,"0")</f>
        <v>0</v>
      </c>
      <c r="Y367" s="553">
        <f>IFERROR(Y365/H365,"0")+IFERROR(Y366/H366,"0")</f>
        <v>0</v>
      </c>
      <c r="Z367" s="553">
        <f>IFERROR(IF(Z365="",0,Z365),"0")+IFERROR(IF(Z366="",0,Z366),"0")</f>
        <v>0</v>
      </c>
      <c r="AA367" s="554"/>
      <c r="AB367" s="554"/>
      <c r="AC367" s="554"/>
    </row>
    <row r="368" spans="1:68" x14ac:dyDescent="0.2">
      <c r="A368" s="564"/>
      <c r="B368" s="564"/>
      <c r="C368" s="564"/>
      <c r="D368" s="564"/>
      <c r="E368" s="564"/>
      <c r="F368" s="564"/>
      <c r="G368" s="564"/>
      <c r="H368" s="564"/>
      <c r="I368" s="564"/>
      <c r="J368" s="564"/>
      <c r="K368" s="564"/>
      <c r="L368" s="564"/>
      <c r="M368" s="564"/>
      <c r="N368" s="564"/>
      <c r="O368" s="565"/>
      <c r="P368" s="570" t="s">
        <v>75</v>
      </c>
      <c r="Q368" s="571"/>
      <c r="R368" s="571"/>
      <c r="S368" s="571"/>
      <c r="T368" s="571"/>
      <c r="U368" s="571"/>
      <c r="V368" s="572"/>
      <c r="W368" s="37" t="s">
        <v>69</v>
      </c>
      <c r="X368" s="553">
        <f>IFERROR(SUM(X365:X366),"0")</f>
        <v>0</v>
      </c>
      <c r="Y368" s="553">
        <f>IFERROR(SUM(Y365:Y366),"0")</f>
        <v>0</v>
      </c>
      <c r="Z368" s="37"/>
      <c r="AA368" s="554"/>
      <c r="AB368" s="554"/>
      <c r="AC368" s="554"/>
    </row>
    <row r="369" spans="1:68" ht="14.25" customHeight="1" x14ac:dyDescent="0.25">
      <c r="A369" s="567" t="s">
        <v>161</v>
      </c>
      <c r="B369" s="564"/>
      <c r="C369" s="564"/>
      <c r="D369" s="564"/>
      <c r="E369" s="564"/>
      <c r="F369" s="564"/>
      <c r="G369" s="564"/>
      <c r="H369" s="564"/>
      <c r="I369" s="564"/>
      <c r="J369" s="564"/>
      <c r="K369" s="564"/>
      <c r="L369" s="564"/>
      <c r="M369" s="564"/>
      <c r="N369" s="564"/>
      <c r="O369" s="564"/>
      <c r="P369" s="564"/>
      <c r="Q369" s="564"/>
      <c r="R369" s="564"/>
      <c r="S369" s="564"/>
      <c r="T369" s="564"/>
      <c r="U369" s="564"/>
      <c r="V369" s="564"/>
      <c r="W369" s="564"/>
      <c r="X369" s="564"/>
      <c r="Y369" s="564"/>
      <c r="Z369" s="564"/>
      <c r="AA369" s="545"/>
      <c r="AB369" s="545"/>
      <c r="AC369" s="545"/>
    </row>
    <row r="370" spans="1:68" ht="16.5" customHeight="1" x14ac:dyDescent="0.25">
      <c r="A370" s="54" t="s">
        <v>589</v>
      </c>
      <c r="B370" s="54" t="s">
        <v>590</v>
      </c>
      <c r="C370" s="31">
        <v>4301060524</v>
      </c>
      <c r="D370" s="558">
        <v>4607091384673</v>
      </c>
      <c r="E370" s="559"/>
      <c r="F370" s="550">
        <v>1.5</v>
      </c>
      <c r="G370" s="32">
        <v>6</v>
      </c>
      <c r="H370" s="550">
        <v>9</v>
      </c>
      <c r="I370" s="550">
        <v>9.4939999999999998</v>
      </c>
      <c r="J370" s="32">
        <v>64</v>
      </c>
      <c r="K370" s="32" t="s">
        <v>104</v>
      </c>
      <c r="L370" s="32"/>
      <c r="M370" s="33" t="s">
        <v>80</v>
      </c>
      <c r="N370" s="33"/>
      <c r="O370" s="32">
        <v>40</v>
      </c>
      <c r="P370" s="852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370" s="556"/>
      <c r="R370" s="556"/>
      <c r="S370" s="556"/>
      <c r="T370" s="557"/>
      <c r="U370" s="34"/>
      <c r="V370" s="34"/>
      <c r="W370" s="35" t="s">
        <v>69</v>
      </c>
      <c r="X370" s="551">
        <v>0</v>
      </c>
      <c r="Y370" s="552">
        <f>IFERROR(IF(X370="",0,CEILING((X370/$H370),1)*$H370),"")</f>
        <v>0</v>
      </c>
      <c r="Z370" s="36" t="str">
        <f>IFERROR(IF(Y370=0,"",ROUNDUP(Y370/H370,0)*0.01898),"")</f>
        <v/>
      </c>
      <c r="AA370" s="56"/>
      <c r="AB370" s="57"/>
      <c r="AC370" s="427" t="s">
        <v>591</v>
      </c>
      <c r="AG370" s="64"/>
      <c r="AJ370" s="68"/>
      <c r="AK370" s="68">
        <v>0</v>
      </c>
      <c r="BB370" s="428" t="s">
        <v>1</v>
      </c>
      <c r="BM370" s="64">
        <f>IFERROR(X370*I370/H370,"0")</f>
        <v>0</v>
      </c>
      <c r="BN370" s="64">
        <f>IFERROR(Y370*I370/H370,"0")</f>
        <v>0</v>
      </c>
      <c r="BO370" s="64">
        <f>IFERROR(1/J370*(X370/H370),"0")</f>
        <v>0</v>
      </c>
      <c r="BP370" s="64">
        <f>IFERROR(1/J370*(Y370/H370),"0")</f>
        <v>0</v>
      </c>
    </row>
    <row r="371" spans="1:68" x14ac:dyDescent="0.2">
      <c r="A371" s="563"/>
      <c r="B371" s="564"/>
      <c r="C371" s="564"/>
      <c r="D371" s="564"/>
      <c r="E371" s="564"/>
      <c r="F371" s="564"/>
      <c r="G371" s="564"/>
      <c r="H371" s="564"/>
      <c r="I371" s="564"/>
      <c r="J371" s="564"/>
      <c r="K371" s="564"/>
      <c r="L371" s="564"/>
      <c r="M371" s="564"/>
      <c r="N371" s="564"/>
      <c r="O371" s="565"/>
      <c r="P371" s="570" t="s">
        <v>75</v>
      </c>
      <c r="Q371" s="571"/>
      <c r="R371" s="571"/>
      <c r="S371" s="571"/>
      <c r="T371" s="571"/>
      <c r="U371" s="571"/>
      <c r="V371" s="572"/>
      <c r="W371" s="37" t="s">
        <v>76</v>
      </c>
      <c r="X371" s="553">
        <f>IFERROR(X370/H370,"0")</f>
        <v>0</v>
      </c>
      <c r="Y371" s="553">
        <f>IFERROR(Y370/H370,"0")</f>
        <v>0</v>
      </c>
      <c r="Z371" s="553">
        <f>IFERROR(IF(Z370="",0,Z370),"0")</f>
        <v>0</v>
      </c>
      <c r="AA371" s="554"/>
      <c r="AB371" s="554"/>
      <c r="AC371" s="554"/>
    </row>
    <row r="372" spans="1:68" x14ac:dyDescent="0.2">
      <c r="A372" s="564"/>
      <c r="B372" s="564"/>
      <c r="C372" s="564"/>
      <c r="D372" s="564"/>
      <c r="E372" s="564"/>
      <c r="F372" s="564"/>
      <c r="G372" s="564"/>
      <c r="H372" s="564"/>
      <c r="I372" s="564"/>
      <c r="J372" s="564"/>
      <c r="K372" s="564"/>
      <c r="L372" s="564"/>
      <c r="M372" s="564"/>
      <c r="N372" s="564"/>
      <c r="O372" s="565"/>
      <c r="P372" s="570" t="s">
        <v>75</v>
      </c>
      <c r="Q372" s="571"/>
      <c r="R372" s="571"/>
      <c r="S372" s="571"/>
      <c r="T372" s="571"/>
      <c r="U372" s="571"/>
      <c r="V372" s="572"/>
      <c r="W372" s="37" t="s">
        <v>69</v>
      </c>
      <c r="X372" s="553">
        <f>IFERROR(SUM(X370:X370),"0")</f>
        <v>0</v>
      </c>
      <c r="Y372" s="553">
        <f>IFERROR(SUM(Y370:Y370),"0")</f>
        <v>0</v>
      </c>
      <c r="Z372" s="37"/>
      <c r="AA372" s="554"/>
      <c r="AB372" s="554"/>
      <c r="AC372" s="554"/>
    </row>
    <row r="373" spans="1:68" ht="16.5" customHeight="1" x14ac:dyDescent="0.25">
      <c r="A373" s="573" t="s">
        <v>592</v>
      </c>
      <c r="B373" s="564"/>
      <c r="C373" s="564"/>
      <c r="D373" s="564"/>
      <c r="E373" s="564"/>
      <c r="F373" s="564"/>
      <c r="G373" s="564"/>
      <c r="H373" s="564"/>
      <c r="I373" s="564"/>
      <c r="J373" s="564"/>
      <c r="K373" s="564"/>
      <c r="L373" s="564"/>
      <c r="M373" s="564"/>
      <c r="N373" s="564"/>
      <c r="O373" s="564"/>
      <c r="P373" s="564"/>
      <c r="Q373" s="564"/>
      <c r="R373" s="564"/>
      <c r="S373" s="564"/>
      <c r="T373" s="564"/>
      <c r="U373" s="564"/>
      <c r="V373" s="564"/>
      <c r="W373" s="564"/>
      <c r="X373" s="564"/>
      <c r="Y373" s="564"/>
      <c r="Z373" s="564"/>
      <c r="AA373" s="546"/>
      <c r="AB373" s="546"/>
      <c r="AC373" s="546"/>
    </row>
    <row r="374" spans="1:68" ht="14.25" customHeight="1" x14ac:dyDescent="0.25">
      <c r="A374" s="567" t="s">
        <v>101</v>
      </c>
      <c r="B374" s="564"/>
      <c r="C374" s="564"/>
      <c r="D374" s="564"/>
      <c r="E374" s="564"/>
      <c r="F374" s="564"/>
      <c r="G374" s="564"/>
      <c r="H374" s="564"/>
      <c r="I374" s="564"/>
      <c r="J374" s="564"/>
      <c r="K374" s="564"/>
      <c r="L374" s="564"/>
      <c r="M374" s="564"/>
      <c r="N374" s="564"/>
      <c r="O374" s="564"/>
      <c r="P374" s="564"/>
      <c r="Q374" s="564"/>
      <c r="R374" s="564"/>
      <c r="S374" s="564"/>
      <c r="T374" s="564"/>
      <c r="U374" s="564"/>
      <c r="V374" s="564"/>
      <c r="W374" s="564"/>
      <c r="X374" s="564"/>
      <c r="Y374" s="564"/>
      <c r="Z374" s="564"/>
      <c r="AA374" s="545"/>
      <c r="AB374" s="545"/>
      <c r="AC374" s="545"/>
    </row>
    <row r="375" spans="1:68" ht="37.5" customHeight="1" x14ac:dyDescent="0.25">
      <c r="A375" s="54" t="s">
        <v>593</v>
      </c>
      <c r="B375" s="54" t="s">
        <v>594</v>
      </c>
      <c r="C375" s="31">
        <v>4301011875</v>
      </c>
      <c r="D375" s="558">
        <v>4680115884885</v>
      </c>
      <c r="E375" s="559"/>
      <c r="F375" s="550">
        <v>0.8</v>
      </c>
      <c r="G375" s="32">
        <v>15</v>
      </c>
      <c r="H375" s="550">
        <v>12</v>
      </c>
      <c r="I375" s="550">
        <v>12.41</v>
      </c>
      <c r="J375" s="32">
        <v>64</v>
      </c>
      <c r="K375" s="32" t="s">
        <v>104</v>
      </c>
      <c r="L375" s="32" t="s">
        <v>105</v>
      </c>
      <c r="M375" s="33" t="s">
        <v>68</v>
      </c>
      <c r="N375" s="33"/>
      <c r="O375" s="32">
        <v>60</v>
      </c>
      <c r="P375" s="749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375" s="556"/>
      <c r="R375" s="556"/>
      <c r="S375" s="556"/>
      <c r="T375" s="557"/>
      <c r="U375" s="34"/>
      <c r="V375" s="34"/>
      <c r="W375" s="35" t="s">
        <v>69</v>
      </c>
      <c r="X375" s="551">
        <v>0</v>
      </c>
      <c r="Y375" s="552">
        <f>IFERROR(IF(X375="",0,CEILING((X375/$H375),1)*$H375),"")</f>
        <v>0</v>
      </c>
      <c r="Z375" s="36" t="str">
        <f>IFERROR(IF(Y375=0,"",ROUNDUP(Y375/H375,0)*0.01898),"")</f>
        <v/>
      </c>
      <c r="AA375" s="56"/>
      <c r="AB375" s="57"/>
      <c r="AC375" s="429" t="s">
        <v>595</v>
      </c>
      <c r="AG375" s="64"/>
      <c r="AJ375" s="68" t="s">
        <v>92</v>
      </c>
      <c r="AK375" s="68">
        <v>96</v>
      </c>
      <c r="BB375" s="430" t="s">
        <v>1</v>
      </c>
      <c r="BM375" s="64">
        <f>IFERROR(X375*I375/H375,"0")</f>
        <v>0</v>
      </c>
      <c r="BN375" s="64">
        <f>IFERROR(Y375*I375/H375,"0")</f>
        <v>0</v>
      </c>
      <c r="BO375" s="64">
        <f>IFERROR(1/J375*(X375/H375),"0")</f>
        <v>0</v>
      </c>
      <c r="BP375" s="64">
        <f>IFERROR(1/J375*(Y375/H375),"0")</f>
        <v>0</v>
      </c>
    </row>
    <row r="376" spans="1:68" ht="37.5" customHeight="1" x14ac:dyDescent="0.25">
      <c r="A376" s="54" t="s">
        <v>596</v>
      </c>
      <c r="B376" s="54" t="s">
        <v>597</v>
      </c>
      <c r="C376" s="31">
        <v>4301011871</v>
      </c>
      <c r="D376" s="558">
        <v>4680115884908</v>
      </c>
      <c r="E376" s="559"/>
      <c r="F376" s="550">
        <v>0.4</v>
      </c>
      <c r="G376" s="32">
        <v>10</v>
      </c>
      <c r="H376" s="550">
        <v>4</v>
      </c>
      <c r="I376" s="550">
        <v>4.1900000000000004</v>
      </c>
      <c r="J376" s="32">
        <v>132</v>
      </c>
      <c r="K376" s="32" t="s">
        <v>110</v>
      </c>
      <c r="L376" s="32" t="s">
        <v>111</v>
      </c>
      <c r="M376" s="33" t="s">
        <v>68</v>
      </c>
      <c r="N376" s="33"/>
      <c r="O376" s="32">
        <v>60</v>
      </c>
      <c r="P376" s="676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376" s="556"/>
      <c r="R376" s="556"/>
      <c r="S376" s="556"/>
      <c r="T376" s="557"/>
      <c r="U376" s="34"/>
      <c r="V376" s="34"/>
      <c r="W376" s="35" t="s">
        <v>69</v>
      </c>
      <c r="X376" s="551">
        <v>0</v>
      </c>
      <c r="Y376" s="552">
        <f>IFERROR(IF(X376="",0,CEILING((X376/$H376),1)*$H376),"")</f>
        <v>0</v>
      </c>
      <c r="Z376" s="36" t="str">
        <f>IFERROR(IF(Y376=0,"",ROUNDUP(Y376/H376,0)*0.00902),"")</f>
        <v/>
      </c>
      <c r="AA376" s="56"/>
      <c r="AB376" s="57"/>
      <c r="AC376" s="431" t="s">
        <v>595</v>
      </c>
      <c r="AG376" s="64"/>
      <c r="AJ376" s="68" t="s">
        <v>92</v>
      </c>
      <c r="AK376" s="68">
        <v>48</v>
      </c>
      <c r="BB376" s="432" t="s">
        <v>1</v>
      </c>
      <c r="BM376" s="64">
        <f>IFERROR(X376*I376/H376,"0")</f>
        <v>0</v>
      </c>
      <c r="BN376" s="64">
        <f>IFERROR(Y376*I376/H376,"0")</f>
        <v>0</v>
      </c>
      <c r="BO376" s="64">
        <f>IFERROR(1/J376*(X376/H376),"0")</f>
        <v>0</v>
      </c>
      <c r="BP376" s="64">
        <f>IFERROR(1/J376*(Y376/H376),"0")</f>
        <v>0</v>
      </c>
    </row>
    <row r="377" spans="1:68" x14ac:dyDescent="0.2">
      <c r="A377" s="563"/>
      <c r="B377" s="564"/>
      <c r="C377" s="564"/>
      <c r="D377" s="564"/>
      <c r="E377" s="564"/>
      <c r="F377" s="564"/>
      <c r="G377" s="564"/>
      <c r="H377" s="564"/>
      <c r="I377" s="564"/>
      <c r="J377" s="564"/>
      <c r="K377" s="564"/>
      <c r="L377" s="564"/>
      <c r="M377" s="564"/>
      <c r="N377" s="564"/>
      <c r="O377" s="565"/>
      <c r="P377" s="570" t="s">
        <v>75</v>
      </c>
      <c r="Q377" s="571"/>
      <c r="R377" s="571"/>
      <c r="S377" s="571"/>
      <c r="T377" s="571"/>
      <c r="U377" s="571"/>
      <c r="V377" s="572"/>
      <c r="W377" s="37" t="s">
        <v>76</v>
      </c>
      <c r="X377" s="553">
        <f>IFERROR(X375/H375,"0")+IFERROR(X376/H376,"0")</f>
        <v>0</v>
      </c>
      <c r="Y377" s="553">
        <f>IFERROR(Y375/H375,"0")+IFERROR(Y376/H376,"0")</f>
        <v>0</v>
      </c>
      <c r="Z377" s="553">
        <f>IFERROR(IF(Z375="",0,Z375),"0")+IFERROR(IF(Z376="",0,Z376),"0")</f>
        <v>0</v>
      </c>
      <c r="AA377" s="554"/>
      <c r="AB377" s="554"/>
      <c r="AC377" s="554"/>
    </row>
    <row r="378" spans="1:68" x14ac:dyDescent="0.2">
      <c r="A378" s="564"/>
      <c r="B378" s="564"/>
      <c r="C378" s="564"/>
      <c r="D378" s="564"/>
      <c r="E378" s="564"/>
      <c r="F378" s="564"/>
      <c r="G378" s="564"/>
      <c r="H378" s="564"/>
      <c r="I378" s="564"/>
      <c r="J378" s="564"/>
      <c r="K378" s="564"/>
      <c r="L378" s="564"/>
      <c r="M378" s="564"/>
      <c r="N378" s="564"/>
      <c r="O378" s="565"/>
      <c r="P378" s="570" t="s">
        <v>75</v>
      </c>
      <c r="Q378" s="571"/>
      <c r="R378" s="571"/>
      <c r="S378" s="571"/>
      <c r="T378" s="571"/>
      <c r="U378" s="571"/>
      <c r="V378" s="572"/>
      <c r="W378" s="37" t="s">
        <v>69</v>
      </c>
      <c r="X378" s="553">
        <f>IFERROR(SUM(X375:X376),"0")</f>
        <v>0</v>
      </c>
      <c r="Y378" s="553">
        <f>IFERROR(SUM(Y375:Y376),"0")</f>
        <v>0</v>
      </c>
      <c r="Z378" s="37"/>
      <c r="AA378" s="554"/>
      <c r="AB378" s="554"/>
      <c r="AC378" s="554"/>
    </row>
    <row r="379" spans="1:68" ht="14.25" customHeight="1" x14ac:dyDescent="0.25">
      <c r="A379" s="567" t="s">
        <v>64</v>
      </c>
      <c r="B379" s="564"/>
      <c r="C379" s="564"/>
      <c r="D379" s="564"/>
      <c r="E379" s="564"/>
      <c r="F379" s="564"/>
      <c r="G379" s="564"/>
      <c r="H379" s="564"/>
      <c r="I379" s="564"/>
      <c r="J379" s="564"/>
      <c r="K379" s="564"/>
      <c r="L379" s="564"/>
      <c r="M379" s="564"/>
      <c r="N379" s="564"/>
      <c r="O379" s="564"/>
      <c r="P379" s="564"/>
      <c r="Q379" s="564"/>
      <c r="R379" s="564"/>
      <c r="S379" s="564"/>
      <c r="T379" s="564"/>
      <c r="U379" s="564"/>
      <c r="V379" s="564"/>
      <c r="W379" s="564"/>
      <c r="X379" s="564"/>
      <c r="Y379" s="564"/>
      <c r="Z379" s="564"/>
      <c r="AA379" s="545"/>
      <c r="AB379" s="545"/>
      <c r="AC379" s="545"/>
    </row>
    <row r="380" spans="1:68" ht="27" customHeight="1" x14ac:dyDescent="0.25">
      <c r="A380" s="54" t="s">
        <v>598</v>
      </c>
      <c r="B380" s="54" t="s">
        <v>599</v>
      </c>
      <c r="C380" s="31">
        <v>4301031303</v>
      </c>
      <c r="D380" s="558">
        <v>4607091384802</v>
      </c>
      <c r="E380" s="559"/>
      <c r="F380" s="550">
        <v>0.73</v>
      </c>
      <c r="G380" s="32">
        <v>6</v>
      </c>
      <c r="H380" s="550">
        <v>4.38</v>
      </c>
      <c r="I380" s="550">
        <v>4.63</v>
      </c>
      <c r="J380" s="32">
        <v>132</v>
      </c>
      <c r="K380" s="32" t="s">
        <v>110</v>
      </c>
      <c r="L380" s="32" t="s">
        <v>111</v>
      </c>
      <c r="M380" s="33" t="s">
        <v>68</v>
      </c>
      <c r="N380" s="33"/>
      <c r="O380" s="32">
        <v>35</v>
      </c>
      <c r="P380" s="743" t="str">
        <f>HYPERLINK("https://abi.ru/products/Охлажденные/Особый рецепт/Особая Без свинины/Копченые колбасы/P004227/","В/к колбасы Сервелат Левантский Особая Без свинины Весовые в/у Особый рецепт")</f>
        <v>В/к колбасы Сервелат Левантский Особая Без свинины Весовые в/у Особый рецепт</v>
      </c>
      <c r="Q380" s="556"/>
      <c r="R380" s="556"/>
      <c r="S380" s="556"/>
      <c r="T380" s="557"/>
      <c r="U380" s="34"/>
      <c r="V380" s="34"/>
      <c r="W380" s="35" t="s">
        <v>69</v>
      </c>
      <c r="X380" s="551">
        <v>0</v>
      </c>
      <c r="Y380" s="552">
        <f>IFERROR(IF(X380="",0,CEILING((X380/$H380),1)*$H380),"")</f>
        <v>0</v>
      </c>
      <c r="Z380" s="36" t="str">
        <f>IFERROR(IF(Y380=0,"",ROUNDUP(Y380/H380,0)*0.00902),"")</f>
        <v/>
      </c>
      <c r="AA380" s="56"/>
      <c r="AB380" s="57"/>
      <c r="AC380" s="433" t="s">
        <v>600</v>
      </c>
      <c r="AG380" s="64"/>
      <c r="AJ380" s="68" t="s">
        <v>92</v>
      </c>
      <c r="AK380" s="68">
        <v>52.56</v>
      </c>
      <c r="BB380" s="434" t="s">
        <v>1</v>
      </c>
      <c r="BM380" s="64">
        <f>IFERROR(X380*I380/H380,"0")</f>
        <v>0</v>
      </c>
      <c r="BN380" s="64">
        <f>IFERROR(Y380*I380/H380,"0")</f>
        <v>0</v>
      </c>
      <c r="BO380" s="64">
        <f>IFERROR(1/J380*(X380/H380),"0")</f>
        <v>0</v>
      </c>
      <c r="BP380" s="64">
        <f>IFERROR(1/J380*(Y380/H380),"0")</f>
        <v>0</v>
      </c>
    </row>
    <row r="381" spans="1:68" ht="27" customHeight="1" x14ac:dyDescent="0.25">
      <c r="A381" s="54" t="s">
        <v>598</v>
      </c>
      <c r="B381" s="54" t="s">
        <v>601</v>
      </c>
      <c r="C381" s="31">
        <v>4301031457</v>
      </c>
      <c r="D381" s="558">
        <v>4607091384802</v>
      </c>
      <c r="E381" s="559"/>
      <c r="F381" s="550">
        <v>0.7</v>
      </c>
      <c r="G381" s="32">
        <v>6</v>
      </c>
      <c r="H381" s="550">
        <v>4.2</v>
      </c>
      <c r="I381" s="550">
        <v>4.45</v>
      </c>
      <c r="J381" s="32">
        <v>132</v>
      </c>
      <c r="K381" s="32" t="s">
        <v>110</v>
      </c>
      <c r="L381" s="32"/>
      <c r="M381" s="33" t="s">
        <v>68</v>
      </c>
      <c r="N381" s="33"/>
      <c r="O381" s="32">
        <v>50</v>
      </c>
      <c r="P381" s="604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381" s="556"/>
      <c r="R381" s="556"/>
      <c r="S381" s="556"/>
      <c r="T381" s="557"/>
      <c r="U381" s="34"/>
      <c r="V381" s="34"/>
      <c r="W381" s="35" t="s">
        <v>69</v>
      </c>
      <c r="X381" s="551">
        <v>0</v>
      </c>
      <c r="Y381" s="552">
        <f>IFERROR(IF(X381="",0,CEILING((X381/$H381),1)*$H381),"")</f>
        <v>0</v>
      </c>
      <c r="Z381" s="36" t="str">
        <f>IFERROR(IF(Y381=0,"",ROUNDUP(Y381/H381,0)*0.00902),"")</f>
        <v/>
      </c>
      <c r="AA381" s="56"/>
      <c r="AB381" s="57"/>
      <c r="AC381" s="435" t="s">
        <v>602</v>
      </c>
      <c r="AG381" s="64"/>
      <c r="AJ381" s="68"/>
      <c r="AK381" s="68">
        <v>0</v>
      </c>
      <c r="BB381" s="436" t="s">
        <v>1</v>
      </c>
      <c r="BM381" s="64">
        <f>IFERROR(X381*I381/H381,"0")</f>
        <v>0</v>
      </c>
      <c r="BN381" s="64">
        <f>IFERROR(Y381*I381/H381,"0")</f>
        <v>0</v>
      </c>
      <c r="BO381" s="64">
        <f>IFERROR(1/J381*(X381/H381),"0")</f>
        <v>0</v>
      </c>
      <c r="BP381" s="64">
        <f>IFERROR(1/J381*(Y381/H381),"0")</f>
        <v>0</v>
      </c>
    </row>
    <row r="382" spans="1:68" x14ac:dyDescent="0.2">
      <c r="A382" s="563"/>
      <c r="B382" s="564"/>
      <c r="C382" s="564"/>
      <c r="D382" s="564"/>
      <c r="E382" s="564"/>
      <c r="F382" s="564"/>
      <c r="G382" s="564"/>
      <c r="H382" s="564"/>
      <c r="I382" s="564"/>
      <c r="J382" s="564"/>
      <c r="K382" s="564"/>
      <c r="L382" s="564"/>
      <c r="M382" s="564"/>
      <c r="N382" s="564"/>
      <c r="O382" s="565"/>
      <c r="P382" s="570" t="s">
        <v>75</v>
      </c>
      <c r="Q382" s="571"/>
      <c r="R382" s="571"/>
      <c r="S382" s="571"/>
      <c r="T382" s="571"/>
      <c r="U382" s="571"/>
      <c r="V382" s="572"/>
      <c r="W382" s="37" t="s">
        <v>76</v>
      </c>
      <c r="X382" s="553">
        <f>IFERROR(X380/H380,"0")+IFERROR(X381/H381,"0")</f>
        <v>0</v>
      </c>
      <c r="Y382" s="553">
        <f>IFERROR(Y380/H380,"0")+IFERROR(Y381/H381,"0")</f>
        <v>0</v>
      </c>
      <c r="Z382" s="553">
        <f>IFERROR(IF(Z380="",0,Z380),"0")+IFERROR(IF(Z381="",0,Z381),"0")</f>
        <v>0</v>
      </c>
      <c r="AA382" s="554"/>
      <c r="AB382" s="554"/>
      <c r="AC382" s="554"/>
    </row>
    <row r="383" spans="1:68" x14ac:dyDescent="0.2">
      <c r="A383" s="564"/>
      <c r="B383" s="564"/>
      <c r="C383" s="564"/>
      <c r="D383" s="564"/>
      <c r="E383" s="564"/>
      <c r="F383" s="564"/>
      <c r="G383" s="564"/>
      <c r="H383" s="564"/>
      <c r="I383" s="564"/>
      <c r="J383" s="564"/>
      <c r="K383" s="564"/>
      <c r="L383" s="564"/>
      <c r="M383" s="564"/>
      <c r="N383" s="564"/>
      <c r="O383" s="565"/>
      <c r="P383" s="570" t="s">
        <v>75</v>
      </c>
      <c r="Q383" s="571"/>
      <c r="R383" s="571"/>
      <c r="S383" s="571"/>
      <c r="T383" s="571"/>
      <c r="U383" s="571"/>
      <c r="V383" s="572"/>
      <c r="W383" s="37" t="s">
        <v>69</v>
      </c>
      <c r="X383" s="553">
        <f>IFERROR(SUM(X380:X381),"0")</f>
        <v>0</v>
      </c>
      <c r="Y383" s="553">
        <f>IFERROR(SUM(Y380:Y381),"0")</f>
        <v>0</v>
      </c>
      <c r="Z383" s="37"/>
      <c r="AA383" s="554"/>
      <c r="AB383" s="554"/>
      <c r="AC383" s="554"/>
    </row>
    <row r="384" spans="1:68" ht="14.25" customHeight="1" x14ac:dyDescent="0.25">
      <c r="A384" s="567" t="s">
        <v>77</v>
      </c>
      <c r="B384" s="564"/>
      <c r="C384" s="564"/>
      <c r="D384" s="564"/>
      <c r="E384" s="564"/>
      <c r="F384" s="564"/>
      <c r="G384" s="564"/>
      <c r="H384" s="564"/>
      <c r="I384" s="564"/>
      <c r="J384" s="564"/>
      <c r="K384" s="564"/>
      <c r="L384" s="564"/>
      <c r="M384" s="564"/>
      <c r="N384" s="564"/>
      <c r="O384" s="564"/>
      <c r="P384" s="564"/>
      <c r="Q384" s="564"/>
      <c r="R384" s="564"/>
      <c r="S384" s="564"/>
      <c r="T384" s="564"/>
      <c r="U384" s="564"/>
      <c r="V384" s="564"/>
      <c r="W384" s="564"/>
      <c r="X384" s="564"/>
      <c r="Y384" s="564"/>
      <c r="Z384" s="564"/>
      <c r="AA384" s="545"/>
      <c r="AB384" s="545"/>
      <c r="AC384" s="545"/>
    </row>
    <row r="385" spans="1:68" ht="27" customHeight="1" x14ac:dyDescent="0.25">
      <c r="A385" s="54" t="s">
        <v>603</v>
      </c>
      <c r="B385" s="54" t="s">
        <v>604</v>
      </c>
      <c r="C385" s="31">
        <v>4301051899</v>
      </c>
      <c r="D385" s="558">
        <v>4607091384246</v>
      </c>
      <c r="E385" s="559"/>
      <c r="F385" s="550">
        <v>1.5</v>
      </c>
      <c r="G385" s="32">
        <v>6</v>
      </c>
      <c r="H385" s="550">
        <v>9</v>
      </c>
      <c r="I385" s="550">
        <v>9.4939999999999998</v>
      </c>
      <c r="J385" s="32">
        <v>64</v>
      </c>
      <c r="K385" s="32" t="s">
        <v>104</v>
      </c>
      <c r="L385" s="32" t="s">
        <v>105</v>
      </c>
      <c r="M385" s="33" t="s">
        <v>80</v>
      </c>
      <c r="N385" s="33"/>
      <c r="O385" s="32">
        <v>40</v>
      </c>
      <c r="P385" s="873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385" s="556"/>
      <c r="R385" s="556"/>
      <c r="S385" s="556"/>
      <c r="T385" s="557"/>
      <c r="U385" s="34"/>
      <c r="V385" s="34"/>
      <c r="W385" s="35" t="s">
        <v>69</v>
      </c>
      <c r="X385" s="551">
        <v>0</v>
      </c>
      <c r="Y385" s="552">
        <f>IFERROR(IF(X385="",0,CEILING((X385/$H385),1)*$H385),"")</f>
        <v>0</v>
      </c>
      <c r="Z385" s="36" t="str">
        <f>IFERROR(IF(Y385=0,"",ROUNDUP(Y385/H385,0)*0.01898),"")</f>
        <v/>
      </c>
      <c r="AA385" s="56"/>
      <c r="AB385" s="57"/>
      <c r="AC385" s="437" t="s">
        <v>605</v>
      </c>
      <c r="AG385" s="64"/>
      <c r="AJ385" s="68" t="s">
        <v>92</v>
      </c>
      <c r="AK385" s="68">
        <v>72</v>
      </c>
      <c r="BB385" s="438" t="s">
        <v>1</v>
      </c>
      <c r="BM385" s="64">
        <f>IFERROR(X385*I385/H385,"0")</f>
        <v>0</v>
      </c>
      <c r="BN385" s="64">
        <f>IFERROR(Y385*I385/H385,"0")</f>
        <v>0</v>
      </c>
      <c r="BO385" s="64">
        <f>IFERROR(1/J385*(X385/H385),"0")</f>
        <v>0</v>
      </c>
      <c r="BP385" s="64">
        <f>IFERROR(1/J385*(Y385/H385),"0")</f>
        <v>0</v>
      </c>
    </row>
    <row r="386" spans="1:68" ht="27" customHeight="1" x14ac:dyDescent="0.25">
      <c r="A386" s="54" t="s">
        <v>606</v>
      </c>
      <c r="B386" s="54" t="s">
        <v>607</v>
      </c>
      <c r="C386" s="31">
        <v>4301051660</v>
      </c>
      <c r="D386" s="558">
        <v>4607091384253</v>
      </c>
      <c r="E386" s="559"/>
      <c r="F386" s="550">
        <v>0.4</v>
      </c>
      <c r="G386" s="32">
        <v>6</v>
      </c>
      <c r="H386" s="550">
        <v>2.4</v>
      </c>
      <c r="I386" s="550">
        <v>2.6640000000000001</v>
      </c>
      <c r="J386" s="32">
        <v>182</v>
      </c>
      <c r="K386" s="32" t="s">
        <v>67</v>
      </c>
      <c r="L386" s="32" t="s">
        <v>90</v>
      </c>
      <c r="M386" s="33" t="s">
        <v>80</v>
      </c>
      <c r="N386" s="33"/>
      <c r="O386" s="32">
        <v>40</v>
      </c>
      <c r="P386" s="587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386" s="556"/>
      <c r="R386" s="556"/>
      <c r="S386" s="556"/>
      <c r="T386" s="557"/>
      <c r="U386" s="34"/>
      <c r="V386" s="34"/>
      <c r="W386" s="35" t="s">
        <v>69</v>
      </c>
      <c r="X386" s="551">
        <v>0</v>
      </c>
      <c r="Y386" s="552">
        <f>IFERROR(IF(X386="",0,CEILING((X386/$H386),1)*$H386),"")</f>
        <v>0</v>
      </c>
      <c r="Z386" s="36" t="str">
        <f>IFERROR(IF(Y386=0,"",ROUNDUP(Y386/H386,0)*0.00651),"")</f>
        <v/>
      </c>
      <c r="AA386" s="56"/>
      <c r="AB386" s="57"/>
      <c r="AC386" s="439" t="s">
        <v>605</v>
      </c>
      <c r="AG386" s="64"/>
      <c r="AJ386" s="68" t="s">
        <v>92</v>
      </c>
      <c r="AK386" s="68">
        <v>33.6</v>
      </c>
      <c r="BB386" s="440" t="s">
        <v>1</v>
      </c>
      <c r="BM386" s="64">
        <f>IFERROR(X386*I386/H386,"0")</f>
        <v>0</v>
      </c>
      <c r="BN386" s="64">
        <f>IFERROR(Y386*I386/H386,"0")</f>
        <v>0</v>
      </c>
      <c r="BO386" s="64">
        <f>IFERROR(1/J386*(X386/H386),"0")</f>
        <v>0</v>
      </c>
      <c r="BP386" s="64">
        <f>IFERROR(1/J386*(Y386/H386),"0")</f>
        <v>0</v>
      </c>
    </row>
    <row r="387" spans="1:68" ht="27" customHeight="1" x14ac:dyDescent="0.25">
      <c r="A387" s="54" t="s">
        <v>606</v>
      </c>
      <c r="B387" s="54" t="s">
        <v>608</v>
      </c>
      <c r="C387" s="31">
        <v>4301052069</v>
      </c>
      <c r="D387" s="558">
        <v>4607091384253</v>
      </c>
      <c r="E387" s="559"/>
      <c r="F387" s="550">
        <v>0.4</v>
      </c>
      <c r="G387" s="32">
        <v>6</v>
      </c>
      <c r="H387" s="550">
        <v>2.4</v>
      </c>
      <c r="I387" s="550">
        <v>2.6640000000000001</v>
      </c>
      <c r="J387" s="32">
        <v>182</v>
      </c>
      <c r="K387" s="32" t="s">
        <v>67</v>
      </c>
      <c r="L387" s="32"/>
      <c r="M387" s="33" t="s">
        <v>80</v>
      </c>
      <c r="N387" s="33"/>
      <c r="O387" s="32">
        <v>40</v>
      </c>
      <c r="P387" s="733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387" s="556"/>
      <c r="R387" s="556"/>
      <c r="S387" s="556"/>
      <c r="T387" s="557"/>
      <c r="U387" s="34"/>
      <c r="V387" s="34"/>
      <c r="W387" s="35" t="s">
        <v>69</v>
      </c>
      <c r="X387" s="551">
        <v>0</v>
      </c>
      <c r="Y387" s="552">
        <f>IFERROR(IF(X387="",0,CEILING((X387/$H387),1)*$H387),"")</f>
        <v>0</v>
      </c>
      <c r="Z387" s="36" t="str">
        <f>IFERROR(IF(Y387=0,"",ROUNDUP(Y387/H387,0)*0.00651),"")</f>
        <v/>
      </c>
      <c r="AA387" s="56"/>
      <c r="AB387" s="57"/>
      <c r="AC387" s="441" t="s">
        <v>609</v>
      </c>
      <c r="AG387" s="64"/>
      <c r="AJ387" s="68"/>
      <c r="AK387" s="68">
        <v>0</v>
      </c>
      <c r="BB387" s="442" t="s">
        <v>1</v>
      </c>
      <c r="BM387" s="64">
        <f>IFERROR(X387*I387/H387,"0")</f>
        <v>0</v>
      </c>
      <c r="BN387" s="64">
        <f>IFERROR(Y387*I387/H387,"0")</f>
        <v>0</v>
      </c>
      <c r="BO387" s="64">
        <f>IFERROR(1/J387*(X387/H387),"0")</f>
        <v>0</v>
      </c>
      <c r="BP387" s="64">
        <f>IFERROR(1/J387*(Y387/H387),"0")</f>
        <v>0</v>
      </c>
    </row>
    <row r="388" spans="1:68" x14ac:dyDescent="0.2">
      <c r="A388" s="563"/>
      <c r="B388" s="564"/>
      <c r="C388" s="564"/>
      <c r="D388" s="564"/>
      <c r="E388" s="564"/>
      <c r="F388" s="564"/>
      <c r="G388" s="564"/>
      <c r="H388" s="564"/>
      <c r="I388" s="564"/>
      <c r="J388" s="564"/>
      <c r="K388" s="564"/>
      <c r="L388" s="564"/>
      <c r="M388" s="564"/>
      <c r="N388" s="564"/>
      <c r="O388" s="565"/>
      <c r="P388" s="570" t="s">
        <v>75</v>
      </c>
      <c r="Q388" s="571"/>
      <c r="R388" s="571"/>
      <c r="S388" s="571"/>
      <c r="T388" s="571"/>
      <c r="U388" s="571"/>
      <c r="V388" s="572"/>
      <c r="W388" s="37" t="s">
        <v>76</v>
      </c>
      <c r="X388" s="553">
        <f>IFERROR(X385/H385,"0")+IFERROR(X386/H386,"0")+IFERROR(X387/H387,"0")</f>
        <v>0</v>
      </c>
      <c r="Y388" s="553">
        <f>IFERROR(Y385/H385,"0")+IFERROR(Y386/H386,"0")+IFERROR(Y387/H387,"0")</f>
        <v>0</v>
      </c>
      <c r="Z388" s="553">
        <f>IFERROR(IF(Z385="",0,Z385),"0")+IFERROR(IF(Z386="",0,Z386),"0")+IFERROR(IF(Z387="",0,Z387),"0")</f>
        <v>0</v>
      </c>
      <c r="AA388" s="554"/>
      <c r="AB388" s="554"/>
      <c r="AC388" s="554"/>
    </row>
    <row r="389" spans="1:68" x14ac:dyDescent="0.2">
      <c r="A389" s="564"/>
      <c r="B389" s="564"/>
      <c r="C389" s="564"/>
      <c r="D389" s="564"/>
      <c r="E389" s="564"/>
      <c r="F389" s="564"/>
      <c r="G389" s="564"/>
      <c r="H389" s="564"/>
      <c r="I389" s="564"/>
      <c r="J389" s="564"/>
      <c r="K389" s="564"/>
      <c r="L389" s="564"/>
      <c r="M389" s="564"/>
      <c r="N389" s="564"/>
      <c r="O389" s="565"/>
      <c r="P389" s="570" t="s">
        <v>75</v>
      </c>
      <c r="Q389" s="571"/>
      <c r="R389" s="571"/>
      <c r="S389" s="571"/>
      <c r="T389" s="571"/>
      <c r="U389" s="571"/>
      <c r="V389" s="572"/>
      <c r="W389" s="37" t="s">
        <v>69</v>
      </c>
      <c r="X389" s="553">
        <f>IFERROR(SUM(X385:X387),"0")</f>
        <v>0</v>
      </c>
      <c r="Y389" s="553">
        <f>IFERROR(SUM(Y385:Y387),"0")</f>
        <v>0</v>
      </c>
      <c r="Z389" s="37"/>
      <c r="AA389" s="554"/>
      <c r="AB389" s="554"/>
      <c r="AC389" s="554"/>
    </row>
    <row r="390" spans="1:68" ht="27.75" customHeight="1" x14ac:dyDescent="0.2">
      <c r="A390" s="626" t="s">
        <v>610</v>
      </c>
      <c r="B390" s="627"/>
      <c r="C390" s="627"/>
      <c r="D390" s="627"/>
      <c r="E390" s="627"/>
      <c r="F390" s="627"/>
      <c r="G390" s="627"/>
      <c r="H390" s="627"/>
      <c r="I390" s="627"/>
      <c r="J390" s="627"/>
      <c r="K390" s="627"/>
      <c r="L390" s="627"/>
      <c r="M390" s="627"/>
      <c r="N390" s="627"/>
      <c r="O390" s="627"/>
      <c r="P390" s="627"/>
      <c r="Q390" s="627"/>
      <c r="R390" s="627"/>
      <c r="S390" s="627"/>
      <c r="T390" s="627"/>
      <c r="U390" s="627"/>
      <c r="V390" s="627"/>
      <c r="W390" s="627"/>
      <c r="X390" s="627"/>
      <c r="Y390" s="627"/>
      <c r="Z390" s="627"/>
      <c r="AA390" s="48"/>
      <c r="AB390" s="48"/>
      <c r="AC390" s="48"/>
    </row>
    <row r="391" spans="1:68" ht="16.5" customHeight="1" x14ac:dyDescent="0.25">
      <c r="A391" s="573" t="s">
        <v>611</v>
      </c>
      <c r="B391" s="564"/>
      <c r="C391" s="564"/>
      <c r="D391" s="564"/>
      <c r="E391" s="564"/>
      <c r="F391" s="564"/>
      <c r="G391" s="564"/>
      <c r="H391" s="564"/>
      <c r="I391" s="564"/>
      <c r="J391" s="564"/>
      <c r="K391" s="564"/>
      <c r="L391" s="564"/>
      <c r="M391" s="564"/>
      <c r="N391" s="564"/>
      <c r="O391" s="564"/>
      <c r="P391" s="564"/>
      <c r="Q391" s="564"/>
      <c r="R391" s="564"/>
      <c r="S391" s="564"/>
      <c r="T391" s="564"/>
      <c r="U391" s="564"/>
      <c r="V391" s="564"/>
      <c r="W391" s="564"/>
      <c r="X391" s="564"/>
      <c r="Y391" s="564"/>
      <c r="Z391" s="564"/>
      <c r="AA391" s="546"/>
      <c r="AB391" s="546"/>
      <c r="AC391" s="546"/>
    </row>
    <row r="392" spans="1:68" ht="14.25" customHeight="1" x14ac:dyDescent="0.25">
      <c r="A392" s="567" t="s">
        <v>64</v>
      </c>
      <c r="B392" s="564"/>
      <c r="C392" s="564"/>
      <c r="D392" s="564"/>
      <c r="E392" s="564"/>
      <c r="F392" s="564"/>
      <c r="G392" s="564"/>
      <c r="H392" s="564"/>
      <c r="I392" s="564"/>
      <c r="J392" s="564"/>
      <c r="K392" s="564"/>
      <c r="L392" s="564"/>
      <c r="M392" s="564"/>
      <c r="N392" s="564"/>
      <c r="O392" s="564"/>
      <c r="P392" s="564"/>
      <c r="Q392" s="564"/>
      <c r="R392" s="564"/>
      <c r="S392" s="564"/>
      <c r="T392" s="564"/>
      <c r="U392" s="564"/>
      <c r="V392" s="564"/>
      <c r="W392" s="564"/>
      <c r="X392" s="564"/>
      <c r="Y392" s="564"/>
      <c r="Z392" s="564"/>
      <c r="AA392" s="545"/>
      <c r="AB392" s="545"/>
      <c r="AC392" s="545"/>
    </row>
    <row r="393" spans="1:68" ht="27" customHeight="1" x14ac:dyDescent="0.25">
      <c r="A393" s="54" t="s">
        <v>612</v>
      </c>
      <c r="B393" s="54" t="s">
        <v>613</v>
      </c>
      <c r="C393" s="31">
        <v>4301031405</v>
      </c>
      <c r="D393" s="558">
        <v>4680115886100</v>
      </c>
      <c r="E393" s="559"/>
      <c r="F393" s="550">
        <v>0.9</v>
      </c>
      <c r="G393" s="32">
        <v>6</v>
      </c>
      <c r="H393" s="550">
        <v>5.4</v>
      </c>
      <c r="I393" s="550">
        <v>5.59</v>
      </c>
      <c r="J393" s="32">
        <v>132</v>
      </c>
      <c r="K393" s="32" t="s">
        <v>110</v>
      </c>
      <c r="L393" s="32" t="s">
        <v>111</v>
      </c>
      <c r="M393" s="33" t="s">
        <v>68</v>
      </c>
      <c r="N393" s="33"/>
      <c r="O393" s="32">
        <v>50</v>
      </c>
      <c r="P393" s="760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393" s="556"/>
      <c r="R393" s="556"/>
      <c r="S393" s="556"/>
      <c r="T393" s="557"/>
      <c r="U393" s="34"/>
      <c r="V393" s="34"/>
      <c r="W393" s="35" t="s">
        <v>69</v>
      </c>
      <c r="X393" s="551">
        <v>50</v>
      </c>
      <c r="Y393" s="552">
        <f t="shared" ref="Y393:Y401" si="46">IFERROR(IF(X393="",0,CEILING((X393/$H393),1)*$H393),"")</f>
        <v>54</v>
      </c>
      <c r="Z393" s="36">
        <f>IFERROR(IF(Y393=0,"",ROUNDUP(Y393/H393,0)*0.00902),"")</f>
        <v>9.0200000000000002E-2</v>
      </c>
      <c r="AA393" s="56"/>
      <c r="AB393" s="57"/>
      <c r="AC393" s="443" t="s">
        <v>614</v>
      </c>
      <c r="AG393" s="64"/>
      <c r="AJ393" s="68" t="s">
        <v>92</v>
      </c>
      <c r="AK393" s="68">
        <v>64.8</v>
      </c>
      <c r="BB393" s="444" t="s">
        <v>1</v>
      </c>
      <c r="BM393" s="64">
        <f t="shared" ref="BM393:BM401" si="47">IFERROR(X393*I393/H393,"0")</f>
        <v>51.759259259259252</v>
      </c>
      <c r="BN393" s="64">
        <f t="shared" ref="BN393:BN401" si="48">IFERROR(Y393*I393/H393,"0")</f>
        <v>55.9</v>
      </c>
      <c r="BO393" s="64">
        <f t="shared" ref="BO393:BO401" si="49">IFERROR(1/J393*(X393/H393),"0")</f>
        <v>7.0145903479236812E-2</v>
      </c>
      <c r="BP393" s="64">
        <f t="shared" ref="BP393:BP401" si="50">IFERROR(1/J393*(Y393/H393),"0")</f>
        <v>7.575757575757576E-2</v>
      </c>
    </row>
    <row r="394" spans="1:68" ht="27" customHeight="1" x14ac:dyDescent="0.25">
      <c r="A394" s="54" t="s">
        <v>615</v>
      </c>
      <c r="B394" s="54" t="s">
        <v>616</v>
      </c>
      <c r="C394" s="31">
        <v>4301031406</v>
      </c>
      <c r="D394" s="558">
        <v>4680115886117</v>
      </c>
      <c r="E394" s="559"/>
      <c r="F394" s="550">
        <v>0.9</v>
      </c>
      <c r="G394" s="32">
        <v>6</v>
      </c>
      <c r="H394" s="550">
        <v>5.4</v>
      </c>
      <c r="I394" s="550">
        <v>5.59</v>
      </c>
      <c r="J394" s="32">
        <v>132</v>
      </c>
      <c r="K394" s="32" t="s">
        <v>110</v>
      </c>
      <c r="L394" s="32"/>
      <c r="M394" s="33" t="s">
        <v>68</v>
      </c>
      <c r="N394" s="33"/>
      <c r="O394" s="32">
        <v>50</v>
      </c>
      <c r="P394" s="614" t="str">
        <f>HYPERLINK("https://abi.ru/products/Охлажденные/Баварушка/Филейбургская/Копченые колбасы/P004899/","Копченые колбасы «Филейбургская с душистым чесноком» Весовой фиброуз ТМ «Баварушка»")</f>
        <v>Копченые колбасы «Филейбургская с душистым чесноком» Весовой фиброуз ТМ «Баварушка»</v>
      </c>
      <c r="Q394" s="556"/>
      <c r="R394" s="556"/>
      <c r="S394" s="556"/>
      <c r="T394" s="557"/>
      <c r="U394" s="34"/>
      <c r="V394" s="34"/>
      <c r="W394" s="35" t="s">
        <v>69</v>
      </c>
      <c r="X394" s="551">
        <v>0</v>
      </c>
      <c r="Y394" s="552">
        <f t="shared" si="46"/>
        <v>0</v>
      </c>
      <c r="Z394" s="36" t="str">
        <f>IFERROR(IF(Y394=0,"",ROUNDUP(Y394/H394,0)*0.00902),"")</f>
        <v/>
      </c>
      <c r="AA394" s="56"/>
      <c r="AB394" s="57"/>
      <c r="AC394" s="445" t="s">
        <v>617</v>
      </c>
      <c r="AG394" s="64"/>
      <c r="AJ394" s="68"/>
      <c r="AK394" s="68">
        <v>0</v>
      </c>
      <c r="BB394" s="446" t="s">
        <v>1</v>
      </c>
      <c r="BM394" s="64">
        <f t="shared" si="47"/>
        <v>0</v>
      </c>
      <c r="BN394" s="64">
        <f t="shared" si="48"/>
        <v>0</v>
      </c>
      <c r="BO394" s="64">
        <f t="shared" si="49"/>
        <v>0</v>
      </c>
      <c r="BP394" s="64">
        <f t="shared" si="50"/>
        <v>0</v>
      </c>
    </row>
    <row r="395" spans="1:68" ht="27" customHeight="1" x14ac:dyDescent="0.25">
      <c r="A395" s="54" t="s">
        <v>618</v>
      </c>
      <c r="B395" s="54" t="s">
        <v>619</v>
      </c>
      <c r="C395" s="31">
        <v>4301031402</v>
      </c>
      <c r="D395" s="558">
        <v>4680115886124</v>
      </c>
      <c r="E395" s="559"/>
      <c r="F395" s="550">
        <v>0.9</v>
      </c>
      <c r="G395" s="32">
        <v>6</v>
      </c>
      <c r="H395" s="550">
        <v>5.4</v>
      </c>
      <c r="I395" s="550">
        <v>5.59</v>
      </c>
      <c r="J395" s="32">
        <v>132</v>
      </c>
      <c r="K395" s="32" t="s">
        <v>110</v>
      </c>
      <c r="L395" s="32" t="s">
        <v>111</v>
      </c>
      <c r="M395" s="33" t="s">
        <v>68</v>
      </c>
      <c r="N395" s="33"/>
      <c r="O395" s="32">
        <v>50</v>
      </c>
      <c r="P395" s="762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395" s="556"/>
      <c r="R395" s="556"/>
      <c r="S395" s="556"/>
      <c r="T395" s="557"/>
      <c r="U395" s="34"/>
      <c r="V395" s="34"/>
      <c r="W395" s="35" t="s">
        <v>69</v>
      </c>
      <c r="X395" s="551">
        <v>0</v>
      </c>
      <c r="Y395" s="552">
        <f t="shared" si="46"/>
        <v>0</v>
      </c>
      <c r="Z395" s="36" t="str">
        <f>IFERROR(IF(Y395=0,"",ROUNDUP(Y395/H395,0)*0.00902),"")</f>
        <v/>
      </c>
      <c r="AA395" s="56"/>
      <c r="AB395" s="57"/>
      <c r="AC395" s="447" t="s">
        <v>620</v>
      </c>
      <c r="AG395" s="64"/>
      <c r="AJ395" s="68" t="s">
        <v>92</v>
      </c>
      <c r="AK395" s="68">
        <v>64.8</v>
      </c>
      <c r="BB395" s="448" t="s">
        <v>1</v>
      </c>
      <c r="BM395" s="64">
        <f t="shared" si="47"/>
        <v>0</v>
      </c>
      <c r="BN395" s="64">
        <f t="shared" si="48"/>
        <v>0</v>
      </c>
      <c r="BO395" s="64">
        <f t="shared" si="49"/>
        <v>0</v>
      </c>
      <c r="BP395" s="64">
        <f t="shared" si="50"/>
        <v>0</v>
      </c>
    </row>
    <row r="396" spans="1:68" ht="27" customHeight="1" x14ac:dyDescent="0.25">
      <c r="A396" s="54" t="s">
        <v>621</v>
      </c>
      <c r="B396" s="54" t="s">
        <v>622</v>
      </c>
      <c r="C396" s="31">
        <v>4301031366</v>
      </c>
      <c r="D396" s="558">
        <v>4680115883147</v>
      </c>
      <c r="E396" s="559"/>
      <c r="F396" s="550">
        <v>0.28000000000000003</v>
      </c>
      <c r="G396" s="32">
        <v>6</v>
      </c>
      <c r="H396" s="550">
        <v>1.68</v>
      </c>
      <c r="I396" s="550">
        <v>1.81</v>
      </c>
      <c r="J396" s="32">
        <v>234</v>
      </c>
      <c r="K396" s="32" t="s">
        <v>73</v>
      </c>
      <c r="L396" s="32"/>
      <c r="M396" s="33" t="s">
        <v>68</v>
      </c>
      <c r="N396" s="33"/>
      <c r="O396" s="32">
        <v>50</v>
      </c>
      <c r="P396" s="796" t="str">
        <f>HYPERLINK("https://abi.ru/products/Охлажденные/Баварушка/Филейбургская/Копченые колбасы/P004543/","В/к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396" s="556"/>
      <c r="R396" s="556"/>
      <c r="S396" s="556"/>
      <c r="T396" s="557"/>
      <c r="U396" s="34"/>
      <c r="V396" s="34"/>
      <c r="W396" s="35" t="s">
        <v>69</v>
      </c>
      <c r="X396" s="551">
        <v>0</v>
      </c>
      <c r="Y396" s="552">
        <f t="shared" si="46"/>
        <v>0</v>
      </c>
      <c r="Z396" s="36" t="str">
        <f t="shared" ref="Z396:Z401" si="51">IFERROR(IF(Y396=0,"",ROUNDUP(Y396/H396,0)*0.00502),"")</f>
        <v/>
      </c>
      <c r="AA396" s="56"/>
      <c r="AB396" s="57"/>
      <c r="AC396" s="449" t="s">
        <v>614</v>
      </c>
      <c r="AG396" s="64"/>
      <c r="AJ396" s="68"/>
      <c r="AK396" s="68">
        <v>0</v>
      </c>
      <c r="BB396" s="450" t="s">
        <v>1</v>
      </c>
      <c r="BM396" s="64">
        <f t="shared" si="47"/>
        <v>0</v>
      </c>
      <c r="BN396" s="64">
        <f t="shared" si="48"/>
        <v>0</v>
      </c>
      <c r="BO396" s="64">
        <f t="shared" si="49"/>
        <v>0</v>
      </c>
      <c r="BP396" s="64">
        <f t="shared" si="50"/>
        <v>0</v>
      </c>
    </row>
    <row r="397" spans="1:68" ht="27" customHeight="1" x14ac:dyDescent="0.25">
      <c r="A397" s="54" t="s">
        <v>623</v>
      </c>
      <c r="B397" s="54" t="s">
        <v>624</v>
      </c>
      <c r="C397" s="31">
        <v>4301031362</v>
      </c>
      <c r="D397" s="558">
        <v>4607091384338</v>
      </c>
      <c r="E397" s="559"/>
      <c r="F397" s="550">
        <v>0.35</v>
      </c>
      <c r="G397" s="32">
        <v>6</v>
      </c>
      <c r="H397" s="550">
        <v>2.1</v>
      </c>
      <c r="I397" s="550">
        <v>2.23</v>
      </c>
      <c r="J397" s="32">
        <v>234</v>
      </c>
      <c r="K397" s="32" t="s">
        <v>73</v>
      </c>
      <c r="L397" s="32"/>
      <c r="M397" s="33" t="s">
        <v>68</v>
      </c>
      <c r="N397" s="33"/>
      <c r="O397" s="32">
        <v>50</v>
      </c>
      <c r="P397" s="720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397" s="556"/>
      <c r="R397" s="556"/>
      <c r="S397" s="556"/>
      <c r="T397" s="557"/>
      <c r="U397" s="34"/>
      <c r="V397" s="34"/>
      <c r="W397" s="35" t="s">
        <v>69</v>
      </c>
      <c r="X397" s="551">
        <v>0</v>
      </c>
      <c r="Y397" s="552">
        <f t="shared" si="46"/>
        <v>0</v>
      </c>
      <c r="Z397" s="36" t="str">
        <f t="shared" si="51"/>
        <v/>
      </c>
      <c r="AA397" s="56"/>
      <c r="AB397" s="57"/>
      <c r="AC397" s="451" t="s">
        <v>614</v>
      </c>
      <c r="AG397" s="64"/>
      <c r="AJ397" s="68"/>
      <c r="AK397" s="68">
        <v>0</v>
      </c>
      <c r="BB397" s="452" t="s">
        <v>1</v>
      </c>
      <c r="BM397" s="64">
        <f t="shared" si="47"/>
        <v>0</v>
      </c>
      <c r="BN397" s="64">
        <f t="shared" si="48"/>
        <v>0</v>
      </c>
      <c r="BO397" s="64">
        <f t="shared" si="49"/>
        <v>0</v>
      </c>
      <c r="BP397" s="64">
        <f t="shared" si="50"/>
        <v>0</v>
      </c>
    </row>
    <row r="398" spans="1:68" ht="37.5" customHeight="1" x14ac:dyDescent="0.25">
      <c r="A398" s="54" t="s">
        <v>625</v>
      </c>
      <c r="B398" s="54" t="s">
        <v>626</v>
      </c>
      <c r="C398" s="31">
        <v>4301031361</v>
      </c>
      <c r="D398" s="558">
        <v>4607091389524</v>
      </c>
      <c r="E398" s="559"/>
      <c r="F398" s="550">
        <v>0.35</v>
      </c>
      <c r="G398" s="32">
        <v>6</v>
      </c>
      <c r="H398" s="550">
        <v>2.1</v>
      </c>
      <c r="I398" s="550">
        <v>2.23</v>
      </c>
      <c r="J398" s="32">
        <v>234</v>
      </c>
      <c r="K398" s="32" t="s">
        <v>73</v>
      </c>
      <c r="L398" s="32"/>
      <c r="M398" s="33" t="s">
        <v>68</v>
      </c>
      <c r="N398" s="33"/>
      <c r="O398" s="32">
        <v>50</v>
      </c>
      <c r="P398" s="800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398" s="556"/>
      <c r="R398" s="556"/>
      <c r="S398" s="556"/>
      <c r="T398" s="557"/>
      <c r="U398" s="34"/>
      <c r="V398" s="34"/>
      <c r="W398" s="35" t="s">
        <v>69</v>
      </c>
      <c r="X398" s="551">
        <v>0</v>
      </c>
      <c r="Y398" s="552">
        <f t="shared" si="46"/>
        <v>0</v>
      </c>
      <c r="Z398" s="36" t="str">
        <f t="shared" si="51"/>
        <v/>
      </c>
      <c r="AA398" s="56"/>
      <c r="AB398" s="57"/>
      <c r="AC398" s="453" t="s">
        <v>627</v>
      </c>
      <c r="AG398" s="64"/>
      <c r="AJ398" s="68"/>
      <c r="AK398" s="68">
        <v>0</v>
      </c>
      <c r="BB398" s="454" t="s">
        <v>1</v>
      </c>
      <c r="BM398" s="64">
        <f t="shared" si="47"/>
        <v>0</v>
      </c>
      <c r="BN398" s="64">
        <f t="shared" si="48"/>
        <v>0</v>
      </c>
      <c r="BO398" s="64">
        <f t="shared" si="49"/>
        <v>0</v>
      </c>
      <c r="BP398" s="64">
        <f t="shared" si="50"/>
        <v>0</v>
      </c>
    </row>
    <row r="399" spans="1:68" ht="27" customHeight="1" x14ac:dyDescent="0.25">
      <c r="A399" s="54" t="s">
        <v>628</v>
      </c>
      <c r="B399" s="54" t="s">
        <v>629</v>
      </c>
      <c r="C399" s="31">
        <v>4301031364</v>
      </c>
      <c r="D399" s="558">
        <v>4680115883161</v>
      </c>
      <c r="E399" s="559"/>
      <c r="F399" s="550">
        <v>0.28000000000000003</v>
      </c>
      <c r="G399" s="32">
        <v>6</v>
      </c>
      <c r="H399" s="550">
        <v>1.68</v>
      </c>
      <c r="I399" s="550">
        <v>1.81</v>
      </c>
      <c r="J399" s="32">
        <v>234</v>
      </c>
      <c r="K399" s="32" t="s">
        <v>73</v>
      </c>
      <c r="L399" s="32"/>
      <c r="M399" s="33" t="s">
        <v>68</v>
      </c>
      <c r="N399" s="33"/>
      <c r="O399" s="32">
        <v>50</v>
      </c>
      <c r="P399" s="804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399" s="556"/>
      <c r="R399" s="556"/>
      <c r="S399" s="556"/>
      <c r="T399" s="557"/>
      <c r="U399" s="34"/>
      <c r="V399" s="34"/>
      <c r="W399" s="35" t="s">
        <v>69</v>
      </c>
      <c r="X399" s="551">
        <v>0</v>
      </c>
      <c r="Y399" s="552">
        <f t="shared" si="46"/>
        <v>0</v>
      </c>
      <c r="Z399" s="36" t="str">
        <f t="shared" si="51"/>
        <v/>
      </c>
      <c r="AA399" s="56"/>
      <c r="AB399" s="57"/>
      <c r="AC399" s="455" t="s">
        <v>630</v>
      </c>
      <c r="AG399" s="64"/>
      <c r="AJ399" s="68"/>
      <c r="AK399" s="68">
        <v>0</v>
      </c>
      <c r="BB399" s="456" t="s">
        <v>1</v>
      </c>
      <c r="BM399" s="64">
        <f t="shared" si="47"/>
        <v>0</v>
      </c>
      <c r="BN399" s="64">
        <f t="shared" si="48"/>
        <v>0</v>
      </c>
      <c r="BO399" s="64">
        <f t="shared" si="49"/>
        <v>0</v>
      </c>
      <c r="BP399" s="64">
        <f t="shared" si="50"/>
        <v>0</v>
      </c>
    </row>
    <row r="400" spans="1:68" ht="27" customHeight="1" x14ac:dyDescent="0.25">
      <c r="A400" s="54" t="s">
        <v>631</v>
      </c>
      <c r="B400" s="54" t="s">
        <v>632</v>
      </c>
      <c r="C400" s="31">
        <v>4301031358</v>
      </c>
      <c r="D400" s="558">
        <v>4607091389531</v>
      </c>
      <c r="E400" s="559"/>
      <c r="F400" s="550">
        <v>0.35</v>
      </c>
      <c r="G400" s="32">
        <v>6</v>
      </c>
      <c r="H400" s="550">
        <v>2.1</v>
      </c>
      <c r="I400" s="550">
        <v>2.23</v>
      </c>
      <c r="J400" s="32">
        <v>234</v>
      </c>
      <c r="K400" s="32" t="s">
        <v>73</v>
      </c>
      <c r="L400" s="32"/>
      <c r="M400" s="33" t="s">
        <v>68</v>
      </c>
      <c r="N400" s="33"/>
      <c r="O400" s="32">
        <v>50</v>
      </c>
      <c r="P400" s="643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00" s="556"/>
      <c r="R400" s="556"/>
      <c r="S400" s="556"/>
      <c r="T400" s="557"/>
      <c r="U400" s="34"/>
      <c r="V400" s="34"/>
      <c r="W400" s="35" t="s">
        <v>69</v>
      </c>
      <c r="X400" s="551">
        <v>0</v>
      </c>
      <c r="Y400" s="552">
        <f t="shared" si="46"/>
        <v>0</v>
      </c>
      <c r="Z400" s="36" t="str">
        <f t="shared" si="51"/>
        <v/>
      </c>
      <c r="AA400" s="56"/>
      <c r="AB400" s="57"/>
      <c r="AC400" s="457" t="s">
        <v>633</v>
      </c>
      <c r="AG400" s="64"/>
      <c r="AJ400" s="68"/>
      <c r="AK400" s="68">
        <v>0</v>
      </c>
      <c r="BB400" s="458" t="s">
        <v>1</v>
      </c>
      <c r="BM400" s="64">
        <f t="shared" si="47"/>
        <v>0</v>
      </c>
      <c r="BN400" s="64">
        <f t="shared" si="48"/>
        <v>0</v>
      </c>
      <c r="BO400" s="64">
        <f t="shared" si="49"/>
        <v>0</v>
      </c>
      <c r="BP400" s="64">
        <f t="shared" si="50"/>
        <v>0</v>
      </c>
    </row>
    <row r="401" spans="1:68" ht="37.5" customHeight="1" x14ac:dyDescent="0.25">
      <c r="A401" s="54" t="s">
        <v>634</v>
      </c>
      <c r="B401" s="54" t="s">
        <v>635</v>
      </c>
      <c r="C401" s="31">
        <v>4301031360</v>
      </c>
      <c r="D401" s="558">
        <v>4607091384345</v>
      </c>
      <c r="E401" s="559"/>
      <c r="F401" s="550">
        <v>0.35</v>
      </c>
      <c r="G401" s="32">
        <v>6</v>
      </c>
      <c r="H401" s="550">
        <v>2.1</v>
      </c>
      <c r="I401" s="550">
        <v>2.23</v>
      </c>
      <c r="J401" s="32">
        <v>234</v>
      </c>
      <c r="K401" s="32" t="s">
        <v>73</v>
      </c>
      <c r="L401" s="32"/>
      <c r="M401" s="33" t="s">
        <v>68</v>
      </c>
      <c r="N401" s="33"/>
      <c r="O401" s="32">
        <v>50</v>
      </c>
      <c r="P401" s="648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01" s="556"/>
      <c r="R401" s="556"/>
      <c r="S401" s="556"/>
      <c r="T401" s="557"/>
      <c r="U401" s="34"/>
      <c r="V401" s="34"/>
      <c r="W401" s="35" t="s">
        <v>69</v>
      </c>
      <c r="X401" s="551">
        <v>0</v>
      </c>
      <c r="Y401" s="552">
        <f t="shared" si="46"/>
        <v>0</v>
      </c>
      <c r="Z401" s="36" t="str">
        <f t="shared" si="51"/>
        <v/>
      </c>
      <c r="AA401" s="56"/>
      <c r="AB401" s="57"/>
      <c r="AC401" s="459" t="s">
        <v>630</v>
      </c>
      <c r="AG401" s="64"/>
      <c r="AJ401" s="68"/>
      <c r="AK401" s="68">
        <v>0</v>
      </c>
      <c r="BB401" s="460" t="s">
        <v>1</v>
      </c>
      <c r="BM401" s="64">
        <f t="shared" si="47"/>
        <v>0</v>
      </c>
      <c r="BN401" s="64">
        <f t="shared" si="48"/>
        <v>0</v>
      </c>
      <c r="BO401" s="64">
        <f t="shared" si="49"/>
        <v>0</v>
      </c>
      <c r="BP401" s="64">
        <f t="shared" si="50"/>
        <v>0</v>
      </c>
    </row>
    <row r="402" spans="1:68" x14ac:dyDescent="0.2">
      <c r="A402" s="563"/>
      <c r="B402" s="564"/>
      <c r="C402" s="564"/>
      <c r="D402" s="564"/>
      <c r="E402" s="564"/>
      <c r="F402" s="564"/>
      <c r="G402" s="564"/>
      <c r="H402" s="564"/>
      <c r="I402" s="564"/>
      <c r="J402" s="564"/>
      <c r="K402" s="564"/>
      <c r="L402" s="564"/>
      <c r="M402" s="564"/>
      <c r="N402" s="564"/>
      <c r="O402" s="565"/>
      <c r="P402" s="570" t="s">
        <v>75</v>
      </c>
      <c r="Q402" s="571"/>
      <c r="R402" s="571"/>
      <c r="S402" s="571"/>
      <c r="T402" s="571"/>
      <c r="U402" s="571"/>
      <c r="V402" s="572"/>
      <c r="W402" s="37" t="s">
        <v>76</v>
      </c>
      <c r="X402" s="553">
        <f>IFERROR(X393/H393,"0")+IFERROR(X394/H394,"0")+IFERROR(X395/H395,"0")+IFERROR(X396/H396,"0")+IFERROR(X397/H397,"0")+IFERROR(X398/H398,"0")+IFERROR(X399/H399,"0")+IFERROR(X400/H400,"0")+IFERROR(X401/H401,"0")</f>
        <v>9.2592592592592595</v>
      </c>
      <c r="Y402" s="553">
        <f>IFERROR(Y393/H393,"0")+IFERROR(Y394/H394,"0")+IFERROR(Y395/H395,"0")+IFERROR(Y396/H396,"0")+IFERROR(Y397/H397,"0")+IFERROR(Y398/H398,"0")+IFERROR(Y399/H399,"0")+IFERROR(Y400/H400,"0")+IFERROR(Y401/H401,"0")</f>
        <v>10</v>
      </c>
      <c r="Z402" s="553">
        <f>IFERROR(IF(Z393="",0,Z393),"0")+IFERROR(IF(Z394="",0,Z394),"0")+IFERROR(IF(Z395="",0,Z395),"0")+IFERROR(IF(Z396="",0,Z396),"0")+IFERROR(IF(Z397="",0,Z397),"0")+IFERROR(IF(Z398="",0,Z398),"0")+IFERROR(IF(Z399="",0,Z399),"0")+IFERROR(IF(Z400="",0,Z400),"0")+IFERROR(IF(Z401="",0,Z401),"0")</f>
        <v>9.0200000000000002E-2</v>
      </c>
      <c r="AA402" s="554"/>
      <c r="AB402" s="554"/>
      <c r="AC402" s="554"/>
    </row>
    <row r="403" spans="1:68" x14ac:dyDescent="0.2">
      <c r="A403" s="564"/>
      <c r="B403" s="564"/>
      <c r="C403" s="564"/>
      <c r="D403" s="564"/>
      <c r="E403" s="564"/>
      <c r="F403" s="564"/>
      <c r="G403" s="564"/>
      <c r="H403" s="564"/>
      <c r="I403" s="564"/>
      <c r="J403" s="564"/>
      <c r="K403" s="564"/>
      <c r="L403" s="564"/>
      <c r="M403" s="564"/>
      <c r="N403" s="564"/>
      <c r="O403" s="565"/>
      <c r="P403" s="570" t="s">
        <v>75</v>
      </c>
      <c r="Q403" s="571"/>
      <c r="R403" s="571"/>
      <c r="S403" s="571"/>
      <c r="T403" s="571"/>
      <c r="U403" s="571"/>
      <c r="V403" s="572"/>
      <c r="W403" s="37" t="s">
        <v>69</v>
      </c>
      <c r="X403" s="553">
        <f>IFERROR(SUM(X393:X401),"0")</f>
        <v>50</v>
      </c>
      <c r="Y403" s="553">
        <f>IFERROR(SUM(Y393:Y401),"0")</f>
        <v>54</v>
      </c>
      <c r="Z403" s="37"/>
      <c r="AA403" s="554"/>
      <c r="AB403" s="554"/>
      <c r="AC403" s="554"/>
    </row>
    <row r="404" spans="1:68" ht="14.25" customHeight="1" x14ac:dyDescent="0.25">
      <c r="A404" s="567" t="s">
        <v>77</v>
      </c>
      <c r="B404" s="564"/>
      <c r="C404" s="564"/>
      <c r="D404" s="564"/>
      <c r="E404" s="564"/>
      <c r="F404" s="564"/>
      <c r="G404" s="564"/>
      <c r="H404" s="564"/>
      <c r="I404" s="564"/>
      <c r="J404" s="564"/>
      <c r="K404" s="564"/>
      <c r="L404" s="564"/>
      <c r="M404" s="564"/>
      <c r="N404" s="564"/>
      <c r="O404" s="564"/>
      <c r="P404" s="564"/>
      <c r="Q404" s="564"/>
      <c r="R404" s="564"/>
      <c r="S404" s="564"/>
      <c r="T404" s="564"/>
      <c r="U404" s="564"/>
      <c r="V404" s="564"/>
      <c r="W404" s="564"/>
      <c r="X404" s="564"/>
      <c r="Y404" s="564"/>
      <c r="Z404" s="564"/>
      <c r="AA404" s="545"/>
      <c r="AB404" s="545"/>
      <c r="AC404" s="545"/>
    </row>
    <row r="405" spans="1:68" ht="27" customHeight="1" x14ac:dyDescent="0.25">
      <c r="A405" s="54" t="s">
        <v>636</v>
      </c>
      <c r="B405" s="54" t="s">
        <v>637</v>
      </c>
      <c r="C405" s="31">
        <v>4301051284</v>
      </c>
      <c r="D405" s="558">
        <v>4607091384352</v>
      </c>
      <c r="E405" s="559"/>
      <c r="F405" s="550">
        <v>0.6</v>
      </c>
      <c r="G405" s="32">
        <v>4</v>
      </c>
      <c r="H405" s="550">
        <v>2.4</v>
      </c>
      <c r="I405" s="550">
        <v>2.6259999999999999</v>
      </c>
      <c r="J405" s="32">
        <v>132</v>
      </c>
      <c r="K405" s="32" t="s">
        <v>110</v>
      </c>
      <c r="L405" s="32" t="s">
        <v>111</v>
      </c>
      <c r="M405" s="33" t="s">
        <v>80</v>
      </c>
      <c r="N405" s="33"/>
      <c r="O405" s="32">
        <v>45</v>
      </c>
      <c r="P405" s="632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05" s="556"/>
      <c r="R405" s="556"/>
      <c r="S405" s="556"/>
      <c r="T405" s="557"/>
      <c r="U405" s="34"/>
      <c r="V405" s="34"/>
      <c r="W405" s="35" t="s">
        <v>69</v>
      </c>
      <c r="X405" s="551">
        <v>0</v>
      </c>
      <c r="Y405" s="552">
        <f>IFERROR(IF(X405="",0,CEILING((X405/$H405),1)*$H405),"")</f>
        <v>0</v>
      </c>
      <c r="Z405" s="36" t="str">
        <f>IFERROR(IF(Y405=0,"",ROUNDUP(Y405/H405,0)*0.00902),"")</f>
        <v/>
      </c>
      <c r="AA405" s="56"/>
      <c r="AB405" s="57"/>
      <c r="AC405" s="461" t="s">
        <v>638</v>
      </c>
      <c r="AG405" s="64"/>
      <c r="AJ405" s="68" t="s">
        <v>92</v>
      </c>
      <c r="AK405" s="68">
        <v>28.8</v>
      </c>
      <c r="BB405" s="462" t="s">
        <v>1</v>
      </c>
      <c r="BM405" s="64">
        <f>IFERROR(X405*I405/H405,"0")</f>
        <v>0</v>
      </c>
      <c r="BN405" s="64">
        <f>IFERROR(Y405*I405/H405,"0")</f>
        <v>0</v>
      </c>
      <c r="BO405" s="64">
        <f>IFERROR(1/J405*(X405/H405),"0")</f>
        <v>0</v>
      </c>
      <c r="BP405" s="64">
        <f>IFERROR(1/J405*(Y405/H405),"0")</f>
        <v>0</v>
      </c>
    </row>
    <row r="406" spans="1:68" ht="27" customHeight="1" x14ac:dyDescent="0.25">
      <c r="A406" s="54" t="s">
        <v>639</v>
      </c>
      <c r="B406" s="54" t="s">
        <v>640</v>
      </c>
      <c r="C406" s="31">
        <v>4301051431</v>
      </c>
      <c r="D406" s="558">
        <v>4607091389654</v>
      </c>
      <c r="E406" s="559"/>
      <c r="F406" s="550">
        <v>0.33</v>
      </c>
      <c r="G406" s="32">
        <v>6</v>
      </c>
      <c r="H406" s="550">
        <v>1.98</v>
      </c>
      <c r="I406" s="550">
        <v>2.238</v>
      </c>
      <c r="J406" s="32">
        <v>182</v>
      </c>
      <c r="K406" s="32" t="s">
        <v>67</v>
      </c>
      <c r="L406" s="32" t="s">
        <v>90</v>
      </c>
      <c r="M406" s="33" t="s">
        <v>80</v>
      </c>
      <c r="N406" s="33"/>
      <c r="O406" s="32">
        <v>45</v>
      </c>
      <c r="P406" s="692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06" s="556"/>
      <c r="R406" s="556"/>
      <c r="S406" s="556"/>
      <c r="T406" s="557"/>
      <c r="U406" s="34"/>
      <c r="V406" s="34"/>
      <c r="W406" s="35" t="s">
        <v>69</v>
      </c>
      <c r="X406" s="551">
        <v>0</v>
      </c>
      <c r="Y406" s="552">
        <f>IFERROR(IF(X406="",0,CEILING((X406/$H406),1)*$H406),"")</f>
        <v>0</v>
      </c>
      <c r="Z406" s="36" t="str">
        <f>IFERROR(IF(Y406=0,"",ROUNDUP(Y406/H406,0)*0.00651),"")</f>
        <v/>
      </c>
      <c r="AA406" s="56"/>
      <c r="AB406" s="57"/>
      <c r="AC406" s="463" t="s">
        <v>641</v>
      </c>
      <c r="AG406" s="64"/>
      <c r="AJ406" s="68" t="s">
        <v>92</v>
      </c>
      <c r="AK406" s="68">
        <v>27.72</v>
      </c>
      <c r="BB406" s="464" t="s">
        <v>1</v>
      </c>
      <c r="BM406" s="64">
        <f>IFERROR(X406*I406/H406,"0")</f>
        <v>0</v>
      </c>
      <c r="BN406" s="64">
        <f>IFERROR(Y406*I406/H406,"0")</f>
        <v>0</v>
      </c>
      <c r="BO406" s="64">
        <f>IFERROR(1/J406*(X406/H406),"0")</f>
        <v>0</v>
      </c>
      <c r="BP406" s="64">
        <f>IFERROR(1/J406*(Y406/H406),"0")</f>
        <v>0</v>
      </c>
    </row>
    <row r="407" spans="1:68" x14ac:dyDescent="0.2">
      <c r="A407" s="563"/>
      <c r="B407" s="564"/>
      <c r="C407" s="564"/>
      <c r="D407" s="564"/>
      <c r="E407" s="564"/>
      <c r="F407" s="564"/>
      <c r="G407" s="564"/>
      <c r="H407" s="564"/>
      <c r="I407" s="564"/>
      <c r="J407" s="564"/>
      <c r="K407" s="564"/>
      <c r="L407" s="564"/>
      <c r="M407" s="564"/>
      <c r="N407" s="564"/>
      <c r="O407" s="565"/>
      <c r="P407" s="570" t="s">
        <v>75</v>
      </c>
      <c r="Q407" s="571"/>
      <c r="R407" s="571"/>
      <c r="S407" s="571"/>
      <c r="T407" s="571"/>
      <c r="U407" s="571"/>
      <c r="V407" s="572"/>
      <c r="W407" s="37" t="s">
        <v>76</v>
      </c>
      <c r="X407" s="553">
        <f>IFERROR(X405/H405,"0")+IFERROR(X406/H406,"0")</f>
        <v>0</v>
      </c>
      <c r="Y407" s="553">
        <f>IFERROR(Y405/H405,"0")+IFERROR(Y406/H406,"0")</f>
        <v>0</v>
      </c>
      <c r="Z407" s="553">
        <f>IFERROR(IF(Z405="",0,Z405),"0")+IFERROR(IF(Z406="",0,Z406),"0")</f>
        <v>0</v>
      </c>
      <c r="AA407" s="554"/>
      <c r="AB407" s="554"/>
      <c r="AC407" s="554"/>
    </row>
    <row r="408" spans="1:68" x14ac:dyDescent="0.2">
      <c r="A408" s="564"/>
      <c r="B408" s="564"/>
      <c r="C408" s="564"/>
      <c r="D408" s="564"/>
      <c r="E408" s="564"/>
      <c r="F408" s="564"/>
      <c r="G408" s="564"/>
      <c r="H408" s="564"/>
      <c r="I408" s="564"/>
      <c r="J408" s="564"/>
      <c r="K408" s="564"/>
      <c r="L408" s="564"/>
      <c r="M408" s="564"/>
      <c r="N408" s="564"/>
      <c r="O408" s="565"/>
      <c r="P408" s="570" t="s">
        <v>75</v>
      </c>
      <c r="Q408" s="571"/>
      <c r="R408" s="571"/>
      <c r="S408" s="571"/>
      <c r="T408" s="571"/>
      <c r="U408" s="571"/>
      <c r="V408" s="572"/>
      <c r="W408" s="37" t="s">
        <v>69</v>
      </c>
      <c r="X408" s="553">
        <f>IFERROR(SUM(X405:X406),"0")</f>
        <v>0</v>
      </c>
      <c r="Y408" s="553">
        <f>IFERROR(SUM(Y405:Y406),"0")</f>
        <v>0</v>
      </c>
      <c r="Z408" s="37"/>
      <c r="AA408" s="554"/>
      <c r="AB408" s="554"/>
      <c r="AC408" s="554"/>
    </row>
    <row r="409" spans="1:68" ht="16.5" customHeight="1" x14ac:dyDescent="0.25">
      <c r="A409" s="573" t="s">
        <v>642</v>
      </c>
      <c r="B409" s="564"/>
      <c r="C409" s="564"/>
      <c r="D409" s="564"/>
      <c r="E409" s="564"/>
      <c r="F409" s="564"/>
      <c r="G409" s="564"/>
      <c r="H409" s="564"/>
      <c r="I409" s="564"/>
      <c r="J409" s="564"/>
      <c r="K409" s="564"/>
      <c r="L409" s="564"/>
      <c r="M409" s="564"/>
      <c r="N409" s="564"/>
      <c r="O409" s="564"/>
      <c r="P409" s="564"/>
      <c r="Q409" s="564"/>
      <c r="R409" s="564"/>
      <c r="S409" s="564"/>
      <c r="T409" s="564"/>
      <c r="U409" s="564"/>
      <c r="V409" s="564"/>
      <c r="W409" s="564"/>
      <c r="X409" s="564"/>
      <c r="Y409" s="564"/>
      <c r="Z409" s="564"/>
      <c r="AA409" s="546"/>
      <c r="AB409" s="546"/>
      <c r="AC409" s="546"/>
    </row>
    <row r="410" spans="1:68" ht="14.25" customHeight="1" x14ac:dyDescent="0.25">
      <c r="A410" s="567" t="s">
        <v>136</v>
      </c>
      <c r="B410" s="564"/>
      <c r="C410" s="564"/>
      <c r="D410" s="564"/>
      <c r="E410" s="564"/>
      <c r="F410" s="564"/>
      <c r="G410" s="564"/>
      <c r="H410" s="564"/>
      <c r="I410" s="564"/>
      <c r="J410" s="564"/>
      <c r="K410" s="564"/>
      <c r="L410" s="564"/>
      <c r="M410" s="564"/>
      <c r="N410" s="564"/>
      <c r="O410" s="564"/>
      <c r="P410" s="564"/>
      <c r="Q410" s="564"/>
      <c r="R410" s="564"/>
      <c r="S410" s="564"/>
      <c r="T410" s="564"/>
      <c r="U410" s="564"/>
      <c r="V410" s="564"/>
      <c r="W410" s="564"/>
      <c r="X410" s="564"/>
      <c r="Y410" s="564"/>
      <c r="Z410" s="564"/>
      <c r="AA410" s="545"/>
      <c r="AB410" s="545"/>
      <c r="AC410" s="545"/>
    </row>
    <row r="411" spans="1:68" ht="27" customHeight="1" x14ac:dyDescent="0.25">
      <c r="A411" s="54" t="s">
        <v>643</v>
      </c>
      <c r="B411" s="54" t="s">
        <v>644</v>
      </c>
      <c r="C411" s="31">
        <v>4301020319</v>
      </c>
      <c r="D411" s="558">
        <v>4680115885240</v>
      </c>
      <c r="E411" s="559"/>
      <c r="F411" s="550">
        <v>0.35</v>
      </c>
      <c r="G411" s="32">
        <v>6</v>
      </c>
      <c r="H411" s="550">
        <v>2.1</v>
      </c>
      <c r="I411" s="550">
        <v>2.31</v>
      </c>
      <c r="J411" s="32">
        <v>182</v>
      </c>
      <c r="K411" s="32" t="s">
        <v>67</v>
      </c>
      <c r="L411" s="32"/>
      <c r="M411" s="33" t="s">
        <v>68</v>
      </c>
      <c r="N411" s="33"/>
      <c r="O411" s="32">
        <v>40</v>
      </c>
      <c r="P411" s="688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11" s="556"/>
      <c r="R411" s="556"/>
      <c r="S411" s="556"/>
      <c r="T411" s="557"/>
      <c r="U411" s="34"/>
      <c r="V411" s="34"/>
      <c r="W411" s="35" t="s">
        <v>69</v>
      </c>
      <c r="X411" s="551">
        <v>0</v>
      </c>
      <c r="Y411" s="552">
        <f>IFERROR(IF(X411="",0,CEILING((X411/$H411),1)*$H411),"")</f>
        <v>0</v>
      </c>
      <c r="Z411" s="36" t="str">
        <f>IFERROR(IF(Y411=0,"",ROUNDUP(Y411/H411,0)*0.00651),"")</f>
        <v/>
      </c>
      <c r="AA411" s="56"/>
      <c r="AB411" s="57"/>
      <c r="AC411" s="465" t="s">
        <v>645</v>
      </c>
      <c r="AG411" s="64"/>
      <c r="AJ411" s="68"/>
      <c r="AK411" s="68">
        <v>0</v>
      </c>
      <c r="BB411" s="466" t="s">
        <v>1</v>
      </c>
      <c r="BM411" s="64">
        <f>IFERROR(X411*I411/H411,"0")</f>
        <v>0</v>
      </c>
      <c r="BN411" s="64">
        <f>IFERROR(Y411*I411/H411,"0")</f>
        <v>0</v>
      </c>
      <c r="BO411" s="64">
        <f>IFERROR(1/J411*(X411/H411),"0")</f>
        <v>0</v>
      </c>
      <c r="BP411" s="64">
        <f>IFERROR(1/J411*(Y411/H411),"0")</f>
        <v>0</v>
      </c>
    </row>
    <row r="412" spans="1:68" x14ac:dyDescent="0.2">
      <c r="A412" s="563"/>
      <c r="B412" s="564"/>
      <c r="C412" s="564"/>
      <c r="D412" s="564"/>
      <c r="E412" s="564"/>
      <c r="F412" s="564"/>
      <c r="G412" s="564"/>
      <c r="H412" s="564"/>
      <c r="I412" s="564"/>
      <c r="J412" s="564"/>
      <c r="K412" s="564"/>
      <c r="L412" s="564"/>
      <c r="M412" s="564"/>
      <c r="N412" s="564"/>
      <c r="O412" s="565"/>
      <c r="P412" s="570" t="s">
        <v>75</v>
      </c>
      <c r="Q412" s="571"/>
      <c r="R412" s="571"/>
      <c r="S412" s="571"/>
      <c r="T412" s="571"/>
      <c r="U412" s="571"/>
      <c r="V412" s="572"/>
      <c r="W412" s="37" t="s">
        <v>76</v>
      </c>
      <c r="X412" s="553">
        <f>IFERROR(X411/H411,"0")</f>
        <v>0</v>
      </c>
      <c r="Y412" s="553">
        <f>IFERROR(Y411/H411,"0")</f>
        <v>0</v>
      </c>
      <c r="Z412" s="553">
        <f>IFERROR(IF(Z411="",0,Z411),"0")</f>
        <v>0</v>
      </c>
      <c r="AA412" s="554"/>
      <c r="AB412" s="554"/>
      <c r="AC412" s="554"/>
    </row>
    <row r="413" spans="1:68" x14ac:dyDescent="0.2">
      <c r="A413" s="564"/>
      <c r="B413" s="564"/>
      <c r="C413" s="564"/>
      <c r="D413" s="564"/>
      <c r="E413" s="564"/>
      <c r="F413" s="564"/>
      <c r="G413" s="564"/>
      <c r="H413" s="564"/>
      <c r="I413" s="564"/>
      <c r="J413" s="564"/>
      <c r="K413" s="564"/>
      <c r="L413" s="564"/>
      <c r="M413" s="564"/>
      <c r="N413" s="564"/>
      <c r="O413" s="565"/>
      <c r="P413" s="570" t="s">
        <v>75</v>
      </c>
      <c r="Q413" s="571"/>
      <c r="R413" s="571"/>
      <c r="S413" s="571"/>
      <c r="T413" s="571"/>
      <c r="U413" s="571"/>
      <c r="V413" s="572"/>
      <c r="W413" s="37" t="s">
        <v>69</v>
      </c>
      <c r="X413" s="553">
        <f>IFERROR(SUM(X411:X411),"0")</f>
        <v>0</v>
      </c>
      <c r="Y413" s="553">
        <f>IFERROR(SUM(Y411:Y411),"0")</f>
        <v>0</v>
      </c>
      <c r="Z413" s="37"/>
      <c r="AA413" s="554"/>
      <c r="AB413" s="554"/>
      <c r="AC413" s="554"/>
    </row>
    <row r="414" spans="1:68" ht="14.25" customHeight="1" x14ac:dyDescent="0.25">
      <c r="A414" s="567" t="s">
        <v>64</v>
      </c>
      <c r="B414" s="564"/>
      <c r="C414" s="564"/>
      <c r="D414" s="564"/>
      <c r="E414" s="564"/>
      <c r="F414" s="564"/>
      <c r="G414" s="564"/>
      <c r="H414" s="564"/>
      <c r="I414" s="564"/>
      <c r="J414" s="564"/>
      <c r="K414" s="564"/>
      <c r="L414" s="564"/>
      <c r="M414" s="564"/>
      <c r="N414" s="564"/>
      <c r="O414" s="564"/>
      <c r="P414" s="564"/>
      <c r="Q414" s="564"/>
      <c r="R414" s="564"/>
      <c r="S414" s="564"/>
      <c r="T414" s="564"/>
      <c r="U414" s="564"/>
      <c r="V414" s="564"/>
      <c r="W414" s="564"/>
      <c r="X414" s="564"/>
      <c r="Y414" s="564"/>
      <c r="Z414" s="564"/>
      <c r="AA414" s="545"/>
      <c r="AB414" s="545"/>
      <c r="AC414" s="545"/>
    </row>
    <row r="415" spans="1:68" ht="27" customHeight="1" x14ac:dyDescent="0.25">
      <c r="A415" s="54" t="s">
        <v>646</v>
      </c>
      <c r="B415" s="54" t="s">
        <v>647</v>
      </c>
      <c r="C415" s="31">
        <v>4301031403</v>
      </c>
      <c r="D415" s="558">
        <v>4680115886094</v>
      </c>
      <c r="E415" s="559"/>
      <c r="F415" s="550">
        <v>0.9</v>
      </c>
      <c r="G415" s="32">
        <v>6</v>
      </c>
      <c r="H415" s="550">
        <v>5.4</v>
      </c>
      <c r="I415" s="550">
        <v>5.59</v>
      </c>
      <c r="J415" s="32">
        <v>132</v>
      </c>
      <c r="K415" s="32" t="s">
        <v>110</v>
      </c>
      <c r="L415" s="32" t="s">
        <v>111</v>
      </c>
      <c r="M415" s="33" t="s">
        <v>106</v>
      </c>
      <c r="N415" s="33"/>
      <c r="O415" s="32">
        <v>50</v>
      </c>
      <c r="P415" s="819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15" s="556"/>
      <c r="R415" s="556"/>
      <c r="S415" s="556"/>
      <c r="T415" s="557"/>
      <c r="U415" s="34"/>
      <c r="V415" s="34"/>
      <c r="W415" s="35" t="s">
        <v>69</v>
      </c>
      <c r="X415" s="551">
        <v>0</v>
      </c>
      <c r="Y415" s="552">
        <f>IFERROR(IF(X415="",0,CEILING((X415/$H415),1)*$H415),"")</f>
        <v>0</v>
      </c>
      <c r="Z415" s="36" t="str">
        <f>IFERROR(IF(Y415=0,"",ROUNDUP(Y415/H415,0)*0.00902),"")</f>
        <v/>
      </c>
      <c r="AA415" s="56"/>
      <c r="AB415" s="57"/>
      <c r="AC415" s="467" t="s">
        <v>648</v>
      </c>
      <c r="AG415" s="64"/>
      <c r="AJ415" s="68" t="s">
        <v>92</v>
      </c>
      <c r="AK415" s="68">
        <v>64.8</v>
      </c>
      <c r="BB415" s="468" t="s">
        <v>1</v>
      </c>
      <c r="BM415" s="64">
        <f>IFERROR(X415*I415/H415,"0")</f>
        <v>0</v>
      </c>
      <c r="BN415" s="64">
        <f>IFERROR(Y415*I415/H415,"0")</f>
        <v>0</v>
      </c>
      <c r="BO415" s="64">
        <f>IFERROR(1/J415*(X415/H415),"0")</f>
        <v>0</v>
      </c>
      <c r="BP415" s="64">
        <f>IFERROR(1/J415*(Y415/H415),"0")</f>
        <v>0</v>
      </c>
    </row>
    <row r="416" spans="1:68" ht="27" customHeight="1" x14ac:dyDescent="0.25">
      <c r="A416" s="54" t="s">
        <v>649</v>
      </c>
      <c r="B416" s="54" t="s">
        <v>650</v>
      </c>
      <c r="C416" s="31">
        <v>4301031363</v>
      </c>
      <c r="D416" s="558">
        <v>4607091389425</v>
      </c>
      <c r="E416" s="559"/>
      <c r="F416" s="550">
        <v>0.35</v>
      </c>
      <c r="G416" s="32">
        <v>6</v>
      </c>
      <c r="H416" s="550">
        <v>2.1</v>
      </c>
      <c r="I416" s="550">
        <v>2.23</v>
      </c>
      <c r="J416" s="32">
        <v>234</v>
      </c>
      <c r="K416" s="32" t="s">
        <v>73</v>
      </c>
      <c r="L416" s="32"/>
      <c r="M416" s="33" t="s">
        <v>68</v>
      </c>
      <c r="N416" s="33"/>
      <c r="O416" s="32">
        <v>50</v>
      </c>
      <c r="P416" s="680" t="str">
        <f>HYPERLINK("https://abi.ru/products/Охлажденные/Баварушка/Балыкбургская/Копченые колбасы/P004516/","В/к колбасы «Балыкбургская рубленая» Фикс.вес 0,35 фиброуз в/у срез ТМ «Баварушка»")</f>
        <v>В/к колбасы «Балыкбургская рубленая» Фикс.вес 0,35 фиброуз в/у срез ТМ «Баварушка»</v>
      </c>
      <c r="Q416" s="556"/>
      <c r="R416" s="556"/>
      <c r="S416" s="556"/>
      <c r="T416" s="557"/>
      <c r="U416" s="34"/>
      <c r="V416" s="34"/>
      <c r="W416" s="35" t="s">
        <v>69</v>
      </c>
      <c r="X416" s="551">
        <v>0</v>
      </c>
      <c r="Y416" s="552">
        <f>IFERROR(IF(X416="",0,CEILING((X416/$H416),1)*$H416),"")</f>
        <v>0</v>
      </c>
      <c r="Z416" s="36" t="str">
        <f>IFERROR(IF(Y416=0,"",ROUNDUP(Y416/H416,0)*0.00502),"")</f>
        <v/>
      </c>
      <c r="AA416" s="56"/>
      <c r="AB416" s="57"/>
      <c r="AC416" s="469" t="s">
        <v>651</v>
      </c>
      <c r="AG416" s="64"/>
      <c r="AJ416" s="68"/>
      <c r="AK416" s="68">
        <v>0</v>
      </c>
      <c r="BB416" s="470" t="s">
        <v>1</v>
      </c>
      <c r="BM416" s="64">
        <f>IFERROR(X416*I416/H416,"0")</f>
        <v>0</v>
      </c>
      <c r="BN416" s="64">
        <f>IFERROR(Y416*I416/H416,"0")</f>
        <v>0</v>
      </c>
      <c r="BO416" s="64">
        <f>IFERROR(1/J416*(X416/H416),"0")</f>
        <v>0</v>
      </c>
      <c r="BP416" s="64">
        <f>IFERROR(1/J416*(Y416/H416),"0")</f>
        <v>0</v>
      </c>
    </row>
    <row r="417" spans="1:68" ht="27" customHeight="1" x14ac:dyDescent="0.25">
      <c r="A417" s="54" t="s">
        <v>652</v>
      </c>
      <c r="B417" s="54" t="s">
        <v>653</v>
      </c>
      <c r="C417" s="31">
        <v>4301031373</v>
      </c>
      <c r="D417" s="558">
        <v>4680115880771</v>
      </c>
      <c r="E417" s="559"/>
      <c r="F417" s="550">
        <v>0.28000000000000003</v>
      </c>
      <c r="G417" s="32">
        <v>6</v>
      </c>
      <c r="H417" s="550">
        <v>1.68</v>
      </c>
      <c r="I417" s="550">
        <v>1.81</v>
      </c>
      <c r="J417" s="32">
        <v>234</v>
      </c>
      <c r="K417" s="32" t="s">
        <v>73</v>
      </c>
      <c r="L417" s="32"/>
      <c r="M417" s="33" t="s">
        <v>68</v>
      </c>
      <c r="N417" s="33"/>
      <c r="O417" s="32">
        <v>50</v>
      </c>
      <c r="P417" s="823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17" s="556"/>
      <c r="R417" s="556"/>
      <c r="S417" s="556"/>
      <c r="T417" s="557"/>
      <c r="U417" s="34"/>
      <c r="V417" s="34"/>
      <c r="W417" s="35" t="s">
        <v>69</v>
      </c>
      <c r="X417" s="551">
        <v>0</v>
      </c>
      <c r="Y417" s="552">
        <f>IFERROR(IF(X417="",0,CEILING((X417/$H417),1)*$H417),"")</f>
        <v>0</v>
      </c>
      <c r="Z417" s="36" t="str">
        <f>IFERROR(IF(Y417=0,"",ROUNDUP(Y417/H417,0)*0.00502),"")</f>
        <v/>
      </c>
      <c r="AA417" s="56"/>
      <c r="AB417" s="57"/>
      <c r="AC417" s="471" t="s">
        <v>654</v>
      </c>
      <c r="AG417" s="64"/>
      <c r="AJ417" s="68"/>
      <c r="AK417" s="68">
        <v>0</v>
      </c>
      <c r="BB417" s="472" t="s">
        <v>1</v>
      </c>
      <c r="BM417" s="64">
        <f>IFERROR(X417*I417/H417,"0")</f>
        <v>0</v>
      </c>
      <c r="BN417" s="64">
        <f>IFERROR(Y417*I417/H417,"0")</f>
        <v>0</v>
      </c>
      <c r="BO417" s="64">
        <f>IFERROR(1/J417*(X417/H417),"0")</f>
        <v>0</v>
      </c>
      <c r="BP417" s="64">
        <f>IFERROR(1/J417*(Y417/H417),"0")</f>
        <v>0</v>
      </c>
    </row>
    <row r="418" spans="1:68" ht="27" customHeight="1" x14ac:dyDescent="0.25">
      <c r="A418" s="54" t="s">
        <v>655</v>
      </c>
      <c r="B418" s="54" t="s">
        <v>656</v>
      </c>
      <c r="C418" s="31">
        <v>4301031359</v>
      </c>
      <c r="D418" s="558">
        <v>4607091389500</v>
      </c>
      <c r="E418" s="559"/>
      <c r="F418" s="550">
        <v>0.35</v>
      </c>
      <c r="G418" s="32">
        <v>6</v>
      </c>
      <c r="H418" s="550">
        <v>2.1</v>
      </c>
      <c r="I418" s="550">
        <v>2.23</v>
      </c>
      <c r="J418" s="32">
        <v>234</v>
      </c>
      <c r="K418" s="32" t="s">
        <v>73</v>
      </c>
      <c r="L418" s="32"/>
      <c r="M418" s="33" t="s">
        <v>68</v>
      </c>
      <c r="N418" s="33"/>
      <c r="O418" s="32">
        <v>50</v>
      </c>
      <c r="P418" s="831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18" s="556"/>
      <c r="R418" s="556"/>
      <c r="S418" s="556"/>
      <c r="T418" s="557"/>
      <c r="U418" s="34"/>
      <c r="V418" s="34"/>
      <c r="W418" s="35" t="s">
        <v>69</v>
      </c>
      <c r="X418" s="551">
        <v>0</v>
      </c>
      <c r="Y418" s="552">
        <f>IFERROR(IF(X418="",0,CEILING((X418/$H418),1)*$H418),"")</f>
        <v>0</v>
      </c>
      <c r="Z418" s="36" t="str">
        <f>IFERROR(IF(Y418=0,"",ROUNDUP(Y418/H418,0)*0.00502),"")</f>
        <v/>
      </c>
      <c r="AA418" s="56"/>
      <c r="AB418" s="57"/>
      <c r="AC418" s="473" t="s">
        <v>654</v>
      </c>
      <c r="AG418" s="64"/>
      <c r="AJ418" s="68"/>
      <c r="AK418" s="68">
        <v>0</v>
      </c>
      <c r="BB418" s="474" t="s">
        <v>1</v>
      </c>
      <c r="BM418" s="64">
        <f>IFERROR(X418*I418/H418,"0")</f>
        <v>0</v>
      </c>
      <c r="BN418" s="64">
        <f>IFERROR(Y418*I418/H418,"0")</f>
        <v>0</v>
      </c>
      <c r="BO418" s="64">
        <f>IFERROR(1/J418*(X418/H418),"0")</f>
        <v>0</v>
      </c>
      <c r="BP418" s="64">
        <f>IFERROR(1/J418*(Y418/H418),"0")</f>
        <v>0</v>
      </c>
    </row>
    <row r="419" spans="1:68" x14ac:dyDescent="0.2">
      <c r="A419" s="563"/>
      <c r="B419" s="564"/>
      <c r="C419" s="564"/>
      <c r="D419" s="564"/>
      <c r="E419" s="564"/>
      <c r="F419" s="564"/>
      <c r="G419" s="564"/>
      <c r="H419" s="564"/>
      <c r="I419" s="564"/>
      <c r="J419" s="564"/>
      <c r="K419" s="564"/>
      <c r="L419" s="564"/>
      <c r="M419" s="564"/>
      <c r="N419" s="564"/>
      <c r="O419" s="565"/>
      <c r="P419" s="570" t="s">
        <v>75</v>
      </c>
      <c r="Q419" s="571"/>
      <c r="R419" s="571"/>
      <c r="S419" s="571"/>
      <c r="T419" s="571"/>
      <c r="U419" s="571"/>
      <c r="V419" s="572"/>
      <c r="W419" s="37" t="s">
        <v>76</v>
      </c>
      <c r="X419" s="553">
        <f>IFERROR(X415/H415,"0")+IFERROR(X416/H416,"0")+IFERROR(X417/H417,"0")+IFERROR(X418/H418,"0")</f>
        <v>0</v>
      </c>
      <c r="Y419" s="553">
        <f>IFERROR(Y415/H415,"0")+IFERROR(Y416/H416,"0")+IFERROR(Y417/H417,"0")+IFERROR(Y418/H418,"0")</f>
        <v>0</v>
      </c>
      <c r="Z419" s="553">
        <f>IFERROR(IF(Z415="",0,Z415),"0")+IFERROR(IF(Z416="",0,Z416),"0")+IFERROR(IF(Z417="",0,Z417),"0")+IFERROR(IF(Z418="",0,Z418),"0")</f>
        <v>0</v>
      </c>
      <c r="AA419" s="554"/>
      <c r="AB419" s="554"/>
      <c r="AC419" s="554"/>
    </row>
    <row r="420" spans="1:68" x14ac:dyDescent="0.2">
      <c r="A420" s="564"/>
      <c r="B420" s="564"/>
      <c r="C420" s="564"/>
      <c r="D420" s="564"/>
      <c r="E420" s="564"/>
      <c r="F420" s="564"/>
      <c r="G420" s="564"/>
      <c r="H420" s="564"/>
      <c r="I420" s="564"/>
      <c r="J420" s="564"/>
      <c r="K420" s="564"/>
      <c r="L420" s="564"/>
      <c r="M420" s="564"/>
      <c r="N420" s="564"/>
      <c r="O420" s="565"/>
      <c r="P420" s="570" t="s">
        <v>75</v>
      </c>
      <c r="Q420" s="571"/>
      <c r="R420" s="571"/>
      <c r="S420" s="571"/>
      <c r="T420" s="571"/>
      <c r="U420" s="571"/>
      <c r="V420" s="572"/>
      <c r="W420" s="37" t="s">
        <v>69</v>
      </c>
      <c r="X420" s="553">
        <f>IFERROR(SUM(X415:X418),"0")</f>
        <v>0</v>
      </c>
      <c r="Y420" s="553">
        <f>IFERROR(SUM(Y415:Y418),"0")</f>
        <v>0</v>
      </c>
      <c r="Z420" s="37"/>
      <c r="AA420" s="554"/>
      <c r="AB420" s="554"/>
      <c r="AC420" s="554"/>
    </row>
    <row r="421" spans="1:68" ht="16.5" customHeight="1" x14ac:dyDescent="0.25">
      <c r="A421" s="573" t="s">
        <v>657</v>
      </c>
      <c r="B421" s="564"/>
      <c r="C421" s="564"/>
      <c r="D421" s="564"/>
      <c r="E421" s="564"/>
      <c r="F421" s="564"/>
      <c r="G421" s="564"/>
      <c r="H421" s="564"/>
      <c r="I421" s="564"/>
      <c r="J421" s="564"/>
      <c r="K421" s="564"/>
      <c r="L421" s="564"/>
      <c r="M421" s="564"/>
      <c r="N421" s="564"/>
      <c r="O421" s="564"/>
      <c r="P421" s="564"/>
      <c r="Q421" s="564"/>
      <c r="R421" s="564"/>
      <c r="S421" s="564"/>
      <c r="T421" s="564"/>
      <c r="U421" s="564"/>
      <c r="V421" s="564"/>
      <c r="W421" s="564"/>
      <c r="X421" s="564"/>
      <c r="Y421" s="564"/>
      <c r="Z421" s="564"/>
      <c r="AA421" s="546"/>
      <c r="AB421" s="546"/>
      <c r="AC421" s="546"/>
    </row>
    <row r="422" spans="1:68" ht="14.25" customHeight="1" x14ac:dyDescent="0.25">
      <c r="A422" s="567" t="s">
        <v>64</v>
      </c>
      <c r="B422" s="564"/>
      <c r="C422" s="564"/>
      <c r="D422" s="564"/>
      <c r="E422" s="564"/>
      <c r="F422" s="564"/>
      <c r="G422" s="564"/>
      <c r="H422" s="564"/>
      <c r="I422" s="564"/>
      <c r="J422" s="564"/>
      <c r="K422" s="564"/>
      <c r="L422" s="564"/>
      <c r="M422" s="564"/>
      <c r="N422" s="564"/>
      <c r="O422" s="564"/>
      <c r="P422" s="564"/>
      <c r="Q422" s="564"/>
      <c r="R422" s="564"/>
      <c r="S422" s="564"/>
      <c r="T422" s="564"/>
      <c r="U422" s="564"/>
      <c r="V422" s="564"/>
      <c r="W422" s="564"/>
      <c r="X422" s="564"/>
      <c r="Y422" s="564"/>
      <c r="Z422" s="564"/>
      <c r="AA422" s="545"/>
      <c r="AB422" s="545"/>
      <c r="AC422" s="545"/>
    </row>
    <row r="423" spans="1:68" ht="27" customHeight="1" x14ac:dyDescent="0.25">
      <c r="A423" s="54" t="s">
        <v>658</v>
      </c>
      <c r="B423" s="54" t="s">
        <v>659</v>
      </c>
      <c r="C423" s="31">
        <v>4301031347</v>
      </c>
      <c r="D423" s="558">
        <v>4680115885110</v>
      </c>
      <c r="E423" s="559"/>
      <c r="F423" s="550">
        <v>0.2</v>
      </c>
      <c r="G423" s="32">
        <v>6</v>
      </c>
      <c r="H423" s="550">
        <v>1.2</v>
      </c>
      <c r="I423" s="550">
        <v>2.1</v>
      </c>
      <c r="J423" s="32">
        <v>182</v>
      </c>
      <c r="K423" s="32" t="s">
        <v>67</v>
      </c>
      <c r="L423" s="32"/>
      <c r="M423" s="33" t="s">
        <v>68</v>
      </c>
      <c r="N423" s="33"/>
      <c r="O423" s="32">
        <v>50</v>
      </c>
      <c r="P423" s="661" t="str">
        <f>HYPERLINK("https://abi.ru/products/Охлажденные/Баварушка/Краковюрст/Копченые колбасы/P004452/","Копченые колбасы «Краковюрст с изысканными пряностями копченые» ф/в 0,2 NDX ТМ «Баварушка»")</f>
        <v>Копченые колбасы «Краковюрст с изысканными пряностями копченые» ф/в 0,2 NDX ТМ «Баварушка»</v>
      </c>
      <c r="Q423" s="556"/>
      <c r="R423" s="556"/>
      <c r="S423" s="556"/>
      <c r="T423" s="557"/>
      <c r="U423" s="34"/>
      <c r="V423" s="34"/>
      <c r="W423" s="35" t="s">
        <v>69</v>
      </c>
      <c r="X423" s="551">
        <v>0</v>
      </c>
      <c r="Y423" s="552">
        <f>IFERROR(IF(X423="",0,CEILING((X423/$H423),1)*$H423),"")</f>
        <v>0</v>
      </c>
      <c r="Z423" s="36" t="str">
        <f>IFERROR(IF(Y423=0,"",ROUNDUP(Y423/H423,0)*0.00651),"")</f>
        <v/>
      </c>
      <c r="AA423" s="56"/>
      <c r="AB423" s="57"/>
      <c r="AC423" s="475" t="s">
        <v>660</v>
      </c>
      <c r="AG423" s="64"/>
      <c r="AJ423" s="68"/>
      <c r="AK423" s="68">
        <v>0</v>
      </c>
      <c r="BB423" s="476" t="s">
        <v>1</v>
      </c>
      <c r="BM423" s="64">
        <f>IFERROR(X423*I423/H423,"0")</f>
        <v>0</v>
      </c>
      <c r="BN423" s="64">
        <f>IFERROR(Y423*I423/H423,"0")</f>
        <v>0</v>
      </c>
      <c r="BO423" s="64">
        <f>IFERROR(1/J423*(X423/H423),"0")</f>
        <v>0</v>
      </c>
      <c r="BP423" s="64">
        <f>IFERROR(1/J423*(Y423/H423),"0")</f>
        <v>0</v>
      </c>
    </row>
    <row r="424" spans="1:68" x14ac:dyDescent="0.2">
      <c r="A424" s="563"/>
      <c r="B424" s="564"/>
      <c r="C424" s="564"/>
      <c r="D424" s="564"/>
      <c r="E424" s="564"/>
      <c r="F424" s="564"/>
      <c r="G424" s="564"/>
      <c r="H424" s="564"/>
      <c r="I424" s="564"/>
      <c r="J424" s="564"/>
      <c r="K424" s="564"/>
      <c r="L424" s="564"/>
      <c r="M424" s="564"/>
      <c r="N424" s="564"/>
      <c r="O424" s="565"/>
      <c r="P424" s="570" t="s">
        <v>75</v>
      </c>
      <c r="Q424" s="571"/>
      <c r="R424" s="571"/>
      <c r="S424" s="571"/>
      <c r="T424" s="571"/>
      <c r="U424" s="571"/>
      <c r="V424" s="572"/>
      <c r="W424" s="37" t="s">
        <v>76</v>
      </c>
      <c r="X424" s="553">
        <f>IFERROR(X423/H423,"0")</f>
        <v>0</v>
      </c>
      <c r="Y424" s="553">
        <f>IFERROR(Y423/H423,"0")</f>
        <v>0</v>
      </c>
      <c r="Z424" s="553">
        <f>IFERROR(IF(Z423="",0,Z423),"0")</f>
        <v>0</v>
      </c>
      <c r="AA424" s="554"/>
      <c r="AB424" s="554"/>
      <c r="AC424" s="554"/>
    </row>
    <row r="425" spans="1:68" x14ac:dyDescent="0.2">
      <c r="A425" s="564"/>
      <c r="B425" s="564"/>
      <c r="C425" s="564"/>
      <c r="D425" s="564"/>
      <c r="E425" s="564"/>
      <c r="F425" s="564"/>
      <c r="G425" s="564"/>
      <c r="H425" s="564"/>
      <c r="I425" s="564"/>
      <c r="J425" s="564"/>
      <c r="K425" s="564"/>
      <c r="L425" s="564"/>
      <c r="M425" s="564"/>
      <c r="N425" s="564"/>
      <c r="O425" s="565"/>
      <c r="P425" s="570" t="s">
        <v>75</v>
      </c>
      <c r="Q425" s="571"/>
      <c r="R425" s="571"/>
      <c r="S425" s="571"/>
      <c r="T425" s="571"/>
      <c r="U425" s="571"/>
      <c r="V425" s="572"/>
      <c r="W425" s="37" t="s">
        <v>69</v>
      </c>
      <c r="X425" s="553">
        <f>IFERROR(SUM(X423:X423),"0")</f>
        <v>0</v>
      </c>
      <c r="Y425" s="553">
        <f>IFERROR(SUM(Y423:Y423),"0")</f>
        <v>0</v>
      </c>
      <c r="Z425" s="37"/>
      <c r="AA425" s="554"/>
      <c r="AB425" s="554"/>
      <c r="AC425" s="554"/>
    </row>
    <row r="426" spans="1:68" ht="27.75" customHeight="1" x14ac:dyDescent="0.2">
      <c r="A426" s="626" t="s">
        <v>661</v>
      </c>
      <c r="B426" s="627"/>
      <c r="C426" s="627"/>
      <c r="D426" s="627"/>
      <c r="E426" s="627"/>
      <c r="F426" s="627"/>
      <c r="G426" s="627"/>
      <c r="H426" s="627"/>
      <c r="I426" s="627"/>
      <c r="J426" s="627"/>
      <c r="K426" s="627"/>
      <c r="L426" s="627"/>
      <c r="M426" s="627"/>
      <c r="N426" s="627"/>
      <c r="O426" s="627"/>
      <c r="P426" s="627"/>
      <c r="Q426" s="627"/>
      <c r="R426" s="627"/>
      <c r="S426" s="627"/>
      <c r="T426" s="627"/>
      <c r="U426" s="627"/>
      <c r="V426" s="627"/>
      <c r="W426" s="627"/>
      <c r="X426" s="627"/>
      <c r="Y426" s="627"/>
      <c r="Z426" s="627"/>
      <c r="AA426" s="48"/>
      <c r="AB426" s="48"/>
      <c r="AC426" s="48"/>
    </row>
    <row r="427" spans="1:68" ht="16.5" customHeight="1" x14ac:dyDescent="0.25">
      <c r="A427" s="573" t="s">
        <v>661</v>
      </c>
      <c r="B427" s="564"/>
      <c r="C427" s="564"/>
      <c r="D427" s="564"/>
      <c r="E427" s="564"/>
      <c r="F427" s="564"/>
      <c r="G427" s="564"/>
      <c r="H427" s="564"/>
      <c r="I427" s="564"/>
      <c r="J427" s="564"/>
      <c r="K427" s="564"/>
      <c r="L427" s="564"/>
      <c r="M427" s="564"/>
      <c r="N427" s="564"/>
      <c r="O427" s="564"/>
      <c r="P427" s="564"/>
      <c r="Q427" s="564"/>
      <c r="R427" s="564"/>
      <c r="S427" s="564"/>
      <c r="T427" s="564"/>
      <c r="U427" s="564"/>
      <c r="V427" s="564"/>
      <c r="W427" s="564"/>
      <c r="X427" s="564"/>
      <c r="Y427" s="564"/>
      <c r="Z427" s="564"/>
      <c r="AA427" s="546"/>
      <c r="AB427" s="546"/>
      <c r="AC427" s="546"/>
    </row>
    <row r="428" spans="1:68" ht="14.25" customHeight="1" x14ac:dyDescent="0.25">
      <c r="A428" s="567" t="s">
        <v>101</v>
      </c>
      <c r="B428" s="564"/>
      <c r="C428" s="564"/>
      <c r="D428" s="564"/>
      <c r="E428" s="564"/>
      <c r="F428" s="564"/>
      <c r="G428" s="564"/>
      <c r="H428" s="564"/>
      <c r="I428" s="564"/>
      <c r="J428" s="564"/>
      <c r="K428" s="564"/>
      <c r="L428" s="564"/>
      <c r="M428" s="564"/>
      <c r="N428" s="564"/>
      <c r="O428" s="564"/>
      <c r="P428" s="564"/>
      <c r="Q428" s="564"/>
      <c r="R428" s="564"/>
      <c r="S428" s="564"/>
      <c r="T428" s="564"/>
      <c r="U428" s="564"/>
      <c r="V428" s="564"/>
      <c r="W428" s="564"/>
      <c r="X428" s="564"/>
      <c r="Y428" s="564"/>
      <c r="Z428" s="564"/>
      <c r="AA428" s="545"/>
      <c r="AB428" s="545"/>
      <c r="AC428" s="545"/>
    </row>
    <row r="429" spans="1:68" ht="27" customHeight="1" x14ac:dyDescent="0.25">
      <c r="A429" s="54" t="s">
        <v>662</v>
      </c>
      <c r="B429" s="54" t="s">
        <v>663</v>
      </c>
      <c r="C429" s="31">
        <v>4301011795</v>
      </c>
      <c r="D429" s="558">
        <v>4607091389067</v>
      </c>
      <c r="E429" s="559"/>
      <c r="F429" s="550">
        <v>0.88</v>
      </c>
      <c r="G429" s="32">
        <v>6</v>
      </c>
      <c r="H429" s="550">
        <v>5.28</v>
      </c>
      <c r="I429" s="550">
        <v>5.63</v>
      </c>
      <c r="J429" s="32">
        <v>104</v>
      </c>
      <c r="K429" s="32" t="s">
        <v>104</v>
      </c>
      <c r="L429" s="32" t="s">
        <v>105</v>
      </c>
      <c r="M429" s="33" t="s">
        <v>106</v>
      </c>
      <c r="N429" s="33"/>
      <c r="O429" s="32">
        <v>60</v>
      </c>
      <c r="P429" s="660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29" s="556"/>
      <c r="R429" s="556"/>
      <c r="S429" s="556"/>
      <c r="T429" s="557"/>
      <c r="U429" s="34"/>
      <c r="V429" s="34"/>
      <c r="W429" s="35" t="s">
        <v>69</v>
      </c>
      <c r="X429" s="551">
        <v>0</v>
      </c>
      <c r="Y429" s="552">
        <f t="shared" ref="Y429:Y440" si="52">IFERROR(IF(X429="",0,CEILING((X429/$H429),1)*$H429),"")</f>
        <v>0</v>
      </c>
      <c r="Z429" s="36" t="str">
        <f t="shared" ref="Z429:Z435" si="53">IFERROR(IF(Y429=0,"",ROUNDUP(Y429/H429,0)*0.01196),"")</f>
        <v/>
      </c>
      <c r="AA429" s="56"/>
      <c r="AB429" s="57"/>
      <c r="AC429" s="477" t="s">
        <v>107</v>
      </c>
      <c r="AG429" s="64"/>
      <c r="AJ429" s="68" t="s">
        <v>92</v>
      </c>
      <c r="AK429" s="68">
        <v>42.24</v>
      </c>
      <c r="BB429" s="478" t="s">
        <v>1</v>
      </c>
      <c r="BM429" s="64">
        <f t="shared" ref="BM429:BM440" si="54">IFERROR(X429*I429/H429,"0")</f>
        <v>0</v>
      </c>
      <c r="BN429" s="64">
        <f t="shared" ref="BN429:BN440" si="55">IFERROR(Y429*I429/H429,"0")</f>
        <v>0</v>
      </c>
      <c r="BO429" s="64">
        <f t="shared" ref="BO429:BO440" si="56">IFERROR(1/J429*(X429/H429),"0")</f>
        <v>0</v>
      </c>
      <c r="BP429" s="64">
        <f t="shared" ref="BP429:BP440" si="57">IFERROR(1/J429*(Y429/H429),"0")</f>
        <v>0</v>
      </c>
    </row>
    <row r="430" spans="1:68" ht="27" customHeight="1" x14ac:dyDescent="0.25">
      <c r="A430" s="54" t="s">
        <v>664</v>
      </c>
      <c r="B430" s="54" t="s">
        <v>665</v>
      </c>
      <c r="C430" s="31">
        <v>4301012210</v>
      </c>
      <c r="D430" s="558">
        <v>4607091383522</v>
      </c>
      <c r="E430" s="559"/>
      <c r="F430" s="550">
        <v>0.88</v>
      </c>
      <c r="G430" s="32">
        <v>6</v>
      </c>
      <c r="H430" s="550">
        <v>5.28</v>
      </c>
      <c r="I430" s="550">
        <v>5.63</v>
      </c>
      <c r="J430" s="32">
        <v>104</v>
      </c>
      <c r="K430" s="32" t="s">
        <v>104</v>
      </c>
      <c r="L430" s="32"/>
      <c r="M430" s="33" t="s">
        <v>106</v>
      </c>
      <c r="N430" s="33"/>
      <c r="O430" s="32">
        <v>60</v>
      </c>
      <c r="P430" s="821" t="str">
        <f>HYPERLINK("https://abi.ru/products/Охлажденные/Дугушка/Дугушка/Вареные колбасы/P005073/","Вареные колбасы «Докторская Дугушка КРУЧЕНАЯ» Весовой п/а ТМ «Стародворье»")</f>
        <v>Вареные колбасы «Докторская Дугушка КРУЧЕНАЯ» Весовой п/а ТМ «Стародворье»</v>
      </c>
      <c r="Q430" s="556"/>
      <c r="R430" s="556"/>
      <c r="S430" s="556"/>
      <c r="T430" s="557"/>
      <c r="U430" s="34"/>
      <c r="V430" s="34"/>
      <c r="W430" s="35" t="s">
        <v>69</v>
      </c>
      <c r="X430" s="551">
        <v>0</v>
      </c>
      <c r="Y430" s="552">
        <f t="shared" si="52"/>
        <v>0</v>
      </c>
      <c r="Z430" s="36" t="str">
        <f t="shared" si="53"/>
        <v/>
      </c>
      <c r="AA430" s="56"/>
      <c r="AB430" s="57"/>
      <c r="AC430" s="479" t="s">
        <v>666</v>
      </c>
      <c r="AG430" s="64"/>
      <c r="AJ430" s="68"/>
      <c r="AK430" s="68">
        <v>0</v>
      </c>
      <c r="BB430" s="480" t="s">
        <v>1</v>
      </c>
      <c r="BM430" s="64">
        <f t="shared" si="54"/>
        <v>0</v>
      </c>
      <c r="BN430" s="64">
        <f t="shared" si="55"/>
        <v>0</v>
      </c>
      <c r="BO430" s="64">
        <f t="shared" si="56"/>
        <v>0</v>
      </c>
      <c r="BP430" s="64">
        <f t="shared" si="57"/>
        <v>0</v>
      </c>
    </row>
    <row r="431" spans="1:68" ht="27" customHeight="1" x14ac:dyDescent="0.25">
      <c r="A431" s="54" t="s">
        <v>664</v>
      </c>
      <c r="B431" s="54" t="s">
        <v>667</v>
      </c>
      <c r="C431" s="31">
        <v>4301012145</v>
      </c>
      <c r="D431" s="558">
        <v>4607091383522</v>
      </c>
      <c r="E431" s="559"/>
      <c r="F431" s="550">
        <v>0.88</v>
      </c>
      <c r="G431" s="32">
        <v>6</v>
      </c>
      <c r="H431" s="550">
        <v>5.28</v>
      </c>
      <c r="I431" s="550">
        <v>5.63</v>
      </c>
      <c r="J431" s="32">
        <v>104</v>
      </c>
      <c r="K431" s="32" t="s">
        <v>104</v>
      </c>
      <c r="L431" s="32"/>
      <c r="M431" s="33" t="s">
        <v>106</v>
      </c>
      <c r="N431" s="33"/>
      <c r="O431" s="32">
        <v>60</v>
      </c>
      <c r="P431" s="697" t="str">
        <f>HYPERLINK("https://abi.ru/products/Охлажденные/Дугушка/Дугушка/Вареные колбасы/P004938/","Вареные колбасы «Докторская Дугушка» Весовой п/а ТМ «Стародворье»")</f>
        <v>Вареные колбасы «Докторская Дугушка» Весовой п/а ТМ «Стародворье»</v>
      </c>
      <c r="Q431" s="556"/>
      <c r="R431" s="556"/>
      <c r="S431" s="556"/>
      <c r="T431" s="557"/>
      <c r="U431" s="34"/>
      <c r="V431" s="34"/>
      <c r="W431" s="35" t="s">
        <v>69</v>
      </c>
      <c r="X431" s="551">
        <v>1100</v>
      </c>
      <c r="Y431" s="552">
        <f t="shared" si="52"/>
        <v>1103.52</v>
      </c>
      <c r="Z431" s="36">
        <f t="shared" si="53"/>
        <v>2.4996399999999999</v>
      </c>
      <c r="AA431" s="56"/>
      <c r="AB431" s="57"/>
      <c r="AC431" s="481" t="s">
        <v>666</v>
      </c>
      <c r="AG431" s="64"/>
      <c r="AJ431" s="68"/>
      <c r="AK431" s="68">
        <v>0</v>
      </c>
      <c r="BB431" s="482" t="s">
        <v>1</v>
      </c>
      <c r="BM431" s="64">
        <f t="shared" si="54"/>
        <v>1172.9166666666665</v>
      </c>
      <c r="BN431" s="64">
        <f t="shared" si="55"/>
        <v>1176.6699999999998</v>
      </c>
      <c r="BO431" s="64">
        <f t="shared" si="56"/>
        <v>2.0032051282051282</v>
      </c>
      <c r="BP431" s="64">
        <f t="shared" si="57"/>
        <v>2.0096153846153846</v>
      </c>
    </row>
    <row r="432" spans="1:68" ht="27" customHeight="1" x14ac:dyDescent="0.25">
      <c r="A432" s="54" t="s">
        <v>668</v>
      </c>
      <c r="B432" s="54" t="s">
        <v>669</v>
      </c>
      <c r="C432" s="31">
        <v>4301011961</v>
      </c>
      <c r="D432" s="558">
        <v>4680115885271</v>
      </c>
      <c r="E432" s="559"/>
      <c r="F432" s="550">
        <v>0.88</v>
      </c>
      <c r="G432" s="32">
        <v>6</v>
      </c>
      <c r="H432" s="550">
        <v>5.28</v>
      </c>
      <c r="I432" s="550">
        <v>5.63</v>
      </c>
      <c r="J432" s="32">
        <v>104</v>
      </c>
      <c r="K432" s="32" t="s">
        <v>104</v>
      </c>
      <c r="L432" s="32" t="s">
        <v>105</v>
      </c>
      <c r="M432" s="33" t="s">
        <v>106</v>
      </c>
      <c r="N432" s="33"/>
      <c r="O432" s="32">
        <v>60</v>
      </c>
      <c r="P432" s="588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32" s="556"/>
      <c r="R432" s="556"/>
      <c r="S432" s="556"/>
      <c r="T432" s="557"/>
      <c r="U432" s="34"/>
      <c r="V432" s="34"/>
      <c r="W432" s="35" t="s">
        <v>69</v>
      </c>
      <c r="X432" s="551">
        <v>0</v>
      </c>
      <c r="Y432" s="552">
        <f t="shared" si="52"/>
        <v>0</v>
      </c>
      <c r="Z432" s="36" t="str">
        <f t="shared" si="53"/>
        <v/>
      </c>
      <c r="AA432" s="56"/>
      <c r="AB432" s="57"/>
      <c r="AC432" s="483" t="s">
        <v>670</v>
      </c>
      <c r="AG432" s="64"/>
      <c r="AJ432" s="68" t="s">
        <v>92</v>
      </c>
      <c r="AK432" s="68">
        <v>42.24</v>
      </c>
      <c r="BB432" s="484" t="s">
        <v>1</v>
      </c>
      <c r="BM432" s="64">
        <f t="shared" si="54"/>
        <v>0</v>
      </c>
      <c r="BN432" s="64">
        <f t="shared" si="55"/>
        <v>0</v>
      </c>
      <c r="BO432" s="64">
        <f t="shared" si="56"/>
        <v>0</v>
      </c>
      <c r="BP432" s="64">
        <f t="shared" si="57"/>
        <v>0</v>
      </c>
    </row>
    <row r="433" spans="1:68" ht="27" customHeight="1" x14ac:dyDescent="0.25">
      <c r="A433" s="54" t="s">
        <v>671</v>
      </c>
      <c r="B433" s="54" t="s">
        <v>672</v>
      </c>
      <c r="C433" s="31">
        <v>4301011376</v>
      </c>
      <c r="D433" s="558">
        <v>4680115885226</v>
      </c>
      <c r="E433" s="559"/>
      <c r="F433" s="550">
        <v>0.88</v>
      </c>
      <c r="G433" s="32">
        <v>6</v>
      </c>
      <c r="H433" s="550">
        <v>5.28</v>
      </c>
      <c r="I433" s="550">
        <v>5.63</v>
      </c>
      <c r="J433" s="32">
        <v>104</v>
      </c>
      <c r="K433" s="32" t="s">
        <v>104</v>
      </c>
      <c r="L433" s="32" t="s">
        <v>105</v>
      </c>
      <c r="M433" s="33" t="s">
        <v>80</v>
      </c>
      <c r="N433" s="33"/>
      <c r="O433" s="32">
        <v>60</v>
      </c>
      <c r="P433" s="848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33" s="556"/>
      <c r="R433" s="556"/>
      <c r="S433" s="556"/>
      <c r="T433" s="557"/>
      <c r="U433" s="34"/>
      <c r="V433" s="34"/>
      <c r="W433" s="35" t="s">
        <v>69</v>
      </c>
      <c r="X433" s="551">
        <v>0</v>
      </c>
      <c r="Y433" s="552">
        <f t="shared" si="52"/>
        <v>0</v>
      </c>
      <c r="Z433" s="36" t="str">
        <f t="shared" si="53"/>
        <v/>
      </c>
      <c r="AA433" s="56"/>
      <c r="AB433" s="57"/>
      <c r="AC433" s="485" t="s">
        <v>673</v>
      </c>
      <c r="AG433" s="64"/>
      <c r="AJ433" s="68" t="s">
        <v>92</v>
      </c>
      <c r="AK433" s="68">
        <v>42.24</v>
      </c>
      <c r="BB433" s="486" t="s">
        <v>1</v>
      </c>
      <c r="BM433" s="64">
        <f t="shared" si="54"/>
        <v>0</v>
      </c>
      <c r="BN433" s="64">
        <f t="shared" si="55"/>
        <v>0</v>
      </c>
      <c r="BO433" s="64">
        <f t="shared" si="56"/>
        <v>0</v>
      </c>
      <c r="BP433" s="64">
        <f t="shared" si="57"/>
        <v>0</v>
      </c>
    </row>
    <row r="434" spans="1:68" ht="16.5" customHeight="1" x14ac:dyDescent="0.25">
      <c r="A434" s="54" t="s">
        <v>674</v>
      </c>
      <c r="B434" s="54" t="s">
        <v>675</v>
      </c>
      <c r="C434" s="31">
        <v>4301011774</v>
      </c>
      <c r="D434" s="558">
        <v>4680115884502</v>
      </c>
      <c r="E434" s="559"/>
      <c r="F434" s="550">
        <v>0.88</v>
      </c>
      <c r="G434" s="32">
        <v>6</v>
      </c>
      <c r="H434" s="550">
        <v>5.28</v>
      </c>
      <c r="I434" s="550">
        <v>5.63</v>
      </c>
      <c r="J434" s="32">
        <v>104</v>
      </c>
      <c r="K434" s="32" t="s">
        <v>104</v>
      </c>
      <c r="L434" s="32"/>
      <c r="M434" s="33" t="s">
        <v>106</v>
      </c>
      <c r="N434" s="33"/>
      <c r="O434" s="32">
        <v>60</v>
      </c>
      <c r="P434" s="858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34" s="556"/>
      <c r="R434" s="556"/>
      <c r="S434" s="556"/>
      <c r="T434" s="557"/>
      <c r="U434" s="34"/>
      <c r="V434" s="34"/>
      <c r="W434" s="35" t="s">
        <v>69</v>
      </c>
      <c r="X434" s="551">
        <v>0</v>
      </c>
      <c r="Y434" s="552">
        <f t="shared" si="52"/>
        <v>0</v>
      </c>
      <c r="Z434" s="36" t="str">
        <f t="shared" si="53"/>
        <v/>
      </c>
      <c r="AA434" s="56"/>
      <c r="AB434" s="57"/>
      <c r="AC434" s="487" t="s">
        <v>676</v>
      </c>
      <c r="AG434" s="64"/>
      <c r="AJ434" s="68"/>
      <c r="AK434" s="68">
        <v>0</v>
      </c>
      <c r="BB434" s="488" t="s">
        <v>1</v>
      </c>
      <c r="BM434" s="64">
        <f t="shared" si="54"/>
        <v>0</v>
      </c>
      <c r="BN434" s="64">
        <f t="shared" si="55"/>
        <v>0</v>
      </c>
      <c r="BO434" s="64">
        <f t="shared" si="56"/>
        <v>0</v>
      </c>
      <c r="BP434" s="64">
        <f t="shared" si="57"/>
        <v>0</v>
      </c>
    </row>
    <row r="435" spans="1:68" ht="27" customHeight="1" x14ac:dyDescent="0.25">
      <c r="A435" s="54" t="s">
        <v>677</v>
      </c>
      <c r="B435" s="54" t="s">
        <v>678</v>
      </c>
      <c r="C435" s="31">
        <v>4301011771</v>
      </c>
      <c r="D435" s="558">
        <v>4607091389104</v>
      </c>
      <c r="E435" s="559"/>
      <c r="F435" s="550">
        <v>0.88</v>
      </c>
      <c r="G435" s="32">
        <v>6</v>
      </c>
      <c r="H435" s="550">
        <v>5.28</v>
      </c>
      <c r="I435" s="550">
        <v>5.63</v>
      </c>
      <c r="J435" s="32">
        <v>104</v>
      </c>
      <c r="K435" s="32" t="s">
        <v>104</v>
      </c>
      <c r="L435" s="32" t="s">
        <v>105</v>
      </c>
      <c r="M435" s="33" t="s">
        <v>106</v>
      </c>
      <c r="N435" s="33"/>
      <c r="O435" s="32">
        <v>60</v>
      </c>
      <c r="P435" s="854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35" s="556"/>
      <c r="R435" s="556"/>
      <c r="S435" s="556"/>
      <c r="T435" s="557"/>
      <c r="U435" s="34"/>
      <c r="V435" s="34"/>
      <c r="W435" s="35" t="s">
        <v>69</v>
      </c>
      <c r="X435" s="551">
        <v>550</v>
      </c>
      <c r="Y435" s="552">
        <f t="shared" si="52"/>
        <v>554.4</v>
      </c>
      <c r="Z435" s="36">
        <f t="shared" si="53"/>
        <v>1.2558</v>
      </c>
      <c r="AA435" s="56"/>
      <c r="AB435" s="57"/>
      <c r="AC435" s="489" t="s">
        <v>679</v>
      </c>
      <c r="AG435" s="64"/>
      <c r="AJ435" s="68" t="s">
        <v>92</v>
      </c>
      <c r="AK435" s="68">
        <v>42.24</v>
      </c>
      <c r="BB435" s="490" t="s">
        <v>1</v>
      </c>
      <c r="BM435" s="64">
        <f t="shared" si="54"/>
        <v>586.45833333333326</v>
      </c>
      <c r="BN435" s="64">
        <f t="shared" si="55"/>
        <v>591.15</v>
      </c>
      <c r="BO435" s="64">
        <f t="shared" si="56"/>
        <v>1.0016025641025641</v>
      </c>
      <c r="BP435" s="64">
        <f t="shared" si="57"/>
        <v>1.0096153846153846</v>
      </c>
    </row>
    <row r="436" spans="1:68" ht="27" customHeight="1" x14ac:dyDescent="0.25">
      <c r="A436" s="54" t="s">
        <v>680</v>
      </c>
      <c r="B436" s="54" t="s">
        <v>681</v>
      </c>
      <c r="C436" s="31">
        <v>4301012125</v>
      </c>
      <c r="D436" s="558">
        <v>4680115886391</v>
      </c>
      <c r="E436" s="559"/>
      <c r="F436" s="550">
        <v>0.4</v>
      </c>
      <c r="G436" s="32">
        <v>6</v>
      </c>
      <c r="H436" s="550">
        <v>2.4</v>
      </c>
      <c r="I436" s="550">
        <v>2.58</v>
      </c>
      <c r="J436" s="32">
        <v>182</v>
      </c>
      <c r="K436" s="32" t="s">
        <v>67</v>
      </c>
      <c r="L436" s="32"/>
      <c r="M436" s="33" t="s">
        <v>80</v>
      </c>
      <c r="N436" s="33"/>
      <c r="O436" s="32">
        <v>60</v>
      </c>
      <c r="P436" s="863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36" s="556"/>
      <c r="R436" s="556"/>
      <c r="S436" s="556"/>
      <c r="T436" s="557"/>
      <c r="U436" s="34"/>
      <c r="V436" s="34"/>
      <c r="W436" s="35" t="s">
        <v>69</v>
      </c>
      <c r="X436" s="551">
        <v>0</v>
      </c>
      <c r="Y436" s="552">
        <f t="shared" si="52"/>
        <v>0</v>
      </c>
      <c r="Z436" s="36" t="str">
        <f>IFERROR(IF(Y436=0,"",ROUNDUP(Y436/H436,0)*0.00651),"")</f>
        <v/>
      </c>
      <c r="AA436" s="56"/>
      <c r="AB436" s="57"/>
      <c r="AC436" s="491" t="s">
        <v>107</v>
      </c>
      <c r="AG436" s="64"/>
      <c r="AJ436" s="68"/>
      <c r="AK436" s="68">
        <v>0</v>
      </c>
      <c r="BB436" s="492" t="s">
        <v>1</v>
      </c>
      <c r="BM436" s="64">
        <f t="shared" si="54"/>
        <v>0</v>
      </c>
      <c r="BN436" s="64">
        <f t="shared" si="55"/>
        <v>0</v>
      </c>
      <c r="BO436" s="64">
        <f t="shared" si="56"/>
        <v>0</v>
      </c>
      <c r="BP436" s="64">
        <f t="shared" si="57"/>
        <v>0</v>
      </c>
    </row>
    <row r="437" spans="1:68" ht="27" customHeight="1" x14ac:dyDescent="0.25">
      <c r="A437" s="54" t="s">
        <v>682</v>
      </c>
      <c r="B437" s="54" t="s">
        <v>683</v>
      </c>
      <c r="C437" s="31">
        <v>4301012035</v>
      </c>
      <c r="D437" s="558">
        <v>4680115880603</v>
      </c>
      <c r="E437" s="559"/>
      <c r="F437" s="550">
        <v>0.6</v>
      </c>
      <c r="G437" s="32">
        <v>8</v>
      </c>
      <c r="H437" s="550">
        <v>4.8</v>
      </c>
      <c r="I437" s="550">
        <v>6.91</v>
      </c>
      <c r="J437" s="32">
        <v>132</v>
      </c>
      <c r="K437" s="32" t="s">
        <v>110</v>
      </c>
      <c r="L437" s="32"/>
      <c r="M437" s="33" t="s">
        <v>106</v>
      </c>
      <c r="N437" s="33"/>
      <c r="O437" s="32">
        <v>60</v>
      </c>
      <c r="P437" s="562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37" s="556"/>
      <c r="R437" s="556"/>
      <c r="S437" s="556"/>
      <c r="T437" s="557"/>
      <c r="U437" s="34"/>
      <c r="V437" s="34"/>
      <c r="W437" s="35" t="s">
        <v>69</v>
      </c>
      <c r="X437" s="551">
        <v>0</v>
      </c>
      <c r="Y437" s="552">
        <f t="shared" si="52"/>
        <v>0</v>
      </c>
      <c r="Z437" s="36" t="str">
        <f>IFERROR(IF(Y437=0,"",ROUNDUP(Y437/H437,0)*0.00902),"")</f>
        <v/>
      </c>
      <c r="AA437" s="56"/>
      <c r="AB437" s="57"/>
      <c r="AC437" s="493" t="s">
        <v>107</v>
      </c>
      <c r="AG437" s="64"/>
      <c r="AJ437" s="68"/>
      <c r="AK437" s="68">
        <v>0</v>
      </c>
      <c r="BB437" s="494" t="s">
        <v>1</v>
      </c>
      <c r="BM437" s="64">
        <f t="shared" si="54"/>
        <v>0</v>
      </c>
      <c r="BN437" s="64">
        <f t="shared" si="55"/>
        <v>0</v>
      </c>
      <c r="BO437" s="64">
        <f t="shared" si="56"/>
        <v>0</v>
      </c>
      <c r="BP437" s="64">
        <f t="shared" si="57"/>
        <v>0</v>
      </c>
    </row>
    <row r="438" spans="1:68" ht="27" customHeight="1" x14ac:dyDescent="0.25">
      <c r="A438" s="54" t="s">
        <v>684</v>
      </c>
      <c r="B438" s="54" t="s">
        <v>685</v>
      </c>
      <c r="C438" s="31">
        <v>4301012036</v>
      </c>
      <c r="D438" s="558">
        <v>4680115882782</v>
      </c>
      <c r="E438" s="559"/>
      <c r="F438" s="550">
        <v>0.6</v>
      </c>
      <c r="G438" s="32">
        <v>8</v>
      </c>
      <c r="H438" s="550">
        <v>4.8</v>
      </c>
      <c r="I438" s="550">
        <v>6.96</v>
      </c>
      <c r="J438" s="32">
        <v>120</v>
      </c>
      <c r="K438" s="32" t="s">
        <v>110</v>
      </c>
      <c r="L438" s="32"/>
      <c r="M438" s="33" t="s">
        <v>106</v>
      </c>
      <c r="N438" s="33"/>
      <c r="O438" s="32">
        <v>60</v>
      </c>
      <c r="P438" s="727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38" s="556"/>
      <c r="R438" s="556"/>
      <c r="S438" s="556"/>
      <c r="T438" s="557"/>
      <c r="U438" s="34"/>
      <c r="V438" s="34"/>
      <c r="W438" s="35" t="s">
        <v>69</v>
      </c>
      <c r="X438" s="551">
        <v>0</v>
      </c>
      <c r="Y438" s="552">
        <f t="shared" si="52"/>
        <v>0</v>
      </c>
      <c r="Z438" s="36" t="str">
        <f>IFERROR(IF(Y438=0,"",ROUNDUP(Y438/H438,0)*0.00937),"")</f>
        <v/>
      </c>
      <c r="AA438" s="56"/>
      <c r="AB438" s="57"/>
      <c r="AC438" s="495" t="s">
        <v>670</v>
      </c>
      <c r="AG438" s="64"/>
      <c r="AJ438" s="68"/>
      <c r="AK438" s="68">
        <v>0</v>
      </c>
      <c r="BB438" s="496" t="s">
        <v>1</v>
      </c>
      <c r="BM438" s="64">
        <f t="shared" si="54"/>
        <v>0</v>
      </c>
      <c r="BN438" s="64">
        <f t="shared" si="55"/>
        <v>0</v>
      </c>
      <c r="BO438" s="64">
        <f t="shared" si="56"/>
        <v>0</v>
      </c>
      <c r="BP438" s="64">
        <f t="shared" si="57"/>
        <v>0</v>
      </c>
    </row>
    <row r="439" spans="1:68" ht="27" customHeight="1" x14ac:dyDescent="0.25">
      <c r="A439" s="54" t="s">
        <v>686</v>
      </c>
      <c r="B439" s="54" t="s">
        <v>687</v>
      </c>
      <c r="C439" s="31">
        <v>4301012050</v>
      </c>
      <c r="D439" s="558">
        <v>4680115885479</v>
      </c>
      <c r="E439" s="559"/>
      <c r="F439" s="550">
        <v>0.4</v>
      </c>
      <c r="G439" s="32">
        <v>6</v>
      </c>
      <c r="H439" s="550">
        <v>2.4</v>
      </c>
      <c r="I439" s="550">
        <v>2.58</v>
      </c>
      <c r="J439" s="32">
        <v>182</v>
      </c>
      <c r="K439" s="32" t="s">
        <v>67</v>
      </c>
      <c r="L439" s="32"/>
      <c r="M439" s="33" t="s">
        <v>106</v>
      </c>
      <c r="N439" s="33"/>
      <c r="O439" s="32">
        <v>60</v>
      </c>
      <c r="P439" s="846" t="str">
        <f>HYPERLINK("https://abi.ru/products/Охлажденные/Дугушка/Дугушка/Вареные колбасы/P004752/","Вареные колбасы «Молочная Дугушка» Фикс.вес 0,4 полиамид ТМ «Дугушка»")</f>
        <v>Вареные колбасы «Молочная Дугушка» Фикс.вес 0,4 полиамид ТМ «Дугушка»</v>
      </c>
      <c r="Q439" s="556"/>
      <c r="R439" s="556"/>
      <c r="S439" s="556"/>
      <c r="T439" s="557"/>
      <c r="U439" s="34"/>
      <c r="V439" s="34"/>
      <c r="W439" s="35" t="s">
        <v>69</v>
      </c>
      <c r="X439" s="551">
        <v>0</v>
      </c>
      <c r="Y439" s="552">
        <f t="shared" si="52"/>
        <v>0</v>
      </c>
      <c r="Z439" s="36" t="str">
        <f>IFERROR(IF(Y439=0,"",ROUNDUP(Y439/H439,0)*0.00651),"")</f>
        <v/>
      </c>
      <c r="AA439" s="56"/>
      <c r="AB439" s="57"/>
      <c r="AC439" s="497" t="s">
        <v>688</v>
      </c>
      <c r="AG439" s="64"/>
      <c r="AJ439" s="68"/>
      <c r="AK439" s="68">
        <v>0</v>
      </c>
      <c r="BB439" s="498" t="s">
        <v>1</v>
      </c>
      <c r="BM439" s="64">
        <f t="shared" si="54"/>
        <v>0</v>
      </c>
      <c r="BN439" s="64">
        <f t="shared" si="55"/>
        <v>0</v>
      </c>
      <c r="BO439" s="64">
        <f t="shared" si="56"/>
        <v>0</v>
      </c>
      <c r="BP439" s="64">
        <f t="shared" si="57"/>
        <v>0</v>
      </c>
    </row>
    <row r="440" spans="1:68" ht="27" customHeight="1" x14ac:dyDescent="0.25">
      <c r="A440" s="54" t="s">
        <v>689</v>
      </c>
      <c r="B440" s="54" t="s">
        <v>690</v>
      </c>
      <c r="C440" s="31">
        <v>4301012034</v>
      </c>
      <c r="D440" s="558">
        <v>4607091389982</v>
      </c>
      <c r="E440" s="559"/>
      <c r="F440" s="550">
        <v>0.6</v>
      </c>
      <c r="G440" s="32">
        <v>8</v>
      </c>
      <c r="H440" s="550">
        <v>4.8</v>
      </c>
      <c r="I440" s="550">
        <v>6.91</v>
      </c>
      <c r="J440" s="32">
        <v>132</v>
      </c>
      <c r="K440" s="32" t="s">
        <v>110</v>
      </c>
      <c r="L440" s="32"/>
      <c r="M440" s="33" t="s">
        <v>106</v>
      </c>
      <c r="N440" s="33"/>
      <c r="O440" s="32">
        <v>60</v>
      </c>
      <c r="P440" s="750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40" s="556"/>
      <c r="R440" s="556"/>
      <c r="S440" s="556"/>
      <c r="T440" s="557"/>
      <c r="U440" s="34"/>
      <c r="V440" s="34"/>
      <c r="W440" s="35" t="s">
        <v>69</v>
      </c>
      <c r="X440" s="551">
        <v>0</v>
      </c>
      <c r="Y440" s="552">
        <f t="shared" si="52"/>
        <v>0</v>
      </c>
      <c r="Z440" s="36" t="str">
        <f>IFERROR(IF(Y440=0,"",ROUNDUP(Y440/H440,0)*0.00902),"")</f>
        <v/>
      </c>
      <c r="AA440" s="56"/>
      <c r="AB440" s="57"/>
      <c r="AC440" s="499" t="s">
        <v>679</v>
      </c>
      <c r="AG440" s="64"/>
      <c r="AJ440" s="68"/>
      <c r="AK440" s="68">
        <v>0</v>
      </c>
      <c r="BB440" s="500" t="s">
        <v>1</v>
      </c>
      <c r="BM440" s="64">
        <f t="shared" si="54"/>
        <v>0</v>
      </c>
      <c r="BN440" s="64">
        <f t="shared" si="55"/>
        <v>0</v>
      </c>
      <c r="BO440" s="64">
        <f t="shared" si="56"/>
        <v>0</v>
      </c>
      <c r="BP440" s="64">
        <f t="shared" si="57"/>
        <v>0</v>
      </c>
    </row>
    <row r="441" spans="1:68" x14ac:dyDescent="0.2">
      <c r="A441" s="563"/>
      <c r="B441" s="564"/>
      <c r="C441" s="564"/>
      <c r="D441" s="564"/>
      <c r="E441" s="564"/>
      <c r="F441" s="564"/>
      <c r="G441" s="564"/>
      <c r="H441" s="564"/>
      <c r="I441" s="564"/>
      <c r="J441" s="564"/>
      <c r="K441" s="564"/>
      <c r="L441" s="564"/>
      <c r="M441" s="564"/>
      <c r="N441" s="564"/>
      <c r="O441" s="565"/>
      <c r="P441" s="570" t="s">
        <v>75</v>
      </c>
      <c r="Q441" s="571"/>
      <c r="R441" s="571"/>
      <c r="S441" s="571"/>
      <c r="T441" s="571"/>
      <c r="U441" s="571"/>
      <c r="V441" s="572"/>
      <c r="W441" s="37" t="s">
        <v>76</v>
      </c>
      <c r="X441" s="553">
        <f>IFERROR(X429/H429,"0")+IFERROR(X430/H430,"0")+IFERROR(X431/H431,"0")+IFERROR(X432/H432,"0")+IFERROR(X433/H433,"0")+IFERROR(X434/H434,"0")+IFERROR(X435/H435,"0")+IFERROR(X436/H436,"0")+IFERROR(X437/H437,"0")+IFERROR(X438/H438,"0")+IFERROR(X439/H439,"0")+IFERROR(X440/H440,"0")</f>
        <v>312.5</v>
      </c>
      <c r="Y441" s="553">
        <f>IFERROR(Y429/H429,"0")+IFERROR(Y430/H430,"0")+IFERROR(Y431/H431,"0")+IFERROR(Y432/H432,"0")+IFERROR(Y433/H433,"0")+IFERROR(Y434/H434,"0")+IFERROR(Y435/H435,"0")+IFERROR(Y436/H436,"0")+IFERROR(Y437/H437,"0")+IFERROR(Y438/H438,"0")+IFERROR(Y439/H439,"0")+IFERROR(Y440/H440,"0")</f>
        <v>314</v>
      </c>
      <c r="Z441" s="553">
        <f>IFERROR(IF(Z429="",0,Z429),"0")+IFERROR(IF(Z430="",0,Z430),"0")+IFERROR(IF(Z431="",0,Z431),"0")+IFERROR(IF(Z432="",0,Z432),"0")+IFERROR(IF(Z433="",0,Z433),"0")+IFERROR(IF(Z434="",0,Z434),"0")+IFERROR(IF(Z435="",0,Z435),"0")+IFERROR(IF(Z436="",0,Z436),"0")+IFERROR(IF(Z437="",0,Z437),"0")+IFERROR(IF(Z438="",0,Z438),"0")+IFERROR(IF(Z439="",0,Z439),"0")+IFERROR(IF(Z440="",0,Z440),"0")</f>
        <v>3.7554400000000001</v>
      </c>
      <c r="AA441" s="554"/>
      <c r="AB441" s="554"/>
      <c r="AC441" s="554"/>
    </row>
    <row r="442" spans="1:68" x14ac:dyDescent="0.2">
      <c r="A442" s="564"/>
      <c r="B442" s="564"/>
      <c r="C442" s="564"/>
      <c r="D442" s="564"/>
      <c r="E442" s="564"/>
      <c r="F442" s="564"/>
      <c r="G442" s="564"/>
      <c r="H442" s="564"/>
      <c r="I442" s="564"/>
      <c r="J442" s="564"/>
      <c r="K442" s="564"/>
      <c r="L442" s="564"/>
      <c r="M442" s="564"/>
      <c r="N442" s="564"/>
      <c r="O442" s="565"/>
      <c r="P442" s="570" t="s">
        <v>75</v>
      </c>
      <c r="Q442" s="571"/>
      <c r="R442" s="571"/>
      <c r="S442" s="571"/>
      <c r="T442" s="571"/>
      <c r="U442" s="571"/>
      <c r="V442" s="572"/>
      <c r="W442" s="37" t="s">
        <v>69</v>
      </c>
      <c r="X442" s="553">
        <f>IFERROR(SUM(X429:X440),"0")</f>
        <v>1650</v>
      </c>
      <c r="Y442" s="553">
        <f>IFERROR(SUM(Y429:Y440),"0")</f>
        <v>1657.92</v>
      </c>
      <c r="Z442" s="37"/>
      <c r="AA442" s="554"/>
      <c r="AB442" s="554"/>
      <c r="AC442" s="554"/>
    </row>
    <row r="443" spans="1:68" ht="14.25" customHeight="1" x14ac:dyDescent="0.25">
      <c r="A443" s="567" t="s">
        <v>136</v>
      </c>
      <c r="B443" s="564"/>
      <c r="C443" s="564"/>
      <c r="D443" s="564"/>
      <c r="E443" s="564"/>
      <c r="F443" s="564"/>
      <c r="G443" s="564"/>
      <c r="H443" s="564"/>
      <c r="I443" s="564"/>
      <c r="J443" s="564"/>
      <c r="K443" s="564"/>
      <c r="L443" s="564"/>
      <c r="M443" s="564"/>
      <c r="N443" s="564"/>
      <c r="O443" s="564"/>
      <c r="P443" s="564"/>
      <c r="Q443" s="564"/>
      <c r="R443" s="564"/>
      <c r="S443" s="564"/>
      <c r="T443" s="564"/>
      <c r="U443" s="564"/>
      <c r="V443" s="564"/>
      <c r="W443" s="564"/>
      <c r="X443" s="564"/>
      <c r="Y443" s="564"/>
      <c r="Z443" s="564"/>
      <c r="AA443" s="545"/>
      <c r="AB443" s="545"/>
      <c r="AC443" s="545"/>
    </row>
    <row r="444" spans="1:68" ht="16.5" customHeight="1" x14ac:dyDescent="0.25">
      <c r="A444" s="54" t="s">
        <v>691</v>
      </c>
      <c r="B444" s="54" t="s">
        <v>692</v>
      </c>
      <c r="C444" s="31">
        <v>4301020334</v>
      </c>
      <c r="D444" s="558">
        <v>4607091388930</v>
      </c>
      <c r="E444" s="559"/>
      <c r="F444" s="550">
        <v>0.88</v>
      </c>
      <c r="G444" s="32">
        <v>6</v>
      </c>
      <c r="H444" s="550">
        <v>5.28</v>
      </c>
      <c r="I444" s="550">
        <v>5.63</v>
      </c>
      <c r="J444" s="32">
        <v>104</v>
      </c>
      <c r="K444" s="32" t="s">
        <v>104</v>
      </c>
      <c r="L444" s="32" t="s">
        <v>105</v>
      </c>
      <c r="M444" s="33" t="s">
        <v>80</v>
      </c>
      <c r="N444" s="33"/>
      <c r="O444" s="32">
        <v>70</v>
      </c>
      <c r="P444" s="880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44" s="556"/>
      <c r="R444" s="556"/>
      <c r="S444" s="556"/>
      <c r="T444" s="557"/>
      <c r="U444" s="34"/>
      <c r="V444" s="34"/>
      <c r="W444" s="35" t="s">
        <v>69</v>
      </c>
      <c r="X444" s="551">
        <v>1100</v>
      </c>
      <c r="Y444" s="552">
        <f>IFERROR(IF(X444="",0,CEILING((X444/$H444),1)*$H444),"")</f>
        <v>1103.52</v>
      </c>
      <c r="Z444" s="36">
        <f>IFERROR(IF(Y444=0,"",ROUNDUP(Y444/H444,0)*0.01196),"")</f>
        <v>2.4996399999999999</v>
      </c>
      <c r="AA444" s="56"/>
      <c r="AB444" s="57"/>
      <c r="AC444" s="501" t="s">
        <v>693</v>
      </c>
      <c r="AG444" s="64"/>
      <c r="AJ444" s="68" t="s">
        <v>92</v>
      </c>
      <c r="AK444" s="68">
        <v>42.24</v>
      </c>
      <c r="BB444" s="502" t="s">
        <v>1</v>
      </c>
      <c r="BM444" s="64">
        <f>IFERROR(X444*I444/H444,"0")</f>
        <v>1172.9166666666665</v>
      </c>
      <c r="BN444" s="64">
        <f>IFERROR(Y444*I444/H444,"0")</f>
        <v>1176.6699999999998</v>
      </c>
      <c r="BO444" s="64">
        <f>IFERROR(1/J444*(X444/H444),"0")</f>
        <v>2.0032051282051282</v>
      </c>
      <c r="BP444" s="64">
        <f>IFERROR(1/J444*(Y444/H444),"0")</f>
        <v>2.0096153846153846</v>
      </c>
    </row>
    <row r="445" spans="1:68" ht="16.5" customHeight="1" x14ac:dyDescent="0.25">
      <c r="A445" s="54" t="s">
        <v>694</v>
      </c>
      <c r="B445" s="54" t="s">
        <v>695</v>
      </c>
      <c r="C445" s="31">
        <v>4301020384</v>
      </c>
      <c r="D445" s="558">
        <v>4680115886407</v>
      </c>
      <c r="E445" s="559"/>
      <c r="F445" s="550">
        <v>0.4</v>
      </c>
      <c r="G445" s="32">
        <v>6</v>
      </c>
      <c r="H445" s="550">
        <v>2.4</v>
      </c>
      <c r="I445" s="550">
        <v>2.58</v>
      </c>
      <c r="J445" s="32">
        <v>182</v>
      </c>
      <c r="K445" s="32" t="s">
        <v>67</v>
      </c>
      <c r="L445" s="32"/>
      <c r="M445" s="33" t="s">
        <v>80</v>
      </c>
      <c r="N445" s="33"/>
      <c r="O445" s="32">
        <v>70</v>
      </c>
      <c r="P445" s="607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45" s="556"/>
      <c r="R445" s="556"/>
      <c r="S445" s="556"/>
      <c r="T445" s="557"/>
      <c r="U445" s="34"/>
      <c r="V445" s="34"/>
      <c r="W445" s="35" t="s">
        <v>69</v>
      </c>
      <c r="X445" s="551">
        <v>0</v>
      </c>
      <c r="Y445" s="552">
        <f>IFERROR(IF(X445="",0,CEILING((X445/$H445),1)*$H445),"")</f>
        <v>0</v>
      </c>
      <c r="Z445" s="36" t="str">
        <f>IFERROR(IF(Y445=0,"",ROUNDUP(Y445/H445,0)*0.00651),"")</f>
        <v/>
      </c>
      <c r="AA445" s="56"/>
      <c r="AB445" s="57"/>
      <c r="AC445" s="503" t="s">
        <v>693</v>
      </c>
      <c r="AG445" s="64"/>
      <c r="AJ445" s="68"/>
      <c r="AK445" s="68">
        <v>0</v>
      </c>
      <c r="BB445" s="504" t="s">
        <v>1</v>
      </c>
      <c r="BM445" s="64">
        <f>IFERROR(X445*I445/H445,"0")</f>
        <v>0</v>
      </c>
      <c r="BN445" s="64">
        <f>IFERROR(Y445*I445/H445,"0")</f>
        <v>0</v>
      </c>
      <c r="BO445" s="64">
        <f>IFERROR(1/J445*(X445/H445),"0")</f>
        <v>0</v>
      </c>
      <c r="BP445" s="64">
        <f>IFERROR(1/J445*(Y445/H445),"0")</f>
        <v>0</v>
      </c>
    </row>
    <row r="446" spans="1:68" ht="16.5" customHeight="1" x14ac:dyDescent="0.25">
      <c r="A446" s="54" t="s">
        <v>696</v>
      </c>
      <c r="B446" s="54" t="s">
        <v>697</v>
      </c>
      <c r="C446" s="31">
        <v>4301020385</v>
      </c>
      <c r="D446" s="558">
        <v>4680115880054</v>
      </c>
      <c r="E446" s="559"/>
      <c r="F446" s="550">
        <v>0.6</v>
      </c>
      <c r="G446" s="32">
        <v>8</v>
      </c>
      <c r="H446" s="550">
        <v>4.8</v>
      </c>
      <c r="I446" s="550">
        <v>6.91</v>
      </c>
      <c r="J446" s="32">
        <v>132</v>
      </c>
      <c r="K446" s="32" t="s">
        <v>110</v>
      </c>
      <c r="L446" s="32"/>
      <c r="M446" s="33" t="s">
        <v>106</v>
      </c>
      <c r="N446" s="33"/>
      <c r="O446" s="32">
        <v>70</v>
      </c>
      <c r="P446" s="751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46" s="556"/>
      <c r="R446" s="556"/>
      <c r="S446" s="556"/>
      <c r="T446" s="557"/>
      <c r="U446" s="34"/>
      <c r="V446" s="34"/>
      <c r="W446" s="35" t="s">
        <v>69</v>
      </c>
      <c r="X446" s="551">
        <v>0</v>
      </c>
      <c r="Y446" s="552">
        <f>IFERROR(IF(X446="",0,CEILING((X446/$H446),1)*$H446),"")</f>
        <v>0</v>
      </c>
      <c r="Z446" s="36" t="str">
        <f>IFERROR(IF(Y446=0,"",ROUNDUP(Y446/H446,0)*0.00902),"")</f>
        <v/>
      </c>
      <c r="AA446" s="56"/>
      <c r="AB446" s="57"/>
      <c r="AC446" s="505" t="s">
        <v>693</v>
      </c>
      <c r="AG446" s="64"/>
      <c r="AJ446" s="68"/>
      <c r="AK446" s="68">
        <v>0</v>
      </c>
      <c r="BB446" s="506" t="s">
        <v>1</v>
      </c>
      <c r="BM446" s="64">
        <f>IFERROR(X446*I446/H446,"0")</f>
        <v>0</v>
      </c>
      <c r="BN446" s="64">
        <f>IFERROR(Y446*I446/H446,"0")</f>
        <v>0</v>
      </c>
      <c r="BO446" s="64">
        <f>IFERROR(1/J446*(X446/H446),"0")</f>
        <v>0</v>
      </c>
      <c r="BP446" s="64">
        <f>IFERROR(1/J446*(Y446/H446),"0")</f>
        <v>0</v>
      </c>
    </row>
    <row r="447" spans="1:68" x14ac:dyDescent="0.2">
      <c r="A447" s="563"/>
      <c r="B447" s="564"/>
      <c r="C447" s="564"/>
      <c r="D447" s="564"/>
      <c r="E447" s="564"/>
      <c r="F447" s="564"/>
      <c r="G447" s="564"/>
      <c r="H447" s="564"/>
      <c r="I447" s="564"/>
      <c r="J447" s="564"/>
      <c r="K447" s="564"/>
      <c r="L447" s="564"/>
      <c r="M447" s="564"/>
      <c r="N447" s="564"/>
      <c r="O447" s="565"/>
      <c r="P447" s="570" t="s">
        <v>75</v>
      </c>
      <c r="Q447" s="571"/>
      <c r="R447" s="571"/>
      <c r="S447" s="571"/>
      <c r="T447" s="571"/>
      <c r="U447" s="571"/>
      <c r="V447" s="572"/>
      <c r="W447" s="37" t="s">
        <v>76</v>
      </c>
      <c r="X447" s="553">
        <f>IFERROR(X444/H444,"0")+IFERROR(X445/H445,"0")+IFERROR(X446/H446,"0")</f>
        <v>208.33333333333331</v>
      </c>
      <c r="Y447" s="553">
        <f>IFERROR(Y444/H444,"0")+IFERROR(Y445/H445,"0")+IFERROR(Y446/H446,"0")</f>
        <v>209</v>
      </c>
      <c r="Z447" s="553">
        <f>IFERROR(IF(Z444="",0,Z444),"0")+IFERROR(IF(Z445="",0,Z445),"0")+IFERROR(IF(Z446="",0,Z446),"0")</f>
        <v>2.4996399999999999</v>
      </c>
      <c r="AA447" s="554"/>
      <c r="AB447" s="554"/>
      <c r="AC447" s="554"/>
    </row>
    <row r="448" spans="1:68" x14ac:dyDescent="0.2">
      <c r="A448" s="564"/>
      <c r="B448" s="564"/>
      <c r="C448" s="564"/>
      <c r="D448" s="564"/>
      <c r="E448" s="564"/>
      <c r="F448" s="564"/>
      <c r="G448" s="564"/>
      <c r="H448" s="564"/>
      <c r="I448" s="564"/>
      <c r="J448" s="564"/>
      <c r="K448" s="564"/>
      <c r="L448" s="564"/>
      <c r="M448" s="564"/>
      <c r="N448" s="564"/>
      <c r="O448" s="565"/>
      <c r="P448" s="570" t="s">
        <v>75</v>
      </c>
      <c r="Q448" s="571"/>
      <c r="R448" s="571"/>
      <c r="S448" s="571"/>
      <c r="T448" s="571"/>
      <c r="U448" s="571"/>
      <c r="V448" s="572"/>
      <c r="W448" s="37" t="s">
        <v>69</v>
      </c>
      <c r="X448" s="553">
        <f>IFERROR(SUM(X444:X446),"0")</f>
        <v>1100</v>
      </c>
      <c r="Y448" s="553">
        <f>IFERROR(SUM(Y444:Y446),"0")</f>
        <v>1103.52</v>
      </c>
      <c r="Z448" s="37"/>
      <c r="AA448" s="554"/>
      <c r="AB448" s="554"/>
      <c r="AC448" s="554"/>
    </row>
    <row r="449" spans="1:68" ht="14.25" customHeight="1" x14ac:dyDescent="0.25">
      <c r="A449" s="567" t="s">
        <v>64</v>
      </c>
      <c r="B449" s="564"/>
      <c r="C449" s="564"/>
      <c r="D449" s="564"/>
      <c r="E449" s="564"/>
      <c r="F449" s="564"/>
      <c r="G449" s="564"/>
      <c r="H449" s="564"/>
      <c r="I449" s="564"/>
      <c r="J449" s="564"/>
      <c r="K449" s="564"/>
      <c r="L449" s="564"/>
      <c r="M449" s="564"/>
      <c r="N449" s="564"/>
      <c r="O449" s="564"/>
      <c r="P449" s="564"/>
      <c r="Q449" s="564"/>
      <c r="R449" s="564"/>
      <c r="S449" s="564"/>
      <c r="T449" s="564"/>
      <c r="U449" s="564"/>
      <c r="V449" s="564"/>
      <c r="W449" s="564"/>
      <c r="X449" s="564"/>
      <c r="Y449" s="564"/>
      <c r="Z449" s="564"/>
      <c r="AA449" s="545"/>
      <c r="AB449" s="545"/>
      <c r="AC449" s="545"/>
    </row>
    <row r="450" spans="1:68" ht="27" customHeight="1" x14ac:dyDescent="0.25">
      <c r="A450" s="54" t="s">
        <v>698</v>
      </c>
      <c r="B450" s="54" t="s">
        <v>699</v>
      </c>
      <c r="C450" s="31">
        <v>4301031349</v>
      </c>
      <c r="D450" s="558">
        <v>4680115883116</v>
      </c>
      <c r="E450" s="559"/>
      <c r="F450" s="550">
        <v>0.88</v>
      </c>
      <c r="G450" s="32">
        <v>6</v>
      </c>
      <c r="H450" s="550">
        <v>5.28</v>
      </c>
      <c r="I450" s="550">
        <v>5.63</v>
      </c>
      <c r="J450" s="32">
        <v>104</v>
      </c>
      <c r="K450" s="32" t="s">
        <v>104</v>
      </c>
      <c r="L450" s="32" t="s">
        <v>105</v>
      </c>
      <c r="M450" s="33" t="s">
        <v>106</v>
      </c>
      <c r="N450" s="33"/>
      <c r="O450" s="32">
        <v>70</v>
      </c>
      <c r="P450" s="711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50" s="556"/>
      <c r="R450" s="556"/>
      <c r="S450" s="556"/>
      <c r="T450" s="557"/>
      <c r="U450" s="34"/>
      <c r="V450" s="34"/>
      <c r="W450" s="35" t="s">
        <v>69</v>
      </c>
      <c r="X450" s="551">
        <v>150</v>
      </c>
      <c r="Y450" s="552">
        <f t="shared" ref="Y450:Y455" si="58">IFERROR(IF(X450="",0,CEILING((X450/$H450),1)*$H450),"")</f>
        <v>153.12</v>
      </c>
      <c r="Z450" s="36">
        <f>IFERROR(IF(Y450=0,"",ROUNDUP(Y450/H450,0)*0.01196),"")</f>
        <v>0.34683999999999998</v>
      </c>
      <c r="AA450" s="56"/>
      <c r="AB450" s="57"/>
      <c r="AC450" s="507" t="s">
        <v>700</v>
      </c>
      <c r="AG450" s="64"/>
      <c r="AJ450" s="68" t="s">
        <v>92</v>
      </c>
      <c r="AK450" s="68">
        <v>42.24</v>
      </c>
      <c r="BB450" s="508" t="s">
        <v>1</v>
      </c>
      <c r="BM450" s="64">
        <f t="shared" ref="BM450:BM455" si="59">IFERROR(X450*I450/H450,"0")</f>
        <v>159.94318181818181</v>
      </c>
      <c r="BN450" s="64">
        <f t="shared" ref="BN450:BN455" si="60">IFERROR(Y450*I450/H450,"0")</f>
        <v>163.26999999999998</v>
      </c>
      <c r="BO450" s="64">
        <f t="shared" ref="BO450:BO455" si="61">IFERROR(1/J450*(X450/H450),"0")</f>
        <v>0.27316433566433568</v>
      </c>
      <c r="BP450" s="64">
        <f t="shared" ref="BP450:BP455" si="62">IFERROR(1/J450*(Y450/H450),"0")</f>
        <v>0.27884615384615385</v>
      </c>
    </row>
    <row r="451" spans="1:68" ht="27" customHeight="1" x14ac:dyDescent="0.25">
      <c r="A451" s="54" t="s">
        <v>701</v>
      </c>
      <c r="B451" s="54" t="s">
        <v>702</v>
      </c>
      <c r="C451" s="31">
        <v>4301031350</v>
      </c>
      <c r="D451" s="558">
        <v>4680115883093</v>
      </c>
      <c r="E451" s="559"/>
      <c r="F451" s="550">
        <v>0.88</v>
      </c>
      <c r="G451" s="32">
        <v>6</v>
      </c>
      <c r="H451" s="550">
        <v>5.28</v>
      </c>
      <c r="I451" s="550">
        <v>5.63</v>
      </c>
      <c r="J451" s="32">
        <v>104</v>
      </c>
      <c r="K451" s="32" t="s">
        <v>104</v>
      </c>
      <c r="L451" s="32" t="s">
        <v>105</v>
      </c>
      <c r="M451" s="33" t="s">
        <v>68</v>
      </c>
      <c r="N451" s="33"/>
      <c r="O451" s="32">
        <v>70</v>
      </c>
      <c r="P451" s="735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51" s="556"/>
      <c r="R451" s="556"/>
      <c r="S451" s="556"/>
      <c r="T451" s="557"/>
      <c r="U451" s="34"/>
      <c r="V451" s="34"/>
      <c r="W451" s="35" t="s">
        <v>69</v>
      </c>
      <c r="X451" s="551">
        <v>0</v>
      </c>
      <c r="Y451" s="552">
        <f t="shared" si="58"/>
        <v>0</v>
      </c>
      <c r="Z451" s="36" t="str">
        <f>IFERROR(IF(Y451=0,"",ROUNDUP(Y451/H451,0)*0.01196),"")</f>
        <v/>
      </c>
      <c r="AA451" s="56"/>
      <c r="AB451" s="57"/>
      <c r="AC451" s="509" t="s">
        <v>703</v>
      </c>
      <c r="AG451" s="64"/>
      <c r="AJ451" s="68" t="s">
        <v>92</v>
      </c>
      <c r="AK451" s="68">
        <v>42.24</v>
      </c>
      <c r="BB451" s="510" t="s">
        <v>1</v>
      </c>
      <c r="BM451" s="64">
        <f t="shared" si="59"/>
        <v>0</v>
      </c>
      <c r="BN451" s="64">
        <f t="shared" si="60"/>
        <v>0</v>
      </c>
      <c r="BO451" s="64">
        <f t="shared" si="61"/>
        <v>0</v>
      </c>
      <c r="BP451" s="64">
        <f t="shared" si="62"/>
        <v>0</v>
      </c>
    </row>
    <row r="452" spans="1:68" ht="27" customHeight="1" x14ac:dyDescent="0.25">
      <c r="A452" s="54" t="s">
        <v>704</v>
      </c>
      <c r="B452" s="54" t="s">
        <v>705</v>
      </c>
      <c r="C452" s="31">
        <v>4301031353</v>
      </c>
      <c r="D452" s="558">
        <v>4680115883109</v>
      </c>
      <c r="E452" s="559"/>
      <c r="F452" s="550">
        <v>0.88</v>
      </c>
      <c r="G452" s="32">
        <v>6</v>
      </c>
      <c r="H452" s="550">
        <v>5.28</v>
      </c>
      <c r="I452" s="550">
        <v>5.63</v>
      </c>
      <c r="J452" s="32">
        <v>104</v>
      </c>
      <c r="K452" s="32" t="s">
        <v>104</v>
      </c>
      <c r="L452" s="32" t="s">
        <v>105</v>
      </c>
      <c r="M452" s="33" t="s">
        <v>68</v>
      </c>
      <c r="N452" s="33"/>
      <c r="O452" s="32">
        <v>70</v>
      </c>
      <c r="P452" s="591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52" s="556"/>
      <c r="R452" s="556"/>
      <c r="S452" s="556"/>
      <c r="T452" s="557"/>
      <c r="U452" s="34"/>
      <c r="V452" s="34"/>
      <c r="W452" s="35" t="s">
        <v>69</v>
      </c>
      <c r="X452" s="551">
        <v>450</v>
      </c>
      <c r="Y452" s="552">
        <f t="shared" si="58"/>
        <v>454.08000000000004</v>
      </c>
      <c r="Z452" s="36">
        <f>IFERROR(IF(Y452=0,"",ROUNDUP(Y452/H452,0)*0.01196),"")</f>
        <v>1.0285599999999999</v>
      </c>
      <c r="AA452" s="56"/>
      <c r="AB452" s="57"/>
      <c r="AC452" s="511" t="s">
        <v>706</v>
      </c>
      <c r="AG452" s="64"/>
      <c r="AJ452" s="68" t="s">
        <v>92</v>
      </c>
      <c r="AK452" s="68">
        <v>42.24</v>
      </c>
      <c r="BB452" s="512" t="s">
        <v>1</v>
      </c>
      <c r="BM452" s="64">
        <f t="shared" si="59"/>
        <v>479.82954545454544</v>
      </c>
      <c r="BN452" s="64">
        <f t="shared" si="60"/>
        <v>484.18</v>
      </c>
      <c r="BO452" s="64">
        <f t="shared" si="61"/>
        <v>0.81949300699300698</v>
      </c>
      <c r="BP452" s="64">
        <f t="shared" si="62"/>
        <v>0.82692307692307698</v>
      </c>
    </row>
    <row r="453" spans="1:68" ht="27" customHeight="1" x14ac:dyDescent="0.25">
      <c r="A453" s="54" t="s">
        <v>707</v>
      </c>
      <c r="B453" s="54" t="s">
        <v>708</v>
      </c>
      <c r="C453" s="31">
        <v>4301031419</v>
      </c>
      <c r="D453" s="558">
        <v>4680115882072</v>
      </c>
      <c r="E453" s="559"/>
      <c r="F453" s="550">
        <v>0.6</v>
      </c>
      <c r="G453" s="32">
        <v>8</v>
      </c>
      <c r="H453" s="550">
        <v>4.8</v>
      </c>
      <c r="I453" s="550">
        <v>6.91</v>
      </c>
      <c r="J453" s="32">
        <v>132</v>
      </c>
      <c r="K453" s="32" t="s">
        <v>110</v>
      </c>
      <c r="L453" s="32"/>
      <c r="M453" s="33" t="s">
        <v>106</v>
      </c>
      <c r="N453" s="33"/>
      <c r="O453" s="32">
        <v>70</v>
      </c>
      <c r="P453" s="637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53" s="556"/>
      <c r="R453" s="556"/>
      <c r="S453" s="556"/>
      <c r="T453" s="557"/>
      <c r="U453" s="34"/>
      <c r="V453" s="34"/>
      <c r="W453" s="35" t="s">
        <v>69</v>
      </c>
      <c r="X453" s="551">
        <v>0</v>
      </c>
      <c r="Y453" s="552">
        <f t="shared" si="58"/>
        <v>0</v>
      </c>
      <c r="Z453" s="36" t="str">
        <f>IFERROR(IF(Y453=0,"",ROUNDUP(Y453/H453,0)*0.00902),"")</f>
        <v/>
      </c>
      <c r="AA453" s="56"/>
      <c r="AB453" s="57"/>
      <c r="AC453" s="513" t="s">
        <v>700</v>
      </c>
      <c r="AG453" s="64"/>
      <c r="AJ453" s="68"/>
      <c r="AK453" s="68">
        <v>0</v>
      </c>
      <c r="BB453" s="514" t="s">
        <v>1</v>
      </c>
      <c r="BM453" s="64">
        <f t="shared" si="59"/>
        <v>0</v>
      </c>
      <c r="BN453" s="64">
        <f t="shared" si="60"/>
        <v>0</v>
      </c>
      <c r="BO453" s="64">
        <f t="shared" si="61"/>
        <v>0</v>
      </c>
      <c r="BP453" s="64">
        <f t="shared" si="62"/>
        <v>0</v>
      </c>
    </row>
    <row r="454" spans="1:68" ht="27" customHeight="1" x14ac:dyDescent="0.25">
      <c r="A454" s="54" t="s">
        <v>709</v>
      </c>
      <c r="B454" s="54" t="s">
        <v>710</v>
      </c>
      <c r="C454" s="31">
        <v>4301031418</v>
      </c>
      <c r="D454" s="558">
        <v>4680115882102</v>
      </c>
      <c r="E454" s="559"/>
      <c r="F454" s="550">
        <v>0.6</v>
      </c>
      <c r="G454" s="32">
        <v>8</v>
      </c>
      <c r="H454" s="550">
        <v>4.8</v>
      </c>
      <c r="I454" s="550">
        <v>6.67</v>
      </c>
      <c r="J454" s="32">
        <v>132</v>
      </c>
      <c r="K454" s="32" t="s">
        <v>110</v>
      </c>
      <c r="L454" s="32"/>
      <c r="M454" s="33" t="s">
        <v>68</v>
      </c>
      <c r="N454" s="33"/>
      <c r="O454" s="32">
        <v>70</v>
      </c>
      <c r="P454" s="574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454" s="556"/>
      <c r="R454" s="556"/>
      <c r="S454" s="556"/>
      <c r="T454" s="557"/>
      <c r="U454" s="34"/>
      <c r="V454" s="34"/>
      <c r="W454" s="35" t="s">
        <v>69</v>
      </c>
      <c r="X454" s="551">
        <v>0</v>
      </c>
      <c r="Y454" s="552">
        <f t="shared" si="58"/>
        <v>0</v>
      </c>
      <c r="Z454" s="36" t="str">
        <f>IFERROR(IF(Y454=0,"",ROUNDUP(Y454/H454,0)*0.00902),"")</f>
        <v/>
      </c>
      <c r="AA454" s="56"/>
      <c r="AB454" s="57"/>
      <c r="AC454" s="515" t="s">
        <v>703</v>
      </c>
      <c r="AG454" s="64"/>
      <c r="AJ454" s="68"/>
      <c r="AK454" s="68">
        <v>0</v>
      </c>
      <c r="BB454" s="516" t="s">
        <v>1</v>
      </c>
      <c r="BM454" s="64">
        <f t="shared" si="59"/>
        <v>0</v>
      </c>
      <c r="BN454" s="64">
        <f t="shared" si="60"/>
        <v>0</v>
      </c>
      <c r="BO454" s="64">
        <f t="shared" si="61"/>
        <v>0</v>
      </c>
      <c r="BP454" s="64">
        <f t="shared" si="62"/>
        <v>0</v>
      </c>
    </row>
    <row r="455" spans="1:68" ht="27" customHeight="1" x14ac:dyDescent="0.25">
      <c r="A455" s="54" t="s">
        <v>711</v>
      </c>
      <c r="B455" s="54" t="s">
        <v>712</v>
      </c>
      <c r="C455" s="31">
        <v>4301031417</v>
      </c>
      <c r="D455" s="558">
        <v>4680115882096</v>
      </c>
      <c r="E455" s="559"/>
      <c r="F455" s="550">
        <v>0.6</v>
      </c>
      <c r="G455" s="32">
        <v>8</v>
      </c>
      <c r="H455" s="550">
        <v>4.8</v>
      </c>
      <c r="I455" s="550">
        <v>6.67</v>
      </c>
      <c r="J455" s="32">
        <v>132</v>
      </c>
      <c r="K455" s="32" t="s">
        <v>110</v>
      </c>
      <c r="L455" s="32"/>
      <c r="M455" s="33" t="s">
        <v>68</v>
      </c>
      <c r="N455" s="33"/>
      <c r="O455" s="32">
        <v>70</v>
      </c>
      <c r="P455" s="578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455" s="556"/>
      <c r="R455" s="556"/>
      <c r="S455" s="556"/>
      <c r="T455" s="557"/>
      <c r="U455" s="34"/>
      <c r="V455" s="34"/>
      <c r="W455" s="35" t="s">
        <v>69</v>
      </c>
      <c r="X455" s="551">
        <v>0</v>
      </c>
      <c r="Y455" s="552">
        <f t="shared" si="58"/>
        <v>0</v>
      </c>
      <c r="Z455" s="36" t="str">
        <f>IFERROR(IF(Y455=0,"",ROUNDUP(Y455/H455,0)*0.00902),"")</f>
        <v/>
      </c>
      <c r="AA455" s="56"/>
      <c r="AB455" s="57"/>
      <c r="AC455" s="517" t="s">
        <v>706</v>
      </c>
      <c r="AG455" s="64"/>
      <c r="AJ455" s="68"/>
      <c r="AK455" s="68">
        <v>0</v>
      </c>
      <c r="BB455" s="518" t="s">
        <v>1</v>
      </c>
      <c r="BM455" s="64">
        <f t="shared" si="59"/>
        <v>0</v>
      </c>
      <c r="BN455" s="64">
        <f t="shared" si="60"/>
        <v>0</v>
      </c>
      <c r="BO455" s="64">
        <f t="shared" si="61"/>
        <v>0</v>
      </c>
      <c r="BP455" s="64">
        <f t="shared" si="62"/>
        <v>0</v>
      </c>
    </row>
    <row r="456" spans="1:68" x14ac:dyDescent="0.2">
      <c r="A456" s="563"/>
      <c r="B456" s="564"/>
      <c r="C456" s="564"/>
      <c r="D456" s="564"/>
      <c r="E456" s="564"/>
      <c r="F456" s="564"/>
      <c r="G456" s="564"/>
      <c r="H456" s="564"/>
      <c r="I456" s="564"/>
      <c r="J456" s="564"/>
      <c r="K456" s="564"/>
      <c r="L456" s="564"/>
      <c r="M456" s="564"/>
      <c r="N456" s="564"/>
      <c r="O456" s="565"/>
      <c r="P456" s="570" t="s">
        <v>75</v>
      </c>
      <c r="Q456" s="571"/>
      <c r="R456" s="571"/>
      <c r="S456" s="571"/>
      <c r="T456" s="571"/>
      <c r="U456" s="571"/>
      <c r="V456" s="572"/>
      <c r="W456" s="37" t="s">
        <v>76</v>
      </c>
      <c r="X456" s="553">
        <f>IFERROR(X450/H450,"0")+IFERROR(X451/H451,"0")+IFERROR(X452/H452,"0")+IFERROR(X453/H453,"0")+IFERROR(X454/H454,"0")+IFERROR(X455/H455,"0")</f>
        <v>113.63636363636363</v>
      </c>
      <c r="Y456" s="553">
        <f>IFERROR(Y450/H450,"0")+IFERROR(Y451/H451,"0")+IFERROR(Y452/H452,"0")+IFERROR(Y453/H453,"0")+IFERROR(Y454/H454,"0")+IFERROR(Y455/H455,"0")</f>
        <v>115</v>
      </c>
      <c r="Z456" s="553">
        <f>IFERROR(IF(Z450="",0,Z450),"0")+IFERROR(IF(Z451="",0,Z451),"0")+IFERROR(IF(Z452="",0,Z452),"0")+IFERROR(IF(Z453="",0,Z453),"0")+IFERROR(IF(Z454="",0,Z454),"0")+IFERROR(IF(Z455="",0,Z455),"0")</f>
        <v>1.3754</v>
      </c>
      <c r="AA456" s="554"/>
      <c r="AB456" s="554"/>
      <c r="AC456" s="554"/>
    </row>
    <row r="457" spans="1:68" x14ac:dyDescent="0.2">
      <c r="A457" s="564"/>
      <c r="B457" s="564"/>
      <c r="C457" s="564"/>
      <c r="D457" s="564"/>
      <c r="E457" s="564"/>
      <c r="F457" s="564"/>
      <c r="G457" s="564"/>
      <c r="H457" s="564"/>
      <c r="I457" s="564"/>
      <c r="J457" s="564"/>
      <c r="K457" s="564"/>
      <c r="L457" s="564"/>
      <c r="M457" s="564"/>
      <c r="N457" s="564"/>
      <c r="O457" s="565"/>
      <c r="P457" s="570" t="s">
        <v>75</v>
      </c>
      <c r="Q457" s="571"/>
      <c r="R457" s="571"/>
      <c r="S457" s="571"/>
      <c r="T457" s="571"/>
      <c r="U457" s="571"/>
      <c r="V457" s="572"/>
      <c r="W457" s="37" t="s">
        <v>69</v>
      </c>
      <c r="X457" s="553">
        <f>IFERROR(SUM(X450:X455),"0")</f>
        <v>600</v>
      </c>
      <c r="Y457" s="553">
        <f>IFERROR(SUM(Y450:Y455),"0")</f>
        <v>607.20000000000005</v>
      </c>
      <c r="Z457" s="37"/>
      <c r="AA457" s="554"/>
      <c r="AB457" s="554"/>
      <c r="AC457" s="554"/>
    </row>
    <row r="458" spans="1:68" ht="14.25" customHeight="1" x14ac:dyDescent="0.25">
      <c r="A458" s="567" t="s">
        <v>77</v>
      </c>
      <c r="B458" s="564"/>
      <c r="C458" s="564"/>
      <c r="D458" s="564"/>
      <c r="E458" s="564"/>
      <c r="F458" s="564"/>
      <c r="G458" s="564"/>
      <c r="H458" s="564"/>
      <c r="I458" s="564"/>
      <c r="J458" s="564"/>
      <c r="K458" s="564"/>
      <c r="L458" s="564"/>
      <c r="M458" s="564"/>
      <c r="N458" s="564"/>
      <c r="O458" s="564"/>
      <c r="P458" s="564"/>
      <c r="Q458" s="564"/>
      <c r="R458" s="564"/>
      <c r="S458" s="564"/>
      <c r="T458" s="564"/>
      <c r="U458" s="564"/>
      <c r="V458" s="564"/>
      <c r="W458" s="564"/>
      <c r="X458" s="564"/>
      <c r="Y458" s="564"/>
      <c r="Z458" s="564"/>
      <c r="AA458" s="545"/>
      <c r="AB458" s="545"/>
      <c r="AC458" s="545"/>
    </row>
    <row r="459" spans="1:68" ht="27" customHeight="1" x14ac:dyDescent="0.25">
      <c r="A459" s="54" t="s">
        <v>713</v>
      </c>
      <c r="B459" s="54" t="s">
        <v>714</v>
      </c>
      <c r="C459" s="31">
        <v>4301051064</v>
      </c>
      <c r="D459" s="558">
        <v>4680115883536</v>
      </c>
      <c r="E459" s="559"/>
      <c r="F459" s="550">
        <v>0.3</v>
      </c>
      <c r="G459" s="32">
        <v>6</v>
      </c>
      <c r="H459" s="550">
        <v>1.8</v>
      </c>
      <c r="I459" s="550">
        <v>2.0459999999999998</v>
      </c>
      <c r="J459" s="32">
        <v>182</v>
      </c>
      <c r="K459" s="32" t="s">
        <v>67</v>
      </c>
      <c r="L459" s="32"/>
      <c r="M459" s="33" t="s">
        <v>80</v>
      </c>
      <c r="N459" s="33"/>
      <c r="O459" s="32">
        <v>45</v>
      </c>
      <c r="P459" s="764" t="str">
        <f>HYPERLINK("https://abi.ru/products/Охлажденные/Дугушка/Дугушка/Сосиски/P002319/","Сосиски «Молочные Дугушки» ф/в 0,3 амицел ТМ «Дугушка»")</f>
        <v>Сосиски «Молочные Дугушки» ф/в 0,3 амицел ТМ «Дугушка»</v>
      </c>
      <c r="Q459" s="556"/>
      <c r="R459" s="556"/>
      <c r="S459" s="556"/>
      <c r="T459" s="557"/>
      <c r="U459" s="34"/>
      <c r="V459" s="34"/>
      <c r="W459" s="35" t="s">
        <v>69</v>
      </c>
      <c r="X459" s="551">
        <v>0</v>
      </c>
      <c r="Y459" s="552">
        <f>IFERROR(IF(X459="",0,CEILING((X459/$H459),1)*$H459),"")</f>
        <v>0</v>
      </c>
      <c r="Z459" s="36" t="str">
        <f>IFERROR(IF(Y459=0,"",ROUNDUP(Y459/H459,0)*0.00651),"")</f>
        <v/>
      </c>
      <c r="AA459" s="56"/>
      <c r="AB459" s="57"/>
      <c r="AC459" s="519" t="s">
        <v>715</v>
      </c>
      <c r="AG459" s="64"/>
      <c r="AJ459" s="68"/>
      <c r="AK459" s="68">
        <v>0</v>
      </c>
      <c r="BB459" s="520" t="s">
        <v>1</v>
      </c>
      <c r="BM459" s="64">
        <f>IFERROR(X459*I459/H459,"0")</f>
        <v>0</v>
      </c>
      <c r="BN459" s="64">
        <f>IFERROR(Y459*I459/H459,"0")</f>
        <v>0</v>
      </c>
      <c r="BO459" s="64">
        <f>IFERROR(1/J459*(X459/H459),"0")</f>
        <v>0</v>
      </c>
      <c r="BP459" s="64">
        <f>IFERROR(1/J459*(Y459/H459),"0")</f>
        <v>0</v>
      </c>
    </row>
    <row r="460" spans="1:68" x14ac:dyDescent="0.2">
      <c r="A460" s="563"/>
      <c r="B460" s="564"/>
      <c r="C460" s="564"/>
      <c r="D460" s="564"/>
      <c r="E460" s="564"/>
      <c r="F460" s="564"/>
      <c r="G460" s="564"/>
      <c r="H460" s="564"/>
      <c r="I460" s="564"/>
      <c r="J460" s="564"/>
      <c r="K460" s="564"/>
      <c r="L460" s="564"/>
      <c r="M460" s="564"/>
      <c r="N460" s="564"/>
      <c r="O460" s="565"/>
      <c r="P460" s="570" t="s">
        <v>75</v>
      </c>
      <c r="Q460" s="571"/>
      <c r="R460" s="571"/>
      <c r="S460" s="571"/>
      <c r="T460" s="571"/>
      <c r="U460" s="571"/>
      <c r="V460" s="572"/>
      <c r="W460" s="37" t="s">
        <v>76</v>
      </c>
      <c r="X460" s="553">
        <f>IFERROR(X459/H459,"0")</f>
        <v>0</v>
      </c>
      <c r="Y460" s="553">
        <f>IFERROR(Y459/H459,"0")</f>
        <v>0</v>
      </c>
      <c r="Z460" s="553">
        <f>IFERROR(IF(Z459="",0,Z459),"0")</f>
        <v>0</v>
      </c>
      <c r="AA460" s="554"/>
      <c r="AB460" s="554"/>
      <c r="AC460" s="554"/>
    </row>
    <row r="461" spans="1:68" x14ac:dyDescent="0.2">
      <c r="A461" s="564"/>
      <c r="B461" s="564"/>
      <c r="C461" s="564"/>
      <c r="D461" s="564"/>
      <c r="E461" s="564"/>
      <c r="F461" s="564"/>
      <c r="G461" s="564"/>
      <c r="H461" s="564"/>
      <c r="I461" s="564"/>
      <c r="J461" s="564"/>
      <c r="K461" s="564"/>
      <c r="L461" s="564"/>
      <c r="M461" s="564"/>
      <c r="N461" s="564"/>
      <c r="O461" s="565"/>
      <c r="P461" s="570" t="s">
        <v>75</v>
      </c>
      <c r="Q461" s="571"/>
      <c r="R461" s="571"/>
      <c r="S461" s="571"/>
      <c r="T461" s="571"/>
      <c r="U461" s="571"/>
      <c r="V461" s="572"/>
      <c r="W461" s="37" t="s">
        <v>69</v>
      </c>
      <c r="X461" s="553">
        <f>IFERROR(SUM(X459:X459),"0")</f>
        <v>0</v>
      </c>
      <c r="Y461" s="553">
        <f>IFERROR(SUM(Y459:Y459),"0")</f>
        <v>0</v>
      </c>
      <c r="Z461" s="37"/>
      <c r="AA461" s="554"/>
      <c r="AB461" s="554"/>
      <c r="AC461" s="554"/>
    </row>
    <row r="462" spans="1:68" ht="27.75" customHeight="1" x14ac:dyDescent="0.2">
      <c r="A462" s="626" t="s">
        <v>716</v>
      </c>
      <c r="B462" s="627"/>
      <c r="C462" s="627"/>
      <c r="D462" s="627"/>
      <c r="E462" s="627"/>
      <c r="F462" s="627"/>
      <c r="G462" s="627"/>
      <c r="H462" s="627"/>
      <c r="I462" s="627"/>
      <c r="J462" s="627"/>
      <c r="K462" s="627"/>
      <c r="L462" s="627"/>
      <c r="M462" s="627"/>
      <c r="N462" s="627"/>
      <c r="O462" s="627"/>
      <c r="P462" s="627"/>
      <c r="Q462" s="627"/>
      <c r="R462" s="627"/>
      <c r="S462" s="627"/>
      <c r="T462" s="627"/>
      <c r="U462" s="627"/>
      <c r="V462" s="627"/>
      <c r="W462" s="627"/>
      <c r="X462" s="627"/>
      <c r="Y462" s="627"/>
      <c r="Z462" s="627"/>
      <c r="AA462" s="48"/>
      <c r="AB462" s="48"/>
      <c r="AC462" s="48"/>
    </row>
    <row r="463" spans="1:68" ht="16.5" customHeight="1" x14ac:dyDescent="0.25">
      <c r="A463" s="573" t="s">
        <v>716</v>
      </c>
      <c r="B463" s="564"/>
      <c r="C463" s="564"/>
      <c r="D463" s="564"/>
      <c r="E463" s="564"/>
      <c r="F463" s="564"/>
      <c r="G463" s="564"/>
      <c r="H463" s="564"/>
      <c r="I463" s="564"/>
      <c r="J463" s="564"/>
      <c r="K463" s="564"/>
      <c r="L463" s="564"/>
      <c r="M463" s="564"/>
      <c r="N463" s="564"/>
      <c r="O463" s="564"/>
      <c r="P463" s="564"/>
      <c r="Q463" s="564"/>
      <c r="R463" s="564"/>
      <c r="S463" s="564"/>
      <c r="T463" s="564"/>
      <c r="U463" s="564"/>
      <c r="V463" s="564"/>
      <c r="W463" s="564"/>
      <c r="X463" s="564"/>
      <c r="Y463" s="564"/>
      <c r="Z463" s="564"/>
      <c r="AA463" s="546"/>
      <c r="AB463" s="546"/>
      <c r="AC463" s="546"/>
    </row>
    <row r="464" spans="1:68" ht="14.25" customHeight="1" x14ac:dyDescent="0.25">
      <c r="A464" s="567" t="s">
        <v>101</v>
      </c>
      <c r="B464" s="564"/>
      <c r="C464" s="564"/>
      <c r="D464" s="564"/>
      <c r="E464" s="564"/>
      <c r="F464" s="564"/>
      <c r="G464" s="564"/>
      <c r="H464" s="564"/>
      <c r="I464" s="564"/>
      <c r="J464" s="564"/>
      <c r="K464" s="564"/>
      <c r="L464" s="564"/>
      <c r="M464" s="564"/>
      <c r="N464" s="564"/>
      <c r="O464" s="564"/>
      <c r="P464" s="564"/>
      <c r="Q464" s="564"/>
      <c r="R464" s="564"/>
      <c r="S464" s="564"/>
      <c r="T464" s="564"/>
      <c r="U464" s="564"/>
      <c r="V464" s="564"/>
      <c r="W464" s="564"/>
      <c r="X464" s="564"/>
      <c r="Y464" s="564"/>
      <c r="Z464" s="564"/>
      <c r="AA464" s="545"/>
      <c r="AB464" s="545"/>
      <c r="AC464" s="545"/>
    </row>
    <row r="465" spans="1:68" ht="27" customHeight="1" x14ac:dyDescent="0.25">
      <c r="A465" s="54" t="s">
        <v>717</v>
      </c>
      <c r="B465" s="54" t="s">
        <v>718</v>
      </c>
      <c r="C465" s="31">
        <v>4301011763</v>
      </c>
      <c r="D465" s="558">
        <v>4640242181011</v>
      </c>
      <c r="E465" s="559"/>
      <c r="F465" s="550">
        <v>1.35</v>
      </c>
      <c r="G465" s="32">
        <v>8</v>
      </c>
      <c r="H465" s="550">
        <v>10.8</v>
      </c>
      <c r="I465" s="550">
        <v>11.21</v>
      </c>
      <c r="J465" s="32">
        <v>64</v>
      </c>
      <c r="K465" s="32" t="s">
        <v>104</v>
      </c>
      <c r="L465" s="32"/>
      <c r="M465" s="33" t="s">
        <v>80</v>
      </c>
      <c r="N465" s="33"/>
      <c r="O465" s="32">
        <v>55</v>
      </c>
      <c r="P465" s="818" t="str">
        <f>HYPERLINK("https://abi.ru/products/Охлажденные/Зареченские продукты/Зареченские продукты/Вареные колбасы/P004000/","Вареные колбасы «Молочная» Весовой п/а ТМ «Зареченские»")</f>
        <v>Вареные колбасы «Молочная» Весовой п/а ТМ «Зареченские»</v>
      </c>
      <c r="Q465" s="556"/>
      <c r="R465" s="556"/>
      <c r="S465" s="556"/>
      <c r="T465" s="557"/>
      <c r="U465" s="34"/>
      <c r="V465" s="34"/>
      <c r="W465" s="35" t="s">
        <v>69</v>
      </c>
      <c r="X465" s="551">
        <v>0</v>
      </c>
      <c r="Y465" s="552">
        <f>IFERROR(IF(X465="",0,CEILING((X465/$H465),1)*$H465),"")</f>
        <v>0</v>
      </c>
      <c r="Z465" s="36" t="str">
        <f>IFERROR(IF(Y465=0,"",ROUNDUP(Y465/H465,0)*0.01898),"")</f>
        <v/>
      </c>
      <c r="AA465" s="56"/>
      <c r="AB465" s="57"/>
      <c r="AC465" s="521" t="s">
        <v>719</v>
      </c>
      <c r="AG465" s="64"/>
      <c r="AJ465" s="68"/>
      <c r="AK465" s="68">
        <v>0</v>
      </c>
      <c r="BB465" s="522" t="s">
        <v>1</v>
      </c>
      <c r="BM465" s="64">
        <f>IFERROR(X465*I465/H465,"0")</f>
        <v>0</v>
      </c>
      <c r="BN465" s="64">
        <f>IFERROR(Y465*I465/H465,"0")</f>
        <v>0</v>
      </c>
      <c r="BO465" s="64">
        <f>IFERROR(1/J465*(X465/H465),"0")</f>
        <v>0</v>
      </c>
      <c r="BP465" s="64">
        <f>IFERROR(1/J465*(Y465/H465),"0")</f>
        <v>0</v>
      </c>
    </row>
    <row r="466" spans="1:68" ht="27" customHeight="1" x14ac:dyDescent="0.25">
      <c r="A466" s="54" t="s">
        <v>720</v>
      </c>
      <c r="B466" s="54" t="s">
        <v>721</v>
      </c>
      <c r="C466" s="31">
        <v>4301011585</v>
      </c>
      <c r="D466" s="558">
        <v>4640242180441</v>
      </c>
      <c r="E466" s="559"/>
      <c r="F466" s="550">
        <v>1.5</v>
      </c>
      <c r="G466" s="32">
        <v>8</v>
      </c>
      <c r="H466" s="550">
        <v>12</v>
      </c>
      <c r="I466" s="550">
        <v>12.41</v>
      </c>
      <c r="J466" s="32">
        <v>64</v>
      </c>
      <c r="K466" s="32" t="s">
        <v>104</v>
      </c>
      <c r="L466" s="32"/>
      <c r="M466" s="33" t="s">
        <v>106</v>
      </c>
      <c r="N466" s="33"/>
      <c r="O466" s="32">
        <v>50</v>
      </c>
      <c r="P466" s="650" t="str">
        <f>HYPERLINK("https://abi.ru/products/Охлажденные/Зареченские продукты/Зареченские продукты/Вареные колбасы/P003583/","Вареные колбасы «Муромская» Весовой п/а ТМ «Зареченские»")</f>
        <v>Вареные колбасы «Муромская» Весовой п/а ТМ «Зареченские»</v>
      </c>
      <c r="Q466" s="556"/>
      <c r="R466" s="556"/>
      <c r="S466" s="556"/>
      <c r="T466" s="557"/>
      <c r="U466" s="34"/>
      <c r="V466" s="34"/>
      <c r="W466" s="35" t="s">
        <v>69</v>
      </c>
      <c r="X466" s="551">
        <v>0</v>
      </c>
      <c r="Y466" s="552">
        <f>IFERROR(IF(X466="",0,CEILING((X466/$H466),1)*$H466),"")</f>
        <v>0</v>
      </c>
      <c r="Z466" s="36" t="str">
        <f>IFERROR(IF(Y466=0,"",ROUNDUP(Y466/H466,0)*0.01898),"")</f>
        <v/>
      </c>
      <c r="AA466" s="56"/>
      <c r="AB466" s="57"/>
      <c r="AC466" s="523" t="s">
        <v>722</v>
      </c>
      <c r="AG466" s="64"/>
      <c r="AJ466" s="68"/>
      <c r="AK466" s="68">
        <v>0</v>
      </c>
      <c r="BB466" s="524" t="s">
        <v>1</v>
      </c>
      <c r="BM466" s="64">
        <f>IFERROR(X466*I466/H466,"0")</f>
        <v>0</v>
      </c>
      <c r="BN466" s="64">
        <f>IFERROR(Y466*I466/H466,"0")</f>
        <v>0</v>
      </c>
      <c r="BO466" s="64">
        <f>IFERROR(1/J466*(X466/H466),"0")</f>
        <v>0</v>
      </c>
      <c r="BP466" s="64">
        <f>IFERROR(1/J466*(Y466/H466),"0")</f>
        <v>0</v>
      </c>
    </row>
    <row r="467" spans="1:68" ht="27" customHeight="1" x14ac:dyDescent="0.25">
      <c r="A467" s="54" t="s">
        <v>723</v>
      </c>
      <c r="B467" s="54" t="s">
        <v>724</v>
      </c>
      <c r="C467" s="31">
        <v>4301011584</v>
      </c>
      <c r="D467" s="558">
        <v>4640242180564</v>
      </c>
      <c r="E467" s="559"/>
      <c r="F467" s="550">
        <v>1.5</v>
      </c>
      <c r="G467" s="32">
        <v>8</v>
      </c>
      <c r="H467" s="550">
        <v>12</v>
      </c>
      <c r="I467" s="550">
        <v>12.41</v>
      </c>
      <c r="J467" s="32">
        <v>64</v>
      </c>
      <c r="K467" s="32" t="s">
        <v>104</v>
      </c>
      <c r="L467" s="32" t="s">
        <v>105</v>
      </c>
      <c r="M467" s="33" t="s">
        <v>106</v>
      </c>
      <c r="N467" s="33"/>
      <c r="O467" s="32">
        <v>50</v>
      </c>
      <c r="P467" s="689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467" s="556"/>
      <c r="R467" s="556"/>
      <c r="S467" s="556"/>
      <c r="T467" s="557"/>
      <c r="U467" s="34"/>
      <c r="V467" s="34"/>
      <c r="W467" s="35" t="s">
        <v>69</v>
      </c>
      <c r="X467" s="551">
        <v>120</v>
      </c>
      <c r="Y467" s="552">
        <f>IFERROR(IF(X467="",0,CEILING((X467/$H467),1)*$H467),"")</f>
        <v>120</v>
      </c>
      <c r="Z467" s="36">
        <f>IFERROR(IF(Y467=0,"",ROUNDUP(Y467/H467,0)*0.01898),"")</f>
        <v>0.1898</v>
      </c>
      <c r="AA467" s="56"/>
      <c r="AB467" s="57"/>
      <c r="AC467" s="525" t="s">
        <v>725</v>
      </c>
      <c r="AG467" s="64"/>
      <c r="AJ467" s="68" t="s">
        <v>92</v>
      </c>
      <c r="AK467" s="68">
        <v>96</v>
      </c>
      <c r="BB467" s="526" t="s">
        <v>1</v>
      </c>
      <c r="BM467" s="64">
        <f>IFERROR(X467*I467/H467,"0")</f>
        <v>124.10000000000001</v>
      </c>
      <c r="BN467" s="64">
        <f>IFERROR(Y467*I467/H467,"0")</f>
        <v>124.10000000000001</v>
      </c>
      <c r="BO467" s="64">
        <f>IFERROR(1/J467*(X467/H467),"0")</f>
        <v>0.15625</v>
      </c>
      <c r="BP467" s="64">
        <f>IFERROR(1/J467*(Y467/H467),"0")</f>
        <v>0.15625</v>
      </c>
    </row>
    <row r="468" spans="1:68" ht="27" customHeight="1" x14ac:dyDescent="0.25">
      <c r="A468" s="54" t="s">
        <v>726</v>
      </c>
      <c r="B468" s="54" t="s">
        <v>727</v>
      </c>
      <c r="C468" s="31">
        <v>4301011764</v>
      </c>
      <c r="D468" s="558">
        <v>4640242181189</v>
      </c>
      <c r="E468" s="559"/>
      <c r="F468" s="550">
        <v>0.4</v>
      </c>
      <c r="G468" s="32">
        <v>10</v>
      </c>
      <c r="H468" s="550">
        <v>4</v>
      </c>
      <c r="I468" s="550">
        <v>4.1900000000000004</v>
      </c>
      <c r="J468" s="32">
        <v>132</v>
      </c>
      <c r="K468" s="32" t="s">
        <v>110</v>
      </c>
      <c r="L468" s="32"/>
      <c r="M468" s="33" t="s">
        <v>80</v>
      </c>
      <c r="N468" s="33"/>
      <c r="O468" s="32">
        <v>55</v>
      </c>
      <c r="P468" s="600" t="str">
        <f>HYPERLINK("https://abi.ru/products/Охлажденные/Зареченские продукты/Зареченские продукты/Вареные колбасы/P004002/","Вареные колбасы «Молочная» Фикс.вес 0,4 п/а ТМ «Зареченские»")</f>
        <v>Вареные колбасы «Молочная» Фикс.вес 0,4 п/а ТМ «Зареченские»</v>
      </c>
      <c r="Q468" s="556"/>
      <c r="R468" s="556"/>
      <c r="S468" s="556"/>
      <c r="T468" s="557"/>
      <c r="U468" s="34"/>
      <c r="V468" s="34"/>
      <c r="W468" s="35" t="s">
        <v>69</v>
      </c>
      <c r="X468" s="551">
        <v>0</v>
      </c>
      <c r="Y468" s="552">
        <f>IFERROR(IF(X468="",0,CEILING((X468/$H468),1)*$H468),"")</f>
        <v>0</v>
      </c>
      <c r="Z468" s="36" t="str">
        <f>IFERROR(IF(Y468=0,"",ROUNDUP(Y468/H468,0)*0.00902),"")</f>
        <v/>
      </c>
      <c r="AA468" s="56"/>
      <c r="AB468" s="57"/>
      <c r="AC468" s="527" t="s">
        <v>719</v>
      </c>
      <c r="AG468" s="64"/>
      <c r="AJ468" s="68"/>
      <c r="AK468" s="68">
        <v>0</v>
      </c>
      <c r="BB468" s="528" t="s">
        <v>1</v>
      </c>
      <c r="BM468" s="64">
        <f>IFERROR(X468*I468/H468,"0")</f>
        <v>0</v>
      </c>
      <c r="BN468" s="64">
        <f>IFERROR(Y468*I468/H468,"0")</f>
        <v>0</v>
      </c>
      <c r="BO468" s="64">
        <f>IFERROR(1/J468*(X468/H468),"0")</f>
        <v>0</v>
      </c>
      <c r="BP468" s="64">
        <f>IFERROR(1/J468*(Y468/H468),"0")</f>
        <v>0</v>
      </c>
    </row>
    <row r="469" spans="1:68" x14ac:dyDescent="0.2">
      <c r="A469" s="563"/>
      <c r="B469" s="564"/>
      <c r="C469" s="564"/>
      <c r="D469" s="564"/>
      <c r="E469" s="564"/>
      <c r="F469" s="564"/>
      <c r="G469" s="564"/>
      <c r="H469" s="564"/>
      <c r="I469" s="564"/>
      <c r="J469" s="564"/>
      <c r="K469" s="564"/>
      <c r="L469" s="564"/>
      <c r="M469" s="564"/>
      <c r="N469" s="564"/>
      <c r="O469" s="565"/>
      <c r="P469" s="570" t="s">
        <v>75</v>
      </c>
      <c r="Q469" s="571"/>
      <c r="R469" s="571"/>
      <c r="S469" s="571"/>
      <c r="T469" s="571"/>
      <c r="U469" s="571"/>
      <c r="V469" s="572"/>
      <c r="W469" s="37" t="s">
        <v>76</v>
      </c>
      <c r="X469" s="553">
        <f>IFERROR(X465/H465,"0")+IFERROR(X466/H466,"0")+IFERROR(X467/H467,"0")+IFERROR(X468/H468,"0")</f>
        <v>10</v>
      </c>
      <c r="Y469" s="553">
        <f>IFERROR(Y465/H465,"0")+IFERROR(Y466/H466,"0")+IFERROR(Y467/H467,"0")+IFERROR(Y468/H468,"0")</f>
        <v>10</v>
      </c>
      <c r="Z469" s="553">
        <f>IFERROR(IF(Z465="",0,Z465),"0")+IFERROR(IF(Z466="",0,Z466),"0")+IFERROR(IF(Z467="",0,Z467),"0")+IFERROR(IF(Z468="",0,Z468),"0")</f>
        <v>0.1898</v>
      </c>
      <c r="AA469" s="554"/>
      <c r="AB469" s="554"/>
      <c r="AC469" s="554"/>
    </row>
    <row r="470" spans="1:68" x14ac:dyDescent="0.2">
      <c r="A470" s="564"/>
      <c r="B470" s="564"/>
      <c r="C470" s="564"/>
      <c r="D470" s="564"/>
      <c r="E470" s="564"/>
      <c r="F470" s="564"/>
      <c r="G470" s="564"/>
      <c r="H470" s="564"/>
      <c r="I470" s="564"/>
      <c r="J470" s="564"/>
      <c r="K470" s="564"/>
      <c r="L470" s="564"/>
      <c r="M470" s="564"/>
      <c r="N470" s="564"/>
      <c r="O470" s="565"/>
      <c r="P470" s="570" t="s">
        <v>75</v>
      </c>
      <c r="Q470" s="571"/>
      <c r="R470" s="571"/>
      <c r="S470" s="571"/>
      <c r="T470" s="571"/>
      <c r="U470" s="571"/>
      <c r="V470" s="572"/>
      <c r="W470" s="37" t="s">
        <v>69</v>
      </c>
      <c r="X470" s="553">
        <f>IFERROR(SUM(X465:X468),"0")</f>
        <v>120</v>
      </c>
      <c r="Y470" s="553">
        <f>IFERROR(SUM(Y465:Y468),"0")</f>
        <v>120</v>
      </c>
      <c r="Z470" s="37"/>
      <c r="AA470" s="554"/>
      <c r="AB470" s="554"/>
      <c r="AC470" s="554"/>
    </row>
    <row r="471" spans="1:68" ht="14.25" customHeight="1" x14ac:dyDescent="0.25">
      <c r="A471" s="567" t="s">
        <v>136</v>
      </c>
      <c r="B471" s="564"/>
      <c r="C471" s="564"/>
      <c r="D471" s="564"/>
      <c r="E471" s="564"/>
      <c r="F471" s="564"/>
      <c r="G471" s="564"/>
      <c r="H471" s="564"/>
      <c r="I471" s="564"/>
      <c r="J471" s="564"/>
      <c r="K471" s="564"/>
      <c r="L471" s="564"/>
      <c r="M471" s="564"/>
      <c r="N471" s="564"/>
      <c r="O471" s="564"/>
      <c r="P471" s="564"/>
      <c r="Q471" s="564"/>
      <c r="R471" s="564"/>
      <c r="S471" s="564"/>
      <c r="T471" s="564"/>
      <c r="U471" s="564"/>
      <c r="V471" s="564"/>
      <c r="W471" s="564"/>
      <c r="X471" s="564"/>
      <c r="Y471" s="564"/>
      <c r="Z471" s="564"/>
      <c r="AA471" s="545"/>
      <c r="AB471" s="545"/>
      <c r="AC471" s="545"/>
    </row>
    <row r="472" spans="1:68" ht="27" customHeight="1" x14ac:dyDescent="0.25">
      <c r="A472" s="54" t="s">
        <v>728</v>
      </c>
      <c r="B472" s="54" t="s">
        <v>729</v>
      </c>
      <c r="C472" s="31">
        <v>4301020400</v>
      </c>
      <c r="D472" s="558">
        <v>4640242180519</v>
      </c>
      <c r="E472" s="559"/>
      <c r="F472" s="550">
        <v>1.5</v>
      </c>
      <c r="G472" s="32">
        <v>8</v>
      </c>
      <c r="H472" s="550">
        <v>12</v>
      </c>
      <c r="I472" s="550">
        <v>12.41</v>
      </c>
      <c r="J472" s="32">
        <v>64</v>
      </c>
      <c r="K472" s="32" t="s">
        <v>104</v>
      </c>
      <c r="L472" s="32"/>
      <c r="M472" s="33" t="s">
        <v>106</v>
      </c>
      <c r="N472" s="33"/>
      <c r="O472" s="32">
        <v>50</v>
      </c>
      <c r="P472" s="774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472" s="556"/>
      <c r="R472" s="556"/>
      <c r="S472" s="556"/>
      <c r="T472" s="557"/>
      <c r="U472" s="34"/>
      <c r="V472" s="34"/>
      <c r="W472" s="35" t="s">
        <v>69</v>
      </c>
      <c r="X472" s="551">
        <v>0</v>
      </c>
      <c r="Y472" s="552">
        <f>IFERROR(IF(X472="",0,CEILING((X472/$H472),1)*$H472),"")</f>
        <v>0</v>
      </c>
      <c r="Z472" s="36" t="str">
        <f>IFERROR(IF(Y472=0,"",ROUNDUP(Y472/H472,0)*0.01898),"")</f>
        <v/>
      </c>
      <c r="AA472" s="56"/>
      <c r="AB472" s="57"/>
      <c r="AC472" s="529" t="s">
        <v>730</v>
      </c>
      <c r="AG472" s="64"/>
      <c r="AJ472" s="68"/>
      <c r="AK472" s="68">
        <v>0</v>
      </c>
      <c r="BB472" s="530" t="s">
        <v>1</v>
      </c>
      <c r="BM472" s="64">
        <f>IFERROR(X472*I472/H472,"0")</f>
        <v>0</v>
      </c>
      <c r="BN472" s="64">
        <f>IFERROR(Y472*I472/H472,"0")</f>
        <v>0</v>
      </c>
      <c r="BO472" s="64">
        <f>IFERROR(1/J472*(X472/H472),"0")</f>
        <v>0</v>
      </c>
      <c r="BP472" s="64">
        <f>IFERROR(1/J472*(Y472/H472),"0")</f>
        <v>0</v>
      </c>
    </row>
    <row r="473" spans="1:68" ht="27" customHeight="1" x14ac:dyDescent="0.25">
      <c r="A473" s="54" t="s">
        <v>731</v>
      </c>
      <c r="B473" s="54" t="s">
        <v>732</v>
      </c>
      <c r="C473" s="31">
        <v>4301020260</v>
      </c>
      <c r="D473" s="558">
        <v>4640242180526</v>
      </c>
      <c r="E473" s="559"/>
      <c r="F473" s="550">
        <v>1.8</v>
      </c>
      <c r="G473" s="32">
        <v>6</v>
      </c>
      <c r="H473" s="550">
        <v>10.8</v>
      </c>
      <c r="I473" s="550">
        <v>11.21</v>
      </c>
      <c r="J473" s="32">
        <v>64</v>
      </c>
      <c r="K473" s="32" t="s">
        <v>104</v>
      </c>
      <c r="L473" s="32"/>
      <c r="M473" s="33" t="s">
        <v>106</v>
      </c>
      <c r="N473" s="33"/>
      <c r="O473" s="32">
        <v>50</v>
      </c>
      <c r="P473" s="625" t="str">
        <f>HYPERLINK("https://abi.ru/products/Охлажденные/Зареченские продукты/Зареченские продукты/Ветчины/P003588/","Ветчины «Нежная» Весовой п/а ТМ «Зареченские» большой батон")</f>
        <v>Ветчины «Нежная» Весовой п/а ТМ «Зареченские» большой батон</v>
      </c>
      <c r="Q473" s="556"/>
      <c r="R473" s="556"/>
      <c r="S473" s="556"/>
      <c r="T473" s="557"/>
      <c r="U473" s="34"/>
      <c r="V473" s="34"/>
      <c r="W473" s="35" t="s">
        <v>69</v>
      </c>
      <c r="X473" s="551">
        <v>0</v>
      </c>
      <c r="Y473" s="552">
        <f>IFERROR(IF(X473="",0,CEILING((X473/$H473),1)*$H473),"")</f>
        <v>0</v>
      </c>
      <c r="Z473" s="36" t="str">
        <f>IFERROR(IF(Y473=0,"",ROUNDUP(Y473/H473,0)*0.01898),"")</f>
        <v/>
      </c>
      <c r="AA473" s="56"/>
      <c r="AB473" s="57"/>
      <c r="AC473" s="531" t="s">
        <v>733</v>
      </c>
      <c r="AG473" s="64"/>
      <c r="AJ473" s="68"/>
      <c r="AK473" s="68">
        <v>0</v>
      </c>
      <c r="BB473" s="532" t="s">
        <v>1</v>
      </c>
      <c r="BM473" s="64">
        <f>IFERROR(X473*I473/H473,"0")</f>
        <v>0</v>
      </c>
      <c r="BN473" s="64">
        <f>IFERROR(Y473*I473/H473,"0")</f>
        <v>0</v>
      </c>
      <c r="BO473" s="64">
        <f>IFERROR(1/J473*(X473/H473),"0")</f>
        <v>0</v>
      </c>
      <c r="BP473" s="64">
        <f>IFERROR(1/J473*(Y473/H473),"0")</f>
        <v>0</v>
      </c>
    </row>
    <row r="474" spans="1:68" x14ac:dyDescent="0.2">
      <c r="A474" s="563"/>
      <c r="B474" s="564"/>
      <c r="C474" s="564"/>
      <c r="D474" s="564"/>
      <c r="E474" s="564"/>
      <c r="F474" s="564"/>
      <c r="G474" s="564"/>
      <c r="H474" s="564"/>
      <c r="I474" s="564"/>
      <c r="J474" s="564"/>
      <c r="K474" s="564"/>
      <c r="L474" s="564"/>
      <c r="M474" s="564"/>
      <c r="N474" s="564"/>
      <c r="O474" s="565"/>
      <c r="P474" s="570" t="s">
        <v>75</v>
      </c>
      <c r="Q474" s="571"/>
      <c r="R474" s="571"/>
      <c r="S474" s="571"/>
      <c r="T474" s="571"/>
      <c r="U474" s="571"/>
      <c r="V474" s="572"/>
      <c r="W474" s="37" t="s">
        <v>76</v>
      </c>
      <c r="X474" s="553">
        <f>IFERROR(X472/H472,"0")+IFERROR(X473/H473,"0")</f>
        <v>0</v>
      </c>
      <c r="Y474" s="553">
        <f>IFERROR(Y472/H472,"0")+IFERROR(Y473/H473,"0")</f>
        <v>0</v>
      </c>
      <c r="Z474" s="553">
        <f>IFERROR(IF(Z472="",0,Z472),"0")+IFERROR(IF(Z473="",0,Z473),"0")</f>
        <v>0</v>
      </c>
      <c r="AA474" s="554"/>
      <c r="AB474" s="554"/>
      <c r="AC474" s="554"/>
    </row>
    <row r="475" spans="1:68" x14ac:dyDescent="0.2">
      <c r="A475" s="564"/>
      <c r="B475" s="564"/>
      <c r="C475" s="564"/>
      <c r="D475" s="564"/>
      <c r="E475" s="564"/>
      <c r="F475" s="564"/>
      <c r="G475" s="564"/>
      <c r="H475" s="564"/>
      <c r="I475" s="564"/>
      <c r="J475" s="564"/>
      <c r="K475" s="564"/>
      <c r="L475" s="564"/>
      <c r="M475" s="564"/>
      <c r="N475" s="564"/>
      <c r="O475" s="565"/>
      <c r="P475" s="570" t="s">
        <v>75</v>
      </c>
      <c r="Q475" s="571"/>
      <c r="R475" s="571"/>
      <c r="S475" s="571"/>
      <c r="T475" s="571"/>
      <c r="U475" s="571"/>
      <c r="V475" s="572"/>
      <c r="W475" s="37" t="s">
        <v>69</v>
      </c>
      <c r="X475" s="553">
        <f>IFERROR(SUM(X472:X473),"0")</f>
        <v>0</v>
      </c>
      <c r="Y475" s="553">
        <f>IFERROR(SUM(Y472:Y473),"0")</f>
        <v>0</v>
      </c>
      <c r="Z475" s="37"/>
      <c r="AA475" s="554"/>
      <c r="AB475" s="554"/>
      <c r="AC475" s="554"/>
    </row>
    <row r="476" spans="1:68" ht="14.25" customHeight="1" x14ac:dyDescent="0.25">
      <c r="A476" s="567" t="s">
        <v>64</v>
      </c>
      <c r="B476" s="564"/>
      <c r="C476" s="564"/>
      <c r="D476" s="564"/>
      <c r="E476" s="564"/>
      <c r="F476" s="564"/>
      <c r="G476" s="564"/>
      <c r="H476" s="564"/>
      <c r="I476" s="564"/>
      <c r="J476" s="564"/>
      <c r="K476" s="564"/>
      <c r="L476" s="564"/>
      <c r="M476" s="564"/>
      <c r="N476" s="564"/>
      <c r="O476" s="564"/>
      <c r="P476" s="564"/>
      <c r="Q476" s="564"/>
      <c r="R476" s="564"/>
      <c r="S476" s="564"/>
      <c r="T476" s="564"/>
      <c r="U476" s="564"/>
      <c r="V476" s="564"/>
      <c r="W476" s="564"/>
      <c r="X476" s="564"/>
      <c r="Y476" s="564"/>
      <c r="Z476" s="564"/>
      <c r="AA476" s="545"/>
      <c r="AB476" s="545"/>
      <c r="AC476" s="545"/>
    </row>
    <row r="477" spans="1:68" ht="27" customHeight="1" x14ac:dyDescent="0.25">
      <c r="A477" s="54" t="s">
        <v>734</v>
      </c>
      <c r="B477" s="54" t="s">
        <v>735</v>
      </c>
      <c r="C477" s="31">
        <v>4301031467</v>
      </c>
      <c r="D477" s="558">
        <v>4640242180595</v>
      </c>
      <c r="E477" s="559"/>
      <c r="F477" s="550">
        <v>0.8</v>
      </c>
      <c r="G477" s="32">
        <v>6</v>
      </c>
      <c r="H477" s="550">
        <v>4.8</v>
      </c>
      <c r="I477" s="550">
        <v>5.05</v>
      </c>
      <c r="J477" s="32">
        <v>132</v>
      </c>
      <c r="K477" s="32" t="s">
        <v>110</v>
      </c>
      <c r="L477" s="32"/>
      <c r="M477" s="33" t="s">
        <v>68</v>
      </c>
      <c r="N477" s="33"/>
      <c r="O477" s="32">
        <v>40</v>
      </c>
      <c r="P477" s="757" t="str">
        <f>HYPERLINK("https://abi.ru/products/Охлажденные/Зареченские продукты/Зареченские продукты/Копченые колбасы/P005250/","Копченые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477" s="556"/>
      <c r="R477" s="556"/>
      <c r="S477" s="556"/>
      <c r="T477" s="557"/>
      <c r="U477" s="34"/>
      <c r="V477" s="34"/>
      <c r="W477" s="35" t="s">
        <v>69</v>
      </c>
      <c r="X477" s="551">
        <v>600</v>
      </c>
      <c r="Y477" s="552">
        <f>IFERROR(IF(X477="",0,CEILING((X477/$H477),1)*$H477),"")</f>
        <v>600</v>
      </c>
      <c r="Z477" s="36">
        <f>IFERROR(IF(Y477=0,"",ROUNDUP(Y477/H477,0)*0.00902),"")</f>
        <v>1.1274999999999999</v>
      </c>
      <c r="AA477" s="56"/>
      <c r="AB477" s="57"/>
      <c r="AC477" s="533" t="s">
        <v>736</v>
      </c>
      <c r="AG477" s="64"/>
      <c r="AJ477" s="68"/>
      <c r="AK477" s="68">
        <v>0</v>
      </c>
      <c r="BB477" s="534" t="s">
        <v>1</v>
      </c>
      <c r="BM477" s="64">
        <f>IFERROR(X477*I477/H477,"0")</f>
        <v>631.25</v>
      </c>
      <c r="BN477" s="64">
        <f>IFERROR(Y477*I477/H477,"0")</f>
        <v>631.25</v>
      </c>
      <c r="BO477" s="64">
        <f>IFERROR(1/J477*(X477/H477),"0")</f>
        <v>0.94696969696969702</v>
      </c>
      <c r="BP477" s="64">
        <f>IFERROR(1/J477*(Y477/H477),"0")</f>
        <v>0.94696969696969702</v>
      </c>
    </row>
    <row r="478" spans="1:68" x14ac:dyDescent="0.2">
      <c r="A478" s="563"/>
      <c r="B478" s="564"/>
      <c r="C478" s="564"/>
      <c r="D478" s="564"/>
      <c r="E478" s="564"/>
      <c r="F478" s="564"/>
      <c r="G478" s="564"/>
      <c r="H478" s="564"/>
      <c r="I478" s="564"/>
      <c r="J478" s="564"/>
      <c r="K478" s="564"/>
      <c r="L478" s="564"/>
      <c r="M478" s="564"/>
      <c r="N478" s="564"/>
      <c r="O478" s="565"/>
      <c r="P478" s="570" t="s">
        <v>75</v>
      </c>
      <c r="Q478" s="571"/>
      <c r="R478" s="571"/>
      <c r="S478" s="571"/>
      <c r="T478" s="571"/>
      <c r="U478" s="571"/>
      <c r="V478" s="572"/>
      <c r="W478" s="37" t="s">
        <v>76</v>
      </c>
      <c r="X478" s="553">
        <f>IFERROR(X477/H477,"0")</f>
        <v>125</v>
      </c>
      <c r="Y478" s="553">
        <f>IFERROR(Y477/H477,"0")</f>
        <v>125</v>
      </c>
      <c r="Z478" s="553">
        <f>IFERROR(IF(Z477="",0,Z477),"0")</f>
        <v>1.1274999999999999</v>
      </c>
      <c r="AA478" s="554"/>
      <c r="AB478" s="554"/>
      <c r="AC478" s="554"/>
    </row>
    <row r="479" spans="1:68" x14ac:dyDescent="0.2">
      <c r="A479" s="564"/>
      <c r="B479" s="564"/>
      <c r="C479" s="564"/>
      <c r="D479" s="564"/>
      <c r="E479" s="564"/>
      <c r="F479" s="564"/>
      <c r="G479" s="564"/>
      <c r="H479" s="564"/>
      <c r="I479" s="564"/>
      <c r="J479" s="564"/>
      <c r="K479" s="564"/>
      <c r="L479" s="564"/>
      <c r="M479" s="564"/>
      <c r="N479" s="564"/>
      <c r="O479" s="565"/>
      <c r="P479" s="570" t="s">
        <v>75</v>
      </c>
      <c r="Q479" s="571"/>
      <c r="R479" s="571"/>
      <c r="S479" s="571"/>
      <c r="T479" s="571"/>
      <c r="U479" s="571"/>
      <c r="V479" s="572"/>
      <c r="W479" s="37" t="s">
        <v>69</v>
      </c>
      <c r="X479" s="553">
        <f>IFERROR(SUM(X477:X477),"0")</f>
        <v>600</v>
      </c>
      <c r="Y479" s="553">
        <f>IFERROR(SUM(Y477:Y477),"0")</f>
        <v>600</v>
      </c>
      <c r="Z479" s="37"/>
      <c r="AA479" s="554"/>
      <c r="AB479" s="554"/>
      <c r="AC479" s="554"/>
    </row>
    <row r="480" spans="1:68" ht="14.25" customHeight="1" x14ac:dyDescent="0.25">
      <c r="A480" s="567" t="s">
        <v>77</v>
      </c>
      <c r="B480" s="564"/>
      <c r="C480" s="564"/>
      <c r="D480" s="564"/>
      <c r="E480" s="564"/>
      <c r="F480" s="564"/>
      <c r="G480" s="564"/>
      <c r="H480" s="564"/>
      <c r="I480" s="564"/>
      <c r="J480" s="564"/>
      <c r="K480" s="564"/>
      <c r="L480" s="564"/>
      <c r="M480" s="564"/>
      <c r="N480" s="564"/>
      <c r="O480" s="564"/>
      <c r="P480" s="564"/>
      <c r="Q480" s="564"/>
      <c r="R480" s="564"/>
      <c r="S480" s="564"/>
      <c r="T480" s="564"/>
      <c r="U480" s="564"/>
      <c r="V480" s="564"/>
      <c r="W480" s="564"/>
      <c r="X480" s="564"/>
      <c r="Y480" s="564"/>
      <c r="Z480" s="564"/>
      <c r="AA480" s="545"/>
      <c r="AB480" s="545"/>
      <c r="AC480" s="545"/>
    </row>
    <row r="481" spans="1:68" ht="27" customHeight="1" x14ac:dyDescent="0.25">
      <c r="A481" s="54" t="s">
        <v>737</v>
      </c>
      <c r="B481" s="54" t="s">
        <v>738</v>
      </c>
      <c r="C481" s="31">
        <v>4301052046</v>
      </c>
      <c r="D481" s="558">
        <v>4640242180533</v>
      </c>
      <c r="E481" s="559"/>
      <c r="F481" s="550">
        <v>1.5</v>
      </c>
      <c r="G481" s="32">
        <v>6</v>
      </c>
      <c r="H481" s="550">
        <v>9</v>
      </c>
      <c r="I481" s="550">
        <v>9.4939999999999998</v>
      </c>
      <c r="J481" s="32">
        <v>64</v>
      </c>
      <c r="K481" s="32" t="s">
        <v>104</v>
      </c>
      <c r="L481" s="32" t="s">
        <v>105</v>
      </c>
      <c r="M481" s="33" t="s">
        <v>86</v>
      </c>
      <c r="N481" s="33"/>
      <c r="O481" s="32">
        <v>45</v>
      </c>
      <c r="P481" s="665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481" s="556"/>
      <c r="R481" s="556"/>
      <c r="S481" s="556"/>
      <c r="T481" s="557"/>
      <c r="U481" s="34"/>
      <c r="V481" s="34"/>
      <c r="W481" s="35" t="s">
        <v>69</v>
      </c>
      <c r="X481" s="551">
        <v>0</v>
      </c>
      <c r="Y481" s="552">
        <f>IFERROR(IF(X481="",0,CEILING((X481/$H481),1)*$H481),"")</f>
        <v>0</v>
      </c>
      <c r="Z481" s="36" t="str">
        <f>IFERROR(IF(Y481=0,"",ROUNDUP(Y481/H481,0)*0.01898),"")</f>
        <v/>
      </c>
      <c r="AA481" s="56"/>
      <c r="AB481" s="57"/>
      <c r="AC481" s="535" t="s">
        <v>739</v>
      </c>
      <c r="AG481" s="64"/>
      <c r="AJ481" s="68" t="s">
        <v>92</v>
      </c>
      <c r="AK481" s="68">
        <v>72</v>
      </c>
      <c r="BB481" s="536" t="s">
        <v>1</v>
      </c>
      <c r="BM481" s="64">
        <f>IFERROR(X481*I481/H481,"0")</f>
        <v>0</v>
      </c>
      <c r="BN481" s="64">
        <f>IFERROR(Y481*I481/H481,"0")</f>
        <v>0</v>
      </c>
      <c r="BO481" s="64">
        <f>IFERROR(1/J481*(X481/H481),"0")</f>
        <v>0</v>
      </c>
      <c r="BP481" s="64">
        <f>IFERROR(1/J481*(Y481/H481),"0")</f>
        <v>0</v>
      </c>
    </row>
    <row r="482" spans="1:68" x14ac:dyDescent="0.2">
      <c r="A482" s="563"/>
      <c r="B482" s="564"/>
      <c r="C482" s="564"/>
      <c r="D482" s="564"/>
      <c r="E482" s="564"/>
      <c r="F482" s="564"/>
      <c r="G482" s="564"/>
      <c r="H482" s="564"/>
      <c r="I482" s="564"/>
      <c r="J482" s="564"/>
      <c r="K482" s="564"/>
      <c r="L482" s="564"/>
      <c r="M482" s="564"/>
      <c r="N482" s="564"/>
      <c r="O482" s="565"/>
      <c r="P482" s="570" t="s">
        <v>75</v>
      </c>
      <c r="Q482" s="571"/>
      <c r="R482" s="571"/>
      <c r="S482" s="571"/>
      <c r="T482" s="571"/>
      <c r="U482" s="571"/>
      <c r="V482" s="572"/>
      <c r="W482" s="37" t="s">
        <v>76</v>
      </c>
      <c r="X482" s="553">
        <f>IFERROR(X481/H481,"0")</f>
        <v>0</v>
      </c>
      <c r="Y482" s="553">
        <f>IFERROR(Y481/H481,"0")</f>
        <v>0</v>
      </c>
      <c r="Z482" s="553">
        <f>IFERROR(IF(Z481="",0,Z481),"0")</f>
        <v>0</v>
      </c>
      <c r="AA482" s="554"/>
      <c r="AB482" s="554"/>
      <c r="AC482" s="554"/>
    </row>
    <row r="483" spans="1:68" x14ac:dyDescent="0.2">
      <c r="A483" s="564"/>
      <c r="B483" s="564"/>
      <c r="C483" s="564"/>
      <c r="D483" s="564"/>
      <c r="E483" s="564"/>
      <c r="F483" s="564"/>
      <c r="G483" s="564"/>
      <c r="H483" s="564"/>
      <c r="I483" s="564"/>
      <c r="J483" s="564"/>
      <c r="K483" s="564"/>
      <c r="L483" s="564"/>
      <c r="M483" s="564"/>
      <c r="N483" s="564"/>
      <c r="O483" s="565"/>
      <c r="P483" s="570" t="s">
        <v>75</v>
      </c>
      <c r="Q483" s="571"/>
      <c r="R483" s="571"/>
      <c r="S483" s="571"/>
      <c r="T483" s="571"/>
      <c r="U483" s="571"/>
      <c r="V483" s="572"/>
      <c r="W483" s="37" t="s">
        <v>69</v>
      </c>
      <c r="X483" s="553">
        <f>IFERROR(SUM(X481:X481),"0")</f>
        <v>0</v>
      </c>
      <c r="Y483" s="553">
        <f>IFERROR(SUM(Y481:Y481),"0")</f>
        <v>0</v>
      </c>
      <c r="Z483" s="37"/>
      <c r="AA483" s="554"/>
      <c r="AB483" s="554"/>
      <c r="AC483" s="554"/>
    </row>
    <row r="484" spans="1:68" ht="14.25" customHeight="1" x14ac:dyDescent="0.25">
      <c r="A484" s="567" t="s">
        <v>161</v>
      </c>
      <c r="B484" s="564"/>
      <c r="C484" s="564"/>
      <c r="D484" s="564"/>
      <c r="E484" s="564"/>
      <c r="F484" s="564"/>
      <c r="G484" s="564"/>
      <c r="H484" s="564"/>
      <c r="I484" s="564"/>
      <c r="J484" s="564"/>
      <c r="K484" s="564"/>
      <c r="L484" s="564"/>
      <c r="M484" s="564"/>
      <c r="N484" s="564"/>
      <c r="O484" s="564"/>
      <c r="P484" s="564"/>
      <c r="Q484" s="564"/>
      <c r="R484" s="564"/>
      <c r="S484" s="564"/>
      <c r="T484" s="564"/>
      <c r="U484" s="564"/>
      <c r="V484" s="564"/>
      <c r="W484" s="564"/>
      <c r="X484" s="564"/>
      <c r="Y484" s="564"/>
      <c r="Z484" s="564"/>
      <c r="AA484" s="545"/>
      <c r="AB484" s="545"/>
      <c r="AC484" s="545"/>
    </row>
    <row r="485" spans="1:68" ht="27" customHeight="1" x14ac:dyDescent="0.25">
      <c r="A485" s="54" t="s">
        <v>740</v>
      </c>
      <c r="B485" s="54" t="s">
        <v>741</v>
      </c>
      <c r="C485" s="31">
        <v>4301060491</v>
      </c>
      <c r="D485" s="558">
        <v>4640242180120</v>
      </c>
      <c r="E485" s="559"/>
      <c r="F485" s="550">
        <v>1.5</v>
      </c>
      <c r="G485" s="32">
        <v>6</v>
      </c>
      <c r="H485" s="550">
        <v>9</v>
      </c>
      <c r="I485" s="550">
        <v>9.41</v>
      </c>
      <c r="J485" s="32">
        <v>64</v>
      </c>
      <c r="K485" s="32" t="s">
        <v>104</v>
      </c>
      <c r="L485" s="32"/>
      <c r="M485" s="33" t="s">
        <v>80</v>
      </c>
      <c r="N485" s="33"/>
      <c r="O485" s="32">
        <v>40</v>
      </c>
      <c r="P485" s="771" t="str">
        <f>HYPERLINK("https://abi.ru/products/Охлажденные/Зареченские продукты/Зареченские продукты/Сардельки/P004925/","Сардельки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485" s="556"/>
      <c r="R485" s="556"/>
      <c r="S485" s="556"/>
      <c r="T485" s="557"/>
      <c r="U485" s="34"/>
      <c r="V485" s="34"/>
      <c r="W485" s="35" t="s">
        <v>69</v>
      </c>
      <c r="X485" s="551">
        <v>0</v>
      </c>
      <c r="Y485" s="552">
        <f>IFERROR(IF(X485="",0,CEILING((X485/$H485),1)*$H485),"")</f>
        <v>0</v>
      </c>
      <c r="Z485" s="36" t="str">
        <f>IFERROR(IF(Y485=0,"",ROUNDUP(Y485/H485,0)*0.01898),"")</f>
        <v/>
      </c>
      <c r="AA485" s="56"/>
      <c r="AB485" s="57"/>
      <c r="AC485" s="537" t="s">
        <v>742</v>
      </c>
      <c r="AG485" s="64"/>
      <c r="AJ485" s="68"/>
      <c r="AK485" s="68">
        <v>0</v>
      </c>
      <c r="BB485" s="538" t="s">
        <v>1</v>
      </c>
      <c r="BM485" s="64">
        <f>IFERROR(X485*I485/H485,"0")</f>
        <v>0</v>
      </c>
      <c r="BN485" s="64">
        <f>IFERROR(Y485*I485/H485,"0")</f>
        <v>0</v>
      </c>
      <c r="BO485" s="64">
        <f>IFERROR(1/J485*(X485/H485),"0")</f>
        <v>0</v>
      </c>
      <c r="BP485" s="64">
        <f>IFERROR(1/J485*(Y485/H485),"0")</f>
        <v>0</v>
      </c>
    </row>
    <row r="486" spans="1:68" ht="27" customHeight="1" x14ac:dyDescent="0.25">
      <c r="A486" s="54" t="s">
        <v>743</v>
      </c>
      <c r="B486" s="54" t="s">
        <v>744</v>
      </c>
      <c r="C486" s="31">
        <v>4301060493</v>
      </c>
      <c r="D486" s="558">
        <v>4640242180137</v>
      </c>
      <c r="E486" s="559"/>
      <c r="F486" s="550">
        <v>1.5</v>
      </c>
      <c r="G486" s="32">
        <v>6</v>
      </c>
      <c r="H486" s="550">
        <v>9</v>
      </c>
      <c r="I486" s="550">
        <v>9.41</v>
      </c>
      <c r="J486" s="32">
        <v>64</v>
      </c>
      <c r="K486" s="32" t="s">
        <v>104</v>
      </c>
      <c r="L486" s="32"/>
      <c r="M486" s="33" t="s">
        <v>80</v>
      </c>
      <c r="N486" s="33"/>
      <c r="O486" s="32">
        <v>40</v>
      </c>
      <c r="P486" s="840" t="str">
        <f>HYPERLINK("https://abi.ru/products/Охлажденные/Зареченские продукты/Зареченские продукты/Сардельки/P004927/","Сардельки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486" s="556"/>
      <c r="R486" s="556"/>
      <c r="S486" s="556"/>
      <c r="T486" s="557"/>
      <c r="U486" s="34"/>
      <c r="V486" s="34"/>
      <c r="W486" s="35" t="s">
        <v>69</v>
      </c>
      <c r="X486" s="551">
        <v>0</v>
      </c>
      <c r="Y486" s="552">
        <f>IFERROR(IF(X486="",0,CEILING((X486/$H486),1)*$H486),"")</f>
        <v>0</v>
      </c>
      <c r="Z486" s="36" t="str">
        <f>IFERROR(IF(Y486=0,"",ROUNDUP(Y486/H486,0)*0.01898),"")</f>
        <v/>
      </c>
      <c r="AA486" s="56"/>
      <c r="AB486" s="57"/>
      <c r="AC486" s="539" t="s">
        <v>745</v>
      </c>
      <c r="AG486" s="64"/>
      <c r="AJ486" s="68"/>
      <c r="AK486" s="68">
        <v>0</v>
      </c>
      <c r="BB486" s="540" t="s">
        <v>1</v>
      </c>
      <c r="BM486" s="64">
        <f>IFERROR(X486*I486/H486,"0")</f>
        <v>0</v>
      </c>
      <c r="BN486" s="64">
        <f>IFERROR(Y486*I486/H486,"0")</f>
        <v>0</v>
      </c>
      <c r="BO486" s="64">
        <f>IFERROR(1/J486*(X486/H486),"0")</f>
        <v>0</v>
      </c>
      <c r="BP486" s="64">
        <f>IFERROR(1/J486*(Y486/H486),"0")</f>
        <v>0</v>
      </c>
    </row>
    <row r="487" spans="1:68" x14ac:dyDescent="0.2">
      <c r="A487" s="563"/>
      <c r="B487" s="564"/>
      <c r="C487" s="564"/>
      <c r="D487" s="564"/>
      <c r="E487" s="564"/>
      <c r="F487" s="564"/>
      <c r="G487" s="564"/>
      <c r="H487" s="564"/>
      <c r="I487" s="564"/>
      <c r="J487" s="564"/>
      <c r="K487" s="564"/>
      <c r="L487" s="564"/>
      <c r="M487" s="564"/>
      <c r="N487" s="564"/>
      <c r="O487" s="565"/>
      <c r="P487" s="570" t="s">
        <v>75</v>
      </c>
      <c r="Q487" s="571"/>
      <c r="R487" s="571"/>
      <c r="S487" s="571"/>
      <c r="T487" s="571"/>
      <c r="U487" s="571"/>
      <c r="V487" s="572"/>
      <c r="W487" s="37" t="s">
        <v>76</v>
      </c>
      <c r="X487" s="553">
        <f>IFERROR(X485/H485,"0")+IFERROR(X486/H486,"0")</f>
        <v>0</v>
      </c>
      <c r="Y487" s="553">
        <f>IFERROR(Y485/H485,"0")+IFERROR(Y486/H486,"0")</f>
        <v>0</v>
      </c>
      <c r="Z487" s="553">
        <f>IFERROR(IF(Z485="",0,Z485),"0")+IFERROR(IF(Z486="",0,Z486),"0")</f>
        <v>0</v>
      </c>
      <c r="AA487" s="554"/>
      <c r="AB487" s="554"/>
      <c r="AC487" s="554"/>
    </row>
    <row r="488" spans="1:68" x14ac:dyDescent="0.2">
      <c r="A488" s="564"/>
      <c r="B488" s="564"/>
      <c r="C488" s="564"/>
      <c r="D488" s="564"/>
      <c r="E488" s="564"/>
      <c r="F488" s="564"/>
      <c r="G488" s="564"/>
      <c r="H488" s="564"/>
      <c r="I488" s="564"/>
      <c r="J488" s="564"/>
      <c r="K488" s="564"/>
      <c r="L488" s="564"/>
      <c r="M488" s="564"/>
      <c r="N488" s="564"/>
      <c r="O488" s="565"/>
      <c r="P488" s="570" t="s">
        <v>75</v>
      </c>
      <c r="Q488" s="571"/>
      <c r="R488" s="571"/>
      <c r="S488" s="571"/>
      <c r="T488" s="571"/>
      <c r="U488" s="571"/>
      <c r="V488" s="572"/>
      <c r="W488" s="37" t="s">
        <v>69</v>
      </c>
      <c r="X488" s="553">
        <f>IFERROR(SUM(X485:X486),"0")</f>
        <v>0</v>
      </c>
      <c r="Y488" s="553">
        <f>IFERROR(SUM(Y485:Y486),"0")</f>
        <v>0</v>
      </c>
      <c r="Z488" s="37"/>
      <c r="AA488" s="554"/>
      <c r="AB488" s="554"/>
      <c r="AC488" s="554"/>
    </row>
    <row r="489" spans="1:68" ht="16.5" customHeight="1" x14ac:dyDescent="0.25">
      <c r="A489" s="573" t="s">
        <v>746</v>
      </c>
      <c r="B489" s="564"/>
      <c r="C489" s="564"/>
      <c r="D489" s="564"/>
      <c r="E489" s="564"/>
      <c r="F489" s="564"/>
      <c r="G489" s="564"/>
      <c r="H489" s="564"/>
      <c r="I489" s="564"/>
      <c r="J489" s="564"/>
      <c r="K489" s="564"/>
      <c r="L489" s="564"/>
      <c r="M489" s="564"/>
      <c r="N489" s="564"/>
      <c r="O489" s="564"/>
      <c r="P489" s="564"/>
      <c r="Q489" s="564"/>
      <c r="R489" s="564"/>
      <c r="S489" s="564"/>
      <c r="T489" s="564"/>
      <c r="U489" s="564"/>
      <c r="V489" s="564"/>
      <c r="W489" s="564"/>
      <c r="X489" s="564"/>
      <c r="Y489" s="564"/>
      <c r="Z489" s="564"/>
      <c r="AA489" s="546"/>
      <c r="AB489" s="546"/>
      <c r="AC489" s="546"/>
    </row>
    <row r="490" spans="1:68" ht="14.25" customHeight="1" x14ac:dyDescent="0.25">
      <c r="A490" s="567" t="s">
        <v>136</v>
      </c>
      <c r="B490" s="564"/>
      <c r="C490" s="564"/>
      <c r="D490" s="564"/>
      <c r="E490" s="564"/>
      <c r="F490" s="564"/>
      <c r="G490" s="564"/>
      <c r="H490" s="564"/>
      <c r="I490" s="564"/>
      <c r="J490" s="564"/>
      <c r="K490" s="564"/>
      <c r="L490" s="564"/>
      <c r="M490" s="564"/>
      <c r="N490" s="564"/>
      <c r="O490" s="564"/>
      <c r="P490" s="564"/>
      <c r="Q490" s="564"/>
      <c r="R490" s="564"/>
      <c r="S490" s="564"/>
      <c r="T490" s="564"/>
      <c r="U490" s="564"/>
      <c r="V490" s="564"/>
      <c r="W490" s="564"/>
      <c r="X490" s="564"/>
      <c r="Y490" s="564"/>
      <c r="Z490" s="564"/>
      <c r="AA490" s="545"/>
      <c r="AB490" s="545"/>
      <c r="AC490" s="545"/>
    </row>
    <row r="491" spans="1:68" ht="27" customHeight="1" x14ac:dyDescent="0.25">
      <c r="A491" s="54" t="s">
        <v>747</v>
      </c>
      <c r="B491" s="54" t="s">
        <v>748</v>
      </c>
      <c r="C491" s="31">
        <v>4301020314</v>
      </c>
      <c r="D491" s="558">
        <v>4640242180090</v>
      </c>
      <c r="E491" s="559"/>
      <c r="F491" s="550">
        <v>1.5</v>
      </c>
      <c r="G491" s="32">
        <v>8</v>
      </c>
      <c r="H491" s="550">
        <v>12</v>
      </c>
      <c r="I491" s="550">
        <v>12.41</v>
      </c>
      <c r="J491" s="32">
        <v>64</v>
      </c>
      <c r="K491" s="32" t="s">
        <v>104</v>
      </c>
      <c r="L491" s="32"/>
      <c r="M491" s="33" t="s">
        <v>106</v>
      </c>
      <c r="N491" s="33"/>
      <c r="O491" s="32">
        <v>50</v>
      </c>
      <c r="P491" s="737" t="str">
        <f>HYPERLINK("https://abi.ru/products/Охлажденные/Зареченские продукты/Зареченские продукты Светофор/Ветчины/P004317/","Ветчины «Рубленая» Весовой п/а ТМ «Зареченские» НТУ HR")</f>
        <v>Ветчины «Рубленая» Весовой п/а ТМ «Зареченские» НТУ HR</v>
      </c>
      <c r="Q491" s="556"/>
      <c r="R491" s="556"/>
      <c r="S491" s="556"/>
      <c r="T491" s="557"/>
      <c r="U491" s="34"/>
      <c r="V491" s="34"/>
      <c r="W491" s="35" t="s">
        <v>69</v>
      </c>
      <c r="X491" s="551">
        <v>0</v>
      </c>
      <c r="Y491" s="552">
        <f>IFERROR(IF(X491="",0,CEILING((X491/$H491),1)*$H491),"")</f>
        <v>0</v>
      </c>
      <c r="Z491" s="36" t="str">
        <f>IFERROR(IF(Y491=0,"",ROUNDUP(Y491/H491,0)*0.01898),"")</f>
        <v/>
      </c>
      <c r="AA491" s="56"/>
      <c r="AB491" s="57"/>
      <c r="AC491" s="541" t="s">
        <v>749</v>
      </c>
      <c r="AG491" s="64"/>
      <c r="AJ491" s="68"/>
      <c r="AK491" s="68">
        <v>0</v>
      </c>
      <c r="BB491" s="542" t="s">
        <v>1</v>
      </c>
      <c r="BM491" s="64">
        <f>IFERROR(X491*I491/H491,"0")</f>
        <v>0</v>
      </c>
      <c r="BN491" s="64">
        <f>IFERROR(Y491*I491/H491,"0")</f>
        <v>0</v>
      </c>
      <c r="BO491" s="64">
        <f>IFERROR(1/J491*(X491/H491),"0")</f>
        <v>0</v>
      </c>
      <c r="BP491" s="64">
        <f>IFERROR(1/J491*(Y491/H491),"0")</f>
        <v>0</v>
      </c>
    </row>
    <row r="492" spans="1:68" x14ac:dyDescent="0.2">
      <c r="A492" s="563"/>
      <c r="B492" s="564"/>
      <c r="C492" s="564"/>
      <c r="D492" s="564"/>
      <c r="E492" s="564"/>
      <c r="F492" s="564"/>
      <c r="G492" s="564"/>
      <c r="H492" s="564"/>
      <c r="I492" s="564"/>
      <c r="J492" s="564"/>
      <c r="K492" s="564"/>
      <c r="L492" s="564"/>
      <c r="M492" s="564"/>
      <c r="N492" s="564"/>
      <c r="O492" s="565"/>
      <c r="P492" s="570" t="s">
        <v>75</v>
      </c>
      <c r="Q492" s="571"/>
      <c r="R492" s="571"/>
      <c r="S492" s="571"/>
      <c r="T492" s="571"/>
      <c r="U492" s="571"/>
      <c r="V492" s="572"/>
      <c r="W492" s="37" t="s">
        <v>76</v>
      </c>
      <c r="X492" s="553">
        <f>IFERROR(X491/H491,"0")</f>
        <v>0</v>
      </c>
      <c r="Y492" s="553">
        <f>IFERROR(Y491/H491,"0")</f>
        <v>0</v>
      </c>
      <c r="Z492" s="553">
        <f>IFERROR(IF(Z491="",0,Z491),"0")</f>
        <v>0</v>
      </c>
      <c r="AA492" s="554"/>
      <c r="AB492" s="554"/>
      <c r="AC492" s="554"/>
    </row>
    <row r="493" spans="1:68" x14ac:dyDescent="0.2">
      <c r="A493" s="564"/>
      <c r="B493" s="564"/>
      <c r="C493" s="564"/>
      <c r="D493" s="564"/>
      <c r="E493" s="564"/>
      <c r="F493" s="564"/>
      <c r="G493" s="564"/>
      <c r="H493" s="564"/>
      <c r="I493" s="564"/>
      <c r="J493" s="564"/>
      <c r="K493" s="564"/>
      <c r="L493" s="564"/>
      <c r="M493" s="564"/>
      <c r="N493" s="564"/>
      <c r="O493" s="565"/>
      <c r="P493" s="570" t="s">
        <v>75</v>
      </c>
      <c r="Q493" s="571"/>
      <c r="R493" s="571"/>
      <c r="S493" s="571"/>
      <c r="T493" s="571"/>
      <c r="U493" s="571"/>
      <c r="V493" s="572"/>
      <c r="W493" s="37" t="s">
        <v>69</v>
      </c>
      <c r="X493" s="553">
        <f>IFERROR(SUM(X491:X491),"0")</f>
        <v>0</v>
      </c>
      <c r="Y493" s="553">
        <f>IFERROR(SUM(Y491:Y491),"0")</f>
        <v>0</v>
      </c>
      <c r="Z493" s="37"/>
      <c r="AA493" s="554"/>
      <c r="AB493" s="554"/>
      <c r="AC493" s="554"/>
    </row>
    <row r="494" spans="1:68" ht="15" customHeight="1" x14ac:dyDescent="0.2">
      <c r="A494" s="690"/>
      <c r="B494" s="564"/>
      <c r="C494" s="564"/>
      <c r="D494" s="564"/>
      <c r="E494" s="564"/>
      <c r="F494" s="564"/>
      <c r="G494" s="564"/>
      <c r="H494" s="564"/>
      <c r="I494" s="564"/>
      <c r="J494" s="564"/>
      <c r="K494" s="564"/>
      <c r="L494" s="564"/>
      <c r="M494" s="564"/>
      <c r="N494" s="564"/>
      <c r="O494" s="691"/>
      <c r="P494" s="718" t="s">
        <v>750</v>
      </c>
      <c r="Q494" s="678"/>
      <c r="R494" s="678"/>
      <c r="S494" s="678"/>
      <c r="T494" s="678"/>
      <c r="U494" s="678"/>
      <c r="V494" s="679"/>
      <c r="W494" s="37" t="s">
        <v>69</v>
      </c>
      <c r="X494" s="553">
        <f>IFERROR(X25+X32+X36+X44+X48+X58+X64+X69+X76+X81+X89+X96+X105+X112+X119+X123+X129+X134+X139+X145+X154+X158+X164+X181+X187+X191+X197+X202+X213+X225+X230+X243+X247+X251+X259+X268+X276+X283+X289+X294+X304+X313+X320+X326+X333+X339+X346+X358+X363+X368+X372+X378+X383+X389+X403+X408+X413+X420+X425+X442+X448+X457+X461+X470+X475+X479+X483+X488+X493,"0")</f>
        <v>17844</v>
      </c>
      <c r="Y494" s="553">
        <f>IFERROR(Y25+Y32+Y36+Y44+Y48+Y58+Y64+Y69+Y76+Y81+Y89+Y96+Y105+Y112+Y119+Y123+Y129+Y134+Y139+Y145+Y154+Y158+Y164+Y181+Y187+Y191+Y197+Y202+Y213+Y225+Y230+Y243+Y247+Y251+Y259+Y268+Y276+Y283+Y289+Y294+Y304+Y313+Y320+Y326+Y333+Y339+Y346+Y358+Y363+Y368+Y372+Y378+Y383+Y389+Y403+Y408+Y413+Y420+Y425+Y442+Y448+Y457+Y461+Y470+Y475+Y479+Y483+Y488+Y493,"0")</f>
        <v>17970.34</v>
      </c>
      <c r="Z494" s="37"/>
      <c r="AA494" s="554"/>
      <c r="AB494" s="554"/>
      <c r="AC494" s="554"/>
    </row>
    <row r="495" spans="1:68" x14ac:dyDescent="0.2">
      <c r="A495" s="564"/>
      <c r="B495" s="564"/>
      <c r="C495" s="564"/>
      <c r="D495" s="564"/>
      <c r="E495" s="564"/>
      <c r="F495" s="564"/>
      <c r="G495" s="564"/>
      <c r="H495" s="564"/>
      <c r="I495" s="564"/>
      <c r="J495" s="564"/>
      <c r="K495" s="564"/>
      <c r="L495" s="564"/>
      <c r="M495" s="564"/>
      <c r="N495" s="564"/>
      <c r="O495" s="691"/>
      <c r="P495" s="718" t="s">
        <v>751</v>
      </c>
      <c r="Q495" s="678"/>
      <c r="R495" s="678"/>
      <c r="S495" s="678"/>
      <c r="T495" s="678"/>
      <c r="U495" s="678"/>
      <c r="V495" s="679"/>
      <c r="W495" s="37" t="s">
        <v>69</v>
      </c>
      <c r="X495" s="553">
        <f>IFERROR(SUM(BM22:BM491),"0")</f>
        <v>18706.261989644336</v>
      </c>
      <c r="Y495" s="553">
        <f>IFERROR(SUM(BN22:BN491),"0")</f>
        <v>18838.734</v>
      </c>
      <c r="Z495" s="37"/>
      <c r="AA495" s="554"/>
      <c r="AB495" s="554"/>
      <c r="AC495" s="554"/>
    </row>
    <row r="496" spans="1:68" x14ac:dyDescent="0.2">
      <c r="A496" s="564"/>
      <c r="B496" s="564"/>
      <c r="C496" s="564"/>
      <c r="D496" s="564"/>
      <c r="E496" s="564"/>
      <c r="F496" s="564"/>
      <c r="G496" s="564"/>
      <c r="H496" s="564"/>
      <c r="I496" s="564"/>
      <c r="J496" s="564"/>
      <c r="K496" s="564"/>
      <c r="L496" s="564"/>
      <c r="M496" s="564"/>
      <c r="N496" s="564"/>
      <c r="O496" s="691"/>
      <c r="P496" s="718" t="s">
        <v>752</v>
      </c>
      <c r="Q496" s="678"/>
      <c r="R496" s="678"/>
      <c r="S496" s="678"/>
      <c r="T496" s="678"/>
      <c r="U496" s="678"/>
      <c r="V496" s="679"/>
      <c r="W496" s="37" t="s">
        <v>753</v>
      </c>
      <c r="X496" s="38">
        <f>ROUNDUP(SUM(BO22:BO491),0)</f>
        <v>30</v>
      </c>
      <c r="Y496" s="38">
        <f>ROUNDUP(SUM(BP22:BP491),0)</f>
        <v>30</v>
      </c>
      <c r="Z496" s="37"/>
      <c r="AA496" s="554"/>
      <c r="AB496" s="554"/>
      <c r="AC496" s="554"/>
    </row>
    <row r="497" spans="1:32" x14ac:dyDescent="0.2">
      <c r="A497" s="564"/>
      <c r="B497" s="564"/>
      <c r="C497" s="564"/>
      <c r="D497" s="564"/>
      <c r="E497" s="564"/>
      <c r="F497" s="564"/>
      <c r="G497" s="564"/>
      <c r="H497" s="564"/>
      <c r="I497" s="564"/>
      <c r="J497" s="564"/>
      <c r="K497" s="564"/>
      <c r="L497" s="564"/>
      <c r="M497" s="564"/>
      <c r="N497" s="564"/>
      <c r="O497" s="691"/>
      <c r="P497" s="718" t="s">
        <v>754</v>
      </c>
      <c r="Q497" s="678"/>
      <c r="R497" s="678"/>
      <c r="S497" s="678"/>
      <c r="T497" s="678"/>
      <c r="U497" s="678"/>
      <c r="V497" s="679"/>
      <c r="W497" s="37" t="s">
        <v>69</v>
      </c>
      <c r="X497" s="553">
        <f>GrossWeightTotal+PalletQtyTotal*25</f>
        <v>19456.261989644336</v>
      </c>
      <c r="Y497" s="553">
        <f>GrossWeightTotalR+PalletQtyTotalR*25</f>
        <v>19588.734</v>
      </c>
      <c r="Z497" s="37"/>
      <c r="AA497" s="554"/>
      <c r="AB497" s="554"/>
      <c r="AC497" s="554"/>
    </row>
    <row r="498" spans="1:32" x14ac:dyDescent="0.2">
      <c r="A498" s="564"/>
      <c r="B498" s="564"/>
      <c r="C498" s="564"/>
      <c r="D498" s="564"/>
      <c r="E498" s="564"/>
      <c r="F498" s="564"/>
      <c r="G498" s="564"/>
      <c r="H498" s="564"/>
      <c r="I498" s="564"/>
      <c r="J498" s="564"/>
      <c r="K498" s="564"/>
      <c r="L498" s="564"/>
      <c r="M498" s="564"/>
      <c r="N498" s="564"/>
      <c r="O498" s="691"/>
      <c r="P498" s="718" t="s">
        <v>755</v>
      </c>
      <c r="Q498" s="678"/>
      <c r="R498" s="678"/>
      <c r="S498" s="678"/>
      <c r="T498" s="678"/>
      <c r="U498" s="678"/>
      <c r="V498" s="679"/>
      <c r="W498" s="37" t="s">
        <v>753</v>
      </c>
      <c r="X498" s="553">
        <f>IFERROR(X24+X31+X35+X43+X47+X57+X63+X68+X75+X80+X88+X95+X104+X111+X118+X122+X128+X133+X138+X144+X153+X157+X163+X180+X186+X190+X196+X201+X212+X224+X229+X242+X246+X250+X258+X267+X275+X282+X288+X293+X303+X312+X319+X325+X332+X338+X345+X357+X362+X367+X371+X377+X382+X388+X402+X407+X412+X419+X424+X441+X447+X456+X460+X469+X474+X478+X482+X487+X492,"0")</f>
        <v>2306.1570129217184</v>
      </c>
      <c r="Y498" s="553">
        <f>IFERROR(Y24+Y31+Y35+Y43+Y47+Y57+Y63+Y68+Y75+Y80+Y88+Y95+Y104+Y111+Y118+Y122+Y128+Y133+Y138+Y144+Y153+Y157+Y163+Y180+Y186+Y190+Y196+Y201+Y212+Y224+Y229+Y242+Y246+Y250+Y258+Y267+Y275+Y282+Y288+Y293+Y303+Y312+Y319+Y325+Y332+Y338+Y345+Y357+Y362+Y367+Y371+Y377+Y382+Y388+Y402+Y407+Y412+Y419+Y424+Y441+Y447+Y456+Y460+Y469+Y474+Y478+Y482+Y487+Y492,"0")</f>
        <v>2324</v>
      </c>
      <c r="Z498" s="37"/>
      <c r="AA498" s="554"/>
      <c r="AB498" s="554"/>
      <c r="AC498" s="554"/>
    </row>
    <row r="499" spans="1:32" ht="14.25" customHeight="1" x14ac:dyDescent="0.2">
      <c r="A499" s="564"/>
      <c r="B499" s="564"/>
      <c r="C499" s="564"/>
      <c r="D499" s="564"/>
      <c r="E499" s="564"/>
      <c r="F499" s="564"/>
      <c r="G499" s="564"/>
      <c r="H499" s="564"/>
      <c r="I499" s="564"/>
      <c r="J499" s="564"/>
      <c r="K499" s="564"/>
      <c r="L499" s="564"/>
      <c r="M499" s="564"/>
      <c r="N499" s="564"/>
      <c r="O499" s="691"/>
      <c r="P499" s="718" t="s">
        <v>756</v>
      </c>
      <c r="Q499" s="678"/>
      <c r="R499" s="678"/>
      <c r="S499" s="678"/>
      <c r="T499" s="678"/>
      <c r="U499" s="678"/>
      <c r="V499" s="679"/>
      <c r="W499" s="39" t="s">
        <v>757</v>
      </c>
      <c r="X499" s="37"/>
      <c r="Y499" s="37"/>
      <c r="Z499" s="37">
        <f>IFERROR(Z24+Z31+Z35+Z43+Z47+Z57+Z63+Z68+Z75+Z80+Z88+Z95+Z104+Z111+Z118+Z122+Z128+Z133+Z138+Z144+Z153+Z157+Z163+Z180+Z186+Z190+Z196+Z201+Z212+Z224+Z229+Z242+Z246+Z250+Z258+Z267+Z275+Z282+Z288+Z293+Z303+Z312+Z319+Z325+Z332+Z338+Z345+Z357+Z362+Z367+Z371+Z377+Z382+Z388+Z402+Z407+Z412+Z419+Z424+Z441+Z447+Z456+Z460+Z469+Z474+Z478+Z482+Z487+Z492,"0")</f>
        <v>34.543799999999997</v>
      </c>
      <c r="AA499" s="554"/>
      <c r="AB499" s="554"/>
      <c r="AC499" s="554"/>
    </row>
    <row r="500" spans="1:32" ht="13.5" customHeight="1" thickBot="1" x14ac:dyDescent="0.25"/>
    <row r="501" spans="1:32" ht="27" customHeight="1" thickTop="1" thickBot="1" x14ac:dyDescent="0.25">
      <c r="A501" s="40" t="s">
        <v>758</v>
      </c>
      <c r="B501" s="543" t="s">
        <v>63</v>
      </c>
      <c r="C501" s="602" t="s">
        <v>99</v>
      </c>
      <c r="D501" s="693"/>
      <c r="E501" s="693"/>
      <c r="F501" s="693"/>
      <c r="G501" s="693"/>
      <c r="H501" s="641"/>
      <c r="I501" s="602" t="s">
        <v>266</v>
      </c>
      <c r="J501" s="693"/>
      <c r="K501" s="693"/>
      <c r="L501" s="693"/>
      <c r="M501" s="693"/>
      <c r="N501" s="693"/>
      <c r="O501" s="693"/>
      <c r="P501" s="693"/>
      <c r="Q501" s="693"/>
      <c r="R501" s="641"/>
      <c r="S501" s="602" t="s">
        <v>556</v>
      </c>
      <c r="T501" s="641"/>
      <c r="U501" s="602" t="s">
        <v>610</v>
      </c>
      <c r="V501" s="693"/>
      <c r="W501" s="641"/>
      <c r="X501" s="543" t="s">
        <v>661</v>
      </c>
      <c r="Y501" s="602" t="s">
        <v>716</v>
      </c>
      <c r="Z501" s="641"/>
      <c r="AB501" s="52"/>
      <c r="AC501" s="52"/>
      <c r="AF501" s="544"/>
    </row>
    <row r="502" spans="1:32" ht="14.25" customHeight="1" thickTop="1" x14ac:dyDescent="0.2">
      <c r="A502" s="881" t="s">
        <v>759</v>
      </c>
      <c r="B502" s="602" t="s">
        <v>63</v>
      </c>
      <c r="C502" s="602" t="s">
        <v>100</v>
      </c>
      <c r="D502" s="602" t="s">
        <v>117</v>
      </c>
      <c r="E502" s="602" t="s">
        <v>168</v>
      </c>
      <c r="F502" s="602" t="s">
        <v>190</v>
      </c>
      <c r="G502" s="602" t="s">
        <v>227</v>
      </c>
      <c r="H502" s="602" t="s">
        <v>99</v>
      </c>
      <c r="I502" s="602" t="s">
        <v>267</v>
      </c>
      <c r="J502" s="602" t="s">
        <v>322</v>
      </c>
      <c r="K502" s="602" t="s">
        <v>382</v>
      </c>
      <c r="L502" s="602" t="s">
        <v>423</v>
      </c>
      <c r="M502" s="602" t="s">
        <v>439</v>
      </c>
      <c r="N502" s="544"/>
      <c r="O502" s="602" t="s">
        <v>450</v>
      </c>
      <c r="P502" s="602" t="s">
        <v>459</v>
      </c>
      <c r="Q502" s="602" t="s">
        <v>472</v>
      </c>
      <c r="R502" s="602" t="s">
        <v>546</v>
      </c>
      <c r="S502" s="602" t="s">
        <v>557</v>
      </c>
      <c r="T502" s="602" t="s">
        <v>592</v>
      </c>
      <c r="U502" s="602" t="s">
        <v>611</v>
      </c>
      <c r="V502" s="602" t="s">
        <v>642</v>
      </c>
      <c r="W502" s="602" t="s">
        <v>657</v>
      </c>
      <c r="X502" s="602" t="s">
        <v>661</v>
      </c>
      <c r="Y502" s="602" t="s">
        <v>716</v>
      </c>
      <c r="Z502" s="602" t="s">
        <v>746</v>
      </c>
      <c r="AB502" s="52"/>
      <c r="AC502" s="52"/>
      <c r="AF502" s="544"/>
    </row>
    <row r="503" spans="1:32" ht="13.5" customHeight="1" thickBot="1" x14ac:dyDescent="0.25">
      <c r="A503" s="882"/>
      <c r="B503" s="603"/>
      <c r="C503" s="603"/>
      <c r="D503" s="603"/>
      <c r="E503" s="603"/>
      <c r="F503" s="603"/>
      <c r="G503" s="603"/>
      <c r="H503" s="603"/>
      <c r="I503" s="603"/>
      <c r="J503" s="603"/>
      <c r="K503" s="603"/>
      <c r="L503" s="603"/>
      <c r="M503" s="603"/>
      <c r="N503" s="544"/>
      <c r="O503" s="603"/>
      <c r="P503" s="603"/>
      <c r="Q503" s="603"/>
      <c r="R503" s="603"/>
      <c r="S503" s="603"/>
      <c r="T503" s="603"/>
      <c r="U503" s="603"/>
      <c r="V503" s="603"/>
      <c r="W503" s="603"/>
      <c r="X503" s="603"/>
      <c r="Y503" s="603"/>
      <c r="Z503" s="603"/>
      <c r="AB503" s="52"/>
      <c r="AC503" s="52"/>
      <c r="AF503" s="544"/>
    </row>
    <row r="504" spans="1:32" ht="18" customHeight="1" thickTop="1" thickBot="1" x14ac:dyDescent="0.25">
      <c r="A504" s="40" t="s">
        <v>760</v>
      </c>
      <c r="B504" s="46">
        <f>IFERROR(Y22*1,"0")+IFERROR(Y23*1,"0")+IFERROR(Y27*1,"0")+IFERROR(Y28*1,"0")+IFERROR(Y29*1,"0")+IFERROR(Y30*1,"0")+IFERROR(Y34*1,"0")</f>
        <v>0</v>
      </c>
      <c r="C504" s="46">
        <f>IFERROR(Y40*1,"0")+IFERROR(Y41*1,"0")+IFERROR(Y42*1,"0")+IFERROR(Y46*1,"0")</f>
        <v>760.40000000000009</v>
      </c>
      <c r="D504" s="46">
        <f>IFERROR(Y51*1,"0")+IFERROR(Y52*1,"0")+IFERROR(Y53*1,"0")+IFERROR(Y54*1,"0")+IFERROR(Y55*1,"0")+IFERROR(Y56*1,"0")+IFERROR(Y60*1,"0")+IFERROR(Y61*1,"0")+IFERROR(Y62*1,"0")+IFERROR(Y66*1,"0")+IFERROR(Y67*1,"0")+IFERROR(Y71*1,"0")+IFERROR(Y72*1,"0")+IFERROR(Y73*1,"0")+IFERROR(Y74*1,"0")+IFERROR(Y78*1,"0")+IFERROR(Y79*1,"0")</f>
        <v>1666.8</v>
      </c>
      <c r="E504" s="46">
        <f>IFERROR(Y84*1,"0")+IFERROR(Y85*1,"0")+IFERROR(Y86*1,"0")+IFERROR(Y87*1,"0")+IFERROR(Y91*1,"0")+IFERROR(Y92*1,"0")+IFERROR(Y93*1,"0")+IFERROR(Y94*1,"0")</f>
        <v>672.3</v>
      </c>
      <c r="F504" s="46">
        <f>IFERROR(Y99*1,"0")+IFERROR(Y100*1,"0")+IFERROR(Y101*1,"0")+IFERROR(Y102*1,"0")+IFERROR(Y103*1,"0")+IFERROR(Y107*1,"0")+IFERROR(Y108*1,"0")+IFERROR(Y109*1,"0")+IFERROR(Y110*1,"0")+IFERROR(Y114*1,"0")+IFERROR(Y115*1,"0")+IFERROR(Y116*1,"0")+IFERROR(Y117*1,"0")+IFERROR(Y121*1,"0")</f>
        <v>656.1</v>
      </c>
      <c r="G504" s="46">
        <f>IFERROR(Y126*1,"0")+IFERROR(Y127*1,"0")+IFERROR(Y131*1,"0")+IFERROR(Y132*1,"0")+IFERROR(Y136*1,"0")+IFERROR(Y137*1,"0")</f>
        <v>0</v>
      </c>
      <c r="H504" s="46">
        <f>IFERROR(Y142*1,"0")+IFERROR(Y143*1,"0")+IFERROR(Y147*1,"0")+IFERROR(Y148*1,"0")+IFERROR(Y149*1,"0")+IFERROR(Y150*1,"0")+IFERROR(Y151*1,"0")+IFERROR(Y152*1,"0")+IFERROR(Y156*1,"0")</f>
        <v>88.2</v>
      </c>
      <c r="I504" s="46">
        <f>IFERROR(Y162*1,"0")+IFERROR(Y166*1,"0")+IFERROR(Y167*1,"0")+IFERROR(Y168*1,"0")+IFERROR(Y169*1,"0")+IFERROR(Y170*1,"0")+IFERROR(Y171*1,"0")+IFERROR(Y172*1,"0")+IFERROR(Y173*1,"0")+IFERROR(Y174*1,"0")+IFERROR(Y175*1,"0")+IFERROR(Y176*1,"0")+IFERROR(Y177*1,"0")+IFERROR(Y178*1,"0")+IFERROR(Y179*1,"0")+IFERROR(Y183*1,"0")+IFERROR(Y184*1,"0")+IFERROR(Y185*1,"0")+IFERROR(Y189*1,"0")</f>
        <v>50.400000000000006</v>
      </c>
      <c r="J504" s="46">
        <f>IFERROR(Y194*1,"0")+IFERROR(Y195*1,"0")+IFERROR(Y199*1,"0")+IFERROR(Y200*1,"0")+IFERROR(Y204*1,"0")+IFERROR(Y205*1,"0")+IFERROR(Y206*1,"0")+IFERROR(Y207*1,"0")+IFERROR(Y208*1,"0")+IFERROR(Y209*1,"0")+IFERROR(Y210*1,"0")+IFERROR(Y211*1,"0")+IFERROR(Y215*1,"0")+IFERROR(Y216*1,"0")+IFERROR(Y217*1,"0")+IFERROR(Y218*1,"0")+IFERROR(Y219*1,"0")+IFERROR(Y220*1,"0")+IFERROR(Y221*1,"0")+IFERROR(Y222*1,"0")+IFERROR(Y223*1,"0")+IFERROR(Y227*1,"0")+IFERROR(Y228*1,"0")</f>
        <v>399.60000000000008</v>
      </c>
      <c r="K504" s="46">
        <f>IFERROR(Y233*1,"0")+IFERROR(Y234*1,"0")+IFERROR(Y235*1,"0")+IFERROR(Y236*1,"0")+IFERROR(Y237*1,"0")+IFERROR(Y238*1,"0")+IFERROR(Y239*1,"0")+IFERROR(Y240*1,"0")+IFERROR(Y241*1,"0")+IFERROR(Y245*1,"0")+IFERROR(Y249*1,"0")+IFERROR(Y253*1,"0")+IFERROR(Y254*1,"0")+IFERROR(Y255*1,"0")+IFERROR(Y256*1,"0")+IFERROR(Y257*1,"0")</f>
        <v>0</v>
      </c>
      <c r="L504" s="46">
        <f>IFERROR(Y262*1,"0")+IFERROR(Y263*1,"0")+IFERROR(Y264*1,"0")+IFERROR(Y265*1,"0")+IFERROR(Y266*1,"0")</f>
        <v>188</v>
      </c>
      <c r="M504" s="46">
        <f>IFERROR(Y271*1,"0")+IFERROR(Y272*1,"0")+IFERROR(Y273*1,"0")+IFERROR(Y274*1,"0")</f>
        <v>0</v>
      </c>
      <c r="N504" s="544"/>
      <c r="O504" s="46">
        <f>IFERROR(Y279*1,"0")+IFERROR(Y280*1,"0")+IFERROR(Y281*1,"0")</f>
        <v>0</v>
      </c>
      <c r="P504" s="46">
        <f>IFERROR(Y286*1,"0")+IFERROR(Y287*1,"0")+IFERROR(Y291*1,"0")+IFERROR(Y292*1,"0")</f>
        <v>0</v>
      </c>
      <c r="Q504" s="46">
        <f>IFERROR(Y297*1,"0")+IFERROR(Y298*1,"0")+IFERROR(Y299*1,"0")+IFERROR(Y300*1,"0")+IFERROR(Y301*1,"0")+IFERROR(Y302*1,"0")+IFERROR(Y306*1,"0")+IFERROR(Y307*1,"0")+IFERROR(Y308*1,"0")+IFERROR(Y309*1,"0")+IFERROR(Y310*1,"0")+IFERROR(Y311*1,"0")+IFERROR(Y315*1,"0")+IFERROR(Y316*1,"0")+IFERROR(Y317*1,"0")+IFERROR(Y318*1,"0")+IFERROR(Y322*1,"0")+IFERROR(Y323*1,"0")+IFERROR(Y324*1,"0")+IFERROR(Y328*1,"0")+IFERROR(Y329*1,"0")+IFERROR(Y330*1,"0")+IFERROR(Y331*1,"0")+IFERROR(Y335*1,"0")+IFERROR(Y336*1,"0")+IFERROR(Y337*1,"0")</f>
        <v>3266.7</v>
      </c>
      <c r="R504" s="46">
        <f>IFERROR(Y342*1,"0")+IFERROR(Y343*1,"0")+IFERROR(Y344*1,"0")</f>
        <v>379.20000000000005</v>
      </c>
      <c r="S504" s="46">
        <f>IFERROR(Y350*1,"0")+IFERROR(Y351*1,"0")+IFERROR(Y352*1,"0")+IFERROR(Y353*1,"0")+IFERROR(Y354*1,"0")+IFERROR(Y355*1,"0")+IFERROR(Y356*1,"0")+IFERROR(Y360*1,"0")+IFERROR(Y361*1,"0")+IFERROR(Y365*1,"0")+IFERROR(Y366*1,"0")+IFERROR(Y370*1,"0")</f>
        <v>5700</v>
      </c>
      <c r="T504" s="46">
        <f>IFERROR(Y375*1,"0")+IFERROR(Y376*1,"0")+IFERROR(Y380*1,"0")+IFERROR(Y381*1,"0")+IFERROR(Y385*1,"0")+IFERROR(Y386*1,"0")+IFERROR(Y387*1,"0")</f>
        <v>0</v>
      </c>
      <c r="U504" s="46">
        <f>IFERROR(Y393*1,"0")+IFERROR(Y394*1,"0")+IFERROR(Y395*1,"0")+IFERROR(Y396*1,"0")+IFERROR(Y397*1,"0")+IFERROR(Y398*1,"0")+IFERROR(Y399*1,"0")+IFERROR(Y400*1,"0")+IFERROR(Y401*1,"0")+IFERROR(Y405*1,"0")+IFERROR(Y406*1,"0")</f>
        <v>54</v>
      </c>
      <c r="V504" s="46">
        <f>IFERROR(Y411*1,"0")+IFERROR(Y415*1,"0")+IFERROR(Y416*1,"0")+IFERROR(Y417*1,"0")+IFERROR(Y418*1,"0")</f>
        <v>0</v>
      </c>
      <c r="W504" s="46">
        <f>IFERROR(Y423*1,"0")</f>
        <v>0</v>
      </c>
      <c r="X504" s="46">
        <f>IFERROR(Y429*1,"0")+IFERROR(Y430*1,"0")+IFERROR(Y431*1,"0")+IFERROR(Y432*1,"0")+IFERROR(Y433*1,"0")+IFERROR(Y434*1,"0")+IFERROR(Y435*1,"0")+IFERROR(Y436*1,"0")+IFERROR(Y437*1,"0")+IFERROR(Y438*1,"0")+IFERROR(Y439*1,"0")+IFERROR(Y440*1,"0")+IFERROR(Y444*1,"0")+IFERROR(Y445*1,"0")+IFERROR(Y446*1,"0")+IFERROR(Y450*1,"0")+IFERROR(Y451*1,"0")+IFERROR(Y452*1,"0")+IFERROR(Y453*1,"0")+IFERROR(Y454*1,"0")+IFERROR(Y455*1,"0")+IFERROR(Y459*1,"0")</f>
        <v>3368.64</v>
      </c>
      <c r="Y504" s="46">
        <f>IFERROR(Y465*1,"0")+IFERROR(Y466*1,"0")+IFERROR(Y467*1,"0")+IFERROR(Y468*1,"0")+IFERROR(Y472*1,"0")+IFERROR(Y473*1,"0")+IFERROR(Y477*1,"0")+IFERROR(Y481*1,"0")+IFERROR(Y485*1,"0")+IFERROR(Y486*1,"0")</f>
        <v>720</v>
      </c>
      <c r="Z504" s="46">
        <f>IFERROR(Y491*1,"0")</f>
        <v>0</v>
      </c>
      <c r="AB504" s="52"/>
      <c r="AC504" s="52"/>
      <c r="AF504" s="544"/>
    </row>
  </sheetData>
  <sheetProtection algorithmName="SHA-512" hashValue="bbLw9wKYmk0/otLjf4Ipt7Ng3ivMox2H1jywNN09f7XdkYr3W/l4Fag+ARDo7EzNTxgQ4Way+DtQeOGglzmfMg==" saltValue="wVZ+rD1nJpKwZJvW6dMBaA==" spinCount="100000" sheet="1" objects="1" scenarios="1" sort="0" autoFilter="0" pivotTables="0"/>
  <autoFilter ref="A18:AF1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mergeCells count="884">
    <mergeCell ref="I502:I503"/>
    <mergeCell ref="G502:G503"/>
    <mergeCell ref="D110:E110"/>
    <mergeCell ref="A502:A503"/>
    <mergeCell ref="P365:T365"/>
    <mergeCell ref="A8:C8"/>
    <mergeCell ref="P385:T385"/>
    <mergeCell ref="D355:E355"/>
    <mergeCell ref="P163:V163"/>
    <mergeCell ref="P360:T360"/>
    <mergeCell ref="P138:V138"/>
    <mergeCell ref="P151:T151"/>
    <mergeCell ref="P76:V76"/>
    <mergeCell ref="D395:E395"/>
    <mergeCell ref="A10:C10"/>
    <mergeCell ref="P126:T126"/>
    <mergeCell ref="A364:Z364"/>
    <mergeCell ref="P218:T218"/>
    <mergeCell ref="P69:V69"/>
    <mergeCell ref="A21:Z21"/>
    <mergeCell ref="A192:Z192"/>
    <mergeCell ref="D184:E184"/>
    <mergeCell ref="D121:E121"/>
    <mergeCell ref="D42:E42"/>
    <mergeCell ref="D17:E18"/>
    <mergeCell ref="D173:E173"/>
    <mergeCell ref="D344:E344"/>
    <mergeCell ref="P71:T71"/>
    <mergeCell ref="X17:X18"/>
    <mergeCell ref="V12:W12"/>
    <mergeCell ref="D262:E262"/>
    <mergeCell ref="P122:V122"/>
    <mergeCell ref="D433:E433"/>
    <mergeCell ref="P43:V43"/>
    <mergeCell ref="A39:Z39"/>
    <mergeCell ref="D237:E237"/>
    <mergeCell ref="P85:T85"/>
    <mergeCell ref="P60:T60"/>
    <mergeCell ref="D291:E291"/>
    <mergeCell ref="D239:E239"/>
    <mergeCell ref="P174:T174"/>
    <mergeCell ref="P149:T149"/>
    <mergeCell ref="D266:E266"/>
    <mergeCell ref="U17:V17"/>
    <mergeCell ref="Y17:Y18"/>
    <mergeCell ref="D331:E331"/>
    <mergeCell ref="P372:V372"/>
    <mergeCell ref="A426:Z426"/>
    <mergeCell ref="A428:Z428"/>
    <mergeCell ref="P425:V425"/>
    <mergeCell ref="P307:T307"/>
    <mergeCell ref="A163:O164"/>
    <mergeCell ref="N17:N18"/>
    <mergeCell ref="P72:T72"/>
    <mergeCell ref="Q5:R5"/>
    <mergeCell ref="F17:F18"/>
    <mergeCell ref="P199:T199"/>
    <mergeCell ref="P303:V303"/>
    <mergeCell ref="P370:T370"/>
    <mergeCell ref="P297:T297"/>
    <mergeCell ref="P435:T435"/>
    <mergeCell ref="P291:T291"/>
    <mergeCell ref="A24:O25"/>
    <mergeCell ref="P136:T136"/>
    <mergeCell ref="P263:T263"/>
    <mergeCell ref="P434:T434"/>
    <mergeCell ref="P228:T228"/>
    <mergeCell ref="D171:E171"/>
    <mergeCell ref="D342:E342"/>
    <mergeCell ref="P355:T355"/>
    <mergeCell ref="D336:E336"/>
    <mergeCell ref="Q6:R6"/>
    <mergeCell ref="P200:T200"/>
    <mergeCell ref="A118:O119"/>
    <mergeCell ref="P292:T292"/>
    <mergeCell ref="D102:E102"/>
    <mergeCell ref="J502:J503"/>
    <mergeCell ref="D249:E249"/>
    <mergeCell ref="P262:T262"/>
    <mergeCell ref="P433:T433"/>
    <mergeCell ref="A349:Z349"/>
    <mergeCell ref="D170:E170"/>
    <mergeCell ref="A476:Z476"/>
    <mergeCell ref="D468:E468"/>
    <mergeCell ref="A31:O32"/>
    <mergeCell ref="D107:E107"/>
    <mergeCell ref="D234:E234"/>
    <mergeCell ref="D405:E405"/>
    <mergeCell ref="A447:O448"/>
    <mergeCell ref="P436:T436"/>
    <mergeCell ref="P81:V81"/>
    <mergeCell ref="A487:O488"/>
    <mergeCell ref="A33:Z33"/>
    <mergeCell ref="A269:Z269"/>
    <mergeCell ref="A424:O425"/>
    <mergeCell ref="P419:V419"/>
    <mergeCell ref="P145:V145"/>
    <mergeCell ref="A231:Z231"/>
    <mergeCell ref="D54:E54"/>
    <mergeCell ref="P283:V283"/>
    <mergeCell ref="A20:Z20"/>
    <mergeCell ref="A125:Z125"/>
    <mergeCell ref="P371:V371"/>
    <mergeCell ref="D452:E452"/>
    <mergeCell ref="P493:V493"/>
    <mergeCell ref="P358:V358"/>
    <mergeCell ref="P110:T110"/>
    <mergeCell ref="A348:Z348"/>
    <mergeCell ref="D218:E218"/>
    <mergeCell ref="P197:V197"/>
    <mergeCell ref="A258:O259"/>
    <mergeCell ref="A347:Z347"/>
    <mergeCell ref="P289:V289"/>
    <mergeCell ref="A314:Z314"/>
    <mergeCell ref="P68:V68"/>
    <mergeCell ref="P439:T439"/>
    <mergeCell ref="D271:E271"/>
    <mergeCell ref="A484:Z484"/>
    <mergeCell ref="P444:T444"/>
    <mergeCell ref="M502:M503"/>
    <mergeCell ref="P363:V363"/>
    <mergeCell ref="D310:E310"/>
    <mergeCell ref="AD17:AF18"/>
    <mergeCell ref="D101:E101"/>
    <mergeCell ref="P403:V403"/>
    <mergeCell ref="P378:V378"/>
    <mergeCell ref="F5:G5"/>
    <mergeCell ref="P144:V144"/>
    <mergeCell ref="P442:V442"/>
    <mergeCell ref="A463:Z463"/>
    <mergeCell ref="P67:T67"/>
    <mergeCell ref="D430:E430"/>
    <mergeCell ref="P119:V119"/>
    <mergeCell ref="D455:E455"/>
    <mergeCell ref="D175:E175"/>
    <mergeCell ref="P253:T253"/>
    <mergeCell ref="D221:E221"/>
    <mergeCell ref="V11:W11"/>
    <mergeCell ref="P469:V469"/>
    <mergeCell ref="P486:T486"/>
    <mergeCell ref="P342:T342"/>
    <mergeCell ref="P317:T317"/>
    <mergeCell ref="D152:E152"/>
    <mergeCell ref="P2:W3"/>
    <mergeCell ref="P498:V498"/>
    <mergeCell ref="A57:O58"/>
    <mergeCell ref="P127:T127"/>
    <mergeCell ref="D241:E241"/>
    <mergeCell ref="P298:T298"/>
    <mergeCell ref="P54:T54"/>
    <mergeCell ref="D437:E437"/>
    <mergeCell ref="P418:T418"/>
    <mergeCell ref="D228:E228"/>
    <mergeCell ref="A371:O372"/>
    <mergeCell ref="P312:V312"/>
    <mergeCell ref="D10:E10"/>
    <mergeCell ref="F10:G10"/>
    <mergeCell ref="D34:E34"/>
    <mergeCell ref="A357:O358"/>
    <mergeCell ref="D99:E99"/>
    <mergeCell ref="D397:E397"/>
    <mergeCell ref="A130:Z130"/>
    <mergeCell ref="D323:E323"/>
    <mergeCell ref="D223:E223"/>
    <mergeCell ref="D279:E279"/>
    <mergeCell ref="D394:E394"/>
    <mergeCell ref="D450:E450"/>
    <mergeCell ref="M17:M18"/>
    <mergeCell ref="A409:Z409"/>
    <mergeCell ref="O17:O18"/>
    <mergeCell ref="P336:T336"/>
    <mergeCell ref="P187:V187"/>
    <mergeCell ref="P258:V258"/>
    <mergeCell ref="A248:Z248"/>
    <mergeCell ref="P430:T430"/>
    <mergeCell ref="P494:V494"/>
    <mergeCell ref="P102:T102"/>
    <mergeCell ref="P417:T417"/>
    <mergeCell ref="P456:V456"/>
    <mergeCell ref="D177:E177"/>
    <mergeCell ref="A106:Z106"/>
    <mergeCell ref="P183:T183"/>
    <mergeCell ref="P354:T354"/>
    <mergeCell ref="A404:Z404"/>
    <mergeCell ref="P62:T62"/>
    <mergeCell ref="P121:T121"/>
    <mergeCell ref="D29:E29"/>
    <mergeCell ref="D23:E23"/>
    <mergeCell ref="D216:E216"/>
    <mergeCell ref="D265:E265"/>
    <mergeCell ref="P344:T344"/>
    <mergeCell ref="U502:U503"/>
    <mergeCell ref="P47:V47"/>
    <mergeCell ref="P176:T176"/>
    <mergeCell ref="P114:T114"/>
    <mergeCell ref="P241:T241"/>
    <mergeCell ref="P41:T41"/>
    <mergeCell ref="D84:E84"/>
    <mergeCell ref="D22:E22"/>
    <mergeCell ref="A35:O36"/>
    <mergeCell ref="D149:E149"/>
    <mergeCell ref="A284:Z284"/>
    <mergeCell ref="P301:T301"/>
    <mergeCell ref="D385:E385"/>
    <mergeCell ref="P178:T178"/>
    <mergeCell ref="P34:T34"/>
    <mergeCell ref="I501:R501"/>
    <mergeCell ref="D86:E86"/>
    <mergeCell ref="D257:E257"/>
    <mergeCell ref="D151:E151"/>
    <mergeCell ref="A362:O363"/>
    <mergeCell ref="P107:T107"/>
    <mergeCell ref="D150:E150"/>
    <mergeCell ref="P129:V129"/>
    <mergeCell ref="P63:V63"/>
    <mergeCell ref="A9:C9"/>
    <mergeCell ref="A242:O243"/>
    <mergeCell ref="A478:O479"/>
    <mergeCell ref="P323:T323"/>
    <mergeCell ref="A414:Z414"/>
    <mergeCell ref="A327:Z327"/>
    <mergeCell ref="P32:V32"/>
    <mergeCell ref="P474:V474"/>
    <mergeCell ref="Q13:R13"/>
    <mergeCell ref="P134:V134"/>
    <mergeCell ref="A155:Z155"/>
    <mergeCell ref="P268:V268"/>
    <mergeCell ref="D318:E318"/>
    <mergeCell ref="P339:V339"/>
    <mergeCell ref="A391:Z391"/>
    <mergeCell ref="P101:T101"/>
    <mergeCell ref="A128:O129"/>
    <mergeCell ref="D215:E215"/>
    <mergeCell ref="D386:E386"/>
    <mergeCell ref="P250:V250"/>
    <mergeCell ref="A402:O403"/>
    <mergeCell ref="P465:T465"/>
    <mergeCell ref="P415:T415"/>
    <mergeCell ref="P479:V479"/>
    <mergeCell ref="H5:M5"/>
    <mergeCell ref="P31:V31"/>
    <mergeCell ref="P158:V158"/>
    <mergeCell ref="A214:Z214"/>
    <mergeCell ref="D317:E317"/>
    <mergeCell ref="A285:Z285"/>
    <mergeCell ref="A341:Z341"/>
    <mergeCell ref="D6:M6"/>
    <mergeCell ref="A75:O76"/>
    <mergeCell ref="P175:T175"/>
    <mergeCell ref="P95:V95"/>
    <mergeCell ref="P162:T162"/>
    <mergeCell ref="D143:E143"/>
    <mergeCell ref="A278:Z278"/>
    <mergeCell ref="P227:T227"/>
    <mergeCell ref="P177:T177"/>
    <mergeCell ref="P93:T93"/>
    <mergeCell ref="D85:E85"/>
    <mergeCell ref="D207:E207"/>
    <mergeCell ref="D256:E256"/>
    <mergeCell ref="P335:T335"/>
    <mergeCell ref="D299:E299"/>
    <mergeCell ref="D222:E222"/>
    <mergeCell ref="G17:G18"/>
    <mergeCell ref="V6:W9"/>
    <mergeCell ref="P256:T256"/>
    <mergeCell ref="D199:E199"/>
    <mergeCell ref="P109:T109"/>
    <mergeCell ref="A59:Z59"/>
    <mergeCell ref="D435:E435"/>
    <mergeCell ref="P274:T274"/>
    <mergeCell ref="D217:E217"/>
    <mergeCell ref="P84:T84"/>
    <mergeCell ref="P222:T222"/>
    <mergeCell ref="P22:T22"/>
    <mergeCell ref="P40:T40"/>
    <mergeCell ref="A359:Z359"/>
    <mergeCell ref="D415:E415"/>
    <mergeCell ref="P257:T257"/>
    <mergeCell ref="D194:E194"/>
    <mergeCell ref="Z17:Z18"/>
    <mergeCell ref="A90:Z90"/>
    <mergeCell ref="A277:Z277"/>
    <mergeCell ref="P44:V44"/>
    <mergeCell ref="A390:Z390"/>
    <mergeCell ref="P396:T396"/>
    <mergeCell ref="P398:T398"/>
    <mergeCell ref="D370:E370"/>
    <mergeCell ref="AC17:AC18"/>
    <mergeCell ref="P485:T485"/>
    <mergeCell ref="P108:T108"/>
    <mergeCell ref="P279:T279"/>
    <mergeCell ref="D393:E393"/>
    <mergeCell ref="D418:E418"/>
    <mergeCell ref="P472:T472"/>
    <mergeCell ref="P254:T254"/>
    <mergeCell ref="A104:O105"/>
    <mergeCell ref="P343:T343"/>
    <mergeCell ref="A460:O461"/>
    <mergeCell ref="P318:T318"/>
    <mergeCell ref="AB17:AB18"/>
    <mergeCell ref="D446:E446"/>
    <mergeCell ref="D439:E439"/>
    <mergeCell ref="D481:E481"/>
    <mergeCell ref="P57:V57"/>
    <mergeCell ref="A295:Z295"/>
    <mergeCell ref="P399:T399"/>
    <mergeCell ref="P242:V242"/>
    <mergeCell ref="P413:V413"/>
    <mergeCell ref="P407:V407"/>
    <mergeCell ref="A232:Z232"/>
    <mergeCell ref="P382:V382"/>
    <mergeCell ref="W502:W503"/>
    <mergeCell ref="A489:Z489"/>
    <mergeCell ref="A160:Z160"/>
    <mergeCell ref="A464:Z464"/>
    <mergeCell ref="A141:Z141"/>
    <mergeCell ref="A144:O145"/>
    <mergeCell ref="H10:M10"/>
    <mergeCell ref="AA17:AA18"/>
    <mergeCell ref="A135:Z135"/>
    <mergeCell ref="C502:C503"/>
    <mergeCell ref="E502:E503"/>
    <mergeCell ref="S501:T501"/>
    <mergeCell ref="P357:V357"/>
    <mergeCell ref="A182:Z182"/>
    <mergeCell ref="A296:Z296"/>
    <mergeCell ref="D459:E459"/>
    <mergeCell ref="P123:V123"/>
    <mergeCell ref="D136:E136"/>
    <mergeCell ref="P46:T46"/>
    <mergeCell ref="D434:E434"/>
    <mergeCell ref="P482:V482"/>
    <mergeCell ref="T502:T503"/>
    <mergeCell ref="A412:O413"/>
    <mergeCell ref="V502:V503"/>
    <mergeCell ref="D502:D503"/>
    <mergeCell ref="D114:E114"/>
    <mergeCell ref="F502:F503"/>
    <mergeCell ref="L502:L503"/>
    <mergeCell ref="P143:T143"/>
    <mergeCell ref="D51:E51"/>
    <mergeCell ref="P235:T235"/>
    <mergeCell ref="P306:T306"/>
    <mergeCell ref="P477:T477"/>
    <mergeCell ref="P157:V157"/>
    <mergeCell ref="P213:V213"/>
    <mergeCell ref="P207:T207"/>
    <mergeCell ref="P299:T299"/>
    <mergeCell ref="P326:V326"/>
    <mergeCell ref="P393:T393"/>
    <mergeCell ref="P457:V457"/>
    <mergeCell ref="A82:Z82"/>
    <mergeCell ref="P330:T330"/>
    <mergeCell ref="P395:T395"/>
    <mergeCell ref="D438:E438"/>
    <mergeCell ref="A340:Z340"/>
    <mergeCell ref="A146:Z146"/>
    <mergeCell ref="D204:E204"/>
    <mergeCell ref="P217:T217"/>
    <mergeCell ref="J9:M9"/>
    <mergeCell ref="P440:T440"/>
    <mergeCell ref="P446:T446"/>
    <mergeCell ref="P389:V389"/>
    <mergeCell ref="A388:O389"/>
    <mergeCell ref="D62:E62"/>
    <mergeCell ref="D56:E56"/>
    <mergeCell ref="D127:E127"/>
    <mergeCell ref="P206:T206"/>
    <mergeCell ref="P233:T233"/>
    <mergeCell ref="D176:E176"/>
    <mergeCell ref="A38:Z38"/>
    <mergeCell ref="H17:H18"/>
    <mergeCell ref="D440:E440"/>
    <mergeCell ref="P104:V104"/>
    <mergeCell ref="A252:Z252"/>
    <mergeCell ref="P275:V275"/>
    <mergeCell ref="A157:O158"/>
    <mergeCell ref="P27:T27"/>
    <mergeCell ref="D206:E206"/>
    <mergeCell ref="P247:V247"/>
    <mergeCell ref="D298:E298"/>
    <mergeCell ref="P91:T91"/>
    <mergeCell ref="D273:E273"/>
    <mergeCell ref="D61:E61"/>
    <mergeCell ref="P115:T115"/>
    <mergeCell ref="D254:E254"/>
    <mergeCell ref="A15:M15"/>
    <mergeCell ref="P238:T238"/>
    <mergeCell ref="A427:Z427"/>
    <mergeCell ref="A88:O89"/>
    <mergeCell ref="A153:O154"/>
    <mergeCell ref="D477:E477"/>
    <mergeCell ref="A193:Z193"/>
    <mergeCell ref="P204:T204"/>
    <mergeCell ref="P179:T179"/>
    <mergeCell ref="A198:Z198"/>
    <mergeCell ref="A369:Z369"/>
    <mergeCell ref="P375:T375"/>
    <mergeCell ref="P459:T459"/>
    <mergeCell ref="D465:E465"/>
    <mergeCell ref="P156:T156"/>
    <mergeCell ref="A80:O81"/>
    <mergeCell ref="P105:V105"/>
    <mergeCell ref="P61:T61"/>
    <mergeCell ref="D200:E200"/>
    <mergeCell ref="D436:E436"/>
    <mergeCell ref="D292:E292"/>
    <mergeCell ref="S502:S503"/>
    <mergeCell ref="P80:V80"/>
    <mergeCell ref="D74:E74"/>
    <mergeCell ref="P87:T87"/>
    <mergeCell ref="A203:Z203"/>
    <mergeCell ref="D335:E335"/>
    <mergeCell ref="P451:T451"/>
    <mergeCell ref="P245:T245"/>
    <mergeCell ref="D286:E286"/>
    <mergeCell ref="P491:T491"/>
    <mergeCell ref="P322:T322"/>
    <mergeCell ref="D132:E132"/>
    <mergeCell ref="P211:T211"/>
    <mergeCell ref="D399:E399"/>
    <mergeCell ref="P309:T309"/>
    <mergeCell ref="A377:O378"/>
    <mergeCell ref="D178:E178"/>
    <mergeCell ref="P225:V225"/>
    <mergeCell ref="D172:E172"/>
    <mergeCell ref="P461:V461"/>
    <mergeCell ref="P324:T324"/>
    <mergeCell ref="A441:O442"/>
    <mergeCell ref="A261:Z261"/>
    <mergeCell ref="P338:V338"/>
    <mergeCell ref="T5:U5"/>
    <mergeCell ref="V5:W5"/>
    <mergeCell ref="D46:E46"/>
    <mergeCell ref="P294:V294"/>
    <mergeCell ref="A490:Z490"/>
    <mergeCell ref="D40:E40"/>
    <mergeCell ref="A224:O225"/>
    <mergeCell ref="D233:E233"/>
    <mergeCell ref="P361:T361"/>
    <mergeCell ref="P212:V212"/>
    <mergeCell ref="Q8:R8"/>
    <mergeCell ref="D183:E183"/>
    <mergeCell ref="P311:T311"/>
    <mergeCell ref="A186:O187"/>
    <mergeCell ref="P438:T438"/>
    <mergeCell ref="D444:E444"/>
    <mergeCell ref="D219:E219"/>
    <mergeCell ref="A288:O289"/>
    <mergeCell ref="T6:U9"/>
    <mergeCell ref="P319:V319"/>
    <mergeCell ref="Q10:R10"/>
    <mergeCell ref="P368:V368"/>
    <mergeCell ref="D185:E185"/>
    <mergeCell ref="D41:E41"/>
    <mergeCell ref="P499:V499"/>
    <mergeCell ref="P293:V293"/>
    <mergeCell ref="D343:E343"/>
    <mergeCell ref="P397:T397"/>
    <mergeCell ref="K502:K503"/>
    <mergeCell ref="P74:T74"/>
    <mergeCell ref="P243:V243"/>
    <mergeCell ref="A19:Z19"/>
    <mergeCell ref="P310:T310"/>
    <mergeCell ref="D109:E109"/>
    <mergeCell ref="D280:E280"/>
    <mergeCell ref="D467:E467"/>
    <mergeCell ref="A480:Z480"/>
    <mergeCell ref="P25:V25"/>
    <mergeCell ref="P356:T356"/>
    <mergeCell ref="P383:V383"/>
    <mergeCell ref="A37:Z37"/>
    <mergeCell ref="A379:Z379"/>
    <mergeCell ref="D485:E485"/>
    <mergeCell ref="P320:V320"/>
    <mergeCell ref="P447:V447"/>
    <mergeCell ref="D137:E137"/>
    <mergeCell ref="P216:T216"/>
    <mergeCell ref="P387:T387"/>
    <mergeCell ref="D454:E454"/>
    <mergeCell ref="P185:T185"/>
    <mergeCell ref="D416:E416"/>
    <mergeCell ref="D93:E93"/>
    <mergeCell ref="D264:E264"/>
    <mergeCell ref="A133:O134"/>
    <mergeCell ref="D220:E220"/>
    <mergeCell ref="P497:V497"/>
    <mergeCell ref="P288:V288"/>
    <mergeCell ref="D328:E328"/>
    <mergeCell ref="A188:Z188"/>
    <mergeCell ref="A443:Z443"/>
    <mergeCell ref="P313:V313"/>
    <mergeCell ref="P202:V202"/>
    <mergeCell ref="P380:T380"/>
    <mergeCell ref="D491:E491"/>
    <mergeCell ref="P483:V483"/>
    <mergeCell ref="D227:E227"/>
    <mergeCell ref="P492:V492"/>
    <mergeCell ref="P495:V495"/>
    <mergeCell ref="P496:V496"/>
    <mergeCell ref="C501:H501"/>
    <mergeCell ref="D169:E169"/>
    <mergeCell ref="A312:O313"/>
    <mergeCell ref="P353:T353"/>
    <mergeCell ref="X502:X503"/>
    <mergeCell ref="Z502:Z503"/>
    <mergeCell ref="R502:R503"/>
    <mergeCell ref="P132:T132"/>
    <mergeCell ref="A122:O123"/>
    <mergeCell ref="P367:V367"/>
    <mergeCell ref="D330:E330"/>
    <mergeCell ref="P304:V304"/>
    <mergeCell ref="P181:V181"/>
    <mergeCell ref="A421:Z421"/>
    <mergeCell ref="A201:O202"/>
    <mergeCell ref="D350:E350"/>
    <mergeCell ref="P408:V408"/>
    <mergeCell ref="A338:O339"/>
    <mergeCell ref="A138:O139"/>
    <mergeCell ref="P208:T208"/>
    <mergeCell ref="D396:E396"/>
    <mergeCell ref="P450:T450"/>
    <mergeCell ref="A325:O326"/>
    <mergeCell ref="D352:E352"/>
    <mergeCell ref="A494:O499"/>
    <mergeCell ref="A5:C5"/>
    <mergeCell ref="P412:V412"/>
    <mergeCell ref="P64:V64"/>
    <mergeCell ref="P406:T406"/>
    <mergeCell ref="P191:V191"/>
    <mergeCell ref="P362:V362"/>
    <mergeCell ref="D179:E179"/>
    <mergeCell ref="U501:W501"/>
    <mergeCell ref="P420:V420"/>
    <mergeCell ref="D166:E166"/>
    <mergeCell ref="D337:E337"/>
    <mergeCell ref="A410:Z410"/>
    <mergeCell ref="P128:V128"/>
    <mergeCell ref="A17:A18"/>
    <mergeCell ref="K17:K18"/>
    <mergeCell ref="P195:T195"/>
    <mergeCell ref="C17:C18"/>
    <mergeCell ref="P300:T300"/>
    <mergeCell ref="P431:T431"/>
    <mergeCell ref="D103:E103"/>
    <mergeCell ref="D401:E401"/>
    <mergeCell ref="D168:E168"/>
    <mergeCell ref="D466:E466"/>
    <mergeCell ref="A6:C6"/>
    <mergeCell ref="D309:E309"/>
    <mergeCell ref="D453:E453"/>
    <mergeCell ref="P416:T416"/>
    <mergeCell ref="P167:T167"/>
    <mergeCell ref="P142:T142"/>
    <mergeCell ref="D148:E148"/>
    <mergeCell ref="A161:Z161"/>
    <mergeCell ref="D324:E324"/>
    <mergeCell ref="P117:T117"/>
    <mergeCell ref="P55:T55"/>
    <mergeCell ref="D115:E115"/>
    <mergeCell ref="D311:E311"/>
    <mergeCell ref="Q12:R12"/>
    <mergeCell ref="P280:T280"/>
    <mergeCell ref="P169:T169"/>
    <mergeCell ref="P411:T411"/>
    <mergeCell ref="A68:O69"/>
    <mergeCell ref="P196:V196"/>
    <mergeCell ref="A43:O44"/>
    <mergeCell ref="P133:V133"/>
    <mergeCell ref="P66:T66"/>
    <mergeCell ref="D9:E9"/>
    <mergeCell ref="P137:T137"/>
    <mergeCell ref="P478:V478"/>
    <mergeCell ref="A159:Z159"/>
    <mergeCell ref="P78:T78"/>
    <mergeCell ref="A97:Z97"/>
    <mergeCell ref="Q11:R11"/>
    <mergeCell ref="P205:T205"/>
    <mergeCell ref="A290:Z290"/>
    <mergeCell ref="D322:E322"/>
    <mergeCell ref="P376:T376"/>
    <mergeCell ref="P467:T467"/>
    <mergeCell ref="P53:T53"/>
    <mergeCell ref="D167:E167"/>
    <mergeCell ref="P351:T351"/>
    <mergeCell ref="A419:O420"/>
    <mergeCell ref="P264:T264"/>
    <mergeCell ref="P239:T239"/>
    <mergeCell ref="P186:V186"/>
    <mergeCell ref="P75:V75"/>
    <mergeCell ref="A98:Z98"/>
    <mergeCell ref="D52:E52"/>
    <mergeCell ref="D27:E27"/>
    <mergeCell ref="P15:T16"/>
    <mergeCell ref="D116:E116"/>
    <mergeCell ref="D91:E91"/>
    <mergeCell ref="P470:V470"/>
    <mergeCell ref="D72:E72"/>
    <mergeCell ref="A120:Z120"/>
    <mergeCell ref="D235:E235"/>
    <mergeCell ref="P276:V276"/>
    <mergeCell ref="Q9:R9"/>
    <mergeCell ref="P267:V267"/>
    <mergeCell ref="D451:E451"/>
    <mergeCell ref="D255:E255"/>
    <mergeCell ref="A113:Z113"/>
    <mergeCell ref="P36:V36"/>
    <mergeCell ref="F9:G9"/>
    <mergeCell ref="P23:T23"/>
    <mergeCell ref="D162:E162"/>
    <mergeCell ref="P219:T219"/>
    <mergeCell ref="P272:T272"/>
    <mergeCell ref="D156:E156"/>
    <mergeCell ref="P210:T210"/>
    <mergeCell ref="A196:O197"/>
    <mergeCell ref="A275:O276"/>
    <mergeCell ref="A267:O268"/>
    <mergeCell ref="P308:T308"/>
    <mergeCell ref="A367:O368"/>
    <mergeCell ref="D398:E398"/>
    <mergeCell ref="Y502:Y503"/>
    <mergeCell ref="A482:O483"/>
    <mergeCell ref="P286:T286"/>
    <mergeCell ref="D329:E329"/>
    <mergeCell ref="D400:E400"/>
    <mergeCell ref="P131:T131"/>
    <mergeCell ref="D108:E108"/>
    <mergeCell ref="D375:E375"/>
    <mergeCell ref="P429:T429"/>
    <mergeCell ref="A111:O112"/>
    <mergeCell ref="P423:T423"/>
    <mergeCell ref="P223:T223"/>
    <mergeCell ref="P350:T350"/>
    <mergeCell ref="P201:V201"/>
    <mergeCell ref="P139:V139"/>
    <mergeCell ref="P481:T481"/>
    <mergeCell ref="D306:E306"/>
    <mergeCell ref="P189:T189"/>
    <mergeCell ref="A319:O320"/>
    <mergeCell ref="P424:V424"/>
    <mergeCell ref="A246:O247"/>
    <mergeCell ref="P287:T287"/>
    <mergeCell ref="P281:T281"/>
    <mergeCell ref="P352:T352"/>
    <mergeCell ref="D1:F1"/>
    <mergeCell ref="P190:V190"/>
    <mergeCell ref="P466:T466"/>
    <mergeCell ref="A456:O457"/>
    <mergeCell ref="P488:V488"/>
    <mergeCell ref="P111:V111"/>
    <mergeCell ref="P282:V282"/>
    <mergeCell ref="J17:J18"/>
    <mergeCell ref="L17:L18"/>
    <mergeCell ref="D240:E240"/>
    <mergeCell ref="P48:V48"/>
    <mergeCell ref="A244:Z244"/>
    <mergeCell ref="P255:T255"/>
    <mergeCell ref="P346:V346"/>
    <mergeCell ref="A165:Z165"/>
    <mergeCell ref="A293:O294"/>
    <mergeCell ref="P112:V112"/>
    <mergeCell ref="D100:E100"/>
    <mergeCell ref="P17:T18"/>
    <mergeCell ref="A471:Z471"/>
    <mergeCell ref="A77:Z77"/>
    <mergeCell ref="P194:T194"/>
    <mergeCell ref="A180:O181"/>
    <mergeCell ref="P52:T52"/>
    <mergeCell ref="Y501:Z501"/>
    <mergeCell ref="P475:V475"/>
    <mergeCell ref="D356:E356"/>
    <mergeCell ref="P502:P503"/>
    <mergeCell ref="P164:V164"/>
    <mergeCell ref="H502:H503"/>
    <mergeCell ref="A45:Z45"/>
    <mergeCell ref="A458:Z458"/>
    <mergeCell ref="P35:V35"/>
    <mergeCell ref="P333:V333"/>
    <mergeCell ref="P273:T273"/>
    <mergeCell ref="D316:E316"/>
    <mergeCell ref="D387:E387"/>
    <mergeCell ref="D272:E272"/>
    <mergeCell ref="P400:T400"/>
    <mergeCell ref="D210:E210"/>
    <mergeCell ref="D381:E381"/>
    <mergeCell ref="A250:O251"/>
    <mergeCell ref="D308:E308"/>
    <mergeCell ref="A492:O493"/>
    <mergeCell ref="D87:E87"/>
    <mergeCell ref="P166:T166"/>
    <mergeCell ref="D147:E147"/>
    <mergeCell ref="D209:E209"/>
    <mergeCell ref="A303:O304"/>
    <mergeCell ref="D94:E94"/>
    <mergeCell ref="D361:E361"/>
    <mergeCell ref="D417:E417"/>
    <mergeCell ref="A474:O475"/>
    <mergeCell ref="A392:Z392"/>
    <mergeCell ref="P148:T148"/>
    <mergeCell ref="A47:O48"/>
    <mergeCell ref="P240:T240"/>
    <mergeCell ref="D354:E354"/>
    <mergeCell ref="A332:O333"/>
    <mergeCell ref="P460:V460"/>
    <mergeCell ref="P337:T337"/>
    <mergeCell ref="D274:E274"/>
    <mergeCell ref="D245:E245"/>
    <mergeCell ref="D301:E301"/>
    <mergeCell ref="D380:E380"/>
    <mergeCell ref="P116:T116"/>
    <mergeCell ref="D445:E445"/>
    <mergeCell ref="P103:T103"/>
    <mergeCell ref="P401:T401"/>
    <mergeCell ref="A469:O470"/>
    <mergeCell ref="P168:T168"/>
    <mergeCell ref="D211:E211"/>
    <mergeCell ref="P487:V487"/>
    <mergeCell ref="P266:T266"/>
    <mergeCell ref="A212:O213"/>
    <mergeCell ref="P331:T331"/>
    <mergeCell ref="H1:Q1"/>
    <mergeCell ref="A305:Z305"/>
    <mergeCell ref="P345:V345"/>
    <mergeCell ref="P246:V246"/>
    <mergeCell ref="D28:E28"/>
    <mergeCell ref="P405:T405"/>
    <mergeCell ref="P184:T184"/>
    <mergeCell ref="A374:Z374"/>
    <mergeCell ref="D432:E432"/>
    <mergeCell ref="D236:E236"/>
    <mergeCell ref="D117:E117"/>
    <mergeCell ref="D92:E92"/>
    <mergeCell ref="D55:E55"/>
    <mergeCell ref="D30:E30"/>
    <mergeCell ref="A95:O96"/>
    <mergeCell ref="P171:T171"/>
    <mergeCell ref="D353:E353"/>
    <mergeCell ref="D67:E67"/>
    <mergeCell ref="D5:E5"/>
    <mergeCell ref="A140:Z140"/>
    <mergeCell ref="D7:M7"/>
    <mergeCell ref="A373:Z373"/>
    <mergeCell ref="D365:E365"/>
    <mergeCell ref="P236:T236"/>
    <mergeCell ref="D79:E79"/>
    <mergeCell ref="P92:T92"/>
    <mergeCell ref="D315:E315"/>
    <mergeCell ref="P394:T394"/>
    <mergeCell ref="D302:E302"/>
    <mergeCell ref="P173:T173"/>
    <mergeCell ref="P29:T29"/>
    <mergeCell ref="P100:T100"/>
    <mergeCell ref="P271:T271"/>
    <mergeCell ref="P94:T94"/>
    <mergeCell ref="P265:T265"/>
    <mergeCell ref="D208:E208"/>
    <mergeCell ref="D8:M8"/>
    <mergeCell ref="A382:O383"/>
    <mergeCell ref="D366:E366"/>
    <mergeCell ref="D300:E300"/>
    <mergeCell ref="P237:T237"/>
    <mergeCell ref="A226:Z226"/>
    <mergeCell ref="P329:T329"/>
    <mergeCell ref="P180:V180"/>
    <mergeCell ref="O502:O503"/>
    <mergeCell ref="D253:E253"/>
    <mergeCell ref="D53:E53"/>
    <mergeCell ref="P381:T381"/>
    <mergeCell ref="Q502:Q503"/>
    <mergeCell ref="D351:E351"/>
    <mergeCell ref="D411:E411"/>
    <mergeCell ref="P209:T209"/>
    <mergeCell ref="P147:T147"/>
    <mergeCell ref="P445:T445"/>
    <mergeCell ref="P96:V96"/>
    <mergeCell ref="P332:V332"/>
    <mergeCell ref="P388:V388"/>
    <mergeCell ref="A384:Z384"/>
    <mergeCell ref="B502:B503"/>
    <mergeCell ref="A449:Z449"/>
    <mergeCell ref="P234:T234"/>
    <mergeCell ref="P154:V154"/>
    <mergeCell ref="A321:Z321"/>
    <mergeCell ref="P325:V325"/>
    <mergeCell ref="D142:E142"/>
    <mergeCell ref="D429:E429"/>
    <mergeCell ref="P473:T473"/>
    <mergeCell ref="A462:Z462"/>
    <mergeCell ref="P56:T56"/>
    <mergeCell ref="V10:W10"/>
    <mergeCell ref="D195:E195"/>
    <mergeCell ref="D189:E189"/>
    <mergeCell ref="A124:Z124"/>
    <mergeCell ref="A229:O230"/>
    <mergeCell ref="P99:T99"/>
    <mergeCell ref="D287:E287"/>
    <mergeCell ref="P170:T170"/>
    <mergeCell ref="D66:E66"/>
    <mergeCell ref="D126:E126"/>
    <mergeCell ref="W17:W18"/>
    <mergeCell ref="A50:Z50"/>
    <mergeCell ref="P118:V118"/>
    <mergeCell ref="P251:V251"/>
    <mergeCell ref="A70:Z70"/>
    <mergeCell ref="P42:T42"/>
    <mergeCell ref="A26:Z26"/>
    <mergeCell ref="I17:I18"/>
    <mergeCell ref="A12:M12"/>
    <mergeCell ref="A14:M14"/>
    <mergeCell ref="P51:T51"/>
    <mergeCell ref="P58:V58"/>
    <mergeCell ref="A13:M13"/>
    <mergeCell ref="D486:E486"/>
    <mergeCell ref="P86:T86"/>
    <mergeCell ref="D78:E78"/>
    <mergeCell ref="P328:T328"/>
    <mergeCell ref="D205:E205"/>
    <mergeCell ref="D376:E376"/>
    <mergeCell ref="P455:T455"/>
    <mergeCell ref="P249:T249"/>
    <mergeCell ref="R1:T1"/>
    <mergeCell ref="P172:T172"/>
    <mergeCell ref="P28:T28"/>
    <mergeCell ref="D71:E71"/>
    <mergeCell ref="P150:T150"/>
    <mergeCell ref="P221:T221"/>
    <mergeCell ref="A345:O346"/>
    <mergeCell ref="P215:T215"/>
    <mergeCell ref="D307:E307"/>
    <mergeCell ref="P386:T386"/>
    <mergeCell ref="P432:T432"/>
    <mergeCell ref="P229:V229"/>
    <mergeCell ref="A282:O283"/>
    <mergeCell ref="P30:T30"/>
    <mergeCell ref="D73:E73"/>
    <mergeCell ref="P152:T152"/>
    <mergeCell ref="H9:I9"/>
    <mergeCell ref="P224:V224"/>
    <mergeCell ref="A49:Z49"/>
    <mergeCell ref="P24:V24"/>
    <mergeCell ref="D281:E281"/>
    <mergeCell ref="P89:V89"/>
    <mergeCell ref="A334:Z334"/>
    <mergeCell ref="P454:T454"/>
    <mergeCell ref="D297:E297"/>
    <mergeCell ref="P88:V88"/>
    <mergeCell ref="P259:V259"/>
    <mergeCell ref="P153:V153"/>
    <mergeCell ref="P220:T220"/>
    <mergeCell ref="A65:Z65"/>
    <mergeCell ref="D263:E263"/>
    <mergeCell ref="D238:E238"/>
    <mergeCell ref="P402:V402"/>
    <mergeCell ref="P452:T452"/>
    <mergeCell ref="P377:V377"/>
    <mergeCell ref="P448:V448"/>
    <mergeCell ref="P230:V230"/>
    <mergeCell ref="A63:O64"/>
    <mergeCell ref="B17:B18"/>
    <mergeCell ref="P441:V441"/>
    <mergeCell ref="P79:T79"/>
    <mergeCell ref="D473:E473"/>
    <mergeCell ref="D60:E60"/>
    <mergeCell ref="P73:T73"/>
    <mergeCell ref="P315:T315"/>
    <mergeCell ref="P437:T437"/>
    <mergeCell ref="A190:O191"/>
    <mergeCell ref="D423:E423"/>
    <mergeCell ref="D174:E174"/>
    <mergeCell ref="P302:T302"/>
    <mergeCell ref="D472:E472"/>
    <mergeCell ref="A83:Z83"/>
    <mergeCell ref="A270:Z270"/>
    <mergeCell ref="D131:E131"/>
    <mergeCell ref="A260:Z260"/>
    <mergeCell ref="A407:O408"/>
    <mergeCell ref="P366:T366"/>
    <mergeCell ref="A422:Z422"/>
    <mergeCell ref="D360:E360"/>
    <mergeCell ref="D431:E431"/>
    <mergeCell ref="P468:T468"/>
    <mergeCell ref="P316:T316"/>
    <mergeCell ref="D406:E406"/>
    <mergeCell ref="P453:T453"/>
  </mergeCells>
  <conditionalFormatting sqref="A8:N8 A9:C10 H10:N10 J9:N9 P9:R13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5:R6 P8:R8">
    <cfRule type="expression" dxfId="0" priority="1" stopIfTrue="1">
      <formula>IF($V$5="доставка",1,0)</formula>
    </cfRule>
  </conditionalFormatting>
  <dataValidations xWindow="697" yWindow="616" count="18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CHOOSE($D$7,UnloadAdressList0001)</formula1>
    </dataValidation>
    <dataValidation type="custom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30 X40:X41 X46 X51 X55 X60 X72 X74 X78:X79 X84 X87 X91 X94 X99 X101:X102 X114:X117 X121 X126:X127 X131:X132 X137 X143 X147 X151 X166 X168 X170 X172 X177 X195 X204:X209 X211 X217:X223 X227 X236 X240 X262 X264 X266 X281 X291 X298:X299 X301:X302 X306:X307 X309:X311 X315 X318 X322:X324 X331 X342:X344 X356 X365:X366 X375:X376 X380 X385:X386 X393 X395 X405:X406 X415 X429 X432:X433 X435 X444 X450:X452 X467 X481" xr:uid="{00000000-0002-0000-0000-000011000000}">
      <formula1>IF(AK30&gt;0,OR(X30=0,AND(IF(X30-AK30&gt;=0,TRUE,FALSE),X30&gt;0,IF(X30/H30=ROUND(X30/H30,0),TRUE,FALSE))),FALSE)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761</v>
      </c>
      <c r="H1" s="52"/>
    </row>
    <row r="3" spans="2:8" x14ac:dyDescent="0.2">
      <c r="B3" s="47" t="s">
        <v>762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14</v>
      </c>
      <c r="C6" s="47" t="s">
        <v>763</v>
      </c>
      <c r="D6" s="47" t="s">
        <v>764</v>
      </c>
      <c r="E6" s="47"/>
    </row>
    <row r="8" spans="2:8" x14ac:dyDescent="0.2">
      <c r="B8" s="47" t="s">
        <v>19</v>
      </c>
      <c r="C8" s="47" t="s">
        <v>763</v>
      </c>
      <c r="D8" s="47"/>
      <c r="E8" s="47"/>
    </row>
    <row r="10" spans="2:8" x14ac:dyDescent="0.2">
      <c r="B10" s="47" t="s">
        <v>765</v>
      </c>
      <c r="C10" s="47"/>
      <c r="D10" s="47"/>
      <c r="E10" s="47"/>
    </row>
    <row r="11" spans="2:8" x14ac:dyDescent="0.2">
      <c r="B11" s="47" t="s">
        <v>766</v>
      </c>
      <c r="C11" s="47"/>
      <c r="D11" s="47"/>
      <c r="E11" s="47"/>
    </row>
    <row r="12" spans="2:8" x14ac:dyDescent="0.2">
      <c r="B12" s="47" t="s">
        <v>767</v>
      </c>
      <c r="C12" s="47"/>
      <c r="D12" s="47"/>
      <c r="E12" s="47"/>
    </row>
    <row r="13" spans="2:8" x14ac:dyDescent="0.2">
      <c r="B13" s="47" t="s">
        <v>768</v>
      </c>
      <c r="C13" s="47"/>
      <c r="D13" s="47"/>
      <c r="E13" s="47"/>
    </row>
    <row r="14" spans="2:8" x14ac:dyDescent="0.2">
      <c r="B14" s="47" t="s">
        <v>769</v>
      </c>
      <c r="C14" s="47"/>
      <c r="D14" s="47"/>
      <c r="E14" s="47"/>
    </row>
    <row r="15" spans="2:8" x14ac:dyDescent="0.2">
      <c r="B15" s="47" t="s">
        <v>770</v>
      </c>
      <c r="C15" s="47"/>
      <c r="D15" s="47"/>
      <c r="E15" s="47"/>
    </row>
    <row r="16" spans="2:8" x14ac:dyDescent="0.2">
      <c r="B16" s="47" t="s">
        <v>771</v>
      </c>
      <c r="C16" s="47"/>
      <c r="D16" s="47"/>
      <c r="E16" s="47"/>
    </row>
    <row r="17" spans="2:5" x14ac:dyDescent="0.2">
      <c r="B17" s="47" t="s">
        <v>772</v>
      </c>
      <c r="C17" s="47"/>
      <c r="D17" s="47"/>
      <c r="E17" s="47"/>
    </row>
    <row r="18" spans="2:5" x14ac:dyDescent="0.2">
      <c r="B18" s="47" t="s">
        <v>773</v>
      </c>
      <c r="C18" s="47"/>
      <c r="D18" s="47"/>
      <c r="E18" s="47"/>
    </row>
    <row r="19" spans="2:5" x14ac:dyDescent="0.2">
      <c r="B19" s="47" t="s">
        <v>774</v>
      </c>
      <c r="C19" s="47"/>
      <c r="D19" s="47"/>
      <c r="E19" s="47"/>
    </row>
    <row r="20" spans="2:5" x14ac:dyDescent="0.2">
      <c r="B20" s="47" t="s">
        <v>775</v>
      </c>
      <c r="C20" s="47"/>
      <c r="D20" s="47"/>
      <c r="E20" s="47"/>
    </row>
  </sheetData>
  <sheetProtection algorithmName="SHA-512" hashValue="OBYeWXJl9DcfCyFzkirMSgIbta9txFX5XnBrGMZggZI6sUcOqUEuX+Jxi54q10D/h9/yuMguJTQX7blqTDiKjA==" saltValue="K29+IeUw+5vdKVsYSg6m9A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989</vt:i4>
      </vt:variant>
    </vt:vector>
  </HeadingPairs>
  <TitlesOfParts>
    <vt:vector size="991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2026-01-20T08:48:25Z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