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3C02A56A-A1A3-49F1-AAEE-5C0763A13F0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4" i="1" l="1"/>
  <c r="X493" i="1"/>
  <c r="X492" i="1"/>
  <c r="BO491" i="1"/>
  <c r="BM491" i="1"/>
  <c r="Y491" i="1"/>
  <c r="P491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Y487" i="1" s="1"/>
  <c r="P485" i="1"/>
  <c r="X483" i="1"/>
  <c r="Y482" i="1"/>
  <c r="X482" i="1"/>
  <c r="BP481" i="1"/>
  <c r="BO481" i="1"/>
  <c r="BN481" i="1"/>
  <c r="BM481" i="1"/>
  <c r="Z481" i="1"/>
  <c r="Z482" i="1" s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Y469" i="1" s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Y424" i="1"/>
  <c r="X424" i="1"/>
  <c r="BP423" i="1"/>
  <c r="BO423" i="1"/>
  <c r="BN423" i="1"/>
  <c r="BM423" i="1"/>
  <c r="Z423" i="1"/>
  <c r="Z424" i="1" s="1"/>
  <c r="Y423" i="1"/>
  <c r="Y425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89" i="1"/>
  <c r="Y388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Y389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P291" i="1"/>
  <c r="BO291" i="1"/>
  <c r="BN291" i="1"/>
  <c r="BM291" i="1"/>
  <c r="Z291" i="1"/>
  <c r="Y291" i="1"/>
  <c r="Y293" i="1" s="1"/>
  <c r="P291" i="1"/>
  <c r="X289" i="1"/>
  <c r="X288" i="1"/>
  <c r="BP287" i="1"/>
  <c r="BO287" i="1"/>
  <c r="BN287" i="1"/>
  <c r="BM287" i="1"/>
  <c r="Z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N199" i="1"/>
  <c r="BM199" i="1"/>
  <c r="Z199" i="1"/>
  <c r="Z201" i="1" s="1"/>
  <c r="Y199" i="1"/>
  <c r="P199" i="1"/>
  <c r="X197" i="1"/>
  <c r="Y196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Y163" i="1"/>
  <c r="X163" i="1"/>
  <c r="BP162" i="1"/>
  <c r="BO162" i="1"/>
  <c r="BN162" i="1"/>
  <c r="BM162" i="1"/>
  <c r="Z162" i="1"/>
  <c r="Z163" i="1" s="1"/>
  <c r="Y162" i="1"/>
  <c r="P162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Y144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Y128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7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X25" i="1"/>
  <c r="X24" i="1"/>
  <c r="X498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4" i="1"/>
  <c r="X495" i="1"/>
  <c r="X496" i="1"/>
  <c r="Z23" i="1"/>
  <c r="Z24" i="1" s="1"/>
  <c r="BN23" i="1"/>
  <c r="BP23" i="1"/>
  <c r="Y24" i="1"/>
  <c r="X494" i="1"/>
  <c r="Z27" i="1"/>
  <c r="Z31" i="1" s="1"/>
  <c r="BN27" i="1"/>
  <c r="BP27" i="1"/>
  <c r="Z29" i="1"/>
  <c r="BN29" i="1"/>
  <c r="Y32" i="1"/>
  <c r="Y494" i="1" s="1"/>
  <c r="C504" i="1"/>
  <c r="Z41" i="1"/>
  <c r="Z43" i="1" s="1"/>
  <c r="BN41" i="1"/>
  <c r="BP41" i="1"/>
  <c r="Y44" i="1"/>
  <c r="D504" i="1"/>
  <c r="Y58" i="1"/>
  <c r="Z52" i="1"/>
  <c r="BN52" i="1"/>
  <c r="BP52" i="1"/>
  <c r="Z54" i="1"/>
  <c r="BN54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504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Y118" i="1"/>
  <c r="BP117" i="1"/>
  <c r="BN117" i="1"/>
  <c r="Z117" i="1"/>
  <c r="Y122" i="1"/>
  <c r="BP121" i="1"/>
  <c r="BN121" i="1"/>
  <c r="Z121" i="1"/>
  <c r="Z122" i="1" s="1"/>
  <c r="Y123" i="1"/>
  <c r="G504" i="1"/>
  <c r="Y129" i="1"/>
  <c r="BP126" i="1"/>
  <c r="BN126" i="1"/>
  <c r="Z126" i="1"/>
  <c r="Z128" i="1" s="1"/>
  <c r="Y133" i="1"/>
  <c r="H504" i="1"/>
  <c r="BP143" i="1"/>
  <c r="BN143" i="1"/>
  <c r="Z143" i="1"/>
  <c r="Z144" i="1" s="1"/>
  <c r="Y145" i="1"/>
  <c r="Y154" i="1"/>
  <c r="BP147" i="1"/>
  <c r="BN147" i="1"/>
  <c r="Z147" i="1"/>
  <c r="BP151" i="1"/>
  <c r="BN151" i="1"/>
  <c r="Z151" i="1"/>
  <c r="Y180" i="1"/>
  <c r="BP169" i="1"/>
  <c r="BN169" i="1"/>
  <c r="Z169" i="1"/>
  <c r="BP173" i="1"/>
  <c r="BN173" i="1"/>
  <c r="Z173" i="1"/>
  <c r="BP177" i="1"/>
  <c r="BN177" i="1"/>
  <c r="Z177" i="1"/>
  <c r="BP185" i="1"/>
  <c r="BN185" i="1"/>
  <c r="Z185" i="1"/>
  <c r="Y190" i="1"/>
  <c r="BP189" i="1"/>
  <c r="BN189" i="1"/>
  <c r="Z189" i="1"/>
  <c r="Z190" i="1" s="1"/>
  <c r="Y191" i="1"/>
  <c r="J504" i="1"/>
  <c r="Y197" i="1"/>
  <c r="BP194" i="1"/>
  <c r="BN194" i="1"/>
  <c r="Z194" i="1"/>
  <c r="Z196" i="1" s="1"/>
  <c r="BP299" i="1"/>
  <c r="BN299" i="1"/>
  <c r="Z299" i="1"/>
  <c r="Y303" i="1"/>
  <c r="BP307" i="1"/>
  <c r="BN307" i="1"/>
  <c r="Z307" i="1"/>
  <c r="Z312" i="1" s="1"/>
  <c r="BP311" i="1"/>
  <c r="BN311" i="1"/>
  <c r="Z311" i="1"/>
  <c r="Y313" i="1"/>
  <c r="Y320" i="1"/>
  <c r="BP315" i="1"/>
  <c r="BN315" i="1"/>
  <c r="Z315" i="1"/>
  <c r="Y319" i="1"/>
  <c r="Z325" i="1"/>
  <c r="BP323" i="1"/>
  <c r="BN323" i="1"/>
  <c r="Z323" i="1"/>
  <c r="Y325" i="1"/>
  <c r="F9" i="1"/>
  <c r="J9" i="1"/>
  <c r="Z57" i="1"/>
  <c r="BP61" i="1"/>
  <c r="Y496" i="1" s="1"/>
  <c r="BN61" i="1"/>
  <c r="Z61" i="1"/>
  <c r="Z63" i="1" s="1"/>
  <c r="BP73" i="1"/>
  <c r="BN73" i="1"/>
  <c r="Y495" i="1" s="1"/>
  <c r="Y497" i="1" s="1"/>
  <c r="Z73" i="1"/>
  <c r="BP86" i="1"/>
  <c r="BN86" i="1"/>
  <c r="Z86" i="1"/>
  <c r="BP94" i="1"/>
  <c r="BN94" i="1"/>
  <c r="Z94" i="1"/>
  <c r="Y96" i="1"/>
  <c r="F504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BP132" i="1"/>
  <c r="BN132" i="1"/>
  <c r="Z132" i="1"/>
  <c r="Z133" i="1" s="1"/>
  <c r="Y134" i="1"/>
  <c r="Y139" i="1"/>
  <c r="BP136" i="1"/>
  <c r="BN136" i="1"/>
  <c r="Z136" i="1"/>
  <c r="Z138" i="1" s="1"/>
  <c r="BP149" i="1"/>
  <c r="BN149" i="1"/>
  <c r="Z149" i="1"/>
  <c r="Y153" i="1"/>
  <c r="BP167" i="1"/>
  <c r="BN167" i="1"/>
  <c r="Z167" i="1"/>
  <c r="Z180" i="1" s="1"/>
  <c r="BP171" i="1"/>
  <c r="BN171" i="1"/>
  <c r="Z171" i="1"/>
  <c r="BP175" i="1"/>
  <c r="BN175" i="1"/>
  <c r="Z175" i="1"/>
  <c r="BP179" i="1"/>
  <c r="BN179" i="1"/>
  <c r="Z179" i="1"/>
  <c r="Y181" i="1"/>
  <c r="Y186" i="1"/>
  <c r="BP183" i="1"/>
  <c r="BN183" i="1"/>
  <c r="Z183" i="1"/>
  <c r="Z186" i="1" s="1"/>
  <c r="BP205" i="1"/>
  <c r="BN205" i="1"/>
  <c r="Z205" i="1"/>
  <c r="Z212" i="1" s="1"/>
  <c r="Y213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2" i="1" s="1"/>
  <c r="BP238" i="1"/>
  <c r="BN238" i="1"/>
  <c r="Z238" i="1"/>
  <c r="Y242" i="1"/>
  <c r="BP254" i="1"/>
  <c r="BN254" i="1"/>
  <c r="Z254" i="1"/>
  <c r="Z258" i="1" s="1"/>
  <c r="Y258" i="1"/>
  <c r="BP263" i="1"/>
  <c r="BN263" i="1"/>
  <c r="Z263" i="1"/>
  <c r="Y267" i="1"/>
  <c r="BP272" i="1"/>
  <c r="BN272" i="1"/>
  <c r="Z272" i="1"/>
  <c r="Z275" i="1" s="1"/>
  <c r="Y276" i="1"/>
  <c r="BP281" i="1"/>
  <c r="BN281" i="1"/>
  <c r="Z281" i="1"/>
  <c r="Y283" i="1"/>
  <c r="P504" i="1"/>
  <c r="Y289" i="1"/>
  <c r="BP286" i="1"/>
  <c r="BN286" i="1"/>
  <c r="Z286" i="1"/>
  <c r="Z288" i="1" s="1"/>
  <c r="Y288" i="1"/>
  <c r="BP331" i="1"/>
  <c r="BN331" i="1"/>
  <c r="Z331" i="1"/>
  <c r="Y333" i="1"/>
  <c r="Y338" i="1"/>
  <c r="BP335" i="1"/>
  <c r="BN335" i="1"/>
  <c r="Z335" i="1"/>
  <c r="Y339" i="1"/>
  <c r="BP344" i="1"/>
  <c r="BN344" i="1"/>
  <c r="Z344" i="1"/>
  <c r="BP351" i="1"/>
  <c r="BN351" i="1"/>
  <c r="Z351" i="1"/>
  <c r="Z357" i="1" s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Z407" i="1" s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I504" i="1"/>
  <c r="Y164" i="1"/>
  <c r="Y202" i="1"/>
  <c r="BP199" i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59" i="1"/>
  <c r="BP256" i="1"/>
  <c r="BN256" i="1"/>
  <c r="Z256" i="1"/>
  <c r="L504" i="1"/>
  <c r="BP265" i="1"/>
  <c r="BN265" i="1"/>
  <c r="Z265" i="1"/>
  <c r="Z267" i="1" s="1"/>
  <c r="BP274" i="1"/>
  <c r="BN274" i="1"/>
  <c r="Z274" i="1"/>
  <c r="O504" i="1"/>
  <c r="Y282" i="1"/>
  <c r="BP279" i="1"/>
  <c r="BN279" i="1"/>
  <c r="Z279" i="1"/>
  <c r="Z282" i="1" s="1"/>
  <c r="BP292" i="1"/>
  <c r="BN292" i="1"/>
  <c r="Z292" i="1"/>
  <c r="Z293" i="1" s="1"/>
  <c r="Y294" i="1"/>
  <c r="Y304" i="1"/>
  <c r="BP297" i="1"/>
  <c r="BN297" i="1"/>
  <c r="Z297" i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Z332" i="1" s="1"/>
  <c r="BP337" i="1"/>
  <c r="BN337" i="1"/>
  <c r="Z337" i="1"/>
  <c r="R504" i="1"/>
  <c r="Y346" i="1"/>
  <c r="Y345" i="1"/>
  <c r="BP342" i="1"/>
  <c r="BN342" i="1"/>
  <c r="Z342" i="1"/>
  <c r="Z345" i="1" s="1"/>
  <c r="BP376" i="1"/>
  <c r="BN376" i="1"/>
  <c r="Z376" i="1"/>
  <c r="Z377" i="1" s="1"/>
  <c r="Y378" i="1"/>
  <c r="Y383" i="1"/>
  <c r="BP380" i="1"/>
  <c r="BN380" i="1"/>
  <c r="Z380" i="1"/>
  <c r="Z382" i="1" s="1"/>
  <c r="Y382" i="1"/>
  <c r="Q504" i="1"/>
  <c r="BP430" i="1"/>
  <c r="BN430" i="1"/>
  <c r="Z430" i="1"/>
  <c r="Z441" i="1" s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Y403" i="1"/>
  <c r="BP396" i="1"/>
  <c r="BN396" i="1"/>
  <c r="Z396" i="1"/>
  <c r="Z402" i="1" s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BP436" i="1"/>
  <c r="BN436" i="1"/>
  <c r="Z436" i="1"/>
  <c r="BP440" i="1"/>
  <c r="BN440" i="1"/>
  <c r="Z440" i="1"/>
  <c r="Y447" i="1"/>
  <c r="BP444" i="1"/>
  <c r="BN444" i="1"/>
  <c r="Z444" i="1"/>
  <c r="Z447" i="1" s="1"/>
  <c r="BP452" i="1"/>
  <c r="BN452" i="1"/>
  <c r="Z452" i="1"/>
  <c r="BP466" i="1"/>
  <c r="BN466" i="1"/>
  <c r="Z466" i="1"/>
  <c r="BP486" i="1"/>
  <c r="BN486" i="1"/>
  <c r="Z486" i="1"/>
  <c r="Z487" i="1" s="1"/>
  <c r="Y488" i="1"/>
  <c r="Z504" i="1"/>
  <c r="Y492" i="1"/>
  <c r="BP491" i="1"/>
  <c r="BN491" i="1"/>
  <c r="Z491" i="1"/>
  <c r="Z492" i="1" s="1"/>
  <c r="Y493" i="1"/>
  <c r="Y441" i="1"/>
  <c r="Z224" i="1" l="1"/>
  <c r="Z419" i="1"/>
  <c r="Z338" i="1"/>
  <c r="Z319" i="1"/>
  <c r="Y498" i="1"/>
  <c r="Z469" i="1"/>
  <c r="Z456" i="1"/>
  <c r="Z303" i="1"/>
  <c r="Z104" i="1"/>
  <c r="Z153" i="1"/>
  <c r="Z95" i="1"/>
  <c r="Z88" i="1"/>
  <c r="Z75" i="1"/>
  <c r="Z499" i="1" s="1"/>
  <c r="X497" i="1"/>
</calcChain>
</file>

<file path=xl/sharedStrings.xml><?xml version="1.0" encoding="utf-8"?>
<sst xmlns="http://schemas.openxmlformats.org/spreadsheetml/2006/main" count="2363" uniqueCount="776">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</sst>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topLeftCell="A483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1" t="s">
        <v>0</v>
      </c>
      <c r="E1" s="582"/>
      <c r="F1" s="582"/>
      <c r="G1" s="12" t="s">
        <v>1</v>
      </c>
      <c r="H1" s="631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77" t="s">
        <v>8</v>
      </c>
      <c r="B5" s="678"/>
      <c r="C5" s="679"/>
      <c r="D5" s="635"/>
      <c r="E5" s="636"/>
      <c r="F5" s="838" t="s">
        <v>9</v>
      </c>
      <c r="G5" s="679"/>
      <c r="H5" s="635"/>
      <c r="I5" s="793"/>
      <c r="J5" s="793"/>
      <c r="K5" s="793"/>
      <c r="L5" s="793"/>
      <c r="M5" s="636"/>
      <c r="N5" s="58"/>
      <c r="P5" s="24" t="s">
        <v>10</v>
      </c>
      <c r="Q5" s="853">
        <v>46044</v>
      </c>
      <c r="R5" s="674"/>
      <c r="T5" s="723" t="s">
        <v>11</v>
      </c>
      <c r="U5" s="691"/>
      <c r="V5" s="724" t="s">
        <v>12</v>
      </c>
      <c r="W5" s="674"/>
      <c r="AB5" s="51"/>
      <c r="AC5" s="51"/>
      <c r="AD5" s="51"/>
      <c r="AE5" s="51"/>
    </row>
    <row r="6" spans="1:32" s="545" customFormat="1" ht="24" customHeight="1" x14ac:dyDescent="0.2">
      <c r="A6" s="677" t="s">
        <v>13</v>
      </c>
      <c r="B6" s="678"/>
      <c r="C6" s="679"/>
      <c r="D6" s="795" t="s">
        <v>14</v>
      </c>
      <c r="E6" s="796"/>
      <c r="F6" s="796"/>
      <c r="G6" s="796"/>
      <c r="H6" s="796"/>
      <c r="I6" s="796"/>
      <c r="J6" s="796"/>
      <c r="K6" s="796"/>
      <c r="L6" s="796"/>
      <c r="M6" s="674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8" t="s">
        <v>16</v>
      </c>
      <c r="U6" s="691"/>
      <c r="V6" s="779" t="s">
        <v>17</v>
      </c>
      <c r="W6" s="596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4"/>
      <c r="U7" s="691"/>
      <c r="V7" s="780"/>
      <c r="W7" s="781"/>
      <c r="AB7" s="51"/>
      <c r="AC7" s="51"/>
      <c r="AD7" s="51"/>
      <c r="AE7" s="51"/>
    </row>
    <row r="8" spans="1:32" s="545" customFormat="1" ht="25.5" customHeight="1" x14ac:dyDescent="0.2">
      <c r="A8" s="874" t="s">
        <v>18</v>
      </c>
      <c r="B8" s="571"/>
      <c r="C8" s="572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6">
        <v>0.41666666666666669</v>
      </c>
      <c r="R8" s="611"/>
      <c r="T8" s="564"/>
      <c r="U8" s="691"/>
      <c r="V8" s="780"/>
      <c r="W8" s="781"/>
      <c r="AB8" s="51"/>
      <c r="AC8" s="51"/>
      <c r="AD8" s="51"/>
      <c r="AE8" s="51"/>
    </row>
    <row r="9" spans="1:32" s="545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0"/>
      <c r="E9" s="569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3"/>
      <c r="P9" s="26" t="s">
        <v>21</v>
      </c>
      <c r="Q9" s="670"/>
      <c r="R9" s="671"/>
      <c r="T9" s="564"/>
      <c r="U9" s="691"/>
      <c r="V9" s="782"/>
      <c r="W9" s="783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0"/>
      <c r="E10" s="569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70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9"/>
      <c r="R10" s="730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3"/>
      <c r="R11" s="674"/>
      <c r="U11" s="24" t="s">
        <v>27</v>
      </c>
      <c r="V11" s="808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19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86"/>
      <c r="R12" s="611"/>
      <c r="S12" s="23"/>
      <c r="U12" s="24"/>
      <c r="V12" s="582"/>
      <c r="W12" s="564"/>
      <c r="AB12" s="51"/>
      <c r="AC12" s="51"/>
      <c r="AD12" s="51"/>
      <c r="AE12" s="51"/>
    </row>
    <row r="13" spans="1:32" s="545" customFormat="1" ht="23.25" customHeight="1" x14ac:dyDescent="0.2">
      <c r="A13" s="719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08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19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6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10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1"/>
      <c r="Q16" s="711"/>
      <c r="R16" s="711"/>
      <c r="S16" s="711"/>
      <c r="T16" s="7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96" t="s">
        <v>38</v>
      </c>
      <c r="D17" s="592" t="s">
        <v>39</v>
      </c>
      <c r="E17" s="653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52"/>
      <c r="R17" s="652"/>
      <c r="S17" s="652"/>
      <c r="T17" s="653"/>
      <c r="U17" s="870" t="s">
        <v>51</v>
      </c>
      <c r="V17" s="679"/>
      <c r="W17" s="592" t="s">
        <v>52</v>
      </c>
      <c r="X17" s="592" t="s">
        <v>53</v>
      </c>
      <c r="Y17" s="872" t="s">
        <v>54</v>
      </c>
      <c r="Z17" s="791" t="s">
        <v>55</v>
      </c>
      <c r="AA17" s="768" t="s">
        <v>56</v>
      </c>
      <c r="AB17" s="768" t="s">
        <v>57</v>
      </c>
      <c r="AC17" s="768" t="s">
        <v>58</v>
      </c>
      <c r="AD17" s="768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4"/>
      <c r="E18" s="656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3"/>
      <c r="X18" s="593"/>
      <c r="Y18" s="873"/>
      <c r="Z18" s="792"/>
      <c r="AA18" s="769"/>
      <c r="AB18" s="769"/>
      <c r="AC18" s="769"/>
      <c r="AD18" s="835"/>
      <c r="AE18" s="836"/>
      <c r="AF18" s="837"/>
      <c r="AG18" s="66"/>
      <c r="BD18" s="65"/>
    </row>
    <row r="19" spans="1:68" ht="27.75" customHeight="1" x14ac:dyDescent="0.2">
      <c r="A19" s="626" t="s">
        <v>63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48"/>
      <c r="AB19" s="48"/>
      <c r="AC19" s="48"/>
    </row>
    <row r="20" spans="1:68" ht="16.5" customHeight="1" x14ac:dyDescent="0.25">
      <c r="A20" s="57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70" t="s">
        <v>75</v>
      </c>
      <c r="Q24" s="571"/>
      <c r="R24" s="571"/>
      <c r="S24" s="571"/>
      <c r="T24" s="571"/>
      <c r="U24" s="571"/>
      <c r="V24" s="572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70" t="s">
        <v>75</v>
      </c>
      <c r="Q25" s="571"/>
      <c r="R25" s="571"/>
      <c r="S25" s="571"/>
      <c r="T25" s="571"/>
      <c r="U25" s="571"/>
      <c r="V25" s="572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70" t="s">
        <v>75</v>
      </c>
      <c r="Q31" s="571"/>
      <c r="R31" s="571"/>
      <c r="S31" s="571"/>
      <c r="T31" s="571"/>
      <c r="U31" s="571"/>
      <c r="V31" s="572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70" t="s">
        <v>75</v>
      </c>
      <c r="Q32" s="571"/>
      <c r="R32" s="571"/>
      <c r="S32" s="571"/>
      <c r="T32" s="571"/>
      <c r="U32" s="571"/>
      <c r="V32" s="572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1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70" t="s">
        <v>75</v>
      </c>
      <c r="Q35" s="571"/>
      <c r="R35" s="571"/>
      <c r="S35" s="571"/>
      <c r="T35" s="571"/>
      <c r="U35" s="571"/>
      <c r="V35" s="572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70" t="s">
        <v>75</v>
      </c>
      <c r="Q36" s="571"/>
      <c r="R36" s="571"/>
      <c r="S36" s="571"/>
      <c r="T36" s="571"/>
      <c r="U36" s="571"/>
      <c r="V36" s="572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customHeight="1" x14ac:dyDescent="0.2">
      <c r="A37" s="626" t="s">
        <v>99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48"/>
      <c r="AB37" s="48"/>
      <c r="AC37" s="48"/>
    </row>
    <row r="38" spans="1:68" ht="16.5" customHeight="1" x14ac:dyDescent="0.25">
      <c r="A38" s="573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30</v>
      </c>
      <c r="Y40" s="552">
        <f>IFERROR(IF(X40="",0,CEILING((X40/$H40),1)*$H40),"")</f>
        <v>32.400000000000006</v>
      </c>
      <c r="Z40" s="36">
        <f>IFERROR(IF(Y40=0,"",ROUNDUP(Y40/H40,0)*0.01898),"")</f>
        <v>5.6940000000000004E-2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31.138888888888889</v>
      </c>
      <c r="BN40" s="64">
        <f>IFERROR(Y40*I40/H40,"0")</f>
        <v>33.630000000000003</v>
      </c>
      <c r="BO40" s="64">
        <f>IFERROR(1/J40*(X40/H40),"0")</f>
        <v>4.3402777777777776E-2</v>
      </c>
      <c r="BP40" s="64">
        <f>IFERROR(1/J40*(Y40/H40),"0")</f>
        <v>4.6875000000000007E-2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0</v>
      </c>
      <c r="Y41" s="55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70" t="s">
        <v>75</v>
      </c>
      <c r="Q43" s="571"/>
      <c r="R43" s="571"/>
      <c r="S43" s="571"/>
      <c r="T43" s="571"/>
      <c r="U43" s="571"/>
      <c r="V43" s="572"/>
      <c r="W43" s="37" t="s">
        <v>76</v>
      </c>
      <c r="X43" s="553">
        <f>IFERROR(X40/H40,"0")+IFERROR(X41/H41,"0")+IFERROR(X42/H42,"0")</f>
        <v>2.7777777777777777</v>
      </c>
      <c r="Y43" s="553">
        <f>IFERROR(Y40/H40,"0")+IFERROR(Y41/H41,"0")+IFERROR(Y42/H42,"0")</f>
        <v>3.0000000000000004</v>
      </c>
      <c r="Z43" s="553">
        <f>IFERROR(IF(Z40="",0,Z40),"0")+IFERROR(IF(Z41="",0,Z41),"0")+IFERROR(IF(Z42="",0,Z42),"0")</f>
        <v>5.6940000000000004E-2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70" t="s">
        <v>75</v>
      </c>
      <c r="Q44" s="571"/>
      <c r="R44" s="571"/>
      <c r="S44" s="571"/>
      <c r="T44" s="571"/>
      <c r="U44" s="571"/>
      <c r="V44" s="572"/>
      <c r="W44" s="37" t="s">
        <v>69</v>
      </c>
      <c r="X44" s="553">
        <f>IFERROR(SUM(X40:X42),"0")</f>
        <v>30</v>
      </c>
      <c r="Y44" s="553">
        <f>IFERROR(SUM(Y40:Y42),"0")</f>
        <v>32.400000000000006</v>
      </c>
      <c r="Z44" s="37"/>
      <c r="AA44" s="554"/>
      <c r="AB44" s="554"/>
      <c r="AC44" s="554"/>
    </row>
    <row r="45" spans="1:68" ht="14.25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70" t="s">
        <v>75</v>
      </c>
      <c r="Q47" s="571"/>
      <c r="R47" s="571"/>
      <c r="S47" s="571"/>
      <c r="T47" s="571"/>
      <c r="U47" s="571"/>
      <c r="V47" s="572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70" t="s">
        <v>75</v>
      </c>
      <c r="Q48" s="571"/>
      <c r="R48" s="571"/>
      <c r="S48" s="571"/>
      <c r="T48" s="571"/>
      <c r="U48" s="571"/>
      <c r="V48" s="572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customHeight="1" x14ac:dyDescent="0.25">
      <c r="A49" s="573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100</v>
      </c>
      <c r="Y52" s="55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21</v>
      </c>
      <c r="Y56" s="552">
        <f t="shared" si="0"/>
        <v>22.5</v>
      </c>
      <c r="Z56" s="36">
        <f>IFERROR(IF(Y56=0,"",ROUNDUP(Y56/H56,0)*0.00902),"")</f>
        <v>4.5100000000000001E-2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21.88666666666667</v>
      </c>
      <c r="BN56" s="64">
        <f t="shared" si="2"/>
        <v>23.450000000000003</v>
      </c>
      <c r="BO56" s="64">
        <f t="shared" si="3"/>
        <v>3.5353535353535359E-2</v>
      </c>
      <c r="BP56" s="64">
        <f t="shared" si="4"/>
        <v>3.787878787878788E-2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70" t="s">
        <v>75</v>
      </c>
      <c r="Q57" s="571"/>
      <c r="R57" s="571"/>
      <c r="S57" s="571"/>
      <c r="T57" s="571"/>
      <c r="U57" s="571"/>
      <c r="V57" s="572"/>
      <c r="W57" s="37" t="s">
        <v>76</v>
      </c>
      <c r="X57" s="553">
        <f>IFERROR(X51/H51,"0")+IFERROR(X52/H52,"0")+IFERROR(X53/H53,"0")+IFERROR(X54/H54,"0")+IFERROR(X55/H55,"0")+IFERROR(X56/H56,"0")</f>
        <v>13.925925925925927</v>
      </c>
      <c r="Y57" s="553">
        <f>IFERROR(Y51/H51,"0")+IFERROR(Y52/H52,"0")+IFERROR(Y53/H53,"0")+IFERROR(Y54/H54,"0")+IFERROR(Y55/H55,"0")+IFERROR(Y56/H56,"0")</f>
        <v>15</v>
      </c>
      <c r="Z57" s="553">
        <f>IFERROR(IF(Z51="",0,Z51),"0")+IFERROR(IF(Z52="",0,Z52),"0")+IFERROR(IF(Z53="",0,Z53),"0")+IFERROR(IF(Z54="",0,Z54),"0")+IFERROR(IF(Z55="",0,Z55),"0")+IFERROR(IF(Z56="",0,Z56),"0")</f>
        <v>0.2349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70" t="s">
        <v>75</v>
      </c>
      <c r="Q58" s="571"/>
      <c r="R58" s="571"/>
      <c r="S58" s="571"/>
      <c r="T58" s="571"/>
      <c r="U58" s="571"/>
      <c r="V58" s="572"/>
      <c r="W58" s="37" t="s">
        <v>69</v>
      </c>
      <c r="X58" s="553">
        <f>IFERROR(SUM(X51:X56),"0")</f>
        <v>121</v>
      </c>
      <c r="Y58" s="553">
        <f>IFERROR(SUM(Y51:Y56),"0")</f>
        <v>130.5</v>
      </c>
      <c r="Z58" s="37"/>
      <c r="AA58" s="554"/>
      <c r="AB58" s="554"/>
      <c r="AC58" s="554"/>
    </row>
    <row r="59" spans="1:68" ht="14.25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640</v>
      </c>
      <c r="Y60" s="552">
        <f>IFERROR(IF(X60="",0,CEILING((X60/$H60),1)*$H60),"")</f>
        <v>648</v>
      </c>
      <c r="Z60" s="36">
        <f>IFERROR(IF(Y60=0,"",ROUNDUP(Y60/H60,0)*0.01898),"")</f>
        <v>1.1388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664.2962962962963</v>
      </c>
      <c r="BN60" s="64">
        <f>IFERROR(Y60*I60/H60,"0")</f>
        <v>672.6</v>
      </c>
      <c r="BO60" s="64">
        <f>IFERROR(1/J60*(X60/H60),"0")</f>
        <v>0.92592592592592582</v>
      </c>
      <c r="BP60" s="64">
        <f>IFERROR(1/J60*(Y60/H60),"0")</f>
        <v>0.93749999999999989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2</v>
      </c>
      <c r="Y62" s="552">
        <f>IFERROR(IF(X62="",0,CEILING((X62/$H62),1)*$H62),"")</f>
        <v>2.7</v>
      </c>
      <c r="Z62" s="36">
        <f>IFERROR(IF(Y62=0,"",ROUNDUP(Y62/H62,0)*0.00651),"")</f>
        <v>6.5100000000000002E-3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2.1333333333333333</v>
      </c>
      <c r="BN62" s="64">
        <f>IFERROR(Y62*I62/H62,"0")</f>
        <v>2.88</v>
      </c>
      <c r="BO62" s="64">
        <f>IFERROR(1/J62*(X62/H62),"0")</f>
        <v>4.0700040700040697E-3</v>
      </c>
      <c r="BP62" s="64">
        <f>IFERROR(1/J62*(Y62/H62),"0")</f>
        <v>5.4945054945054949E-3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70" t="s">
        <v>75</v>
      </c>
      <c r="Q63" s="571"/>
      <c r="R63" s="571"/>
      <c r="S63" s="571"/>
      <c r="T63" s="571"/>
      <c r="U63" s="571"/>
      <c r="V63" s="572"/>
      <c r="W63" s="37" t="s">
        <v>76</v>
      </c>
      <c r="X63" s="553">
        <f>IFERROR(X60/H60,"0")+IFERROR(X61/H61,"0")+IFERROR(X62/H62,"0")</f>
        <v>59.999999999999993</v>
      </c>
      <c r="Y63" s="553">
        <f>IFERROR(Y60/H60,"0")+IFERROR(Y61/H61,"0")+IFERROR(Y62/H62,"0")</f>
        <v>60.999999999999993</v>
      </c>
      <c r="Z63" s="553">
        <f>IFERROR(IF(Z60="",0,Z60),"0")+IFERROR(IF(Z61="",0,Z61),"0")+IFERROR(IF(Z62="",0,Z62),"0")</f>
        <v>1.1453100000000001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70" t="s">
        <v>75</v>
      </c>
      <c r="Q64" s="571"/>
      <c r="R64" s="571"/>
      <c r="S64" s="571"/>
      <c r="T64" s="571"/>
      <c r="U64" s="571"/>
      <c r="V64" s="572"/>
      <c r="W64" s="37" t="s">
        <v>69</v>
      </c>
      <c r="X64" s="553">
        <f>IFERROR(SUM(X60:X62),"0")</f>
        <v>642</v>
      </c>
      <c r="Y64" s="553">
        <f>IFERROR(SUM(Y60:Y62),"0")</f>
        <v>650.70000000000005</v>
      </c>
      <c r="Z64" s="37"/>
      <c r="AA64" s="554"/>
      <c r="AB64" s="554"/>
      <c r="AC64" s="554"/>
    </row>
    <row r="65" spans="1:68" ht="14.25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70" t="s">
        <v>75</v>
      </c>
      <c r="Q68" s="571"/>
      <c r="R68" s="571"/>
      <c r="S68" s="571"/>
      <c r="T68" s="571"/>
      <c r="U68" s="571"/>
      <c r="V68" s="572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70" t="s">
        <v>75</v>
      </c>
      <c r="Q69" s="571"/>
      <c r="R69" s="571"/>
      <c r="S69" s="571"/>
      <c r="T69" s="571"/>
      <c r="U69" s="571"/>
      <c r="V69" s="572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70" t="s">
        <v>75</v>
      </c>
      <c r="Q75" s="571"/>
      <c r="R75" s="571"/>
      <c r="S75" s="571"/>
      <c r="T75" s="571"/>
      <c r="U75" s="571"/>
      <c r="V75" s="572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70" t="s">
        <v>75</v>
      </c>
      <c r="Q76" s="571"/>
      <c r="R76" s="571"/>
      <c r="S76" s="571"/>
      <c r="T76" s="571"/>
      <c r="U76" s="571"/>
      <c r="V76" s="572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60</v>
      </c>
      <c r="Y78" s="552">
        <f>IFERROR(IF(X78="",0,CEILING((X78/$H78),1)*$H78),"")</f>
        <v>62.4</v>
      </c>
      <c r="Z78" s="36">
        <f>IFERROR(IF(Y78=0,"",ROUNDUP(Y78/H78,0)*0.01898),"")</f>
        <v>0.15184</v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63.15384615384616</v>
      </c>
      <c r="BN78" s="64">
        <f>IFERROR(Y78*I78/H78,"0")</f>
        <v>65.680000000000007</v>
      </c>
      <c r="BO78" s="64">
        <f>IFERROR(1/J78*(X78/H78),"0")</f>
        <v>0.1201923076923077</v>
      </c>
      <c r="BP78" s="64">
        <f>IFERROR(1/J78*(Y78/H78),"0")</f>
        <v>0.125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70" t="s">
        <v>75</v>
      </c>
      <c r="Q80" s="571"/>
      <c r="R80" s="571"/>
      <c r="S80" s="571"/>
      <c r="T80" s="571"/>
      <c r="U80" s="571"/>
      <c r="V80" s="572"/>
      <c r="W80" s="37" t="s">
        <v>76</v>
      </c>
      <c r="X80" s="553">
        <f>IFERROR(X78/H78,"0")+IFERROR(X79/H79,"0")</f>
        <v>7.6923076923076925</v>
      </c>
      <c r="Y80" s="553">
        <f>IFERROR(Y78/H78,"0")+IFERROR(Y79/H79,"0")</f>
        <v>8</v>
      </c>
      <c r="Z80" s="553">
        <f>IFERROR(IF(Z78="",0,Z78),"0")+IFERROR(IF(Z79="",0,Z79),"0")</f>
        <v>0.15184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70" t="s">
        <v>75</v>
      </c>
      <c r="Q81" s="571"/>
      <c r="R81" s="571"/>
      <c r="S81" s="571"/>
      <c r="T81" s="571"/>
      <c r="U81" s="571"/>
      <c r="V81" s="572"/>
      <c r="W81" s="37" t="s">
        <v>69</v>
      </c>
      <c r="X81" s="553">
        <f>IFERROR(SUM(X78:X79),"0")</f>
        <v>60</v>
      </c>
      <c r="Y81" s="553">
        <f>IFERROR(SUM(Y78:Y79),"0")</f>
        <v>62.4</v>
      </c>
      <c r="Z81" s="37"/>
      <c r="AA81" s="554"/>
      <c r="AB81" s="554"/>
      <c r="AC81" s="554"/>
    </row>
    <row r="82" spans="1:68" ht="16.5" customHeight="1" x14ac:dyDescent="0.25">
      <c r="A82" s="573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0</v>
      </c>
      <c r="Y84" s="552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70" t="s">
        <v>75</v>
      </c>
      <c r="Q88" s="571"/>
      <c r="R88" s="571"/>
      <c r="S88" s="571"/>
      <c r="T88" s="571"/>
      <c r="U88" s="571"/>
      <c r="V88" s="572"/>
      <c r="W88" s="37" t="s">
        <v>76</v>
      </c>
      <c r="X88" s="553">
        <f>IFERROR(X84/H84,"0")+IFERROR(X85/H85,"0")+IFERROR(X86/H86,"0")+IFERROR(X87/H87,"0")</f>
        <v>0</v>
      </c>
      <c r="Y88" s="553">
        <f>IFERROR(Y84/H84,"0")+IFERROR(Y85/H85,"0")+IFERROR(Y86/H86,"0")+IFERROR(Y87/H87,"0")</f>
        <v>0</v>
      </c>
      <c r="Z88" s="553">
        <f>IFERROR(IF(Z84="",0,Z84),"0")+IFERROR(IF(Z85="",0,Z85),"0")+IFERROR(IF(Z86="",0,Z86),"0")+IFERROR(IF(Z87="",0,Z87),"0")</f>
        <v>0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70" t="s">
        <v>75</v>
      </c>
      <c r="Q89" s="571"/>
      <c r="R89" s="571"/>
      <c r="S89" s="571"/>
      <c r="T89" s="571"/>
      <c r="U89" s="571"/>
      <c r="V89" s="572"/>
      <c r="W89" s="37" t="s">
        <v>69</v>
      </c>
      <c r="X89" s="553">
        <f>IFERROR(SUM(X84:X87),"0")</f>
        <v>0</v>
      </c>
      <c r="Y89" s="553">
        <f>IFERROR(SUM(Y84:Y87),"0")</f>
        <v>0</v>
      </c>
      <c r="Z89" s="37"/>
      <c r="AA89" s="554"/>
      <c r="AB89" s="554"/>
      <c r="AC89" s="554"/>
    </row>
    <row r="90" spans="1:68" ht="14.25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30</v>
      </c>
      <c r="Y91" s="552">
        <f>IFERROR(IF(X91="",0,CEILING((X91/$H91),1)*$H91),"")</f>
        <v>32.4</v>
      </c>
      <c r="Z91" s="36">
        <f>IFERROR(IF(Y91=0,"",ROUNDUP(Y91/H91,0)*0.01898),"")</f>
        <v>7.5920000000000001E-2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31.829629629629629</v>
      </c>
      <c r="BN91" s="64">
        <f>IFERROR(Y91*I91/H91,"0")</f>
        <v>34.375999999999998</v>
      </c>
      <c r="BO91" s="64">
        <f>IFERROR(1/J91*(X91/H91),"0")</f>
        <v>5.7870370370370371E-2</v>
      </c>
      <c r="BP91" s="64">
        <f>IFERROR(1/J91*(Y91/H91),"0")</f>
        <v>6.25E-2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70" t="s">
        <v>75</v>
      </c>
      <c r="Q95" s="571"/>
      <c r="R95" s="571"/>
      <c r="S95" s="571"/>
      <c r="T95" s="571"/>
      <c r="U95" s="571"/>
      <c r="V95" s="572"/>
      <c r="W95" s="37" t="s">
        <v>76</v>
      </c>
      <c r="X95" s="553">
        <f>IFERROR(X91/H91,"0")+IFERROR(X92/H92,"0")+IFERROR(X93/H93,"0")+IFERROR(X94/H94,"0")</f>
        <v>3.7037037037037037</v>
      </c>
      <c r="Y95" s="553">
        <f>IFERROR(Y91/H91,"0")+IFERROR(Y92/H92,"0")+IFERROR(Y93/H93,"0")+IFERROR(Y94/H94,"0")</f>
        <v>4</v>
      </c>
      <c r="Z95" s="553">
        <f>IFERROR(IF(Z91="",0,Z91),"0")+IFERROR(IF(Z92="",0,Z92),"0")+IFERROR(IF(Z93="",0,Z93),"0")+IFERROR(IF(Z94="",0,Z94),"0")</f>
        <v>7.5920000000000001E-2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70" t="s">
        <v>75</v>
      </c>
      <c r="Q96" s="571"/>
      <c r="R96" s="571"/>
      <c r="S96" s="571"/>
      <c r="T96" s="571"/>
      <c r="U96" s="571"/>
      <c r="V96" s="572"/>
      <c r="W96" s="37" t="s">
        <v>69</v>
      </c>
      <c r="X96" s="553">
        <f>IFERROR(SUM(X91:X94),"0")</f>
        <v>30</v>
      </c>
      <c r="Y96" s="553">
        <f>IFERROR(SUM(Y91:Y94),"0")</f>
        <v>32.4</v>
      </c>
      <c r="Z96" s="37"/>
      <c r="AA96" s="554"/>
      <c r="AB96" s="554"/>
      <c r="AC96" s="554"/>
    </row>
    <row r="97" spans="1:68" ht="16.5" customHeight="1" x14ac:dyDescent="0.25">
      <c r="A97" s="573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70" t="s">
        <v>75</v>
      </c>
      <c r="Q104" s="571"/>
      <c r="R104" s="571"/>
      <c r="S104" s="571"/>
      <c r="T104" s="571"/>
      <c r="U104" s="571"/>
      <c r="V104" s="572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70" t="s">
        <v>75</v>
      </c>
      <c r="Q105" s="571"/>
      <c r="R105" s="571"/>
      <c r="S105" s="571"/>
      <c r="T105" s="571"/>
      <c r="U105" s="571"/>
      <c r="V105" s="572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70" t="s">
        <v>75</v>
      </c>
      <c r="Q111" s="571"/>
      <c r="R111" s="571"/>
      <c r="S111" s="571"/>
      <c r="T111" s="571"/>
      <c r="U111" s="571"/>
      <c r="V111" s="572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70" t="s">
        <v>75</v>
      </c>
      <c r="Q112" s="571"/>
      <c r="R112" s="571"/>
      <c r="S112" s="571"/>
      <c r="T112" s="571"/>
      <c r="U112" s="571"/>
      <c r="V112" s="572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180</v>
      </c>
      <c r="Y114" s="552">
        <f>IFERROR(IF(X114="",0,CEILING((X114/$H114),1)*$H114),"")</f>
        <v>186.29999999999998</v>
      </c>
      <c r="Z114" s="36">
        <f>IFERROR(IF(Y114=0,"",ROUNDUP(Y114/H114,0)*0.01898),"")</f>
        <v>0.43653999999999998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190.84444444444443</v>
      </c>
      <c r="BN114" s="64">
        <f>IFERROR(Y114*I114/H114,"0")</f>
        <v>197.52399999999997</v>
      </c>
      <c r="BO114" s="64">
        <f>IFERROR(1/J114*(X114/H114),"0")</f>
        <v>0.34722222222222221</v>
      </c>
      <c r="BP114" s="64">
        <f>IFERROR(1/J114*(Y114/H114),"0")</f>
        <v>0.359375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0</v>
      </c>
      <c r="Y116" s="55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70" t="s">
        <v>75</v>
      </c>
      <c r="Q118" s="571"/>
      <c r="R118" s="571"/>
      <c r="S118" s="571"/>
      <c r="T118" s="571"/>
      <c r="U118" s="571"/>
      <c r="V118" s="572"/>
      <c r="W118" s="37" t="s">
        <v>76</v>
      </c>
      <c r="X118" s="553">
        <f>IFERROR(X114/H114,"0")+IFERROR(X115/H115,"0")+IFERROR(X116/H116,"0")+IFERROR(X117/H117,"0")</f>
        <v>22.222222222222221</v>
      </c>
      <c r="Y118" s="553">
        <f>IFERROR(Y114/H114,"0")+IFERROR(Y115/H115,"0")+IFERROR(Y116/H116,"0")+IFERROR(Y117/H117,"0")</f>
        <v>23</v>
      </c>
      <c r="Z118" s="553">
        <f>IFERROR(IF(Z114="",0,Z114),"0")+IFERROR(IF(Z115="",0,Z115),"0")+IFERROR(IF(Z116="",0,Z116),"0")+IFERROR(IF(Z117="",0,Z117),"0")</f>
        <v>0.43653999999999998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70" t="s">
        <v>75</v>
      </c>
      <c r="Q119" s="571"/>
      <c r="R119" s="571"/>
      <c r="S119" s="571"/>
      <c r="T119" s="571"/>
      <c r="U119" s="571"/>
      <c r="V119" s="572"/>
      <c r="W119" s="37" t="s">
        <v>69</v>
      </c>
      <c r="X119" s="553">
        <f>IFERROR(SUM(X114:X117),"0")</f>
        <v>180</v>
      </c>
      <c r="Y119" s="553">
        <f>IFERROR(SUM(Y114:Y117),"0")</f>
        <v>186.29999999999998</v>
      </c>
      <c r="Z119" s="37"/>
      <c r="AA119" s="554"/>
      <c r="AB119" s="554"/>
      <c r="AC119" s="554"/>
    </row>
    <row r="120" spans="1:68" ht="14.25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70" t="s">
        <v>75</v>
      </c>
      <c r="Q122" s="571"/>
      <c r="R122" s="571"/>
      <c r="S122" s="571"/>
      <c r="T122" s="571"/>
      <c r="U122" s="571"/>
      <c r="V122" s="572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70" t="s">
        <v>75</v>
      </c>
      <c r="Q123" s="571"/>
      <c r="R123" s="571"/>
      <c r="S123" s="571"/>
      <c r="T123" s="571"/>
      <c r="U123" s="571"/>
      <c r="V123" s="572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customHeight="1" x14ac:dyDescent="0.25">
      <c r="A124" s="573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64</v>
      </c>
      <c r="Y126" s="552">
        <f>IFERROR(IF(X126="",0,CEILING((X126/$H126),1)*$H126),"")</f>
        <v>64</v>
      </c>
      <c r="Z126" s="36">
        <f>IFERROR(IF(Y126=0,"",ROUNDUP(Y126/H126,0)*0.00651),"")</f>
        <v>0.13020000000000001</v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67.599999999999994</v>
      </c>
      <c r="BN126" s="64">
        <f>IFERROR(Y126*I126/H126,"0")</f>
        <v>67.599999999999994</v>
      </c>
      <c r="BO126" s="64">
        <f>IFERROR(1/J126*(X126/H126),"0")</f>
        <v>0.1098901098901099</v>
      </c>
      <c r="BP126" s="64">
        <f>IFERROR(1/J126*(Y126/H126),"0")</f>
        <v>0.1098901098901099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70" t="s">
        <v>75</v>
      </c>
      <c r="Q128" s="571"/>
      <c r="R128" s="571"/>
      <c r="S128" s="571"/>
      <c r="T128" s="571"/>
      <c r="U128" s="571"/>
      <c r="V128" s="572"/>
      <c r="W128" s="37" t="s">
        <v>76</v>
      </c>
      <c r="X128" s="553">
        <f>IFERROR(X126/H126,"0")+IFERROR(X127/H127,"0")</f>
        <v>20</v>
      </c>
      <c r="Y128" s="553">
        <f>IFERROR(Y126/H126,"0")+IFERROR(Y127/H127,"0")</f>
        <v>20</v>
      </c>
      <c r="Z128" s="553">
        <f>IFERROR(IF(Z126="",0,Z126),"0")+IFERROR(IF(Z127="",0,Z127),"0")</f>
        <v>0.13020000000000001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70" t="s">
        <v>75</v>
      </c>
      <c r="Q129" s="571"/>
      <c r="R129" s="571"/>
      <c r="S129" s="571"/>
      <c r="T129" s="571"/>
      <c r="U129" s="571"/>
      <c r="V129" s="572"/>
      <c r="W129" s="37" t="s">
        <v>69</v>
      </c>
      <c r="X129" s="553">
        <f>IFERROR(SUM(X126:X127),"0")</f>
        <v>64</v>
      </c>
      <c r="Y129" s="553">
        <f>IFERROR(SUM(Y126:Y127),"0")</f>
        <v>64</v>
      </c>
      <c r="Z129" s="37"/>
      <c r="AA129" s="554"/>
      <c r="AB129" s="554"/>
      <c r="AC129" s="554"/>
    </row>
    <row r="130" spans="1:68" ht="14.25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56</v>
      </c>
      <c r="Y131" s="552">
        <f>IFERROR(IF(X131="",0,CEILING((X131/$H131),1)*$H131),"")</f>
        <v>56</v>
      </c>
      <c r="Z131" s="36">
        <f>IFERROR(IF(Y131=0,"",ROUNDUP(Y131/H131,0)*0.00651),"")</f>
        <v>0.13020000000000001</v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61.36</v>
      </c>
      <c r="BN131" s="64">
        <f>IFERROR(Y131*I131/H131,"0")</f>
        <v>61.36</v>
      </c>
      <c r="BO131" s="64">
        <f>IFERROR(1/J131*(X131/H131),"0")</f>
        <v>0.1098901098901099</v>
      </c>
      <c r="BP131" s="64">
        <f>IFERROR(1/J131*(Y131/H131),"0")</f>
        <v>0.1098901098901099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70" t="s">
        <v>75</v>
      </c>
      <c r="Q133" s="571"/>
      <c r="R133" s="571"/>
      <c r="S133" s="571"/>
      <c r="T133" s="571"/>
      <c r="U133" s="571"/>
      <c r="V133" s="572"/>
      <c r="W133" s="37" t="s">
        <v>76</v>
      </c>
      <c r="X133" s="553">
        <f>IFERROR(X131/H131,"0")+IFERROR(X132/H132,"0")</f>
        <v>20</v>
      </c>
      <c r="Y133" s="553">
        <f>IFERROR(Y131/H131,"0")+IFERROR(Y132/H132,"0")</f>
        <v>20</v>
      </c>
      <c r="Z133" s="553">
        <f>IFERROR(IF(Z131="",0,Z131),"0")+IFERROR(IF(Z132="",0,Z132),"0")</f>
        <v>0.13020000000000001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70" t="s">
        <v>75</v>
      </c>
      <c r="Q134" s="571"/>
      <c r="R134" s="571"/>
      <c r="S134" s="571"/>
      <c r="T134" s="571"/>
      <c r="U134" s="571"/>
      <c r="V134" s="572"/>
      <c r="W134" s="37" t="s">
        <v>69</v>
      </c>
      <c r="X134" s="553">
        <f>IFERROR(SUM(X131:X132),"0")</f>
        <v>56</v>
      </c>
      <c r="Y134" s="553">
        <f>IFERROR(SUM(Y131:Y132),"0")</f>
        <v>56</v>
      </c>
      <c r="Z134" s="37"/>
      <c r="AA134" s="554"/>
      <c r="AB134" s="554"/>
      <c r="AC134" s="554"/>
    </row>
    <row r="135" spans="1:68" ht="14.25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7</v>
      </c>
      <c r="Y136" s="552">
        <f>IFERROR(IF(X136="",0,CEILING((X136/$H136),1)*$H136),"")</f>
        <v>7.92</v>
      </c>
      <c r="Z136" s="36">
        <f>IFERROR(IF(Y136=0,"",ROUNDUP(Y136/H136,0)*0.00651),"")</f>
        <v>1.9529999999999999E-2</v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7.7106060606060591</v>
      </c>
      <c r="BN136" s="64">
        <f>IFERROR(Y136*I136/H136,"0")</f>
        <v>8.7240000000000002</v>
      </c>
      <c r="BO136" s="64">
        <f>IFERROR(1/J136*(X136/H136),"0")</f>
        <v>1.456876456876457E-2</v>
      </c>
      <c r="BP136" s="64">
        <f>IFERROR(1/J136*(Y136/H136),"0")</f>
        <v>1.6483516483516484E-2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70" t="s">
        <v>75</v>
      </c>
      <c r="Q138" s="571"/>
      <c r="R138" s="571"/>
      <c r="S138" s="571"/>
      <c r="T138" s="571"/>
      <c r="U138" s="571"/>
      <c r="V138" s="572"/>
      <c r="W138" s="37" t="s">
        <v>76</v>
      </c>
      <c r="X138" s="553">
        <f>IFERROR(X136/H136,"0")+IFERROR(X137/H137,"0")</f>
        <v>2.6515151515151514</v>
      </c>
      <c r="Y138" s="553">
        <f>IFERROR(Y136/H136,"0")+IFERROR(Y137/H137,"0")</f>
        <v>3</v>
      </c>
      <c r="Z138" s="553">
        <f>IFERROR(IF(Z136="",0,Z136),"0")+IFERROR(IF(Z137="",0,Z137),"0")</f>
        <v>1.9529999999999999E-2</v>
      </c>
      <c r="AA138" s="554"/>
      <c r="AB138" s="554"/>
      <c r="AC138" s="55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70" t="s">
        <v>75</v>
      </c>
      <c r="Q139" s="571"/>
      <c r="R139" s="571"/>
      <c r="S139" s="571"/>
      <c r="T139" s="571"/>
      <c r="U139" s="571"/>
      <c r="V139" s="572"/>
      <c r="W139" s="37" t="s">
        <v>69</v>
      </c>
      <c r="X139" s="553">
        <f>IFERROR(SUM(X136:X137),"0")</f>
        <v>7</v>
      </c>
      <c r="Y139" s="553">
        <f>IFERROR(SUM(Y136:Y137),"0")</f>
        <v>7.92</v>
      </c>
      <c r="Z139" s="37"/>
      <c r="AA139" s="554"/>
      <c r="AB139" s="554"/>
      <c r="AC139" s="554"/>
    </row>
    <row r="140" spans="1:68" ht="16.5" customHeight="1" x14ac:dyDescent="0.25">
      <c r="A140" s="573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70" t="s">
        <v>75</v>
      </c>
      <c r="Q144" s="571"/>
      <c r="R144" s="571"/>
      <c r="S144" s="571"/>
      <c r="T144" s="571"/>
      <c r="U144" s="571"/>
      <c r="V144" s="572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70" t="s">
        <v>75</v>
      </c>
      <c r="Q145" s="571"/>
      <c r="R145" s="571"/>
      <c r="S145" s="571"/>
      <c r="T145" s="571"/>
      <c r="U145" s="571"/>
      <c r="V145" s="572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7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70" t="s">
        <v>75</v>
      </c>
      <c r="Q153" s="571"/>
      <c r="R153" s="571"/>
      <c r="S153" s="571"/>
      <c r="T153" s="571"/>
      <c r="U153" s="571"/>
      <c r="V153" s="572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70" t="s">
        <v>75</v>
      </c>
      <c r="Q154" s="571"/>
      <c r="R154" s="571"/>
      <c r="S154" s="571"/>
      <c r="T154" s="571"/>
      <c r="U154" s="571"/>
      <c r="V154" s="572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70" t="s">
        <v>75</v>
      </c>
      <c r="Q157" s="571"/>
      <c r="R157" s="571"/>
      <c r="S157" s="571"/>
      <c r="T157" s="571"/>
      <c r="U157" s="571"/>
      <c r="V157" s="572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70" t="s">
        <v>75</v>
      </c>
      <c r="Q158" s="571"/>
      <c r="R158" s="571"/>
      <c r="S158" s="571"/>
      <c r="T158" s="571"/>
      <c r="U158" s="571"/>
      <c r="V158" s="572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customHeight="1" x14ac:dyDescent="0.2">
      <c r="A159" s="626" t="s">
        <v>266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48"/>
      <c r="AB159" s="48"/>
      <c r="AC159" s="48"/>
    </row>
    <row r="160" spans="1:68" ht="16.5" customHeight="1" x14ac:dyDescent="0.25">
      <c r="A160" s="573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70" t="s">
        <v>75</v>
      </c>
      <c r="Q163" s="571"/>
      <c r="R163" s="571"/>
      <c r="S163" s="571"/>
      <c r="T163" s="571"/>
      <c r="U163" s="571"/>
      <c r="V163" s="572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70" t="s">
        <v>75</v>
      </c>
      <c r="Q164" s="571"/>
      <c r="R164" s="571"/>
      <c r="S164" s="571"/>
      <c r="T164" s="571"/>
      <c r="U164" s="571"/>
      <c r="V164" s="572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90</v>
      </c>
      <c r="Y168" s="552">
        <f t="shared" si="10"/>
        <v>92.4</v>
      </c>
      <c r="Z168" s="36">
        <f>IFERROR(IF(Y168=0,"",ROUNDUP(Y168/H168,0)*0.00902),"")</f>
        <v>0.19844000000000001</v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94.071428571428555</v>
      </c>
      <c r="BN168" s="64">
        <f t="shared" si="12"/>
        <v>96.579999999999984</v>
      </c>
      <c r="BO168" s="64">
        <f t="shared" si="13"/>
        <v>0.16233766233766234</v>
      </c>
      <c r="BP168" s="64">
        <f t="shared" si="14"/>
        <v>0.16666666666666669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5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70" t="s">
        <v>75</v>
      </c>
      <c r="Q180" s="571"/>
      <c r="R180" s="571"/>
      <c r="S180" s="571"/>
      <c r="T180" s="571"/>
      <c r="U180" s="571"/>
      <c r="V180" s="572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21.428571428571427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22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0.19844000000000001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70" t="s">
        <v>75</v>
      </c>
      <c r="Q181" s="571"/>
      <c r="R181" s="571"/>
      <c r="S181" s="571"/>
      <c r="T181" s="571"/>
      <c r="U181" s="571"/>
      <c r="V181" s="572"/>
      <c r="W181" s="37" t="s">
        <v>69</v>
      </c>
      <c r="X181" s="553">
        <f>IFERROR(SUM(X166:X179),"0")</f>
        <v>90</v>
      </c>
      <c r="Y181" s="553">
        <f>IFERROR(SUM(Y166:Y179),"0")</f>
        <v>92.4</v>
      </c>
      <c r="Z181" s="37"/>
      <c r="AA181" s="554"/>
      <c r="AB181" s="554"/>
      <c r="AC181" s="554"/>
    </row>
    <row r="182" spans="1:68" ht="14.25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70" t="s">
        <v>75</v>
      </c>
      <c r="Q186" s="571"/>
      <c r="R186" s="571"/>
      <c r="S186" s="571"/>
      <c r="T186" s="571"/>
      <c r="U186" s="571"/>
      <c r="V186" s="572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70" t="s">
        <v>75</v>
      </c>
      <c r="Q187" s="571"/>
      <c r="R187" s="571"/>
      <c r="S187" s="571"/>
      <c r="T187" s="571"/>
      <c r="U187" s="571"/>
      <c r="V187" s="572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70" t="s">
        <v>75</v>
      </c>
      <c r="Q190" s="571"/>
      <c r="R190" s="571"/>
      <c r="S190" s="571"/>
      <c r="T190" s="571"/>
      <c r="U190" s="571"/>
      <c r="V190" s="572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70" t="s">
        <v>75</v>
      </c>
      <c r="Q191" s="571"/>
      <c r="R191" s="571"/>
      <c r="S191" s="571"/>
      <c r="T191" s="571"/>
      <c r="U191" s="571"/>
      <c r="V191" s="572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customHeight="1" x14ac:dyDescent="0.25">
      <c r="A192" s="573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6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70" t="s">
        <v>75</v>
      </c>
      <c r="Q196" s="571"/>
      <c r="R196" s="571"/>
      <c r="S196" s="571"/>
      <c r="T196" s="571"/>
      <c r="U196" s="571"/>
      <c r="V196" s="572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70" t="s">
        <v>75</v>
      </c>
      <c r="Q197" s="571"/>
      <c r="R197" s="571"/>
      <c r="S197" s="571"/>
      <c r="T197" s="571"/>
      <c r="U197" s="571"/>
      <c r="V197" s="572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70" t="s">
        <v>75</v>
      </c>
      <c r="Q201" s="571"/>
      <c r="R201" s="571"/>
      <c r="S201" s="571"/>
      <c r="T201" s="571"/>
      <c r="U201" s="571"/>
      <c r="V201" s="572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70" t="s">
        <v>75</v>
      </c>
      <c r="Q202" s="571"/>
      <c r="R202" s="571"/>
      <c r="S202" s="571"/>
      <c r="T202" s="571"/>
      <c r="U202" s="571"/>
      <c r="V202" s="572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300</v>
      </c>
      <c r="Y204" s="552">
        <f t="shared" ref="Y204:Y211" si="15">IFERROR(IF(X204="",0,CEILING((X204/$H204),1)*$H204),"")</f>
        <v>302.40000000000003</v>
      </c>
      <c r="Z204" s="36">
        <f>IFERROR(IF(Y204=0,"",ROUNDUP(Y204/H204,0)*0.00902),"")</f>
        <v>0.50512000000000001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310.55555555555554</v>
      </c>
      <c r="BN204" s="64">
        <f t="shared" ref="BN204:BN211" si="17">IFERROR(Y204*I204/H204,"0")</f>
        <v>313.04000000000002</v>
      </c>
      <c r="BO204" s="64">
        <f t="shared" ref="BO204:BO211" si="18">IFERROR(1/J204*(X204/H204),"0")</f>
        <v>0.42087542087542085</v>
      </c>
      <c r="BP204" s="64">
        <f t="shared" ref="BP204:BP211" si="19">IFERROR(1/J204*(Y204/H204),"0")</f>
        <v>0.42424242424242425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260</v>
      </c>
      <c r="Y205" s="552">
        <f t="shared" si="15"/>
        <v>264.60000000000002</v>
      </c>
      <c r="Z205" s="36">
        <f>IFERROR(IF(Y205=0,"",ROUNDUP(Y205/H205,0)*0.00902),"")</f>
        <v>0.44198000000000004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269.1481481481481</v>
      </c>
      <c r="BN205" s="64">
        <f t="shared" si="17"/>
        <v>273.90999999999997</v>
      </c>
      <c r="BO205" s="64">
        <f t="shared" si="18"/>
        <v>0.36475869809203143</v>
      </c>
      <c r="BP205" s="64">
        <f t="shared" si="19"/>
        <v>0.37121212121212122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280</v>
      </c>
      <c r="Y206" s="552">
        <f t="shared" si="15"/>
        <v>280.8</v>
      </c>
      <c r="Z206" s="36">
        <f>IFERROR(IF(Y206=0,"",ROUNDUP(Y206/H206,0)*0.00902),"")</f>
        <v>0.46904000000000001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289.85185185185185</v>
      </c>
      <c r="BN206" s="64">
        <f t="shared" si="17"/>
        <v>290.68</v>
      </c>
      <c r="BO206" s="64">
        <f t="shared" si="18"/>
        <v>0.39281705948372614</v>
      </c>
      <c r="BP206" s="64">
        <f t="shared" si="19"/>
        <v>0.39393939393939392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650</v>
      </c>
      <c r="Y207" s="552">
        <f t="shared" si="15"/>
        <v>653.40000000000009</v>
      </c>
      <c r="Z207" s="36">
        <f>IFERROR(IF(Y207=0,"",ROUNDUP(Y207/H207,0)*0.00902),"")</f>
        <v>1.0914200000000001</v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672.87037037037032</v>
      </c>
      <c r="BN207" s="64">
        <f t="shared" si="17"/>
        <v>676.39</v>
      </c>
      <c r="BO207" s="64">
        <f t="shared" si="18"/>
        <v>0.91189674523007858</v>
      </c>
      <c r="BP207" s="64">
        <f t="shared" si="19"/>
        <v>0.91666666666666685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70" t="s">
        <v>75</v>
      </c>
      <c r="Q212" s="571"/>
      <c r="R212" s="571"/>
      <c r="S212" s="571"/>
      <c r="T212" s="571"/>
      <c r="U212" s="571"/>
      <c r="V212" s="572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275.92592592592592</v>
      </c>
      <c r="Y212" s="553">
        <f>IFERROR(Y204/H204,"0")+IFERROR(Y205/H205,"0")+IFERROR(Y206/H206,"0")+IFERROR(Y207/H207,"0")+IFERROR(Y208/H208,"0")+IFERROR(Y209/H209,"0")+IFERROR(Y210/H210,"0")+IFERROR(Y211/H211,"0")</f>
        <v>278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2.5075599999999998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70" t="s">
        <v>75</v>
      </c>
      <c r="Q213" s="571"/>
      <c r="R213" s="571"/>
      <c r="S213" s="571"/>
      <c r="T213" s="571"/>
      <c r="U213" s="571"/>
      <c r="V213" s="572"/>
      <c r="W213" s="37" t="s">
        <v>69</v>
      </c>
      <c r="X213" s="553">
        <f>IFERROR(SUM(X204:X211),"0")</f>
        <v>1490</v>
      </c>
      <c r="Y213" s="553">
        <f>IFERROR(SUM(Y204:Y211),"0")</f>
        <v>1501.2</v>
      </c>
      <c r="Z213" s="37"/>
      <c r="AA213" s="554"/>
      <c r="AB213" s="554"/>
      <c r="AC213" s="554"/>
    </row>
    <row r="214" spans="1:68" ht="14.25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20</v>
      </c>
      <c r="Y215" s="552">
        <f t="shared" ref="Y215:Y223" si="20">IFERROR(IF(X215="",0,CEILING((X215/$H215),1)*$H215),"")</f>
        <v>24.299999999999997</v>
      </c>
      <c r="Z215" s="36">
        <f>IFERROR(IF(Y215=0,"",ROUNDUP(Y215/H215,0)*0.01898),"")</f>
        <v>5.6940000000000004E-2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21.219753086419754</v>
      </c>
      <c r="BN215" s="64">
        <f t="shared" ref="BN215:BN223" si="22">IFERROR(Y215*I215/H215,"0")</f>
        <v>25.781999999999996</v>
      </c>
      <c r="BO215" s="64">
        <f t="shared" ref="BO215:BO223" si="23">IFERROR(1/J215*(X215/H215),"0")</f>
        <v>3.8580246913580252E-2</v>
      </c>
      <c r="BP215" s="64">
        <f t="shared" ref="BP215:BP223" si="24">IFERROR(1/J215*(Y215/H215),"0")</f>
        <v>4.6875E-2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15</v>
      </c>
      <c r="Y216" s="552">
        <f t="shared" si="20"/>
        <v>16.2</v>
      </c>
      <c r="Z216" s="36">
        <f>IFERROR(IF(Y216=0,"",ROUNDUP(Y216/H216,0)*0.01898),"")</f>
        <v>3.7960000000000001E-2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15.881481481481485</v>
      </c>
      <c r="BN216" s="64">
        <f t="shared" si="22"/>
        <v>17.152000000000001</v>
      </c>
      <c r="BO216" s="64">
        <f t="shared" si="23"/>
        <v>2.8935185185185185E-2</v>
      </c>
      <c r="BP216" s="64">
        <f t="shared" si="24"/>
        <v>3.125E-2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60</v>
      </c>
      <c r="Y217" s="552">
        <f t="shared" si="20"/>
        <v>60.899999999999991</v>
      </c>
      <c r="Z217" s="36">
        <f>IFERROR(IF(Y217=0,"",ROUNDUP(Y217/H217,0)*0.01898),"")</f>
        <v>0.13286000000000001</v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63.406896551724152</v>
      </c>
      <c r="BN217" s="64">
        <f t="shared" si="22"/>
        <v>64.358000000000004</v>
      </c>
      <c r="BO217" s="64">
        <f t="shared" si="23"/>
        <v>0.10775862068965518</v>
      </c>
      <c r="BP217" s="64">
        <f t="shared" si="24"/>
        <v>0.109375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72</v>
      </c>
      <c r="Y220" s="552">
        <f t="shared" si="20"/>
        <v>72</v>
      </c>
      <c r="Z220" s="36">
        <f t="shared" si="25"/>
        <v>0.1953</v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79.560000000000016</v>
      </c>
      <c r="BN220" s="64">
        <f t="shared" si="22"/>
        <v>79.560000000000016</v>
      </c>
      <c r="BO220" s="64">
        <f t="shared" si="23"/>
        <v>0.16483516483516486</v>
      </c>
      <c r="BP220" s="64">
        <f t="shared" si="24"/>
        <v>0.16483516483516486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0</v>
      </c>
      <c r="Y221" s="552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72</v>
      </c>
      <c r="Y222" s="552">
        <f t="shared" si="20"/>
        <v>72</v>
      </c>
      <c r="Z222" s="36">
        <f t="shared" si="25"/>
        <v>0.1953</v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79.560000000000016</v>
      </c>
      <c r="BN222" s="64">
        <f t="shared" si="22"/>
        <v>79.560000000000016</v>
      </c>
      <c r="BO222" s="64">
        <f t="shared" si="23"/>
        <v>0.16483516483516486</v>
      </c>
      <c r="BP222" s="64">
        <f t="shared" si="24"/>
        <v>0.16483516483516486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72</v>
      </c>
      <c r="Y223" s="552">
        <f t="shared" si="20"/>
        <v>72</v>
      </c>
      <c r="Z223" s="36">
        <f t="shared" si="25"/>
        <v>0.1953</v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79.740000000000009</v>
      </c>
      <c r="BN223" s="64">
        <f t="shared" si="22"/>
        <v>79.740000000000009</v>
      </c>
      <c r="BO223" s="64">
        <f t="shared" si="23"/>
        <v>0.16483516483516486</v>
      </c>
      <c r="BP223" s="64">
        <f t="shared" si="24"/>
        <v>0.16483516483516486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70" t="s">
        <v>75</v>
      </c>
      <c r="Q224" s="571"/>
      <c r="R224" s="571"/>
      <c r="S224" s="571"/>
      <c r="T224" s="571"/>
      <c r="U224" s="571"/>
      <c r="V224" s="572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101.21753937845892</v>
      </c>
      <c r="Y224" s="553">
        <f>IFERROR(Y215/H215,"0")+IFERROR(Y216/H216,"0")+IFERROR(Y217/H217,"0")+IFERROR(Y218/H218,"0")+IFERROR(Y219/H219,"0")+IFERROR(Y220/H220,"0")+IFERROR(Y221/H221,"0")+IFERROR(Y222/H222,"0")+IFERROR(Y223/H223,"0")</f>
        <v>102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0.81366000000000005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70" t="s">
        <v>75</v>
      </c>
      <c r="Q225" s="571"/>
      <c r="R225" s="571"/>
      <c r="S225" s="571"/>
      <c r="T225" s="571"/>
      <c r="U225" s="571"/>
      <c r="V225" s="572"/>
      <c r="W225" s="37" t="s">
        <v>69</v>
      </c>
      <c r="X225" s="553">
        <f>IFERROR(SUM(X215:X223),"0")</f>
        <v>311</v>
      </c>
      <c r="Y225" s="553">
        <f>IFERROR(SUM(Y215:Y223),"0")</f>
        <v>317.39999999999998</v>
      </c>
      <c r="Z225" s="37"/>
      <c r="AA225" s="554"/>
      <c r="AB225" s="554"/>
      <c r="AC225" s="554"/>
    </row>
    <row r="226" spans="1:68" ht="14.25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14</v>
      </c>
      <c r="Y227" s="552">
        <f>IFERROR(IF(X227="",0,CEILING((X227/$H227),1)*$H227),"")</f>
        <v>14.399999999999999</v>
      </c>
      <c r="Z227" s="36">
        <f>IFERROR(IF(Y227=0,"",ROUNDUP(Y227/H227,0)*0.00651),"")</f>
        <v>3.9059999999999997E-2</v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15.47</v>
      </c>
      <c r="BN227" s="64">
        <f>IFERROR(Y227*I227/H227,"0")</f>
        <v>15.912000000000001</v>
      </c>
      <c r="BO227" s="64">
        <f>IFERROR(1/J227*(X227/H227),"0")</f>
        <v>3.2051282051282055E-2</v>
      </c>
      <c r="BP227" s="64">
        <f>IFERROR(1/J227*(Y227/H227),"0")</f>
        <v>3.2967032967032968E-2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62</v>
      </c>
      <c r="Y228" s="552">
        <f>IFERROR(IF(X228="",0,CEILING((X228/$H228),1)*$H228),"")</f>
        <v>62.4</v>
      </c>
      <c r="Z228" s="36">
        <f>IFERROR(IF(Y228=0,"",ROUNDUP(Y228/H228,0)*0.00651),"")</f>
        <v>0.16925999999999999</v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68.510000000000005</v>
      </c>
      <c r="BN228" s="64">
        <f>IFERROR(Y228*I228/H228,"0")</f>
        <v>68.952000000000012</v>
      </c>
      <c r="BO228" s="64">
        <f>IFERROR(1/J228*(X228/H228),"0")</f>
        <v>0.14194139194139196</v>
      </c>
      <c r="BP228" s="64">
        <f>IFERROR(1/J228*(Y228/H228),"0")</f>
        <v>0.14285714285714288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70" t="s">
        <v>75</v>
      </c>
      <c r="Q229" s="571"/>
      <c r="R229" s="571"/>
      <c r="S229" s="571"/>
      <c r="T229" s="571"/>
      <c r="U229" s="571"/>
      <c r="V229" s="572"/>
      <c r="W229" s="37" t="s">
        <v>76</v>
      </c>
      <c r="X229" s="553">
        <f>IFERROR(X227/H227,"0")+IFERROR(X228/H228,"0")</f>
        <v>31.666666666666671</v>
      </c>
      <c r="Y229" s="553">
        <f>IFERROR(Y227/H227,"0")+IFERROR(Y228/H228,"0")</f>
        <v>32</v>
      </c>
      <c r="Z229" s="553">
        <f>IFERROR(IF(Z227="",0,Z227),"0")+IFERROR(IF(Z228="",0,Z228),"0")</f>
        <v>0.20832000000000001</v>
      </c>
      <c r="AA229" s="554"/>
      <c r="AB229" s="554"/>
      <c r="AC229" s="55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70" t="s">
        <v>75</v>
      </c>
      <c r="Q230" s="571"/>
      <c r="R230" s="571"/>
      <c r="S230" s="571"/>
      <c r="T230" s="571"/>
      <c r="U230" s="571"/>
      <c r="V230" s="572"/>
      <c r="W230" s="37" t="s">
        <v>69</v>
      </c>
      <c r="X230" s="553">
        <f>IFERROR(SUM(X227:X228),"0")</f>
        <v>76</v>
      </c>
      <c r="Y230" s="553">
        <f>IFERROR(SUM(Y227:Y228),"0")</f>
        <v>76.8</v>
      </c>
      <c r="Z230" s="37"/>
      <c r="AA230" s="554"/>
      <c r="AB230" s="554"/>
      <c r="AC230" s="554"/>
    </row>
    <row r="231" spans="1:68" ht="16.5" customHeight="1" x14ac:dyDescent="0.25">
      <c r="A231" s="573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7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70" t="s">
        <v>75</v>
      </c>
      <c r="Q242" s="571"/>
      <c r="R242" s="571"/>
      <c r="S242" s="571"/>
      <c r="T242" s="571"/>
      <c r="U242" s="571"/>
      <c r="V242" s="572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70" t="s">
        <v>75</v>
      </c>
      <c r="Q243" s="571"/>
      <c r="R243" s="571"/>
      <c r="S243" s="571"/>
      <c r="T243" s="571"/>
      <c r="U243" s="571"/>
      <c r="V243" s="572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70" t="s">
        <v>75</v>
      </c>
      <c r="Q246" s="571"/>
      <c r="R246" s="571"/>
      <c r="S246" s="571"/>
      <c r="T246" s="571"/>
      <c r="U246" s="571"/>
      <c r="V246" s="572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70" t="s">
        <v>75</v>
      </c>
      <c r="Q247" s="571"/>
      <c r="R247" s="571"/>
      <c r="S247" s="571"/>
      <c r="T247" s="571"/>
      <c r="U247" s="571"/>
      <c r="V247" s="572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70" t="s">
        <v>75</v>
      </c>
      <c r="Q250" s="571"/>
      <c r="R250" s="571"/>
      <c r="S250" s="571"/>
      <c r="T250" s="571"/>
      <c r="U250" s="571"/>
      <c r="V250" s="572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70" t="s">
        <v>75</v>
      </c>
      <c r="Q251" s="571"/>
      <c r="R251" s="571"/>
      <c r="S251" s="571"/>
      <c r="T251" s="571"/>
      <c r="U251" s="571"/>
      <c r="V251" s="572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70" t="s">
        <v>75</v>
      </c>
      <c r="Q258" s="571"/>
      <c r="R258" s="571"/>
      <c r="S258" s="571"/>
      <c r="T258" s="571"/>
      <c r="U258" s="571"/>
      <c r="V258" s="572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70" t="s">
        <v>75</v>
      </c>
      <c r="Q259" s="571"/>
      <c r="R259" s="571"/>
      <c r="S259" s="571"/>
      <c r="T259" s="571"/>
      <c r="U259" s="571"/>
      <c r="V259" s="572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customHeight="1" x14ac:dyDescent="0.25">
      <c r="A260" s="573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20</v>
      </c>
      <c r="Y263" s="552">
        <f>IFERROR(IF(X263="",0,CEILING((X263/$H263),1)*$H263),"")</f>
        <v>21.6</v>
      </c>
      <c r="Z263" s="36">
        <f>IFERROR(IF(Y263=0,"",ROUNDUP(Y263/H263,0)*0.01898),"")</f>
        <v>3.7960000000000001E-2</v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20.75925925925926</v>
      </c>
      <c r="BN263" s="64">
        <f>IFERROR(Y263*I263/H263,"0")</f>
        <v>22.42</v>
      </c>
      <c r="BO263" s="64">
        <f>IFERROR(1/J263*(X263/H263),"0")</f>
        <v>2.8935185185185182E-2</v>
      </c>
      <c r="BP263" s="64">
        <f>IFERROR(1/J263*(Y263/H263),"0")</f>
        <v>3.125E-2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7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70" t="s">
        <v>75</v>
      </c>
      <c r="Q267" s="571"/>
      <c r="R267" s="571"/>
      <c r="S267" s="571"/>
      <c r="T267" s="571"/>
      <c r="U267" s="571"/>
      <c r="V267" s="572"/>
      <c r="W267" s="37" t="s">
        <v>76</v>
      </c>
      <c r="X267" s="553">
        <f>IFERROR(X262/H262,"0")+IFERROR(X263/H263,"0")+IFERROR(X264/H264,"0")+IFERROR(X265/H265,"0")+IFERROR(X266/H266,"0")</f>
        <v>1.8518518518518516</v>
      </c>
      <c r="Y267" s="553">
        <f>IFERROR(Y262/H262,"0")+IFERROR(Y263/H263,"0")+IFERROR(Y264/H264,"0")+IFERROR(Y265/H265,"0")+IFERROR(Y266/H266,"0")</f>
        <v>2</v>
      </c>
      <c r="Z267" s="553">
        <f>IFERROR(IF(Z262="",0,Z262),"0")+IFERROR(IF(Z263="",0,Z263),"0")+IFERROR(IF(Z264="",0,Z264),"0")+IFERROR(IF(Z265="",0,Z265),"0")+IFERROR(IF(Z266="",0,Z266),"0")</f>
        <v>3.7960000000000001E-2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70" t="s">
        <v>75</v>
      </c>
      <c r="Q268" s="571"/>
      <c r="R268" s="571"/>
      <c r="S268" s="571"/>
      <c r="T268" s="571"/>
      <c r="U268" s="571"/>
      <c r="V268" s="572"/>
      <c r="W268" s="37" t="s">
        <v>69</v>
      </c>
      <c r="X268" s="553">
        <f>IFERROR(SUM(X262:X266),"0")</f>
        <v>20</v>
      </c>
      <c r="Y268" s="553">
        <f>IFERROR(SUM(Y262:Y266),"0")</f>
        <v>21.6</v>
      </c>
      <c r="Z268" s="37"/>
      <c r="AA268" s="554"/>
      <c r="AB268" s="554"/>
      <c r="AC268" s="554"/>
    </row>
    <row r="269" spans="1:68" ht="16.5" customHeight="1" x14ac:dyDescent="0.25">
      <c r="A269" s="573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70" t="s">
        <v>75</v>
      </c>
      <c r="Q275" s="571"/>
      <c r="R275" s="571"/>
      <c r="S275" s="571"/>
      <c r="T275" s="571"/>
      <c r="U275" s="571"/>
      <c r="V275" s="572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70" t="s">
        <v>75</v>
      </c>
      <c r="Q276" s="571"/>
      <c r="R276" s="571"/>
      <c r="S276" s="571"/>
      <c r="T276" s="571"/>
      <c r="U276" s="571"/>
      <c r="V276" s="572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customHeight="1" x14ac:dyDescent="0.25">
      <c r="A277" s="573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0</v>
      </c>
      <c r="Y280" s="55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70" t="s">
        <v>75</v>
      </c>
      <c r="Q282" s="571"/>
      <c r="R282" s="571"/>
      <c r="S282" s="571"/>
      <c r="T282" s="571"/>
      <c r="U282" s="571"/>
      <c r="V282" s="572"/>
      <c r="W282" s="37" t="s">
        <v>76</v>
      </c>
      <c r="X282" s="553">
        <f>IFERROR(X279/H279,"0")+IFERROR(X280/H280,"0")+IFERROR(X281/H281,"0")</f>
        <v>0</v>
      </c>
      <c r="Y282" s="553">
        <f>IFERROR(Y279/H279,"0")+IFERROR(Y280/H280,"0")+IFERROR(Y281/H281,"0")</f>
        <v>0</v>
      </c>
      <c r="Z282" s="553">
        <f>IFERROR(IF(Z279="",0,Z279),"0")+IFERROR(IF(Z280="",0,Z280),"0")+IFERROR(IF(Z281="",0,Z281),"0")</f>
        <v>0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70" t="s">
        <v>75</v>
      </c>
      <c r="Q283" s="571"/>
      <c r="R283" s="571"/>
      <c r="S283" s="571"/>
      <c r="T283" s="571"/>
      <c r="U283" s="571"/>
      <c r="V283" s="572"/>
      <c r="W283" s="37" t="s">
        <v>69</v>
      </c>
      <c r="X283" s="553">
        <f>IFERROR(SUM(X279:X281),"0")</f>
        <v>0</v>
      </c>
      <c r="Y283" s="553">
        <f>IFERROR(SUM(Y279:Y281),"0")</f>
        <v>0</v>
      </c>
      <c r="Z283" s="37"/>
      <c r="AA283" s="554"/>
      <c r="AB283" s="554"/>
      <c r="AC283" s="554"/>
    </row>
    <row r="284" spans="1:68" ht="16.5" customHeight="1" x14ac:dyDescent="0.25">
      <c r="A284" s="573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70" t="s">
        <v>75</v>
      </c>
      <c r="Q288" s="571"/>
      <c r="R288" s="571"/>
      <c r="S288" s="571"/>
      <c r="T288" s="571"/>
      <c r="U288" s="571"/>
      <c r="V288" s="572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70" t="s">
        <v>75</v>
      </c>
      <c r="Q289" s="571"/>
      <c r="R289" s="571"/>
      <c r="S289" s="571"/>
      <c r="T289" s="571"/>
      <c r="U289" s="571"/>
      <c r="V289" s="572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70" t="s">
        <v>75</v>
      </c>
      <c r="Q293" s="571"/>
      <c r="R293" s="571"/>
      <c r="S293" s="571"/>
      <c r="T293" s="571"/>
      <c r="U293" s="571"/>
      <c r="V293" s="572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70" t="s">
        <v>75</v>
      </c>
      <c r="Q294" s="571"/>
      <c r="R294" s="571"/>
      <c r="S294" s="571"/>
      <c r="T294" s="571"/>
      <c r="U294" s="571"/>
      <c r="V294" s="572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customHeight="1" x14ac:dyDescent="0.25">
      <c r="A295" s="573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150</v>
      </c>
      <c r="Y297" s="552">
        <f t="shared" ref="Y297:Y302" si="31">IFERROR(IF(X297="",0,CEILING((X297/$H297),1)*$H297),"")</f>
        <v>151.20000000000002</v>
      </c>
      <c r="Z297" s="36">
        <f>IFERROR(IF(Y297=0,"",ROUNDUP(Y297/H297,0)*0.01898),"")</f>
        <v>0.26572000000000001</v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155.69444444444446</v>
      </c>
      <c r="BN297" s="64">
        <f t="shared" ref="BN297:BN302" si="33">IFERROR(Y297*I297/H297,"0")</f>
        <v>156.94</v>
      </c>
      <c r="BO297" s="64">
        <f t="shared" ref="BO297:BO302" si="34">IFERROR(1/J297*(X297/H297),"0")</f>
        <v>0.21701388888888887</v>
      </c>
      <c r="BP297" s="64">
        <f t="shared" ref="BP297:BP302" si="35">IFERROR(1/J297*(Y297/H297),"0")</f>
        <v>0.21875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20</v>
      </c>
      <c r="Y298" s="552">
        <f t="shared" si="31"/>
        <v>21.6</v>
      </c>
      <c r="Z298" s="36">
        <f>IFERROR(IF(Y298=0,"",ROUNDUP(Y298/H298,0)*0.01898),"")</f>
        <v>3.7960000000000001E-2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20.75925925925926</v>
      </c>
      <c r="BN298" s="64">
        <f t="shared" si="33"/>
        <v>22.42</v>
      </c>
      <c r="BO298" s="64">
        <f t="shared" si="34"/>
        <v>2.8935185185185182E-2</v>
      </c>
      <c r="BP298" s="64">
        <f t="shared" si="35"/>
        <v>3.125E-2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30</v>
      </c>
      <c r="Y299" s="552">
        <f t="shared" si="31"/>
        <v>32.400000000000006</v>
      </c>
      <c r="Z299" s="36">
        <f>IFERROR(IF(Y299=0,"",ROUNDUP(Y299/H299,0)*0.01898),"")</f>
        <v>5.6940000000000004E-2</v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31.138888888888889</v>
      </c>
      <c r="BN299" s="64">
        <f t="shared" si="33"/>
        <v>33.630000000000003</v>
      </c>
      <c r="BO299" s="64">
        <f t="shared" si="34"/>
        <v>4.3402777777777776E-2</v>
      </c>
      <c r="BP299" s="64">
        <f t="shared" si="35"/>
        <v>4.6875000000000007E-2</v>
      </c>
    </row>
    <row r="300" spans="1:68" ht="27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6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70" t="s">
        <v>75</v>
      </c>
      <c r="Q303" s="571"/>
      <c r="R303" s="571"/>
      <c r="S303" s="571"/>
      <c r="T303" s="571"/>
      <c r="U303" s="571"/>
      <c r="V303" s="572"/>
      <c r="W303" s="37" t="s">
        <v>76</v>
      </c>
      <c r="X303" s="553">
        <f>IFERROR(X297/H297,"0")+IFERROR(X298/H298,"0")+IFERROR(X299/H299,"0")+IFERROR(X300/H300,"0")+IFERROR(X301/H301,"0")+IFERROR(X302/H302,"0")</f>
        <v>18.518518518518515</v>
      </c>
      <c r="Y303" s="553">
        <f>IFERROR(Y297/H297,"0")+IFERROR(Y298/H298,"0")+IFERROR(Y299/H299,"0")+IFERROR(Y300/H300,"0")+IFERROR(Y301/H301,"0")+IFERROR(Y302/H302,"0")</f>
        <v>19</v>
      </c>
      <c r="Z303" s="553">
        <f>IFERROR(IF(Z297="",0,Z297),"0")+IFERROR(IF(Z298="",0,Z298),"0")+IFERROR(IF(Z299="",0,Z299),"0")+IFERROR(IF(Z300="",0,Z300),"0")+IFERROR(IF(Z301="",0,Z301),"0")+IFERROR(IF(Z302="",0,Z302),"0")</f>
        <v>0.36062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70" t="s">
        <v>75</v>
      </c>
      <c r="Q304" s="571"/>
      <c r="R304" s="571"/>
      <c r="S304" s="571"/>
      <c r="T304" s="571"/>
      <c r="U304" s="571"/>
      <c r="V304" s="572"/>
      <c r="W304" s="37" t="s">
        <v>69</v>
      </c>
      <c r="X304" s="553">
        <f>IFERROR(SUM(X297:X302),"0")</f>
        <v>200</v>
      </c>
      <c r="Y304" s="553">
        <f>IFERROR(SUM(Y297:Y302),"0")</f>
        <v>205.20000000000002</v>
      </c>
      <c r="Z304" s="37"/>
      <c r="AA304" s="554"/>
      <c r="AB304" s="554"/>
      <c r="AC304" s="554"/>
    </row>
    <row r="305" spans="1:68" ht="14.25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16</v>
      </c>
      <c r="Y306" s="552">
        <f t="shared" ref="Y306:Y311" si="36">IFERROR(IF(X306="",0,CEILING((X306/$H306),1)*$H306),"")</f>
        <v>16.8</v>
      </c>
      <c r="Z306" s="36">
        <f>IFERROR(IF(Y306=0,"",ROUNDUP(Y306/H306,0)*0.00902),"")</f>
        <v>3.6080000000000001E-2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16.952380952380953</v>
      </c>
      <c r="BN306" s="64">
        <f t="shared" ref="BN306:BN311" si="38">IFERROR(Y306*I306/H306,"0")</f>
        <v>17.8</v>
      </c>
      <c r="BO306" s="64">
        <f t="shared" ref="BO306:BO311" si="39">IFERROR(1/J306*(X306/H306),"0")</f>
        <v>2.886002886002886E-2</v>
      </c>
      <c r="BP306" s="64">
        <f t="shared" ref="BP306:BP311" si="40">IFERROR(1/J306*(Y306/H306),"0")</f>
        <v>3.0303030303030304E-2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56</v>
      </c>
      <c r="Y307" s="552">
        <f t="shared" si="36"/>
        <v>58.800000000000004</v>
      </c>
      <c r="Z307" s="36">
        <f>IFERROR(IF(Y307=0,"",ROUNDUP(Y307/H307,0)*0.00902),"")</f>
        <v>0.12628</v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59.333333333333336</v>
      </c>
      <c r="BN307" s="64">
        <f t="shared" si="38"/>
        <v>62.300000000000004</v>
      </c>
      <c r="BO307" s="64">
        <f t="shared" si="39"/>
        <v>0.10101010101010101</v>
      </c>
      <c r="BP307" s="64">
        <f t="shared" si="40"/>
        <v>0.10606060606060606</v>
      </c>
    </row>
    <row r="308" spans="1:68" ht="27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70" t="s">
        <v>75</v>
      </c>
      <c r="Q312" s="571"/>
      <c r="R312" s="571"/>
      <c r="S312" s="571"/>
      <c r="T312" s="571"/>
      <c r="U312" s="571"/>
      <c r="V312" s="572"/>
      <c r="W312" s="37" t="s">
        <v>76</v>
      </c>
      <c r="X312" s="553">
        <f>IFERROR(X306/H306,"0")+IFERROR(X307/H307,"0")+IFERROR(X308/H308,"0")+IFERROR(X309/H309,"0")+IFERROR(X310/H310,"0")+IFERROR(X311/H311,"0")</f>
        <v>17.142857142857142</v>
      </c>
      <c r="Y312" s="553">
        <f>IFERROR(Y306/H306,"0")+IFERROR(Y307/H307,"0")+IFERROR(Y308/H308,"0")+IFERROR(Y309/H309,"0")+IFERROR(Y310/H310,"0")+IFERROR(Y311/H311,"0")</f>
        <v>18</v>
      </c>
      <c r="Z312" s="553">
        <f>IFERROR(IF(Z306="",0,Z306),"0")+IFERROR(IF(Z307="",0,Z307),"0")+IFERROR(IF(Z308="",0,Z308),"0")+IFERROR(IF(Z309="",0,Z309),"0")+IFERROR(IF(Z310="",0,Z310),"0")+IFERROR(IF(Z311="",0,Z311),"0")</f>
        <v>0.16236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70" t="s">
        <v>75</v>
      </c>
      <c r="Q313" s="571"/>
      <c r="R313" s="571"/>
      <c r="S313" s="571"/>
      <c r="T313" s="571"/>
      <c r="U313" s="571"/>
      <c r="V313" s="572"/>
      <c r="W313" s="37" t="s">
        <v>69</v>
      </c>
      <c r="X313" s="553">
        <f>IFERROR(SUM(X306:X311),"0")</f>
        <v>72</v>
      </c>
      <c r="Y313" s="553">
        <f>IFERROR(SUM(Y306:Y311),"0")</f>
        <v>75.600000000000009</v>
      </c>
      <c r="Z313" s="37"/>
      <c r="AA313" s="554"/>
      <c r="AB313" s="554"/>
      <c r="AC313" s="554"/>
    </row>
    <row r="314" spans="1:68" ht="14.25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2900</v>
      </c>
      <c r="Y315" s="552">
        <f>IFERROR(IF(X315="",0,CEILING((X315/$H315),1)*$H315),"")</f>
        <v>2901.6</v>
      </c>
      <c r="Z315" s="36">
        <f>IFERROR(IF(Y315=0,"",ROUNDUP(Y315/H315,0)*0.01898),"")</f>
        <v>7.0605599999999997</v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3081.4358974358975</v>
      </c>
      <c r="BN315" s="64">
        <f>IFERROR(Y315*I315/H315,"0")</f>
        <v>3083.136</v>
      </c>
      <c r="BO315" s="64">
        <f>IFERROR(1/J315*(X315/H315),"0")</f>
        <v>5.8092948717948723</v>
      </c>
      <c r="BP315" s="64">
        <f>IFERROR(1/J315*(Y315/H315),"0")</f>
        <v>5.8125</v>
      </c>
    </row>
    <row r="316" spans="1:68" ht="27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70" t="s">
        <v>75</v>
      </c>
      <c r="Q319" s="571"/>
      <c r="R319" s="571"/>
      <c r="S319" s="571"/>
      <c r="T319" s="571"/>
      <c r="U319" s="571"/>
      <c r="V319" s="572"/>
      <c r="W319" s="37" t="s">
        <v>76</v>
      </c>
      <c r="X319" s="553">
        <f>IFERROR(X315/H315,"0")+IFERROR(X316/H316,"0")+IFERROR(X317/H317,"0")+IFERROR(X318/H318,"0")</f>
        <v>371.79487179487182</v>
      </c>
      <c r="Y319" s="553">
        <f>IFERROR(Y315/H315,"0")+IFERROR(Y316/H316,"0")+IFERROR(Y317/H317,"0")+IFERROR(Y318/H318,"0")</f>
        <v>372</v>
      </c>
      <c r="Z319" s="553">
        <f>IFERROR(IF(Z315="",0,Z315),"0")+IFERROR(IF(Z316="",0,Z316),"0")+IFERROR(IF(Z317="",0,Z317),"0")+IFERROR(IF(Z318="",0,Z318),"0")</f>
        <v>7.0605599999999997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70" t="s">
        <v>75</v>
      </c>
      <c r="Q320" s="571"/>
      <c r="R320" s="571"/>
      <c r="S320" s="571"/>
      <c r="T320" s="571"/>
      <c r="U320" s="571"/>
      <c r="V320" s="572"/>
      <c r="W320" s="37" t="s">
        <v>69</v>
      </c>
      <c r="X320" s="553">
        <f>IFERROR(SUM(X315:X318),"0")</f>
        <v>2900</v>
      </c>
      <c r="Y320" s="553">
        <f>IFERROR(SUM(Y315:Y318),"0")</f>
        <v>2901.6</v>
      </c>
      <c r="Z320" s="37"/>
      <c r="AA320" s="554"/>
      <c r="AB320" s="554"/>
      <c r="AC320" s="554"/>
    </row>
    <row r="321" spans="1:68" ht="14.25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80</v>
      </c>
      <c r="Y322" s="552">
        <f>IFERROR(IF(X322="",0,CEILING((X322/$H322),1)*$H322),"")</f>
        <v>84</v>
      </c>
      <c r="Z322" s="36">
        <f>IFERROR(IF(Y322=0,"",ROUNDUP(Y322/H322,0)*0.01898),"")</f>
        <v>0.1898</v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84.704761904761895</v>
      </c>
      <c r="BN322" s="64">
        <f>IFERROR(Y322*I322/H322,"0")</f>
        <v>88.94</v>
      </c>
      <c r="BO322" s="64">
        <f>IFERROR(1/J322*(X322/H322),"0")</f>
        <v>0.14880952380952381</v>
      </c>
      <c r="BP322" s="64">
        <f>IFERROR(1/J322*(Y322/H322),"0")</f>
        <v>0.15625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180</v>
      </c>
      <c r="Y323" s="552">
        <f>IFERROR(IF(X323="",0,CEILING((X323/$H323),1)*$H323),"")</f>
        <v>187.2</v>
      </c>
      <c r="Z323" s="36">
        <f>IFERROR(IF(Y323=0,"",ROUNDUP(Y323/H323,0)*0.01898),"")</f>
        <v>0.45552000000000004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191.4</v>
      </c>
      <c r="BN323" s="64">
        <f>IFERROR(Y323*I323/H323,"0")</f>
        <v>199.05600000000001</v>
      </c>
      <c r="BO323" s="64">
        <f>IFERROR(1/J323*(X323/H323),"0")</f>
        <v>0.36057692307692307</v>
      </c>
      <c r="BP323" s="64">
        <f>IFERROR(1/J323*(Y323/H323),"0")</f>
        <v>0.375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70</v>
      </c>
      <c r="Y324" s="552">
        <f>IFERROR(IF(X324="",0,CEILING((X324/$H324),1)*$H324),"")</f>
        <v>75.600000000000009</v>
      </c>
      <c r="Z324" s="36">
        <f>IFERROR(IF(Y324=0,"",ROUNDUP(Y324/H324,0)*0.01898),"")</f>
        <v>0.17082</v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74.116666666666674</v>
      </c>
      <c r="BN324" s="64">
        <f>IFERROR(Y324*I324/H324,"0")</f>
        <v>80.046000000000006</v>
      </c>
      <c r="BO324" s="64">
        <f>IFERROR(1/J324*(X324/H324),"0")</f>
        <v>0.13020833333333331</v>
      </c>
      <c r="BP324" s="64">
        <f>IFERROR(1/J324*(Y324/H324),"0")</f>
        <v>0.140625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70" t="s">
        <v>75</v>
      </c>
      <c r="Q325" s="571"/>
      <c r="R325" s="571"/>
      <c r="S325" s="571"/>
      <c r="T325" s="571"/>
      <c r="U325" s="571"/>
      <c r="V325" s="572"/>
      <c r="W325" s="37" t="s">
        <v>76</v>
      </c>
      <c r="X325" s="553">
        <f>IFERROR(X322/H322,"0")+IFERROR(X323/H323,"0")+IFERROR(X324/H324,"0")</f>
        <v>40.934065934065927</v>
      </c>
      <c r="Y325" s="553">
        <f>IFERROR(Y322/H322,"0")+IFERROR(Y323/H323,"0")+IFERROR(Y324/H324,"0")</f>
        <v>43</v>
      </c>
      <c r="Z325" s="553">
        <f>IFERROR(IF(Z322="",0,Z322),"0")+IFERROR(IF(Z323="",0,Z323),"0")+IFERROR(IF(Z324="",0,Z324),"0")</f>
        <v>0.81613999999999998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70" t="s">
        <v>75</v>
      </c>
      <c r="Q326" s="571"/>
      <c r="R326" s="571"/>
      <c r="S326" s="571"/>
      <c r="T326" s="571"/>
      <c r="U326" s="571"/>
      <c r="V326" s="572"/>
      <c r="W326" s="37" t="s">
        <v>69</v>
      </c>
      <c r="X326" s="553">
        <f>IFERROR(SUM(X322:X324),"0")</f>
        <v>330</v>
      </c>
      <c r="Y326" s="553">
        <f>IFERROR(SUM(Y322:Y324),"0")</f>
        <v>346.8</v>
      </c>
      <c r="Z326" s="37"/>
      <c r="AA326" s="554"/>
      <c r="AB326" s="554"/>
      <c r="AC326" s="554"/>
    </row>
    <row r="327" spans="1:68" ht="14.25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6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70" t="s">
        <v>75</v>
      </c>
      <c r="Q332" s="571"/>
      <c r="R332" s="571"/>
      <c r="S332" s="571"/>
      <c r="T332" s="571"/>
      <c r="U332" s="571"/>
      <c r="V332" s="572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70" t="s">
        <v>75</v>
      </c>
      <c r="Q333" s="571"/>
      <c r="R333" s="571"/>
      <c r="S333" s="571"/>
      <c r="T333" s="571"/>
      <c r="U333" s="571"/>
      <c r="V333" s="572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70" t="s">
        <v>75</v>
      </c>
      <c r="Q338" s="571"/>
      <c r="R338" s="571"/>
      <c r="S338" s="571"/>
      <c r="T338" s="571"/>
      <c r="U338" s="571"/>
      <c r="V338" s="572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70" t="s">
        <v>75</v>
      </c>
      <c r="Q339" s="571"/>
      <c r="R339" s="571"/>
      <c r="S339" s="571"/>
      <c r="T339" s="571"/>
      <c r="U339" s="571"/>
      <c r="V339" s="572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customHeight="1" x14ac:dyDescent="0.25">
      <c r="A340" s="573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90</v>
      </c>
      <c r="Y342" s="552">
        <f>IFERROR(IF(X342="",0,CEILING((X342/$H342),1)*$H342),"")</f>
        <v>97.199999999999989</v>
      </c>
      <c r="Z342" s="36">
        <f>IFERROR(IF(Y342=0,"",ROUNDUP(Y342/H342,0)*0.01898),"")</f>
        <v>0.22776000000000002</v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95.48888888888888</v>
      </c>
      <c r="BN342" s="64">
        <f>IFERROR(Y342*I342/H342,"0")</f>
        <v>103.12799999999999</v>
      </c>
      <c r="BO342" s="64">
        <f>IFERROR(1/J342*(X342/H342),"0")</f>
        <v>0.1736111111111111</v>
      </c>
      <c r="BP342" s="64">
        <f>IFERROR(1/J342*(Y342/H342),"0")</f>
        <v>0.1875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0</v>
      </c>
      <c r="Y343" s="55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0</v>
      </c>
      <c r="Y344" s="5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70" t="s">
        <v>75</v>
      </c>
      <c r="Q345" s="571"/>
      <c r="R345" s="571"/>
      <c r="S345" s="571"/>
      <c r="T345" s="571"/>
      <c r="U345" s="571"/>
      <c r="V345" s="572"/>
      <c r="W345" s="37" t="s">
        <v>76</v>
      </c>
      <c r="X345" s="553">
        <f>IFERROR(X342/H342,"0")+IFERROR(X343/H343,"0")+IFERROR(X344/H344,"0")</f>
        <v>11.111111111111111</v>
      </c>
      <c r="Y345" s="553">
        <f>IFERROR(Y342/H342,"0")+IFERROR(Y343/H343,"0")+IFERROR(Y344/H344,"0")</f>
        <v>12</v>
      </c>
      <c r="Z345" s="553">
        <f>IFERROR(IF(Z342="",0,Z342),"0")+IFERROR(IF(Z343="",0,Z343),"0")+IFERROR(IF(Z344="",0,Z344),"0")</f>
        <v>0.22776000000000002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70" t="s">
        <v>75</v>
      </c>
      <c r="Q346" s="571"/>
      <c r="R346" s="571"/>
      <c r="S346" s="571"/>
      <c r="T346" s="571"/>
      <c r="U346" s="571"/>
      <c r="V346" s="572"/>
      <c r="W346" s="37" t="s">
        <v>69</v>
      </c>
      <c r="X346" s="553">
        <f>IFERROR(SUM(X342:X344),"0")</f>
        <v>90</v>
      </c>
      <c r="Y346" s="553">
        <f>IFERROR(SUM(Y342:Y344),"0")</f>
        <v>97.199999999999989</v>
      </c>
      <c r="Z346" s="37"/>
      <c r="AA346" s="554"/>
      <c r="AB346" s="554"/>
      <c r="AC346" s="554"/>
    </row>
    <row r="347" spans="1:68" ht="27.75" customHeight="1" x14ac:dyDescent="0.2">
      <c r="A347" s="626" t="s">
        <v>556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48"/>
      <c r="AB347" s="48"/>
      <c r="AC347" s="48"/>
    </row>
    <row r="348" spans="1:68" ht="16.5" customHeight="1" x14ac:dyDescent="0.25">
      <c r="A348" s="573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2250</v>
      </c>
      <c r="Y350" s="552">
        <f t="shared" ref="Y350:Y356" si="41">IFERROR(IF(X350="",0,CEILING((X350/$H350),1)*$H350),"")</f>
        <v>2250</v>
      </c>
      <c r="Z350" s="36">
        <f>IFERROR(IF(Y350=0,"",ROUNDUP(Y350/H350,0)*0.02175),"")</f>
        <v>3.2624999999999997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2320.5</v>
      </c>
      <c r="BN350" s="64">
        <f t="shared" ref="BN350:BN356" si="43">IFERROR(Y350*I350/H350,"0")</f>
        <v>2320.5</v>
      </c>
      <c r="BO350" s="64">
        <f t="shared" ref="BO350:BO356" si="44">IFERROR(1/J350*(X350/H350),"0")</f>
        <v>3.125</v>
      </c>
      <c r="BP350" s="64">
        <f t="shared" ref="BP350:BP356" si="45">IFERROR(1/J350*(Y350/H350),"0")</f>
        <v>3.125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2250</v>
      </c>
      <c r="Y351" s="552">
        <f t="shared" si="41"/>
        <v>2250</v>
      </c>
      <c r="Z351" s="36">
        <f>IFERROR(IF(Y351=0,"",ROUNDUP(Y351/H351,0)*0.02175),"")</f>
        <v>3.2624999999999997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2320.5</v>
      </c>
      <c r="BN351" s="64">
        <f t="shared" si="43"/>
        <v>2320.5</v>
      </c>
      <c r="BO351" s="64">
        <f t="shared" si="44"/>
        <v>3.125</v>
      </c>
      <c r="BP351" s="64">
        <f t="shared" si="45"/>
        <v>3.125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0</v>
      </c>
      <c r="Y352" s="552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2250</v>
      </c>
      <c r="Y353" s="552">
        <f t="shared" si="41"/>
        <v>2250</v>
      </c>
      <c r="Z353" s="36">
        <f>IFERROR(IF(Y353=0,"",ROUNDUP(Y353/H353,0)*0.02175),"")</f>
        <v>3.2624999999999997</v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2320.5</v>
      </c>
      <c r="BN353" s="64">
        <f t="shared" si="43"/>
        <v>2320.5</v>
      </c>
      <c r="BO353" s="64">
        <f t="shared" si="44"/>
        <v>3.125</v>
      </c>
      <c r="BP353" s="64">
        <f t="shared" si="45"/>
        <v>3.125</v>
      </c>
    </row>
    <row r="354" spans="1:68" ht="27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70" t="s">
        <v>75</v>
      </c>
      <c r="Q357" s="571"/>
      <c r="R357" s="571"/>
      <c r="S357" s="571"/>
      <c r="T357" s="571"/>
      <c r="U357" s="571"/>
      <c r="V357" s="572"/>
      <c r="W357" s="37" t="s">
        <v>76</v>
      </c>
      <c r="X357" s="553">
        <f>IFERROR(X350/H350,"0")+IFERROR(X351/H351,"0")+IFERROR(X352/H352,"0")+IFERROR(X353/H353,"0")+IFERROR(X354/H354,"0")+IFERROR(X355/H355,"0")+IFERROR(X356/H356,"0")</f>
        <v>450</v>
      </c>
      <c r="Y357" s="553">
        <f>IFERROR(Y350/H350,"0")+IFERROR(Y351/H351,"0")+IFERROR(Y352/H352,"0")+IFERROR(Y353/H353,"0")+IFERROR(Y354/H354,"0")+IFERROR(Y355/H355,"0")+IFERROR(Y356/H356,"0")</f>
        <v>450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9.7874999999999996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70" t="s">
        <v>75</v>
      </c>
      <c r="Q358" s="571"/>
      <c r="R358" s="571"/>
      <c r="S358" s="571"/>
      <c r="T358" s="571"/>
      <c r="U358" s="571"/>
      <c r="V358" s="572"/>
      <c r="W358" s="37" t="s">
        <v>69</v>
      </c>
      <c r="X358" s="553">
        <f>IFERROR(SUM(X350:X356),"0")</f>
        <v>6750</v>
      </c>
      <c r="Y358" s="553">
        <f>IFERROR(SUM(Y350:Y356),"0")</f>
        <v>6750</v>
      </c>
      <c r="Z358" s="37"/>
      <c r="AA358" s="554"/>
      <c r="AB358" s="554"/>
      <c r="AC358" s="554"/>
    </row>
    <row r="359" spans="1:68" ht="14.25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2250</v>
      </c>
      <c r="Y360" s="552">
        <f>IFERROR(IF(X360="",0,CEILING((X360/$H360),1)*$H360),"")</f>
        <v>2250</v>
      </c>
      <c r="Z360" s="36">
        <f>IFERROR(IF(Y360=0,"",ROUNDUP(Y360/H360,0)*0.02175),"")</f>
        <v>3.2624999999999997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2320.5</v>
      </c>
      <c r="BN360" s="64">
        <f>IFERROR(Y360*I360/H360,"0")</f>
        <v>2320.5</v>
      </c>
      <c r="BO360" s="64">
        <f>IFERROR(1/J360*(X360/H360),"0")</f>
        <v>3.125</v>
      </c>
      <c r="BP360" s="64">
        <f>IFERROR(1/J360*(Y360/H360),"0")</f>
        <v>3.125</v>
      </c>
    </row>
    <row r="361" spans="1:68" ht="27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70" t="s">
        <v>75</v>
      </c>
      <c r="Q362" s="571"/>
      <c r="R362" s="571"/>
      <c r="S362" s="571"/>
      <c r="T362" s="571"/>
      <c r="U362" s="571"/>
      <c r="V362" s="572"/>
      <c r="W362" s="37" t="s">
        <v>76</v>
      </c>
      <c r="X362" s="553">
        <f>IFERROR(X360/H360,"0")+IFERROR(X361/H361,"0")</f>
        <v>150</v>
      </c>
      <c r="Y362" s="553">
        <f>IFERROR(Y360/H360,"0")+IFERROR(Y361/H361,"0")</f>
        <v>150</v>
      </c>
      <c r="Z362" s="553">
        <f>IFERROR(IF(Z360="",0,Z360),"0")+IFERROR(IF(Z361="",0,Z361),"0")</f>
        <v>3.2624999999999997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70" t="s">
        <v>75</v>
      </c>
      <c r="Q363" s="571"/>
      <c r="R363" s="571"/>
      <c r="S363" s="571"/>
      <c r="T363" s="571"/>
      <c r="U363" s="571"/>
      <c r="V363" s="572"/>
      <c r="W363" s="37" t="s">
        <v>69</v>
      </c>
      <c r="X363" s="553">
        <f>IFERROR(SUM(X360:X361),"0")</f>
        <v>2250</v>
      </c>
      <c r="Y363" s="553">
        <f>IFERROR(SUM(Y360:Y361),"0")</f>
        <v>2250</v>
      </c>
      <c r="Z363" s="37"/>
      <c r="AA363" s="554"/>
      <c r="AB363" s="554"/>
      <c r="AC363" s="554"/>
    </row>
    <row r="364" spans="1:68" ht="14.25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550</v>
      </c>
      <c r="Y365" s="552">
        <f>IFERROR(IF(X365="",0,CEILING((X365/$H365),1)*$H365),"")</f>
        <v>558</v>
      </c>
      <c r="Z365" s="36">
        <f>IFERROR(IF(Y365=0,"",ROUNDUP(Y365/H365,0)*0.01898),"")</f>
        <v>1.17676</v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580.55555555555554</v>
      </c>
      <c r="BN365" s="64">
        <f>IFERROR(Y365*I365/H365,"0")</f>
        <v>589</v>
      </c>
      <c r="BO365" s="64">
        <f>IFERROR(1/J365*(X365/H365),"0")</f>
        <v>0.95486111111111116</v>
      </c>
      <c r="BP365" s="64">
        <f>IFERROR(1/J365*(Y365/H365),"0")</f>
        <v>0.96875</v>
      </c>
    </row>
    <row r="366" spans="1:68" ht="27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150</v>
      </c>
      <c r="Y366" s="552">
        <f>IFERROR(IF(X366="",0,CEILING((X366/$H366),1)*$H366),"")</f>
        <v>153</v>
      </c>
      <c r="Z366" s="36">
        <f>IFERROR(IF(Y366=0,"",ROUNDUP(Y366/H366,0)*0.01898),"")</f>
        <v>0.32266</v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158.23333333333332</v>
      </c>
      <c r="BN366" s="64">
        <f>IFERROR(Y366*I366/H366,"0")</f>
        <v>161.398</v>
      </c>
      <c r="BO366" s="64">
        <f>IFERROR(1/J366*(X366/H366),"0")</f>
        <v>0.26041666666666669</v>
      </c>
      <c r="BP366" s="64">
        <f>IFERROR(1/J366*(Y366/H366),"0")</f>
        <v>0.265625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70" t="s">
        <v>75</v>
      </c>
      <c r="Q367" s="571"/>
      <c r="R367" s="571"/>
      <c r="S367" s="571"/>
      <c r="T367" s="571"/>
      <c r="U367" s="571"/>
      <c r="V367" s="572"/>
      <c r="W367" s="37" t="s">
        <v>76</v>
      </c>
      <c r="X367" s="553">
        <f>IFERROR(X365/H365,"0")+IFERROR(X366/H366,"0")</f>
        <v>77.777777777777786</v>
      </c>
      <c r="Y367" s="553">
        <f>IFERROR(Y365/H365,"0")+IFERROR(Y366/H366,"0")</f>
        <v>79</v>
      </c>
      <c r="Z367" s="553">
        <f>IFERROR(IF(Z365="",0,Z365),"0")+IFERROR(IF(Z366="",0,Z366),"0")</f>
        <v>1.49942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70" t="s">
        <v>75</v>
      </c>
      <c r="Q368" s="571"/>
      <c r="R368" s="571"/>
      <c r="S368" s="571"/>
      <c r="T368" s="571"/>
      <c r="U368" s="571"/>
      <c r="V368" s="572"/>
      <c r="W368" s="37" t="s">
        <v>69</v>
      </c>
      <c r="X368" s="553">
        <f>IFERROR(SUM(X365:X366),"0")</f>
        <v>700</v>
      </c>
      <c r="Y368" s="553">
        <f>IFERROR(SUM(Y365:Y366),"0")</f>
        <v>711</v>
      </c>
      <c r="Z368" s="37"/>
      <c r="AA368" s="554"/>
      <c r="AB368" s="554"/>
      <c r="AC368" s="554"/>
    </row>
    <row r="369" spans="1:68" ht="14.25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140</v>
      </c>
      <c r="Y370" s="552">
        <f>IFERROR(IF(X370="",0,CEILING((X370/$H370),1)*$H370),"")</f>
        <v>144</v>
      </c>
      <c r="Z370" s="36">
        <f>IFERROR(IF(Y370=0,"",ROUNDUP(Y370/H370,0)*0.01898),"")</f>
        <v>0.30368000000000001</v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147.68444444444444</v>
      </c>
      <c r="BN370" s="64">
        <f>IFERROR(Y370*I370/H370,"0")</f>
        <v>151.904</v>
      </c>
      <c r="BO370" s="64">
        <f>IFERROR(1/J370*(X370/H370),"0")</f>
        <v>0.24305555555555555</v>
      </c>
      <c r="BP370" s="64">
        <f>IFERROR(1/J370*(Y370/H370),"0")</f>
        <v>0.25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70" t="s">
        <v>75</v>
      </c>
      <c r="Q371" s="571"/>
      <c r="R371" s="571"/>
      <c r="S371" s="571"/>
      <c r="T371" s="571"/>
      <c r="U371" s="571"/>
      <c r="V371" s="572"/>
      <c r="W371" s="37" t="s">
        <v>76</v>
      </c>
      <c r="X371" s="553">
        <f>IFERROR(X370/H370,"0")</f>
        <v>15.555555555555555</v>
      </c>
      <c r="Y371" s="553">
        <f>IFERROR(Y370/H370,"0")</f>
        <v>16</v>
      </c>
      <c r="Z371" s="553">
        <f>IFERROR(IF(Z370="",0,Z370),"0")</f>
        <v>0.30368000000000001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70" t="s">
        <v>75</v>
      </c>
      <c r="Q372" s="571"/>
      <c r="R372" s="571"/>
      <c r="S372" s="571"/>
      <c r="T372" s="571"/>
      <c r="U372" s="571"/>
      <c r="V372" s="572"/>
      <c r="W372" s="37" t="s">
        <v>69</v>
      </c>
      <c r="X372" s="553">
        <f>IFERROR(SUM(X370:X370),"0")</f>
        <v>140</v>
      </c>
      <c r="Y372" s="553">
        <f>IFERROR(SUM(Y370:Y370),"0")</f>
        <v>144</v>
      </c>
      <c r="Z372" s="37"/>
      <c r="AA372" s="554"/>
      <c r="AB372" s="554"/>
      <c r="AC372" s="554"/>
    </row>
    <row r="373" spans="1:68" ht="16.5" customHeight="1" x14ac:dyDescent="0.25">
      <c r="A373" s="573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40</v>
      </c>
      <c r="Y375" s="552">
        <f>IFERROR(IF(X375="",0,CEILING((X375/$H375),1)*$H375),"")</f>
        <v>48</v>
      </c>
      <c r="Z375" s="36">
        <f>IFERROR(IF(Y375=0,"",ROUNDUP(Y375/H375,0)*0.01898),"")</f>
        <v>7.5920000000000001E-2</v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41.366666666666667</v>
      </c>
      <c r="BN375" s="64">
        <f>IFERROR(Y375*I375/H375,"0")</f>
        <v>49.640000000000008</v>
      </c>
      <c r="BO375" s="64">
        <f>IFERROR(1/J375*(X375/H375),"0")</f>
        <v>5.2083333333333336E-2</v>
      </c>
      <c r="BP375" s="64">
        <f>IFERROR(1/J375*(Y375/H375),"0")</f>
        <v>6.25E-2</v>
      </c>
    </row>
    <row r="376" spans="1:68" ht="37.5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70" t="s">
        <v>75</v>
      </c>
      <c r="Q377" s="571"/>
      <c r="R377" s="571"/>
      <c r="S377" s="571"/>
      <c r="T377" s="571"/>
      <c r="U377" s="571"/>
      <c r="V377" s="572"/>
      <c r="W377" s="37" t="s">
        <v>76</v>
      </c>
      <c r="X377" s="553">
        <f>IFERROR(X375/H375,"0")+IFERROR(X376/H376,"0")</f>
        <v>3.3333333333333335</v>
      </c>
      <c r="Y377" s="553">
        <f>IFERROR(Y375/H375,"0")+IFERROR(Y376/H376,"0")</f>
        <v>4</v>
      </c>
      <c r="Z377" s="553">
        <f>IFERROR(IF(Z375="",0,Z375),"0")+IFERROR(IF(Z376="",0,Z376),"0")</f>
        <v>7.5920000000000001E-2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70" t="s">
        <v>75</v>
      </c>
      <c r="Q378" s="571"/>
      <c r="R378" s="571"/>
      <c r="S378" s="571"/>
      <c r="T378" s="571"/>
      <c r="U378" s="571"/>
      <c r="V378" s="572"/>
      <c r="W378" s="37" t="s">
        <v>69</v>
      </c>
      <c r="X378" s="553">
        <f>IFERROR(SUM(X375:X376),"0")</f>
        <v>40</v>
      </c>
      <c r="Y378" s="553">
        <f>IFERROR(SUM(Y375:Y376),"0")</f>
        <v>48</v>
      </c>
      <c r="Z378" s="37"/>
      <c r="AA378" s="554"/>
      <c r="AB378" s="554"/>
      <c r="AC378" s="554"/>
    </row>
    <row r="379" spans="1:68" ht="14.25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70" t="s">
        <v>75</v>
      </c>
      <c r="Q382" s="571"/>
      <c r="R382" s="571"/>
      <c r="S382" s="571"/>
      <c r="T382" s="571"/>
      <c r="U382" s="571"/>
      <c r="V382" s="572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70" t="s">
        <v>75</v>
      </c>
      <c r="Q383" s="571"/>
      <c r="R383" s="571"/>
      <c r="S383" s="571"/>
      <c r="T383" s="571"/>
      <c r="U383" s="571"/>
      <c r="V383" s="572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180</v>
      </c>
      <c r="Y385" s="552">
        <f>IFERROR(IF(X385="",0,CEILING((X385/$H385),1)*$H385),"")</f>
        <v>180</v>
      </c>
      <c r="Z385" s="36">
        <f>IFERROR(IF(Y385=0,"",ROUNDUP(Y385/H385,0)*0.01898),"")</f>
        <v>0.37959999999999999</v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189.88</v>
      </c>
      <c r="BN385" s="64">
        <f>IFERROR(Y385*I385/H385,"0")</f>
        <v>189.88</v>
      </c>
      <c r="BO385" s="64">
        <f>IFERROR(1/J385*(X385/H385),"0")</f>
        <v>0.3125</v>
      </c>
      <c r="BP385" s="64">
        <f>IFERROR(1/J385*(Y385/H385),"0")</f>
        <v>0.3125</v>
      </c>
    </row>
    <row r="386" spans="1:68" ht="27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70" t="s">
        <v>75</v>
      </c>
      <c r="Q388" s="571"/>
      <c r="R388" s="571"/>
      <c r="S388" s="571"/>
      <c r="T388" s="571"/>
      <c r="U388" s="571"/>
      <c r="V388" s="572"/>
      <c r="W388" s="37" t="s">
        <v>76</v>
      </c>
      <c r="X388" s="553">
        <f>IFERROR(X385/H385,"0")+IFERROR(X386/H386,"0")+IFERROR(X387/H387,"0")</f>
        <v>20</v>
      </c>
      <c r="Y388" s="553">
        <f>IFERROR(Y385/H385,"0")+IFERROR(Y386/H386,"0")+IFERROR(Y387/H387,"0")</f>
        <v>20</v>
      </c>
      <c r="Z388" s="553">
        <f>IFERROR(IF(Z385="",0,Z385),"0")+IFERROR(IF(Z386="",0,Z386),"0")+IFERROR(IF(Z387="",0,Z387),"0")</f>
        <v>0.37959999999999999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70" t="s">
        <v>75</v>
      </c>
      <c r="Q389" s="571"/>
      <c r="R389" s="571"/>
      <c r="S389" s="571"/>
      <c r="T389" s="571"/>
      <c r="U389" s="571"/>
      <c r="V389" s="572"/>
      <c r="W389" s="37" t="s">
        <v>69</v>
      </c>
      <c r="X389" s="553">
        <f>IFERROR(SUM(X385:X387),"0")</f>
        <v>180</v>
      </c>
      <c r="Y389" s="553">
        <f>IFERROR(SUM(Y385:Y387),"0")</f>
        <v>180</v>
      </c>
      <c r="Z389" s="37"/>
      <c r="AA389" s="554"/>
      <c r="AB389" s="554"/>
      <c r="AC389" s="554"/>
    </row>
    <row r="390" spans="1:68" ht="27.75" customHeight="1" x14ac:dyDescent="0.2">
      <c r="A390" s="626" t="s">
        <v>610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48"/>
      <c r="AB390" s="48"/>
      <c r="AC390" s="48"/>
    </row>
    <row r="391" spans="1:68" ht="16.5" customHeight="1" x14ac:dyDescent="0.25">
      <c r="A391" s="573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50</v>
      </c>
      <c r="Y395" s="552">
        <f t="shared" si="46"/>
        <v>54</v>
      </c>
      <c r="Z395" s="36">
        <f>IFERROR(IF(Y395=0,"",ROUNDUP(Y395/H395,0)*0.00902),"")</f>
        <v>9.0200000000000002E-2</v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51.759259259259252</v>
      </c>
      <c r="BN395" s="64">
        <f t="shared" si="48"/>
        <v>55.9</v>
      </c>
      <c r="BO395" s="64">
        <f t="shared" si="49"/>
        <v>7.0145903479236812E-2</v>
      </c>
      <c r="BP395" s="64">
        <f t="shared" si="50"/>
        <v>7.575757575757576E-2</v>
      </c>
    </row>
    <row r="396" spans="1:68" ht="27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70" t="s">
        <v>75</v>
      </c>
      <c r="Q402" s="571"/>
      <c r="R402" s="571"/>
      <c r="S402" s="571"/>
      <c r="T402" s="571"/>
      <c r="U402" s="571"/>
      <c r="V402" s="572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9.2592592592592595</v>
      </c>
      <c r="Y402" s="553">
        <f>IFERROR(Y393/H393,"0")+IFERROR(Y394/H394,"0")+IFERROR(Y395/H395,"0")+IFERROR(Y396/H396,"0")+IFERROR(Y397/H397,"0")+IFERROR(Y398/H398,"0")+IFERROR(Y399/H399,"0")+IFERROR(Y400/H400,"0")+IFERROR(Y401/H401,"0")</f>
        <v>10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9.0200000000000002E-2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70" t="s">
        <v>75</v>
      </c>
      <c r="Q403" s="571"/>
      <c r="R403" s="571"/>
      <c r="S403" s="571"/>
      <c r="T403" s="571"/>
      <c r="U403" s="571"/>
      <c r="V403" s="572"/>
      <c r="W403" s="37" t="s">
        <v>69</v>
      </c>
      <c r="X403" s="553">
        <f>IFERROR(SUM(X393:X401),"0")</f>
        <v>50</v>
      </c>
      <c r="Y403" s="553">
        <f>IFERROR(SUM(Y393:Y401),"0")</f>
        <v>54</v>
      </c>
      <c r="Z403" s="37"/>
      <c r="AA403" s="554"/>
      <c r="AB403" s="554"/>
      <c r="AC403" s="554"/>
    </row>
    <row r="404" spans="1:68" ht="14.25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70" t="s">
        <v>75</v>
      </c>
      <c r="Q407" s="571"/>
      <c r="R407" s="571"/>
      <c r="S407" s="571"/>
      <c r="T407" s="571"/>
      <c r="U407" s="571"/>
      <c r="V407" s="572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70" t="s">
        <v>75</v>
      </c>
      <c r="Q408" s="571"/>
      <c r="R408" s="571"/>
      <c r="S408" s="571"/>
      <c r="T408" s="571"/>
      <c r="U408" s="571"/>
      <c r="V408" s="572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customHeight="1" x14ac:dyDescent="0.25">
      <c r="A409" s="573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70" t="s">
        <v>75</v>
      </c>
      <c r="Q412" s="571"/>
      <c r="R412" s="571"/>
      <c r="S412" s="571"/>
      <c r="T412" s="571"/>
      <c r="U412" s="571"/>
      <c r="V412" s="572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70" t="s">
        <v>75</v>
      </c>
      <c r="Q413" s="571"/>
      <c r="R413" s="571"/>
      <c r="S413" s="571"/>
      <c r="T413" s="571"/>
      <c r="U413" s="571"/>
      <c r="V413" s="572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100</v>
      </c>
      <c r="Y415" s="552">
        <f>IFERROR(IF(X415="",0,CEILING((X415/$H415),1)*$H415),"")</f>
        <v>102.60000000000001</v>
      </c>
      <c r="Z415" s="36">
        <f>IFERROR(IF(Y415=0,"",ROUNDUP(Y415/H415,0)*0.00902),"")</f>
        <v>0.17138</v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103.5185185185185</v>
      </c>
      <c r="BN415" s="64">
        <f>IFERROR(Y415*I415/H415,"0")</f>
        <v>106.21</v>
      </c>
      <c r="BO415" s="64">
        <f>IFERROR(1/J415*(X415/H415),"0")</f>
        <v>0.14029180695847362</v>
      </c>
      <c r="BP415" s="64">
        <f>IFERROR(1/J415*(Y415/H415),"0")</f>
        <v>0.14393939393939395</v>
      </c>
    </row>
    <row r="416" spans="1:68" ht="27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70" t="s">
        <v>75</v>
      </c>
      <c r="Q419" s="571"/>
      <c r="R419" s="571"/>
      <c r="S419" s="571"/>
      <c r="T419" s="571"/>
      <c r="U419" s="571"/>
      <c r="V419" s="572"/>
      <c r="W419" s="37" t="s">
        <v>76</v>
      </c>
      <c r="X419" s="553">
        <f>IFERROR(X415/H415,"0")+IFERROR(X416/H416,"0")+IFERROR(X417/H417,"0")+IFERROR(X418/H418,"0")</f>
        <v>18.518518518518519</v>
      </c>
      <c r="Y419" s="553">
        <f>IFERROR(Y415/H415,"0")+IFERROR(Y416/H416,"0")+IFERROR(Y417/H417,"0")+IFERROR(Y418/H418,"0")</f>
        <v>19</v>
      </c>
      <c r="Z419" s="553">
        <f>IFERROR(IF(Z415="",0,Z415),"0")+IFERROR(IF(Z416="",0,Z416),"0")+IFERROR(IF(Z417="",0,Z417),"0")+IFERROR(IF(Z418="",0,Z418),"0")</f>
        <v>0.17138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70" t="s">
        <v>75</v>
      </c>
      <c r="Q420" s="571"/>
      <c r="R420" s="571"/>
      <c r="S420" s="571"/>
      <c r="T420" s="571"/>
      <c r="U420" s="571"/>
      <c r="V420" s="572"/>
      <c r="W420" s="37" t="s">
        <v>69</v>
      </c>
      <c r="X420" s="553">
        <f>IFERROR(SUM(X415:X418),"0")</f>
        <v>100</v>
      </c>
      <c r="Y420" s="553">
        <f>IFERROR(SUM(Y415:Y418),"0")</f>
        <v>102.60000000000001</v>
      </c>
      <c r="Z420" s="37"/>
      <c r="AA420" s="554"/>
      <c r="AB420" s="554"/>
      <c r="AC420" s="554"/>
    </row>
    <row r="421" spans="1:68" ht="16.5" customHeight="1" x14ac:dyDescent="0.25">
      <c r="A421" s="573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70" t="s">
        <v>75</v>
      </c>
      <c r="Q424" s="571"/>
      <c r="R424" s="571"/>
      <c r="S424" s="571"/>
      <c r="T424" s="571"/>
      <c r="U424" s="571"/>
      <c r="V424" s="572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70" t="s">
        <v>75</v>
      </c>
      <c r="Q425" s="571"/>
      <c r="R425" s="571"/>
      <c r="S425" s="571"/>
      <c r="T425" s="571"/>
      <c r="U425" s="571"/>
      <c r="V425" s="572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customHeight="1" x14ac:dyDescent="0.2">
      <c r="A426" s="626" t="s">
        <v>661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48"/>
      <c r="AB426" s="48"/>
      <c r="AC426" s="48"/>
    </row>
    <row r="427" spans="1:68" ht="16.5" customHeight="1" x14ac:dyDescent="0.25">
      <c r="A427" s="573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200</v>
      </c>
      <c r="Y431" s="552">
        <f t="shared" si="52"/>
        <v>200.64000000000001</v>
      </c>
      <c r="Z431" s="36">
        <f t="shared" si="53"/>
        <v>0.45448</v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213.25757575757575</v>
      </c>
      <c r="BN431" s="64">
        <f t="shared" si="55"/>
        <v>213.94</v>
      </c>
      <c r="BO431" s="64">
        <f t="shared" si="56"/>
        <v>0.36421911421911418</v>
      </c>
      <c r="BP431" s="64">
        <f t="shared" si="57"/>
        <v>0.36538461538461542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0</v>
      </c>
      <c r="Y432" s="552">
        <f t="shared" si="52"/>
        <v>0</v>
      </c>
      <c r="Z432" s="36" t="str">
        <f t="shared" si="53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0</v>
      </c>
      <c r="Y433" s="552">
        <f t="shared" si="52"/>
        <v>0</v>
      </c>
      <c r="Z433" s="36" t="str">
        <f t="shared" si="53"/>
        <v/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16.5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170</v>
      </c>
      <c r="Y435" s="552">
        <f t="shared" si="52"/>
        <v>174.24</v>
      </c>
      <c r="Z435" s="36">
        <f t="shared" si="53"/>
        <v>0.39468000000000003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181.26893939393938</v>
      </c>
      <c r="BN435" s="64">
        <f t="shared" si="55"/>
        <v>185.79</v>
      </c>
      <c r="BO435" s="64">
        <f t="shared" si="56"/>
        <v>0.3095862470862471</v>
      </c>
      <c r="BP435" s="64">
        <f t="shared" si="57"/>
        <v>0.31730769230769235</v>
      </c>
    </row>
    <row r="436" spans="1:68" ht="27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70" t="s">
        <v>75</v>
      </c>
      <c r="Q441" s="571"/>
      <c r="R441" s="571"/>
      <c r="S441" s="571"/>
      <c r="T441" s="571"/>
      <c r="U441" s="571"/>
      <c r="V441" s="572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70.075757575757564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71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0.84916000000000003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70" t="s">
        <v>75</v>
      </c>
      <c r="Q442" s="571"/>
      <c r="R442" s="571"/>
      <c r="S442" s="571"/>
      <c r="T442" s="571"/>
      <c r="U442" s="571"/>
      <c r="V442" s="572"/>
      <c r="W442" s="37" t="s">
        <v>69</v>
      </c>
      <c r="X442" s="553">
        <f>IFERROR(SUM(X429:X440),"0")</f>
        <v>370</v>
      </c>
      <c r="Y442" s="553">
        <f>IFERROR(SUM(Y429:Y440),"0")</f>
        <v>374.88</v>
      </c>
      <c r="Z442" s="37"/>
      <c r="AA442" s="554"/>
      <c r="AB442" s="554"/>
      <c r="AC442" s="554"/>
    </row>
    <row r="443" spans="1:68" ht="14.25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140</v>
      </c>
      <c r="Y444" s="552">
        <f>IFERROR(IF(X444="",0,CEILING((X444/$H444),1)*$H444),"")</f>
        <v>142.56</v>
      </c>
      <c r="Z444" s="36">
        <f>IFERROR(IF(Y444=0,"",ROUNDUP(Y444/H444,0)*0.01196),"")</f>
        <v>0.32291999999999998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149.280303030303</v>
      </c>
      <c r="BN444" s="64">
        <f>IFERROR(Y444*I444/H444,"0")</f>
        <v>152.01</v>
      </c>
      <c r="BO444" s="64">
        <f>IFERROR(1/J444*(X444/H444),"0")</f>
        <v>0.25495337995337997</v>
      </c>
      <c r="BP444" s="64">
        <f>IFERROR(1/J444*(Y444/H444),"0")</f>
        <v>0.25961538461538464</v>
      </c>
    </row>
    <row r="445" spans="1:68" ht="16.5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70" t="s">
        <v>75</v>
      </c>
      <c r="Q447" s="571"/>
      <c r="R447" s="571"/>
      <c r="S447" s="571"/>
      <c r="T447" s="571"/>
      <c r="U447" s="571"/>
      <c r="V447" s="572"/>
      <c r="W447" s="37" t="s">
        <v>76</v>
      </c>
      <c r="X447" s="553">
        <f>IFERROR(X444/H444,"0")+IFERROR(X445/H445,"0")+IFERROR(X446/H446,"0")</f>
        <v>26.515151515151516</v>
      </c>
      <c r="Y447" s="553">
        <f>IFERROR(Y444/H444,"0")+IFERROR(Y445/H445,"0")+IFERROR(Y446/H446,"0")</f>
        <v>27</v>
      </c>
      <c r="Z447" s="553">
        <f>IFERROR(IF(Z444="",0,Z444),"0")+IFERROR(IF(Z445="",0,Z445),"0")+IFERROR(IF(Z446="",0,Z446),"0")</f>
        <v>0.32291999999999998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70" t="s">
        <v>75</v>
      </c>
      <c r="Q448" s="571"/>
      <c r="R448" s="571"/>
      <c r="S448" s="571"/>
      <c r="T448" s="571"/>
      <c r="U448" s="571"/>
      <c r="V448" s="572"/>
      <c r="W448" s="37" t="s">
        <v>69</v>
      </c>
      <c r="X448" s="553">
        <f>IFERROR(SUM(X444:X446),"0")</f>
        <v>140</v>
      </c>
      <c r="Y448" s="553">
        <f>IFERROR(SUM(Y444:Y446),"0")</f>
        <v>142.56</v>
      </c>
      <c r="Z448" s="37"/>
      <c r="AA448" s="554"/>
      <c r="AB448" s="554"/>
      <c r="AC448" s="554"/>
    </row>
    <row r="449" spans="1:68" ht="14.25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0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90</v>
      </c>
      <c r="Y450" s="552">
        <f t="shared" ref="Y450:Y455" si="58">IFERROR(IF(X450="",0,CEILING((X450/$H450),1)*$H450),"")</f>
        <v>95.04</v>
      </c>
      <c r="Z450" s="36">
        <f>IFERROR(IF(Y450=0,"",ROUNDUP(Y450/H450,0)*0.01196),"")</f>
        <v>0.21528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95.965909090909079</v>
      </c>
      <c r="BN450" s="64">
        <f t="shared" ref="BN450:BN455" si="60">IFERROR(Y450*I450/H450,"0")</f>
        <v>101.33999999999999</v>
      </c>
      <c r="BO450" s="64">
        <f t="shared" ref="BO450:BO455" si="61">IFERROR(1/J450*(X450/H450),"0")</f>
        <v>0.16389860139860138</v>
      </c>
      <c r="BP450" s="64">
        <f t="shared" ref="BP450:BP455" si="62">IFERROR(1/J450*(Y450/H450),"0")</f>
        <v>0.17307692307692307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90</v>
      </c>
      <c r="Y451" s="552">
        <f t="shared" si="58"/>
        <v>95.04</v>
      </c>
      <c r="Z451" s="36">
        <f>IFERROR(IF(Y451=0,"",ROUNDUP(Y451/H451,0)*0.01196),"")</f>
        <v>0.21528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95.965909090909079</v>
      </c>
      <c r="BN451" s="64">
        <f t="shared" si="60"/>
        <v>101.33999999999999</v>
      </c>
      <c r="BO451" s="64">
        <f t="shared" si="61"/>
        <v>0.16389860139860138</v>
      </c>
      <c r="BP451" s="64">
        <f t="shared" si="62"/>
        <v>0.17307692307692307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75</v>
      </c>
      <c r="Y452" s="552">
        <f t="shared" si="58"/>
        <v>79.2</v>
      </c>
      <c r="Z452" s="36">
        <f>IFERROR(IF(Y452=0,"",ROUNDUP(Y452/H452,0)*0.01196),"")</f>
        <v>0.1794</v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79.971590909090907</v>
      </c>
      <c r="BN452" s="64">
        <f t="shared" si="60"/>
        <v>84.45</v>
      </c>
      <c r="BO452" s="64">
        <f t="shared" si="61"/>
        <v>0.13658216783216784</v>
      </c>
      <c r="BP452" s="64">
        <f t="shared" si="62"/>
        <v>0.14423076923076925</v>
      </c>
    </row>
    <row r="453" spans="1:68" ht="27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70" t="s">
        <v>75</v>
      </c>
      <c r="Q456" s="571"/>
      <c r="R456" s="571"/>
      <c r="S456" s="571"/>
      <c r="T456" s="571"/>
      <c r="U456" s="571"/>
      <c r="V456" s="572"/>
      <c r="W456" s="37" t="s">
        <v>76</v>
      </c>
      <c r="X456" s="553">
        <f>IFERROR(X450/H450,"0")+IFERROR(X451/H451,"0")+IFERROR(X452/H452,"0")+IFERROR(X453/H453,"0")+IFERROR(X454/H454,"0")+IFERROR(X455/H455,"0")</f>
        <v>48.29545454545454</v>
      </c>
      <c r="Y456" s="553">
        <f>IFERROR(Y450/H450,"0")+IFERROR(Y451/H451,"0")+IFERROR(Y452/H452,"0")+IFERROR(Y453/H453,"0")+IFERROR(Y454/H454,"0")+IFERROR(Y455/H455,"0")</f>
        <v>51</v>
      </c>
      <c r="Z456" s="553">
        <f>IFERROR(IF(Z450="",0,Z450),"0")+IFERROR(IF(Z451="",0,Z451),"0")+IFERROR(IF(Z452="",0,Z452),"0")+IFERROR(IF(Z453="",0,Z453),"0")+IFERROR(IF(Z454="",0,Z454),"0")+IFERROR(IF(Z455="",0,Z455),"0")</f>
        <v>0.60996000000000006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70" t="s">
        <v>75</v>
      </c>
      <c r="Q457" s="571"/>
      <c r="R457" s="571"/>
      <c r="S457" s="571"/>
      <c r="T457" s="571"/>
      <c r="U457" s="571"/>
      <c r="V457" s="572"/>
      <c r="W457" s="37" t="s">
        <v>69</v>
      </c>
      <c r="X457" s="553">
        <f>IFERROR(SUM(X450:X455),"0")</f>
        <v>255</v>
      </c>
      <c r="Y457" s="553">
        <f>IFERROR(SUM(Y450:Y455),"0")</f>
        <v>269.28000000000003</v>
      </c>
      <c r="Z457" s="37"/>
      <c r="AA457" s="554"/>
      <c r="AB457" s="554"/>
      <c r="AC457" s="554"/>
    </row>
    <row r="458" spans="1:68" ht="14.25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70" t="s">
        <v>75</v>
      </c>
      <c r="Q460" s="571"/>
      <c r="R460" s="571"/>
      <c r="S460" s="571"/>
      <c r="T460" s="571"/>
      <c r="U460" s="571"/>
      <c r="V460" s="572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70" t="s">
        <v>75</v>
      </c>
      <c r="Q461" s="571"/>
      <c r="R461" s="571"/>
      <c r="S461" s="571"/>
      <c r="T461" s="571"/>
      <c r="U461" s="571"/>
      <c r="V461" s="572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customHeight="1" x14ac:dyDescent="0.2">
      <c r="A462" s="626" t="s">
        <v>716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48"/>
      <c r="AB462" s="48"/>
      <c r="AC462" s="48"/>
    </row>
    <row r="463" spans="1:68" ht="16.5" customHeight="1" x14ac:dyDescent="0.25">
      <c r="A463" s="573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120</v>
      </c>
      <c r="Y467" s="552">
        <f>IFERROR(IF(X467="",0,CEILING((X467/$H467),1)*$H467),"")</f>
        <v>120</v>
      </c>
      <c r="Z467" s="36">
        <f>IFERROR(IF(Y467=0,"",ROUNDUP(Y467/H467,0)*0.01898),"")</f>
        <v>0.1898</v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124.10000000000001</v>
      </c>
      <c r="BN467" s="64">
        <f>IFERROR(Y467*I467/H467,"0")</f>
        <v>124.10000000000001</v>
      </c>
      <c r="BO467" s="64">
        <f>IFERROR(1/J467*(X467/H467),"0")</f>
        <v>0.15625</v>
      </c>
      <c r="BP467" s="64">
        <f>IFERROR(1/J467*(Y467/H467),"0")</f>
        <v>0.15625</v>
      </c>
    </row>
    <row r="468" spans="1:68" ht="27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70" t="s">
        <v>75</v>
      </c>
      <c r="Q469" s="571"/>
      <c r="R469" s="571"/>
      <c r="S469" s="571"/>
      <c r="T469" s="571"/>
      <c r="U469" s="571"/>
      <c r="V469" s="572"/>
      <c r="W469" s="37" t="s">
        <v>76</v>
      </c>
      <c r="X469" s="553">
        <f>IFERROR(X465/H465,"0")+IFERROR(X466/H466,"0")+IFERROR(X467/H467,"0")+IFERROR(X468/H468,"0")</f>
        <v>10</v>
      </c>
      <c r="Y469" s="553">
        <f>IFERROR(Y465/H465,"0")+IFERROR(Y466/H466,"0")+IFERROR(Y467/H467,"0")+IFERROR(Y468/H468,"0")</f>
        <v>10</v>
      </c>
      <c r="Z469" s="553">
        <f>IFERROR(IF(Z465="",0,Z465),"0")+IFERROR(IF(Z466="",0,Z466),"0")+IFERROR(IF(Z467="",0,Z467),"0")+IFERROR(IF(Z468="",0,Z468),"0")</f>
        <v>0.1898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70" t="s">
        <v>75</v>
      </c>
      <c r="Q470" s="571"/>
      <c r="R470" s="571"/>
      <c r="S470" s="571"/>
      <c r="T470" s="571"/>
      <c r="U470" s="571"/>
      <c r="V470" s="572"/>
      <c r="W470" s="37" t="s">
        <v>69</v>
      </c>
      <c r="X470" s="553">
        <f>IFERROR(SUM(X465:X468),"0")</f>
        <v>120</v>
      </c>
      <c r="Y470" s="553">
        <f>IFERROR(SUM(Y465:Y468),"0")</f>
        <v>120</v>
      </c>
      <c r="Z470" s="37"/>
      <c r="AA470" s="554"/>
      <c r="AB470" s="554"/>
      <c r="AC470" s="554"/>
    </row>
    <row r="471" spans="1:68" ht="14.25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70" t="s">
        <v>75</v>
      </c>
      <c r="Q474" s="571"/>
      <c r="R474" s="571"/>
      <c r="S474" s="571"/>
      <c r="T474" s="571"/>
      <c r="U474" s="571"/>
      <c r="V474" s="572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70" t="s">
        <v>75</v>
      </c>
      <c r="Q475" s="571"/>
      <c r="R475" s="571"/>
      <c r="S475" s="571"/>
      <c r="T475" s="571"/>
      <c r="U475" s="571"/>
      <c r="V475" s="572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60</v>
      </c>
      <c r="Y477" s="552">
        <f>IFERROR(IF(X477="",0,CEILING((X477/$H477),1)*$H477),"")</f>
        <v>62.4</v>
      </c>
      <c r="Z477" s="36">
        <f>IFERROR(IF(Y477=0,"",ROUNDUP(Y477/H477,0)*0.00902),"")</f>
        <v>0.11726</v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63.125</v>
      </c>
      <c r="BN477" s="64">
        <f>IFERROR(Y477*I477/H477,"0")</f>
        <v>65.650000000000006</v>
      </c>
      <c r="BO477" s="64">
        <f>IFERROR(1/J477*(X477/H477),"0")</f>
        <v>9.4696969696969696E-2</v>
      </c>
      <c r="BP477" s="64">
        <f>IFERROR(1/J477*(Y477/H477),"0")</f>
        <v>9.8484848484848481E-2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70" t="s">
        <v>75</v>
      </c>
      <c r="Q478" s="571"/>
      <c r="R478" s="571"/>
      <c r="S478" s="571"/>
      <c r="T478" s="571"/>
      <c r="U478" s="571"/>
      <c r="V478" s="572"/>
      <c r="W478" s="37" t="s">
        <v>76</v>
      </c>
      <c r="X478" s="553">
        <f>IFERROR(X477/H477,"0")</f>
        <v>12.5</v>
      </c>
      <c r="Y478" s="553">
        <f>IFERROR(Y477/H477,"0")</f>
        <v>13</v>
      </c>
      <c r="Z478" s="553">
        <f>IFERROR(IF(Z477="",0,Z477),"0")</f>
        <v>0.11726</v>
      </c>
      <c r="AA478" s="554"/>
      <c r="AB478" s="554"/>
      <c r="AC478" s="55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70" t="s">
        <v>75</v>
      </c>
      <c r="Q479" s="571"/>
      <c r="R479" s="571"/>
      <c r="S479" s="571"/>
      <c r="T479" s="571"/>
      <c r="U479" s="571"/>
      <c r="V479" s="572"/>
      <c r="W479" s="37" t="s">
        <v>69</v>
      </c>
      <c r="X479" s="553">
        <f>IFERROR(SUM(X477:X477),"0")</f>
        <v>60</v>
      </c>
      <c r="Y479" s="553">
        <f>IFERROR(SUM(Y477:Y477),"0")</f>
        <v>62.4</v>
      </c>
      <c r="Z479" s="37"/>
      <c r="AA479" s="554"/>
      <c r="AB479" s="554"/>
      <c r="AC479" s="554"/>
    </row>
    <row r="480" spans="1:68" ht="14.25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70" t="s">
        <v>75</v>
      </c>
      <c r="Q482" s="571"/>
      <c r="R482" s="571"/>
      <c r="S482" s="571"/>
      <c r="T482" s="571"/>
      <c r="U482" s="571"/>
      <c r="V482" s="572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70" t="s">
        <v>75</v>
      </c>
      <c r="Q483" s="571"/>
      <c r="R483" s="571"/>
      <c r="S483" s="571"/>
      <c r="T483" s="571"/>
      <c r="U483" s="571"/>
      <c r="V483" s="572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70" t="s">
        <v>75</v>
      </c>
      <c r="Q487" s="571"/>
      <c r="R487" s="571"/>
      <c r="S487" s="571"/>
      <c r="T487" s="571"/>
      <c r="U487" s="571"/>
      <c r="V487" s="572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70" t="s">
        <v>75</v>
      </c>
      <c r="Q488" s="571"/>
      <c r="R488" s="571"/>
      <c r="S488" s="571"/>
      <c r="T488" s="571"/>
      <c r="U488" s="571"/>
      <c r="V488" s="572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customHeight="1" x14ac:dyDescent="0.25">
      <c r="A489" s="573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70" t="s">
        <v>75</v>
      </c>
      <c r="Q492" s="571"/>
      <c r="R492" s="571"/>
      <c r="S492" s="571"/>
      <c r="T492" s="571"/>
      <c r="U492" s="571"/>
      <c r="V492" s="572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70" t="s">
        <v>75</v>
      </c>
      <c r="Q493" s="571"/>
      <c r="R493" s="571"/>
      <c r="S493" s="571"/>
      <c r="T493" s="571"/>
      <c r="U493" s="571"/>
      <c r="V493" s="572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90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91"/>
      <c r="P494" s="718" t="s">
        <v>750</v>
      </c>
      <c r="Q494" s="678"/>
      <c r="R494" s="678"/>
      <c r="S494" s="678"/>
      <c r="T494" s="678"/>
      <c r="U494" s="678"/>
      <c r="V494" s="679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17924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18067.14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91"/>
      <c r="P495" s="718" t="s">
        <v>751</v>
      </c>
      <c r="Q495" s="678"/>
      <c r="R495" s="678"/>
      <c r="S495" s="678"/>
      <c r="T495" s="678"/>
      <c r="U495" s="678"/>
      <c r="V495" s="679"/>
      <c r="W495" s="37" t="s">
        <v>69</v>
      </c>
      <c r="X495" s="553">
        <f>IFERROR(SUM(BM22:BM491),"0")</f>
        <v>18695.312279471269</v>
      </c>
      <c r="Y495" s="553">
        <f>IFERROR(SUM(BN22:BN491),"0")</f>
        <v>18845.907999999999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91"/>
      <c r="P496" s="718" t="s">
        <v>752</v>
      </c>
      <c r="Q496" s="678"/>
      <c r="R496" s="678"/>
      <c r="S496" s="678"/>
      <c r="T496" s="678"/>
      <c r="U496" s="678"/>
      <c r="V496" s="679"/>
      <c r="W496" s="37" t="s">
        <v>753</v>
      </c>
      <c r="X496" s="38">
        <f>ROUNDUP(SUM(BO22:BO491),0)</f>
        <v>29</v>
      </c>
      <c r="Y496" s="38">
        <f>ROUNDUP(SUM(BP22:BP491),0)</f>
        <v>29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91"/>
      <c r="P497" s="718" t="s">
        <v>754</v>
      </c>
      <c r="Q497" s="678"/>
      <c r="R497" s="678"/>
      <c r="S497" s="678"/>
      <c r="T497" s="678"/>
      <c r="U497" s="678"/>
      <c r="V497" s="679"/>
      <c r="W497" s="37" t="s">
        <v>69</v>
      </c>
      <c r="X497" s="553">
        <f>GrossWeightTotal+PalletQtyTotal*25</f>
        <v>19420.312279471269</v>
      </c>
      <c r="Y497" s="553">
        <f>GrossWeightTotalR+PalletQtyTotalR*25</f>
        <v>19570.907999999999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91"/>
      <c r="P498" s="718" t="s">
        <v>755</v>
      </c>
      <c r="Q498" s="678"/>
      <c r="R498" s="678"/>
      <c r="S498" s="678"/>
      <c r="T498" s="678"/>
      <c r="U498" s="678"/>
      <c r="V498" s="679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1956.3962403071598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1977</v>
      </c>
      <c r="Z498" s="37"/>
      <c r="AA498" s="554"/>
      <c r="AB498" s="554"/>
      <c r="AC498" s="554"/>
    </row>
    <row r="499" spans="1:32" ht="14.25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91"/>
      <c r="P499" s="718" t="s">
        <v>756</v>
      </c>
      <c r="Q499" s="678"/>
      <c r="R499" s="678"/>
      <c r="S499" s="678"/>
      <c r="T499" s="678"/>
      <c r="U499" s="678"/>
      <c r="V499" s="679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32.434060000000002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2" t="s">
        <v>99</v>
      </c>
      <c r="D501" s="693"/>
      <c r="E501" s="693"/>
      <c r="F501" s="693"/>
      <c r="G501" s="693"/>
      <c r="H501" s="641"/>
      <c r="I501" s="602" t="s">
        <v>266</v>
      </c>
      <c r="J501" s="693"/>
      <c r="K501" s="693"/>
      <c r="L501" s="693"/>
      <c r="M501" s="693"/>
      <c r="N501" s="693"/>
      <c r="O501" s="693"/>
      <c r="P501" s="693"/>
      <c r="Q501" s="693"/>
      <c r="R501" s="641"/>
      <c r="S501" s="602" t="s">
        <v>556</v>
      </c>
      <c r="T501" s="641"/>
      <c r="U501" s="602" t="s">
        <v>610</v>
      </c>
      <c r="V501" s="693"/>
      <c r="W501" s="641"/>
      <c r="X501" s="548" t="s">
        <v>661</v>
      </c>
      <c r="Y501" s="602" t="s">
        <v>716</v>
      </c>
      <c r="Z501" s="641"/>
      <c r="AB501" s="52"/>
      <c r="AC501" s="52"/>
      <c r="AF501" s="549"/>
    </row>
    <row r="502" spans="1:32" ht="14.25" customHeight="1" thickTop="1" x14ac:dyDescent="0.2">
      <c r="A502" s="882" t="s">
        <v>759</v>
      </c>
      <c r="B502" s="602" t="s">
        <v>63</v>
      </c>
      <c r="C502" s="602" t="s">
        <v>100</v>
      </c>
      <c r="D502" s="602" t="s">
        <v>117</v>
      </c>
      <c r="E502" s="602" t="s">
        <v>168</v>
      </c>
      <c r="F502" s="602" t="s">
        <v>190</v>
      </c>
      <c r="G502" s="602" t="s">
        <v>227</v>
      </c>
      <c r="H502" s="602" t="s">
        <v>99</v>
      </c>
      <c r="I502" s="602" t="s">
        <v>267</v>
      </c>
      <c r="J502" s="602" t="s">
        <v>322</v>
      </c>
      <c r="K502" s="602" t="s">
        <v>382</v>
      </c>
      <c r="L502" s="602" t="s">
        <v>423</v>
      </c>
      <c r="M502" s="602" t="s">
        <v>439</v>
      </c>
      <c r="N502" s="549"/>
      <c r="O502" s="602" t="s">
        <v>450</v>
      </c>
      <c r="P502" s="602" t="s">
        <v>459</v>
      </c>
      <c r="Q502" s="602" t="s">
        <v>472</v>
      </c>
      <c r="R502" s="602" t="s">
        <v>546</v>
      </c>
      <c r="S502" s="602" t="s">
        <v>557</v>
      </c>
      <c r="T502" s="602" t="s">
        <v>592</v>
      </c>
      <c r="U502" s="602" t="s">
        <v>611</v>
      </c>
      <c r="V502" s="602" t="s">
        <v>642</v>
      </c>
      <c r="W502" s="602" t="s">
        <v>657</v>
      </c>
      <c r="X502" s="602" t="s">
        <v>661</v>
      </c>
      <c r="Y502" s="602" t="s">
        <v>716</v>
      </c>
      <c r="Z502" s="602" t="s">
        <v>746</v>
      </c>
      <c r="AB502" s="52"/>
      <c r="AC502" s="52"/>
      <c r="AF502" s="549"/>
    </row>
    <row r="503" spans="1:32" ht="13.5" customHeight="1" thickBot="1" x14ac:dyDescent="0.25">
      <c r="A503" s="883"/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549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  <c r="Z503" s="603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32.400000000000006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843.6</v>
      </c>
      <c r="E504" s="46">
        <f>IFERROR(Y84*1,"0")+IFERROR(Y85*1,"0")+IFERROR(Y86*1,"0")+IFERROR(Y87*1,"0")+IFERROR(Y91*1,"0")+IFERROR(Y92*1,"0")+IFERROR(Y93*1,"0")+IFERROR(Y94*1,"0")</f>
        <v>32.4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186.29999999999998</v>
      </c>
      <c r="G504" s="46">
        <f>IFERROR(Y126*1,"0")+IFERROR(Y127*1,"0")+IFERROR(Y131*1,"0")+IFERROR(Y132*1,"0")+IFERROR(Y136*1,"0")+IFERROR(Y137*1,"0")</f>
        <v>127.92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92.4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1895.4000000000003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21.6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0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3529.2</v>
      </c>
      <c r="R504" s="46">
        <f>IFERROR(Y342*1,"0")+IFERROR(Y343*1,"0")+IFERROR(Y344*1,"0")</f>
        <v>97.199999999999989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9855</v>
      </c>
      <c r="T504" s="46">
        <f>IFERROR(Y375*1,"0")+IFERROR(Y376*1,"0")+IFERROR(Y380*1,"0")+IFERROR(Y381*1,"0")+IFERROR(Y385*1,"0")+IFERROR(Y386*1,"0")+IFERROR(Y387*1,"0")</f>
        <v>228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54</v>
      </c>
      <c r="V504" s="46">
        <f>IFERROR(Y411*1,"0")+IFERROR(Y415*1,"0")+IFERROR(Y416*1,"0")+IFERROR(Y417*1,"0")+IFERROR(Y418*1,"0")</f>
        <v>102.60000000000001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786.72</v>
      </c>
      <c r="Y504" s="46">
        <f>IFERROR(Y465*1,"0")+IFERROR(Y466*1,"0")+IFERROR(Y467*1,"0")+IFERROR(Y468*1,"0")+IFERROR(Y472*1,"0")+IFERROR(Y473*1,"0")+IFERROR(Y477*1,"0")+IFERROR(Y481*1,"0")+IFERROR(Y485*1,"0")+IFERROR(Y486*1,"0")</f>
        <v>182.4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192:Z192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U17:V17"/>
    <mergeCell ref="P372:V372"/>
    <mergeCell ref="P385:T385"/>
    <mergeCell ref="D331:E331"/>
    <mergeCell ref="Y17:Y18"/>
    <mergeCell ref="D173:E173"/>
    <mergeCell ref="D17:E18"/>
    <mergeCell ref="P71:T71"/>
    <mergeCell ref="X17:X18"/>
    <mergeCell ref="N17:N18"/>
    <mergeCell ref="P370:T370"/>
    <mergeCell ref="P199:T199"/>
    <mergeCell ref="F17:F18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D23:E23"/>
    <mergeCell ref="P344:T344"/>
    <mergeCell ref="D265:E265"/>
    <mergeCell ref="D216:E216"/>
    <mergeCell ref="A20:Z20"/>
    <mergeCell ref="A125:Z125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A31:O32"/>
    <mergeCell ref="A33:Z33"/>
    <mergeCell ref="P145:V145"/>
    <mergeCell ref="A231:Z231"/>
    <mergeCell ref="D54:E54"/>
    <mergeCell ref="P283:V283"/>
    <mergeCell ref="D271:E271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101:T101"/>
    <mergeCell ref="P492:V492"/>
    <mergeCell ref="P63:V63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P483:V483"/>
    <mergeCell ref="D298:E298"/>
    <mergeCell ref="P91:T91"/>
    <mergeCell ref="D273:E273"/>
    <mergeCell ref="P156:T156"/>
    <mergeCell ref="A80:O81"/>
    <mergeCell ref="P105:V105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P123:V123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P440:T440"/>
    <mergeCell ref="P179:T179"/>
    <mergeCell ref="P326:V326"/>
    <mergeCell ref="P457:V457"/>
    <mergeCell ref="P393:T393"/>
    <mergeCell ref="P330:T330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A13:M13"/>
    <mergeCell ref="D87:E87"/>
    <mergeCell ref="D61:E61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461:V461"/>
    <mergeCell ref="P324:T324"/>
    <mergeCell ref="A441:O442"/>
    <mergeCell ref="A261:Z261"/>
    <mergeCell ref="P338:V338"/>
    <mergeCell ref="P313:V313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320:V320"/>
    <mergeCell ref="P447:V447"/>
    <mergeCell ref="A443:Z443"/>
    <mergeCell ref="P387:T387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2026-01-20T08:46:17Z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