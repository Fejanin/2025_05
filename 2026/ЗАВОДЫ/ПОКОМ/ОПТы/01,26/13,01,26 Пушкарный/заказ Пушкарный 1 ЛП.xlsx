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4D3B8120-D0AA-43AB-9AA1-6191C113533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6" i="1" l="1"/>
  <c r="O506" i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Y480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Y475" i="1" s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7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Y426" i="1"/>
  <c r="X426" i="1"/>
  <c r="X425" i="1"/>
  <c r="BP424" i="1"/>
  <c r="BO424" i="1"/>
  <c r="BN424" i="1"/>
  <c r="BM424" i="1"/>
  <c r="Z424" i="1"/>
  <c r="Z425" i="1" s="1"/>
  <c r="Y424" i="1"/>
  <c r="Y425" i="1" s="1"/>
  <c r="P424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X403" i="1"/>
  <c r="BP402" i="1"/>
  <c r="BO402" i="1"/>
  <c r="BN402" i="1"/>
  <c r="BM402" i="1"/>
  <c r="Z402" i="1"/>
  <c r="Y402" i="1"/>
  <c r="P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X390" i="1"/>
  <c r="Y389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Y390" i="1" s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X373" i="1"/>
  <c r="Y372" i="1"/>
  <c r="X372" i="1"/>
  <c r="BP371" i="1"/>
  <c r="BO371" i="1"/>
  <c r="BN371" i="1"/>
  <c r="BM371" i="1"/>
  <c r="Z371" i="1"/>
  <c r="Z372" i="1" s="1"/>
  <c r="Y371" i="1"/>
  <c r="Y373" i="1" s="1"/>
  <c r="P371" i="1"/>
  <c r="X369" i="1"/>
  <c r="Y368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P361" i="1"/>
  <c r="BO361" i="1"/>
  <c r="BN361" i="1"/>
  <c r="BM361" i="1"/>
  <c r="Z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Y346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Q506" i="1" s="1"/>
  <c r="P298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Y283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Y284" i="1" s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Y230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N216" i="1"/>
  <c r="BM216" i="1"/>
  <c r="Z216" i="1"/>
  <c r="Y216" i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Y214" i="1" s="1"/>
  <c r="P205" i="1"/>
  <c r="X203" i="1"/>
  <c r="X202" i="1"/>
  <c r="BO201" i="1"/>
  <c r="BM201" i="1"/>
  <c r="Y201" i="1"/>
  <c r="BP201" i="1" s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J506" i="1" s="1"/>
  <c r="P195" i="1"/>
  <c r="X192" i="1"/>
  <c r="X191" i="1"/>
  <c r="BO190" i="1"/>
  <c r="BM190" i="1"/>
  <c r="Y190" i="1"/>
  <c r="Y191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Y187" i="1" s="1"/>
  <c r="P184" i="1"/>
  <c r="X182" i="1"/>
  <c r="X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BO167" i="1"/>
  <c r="BM167" i="1"/>
  <c r="Y167" i="1"/>
  <c r="Y181" i="1" s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Y155" i="1" s="1"/>
  <c r="P148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40" i="1" s="1"/>
  <c r="P137" i="1"/>
  <c r="X135" i="1"/>
  <c r="X134" i="1"/>
  <c r="BO133" i="1"/>
  <c r="BM133" i="1"/>
  <c r="Y133" i="1"/>
  <c r="BP133" i="1" s="1"/>
  <c r="P133" i="1"/>
  <c r="BP132" i="1"/>
  <c r="BO132" i="1"/>
  <c r="BN132" i="1"/>
  <c r="BM132" i="1"/>
  <c r="Z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G506" i="1" s="1"/>
  <c r="P127" i="1"/>
  <c r="X124" i="1"/>
  <c r="X123" i="1"/>
  <c r="BO122" i="1"/>
  <c r="BM122" i="1"/>
  <c r="Y122" i="1"/>
  <c r="Y123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F506" i="1" s="1"/>
  <c r="P100" i="1"/>
  <c r="X97" i="1"/>
  <c r="X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506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6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6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00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37" i="1"/>
  <c r="Y58" i="1"/>
  <c r="Y76" i="1"/>
  <c r="Y82" i="1"/>
  <c r="Y89" i="1"/>
  <c r="Y97" i="1"/>
  <c r="Y106" i="1"/>
  <c r="Y112" i="1"/>
  <c r="Y120" i="1"/>
  <c r="Y124" i="1"/>
  <c r="Y129" i="1"/>
  <c r="Y135" i="1"/>
  <c r="Y139" i="1"/>
  <c r="Y146" i="1"/>
  <c r="Y154" i="1"/>
  <c r="Y182" i="1"/>
  <c r="Y188" i="1"/>
  <c r="Y192" i="1"/>
  <c r="Y197" i="1"/>
  <c r="Y203" i="1"/>
  <c r="Y213" i="1"/>
  <c r="BP218" i="1"/>
  <c r="BN218" i="1"/>
  <c r="Z218" i="1"/>
  <c r="Z225" i="1" s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BP264" i="1"/>
  <c r="BN264" i="1"/>
  <c r="Z264" i="1"/>
  <c r="BP274" i="1"/>
  <c r="BN274" i="1"/>
  <c r="Z274" i="1"/>
  <c r="BP301" i="1"/>
  <c r="BN301" i="1"/>
  <c r="Z301" i="1"/>
  <c r="BP309" i="1"/>
  <c r="BN309" i="1"/>
  <c r="Z309" i="1"/>
  <c r="Y313" i="1"/>
  <c r="BP317" i="1"/>
  <c r="BN317" i="1"/>
  <c r="Z317" i="1"/>
  <c r="Y321" i="1"/>
  <c r="BP325" i="1"/>
  <c r="BN325" i="1"/>
  <c r="Z325" i="1"/>
  <c r="Y327" i="1"/>
  <c r="Y334" i="1"/>
  <c r="BP329" i="1"/>
  <c r="BN329" i="1"/>
  <c r="Z329" i="1"/>
  <c r="Y333" i="1"/>
  <c r="Z339" i="1"/>
  <c r="BP337" i="1"/>
  <c r="BN337" i="1"/>
  <c r="Z337" i="1"/>
  <c r="Y339" i="1"/>
  <c r="BP377" i="1"/>
  <c r="BN377" i="1"/>
  <c r="Z377" i="1"/>
  <c r="Z378" i="1" s="1"/>
  <c r="Y379" i="1"/>
  <c r="Y384" i="1"/>
  <c r="BP381" i="1"/>
  <c r="BN381" i="1"/>
  <c r="Z381" i="1"/>
  <c r="Z383" i="1" s="1"/>
  <c r="Y383" i="1"/>
  <c r="Y45" i="1"/>
  <c r="Y49" i="1"/>
  <c r="Y64" i="1"/>
  <c r="Y70" i="1"/>
  <c r="H9" i="1"/>
  <c r="B506" i="1"/>
  <c r="X497" i="1"/>
  <c r="X499" i="1" s="1"/>
  <c r="X498" i="1"/>
  <c r="Z23" i="1"/>
  <c r="Z24" i="1" s="1"/>
  <c r="BN23" i="1"/>
  <c r="Y497" i="1" s="1"/>
  <c r="Y24" i="1"/>
  <c r="X496" i="1"/>
  <c r="Z27" i="1"/>
  <c r="Z32" i="1" s="1"/>
  <c r="BN27" i="1"/>
  <c r="BP27" i="1"/>
  <c r="Y498" i="1" s="1"/>
  <c r="Z29" i="1"/>
  <c r="BN29" i="1"/>
  <c r="Z31" i="1"/>
  <c r="BN31" i="1"/>
  <c r="Z35" i="1"/>
  <c r="Z36" i="1" s="1"/>
  <c r="BN35" i="1"/>
  <c r="BP35" i="1"/>
  <c r="Z41" i="1"/>
  <c r="Z44" i="1" s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Z64" i="1" s="1"/>
  <c r="BN62" i="1"/>
  <c r="Z68" i="1"/>
  <c r="Z69" i="1" s="1"/>
  <c r="BN68" i="1"/>
  <c r="Z72" i="1"/>
  <c r="BN72" i="1"/>
  <c r="BP72" i="1"/>
  <c r="Z74" i="1"/>
  <c r="BN74" i="1"/>
  <c r="Z80" i="1"/>
  <c r="Z81" i="1" s="1"/>
  <c r="BN80" i="1"/>
  <c r="Z85" i="1"/>
  <c r="Z89" i="1" s="1"/>
  <c r="BN85" i="1"/>
  <c r="BP85" i="1"/>
  <c r="Z87" i="1"/>
  <c r="BN87" i="1"/>
  <c r="Y90" i="1"/>
  <c r="Z93" i="1"/>
  <c r="Z96" i="1" s="1"/>
  <c r="BN93" i="1"/>
  <c r="Z95" i="1"/>
  <c r="BN95" i="1"/>
  <c r="Z100" i="1"/>
  <c r="Z105" i="1" s="1"/>
  <c r="BN100" i="1"/>
  <c r="BP100" i="1"/>
  <c r="Z102" i="1"/>
  <c r="BN102" i="1"/>
  <c r="Z104" i="1"/>
  <c r="BN104" i="1"/>
  <c r="Y105" i="1"/>
  <c r="Z108" i="1"/>
  <c r="Z112" i="1" s="1"/>
  <c r="BN108" i="1"/>
  <c r="BP108" i="1"/>
  <c r="Z110" i="1"/>
  <c r="BN110" i="1"/>
  <c r="Z116" i="1"/>
  <c r="Z119" i="1" s="1"/>
  <c r="BN116" i="1"/>
  <c r="Z118" i="1"/>
  <c r="BN118" i="1"/>
  <c r="Z122" i="1"/>
  <c r="Z123" i="1" s="1"/>
  <c r="BN122" i="1"/>
  <c r="BP122" i="1"/>
  <c r="Z127" i="1"/>
  <c r="Z129" i="1" s="1"/>
  <c r="BN127" i="1"/>
  <c r="BP127" i="1"/>
  <c r="Y130" i="1"/>
  <c r="Z133" i="1"/>
  <c r="Z134" i="1" s="1"/>
  <c r="BN133" i="1"/>
  <c r="Z137" i="1"/>
  <c r="Z139" i="1" s="1"/>
  <c r="BN137" i="1"/>
  <c r="BP137" i="1"/>
  <c r="H506" i="1"/>
  <c r="Z144" i="1"/>
  <c r="Z145" i="1" s="1"/>
  <c r="BN144" i="1"/>
  <c r="Y145" i="1"/>
  <c r="Z148" i="1"/>
  <c r="BN148" i="1"/>
  <c r="BP148" i="1"/>
  <c r="Z150" i="1"/>
  <c r="BN150" i="1"/>
  <c r="Z152" i="1"/>
  <c r="BN152" i="1"/>
  <c r="I506" i="1"/>
  <c r="Y165" i="1"/>
  <c r="Z167" i="1"/>
  <c r="Z181" i="1" s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Z184" i="1"/>
  <c r="BN184" i="1"/>
  <c r="BP184" i="1"/>
  <c r="Z186" i="1"/>
  <c r="BN186" i="1"/>
  <c r="Z190" i="1"/>
  <c r="Z191" i="1" s="1"/>
  <c r="BN190" i="1"/>
  <c r="BP190" i="1"/>
  <c r="Z195" i="1"/>
  <c r="Z197" i="1" s="1"/>
  <c r="BN195" i="1"/>
  <c r="BP195" i="1"/>
  <c r="Y198" i="1"/>
  <c r="Z201" i="1"/>
  <c r="Z202" i="1" s="1"/>
  <c r="BN201" i="1"/>
  <c r="Z205" i="1"/>
  <c r="BN205" i="1"/>
  <c r="BP205" i="1"/>
  <c r="Z207" i="1"/>
  <c r="BN207" i="1"/>
  <c r="Z209" i="1"/>
  <c r="BN209" i="1"/>
  <c r="Z211" i="1"/>
  <c r="BN211" i="1"/>
  <c r="Y225" i="1"/>
  <c r="BP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BP241" i="1"/>
  <c r="BN241" i="1"/>
  <c r="Z241" i="1"/>
  <c r="Y260" i="1"/>
  <c r="BP257" i="1"/>
  <c r="BN257" i="1"/>
  <c r="Z257" i="1"/>
  <c r="BP266" i="1"/>
  <c r="BN266" i="1"/>
  <c r="Z266" i="1"/>
  <c r="Z268" i="1" s="1"/>
  <c r="BP288" i="1"/>
  <c r="BN288" i="1"/>
  <c r="Z288" i="1"/>
  <c r="Z289" i="1" s="1"/>
  <c r="Y290" i="1"/>
  <c r="Y295" i="1"/>
  <c r="BP292" i="1"/>
  <c r="BN292" i="1"/>
  <c r="Z292" i="1"/>
  <c r="Z294" i="1" s="1"/>
  <c r="Y294" i="1"/>
  <c r="BP352" i="1"/>
  <c r="BN352" i="1"/>
  <c r="Z352" i="1"/>
  <c r="S506" i="1"/>
  <c r="Y358" i="1"/>
  <c r="BP356" i="1"/>
  <c r="BN356" i="1"/>
  <c r="Z356" i="1"/>
  <c r="BP395" i="1"/>
  <c r="BN395" i="1"/>
  <c r="Z395" i="1"/>
  <c r="BP399" i="1"/>
  <c r="BN399" i="1"/>
  <c r="Z399" i="1"/>
  <c r="Y403" i="1"/>
  <c r="BP407" i="1"/>
  <c r="BN407" i="1"/>
  <c r="Z407" i="1"/>
  <c r="Z408" i="1" s="1"/>
  <c r="Y409" i="1"/>
  <c r="V506" i="1"/>
  <c r="Y413" i="1"/>
  <c r="BP412" i="1"/>
  <c r="BN412" i="1"/>
  <c r="Z412" i="1"/>
  <c r="Z413" i="1" s="1"/>
  <c r="Y414" i="1"/>
  <c r="Y421" i="1"/>
  <c r="BP416" i="1"/>
  <c r="BN416" i="1"/>
  <c r="Z416" i="1"/>
  <c r="Y420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Z448" i="1" s="1"/>
  <c r="Y448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K506" i="1"/>
  <c r="Y244" i="1"/>
  <c r="L506" i="1"/>
  <c r="Y268" i="1"/>
  <c r="BP267" i="1"/>
  <c r="BN267" i="1"/>
  <c r="Z267" i="1"/>
  <c r="Y269" i="1"/>
  <c r="M506" i="1"/>
  <c r="Y277" i="1"/>
  <c r="BP272" i="1"/>
  <c r="BN272" i="1"/>
  <c r="Z272" i="1"/>
  <c r="Z276" i="1" s="1"/>
  <c r="Y276" i="1"/>
  <c r="BP281" i="1"/>
  <c r="BN281" i="1"/>
  <c r="Z281" i="1"/>
  <c r="Z283" i="1" s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BP311" i="1"/>
  <c r="BN311" i="1"/>
  <c r="Z311" i="1"/>
  <c r="Y320" i="1"/>
  <c r="BP319" i="1"/>
  <c r="BN319" i="1"/>
  <c r="Z319" i="1"/>
  <c r="Z320" i="1" s="1"/>
  <c r="Y326" i="1"/>
  <c r="BP323" i="1"/>
  <c r="BN323" i="1"/>
  <c r="Z323" i="1"/>
  <c r="Z326" i="1" s="1"/>
  <c r="BP331" i="1"/>
  <c r="BN331" i="1"/>
  <c r="Z331" i="1"/>
  <c r="Y340" i="1"/>
  <c r="BP344" i="1"/>
  <c r="BN344" i="1"/>
  <c r="Z344" i="1"/>
  <c r="Z346" i="1" s="1"/>
  <c r="Y359" i="1"/>
  <c r="BP354" i="1"/>
  <c r="BN354" i="1"/>
  <c r="Z354" i="1"/>
  <c r="Z358" i="1" s="1"/>
  <c r="BP362" i="1"/>
  <c r="BN362" i="1"/>
  <c r="Z362" i="1"/>
  <c r="Z363" i="1" s="1"/>
  <c r="Y364" i="1"/>
  <c r="Y369" i="1"/>
  <c r="BP366" i="1"/>
  <c r="BN366" i="1"/>
  <c r="Z366" i="1"/>
  <c r="Z368" i="1" s="1"/>
  <c r="BP387" i="1"/>
  <c r="BN387" i="1"/>
  <c r="Z387" i="1"/>
  <c r="Z389" i="1" s="1"/>
  <c r="U506" i="1"/>
  <c r="BP397" i="1"/>
  <c r="BN397" i="1"/>
  <c r="Z397" i="1"/>
  <c r="Z403" i="1" s="1"/>
  <c r="BP401" i="1"/>
  <c r="BN401" i="1"/>
  <c r="Z401" i="1"/>
  <c r="Y408" i="1"/>
  <c r="BP418" i="1"/>
  <c r="BN418" i="1"/>
  <c r="Z418" i="1"/>
  <c r="BP454" i="1"/>
  <c r="BN454" i="1"/>
  <c r="Z454" i="1"/>
  <c r="BP468" i="1"/>
  <c r="BN468" i="1"/>
  <c r="Z468" i="1"/>
  <c r="P506" i="1"/>
  <c r="Y289" i="1"/>
  <c r="Y304" i="1"/>
  <c r="R506" i="1"/>
  <c r="Y347" i="1"/>
  <c r="T506" i="1"/>
  <c r="Y378" i="1"/>
  <c r="Y404" i="1"/>
  <c r="BP432" i="1"/>
  <c r="BN432" i="1"/>
  <c r="Z432" i="1"/>
  <c r="BP436" i="1"/>
  <c r="BN436" i="1"/>
  <c r="Z436" i="1"/>
  <c r="BP440" i="1"/>
  <c r="BN440" i="1"/>
  <c r="Z440" i="1"/>
  <c r="Y449" i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Z470" i="1" s="1"/>
  <c r="Y470" i="1"/>
  <c r="BP474" i="1"/>
  <c r="BN474" i="1"/>
  <c r="Z474" i="1"/>
  <c r="Z475" i="1" s="1"/>
  <c r="Y476" i="1"/>
  <c r="Y481" i="1"/>
  <c r="BP478" i="1"/>
  <c r="BN478" i="1"/>
  <c r="Z478" i="1"/>
  <c r="Z480" i="1" s="1"/>
  <c r="Y489" i="1"/>
  <c r="Y506" i="1"/>
  <c r="Y499" i="1" l="1"/>
  <c r="Z313" i="1"/>
  <c r="Z442" i="1"/>
  <c r="Z420" i="1"/>
  <c r="Z213" i="1"/>
  <c r="Z187" i="1"/>
  <c r="Z154" i="1"/>
  <c r="Z76" i="1"/>
  <c r="Z58" i="1"/>
  <c r="Z501" i="1" s="1"/>
  <c r="Y500" i="1"/>
  <c r="Z333" i="1"/>
  <c r="Y496" i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<sst xmlns="http://schemas.openxmlformats.org/spreadsheetml/2006/main" count="2385" uniqueCount="784">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</sst>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83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40</v>
      </c>
      <c r="Y41" s="556">
        <f>IFERROR(IF(X41="",0,CEILING((X41/$H41),1)*$H41),"")</f>
        <v>43.2</v>
      </c>
      <c r="Z41" s="36">
        <f>IFERROR(IF(Y41=0,"",ROUNDUP(Y41/H41,0)*0.01898),"")</f>
        <v>7.5920000000000001E-2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41.518518518518519</v>
      </c>
      <c r="BN41" s="64">
        <f>IFERROR(Y41*I41/H41,"0")</f>
        <v>44.84</v>
      </c>
      <c r="BO41" s="64">
        <f>IFERROR(1/J41*(X41/H41),"0")</f>
        <v>5.7870370370370364E-2</v>
      </c>
      <c r="BP41" s="64">
        <f>IFERROR(1/J41*(Y41/H41),"0")</f>
        <v>6.25E-2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3.7037037037037033</v>
      </c>
      <c r="Y44" s="557">
        <f>IFERROR(Y41/H41,"0")+IFERROR(Y42/H42,"0")+IFERROR(Y43/H43,"0")</f>
        <v>4</v>
      </c>
      <c r="Z44" s="557">
        <f>IFERROR(IF(Z41="",0,Z41),"0")+IFERROR(IF(Z42="",0,Z42),"0")+IFERROR(IF(Z43="",0,Z43),"0")</f>
        <v>7.5920000000000001E-2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40</v>
      </c>
      <c r="Y45" s="557">
        <f>IFERROR(SUM(Y41:Y43),"0")</f>
        <v>43.2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20</v>
      </c>
      <c r="Y52" s="556">
        <f t="shared" ref="Y52:Y57" si="0">IFERROR(IF(X52="",0,CEILING((X52/$H52),1)*$H52),"")</f>
        <v>22.4</v>
      </c>
      <c r="Z52" s="36">
        <f>IFERROR(IF(Y52=0,"",ROUNDUP(Y52/H52,0)*0.01898),"")</f>
        <v>3.7960000000000001E-2</v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20.732142857142858</v>
      </c>
      <c r="BN52" s="64">
        <f t="shared" ref="BN52:BN57" si="2">IFERROR(Y52*I52/H52,"0")</f>
        <v>23.22</v>
      </c>
      <c r="BO52" s="64">
        <f t="shared" ref="BO52:BO57" si="3">IFERROR(1/J52*(X52/H52),"0")</f>
        <v>2.7901785714285716E-2</v>
      </c>
      <c r="BP52" s="64">
        <f t="shared" ref="BP52:BP57" si="4">IFERROR(1/J52*(Y52/H52),"0")</f>
        <v>3.125E-2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130</v>
      </c>
      <c r="Y53" s="556">
        <f t="shared" si="0"/>
        <v>140.4</v>
      </c>
      <c r="Z53" s="36">
        <f>IFERROR(IF(Y53=0,"",ROUNDUP(Y53/H53,0)*0.01898),"")</f>
        <v>0.24674000000000001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134.93518518518519</v>
      </c>
      <c r="BN53" s="64">
        <f t="shared" si="2"/>
        <v>145.73000000000002</v>
      </c>
      <c r="BO53" s="64">
        <f t="shared" si="3"/>
        <v>0.18807870370370369</v>
      </c>
      <c r="BP53" s="64">
        <f t="shared" si="4"/>
        <v>0.203125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15</v>
      </c>
      <c r="Y57" s="556">
        <f t="shared" si="0"/>
        <v>18</v>
      </c>
      <c r="Z57" s="36">
        <f>IFERROR(IF(Y57=0,"",ROUNDUP(Y57/H57,0)*0.00902),"")</f>
        <v>3.6080000000000001E-2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15.633333333333335</v>
      </c>
      <c r="BN57" s="64">
        <f t="shared" si="2"/>
        <v>18.760000000000002</v>
      </c>
      <c r="BO57" s="64">
        <f t="shared" si="3"/>
        <v>2.5252525252525256E-2</v>
      </c>
      <c r="BP57" s="64">
        <f t="shared" si="4"/>
        <v>3.0303030303030304E-2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17.156084656084655</v>
      </c>
      <c r="Y58" s="557">
        <f>IFERROR(Y52/H52,"0")+IFERROR(Y53/H53,"0")+IFERROR(Y54/H54,"0")+IFERROR(Y55/H55,"0")+IFERROR(Y56/H56,"0")+IFERROR(Y57/H57,"0")</f>
        <v>19</v>
      </c>
      <c r="Z58" s="557">
        <f>IFERROR(IF(Z52="",0,Z52),"0")+IFERROR(IF(Z53="",0,Z53),"0")+IFERROR(IF(Z54="",0,Z54),"0")+IFERROR(IF(Z55="",0,Z55),"0")+IFERROR(IF(Z56="",0,Z56),"0")+IFERROR(IF(Z57="",0,Z57),"0")</f>
        <v>0.32078000000000001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165</v>
      </c>
      <c r="Y59" s="557">
        <f>IFERROR(SUM(Y52:Y57),"0")</f>
        <v>180.8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300</v>
      </c>
      <c r="Y61" s="556">
        <f>IFERROR(IF(X61="",0,CEILING((X61/$H61),1)*$H61),"")</f>
        <v>302.40000000000003</v>
      </c>
      <c r="Z61" s="36">
        <f>IFERROR(IF(Y61=0,"",ROUNDUP(Y61/H61,0)*0.01898),"")</f>
        <v>0.53144000000000002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311.38888888888891</v>
      </c>
      <c r="BN61" s="64">
        <f>IFERROR(Y61*I61/H61,"0")</f>
        <v>313.88</v>
      </c>
      <c r="BO61" s="64">
        <f>IFERROR(1/J61*(X61/H61),"0")</f>
        <v>0.43402777777777773</v>
      </c>
      <c r="BP61" s="64">
        <f>IFERROR(1/J61*(Y61/H61),"0")</f>
        <v>0.4375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27.777777777777775</v>
      </c>
      <c r="Y64" s="557">
        <f>IFERROR(Y61/H61,"0")+IFERROR(Y62/H62,"0")+IFERROR(Y63/H63,"0")</f>
        <v>28</v>
      </c>
      <c r="Z64" s="557">
        <f>IFERROR(IF(Z61="",0,Z61),"0")+IFERROR(IF(Z62="",0,Z62),"0")+IFERROR(IF(Z63="",0,Z63),"0")</f>
        <v>0.53144000000000002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300</v>
      </c>
      <c r="Y65" s="557">
        <f>IFERROR(SUM(Y61:Y63),"0")</f>
        <v>302.40000000000003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40</v>
      </c>
      <c r="Y79" s="556">
        <f>IFERROR(IF(X79="",0,CEILING((X79/$H79),1)*$H79),"")</f>
        <v>46.8</v>
      </c>
      <c r="Z79" s="36">
        <f>IFERROR(IF(Y79=0,"",ROUNDUP(Y79/H79,0)*0.01898),"")</f>
        <v>0.11388000000000001</v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42.102564102564109</v>
      </c>
      <c r="BN79" s="64">
        <f>IFERROR(Y79*I79/H79,"0")</f>
        <v>49.260000000000005</v>
      </c>
      <c r="BO79" s="64">
        <f>IFERROR(1/J79*(X79/H79),"0")</f>
        <v>8.0128205128205135E-2</v>
      </c>
      <c r="BP79" s="64">
        <f>IFERROR(1/J79*(Y79/H79),"0")</f>
        <v>9.375E-2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5.1282051282051286</v>
      </c>
      <c r="Y81" s="557">
        <f>IFERROR(Y79/H79,"0")+IFERROR(Y80/H80,"0")</f>
        <v>6</v>
      </c>
      <c r="Z81" s="557">
        <f>IFERROR(IF(Z79="",0,Z79),"0")+IFERROR(IF(Z80="",0,Z80),"0")</f>
        <v>0.11388000000000001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40</v>
      </c>
      <c r="Y82" s="557">
        <f>IFERROR(SUM(Y79:Y80),"0")</f>
        <v>46.8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0</v>
      </c>
      <c r="Y85" s="556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0</v>
      </c>
      <c r="Y89" s="557">
        <f>IFERROR(Y85/H85,"0")+IFERROR(Y86/H86,"0")+IFERROR(Y87/H87,"0")+IFERROR(Y88/H88,"0")</f>
        <v>0</v>
      </c>
      <c r="Z89" s="557">
        <f>IFERROR(IF(Z85="",0,Z85),"0")+IFERROR(IF(Z86="",0,Z86),"0")+IFERROR(IF(Z87="",0,Z87),"0")+IFERROR(IF(Z88="",0,Z88),"0")</f>
        <v>0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0</v>
      </c>
      <c r="Y90" s="557">
        <f>IFERROR(SUM(Y85:Y88),"0")</f>
        <v>0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0</v>
      </c>
      <c r="Y92" s="55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0</v>
      </c>
      <c r="Y96" s="557">
        <f>IFERROR(Y92/H92,"0")+IFERROR(Y93/H93,"0")+IFERROR(Y94/H94,"0")+IFERROR(Y95/H95,"0")</f>
        <v>0</v>
      </c>
      <c r="Z96" s="557">
        <f>IFERROR(IF(Z92="",0,Z92),"0")+IFERROR(IF(Z93="",0,Z93),"0")+IFERROR(IF(Z94="",0,Z94),"0")+IFERROR(IF(Z95="",0,Z95),"0")</f>
        <v>0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0</v>
      </c>
      <c r="Y97" s="557">
        <f>IFERROR(SUM(Y92:Y95),"0")</f>
        <v>0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120</v>
      </c>
      <c r="Y115" s="556">
        <f>IFERROR(IF(X115="",0,CEILING((X115/$H115),1)*$H115),"")</f>
        <v>121.5</v>
      </c>
      <c r="Z115" s="36">
        <f>IFERROR(IF(Y115=0,"",ROUNDUP(Y115/H115,0)*0.01898),"")</f>
        <v>0.28470000000000001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127.22962962962963</v>
      </c>
      <c r="BN115" s="64">
        <f>IFERROR(Y115*I115/H115,"0")</f>
        <v>128.82</v>
      </c>
      <c r="BO115" s="64">
        <f>IFERROR(1/J115*(X115/H115),"0")</f>
        <v>0.23148148148148148</v>
      </c>
      <c r="BP115" s="64">
        <f>IFERROR(1/J115*(Y115/H115),"0")</f>
        <v>0.234375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14.814814814814815</v>
      </c>
      <c r="Y119" s="557">
        <f>IFERROR(Y115/H115,"0")+IFERROR(Y116/H116,"0")+IFERROR(Y117/H117,"0")+IFERROR(Y118/H118,"0")</f>
        <v>15</v>
      </c>
      <c r="Z119" s="557">
        <f>IFERROR(IF(Z115="",0,Z115),"0")+IFERROR(IF(Z116="",0,Z116),"0")+IFERROR(IF(Z117="",0,Z117),"0")+IFERROR(IF(Z118="",0,Z118),"0")</f>
        <v>0.28470000000000001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120</v>
      </c>
      <c r="Y120" s="557">
        <f>IFERROR(SUM(Y115:Y118),"0")</f>
        <v>121.5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10</v>
      </c>
      <c r="Y137" s="556">
        <f>IFERROR(IF(X137="",0,CEILING((X137/$H137),1)*$H137),"")</f>
        <v>10.56</v>
      </c>
      <c r="Z137" s="36">
        <f>IFERROR(IF(Y137=0,"",ROUNDUP(Y137/H137,0)*0.00651),"")</f>
        <v>2.6040000000000001E-2</v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11.015151515151514</v>
      </c>
      <c r="BN137" s="64">
        <f>IFERROR(Y137*I137/H137,"0")</f>
        <v>11.632</v>
      </c>
      <c r="BO137" s="64">
        <f>IFERROR(1/J137*(X137/H137),"0")</f>
        <v>2.0812520812520812E-2</v>
      </c>
      <c r="BP137" s="64">
        <f>IFERROR(1/J137*(Y137/H137),"0")</f>
        <v>2.197802197802198E-2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3.7878787878787876</v>
      </c>
      <c r="Y139" s="557">
        <f>IFERROR(Y137/H137,"0")+IFERROR(Y138/H138,"0")</f>
        <v>4</v>
      </c>
      <c r="Z139" s="557">
        <f>IFERROR(IF(Z137="",0,Z137),"0")+IFERROR(IF(Z138="",0,Z138),"0")</f>
        <v>2.6040000000000001E-2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10</v>
      </c>
      <c r="Y140" s="557">
        <f>IFERROR(SUM(Y137:Y138),"0")</f>
        <v>10.56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15</v>
      </c>
      <c r="Y150" s="556">
        <f t="shared" si="5"/>
        <v>16.8</v>
      </c>
      <c r="Z150" s="36">
        <f>IFERROR(IF(Y150=0,"",ROUNDUP(Y150/H150,0)*0.00651),"")</f>
        <v>2.6040000000000001E-2</v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15.964285714285714</v>
      </c>
      <c r="BN150" s="64">
        <f t="shared" si="7"/>
        <v>17.88</v>
      </c>
      <c r="BO150" s="64">
        <f t="shared" si="8"/>
        <v>1.9623233908948195E-2</v>
      </c>
      <c r="BP150" s="64">
        <f t="shared" si="9"/>
        <v>2.197802197802198E-2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9</v>
      </c>
      <c r="Y152" s="556">
        <f t="shared" si="5"/>
        <v>9</v>
      </c>
      <c r="Z152" s="36">
        <f>IFERROR(IF(Y152=0,"",ROUNDUP(Y152/H152,0)*0.01898),"")</f>
        <v>1.898E-2</v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9.56</v>
      </c>
      <c r="BN152" s="64">
        <f t="shared" si="7"/>
        <v>9.56</v>
      </c>
      <c r="BO152" s="64">
        <f t="shared" si="8"/>
        <v>1.5625E-2</v>
      </c>
      <c r="BP152" s="64">
        <f t="shared" si="9"/>
        <v>1.5625E-2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4.5714285714285712</v>
      </c>
      <c r="Y154" s="557">
        <f>IFERROR(Y148/H148,"0")+IFERROR(Y149/H149,"0")+IFERROR(Y150/H150,"0")+IFERROR(Y151/H151,"0")+IFERROR(Y152/H152,"0")+IFERROR(Y153/H153,"0")</f>
        <v>5</v>
      </c>
      <c r="Z154" s="557">
        <f>IFERROR(IF(Z148="",0,Z148),"0")+IFERROR(IF(Z149="",0,Z149),"0")+IFERROR(IF(Z150="",0,Z150),"0")+IFERROR(IF(Z151="",0,Z151),"0")+IFERROR(IF(Z152="",0,Z152),"0")+IFERROR(IF(Z153="",0,Z153),"0")</f>
        <v>4.5020000000000004E-2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24</v>
      </c>
      <c r="Y155" s="557">
        <f>IFERROR(SUM(Y148:Y153),"0")</f>
        <v>25.8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60</v>
      </c>
      <c r="Y171" s="556">
        <f t="shared" si="10"/>
        <v>63</v>
      </c>
      <c r="Z171" s="36">
        <f>IFERROR(IF(Y171=0,"",ROUNDUP(Y171/H171,0)*0.00902),"")</f>
        <v>0.1353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62.714285714285708</v>
      </c>
      <c r="BN171" s="64">
        <f t="shared" si="12"/>
        <v>65.849999999999994</v>
      </c>
      <c r="BO171" s="64">
        <f t="shared" si="13"/>
        <v>0.10822510822510822</v>
      </c>
      <c r="BP171" s="64">
        <f t="shared" si="14"/>
        <v>0.11363636363636365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14.285714285714285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15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0.1353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60</v>
      </c>
      <c r="Y182" s="557">
        <f>IFERROR(SUM(Y167:Y180),"0")</f>
        <v>63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200</v>
      </c>
      <c r="Y205" s="556">
        <f t="shared" ref="Y205:Y212" si="15">IFERROR(IF(X205="",0,CEILING((X205/$H205),1)*$H205),"")</f>
        <v>205.20000000000002</v>
      </c>
      <c r="Z205" s="36">
        <f>IFERROR(IF(Y205=0,"",ROUNDUP(Y205/H205,0)*0.00902),"")</f>
        <v>0.34276000000000001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207.03703703703701</v>
      </c>
      <c r="BN205" s="64">
        <f t="shared" ref="BN205:BN212" si="17">IFERROR(Y205*I205/H205,"0")</f>
        <v>212.42</v>
      </c>
      <c r="BO205" s="64">
        <f t="shared" ref="BO205:BO212" si="18">IFERROR(1/J205*(X205/H205),"0")</f>
        <v>0.28058361391694725</v>
      </c>
      <c r="BP205" s="64">
        <f t="shared" ref="BP205:BP212" si="19">IFERROR(1/J205*(Y205/H205),"0")</f>
        <v>0.2878787878787879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100</v>
      </c>
      <c r="Y206" s="556">
        <f t="shared" si="15"/>
        <v>102.60000000000001</v>
      </c>
      <c r="Z206" s="36">
        <f>IFERROR(IF(Y206=0,"",ROUNDUP(Y206/H206,0)*0.00902),"")</f>
        <v>0.17138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103.5185185185185</v>
      </c>
      <c r="BN206" s="64">
        <f t="shared" si="17"/>
        <v>106.21</v>
      </c>
      <c r="BO206" s="64">
        <f t="shared" si="18"/>
        <v>0.14029180695847362</v>
      </c>
      <c r="BP206" s="64">
        <f t="shared" si="19"/>
        <v>0.14393939393939395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300</v>
      </c>
      <c r="Y207" s="556">
        <f t="shared" si="15"/>
        <v>302.40000000000003</v>
      </c>
      <c r="Z207" s="36">
        <f>IFERROR(IF(Y207=0,"",ROUNDUP(Y207/H207,0)*0.00902),"")</f>
        <v>0.50512000000000001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310.55555555555554</v>
      </c>
      <c r="BN207" s="64">
        <f t="shared" si="17"/>
        <v>313.04000000000002</v>
      </c>
      <c r="BO207" s="64">
        <f t="shared" si="18"/>
        <v>0.42087542087542085</v>
      </c>
      <c r="BP207" s="64">
        <f t="shared" si="19"/>
        <v>0.42424242424242425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600</v>
      </c>
      <c r="Y208" s="556">
        <f t="shared" si="15"/>
        <v>604.80000000000007</v>
      </c>
      <c r="Z208" s="36">
        <f>IFERROR(IF(Y208=0,"",ROUNDUP(Y208/H208,0)*0.00902),"")</f>
        <v>1.01024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621.11111111111109</v>
      </c>
      <c r="BN208" s="64">
        <f t="shared" si="17"/>
        <v>626.08000000000004</v>
      </c>
      <c r="BO208" s="64">
        <f t="shared" si="18"/>
        <v>0.84175084175084169</v>
      </c>
      <c r="BP208" s="64">
        <f t="shared" si="19"/>
        <v>0.84848484848484851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222.22222222222223</v>
      </c>
      <c r="Y213" s="557">
        <f>IFERROR(Y205/H205,"0")+IFERROR(Y206/H206,"0")+IFERROR(Y207/H207,"0")+IFERROR(Y208/H208,"0")+IFERROR(Y209/H209,"0")+IFERROR(Y210/H210,"0")+IFERROR(Y211/H211,"0")+IFERROR(Y212/H212,"0")</f>
        <v>225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2.0295000000000001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1200</v>
      </c>
      <c r="Y214" s="557">
        <f>IFERROR(SUM(Y205:Y212),"0")</f>
        <v>1215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100</v>
      </c>
      <c r="Y218" s="556">
        <f t="shared" si="20"/>
        <v>104.39999999999999</v>
      </c>
      <c r="Z218" s="36">
        <f>IFERROR(IF(Y218=0,"",ROUNDUP(Y218/H218,0)*0.01898),"")</f>
        <v>0.22776000000000002</v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105.67816091954025</v>
      </c>
      <c r="BN218" s="64">
        <f t="shared" si="22"/>
        <v>110.32800000000002</v>
      </c>
      <c r="BO218" s="64">
        <f t="shared" si="23"/>
        <v>0.1795977011494253</v>
      </c>
      <c r="BP218" s="64">
        <f t="shared" si="24"/>
        <v>0.1875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72</v>
      </c>
      <c r="Y221" s="556">
        <f t="shared" si="20"/>
        <v>72</v>
      </c>
      <c r="Z221" s="36">
        <f t="shared" si="25"/>
        <v>0.1953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79.560000000000016</v>
      </c>
      <c r="BN221" s="64">
        <f t="shared" si="22"/>
        <v>79.560000000000016</v>
      </c>
      <c r="BO221" s="64">
        <f t="shared" si="23"/>
        <v>0.16483516483516486</v>
      </c>
      <c r="BP221" s="64">
        <f t="shared" si="24"/>
        <v>0.16483516483516486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72</v>
      </c>
      <c r="Y223" s="556">
        <f t="shared" si="20"/>
        <v>72</v>
      </c>
      <c r="Z223" s="36">
        <f t="shared" si="25"/>
        <v>0.1953</v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79.560000000000016</v>
      </c>
      <c r="BN223" s="64">
        <f t="shared" si="22"/>
        <v>79.560000000000016</v>
      </c>
      <c r="BO223" s="64">
        <f t="shared" si="23"/>
        <v>0.16483516483516486</v>
      </c>
      <c r="BP223" s="64">
        <f t="shared" si="24"/>
        <v>0.16483516483516486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72</v>
      </c>
      <c r="Y224" s="556">
        <f t="shared" si="20"/>
        <v>72</v>
      </c>
      <c r="Z224" s="36">
        <f t="shared" si="25"/>
        <v>0.1953</v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79.740000000000009</v>
      </c>
      <c r="BN224" s="64">
        <f t="shared" si="22"/>
        <v>79.740000000000009</v>
      </c>
      <c r="BO224" s="64">
        <f t="shared" si="23"/>
        <v>0.16483516483516486</v>
      </c>
      <c r="BP224" s="64">
        <f t="shared" si="24"/>
        <v>0.16483516483516486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101.49425287356323</v>
      </c>
      <c r="Y225" s="557">
        <f>IFERROR(Y216/H216,"0")+IFERROR(Y217/H217,"0")+IFERROR(Y218/H218,"0")+IFERROR(Y219/H219,"0")+IFERROR(Y220/H220,"0")+IFERROR(Y221/H221,"0")+IFERROR(Y222/H222,"0")+IFERROR(Y223/H223,"0")+IFERROR(Y224/H224,"0")</f>
        <v>102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0.81366000000000005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316</v>
      </c>
      <c r="Y226" s="557">
        <f>IFERROR(SUM(Y216:Y224),"0")</f>
        <v>320.39999999999998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40</v>
      </c>
      <c r="Y265" s="556">
        <f>IFERROR(IF(X265="",0,CEILING((X265/$H265),1)*$H265),"")</f>
        <v>43.2</v>
      </c>
      <c r="Z265" s="36">
        <f>IFERROR(IF(Y265=0,"",ROUNDUP(Y265/H265,0)*0.01898),"")</f>
        <v>7.5920000000000001E-2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41.518518518518519</v>
      </c>
      <c r="BN265" s="64">
        <f>IFERROR(Y265*I265/H265,"0")</f>
        <v>44.84</v>
      </c>
      <c r="BO265" s="64">
        <f>IFERROR(1/J265*(X265/H265),"0")</f>
        <v>5.7870370370370364E-2</v>
      </c>
      <c r="BP265" s="64">
        <f>IFERROR(1/J265*(Y265/H265),"0")</f>
        <v>6.25E-2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3.7037037037037033</v>
      </c>
      <c r="Y268" s="557">
        <f>IFERROR(Y263/H263,"0")+IFERROR(Y264/H264,"0")+IFERROR(Y265/H265,"0")+IFERROR(Y266/H266,"0")+IFERROR(Y267/H267,"0")</f>
        <v>4</v>
      </c>
      <c r="Z268" s="557">
        <f>IFERROR(IF(Z263="",0,Z263),"0")+IFERROR(IF(Z264="",0,Z264),"0")+IFERROR(IF(Z265="",0,Z265),"0")+IFERROR(IF(Z266="",0,Z266),"0")+IFERROR(IF(Z267="",0,Z267),"0")</f>
        <v>7.5920000000000001E-2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40</v>
      </c>
      <c r="Y269" s="557">
        <f>IFERROR(SUM(Y263:Y267),"0")</f>
        <v>43.2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130</v>
      </c>
      <c r="Y298" s="556">
        <f t="shared" ref="Y298:Y303" si="31">IFERROR(IF(X298="",0,CEILING((X298/$H298),1)*$H298),"")</f>
        <v>140.4</v>
      </c>
      <c r="Z298" s="36">
        <f>IFERROR(IF(Y298=0,"",ROUNDUP(Y298/H298,0)*0.01898),"")</f>
        <v>0.24674000000000001</v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134.93518518518519</v>
      </c>
      <c r="BN298" s="64">
        <f t="shared" ref="BN298:BN303" si="33">IFERROR(Y298*I298/H298,"0")</f>
        <v>145.73000000000002</v>
      </c>
      <c r="BO298" s="64">
        <f t="shared" ref="BO298:BO303" si="34">IFERROR(1/J298*(X298/H298),"0")</f>
        <v>0.18807870370370369</v>
      </c>
      <c r="BP298" s="64">
        <f t="shared" ref="BP298:BP303" si="35">IFERROR(1/J298*(Y298/H298),"0")</f>
        <v>0.203125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10</v>
      </c>
      <c r="Y299" s="556">
        <f t="shared" si="31"/>
        <v>10.8</v>
      </c>
      <c r="Z299" s="36">
        <f>IFERROR(IF(Y299=0,"",ROUNDUP(Y299/H299,0)*0.01898),"")</f>
        <v>1.898E-2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10.37962962962963</v>
      </c>
      <c r="BN299" s="64">
        <f t="shared" si="33"/>
        <v>11.21</v>
      </c>
      <c r="BO299" s="64">
        <f t="shared" si="34"/>
        <v>1.4467592592592591E-2</v>
      </c>
      <c r="BP299" s="64">
        <f t="shared" si="35"/>
        <v>1.5625E-2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4</v>
      </c>
      <c r="Y303" s="556">
        <f t="shared" si="31"/>
        <v>4</v>
      </c>
      <c r="Z303" s="36">
        <f>IFERROR(IF(Y303=0,"",ROUNDUP(Y303/H303,0)*0.00902),"")</f>
        <v>9.0200000000000002E-3</v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4.1900000000000004</v>
      </c>
      <c r="BN303" s="64">
        <f t="shared" si="33"/>
        <v>4.1900000000000004</v>
      </c>
      <c r="BO303" s="64">
        <f t="shared" si="34"/>
        <v>7.575757575757576E-3</v>
      </c>
      <c r="BP303" s="64">
        <f t="shared" si="35"/>
        <v>7.575757575757576E-3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13.962962962962962</v>
      </c>
      <c r="Y304" s="557">
        <f>IFERROR(Y298/H298,"0")+IFERROR(Y299/H299,"0")+IFERROR(Y300/H300,"0")+IFERROR(Y301/H301,"0")+IFERROR(Y302/H302,"0")+IFERROR(Y303/H303,"0")</f>
        <v>15</v>
      </c>
      <c r="Z304" s="557">
        <f>IFERROR(IF(Z298="",0,Z298),"0")+IFERROR(IF(Z299="",0,Z299),"0")+IFERROR(IF(Z300="",0,Z300),"0")+IFERROR(IF(Z301="",0,Z301),"0")+IFERROR(IF(Z302="",0,Z302),"0")+IFERROR(IF(Z303="",0,Z303),"0")</f>
        <v>0.27473999999999998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144</v>
      </c>
      <c r="Y305" s="557">
        <f>IFERROR(SUM(Y298:Y303),"0")</f>
        <v>155.20000000000002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40</v>
      </c>
      <c r="Y308" s="556">
        <f t="shared" si="36"/>
        <v>42</v>
      </c>
      <c r="Z308" s="36">
        <f>IFERROR(IF(Y308=0,"",ROUNDUP(Y308/H308,0)*0.00902),"")</f>
        <v>9.0200000000000002E-2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42.38095238095238</v>
      </c>
      <c r="BN308" s="64">
        <f t="shared" si="38"/>
        <v>44.5</v>
      </c>
      <c r="BO308" s="64">
        <f t="shared" si="39"/>
        <v>7.2150072150072145E-2</v>
      </c>
      <c r="BP308" s="64">
        <f t="shared" si="40"/>
        <v>7.575757575757576E-2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9.5238095238095237</v>
      </c>
      <c r="Y313" s="557">
        <f>IFERROR(Y307/H307,"0")+IFERROR(Y308/H308,"0")+IFERROR(Y309/H309,"0")+IFERROR(Y310/H310,"0")+IFERROR(Y311/H311,"0")+IFERROR(Y312/H312,"0")</f>
        <v>10</v>
      </c>
      <c r="Z313" s="557">
        <f>IFERROR(IF(Z307="",0,Z307),"0")+IFERROR(IF(Z308="",0,Z308),"0")+IFERROR(IF(Z309="",0,Z309),"0")+IFERROR(IF(Z310="",0,Z310),"0")+IFERROR(IF(Z311="",0,Z311),"0")+IFERROR(IF(Z312="",0,Z312),"0")</f>
        <v>9.0200000000000002E-2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40</v>
      </c>
      <c r="Y314" s="557">
        <f>IFERROR(SUM(Y307:Y312),"0")</f>
        <v>42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3000</v>
      </c>
      <c r="Y316" s="556">
        <f>IFERROR(IF(X316="",0,CEILING((X316/$H316),1)*$H316),"")</f>
        <v>3003</v>
      </c>
      <c r="Z316" s="36">
        <f>IFERROR(IF(Y316=0,"",ROUNDUP(Y316/H316,0)*0.01898),"")</f>
        <v>7.3073000000000006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3187.6923076923076</v>
      </c>
      <c r="BN316" s="64">
        <f>IFERROR(Y316*I316/H316,"0")</f>
        <v>3190.88</v>
      </c>
      <c r="BO316" s="64">
        <f>IFERROR(1/J316*(X316/H316),"0")</f>
        <v>6.009615384615385</v>
      </c>
      <c r="BP316" s="64">
        <f>IFERROR(1/J316*(Y316/H316),"0")</f>
        <v>6.015625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384.61538461538464</v>
      </c>
      <c r="Y320" s="557">
        <f>IFERROR(Y316/H316,"0")+IFERROR(Y317/H317,"0")+IFERROR(Y318/H318,"0")+IFERROR(Y319/H319,"0")</f>
        <v>385</v>
      </c>
      <c r="Z320" s="557">
        <f>IFERROR(IF(Z316="",0,Z316),"0")+IFERROR(IF(Z317="",0,Z317),"0")+IFERROR(IF(Z318="",0,Z318),"0")+IFERROR(IF(Z319="",0,Z319),"0")</f>
        <v>7.3073000000000006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3000</v>
      </c>
      <c r="Y321" s="557">
        <f>IFERROR(SUM(Y316:Y319),"0")</f>
        <v>3003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50</v>
      </c>
      <c r="Y323" s="556">
        <f>IFERROR(IF(X323="",0,CEILING((X323/$H323),1)*$H323),"")</f>
        <v>50.400000000000006</v>
      </c>
      <c r="Z323" s="36">
        <f>IFERROR(IF(Y323=0,"",ROUNDUP(Y323/H323,0)*0.01898),"")</f>
        <v>0.11388000000000001</v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52.94047619047619</v>
      </c>
      <c r="BN323" s="64">
        <f>IFERROR(Y323*I323/H323,"0")</f>
        <v>53.364000000000004</v>
      </c>
      <c r="BO323" s="64">
        <f>IFERROR(1/J323*(X323/H323),"0")</f>
        <v>9.3005952380952384E-2</v>
      </c>
      <c r="BP323" s="64">
        <f>IFERROR(1/J323*(Y323/H323),"0")</f>
        <v>9.375E-2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140</v>
      </c>
      <c r="Y324" s="556">
        <f>IFERROR(IF(X324="",0,CEILING((X324/$H324),1)*$H324),"")</f>
        <v>140.4</v>
      </c>
      <c r="Z324" s="36">
        <f>IFERROR(IF(Y324=0,"",ROUNDUP(Y324/H324,0)*0.01898),"")</f>
        <v>0.34164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148.86666666666667</v>
      </c>
      <c r="BN324" s="64">
        <f>IFERROR(Y324*I324/H324,"0")</f>
        <v>149.29200000000003</v>
      </c>
      <c r="BO324" s="64">
        <f>IFERROR(1/J324*(X324/H324),"0")</f>
        <v>0.28044871794871795</v>
      </c>
      <c r="BP324" s="64">
        <f>IFERROR(1/J324*(Y324/H324),"0")</f>
        <v>0.28125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60</v>
      </c>
      <c r="Y325" s="556">
        <f>IFERROR(IF(X325="",0,CEILING((X325/$H325),1)*$H325),"")</f>
        <v>67.2</v>
      </c>
      <c r="Z325" s="36">
        <f>IFERROR(IF(Y325=0,"",ROUNDUP(Y325/H325,0)*0.01898),"")</f>
        <v>0.15184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63.528571428571425</v>
      </c>
      <c r="BN325" s="64">
        <f>IFERROR(Y325*I325/H325,"0")</f>
        <v>71.152000000000001</v>
      </c>
      <c r="BO325" s="64">
        <f>IFERROR(1/J325*(X325/H325),"0")</f>
        <v>0.11160714285714285</v>
      </c>
      <c r="BP325" s="64">
        <f>IFERROR(1/J325*(Y325/H325),"0")</f>
        <v>0.125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31.043956043956044</v>
      </c>
      <c r="Y326" s="557">
        <f>IFERROR(Y323/H323,"0")+IFERROR(Y324/H324,"0")+IFERROR(Y325/H325,"0")</f>
        <v>32</v>
      </c>
      <c r="Z326" s="557">
        <f>IFERROR(IF(Z323="",0,Z323),"0")+IFERROR(IF(Z324="",0,Z324),"0")+IFERROR(IF(Z325="",0,Z325),"0")</f>
        <v>0.60736000000000001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250</v>
      </c>
      <c r="Y327" s="557">
        <f>IFERROR(SUM(Y323:Y325),"0")</f>
        <v>258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60</v>
      </c>
      <c r="Y343" s="556">
        <f>IFERROR(IF(X343="",0,CEILING((X343/$H343),1)*$H343),"")</f>
        <v>64.8</v>
      </c>
      <c r="Z343" s="36">
        <f>IFERROR(IF(Y343=0,"",ROUNDUP(Y343/H343,0)*0.01898),"")</f>
        <v>0.15184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63.659259259259258</v>
      </c>
      <c r="BN343" s="64">
        <f>IFERROR(Y343*I343/H343,"0")</f>
        <v>68.751999999999995</v>
      </c>
      <c r="BO343" s="64">
        <f>IFERROR(1/J343*(X343/H343),"0")</f>
        <v>0.11574074074074074</v>
      </c>
      <c r="BP343" s="64">
        <f>IFERROR(1/J343*(Y343/H343),"0")</f>
        <v>0.125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8</v>
      </c>
      <c r="Y344" s="556">
        <f>IFERROR(IF(X344="",0,CEILING((X344/$H344),1)*$H344),"")</f>
        <v>8.4</v>
      </c>
      <c r="Z344" s="36">
        <f>IFERROR(IF(Y344=0,"",ROUNDUP(Y344/H344,0)*0.00651),"")</f>
        <v>2.6040000000000001E-2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8.9599999999999991</v>
      </c>
      <c r="BN344" s="64">
        <f>IFERROR(Y344*I344/H344,"0")</f>
        <v>9.4079999999999995</v>
      </c>
      <c r="BO344" s="64">
        <f>IFERROR(1/J344*(X344/H344),"0")</f>
        <v>2.0931449502878074E-2</v>
      </c>
      <c r="BP344" s="64">
        <f>IFERROR(1/J344*(Y344/H344),"0")</f>
        <v>2.197802197802198E-2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11.216931216931217</v>
      </c>
      <c r="Y346" s="557">
        <f>IFERROR(Y343/H343,"0")+IFERROR(Y344/H344,"0")+IFERROR(Y345/H345,"0")</f>
        <v>12</v>
      </c>
      <c r="Z346" s="557">
        <f>IFERROR(IF(Z343="",0,Z343),"0")+IFERROR(IF(Z344="",0,Z344),"0")+IFERROR(IF(Z345="",0,Z345),"0")</f>
        <v>0.17788000000000001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68</v>
      </c>
      <c r="Y347" s="557">
        <f>IFERROR(SUM(Y343:Y345),"0")</f>
        <v>73.2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1800</v>
      </c>
      <c r="Y351" s="556">
        <f t="shared" ref="Y351:Y357" si="41">IFERROR(IF(X351="",0,CEILING((X351/$H351),1)*$H351),"")</f>
        <v>1800</v>
      </c>
      <c r="Z351" s="36">
        <f>IFERROR(IF(Y351=0,"",ROUNDUP(Y351/H351,0)*0.02175),"")</f>
        <v>2.61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1856.4</v>
      </c>
      <c r="BN351" s="64">
        <f t="shared" ref="BN351:BN357" si="43">IFERROR(Y351*I351/H351,"0")</f>
        <v>1856.4</v>
      </c>
      <c r="BO351" s="64">
        <f t="shared" ref="BO351:BO357" si="44">IFERROR(1/J351*(X351/H351),"0")</f>
        <v>2.5</v>
      </c>
      <c r="BP351" s="64">
        <f t="shared" ref="BP351:BP357" si="45">IFERROR(1/J351*(Y351/H351),"0")</f>
        <v>2.5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300</v>
      </c>
      <c r="Y352" s="556">
        <f t="shared" si="41"/>
        <v>300</v>
      </c>
      <c r="Z352" s="36">
        <f>IFERROR(IF(Y352=0,"",ROUNDUP(Y352/H352,0)*0.02175),"")</f>
        <v>0.43499999999999994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309.39999999999998</v>
      </c>
      <c r="BN352" s="64">
        <f t="shared" si="43"/>
        <v>309.39999999999998</v>
      </c>
      <c r="BO352" s="64">
        <f t="shared" si="44"/>
        <v>0.41666666666666663</v>
      </c>
      <c r="BP352" s="64">
        <f t="shared" si="45"/>
        <v>0.41666666666666663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1800</v>
      </c>
      <c r="Y354" s="556">
        <f t="shared" si="41"/>
        <v>1800</v>
      </c>
      <c r="Z354" s="36">
        <f>IFERROR(IF(Y354=0,"",ROUNDUP(Y354/H354,0)*0.02175),"")</f>
        <v>2.61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1856.4</v>
      </c>
      <c r="BN354" s="64">
        <f t="shared" si="43"/>
        <v>1856.4</v>
      </c>
      <c r="BO354" s="64">
        <f t="shared" si="44"/>
        <v>2.5</v>
      </c>
      <c r="BP354" s="64">
        <f t="shared" si="45"/>
        <v>2.5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260</v>
      </c>
      <c r="Y358" s="557">
        <f>IFERROR(Y351/H351,"0")+IFERROR(Y352/H352,"0")+IFERROR(Y353/H353,"0")+IFERROR(Y354/H354,"0")+IFERROR(Y355/H355,"0")+IFERROR(Y356/H356,"0")+IFERROR(Y357/H357,"0")</f>
        <v>260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5.6549999999999994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3900</v>
      </c>
      <c r="Y359" s="557">
        <f>IFERROR(SUM(Y351:Y357),"0")</f>
        <v>3900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6100</v>
      </c>
      <c r="Y361" s="556">
        <f>IFERROR(IF(X361="",0,CEILING((X361/$H361),1)*$H361),"")</f>
        <v>6105</v>
      </c>
      <c r="Z361" s="36">
        <f>IFERROR(IF(Y361=0,"",ROUNDUP(Y361/H361,0)*0.02175),"")</f>
        <v>8.8522499999999997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6291.1333333333332</v>
      </c>
      <c r="BN361" s="64">
        <f>IFERROR(Y361*I361/H361,"0")</f>
        <v>6296.29</v>
      </c>
      <c r="BO361" s="64">
        <f>IFERROR(1/J361*(X361/H361),"0")</f>
        <v>8.4722222222222214</v>
      </c>
      <c r="BP361" s="64">
        <f>IFERROR(1/J361*(Y361/H361),"0")</f>
        <v>8.4791666666666661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406.66666666666669</v>
      </c>
      <c r="Y363" s="557">
        <f>IFERROR(Y361/H361,"0")+IFERROR(Y362/H362,"0")</f>
        <v>407</v>
      </c>
      <c r="Z363" s="557">
        <f>IFERROR(IF(Z361="",0,Z361),"0")+IFERROR(IF(Z362="",0,Z362),"0")</f>
        <v>8.8522499999999997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6100</v>
      </c>
      <c r="Y364" s="557">
        <f>IFERROR(SUM(Y361:Y362),"0")</f>
        <v>6105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600</v>
      </c>
      <c r="Y366" s="556">
        <f>IFERROR(IF(X366="",0,CEILING((X366/$H366),1)*$H366),"")</f>
        <v>603</v>
      </c>
      <c r="Z366" s="36">
        <f>IFERROR(IF(Y366=0,"",ROUNDUP(Y366/H366,0)*0.01898),"")</f>
        <v>1.27166</v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633.33333333333337</v>
      </c>
      <c r="BN366" s="64">
        <f>IFERROR(Y366*I366/H366,"0")</f>
        <v>636.5</v>
      </c>
      <c r="BO366" s="64">
        <f>IFERROR(1/J366*(X366/H366),"0")</f>
        <v>1.0416666666666667</v>
      </c>
      <c r="BP366" s="64">
        <f>IFERROR(1/J366*(Y366/H366),"0")</f>
        <v>1.046875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230</v>
      </c>
      <c r="Y367" s="556">
        <f>IFERROR(IF(X367="",0,CEILING((X367/$H367),1)*$H367),"")</f>
        <v>234</v>
      </c>
      <c r="Z367" s="36">
        <f>IFERROR(IF(Y367=0,"",ROUNDUP(Y367/H367,0)*0.01898),"")</f>
        <v>0.49348000000000003</v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242.62444444444444</v>
      </c>
      <c r="BN367" s="64">
        <f>IFERROR(Y367*I367/H367,"0")</f>
        <v>246.84399999999999</v>
      </c>
      <c r="BO367" s="64">
        <f>IFERROR(1/J367*(X367/H367),"0")</f>
        <v>0.39930555555555558</v>
      </c>
      <c r="BP367" s="64">
        <f>IFERROR(1/J367*(Y367/H367),"0")</f>
        <v>0.40625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92.222222222222229</v>
      </c>
      <c r="Y368" s="557">
        <f>IFERROR(Y366/H366,"0")+IFERROR(Y367/H367,"0")</f>
        <v>93</v>
      </c>
      <c r="Z368" s="557">
        <f>IFERROR(IF(Z366="",0,Z366),"0")+IFERROR(IF(Z367="",0,Z367),"0")</f>
        <v>1.7651400000000002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830</v>
      </c>
      <c r="Y369" s="557">
        <f>IFERROR(SUM(Y366:Y367),"0")</f>
        <v>837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80</v>
      </c>
      <c r="Y371" s="556">
        <f>IFERROR(IF(X371="",0,CEILING((X371/$H371),1)*$H371),"")</f>
        <v>81</v>
      </c>
      <c r="Z371" s="36">
        <f>IFERROR(IF(Y371=0,"",ROUNDUP(Y371/H371,0)*0.01898),"")</f>
        <v>0.17082</v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84.391111111111115</v>
      </c>
      <c r="BN371" s="64">
        <f>IFERROR(Y371*I371/H371,"0")</f>
        <v>85.445999999999998</v>
      </c>
      <c r="BO371" s="64">
        <f>IFERROR(1/J371*(X371/H371),"0")</f>
        <v>0.1388888888888889</v>
      </c>
      <c r="BP371" s="64">
        <f>IFERROR(1/J371*(Y371/H371),"0")</f>
        <v>0.140625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8.8888888888888893</v>
      </c>
      <c r="Y372" s="557">
        <f>IFERROR(Y371/H371,"0")</f>
        <v>9</v>
      </c>
      <c r="Z372" s="557">
        <f>IFERROR(IF(Z371="",0,Z371),"0")</f>
        <v>0.17082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80</v>
      </c>
      <c r="Y373" s="557">
        <f>IFERROR(SUM(Y371:Y371),"0")</f>
        <v>81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180</v>
      </c>
      <c r="Y386" s="556">
        <f>IFERROR(IF(X386="",0,CEILING((X386/$H386),1)*$H386),"")</f>
        <v>180</v>
      </c>
      <c r="Z386" s="36">
        <f>IFERROR(IF(Y386=0,"",ROUNDUP(Y386/H386,0)*0.01898),"")</f>
        <v>0.37959999999999999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189.88</v>
      </c>
      <c r="BN386" s="64">
        <f>IFERROR(Y386*I386/H386,"0")</f>
        <v>189.88</v>
      </c>
      <c r="BO386" s="64">
        <f>IFERROR(1/J386*(X386/H386),"0")</f>
        <v>0.3125</v>
      </c>
      <c r="BP386" s="64">
        <f>IFERROR(1/J386*(Y386/H386),"0")</f>
        <v>0.3125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20</v>
      </c>
      <c r="Y389" s="557">
        <f>IFERROR(Y386/H386,"0")+IFERROR(Y387/H387,"0")+IFERROR(Y388/H388,"0")</f>
        <v>20</v>
      </c>
      <c r="Z389" s="557">
        <f>IFERROR(IF(Z386="",0,Z386),"0")+IFERROR(IF(Z387="",0,Z387),"0")+IFERROR(IF(Z388="",0,Z388),"0")</f>
        <v>0.37959999999999999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180</v>
      </c>
      <c r="Y390" s="557">
        <f>IFERROR(SUM(Y386:Y388),"0")</f>
        <v>180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40</v>
      </c>
      <c r="Y394" s="556">
        <f t="shared" ref="Y394:Y402" si="46">IFERROR(IF(X394="",0,CEILING((X394/$H394),1)*$H394),"")</f>
        <v>43.2</v>
      </c>
      <c r="Z394" s="36">
        <f>IFERROR(IF(Y394=0,"",ROUNDUP(Y394/H394,0)*0.00902),"")</f>
        <v>7.2160000000000002E-2</v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41.407407407407405</v>
      </c>
      <c r="BN394" s="64">
        <f t="shared" ref="BN394:BN402" si="48">IFERROR(Y394*I394/H394,"0")</f>
        <v>44.72</v>
      </c>
      <c r="BO394" s="64">
        <f t="shared" ref="BO394:BO402" si="49">IFERROR(1/J394*(X394/H394),"0")</f>
        <v>5.6116722783389444E-2</v>
      </c>
      <c r="BP394" s="64">
        <f t="shared" ref="BP394:BP402" si="50">IFERROR(1/J394*(Y394/H394),"0")</f>
        <v>6.0606060606060608E-2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50</v>
      </c>
      <c r="Y396" s="556">
        <f t="shared" si="46"/>
        <v>54</v>
      </c>
      <c r="Z396" s="36">
        <f>IFERROR(IF(Y396=0,"",ROUNDUP(Y396/H396,0)*0.00902),"")</f>
        <v>9.0200000000000002E-2</v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51.759259259259252</v>
      </c>
      <c r="BN396" s="64">
        <f t="shared" si="48"/>
        <v>55.9</v>
      </c>
      <c r="BO396" s="64">
        <f t="shared" si="49"/>
        <v>7.0145903479236812E-2</v>
      </c>
      <c r="BP396" s="64">
        <f t="shared" si="50"/>
        <v>7.575757575757576E-2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16.666666666666664</v>
      </c>
      <c r="Y403" s="557">
        <f>IFERROR(Y394/H394,"0")+IFERROR(Y395/H395,"0")+IFERROR(Y396/H396,"0")+IFERROR(Y397/H397,"0")+IFERROR(Y398/H398,"0")+IFERROR(Y399/H399,"0")+IFERROR(Y400/H400,"0")+IFERROR(Y401/H401,"0")+IFERROR(Y402/H402,"0")</f>
        <v>18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0.16236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90</v>
      </c>
      <c r="Y404" s="557">
        <f>IFERROR(SUM(Y394:Y402),"0")</f>
        <v>97.2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120</v>
      </c>
      <c r="Y416" s="556">
        <f>IFERROR(IF(X416="",0,CEILING((X416/$H416),1)*$H416),"")</f>
        <v>124.2</v>
      </c>
      <c r="Z416" s="36">
        <f>IFERROR(IF(Y416=0,"",ROUNDUP(Y416/H416,0)*0.00902),"")</f>
        <v>0.20746000000000001</v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124.2222222222222</v>
      </c>
      <c r="BN416" s="64">
        <f>IFERROR(Y416*I416/H416,"0")</f>
        <v>128.57</v>
      </c>
      <c r="BO416" s="64">
        <f>IFERROR(1/J416*(X416/H416),"0")</f>
        <v>0.16835016835016836</v>
      </c>
      <c r="BP416" s="64">
        <f>IFERROR(1/J416*(Y416/H416),"0")</f>
        <v>0.17424242424242425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22.222222222222221</v>
      </c>
      <c r="Y420" s="557">
        <f>IFERROR(Y416/H416,"0")+IFERROR(Y417/H417,"0")+IFERROR(Y418/H418,"0")+IFERROR(Y419/H419,"0")</f>
        <v>23</v>
      </c>
      <c r="Z420" s="557">
        <f>IFERROR(IF(Z416="",0,Z416),"0")+IFERROR(IF(Z417="",0,Z417),"0")+IFERROR(IF(Z418="",0,Z418),"0")+IFERROR(IF(Z419="",0,Z419),"0")</f>
        <v>0.20746000000000001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120</v>
      </c>
      <c r="Y421" s="557">
        <f>IFERROR(SUM(Y416:Y419),"0")</f>
        <v>124.2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70</v>
      </c>
      <c r="Y431" s="556">
        <f t="shared" si="52"/>
        <v>73.92</v>
      </c>
      <c r="Z431" s="36">
        <f t="shared" si="53"/>
        <v>0.16744000000000001</v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74.640151515151501</v>
      </c>
      <c r="BN431" s="64">
        <f t="shared" si="55"/>
        <v>78.819999999999993</v>
      </c>
      <c r="BO431" s="64">
        <f t="shared" si="56"/>
        <v>0.12747668997668998</v>
      </c>
      <c r="BP431" s="64">
        <f t="shared" si="57"/>
        <v>0.13461538461538464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200</v>
      </c>
      <c r="Y436" s="556">
        <f t="shared" si="52"/>
        <v>200.64000000000001</v>
      </c>
      <c r="Z436" s="36">
        <f t="shared" si="53"/>
        <v>0.45448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213.25757575757575</v>
      </c>
      <c r="BN436" s="64">
        <f t="shared" si="55"/>
        <v>213.94</v>
      </c>
      <c r="BO436" s="64">
        <f t="shared" si="56"/>
        <v>0.36421911421911418</v>
      </c>
      <c r="BP436" s="64">
        <f t="shared" si="57"/>
        <v>0.36538461538461542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51.136363636363633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52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0.62192000000000003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270</v>
      </c>
      <c r="Y443" s="557">
        <f>IFERROR(SUM(Y430:Y441),"0")</f>
        <v>274.56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100</v>
      </c>
      <c r="Y445" s="556">
        <f>IFERROR(IF(X445="",0,CEILING((X445/$H445),1)*$H445),"")</f>
        <v>100.32000000000001</v>
      </c>
      <c r="Z445" s="36">
        <f>IFERROR(IF(Y445=0,"",ROUNDUP(Y445/H445,0)*0.01196),"")</f>
        <v>0.22724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106.62878787878788</v>
      </c>
      <c r="BN445" s="64">
        <f>IFERROR(Y445*I445/H445,"0")</f>
        <v>106.97</v>
      </c>
      <c r="BO445" s="64">
        <f>IFERROR(1/J445*(X445/H445),"0")</f>
        <v>0.18210955710955709</v>
      </c>
      <c r="BP445" s="64">
        <f>IFERROR(1/J445*(Y445/H445),"0")</f>
        <v>0.18269230769230771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18.939393939393938</v>
      </c>
      <c r="Y448" s="557">
        <f>IFERROR(Y445/H445,"0")+IFERROR(Y446/H446,"0")+IFERROR(Y447/H447,"0")</f>
        <v>19</v>
      </c>
      <c r="Z448" s="557">
        <f>IFERROR(IF(Z445="",0,Z445),"0")+IFERROR(IF(Z446="",0,Z446),"0")+IFERROR(IF(Z447="",0,Z447),"0")</f>
        <v>0.22724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100</v>
      </c>
      <c r="Y449" s="557">
        <f>IFERROR(SUM(Y445:Y447),"0")</f>
        <v>100.32000000000001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60</v>
      </c>
      <c r="Y453" s="556">
        <f t="shared" si="58"/>
        <v>63.36</v>
      </c>
      <c r="Z453" s="36">
        <f>IFERROR(IF(Y453=0,"",ROUNDUP(Y453/H453,0)*0.01196),"")</f>
        <v>0.14352000000000001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63.977272727272727</v>
      </c>
      <c r="BN453" s="64">
        <f t="shared" si="60"/>
        <v>67.559999999999988</v>
      </c>
      <c r="BO453" s="64">
        <f t="shared" si="61"/>
        <v>0.10926573426573427</v>
      </c>
      <c r="BP453" s="64">
        <f t="shared" si="62"/>
        <v>0.11538461538461539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11.363636363636363</v>
      </c>
      <c r="Y457" s="557">
        <f>IFERROR(Y451/H451,"0")+IFERROR(Y452/H452,"0")+IFERROR(Y453/H453,"0")+IFERROR(Y454/H454,"0")+IFERROR(Y455/H455,"0")+IFERROR(Y456/H456,"0")</f>
        <v>12</v>
      </c>
      <c r="Z457" s="557">
        <f>IFERROR(IF(Z451="",0,Z451),"0")+IFERROR(IF(Z452="",0,Z452),"0")+IFERROR(IF(Z453="",0,Z453),"0")+IFERROR(IF(Z454="",0,Z454),"0")+IFERROR(IF(Z455="",0,Z455),"0")+IFERROR(IF(Z456="",0,Z456),"0")</f>
        <v>0.14352000000000001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60</v>
      </c>
      <c r="Y458" s="557">
        <f>IFERROR(SUM(Y451:Y456),"0")</f>
        <v>63.36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80</v>
      </c>
      <c r="Y468" s="556">
        <f>IFERROR(IF(X468="",0,CEILING((X468/$H468),1)*$H468),"")</f>
        <v>84</v>
      </c>
      <c r="Z468" s="36">
        <f>IFERROR(IF(Y468=0,"",ROUNDUP(Y468/H468,0)*0.01898),"")</f>
        <v>0.13286000000000001</v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82.733333333333334</v>
      </c>
      <c r="BN468" s="64">
        <f>IFERROR(Y468*I468/H468,"0")</f>
        <v>86.87</v>
      </c>
      <c r="BO468" s="64">
        <f>IFERROR(1/J468*(X468/H468),"0")</f>
        <v>0.10416666666666667</v>
      </c>
      <c r="BP468" s="64">
        <f>IFERROR(1/J468*(Y468/H468),"0")</f>
        <v>0.109375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6.666666666666667</v>
      </c>
      <c r="Y470" s="557">
        <f>IFERROR(Y466/H466,"0")+IFERROR(Y467/H467,"0")+IFERROR(Y468/H468,"0")+IFERROR(Y469/H469,"0")</f>
        <v>7</v>
      </c>
      <c r="Z470" s="557">
        <f>IFERROR(IF(Z466="",0,Z466),"0")+IFERROR(IF(Z467="",0,Z467),"0")+IFERROR(IF(Z468="",0,Z468),"0")+IFERROR(IF(Z469="",0,Z469),"0")</f>
        <v>0.13286000000000001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80</v>
      </c>
      <c r="Y471" s="557">
        <f>IFERROR(SUM(Y466:Y469),"0")</f>
        <v>84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160</v>
      </c>
      <c r="Y478" s="556">
        <f>IFERROR(IF(X478="",0,CEILING((X478/$H478),1)*$H478),"")</f>
        <v>163.80000000000001</v>
      </c>
      <c r="Z478" s="36">
        <f>IFERROR(IF(Y478=0,"",ROUNDUP(Y478/H478,0)*0.00902),"")</f>
        <v>0.35177999999999998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169.52380952380952</v>
      </c>
      <c r="BN478" s="64">
        <f>IFERROR(Y478*I478/H478,"0")</f>
        <v>173.55</v>
      </c>
      <c r="BO478" s="64">
        <f>IFERROR(1/J478*(X478/H478),"0")</f>
        <v>0.28860028860028858</v>
      </c>
      <c r="BP478" s="64">
        <f>IFERROR(1/J478*(Y478/H478),"0")</f>
        <v>0.29545454545454547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38.095238095238095</v>
      </c>
      <c r="Y480" s="557">
        <f>IFERROR(Y478/H478,"0")+IFERROR(Y479/H479,"0")</f>
        <v>39</v>
      </c>
      <c r="Z480" s="557">
        <f>IFERROR(IF(Z478="",0,Z478),"0")+IFERROR(IF(Z479="",0,Z479),"0")</f>
        <v>0.35177999999999998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160</v>
      </c>
      <c r="Y481" s="557">
        <f>IFERROR(SUM(Y478:Y479),"0")</f>
        <v>163.80000000000001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17787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17914.5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18530.317977399358</v>
      </c>
      <c r="Y497" s="557">
        <f>IFERROR(SUM(BN22:BN493),"0")</f>
        <v>18663.748000000003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28</v>
      </c>
      <c r="Y498" s="38">
        <f>ROUNDUP(SUM(BP22:BP493),0)</f>
        <v>28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19230.317977399358</v>
      </c>
      <c r="Y499" s="557">
        <f>GrossWeightTotalR+PalletQtyTotalR*25</f>
        <v>19363.748000000003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1821.8767962561069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1840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31.57959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43.2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530</v>
      </c>
      <c r="E506" s="46">
        <f>IFERROR(Y85*1,"0")+IFERROR(Y86*1,"0")+IFERROR(Y87*1,"0")+IFERROR(Y88*1,"0")+IFERROR(Y92*1,"0")+IFERROR(Y93*1,"0")+IFERROR(Y94*1,"0")+IFERROR(Y95*1,"0")</f>
        <v>0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121.5</v>
      </c>
      <c r="G506" s="46">
        <f>IFERROR(Y127*1,"0")+IFERROR(Y128*1,"0")+IFERROR(Y132*1,"0")+IFERROR(Y133*1,"0")+IFERROR(Y137*1,"0")+IFERROR(Y138*1,"0")</f>
        <v>10.56</v>
      </c>
      <c r="H506" s="46">
        <f>IFERROR(Y143*1,"0")+IFERROR(Y144*1,"0")+IFERROR(Y148*1,"0")+IFERROR(Y149*1,"0")+IFERROR(Y150*1,"0")+IFERROR(Y151*1,"0")+IFERROR(Y152*1,"0")+IFERROR(Y153*1,"0")+IFERROR(Y157*1,"0")</f>
        <v>25.8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63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1535.4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43.2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3458.2</v>
      </c>
      <c r="R506" s="46">
        <f>IFERROR(Y343*1,"0")+IFERROR(Y344*1,"0")+IFERROR(Y345*1,"0")</f>
        <v>73.2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10923</v>
      </c>
      <c r="T506" s="46">
        <f>IFERROR(Y376*1,"0")+IFERROR(Y377*1,"0")+IFERROR(Y381*1,"0")+IFERROR(Y382*1,"0")+IFERROR(Y386*1,"0")+IFERROR(Y387*1,"0")+IFERROR(Y388*1,"0")</f>
        <v>180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97.2</v>
      </c>
      <c r="V506" s="46">
        <f>IFERROR(Y412*1,"0")+IFERROR(Y416*1,"0")+IFERROR(Y417*1,"0")+IFERROR(Y418*1,"0")+IFERROR(Y419*1,"0")</f>
        <v>124.2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438.24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247.8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2026-01-13T08:50:09Z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