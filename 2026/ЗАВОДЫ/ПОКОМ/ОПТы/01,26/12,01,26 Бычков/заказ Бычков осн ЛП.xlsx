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B5F7C93A-6010-44F6-AE0A-664DBC7DA2F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6" i="1" l="1"/>
  <c r="X495" i="1"/>
  <c r="X494" i="1"/>
  <c r="BO493" i="1"/>
  <c r="BM493" i="1"/>
  <c r="Y493" i="1"/>
  <c r="P493" i="1"/>
  <c r="X490" i="1"/>
  <c r="X489" i="1"/>
  <c r="BO488" i="1"/>
  <c r="BM488" i="1"/>
  <c r="Y488" i="1"/>
  <c r="P488" i="1"/>
  <c r="BP487" i="1"/>
  <c r="BO487" i="1"/>
  <c r="BN487" i="1"/>
  <c r="BM487" i="1"/>
  <c r="Z487" i="1"/>
  <c r="Y487" i="1"/>
  <c r="Y489" i="1" s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1" i="1"/>
  <c r="X480" i="1"/>
  <c r="BP479" i="1"/>
  <c r="BO479" i="1"/>
  <c r="BN479" i="1"/>
  <c r="BM479" i="1"/>
  <c r="Z479" i="1"/>
  <c r="Y479" i="1"/>
  <c r="P479" i="1"/>
  <c r="BO478" i="1"/>
  <c r="BM478" i="1"/>
  <c r="Y478" i="1"/>
  <c r="P478" i="1"/>
  <c r="X476" i="1"/>
  <c r="X475" i="1"/>
  <c r="BO474" i="1"/>
  <c r="BM474" i="1"/>
  <c r="Y474" i="1"/>
  <c r="P474" i="1"/>
  <c r="BP473" i="1"/>
  <c r="BO473" i="1"/>
  <c r="BN473" i="1"/>
  <c r="BM473" i="1"/>
  <c r="Z473" i="1"/>
  <c r="Y473" i="1"/>
  <c r="P473" i="1"/>
  <c r="X471" i="1"/>
  <c r="X470" i="1"/>
  <c r="BP469" i="1"/>
  <c r="BO469" i="1"/>
  <c r="BN469" i="1"/>
  <c r="BM469" i="1"/>
  <c r="Z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Y448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Y449" i="1" s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6" i="1"/>
  <c r="X425" i="1"/>
  <c r="BO424" i="1"/>
  <c r="BM424" i="1"/>
  <c r="Y424" i="1"/>
  <c r="P424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Y420" i="1" s="1"/>
  <c r="P416" i="1"/>
  <c r="X414" i="1"/>
  <c r="Y413" i="1"/>
  <c r="X413" i="1"/>
  <c r="BP412" i="1"/>
  <c r="BO412" i="1"/>
  <c r="BN412" i="1"/>
  <c r="BM412" i="1"/>
  <c r="Z412" i="1"/>
  <c r="Z413" i="1" s="1"/>
  <c r="Y412" i="1"/>
  <c r="P412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0" i="1"/>
  <c r="X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P381" i="1"/>
  <c r="BO381" i="1"/>
  <c r="BN381" i="1"/>
  <c r="BM381" i="1"/>
  <c r="Z381" i="1"/>
  <c r="Y381" i="1"/>
  <c r="Y383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X373" i="1"/>
  <c r="X372" i="1"/>
  <c r="BO371" i="1"/>
  <c r="BM371" i="1"/>
  <c r="Y371" i="1"/>
  <c r="P371" i="1"/>
  <c r="X369" i="1"/>
  <c r="X368" i="1"/>
  <c r="BO367" i="1"/>
  <c r="BM367" i="1"/>
  <c r="Y367" i="1"/>
  <c r="P367" i="1"/>
  <c r="BP366" i="1"/>
  <c r="BO366" i="1"/>
  <c r="BN366" i="1"/>
  <c r="BM366" i="1"/>
  <c r="Z366" i="1"/>
  <c r="Y366" i="1"/>
  <c r="P366" i="1"/>
  <c r="X364" i="1"/>
  <c r="Y363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0" i="1"/>
  <c r="Y339" i="1"/>
  <c r="X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Y340" i="1" s="1"/>
  <c r="P336" i="1"/>
  <c r="X334" i="1"/>
  <c r="X333" i="1"/>
  <c r="BP332" i="1"/>
  <c r="BO332" i="1"/>
  <c r="BN332" i="1"/>
  <c r="BM332" i="1"/>
  <c r="Z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X321" i="1"/>
  <c r="X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Y320" i="1" s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X295" i="1"/>
  <c r="Y294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P287" i="1"/>
  <c r="BO287" i="1"/>
  <c r="BN287" i="1"/>
  <c r="BM287" i="1"/>
  <c r="Z287" i="1"/>
  <c r="Y287" i="1"/>
  <c r="P287" i="1"/>
  <c r="X284" i="1"/>
  <c r="X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X277" i="1"/>
  <c r="X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P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X231" i="1"/>
  <c r="X230" i="1"/>
  <c r="BO229" i="1"/>
  <c r="BM229" i="1"/>
  <c r="Y229" i="1"/>
  <c r="P229" i="1"/>
  <c r="BP228" i="1"/>
  <c r="BO228" i="1"/>
  <c r="BN228" i="1"/>
  <c r="BM228" i="1"/>
  <c r="Z228" i="1"/>
  <c r="Y228" i="1"/>
  <c r="P228" i="1"/>
  <c r="X226" i="1"/>
  <c r="X225" i="1"/>
  <c r="BP224" i="1"/>
  <c r="BO224" i="1"/>
  <c r="BN224" i="1"/>
  <c r="BM224" i="1"/>
  <c r="Z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X203" i="1"/>
  <c r="Y202" i="1"/>
  <c r="X202" i="1"/>
  <c r="BP201" i="1"/>
  <c r="BO201" i="1"/>
  <c r="BN201" i="1"/>
  <c r="BM201" i="1"/>
  <c r="Z201" i="1"/>
  <c r="Y201" i="1"/>
  <c r="P201" i="1"/>
  <c r="BO200" i="1"/>
  <c r="BM200" i="1"/>
  <c r="Y200" i="1"/>
  <c r="P200" i="1"/>
  <c r="X198" i="1"/>
  <c r="X197" i="1"/>
  <c r="BO196" i="1"/>
  <c r="BM196" i="1"/>
  <c r="Y196" i="1"/>
  <c r="P196" i="1"/>
  <c r="BP195" i="1"/>
  <c r="BO195" i="1"/>
  <c r="BN195" i="1"/>
  <c r="BM195" i="1"/>
  <c r="Z195" i="1"/>
  <c r="Y195" i="1"/>
  <c r="P195" i="1"/>
  <c r="X192" i="1"/>
  <c r="Y191" i="1"/>
  <c r="X191" i="1"/>
  <c r="BP190" i="1"/>
  <c r="BO190" i="1"/>
  <c r="BN190" i="1"/>
  <c r="BM190" i="1"/>
  <c r="Z190" i="1"/>
  <c r="Z191" i="1" s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BP184" i="1"/>
  <c r="BO184" i="1"/>
  <c r="BN184" i="1"/>
  <c r="BM184" i="1"/>
  <c r="Z184" i="1"/>
  <c r="Y184" i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BP167" i="1"/>
  <c r="BO167" i="1"/>
  <c r="BN167" i="1"/>
  <c r="BM167" i="1"/>
  <c r="Z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P152" i="1"/>
  <c r="BO152" i="1"/>
  <c r="BN152" i="1"/>
  <c r="BM152" i="1"/>
  <c r="Z152" i="1"/>
  <c r="Y152" i="1"/>
  <c r="P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X146" i="1"/>
  <c r="Y145" i="1"/>
  <c r="X145" i="1"/>
  <c r="BP144" i="1"/>
  <c r="BO144" i="1"/>
  <c r="BN144" i="1"/>
  <c r="BM144" i="1"/>
  <c r="Z144" i="1"/>
  <c r="Y144" i="1"/>
  <c r="P144" i="1"/>
  <c r="BO143" i="1"/>
  <c r="BM143" i="1"/>
  <c r="Y143" i="1"/>
  <c r="P143" i="1"/>
  <c r="X140" i="1"/>
  <c r="X139" i="1"/>
  <c r="BO138" i="1"/>
  <c r="BM138" i="1"/>
  <c r="Y138" i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P110" i="1"/>
  <c r="BO110" i="1"/>
  <c r="BN110" i="1"/>
  <c r="BM110" i="1"/>
  <c r="Z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Y69" i="1"/>
  <c r="X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Y58" i="1" s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6" i="1" s="1"/>
  <c r="X24" i="1"/>
  <c r="BP23" i="1"/>
  <c r="BO23" i="1"/>
  <c r="BN23" i="1"/>
  <c r="BM23" i="1"/>
  <c r="Z23" i="1"/>
  <c r="Y23" i="1"/>
  <c r="P23" i="1"/>
  <c r="BO22" i="1"/>
  <c r="X498" i="1" s="1"/>
  <c r="BM22" i="1"/>
  <c r="X497" i="1" s="1"/>
  <c r="X499" i="1" s="1"/>
  <c r="Y22" i="1"/>
  <c r="B506" i="1" s="1"/>
  <c r="P22" i="1"/>
  <c r="H10" i="1"/>
  <c r="A9" i="1"/>
  <c r="F10" i="1" s="1"/>
  <c r="D7" i="1"/>
  <c r="Q6" i="1"/>
  <c r="P2" i="1"/>
  <c r="H9" i="1" l="1"/>
  <c r="A10" i="1"/>
  <c r="Y24" i="1"/>
  <c r="Y32" i="1"/>
  <c r="Y44" i="1"/>
  <c r="Y59" i="1"/>
  <c r="BP73" i="1"/>
  <c r="BN73" i="1"/>
  <c r="Z73" i="1"/>
  <c r="Z76" i="1" s="1"/>
  <c r="BP86" i="1"/>
  <c r="BN86" i="1"/>
  <c r="Z86" i="1"/>
  <c r="Z89" i="1" s="1"/>
  <c r="BP94" i="1"/>
  <c r="BN94" i="1"/>
  <c r="Z94" i="1"/>
  <c r="BP103" i="1"/>
  <c r="BN103" i="1"/>
  <c r="Z103" i="1"/>
  <c r="BP111" i="1"/>
  <c r="BN111" i="1"/>
  <c r="Z111" i="1"/>
  <c r="Y113" i="1"/>
  <c r="Y120" i="1"/>
  <c r="BP115" i="1"/>
  <c r="BN115" i="1"/>
  <c r="Z115" i="1"/>
  <c r="Y119" i="1"/>
  <c r="BP128" i="1"/>
  <c r="BN128" i="1"/>
  <c r="Z128" i="1"/>
  <c r="Z129" i="1" s="1"/>
  <c r="Y130" i="1"/>
  <c r="Y135" i="1"/>
  <c r="BP132" i="1"/>
  <c r="BN132" i="1"/>
  <c r="Z132" i="1"/>
  <c r="Z134" i="1" s="1"/>
  <c r="BP149" i="1"/>
  <c r="BN149" i="1"/>
  <c r="Z149" i="1"/>
  <c r="Z154" i="1" s="1"/>
  <c r="BP153" i="1"/>
  <c r="BN153" i="1"/>
  <c r="Z153" i="1"/>
  <c r="Y155" i="1"/>
  <c r="Y158" i="1"/>
  <c r="BP157" i="1"/>
  <c r="BN157" i="1"/>
  <c r="Z157" i="1"/>
  <c r="Z158" i="1" s="1"/>
  <c r="Y159" i="1"/>
  <c r="I506" i="1"/>
  <c r="Y164" i="1"/>
  <c r="BP163" i="1"/>
  <c r="BN163" i="1"/>
  <c r="Z163" i="1"/>
  <c r="Z164" i="1" s="1"/>
  <c r="Y165" i="1"/>
  <c r="BP169" i="1"/>
  <c r="BN169" i="1"/>
  <c r="Z169" i="1"/>
  <c r="BP173" i="1"/>
  <c r="BN173" i="1"/>
  <c r="Z173" i="1"/>
  <c r="BP177" i="1"/>
  <c r="BN177" i="1"/>
  <c r="Z177" i="1"/>
  <c r="Y181" i="1"/>
  <c r="BP185" i="1"/>
  <c r="BN185" i="1"/>
  <c r="Z185" i="1"/>
  <c r="Z187" i="1" s="1"/>
  <c r="BP206" i="1"/>
  <c r="BN206" i="1"/>
  <c r="Z206" i="1"/>
  <c r="Z213" i="1" s="1"/>
  <c r="BP210" i="1"/>
  <c r="BN210" i="1"/>
  <c r="Z210" i="1"/>
  <c r="BP299" i="1"/>
  <c r="BN299" i="1"/>
  <c r="Z299" i="1"/>
  <c r="Z304" i="1" s="1"/>
  <c r="BP303" i="1"/>
  <c r="BN303" i="1"/>
  <c r="Z303" i="1"/>
  <c r="Y305" i="1"/>
  <c r="Y314" i="1"/>
  <c r="BP307" i="1"/>
  <c r="BN307" i="1"/>
  <c r="Z307" i="1"/>
  <c r="Y313" i="1"/>
  <c r="BP311" i="1"/>
  <c r="BN311" i="1"/>
  <c r="Z311" i="1"/>
  <c r="BP344" i="1"/>
  <c r="BN344" i="1"/>
  <c r="Z344" i="1"/>
  <c r="Z346" i="1" s="1"/>
  <c r="Y346" i="1"/>
  <c r="D506" i="1"/>
  <c r="F9" i="1"/>
  <c r="J9" i="1"/>
  <c r="Z22" i="1"/>
  <c r="Z24" i="1" s="1"/>
  <c r="BN22" i="1"/>
  <c r="BP22" i="1"/>
  <c r="X500" i="1"/>
  <c r="Y25" i="1"/>
  <c r="Z28" i="1"/>
  <c r="Z32" i="1" s="1"/>
  <c r="BN28" i="1"/>
  <c r="Z30" i="1"/>
  <c r="BN30" i="1"/>
  <c r="C506" i="1"/>
  <c r="Z42" i="1"/>
  <c r="Z44" i="1" s="1"/>
  <c r="BN42" i="1"/>
  <c r="Y45" i="1"/>
  <c r="Z53" i="1"/>
  <c r="Z58" i="1" s="1"/>
  <c r="BN53" i="1"/>
  <c r="Z55" i="1"/>
  <c r="BN55" i="1"/>
  <c r="Z57" i="1"/>
  <c r="BN57" i="1"/>
  <c r="Z61" i="1"/>
  <c r="Z64" i="1" s="1"/>
  <c r="BN61" i="1"/>
  <c r="BP61" i="1"/>
  <c r="Z63" i="1"/>
  <c r="BN63" i="1"/>
  <c r="Y65" i="1"/>
  <c r="Y70" i="1"/>
  <c r="BP67" i="1"/>
  <c r="BN67" i="1"/>
  <c r="Z67" i="1"/>
  <c r="Z69" i="1" s="1"/>
  <c r="Y76" i="1"/>
  <c r="BP75" i="1"/>
  <c r="BN75" i="1"/>
  <c r="Z75" i="1"/>
  <c r="Y77" i="1"/>
  <c r="Y82" i="1"/>
  <c r="BP79" i="1"/>
  <c r="BN79" i="1"/>
  <c r="Z79" i="1"/>
  <c r="Z81" i="1" s="1"/>
  <c r="BP88" i="1"/>
  <c r="BN88" i="1"/>
  <c r="Z88" i="1"/>
  <c r="Y90" i="1"/>
  <c r="Y97" i="1"/>
  <c r="BP92" i="1"/>
  <c r="BN92" i="1"/>
  <c r="Z92" i="1"/>
  <c r="Z96" i="1" s="1"/>
  <c r="Y96" i="1"/>
  <c r="Z105" i="1"/>
  <c r="BP101" i="1"/>
  <c r="BN101" i="1"/>
  <c r="Z101" i="1"/>
  <c r="Y105" i="1"/>
  <c r="BP109" i="1"/>
  <c r="BN109" i="1"/>
  <c r="Z109" i="1"/>
  <c r="Z112" i="1" s="1"/>
  <c r="BP117" i="1"/>
  <c r="BN117" i="1"/>
  <c r="Z117" i="1"/>
  <c r="Y134" i="1"/>
  <c r="BP138" i="1"/>
  <c r="BN138" i="1"/>
  <c r="Z138" i="1"/>
  <c r="Z139" i="1" s="1"/>
  <c r="Y140" i="1"/>
  <c r="H506" i="1"/>
  <c r="Y146" i="1"/>
  <c r="BP143" i="1"/>
  <c r="BN143" i="1"/>
  <c r="Z143" i="1"/>
  <c r="Z145" i="1" s="1"/>
  <c r="Y154" i="1"/>
  <c r="BP151" i="1"/>
  <c r="BN151" i="1"/>
  <c r="Z151" i="1"/>
  <c r="Y182" i="1"/>
  <c r="BP171" i="1"/>
  <c r="BN171" i="1"/>
  <c r="Z171" i="1"/>
  <c r="Z181" i="1" s="1"/>
  <c r="BP175" i="1"/>
  <c r="BN175" i="1"/>
  <c r="Z175" i="1"/>
  <c r="BP179" i="1"/>
  <c r="BN179" i="1"/>
  <c r="Z179" i="1"/>
  <c r="Y188" i="1"/>
  <c r="Y187" i="1"/>
  <c r="BP196" i="1"/>
  <c r="BN196" i="1"/>
  <c r="Z196" i="1"/>
  <c r="Z197" i="1" s="1"/>
  <c r="Y198" i="1"/>
  <c r="Y203" i="1"/>
  <c r="BP200" i="1"/>
  <c r="BN200" i="1"/>
  <c r="Z200" i="1"/>
  <c r="Z202" i="1" s="1"/>
  <c r="BP208" i="1"/>
  <c r="BN208" i="1"/>
  <c r="Z208" i="1"/>
  <c r="Y213" i="1"/>
  <c r="BP217" i="1"/>
  <c r="BN217" i="1"/>
  <c r="Z217" i="1"/>
  <c r="Z225" i="1" s="1"/>
  <c r="BP221" i="1"/>
  <c r="BN221" i="1"/>
  <c r="Z221" i="1"/>
  <c r="Y225" i="1"/>
  <c r="BP229" i="1"/>
  <c r="BN229" i="1"/>
  <c r="Z229" i="1"/>
  <c r="Z230" i="1" s="1"/>
  <c r="Y231" i="1"/>
  <c r="K506" i="1"/>
  <c r="Y243" i="1"/>
  <c r="BP234" i="1"/>
  <c r="BN234" i="1"/>
  <c r="Z234" i="1"/>
  <c r="BP238" i="1"/>
  <c r="BN238" i="1"/>
  <c r="Z238" i="1"/>
  <c r="BP242" i="1"/>
  <c r="BN242" i="1"/>
  <c r="Z242" i="1"/>
  <c r="Y244" i="1"/>
  <c r="Y247" i="1"/>
  <c r="BP246" i="1"/>
  <c r="BN246" i="1"/>
  <c r="Z246" i="1"/>
  <c r="Z247" i="1" s="1"/>
  <c r="Y248" i="1"/>
  <c r="Y251" i="1"/>
  <c r="BP250" i="1"/>
  <c r="BN250" i="1"/>
  <c r="Z250" i="1"/>
  <c r="Z251" i="1" s="1"/>
  <c r="Y252" i="1"/>
  <c r="Y259" i="1"/>
  <c r="BP254" i="1"/>
  <c r="BN254" i="1"/>
  <c r="Z254" i="1"/>
  <c r="BP258" i="1"/>
  <c r="BN258" i="1"/>
  <c r="Z258" i="1"/>
  <c r="Y260" i="1"/>
  <c r="Y268" i="1"/>
  <c r="BP263" i="1"/>
  <c r="BN263" i="1"/>
  <c r="Z263" i="1"/>
  <c r="L506" i="1"/>
  <c r="BP267" i="1"/>
  <c r="BN267" i="1"/>
  <c r="Z267" i="1"/>
  <c r="Y269" i="1"/>
  <c r="M506" i="1"/>
  <c r="Y277" i="1"/>
  <c r="BP272" i="1"/>
  <c r="BN272" i="1"/>
  <c r="Z272" i="1"/>
  <c r="Y276" i="1"/>
  <c r="Z283" i="1"/>
  <c r="BP281" i="1"/>
  <c r="BN281" i="1"/>
  <c r="Z281" i="1"/>
  <c r="Y283" i="1"/>
  <c r="BP319" i="1"/>
  <c r="BN319" i="1"/>
  <c r="Z319" i="1"/>
  <c r="Y321" i="1"/>
  <c r="Y326" i="1"/>
  <c r="BP323" i="1"/>
  <c r="BN323" i="1"/>
  <c r="Z323" i="1"/>
  <c r="Y327" i="1"/>
  <c r="BP331" i="1"/>
  <c r="BN331" i="1"/>
  <c r="Z331" i="1"/>
  <c r="BP354" i="1"/>
  <c r="BN354" i="1"/>
  <c r="Z354" i="1"/>
  <c r="Y358" i="1"/>
  <c r="BP367" i="1"/>
  <c r="BN367" i="1"/>
  <c r="Z367" i="1"/>
  <c r="Z368" i="1" s="1"/>
  <c r="Y369" i="1"/>
  <c r="Y372" i="1"/>
  <c r="BP371" i="1"/>
  <c r="BN371" i="1"/>
  <c r="Z371" i="1"/>
  <c r="Z372" i="1" s="1"/>
  <c r="Y373" i="1"/>
  <c r="T506" i="1"/>
  <c r="Y379" i="1"/>
  <c r="BP376" i="1"/>
  <c r="BN376" i="1"/>
  <c r="Z376" i="1"/>
  <c r="Z378" i="1" s="1"/>
  <c r="Y378" i="1"/>
  <c r="BP419" i="1"/>
  <c r="BN419" i="1"/>
  <c r="Z419" i="1"/>
  <c r="Y421" i="1"/>
  <c r="Y425" i="1"/>
  <c r="W506" i="1"/>
  <c r="Y426" i="1"/>
  <c r="BP424" i="1"/>
  <c r="BN424" i="1"/>
  <c r="Z424" i="1"/>
  <c r="Z425" i="1" s="1"/>
  <c r="BP452" i="1"/>
  <c r="BN452" i="1"/>
  <c r="Z452" i="1"/>
  <c r="Z457" i="1" s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Y506" i="1"/>
  <c r="Y470" i="1"/>
  <c r="BP474" i="1"/>
  <c r="BN474" i="1"/>
  <c r="Z474" i="1"/>
  <c r="Z475" i="1" s="1"/>
  <c r="Y476" i="1"/>
  <c r="Y481" i="1"/>
  <c r="BP478" i="1"/>
  <c r="BN478" i="1"/>
  <c r="Z478" i="1"/>
  <c r="Z480" i="1" s="1"/>
  <c r="Y480" i="1"/>
  <c r="E506" i="1"/>
  <c r="Y89" i="1"/>
  <c r="F506" i="1"/>
  <c r="Y106" i="1"/>
  <c r="G506" i="1"/>
  <c r="Y129" i="1"/>
  <c r="J506" i="1"/>
  <c r="Y197" i="1"/>
  <c r="Y214" i="1"/>
  <c r="BP211" i="1"/>
  <c r="BN211" i="1"/>
  <c r="Z211" i="1"/>
  <c r="Y226" i="1"/>
  <c r="BP219" i="1"/>
  <c r="BN219" i="1"/>
  <c r="Z219" i="1"/>
  <c r="BP223" i="1"/>
  <c r="BN223" i="1"/>
  <c r="Z223" i="1"/>
  <c r="Y230" i="1"/>
  <c r="BP236" i="1"/>
  <c r="BN236" i="1"/>
  <c r="Z236" i="1"/>
  <c r="BP240" i="1"/>
  <c r="BN240" i="1"/>
  <c r="Z240" i="1"/>
  <c r="BP256" i="1"/>
  <c r="BN256" i="1"/>
  <c r="Z256" i="1"/>
  <c r="BP265" i="1"/>
  <c r="BN265" i="1"/>
  <c r="Z265" i="1"/>
  <c r="BP274" i="1"/>
  <c r="BN274" i="1"/>
  <c r="Z274" i="1"/>
  <c r="BP288" i="1"/>
  <c r="BN288" i="1"/>
  <c r="Z288" i="1"/>
  <c r="Z289" i="1" s="1"/>
  <c r="Y290" i="1"/>
  <c r="Y295" i="1"/>
  <c r="BP292" i="1"/>
  <c r="BN292" i="1"/>
  <c r="Z292" i="1"/>
  <c r="Z294" i="1" s="1"/>
  <c r="Q506" i="1"/>
  <c r="BP301" i="1"/>
  <c r="BN301" i="1"/>
  <c r="Z301" i="1"/>
  <c r="BP309" i="1"/>
  <c r="BN309" i="1"/>
  <c r="Z309" i="1"/>
  <c r="BP317" i="1"/>
  <c r="BN317" i="1"/>
  <c r="Z317" i="1"/>
  <c r="Z320" i="1" s="1"/>
  <c r="BP325" i="1"/>
  <c r="BN325" i="1"/>
  <c r="Z325" i="1"/>
  <c r="Y334" i="1"/>
  <c r="BP329" i="1"/>
  <c r="BN329" i="1"/>
  <c r="Z329" i="1"/>
  <c r="Z333" i="1" s="1"/>
  <c r="Y333" i="1"/>
  <c r="BP337" i="1"/>
  <c r="BN337" i="1"/>
  <c r="Z337" i="1"/>
  <c r="Z339" i="1" s="1"/>
  <c r="BP352" i="1"/>
  <c r="BN352" i="1"/>
  <c r="Z352" i="1"/>
  <c r="Z358" i="1" s="1"/>
  <c r="BP356" i="1"/>
  <c r="BN356" i="1"/>
  <c r="Z356" i="1"/>
  <c r="BP388" i="1"/>
  <c r="BN388" i="1"/>
  <c r="Z388" i="1"/>
  <c r="Y390" i="1"/>
  <c r="Y403" i="1"/>
  <c r="BP394" i="1"/>
  <c r="BN394" i="1"/>
  <c r="Z394" i="1"/>
  <c r="BP398" i="1"/>
  <c r="BN398" i="1"/>
  <c r="Z398" i="1"/>
  <c r="BP402" i="1"/>
  <c r="BN402" i="1"/>
  <c r="Z402" i="1"/>
  <c r="Y404" i="1"/>
  <c r="Y409" i="1"/>
  <c r="BP406" i="1"/>
  <c r="BN406" i="1"/>
  <c r="Z406" i="1"/>
  <c r="Z408" i="1" s="1"/>
  <c r="Y408" i="1"/>
  <c r="O506" i="1"/>
  <c r="Y284" i="1"/>
  <c r="P506" i="1"/>
  <c r="Y289" i="1"/>
  <c r="Y304" i="1"/>
  <c r="R506" i="1"/>
  <c r="Y347" i="1"/>
  <c r="S506" i="1"/>
  <c r="Y359" i="1"/>
  <c r="Y364" i="1"/>
  <c r="BP361" i="1"/>
  <c r="BN361" i="1"/>
  <c r="Z361" i="1"/>
  <c r="Z363" i="1" s="1"/>
  <c r="Y368" i="1"/>
  <c r="BP382" i="1"/>
  <c r="BN382" i="1"/>
  <c r="Z382" i="1"/>
  <c r="Z383" i="1" s="1"/>
  <c r="Y384" i="1"/>
  <c r="Y389" i="1"/>
  <c r="BP386" i="1"/>
  <c r="BN386" i="1"/>
  <c r="Z386" i="1"/>
  <c r="BP396" i="1"/>
  <c r="BN396" i="1"/>
  <c r="Z396" i="1"/>
  <c r="BP400" i="1"/>
  <c r="BN400" i="1"/>
  <c r="Z400" i="1"/>
  <c r="BP417" i="1"/>
  <c r="BN417" i="1"/>
  <c r="Z417" i="1"/>
  <c r="Z420" i="1" s="1"/>
  <c r="BP432" i="1"/>
  <c r="BN432" i="1"/>
  <c r="Z432" i="1"/>
  <c r="BP436" i="1"/>
  <c r="BN436" i="1"/>
  <c r="Z436" i="1"/>
  <c r="BP440" i="1"/>
  <c r="BN440" i="1"/>
  <c r="Z440" i="1"/>
  <c r="V506" i="1"/>
  <c r="Y414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Z448" i="1"/>
  <c r="BP446" i="1"/>
  <c r="BN446" i="1"/>
  <c r="Z446" i="1"/>
  <c r="Y457" i="1"/>
  <c r="BP454" i="1"/>
  <c r="BN454" i="1"/>
  <c r="Z454" i="1"/>
  <c r="BP468" i="1"/>
  <c r="BN468" i="1"/>
  <c r="Z468" i="1"/>
  <c r="Y475" i="1"/>
  <c r="BP488" i="1"/>
  <c r="BN488" i="1"/>
  <c r="Z488" i="1"/>
  <c r="Z489" i="1" s="1"/>
  <c r="Y490" i="1"/>
  <c r="Z506" i="1"/>
  <c r="Y494" i="1"/>
  <c r="BP493" i="1"/>
  <c r="BN493" i="1"/>
  <c r="Z493" i="1"/>
  <c r="Z494" i="1" s="1"/>
  <c r="Y495" i="1"/>
  <c r="Z442" i="1" l="1"/>
  <c r="Z276" i="1"/>
  <c r="Z268" i="1"/>
  <c r="Z259" i="1"/>
  <c r="Y497" i="1"/>
  <c r="Z313" i="1"/>
  <c r="Z119" i="1"/>
  <c r="Z389" i="1"/>
  <c r="Z403" i="1"/>
  <c r="Z470" i="1"/>
  <c r="Z326" i="1"/>
  <c r="Z243" i="1"/>
  <c r="Y496" i="1"/>
  <c r="Y498" i="1"/>
  <c r="Z501" i="1"/>
  <c r="Y500" i="1"/>
  <c r="Y499" i="1" l="1"/>
</calcChain>
</file>

<file path=xl/sharedStrings.xml><?xml version="1.0" encoding="utf-8"?>
<sst xmlns="http://schemas.openxmlformats.org/spreadsheetml/2006/main" count="2385" uniqueCount="784">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</sst>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6"/>
  <sheetViews>
    <sheetView showGridLines="0" tabSelected="1" topLeftCell="A474" zoomScaleNormal="100" zoomScaleSheetLayoutView="100" workbookViewId="0">
      <selection activeCell="AA502" sqref="AA502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632" t="s">
        <v>0</v>
      </c>
      <c r="E1" s="588"/>
      <c r="F1" s="588"/>
      <c r="G1" s="12" t="s">
        <v>1</v>
      </c>
      <c r="H1" s="632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9"/>
      <c r="R2" s="569"/>
      <c r="S2" s="569"/>
      <c r="T2" s="569"/>
      <c r="U2" s="569"/>
      <c r="V2" s="569"/>
      <c r="W2" s="569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9"/>
      <c r="Q3" s="569"/>
      <c r="R3" s="569"/>
      <c r="S3" s="569"/>
      <c r="T3" s="569"/>
      <c r="U3" s="569"/>
      <c r="V3" s="569"/>
      <c r="W3" s="569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678" t="s">
        <v>8</v>
      </c>
      <c r="B5" s="679"/>
      <c r="C5" s="680"/>
      <c r="D5" s="637"/>
      <c r="E5" s="638"/>
      <c r="F5" s="851" t="s">
        <v>9</v>
      </c>
      <c r="G5" s="680"/>
      <c r="H5" s="637"/>
      <c r="I5" s="803"/>
      <c r="J5" s="803"/>
      <c r="K5" s="803"/>
      <c r="L5" s="803"/>
      <c r="M5" s="638"/>
      <c r="N5" s="58"/>
      <c r="P5" s="24" t="s">
        <v>10</v>
      </c>
      <c r="Q5" s="865">
        <v>46030</v>
      </c>
      <c r="R5" s="675"/>
      <c r="T5" s="733" t="s">
        <v>11</v>
      </c>
      <c r="U5" s="734"/>
      <c r="V5" s="735" t="s">
        <v>12</v>
      </c>
      <c r="W5" s="675"/>
      <c r="AB5" s="51"/>
      <c r="AC5" s="51"/>
      <c r="AD5" s="51"/>
      <c r="AE5" s="51"/>
    </row>
    <row r="6" spans="1:32" s="549" customFormat="1" ht="24" customHeight="1" x14ac:dyDescent="0.2">
      <c r="A6" s="678" t="s">
        <v>13</v>
      </c>
      <c r="B6" s="679"/>
      <c r="C6" s="680"/>
      <c r="D6" s="805" t="s">
        <v>14</v>
      </c>
      <c r="E6" s="806"/>
      <c r="F6" s="806"/>
      <c r="G6" s="806"/>
      <c r="H6" s="806"/>
      <c r="I6" s="806"/>
      <c r="J6" s="806"/>
      <c r="K6" s="806"/>
      <c r="L6" s="806"/>
      <c r="M6" s="675"/>
      <c r="N6" s="59"/>
      <c r="P6" s="24" t="s">
        <v>15</v>
      </c>
      <c r="Q6" s="873" t="str">
        <f>IF(Q5=0," ",CHOOSE(WEEKDAY(Q5,2),"Понедельник","Вторник","Среда","Четверг","Пятница","Суббота","Воскресенье"))</f>
        <v>Четверг</v>
      </c>
      <c r="R6" s="563"/>
      <c r="T6" s="740" t="s">
        <v>16</v>
      </c>
      <c r="U6" s="734"/>
      <c r="V6" s="787" t="s">
        <v>17</v>
      </c>
      <c r="W6" s="600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611" t="str">
        <f>IFERROR(VLOOKUP(DeliveryAddress,Table,3,0),1)</f>
        <v>1</v>
      </c>
      <c r="E7" s="612"/>
      <c r="F7" s="612"/>
      <c r="G7" s="612"/>
      <c r="H7" s="612"/>
      <c r="I7" s="612"/>
      <c r="J7" s="612"/>
      <c r="K7" s="612"/>
      <c r="L7" s="612"/>
      <c r="M7" s="613"/>
      <c r="N7" s="60"/>
      <c r="P7" s="24"/>
      <c r="Q7" s="42"/>
      <c r="R7" s="42"/>
      <c r="T7" s="569"/>
      <c r="U7" s="734"/>
      <c r="V7" s="788"/>
      <c r="W7" s="789"/>
      <c r="AB7" s="51"/>
      <c r="AC7" s="51"/>
      <c r="AD7" s="51"/>
      <c r="AE7" s="51"/>
    </row>
    <row r="8" spans="1:32" s="549" customFormat="1" ht="25.5" customHeight="1" x14ac:dyDescent="0.2">
      <c r="A8" s="885" t="s">
        <v>18</v>
      </c>
      <c r="B8" s="574"/>
      <c r="C8" s="575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9">
        <v>0.41666666666666669</v>
      </c>
      <c r="R8" s="613"/>
      <c r="T8" s="569"/>
      <c r="U8" s="734"/>
      <c r="V8" s="788"/>
      <c r="W8" s="789"/>
      <c r="AB8" s="51"/>
      <c r="AC8" s="51"/>
      <c r="AD8" s="51"/>
      <c r="AE8" s="51"/>
    </row>
    <row r="9" spans="1:32" s="549" customFormat="1" ht="39.950000000000003" customHeight="1" x14ac:dyDescent="0.2">
      <c r="A9" s="70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9"/>
      <c r="C9" s="569"/>
      <c r="D9" s="701"/>
      <c r="E9" s="572"/>
      <c r="F9" s="70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47"/>
      <c r="P9" s="26" t="s">
        <v>21</v>
      </c>
      <c r="Q9" s="671"/>
      <c r="R9" s="672"/>
      <c r="T9" s="569"/>
      <c r="U9" s="734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70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9"/>
      <c r="C10" s="569"/>
      <c r="D10" s="701"/>
      <c r="E10" s="572"/>
      <c r="F10" s="70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9"/>
      <c r="H10" s="780" t="str">
        <f>IFERROR(VLOOKUP($D$10,Proxy,2,FALSE),"")</f>
        <v/>
      </c>
      <c r="I10" s="569"/>
      <c r="J10" s="569"/>
      <c r="K10" s="569"/>
      <c r="L10" s="569"/>
      <c r="M10" s="569"/>
      <c r="N10" s="548"/>
      <c r="P10" s="26" t="s">
        <v>22</v>
      </c>
      <c r="Q10" s="741"/>
      <c r="R10" s="742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4"/>
      <c r="R11" s="675"/>
      <c r="U11" s="24" t="s">
        <v>27</v>
      </c>
      <c r="V11" s="821" t="s">
        <v>28</v>
      </c>
      <c r="W11" s="672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24" t="s">
        <v>29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80"/>
      <c r="N12" s="62"/>
      <c r="P12" s="24" t="s">
        <v>30</v>
      </c>
      <c r="Q12" s="689"/>
      <c r="R12" s="613"/>
      <c r="S12" s="23"/>
      <c r="U12" s="24"/>
      <c r="V12" s="588"/>
      <c r="W12" s="569"/>
      <c r="AB12" s="51"/>
      <c r="AC12" s="51"/>
      <c r="AD12" s="51"/>
      <c r="AE12" s="51"/>
    </row>
    <row r="13" spans="1:32" s="549" customFormat="1" ht="23.25" customHeight="1" x14ac:dyDescent="0.2">
      <c r="A13" s="724" t="s">
        <v>31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80"/>
      <c r="N13" s="62"/>
      <c r="O13" s="26"/>
      <c r="P13" s="26" t="s">
        <v>32</v>
      </c>
      <c r="Q13" s="821"/>
      <c r="R13" s="67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24" t="s">
        <v>33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8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56" t="s">
        <v>34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80"/>
      <c r="N15" s="63"/>
      <c r="P15" s="712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3"/>
      <c r="Q16" s="713"/>
      <c r="R16" s="713"/>
      <c r="S16" s="713"/>
      <c r="T16" s="71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9" t="s">
        <v>38</v>
      </c>
      <c r="D17" s="596" t="s">
        <v>39</v>
      </c>
      <c r="E17" s="657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6"/>
      <c r="R17" s="656"/>
      <c r="S17" s="656"/>
      <c r="T17" s="657"/>
      <c r="U17" s="884" t="s">
        <v>51</v>
      </c>
      <c r="V17" s="680"/>
      <c r="W17" s="596" t="s">
        <v>52</v>
      </c>
      <c r="X17" s="596" t="s">
        <v>53</v>
      </c>
      <c r="Y17" s="882" t="s">
        <v>54</v>
      </c>
      <c r="Z17" s="801" t="s">
        <v>55</v>
      </c>
      <c r="AA17" s="778" t="s">
        <v>56</v>
      </c>
      <c r="AB17" s="778" t="s">
        <v>57</v>
      </c>
      <c r="AC17" s="778" t="s">
        <v>58</v>
      </c>
      <c r="AD17" s="778" t="s">
        <v>59</v>
      </c>
      <c r="AE17" s="846"/>
      <c r="AF17" s="84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58"/>
      <c r="E18" s="660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58"/>
      <c r="Q18" s="659"/>
      <c r="R18" s="659"/>
      <c r="S18" s="659"/>
      <c r="T18" s="660"/>
      <c r="U18" s="67" t="s">
        <v>61</v>
      </c>
      <c r="V18" s="67" t="s">
        <v>62</v>
      </c>
      <c r="W18" s="597"/>
      <c r="X18" s="597"/>
      <c r="Y18" s="883"/>
      <c r="Z18" s="802"/>
      <c r="AA18" s="779"/>
      <c r="AB18" s="779"/>
      <c r="AC18" s="779"/>
      <c r="AD18" s="848"/>
      <c r="AE18" s="849"/>
      <c r="AF18" s="850"/>
      <c r="AG18" s="66"/>
      <c r="BD18" s="65"/>
    </row>
    <row r="19" spans="1:68" ht="27.75" customHeight="1" x14ac:dyDescent="0.2">
      <c r="A19" s="727" t="s">
        <v>63</v>
      </c>
      <c r="B19" s="728"/>
      <c r="C19" s="728"/>
      <c r="D19" s="728"/>
      <c r="E19" s="728"/>
      <c r="F19" s="728"/>
      <c r="G19" s="728"/>
      <c r="H19" s="728"/>
      <c r="I19" s="728"/>
      <c r="J19" s="728"/>
      <c r="K19" s="728"/>
      <c r="L19" s="728"/>
      <c r="M19" s="728"/>
      <c r="N19" s="728"/>
      <c r="O19" s="728"/>
      <c r="P19" s="728"/>
      <c r="Q19" s="728"/>
      <c r="R19" s="728"/>
      <c r="S19" s="728"/>
      <c r="T19" s="728"/>
      <c r="U19" s="728"/>
      <c r="V19" s="728"/>
      <c r="W19" s="728"/>
      <c r="X19" s="728"/>
      <c r="Y19" s="728"/>
      <c r="Z19" s="728"/>
      <c r="AA19" s="48"/>
      <c r="AB19" s="48"/>
      <c r="AC19" s="48"/>
    </row>
    <row r="20" spans="1:68" ht="16.5" customHeight="1" x14ac:dyDescent="0.25">
      <c r="A20" s="568" t="s">
        <v>63</v>
      </c>
      <c r="B20" s="569"/>
      <c r="C20" s="569"/>
      <c r="D20" s="569"/>
      <c r="E20" s="569"/>
      <c r="F20" s="569"/>
      <c r="G20" s="569"/>
      <c r="H20" s="569"/>
      <c r="I20" s="569"/>
      <c r="J20" s="569"/>
      <c r="K20" s="569"/>
      <c r="L20" s="569"/>
      <c r="M20" s="569"/>
      <c r="N20" s="569"/>
      <c r="O20" s="569"/>
      <c r="P20" s="569"/>
      <c r="Q20" s="569"/>
      <c r="R20" s="569"/>
      <c r="S20" s="569"/>
      <c r="T20" s="569"/>
      <c r="U20" s="569"/>
      <c r="V20" s="569"/>
      <c r="W20" s="569"/>
      <c r="X20" s="569"/>
      <c r="Y20" s="569"/>
      <c r="Z20" s="569"/>
      <c r="AA20" s="550"/>
      <c r="AB20" s="550"/>
      <c r="AC20" s="550"/>
    </row>
    <row r="21" spans="1:68" ht="14.25" customHeight="1" x14ac:dyDescent="0.25">
      <c r="A21" s="570" t="s">
        <v>64</v>
      </c>
      <c r="B21" s="569"/>
      <c r="C21" s="569"/>
      <c r="D21" s="569"/>
      <c r="E21" s="569"/>
      <c r="F21" s="569"/>
      <c r="G21" s="569"/>
      <c r="H21" s="569"/>
      <c r="I21" s="569"/>
      <c r="J21" s="569"/>
      <c r="K21" s="569"/>
      <c r="L21" s="569"/>
      <c r="M21" s="569"/>
      <c r="N21" s="569"/>
      <c r="O21" s="569"/>
      <c r="P21" s="569"/>
      <c r="Q21" s="569"/>
      <c r="R21" s="569"/>
      <c r="S21" s="569"/>
      <c r="T21" s="569"/>
      <c r="U21" s="569"/>
      <c r="V21" s="569"/>
      <c r="W21" s="569"/>
      <c r="X21" s="569"/>
      <c r="Y21" s="569"/>
      <c r="Z21" s="569"/>
      <c r="AA21" s="551"/>
      <c r="AB21" s="551"/>
      <c r="AC21" s="55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0"/>
      <c r="R22" s="560"/>
      <c r="S22" s="560"/>
      <c r="T22" s="561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0"/>
      <c r="R23" s="560"/>
      <c r="S23" s="560"/>
      <c r="T23" s="561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9"/>
      <c r="C24" s="569"/>
      <c r="D24" s="569"/>
      <c r="E24" s="569"/>
      <c r="F24" s="569"/>
      <c r="G24" s="569"/>
      <c r="H24" s="569"/>
      <c r="I24" s="569"/>
      <c r="J24" s="569"/>
      <c r="K24" s="569"/>
      <c r="L24" s="569"/>
      <c r="M24" s="569"/>
      <c r="N24" s="569"/>
      <c r="O24" s="583"/>
      <c r="P24" s="573" t="s">
        <v>75</v>
      </c>
      <c r="Q24" s="574"/>
      <c r="R24" s="574"/>
      <c r="S24" s="574"/>
      <c r="T24" s="574"/>
      <c r="U24" s="574"/>
      <c r="V24" s="575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x14ac:dyDescent="0.2">
      <c r="A25" s="569"/>
      <c r="B25" s="569"/>
      <c r="C25" s="569"/>
      <c r="D25" s="569"/>
      <c r="E25" s="569"/>
      <c r="F25" s="569"/>
      <c r="G25" s="569"/>
      <c r="H25" s="569"/>
      <c r="I25" s="569"/>
      <c r="J25" s="569"/>
      <c r="K25" s="569"/>
      <c r="L25" s="569"/>
      <c r="M25" s="569"/>
      <c r="N25" s="569"/>
      <c r="O25" s="583"/>
      <c r="P25" s="573" t="s">
        <v>75</v>
      </c>
      <c r="Q25" s="574"/>
      <c r="R25" s="574"/>
      <c r="S25" s="574"/>
      <c r="T25" s="574"/>
      <c r="U25" s="574"/>
      <c r="V25" s="575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customHeight="1" x14ac:dyDescent="0.25">
      <c r="A26" s="570" t="s">
        <v>77</v>
      </c>
      <c r="B26" s="569"/>
      <c r="C26" s="569"/>
      <c r="D26" s="569"/>
      <c r="E26" s="569"/>
      <c r="F26" s="569"/>
      <c r="G26" s="569"/>
      <c r="H26" s="569"/>
      <c r="I26" s="569"/>
      <c r="J26" s="569"/>
      <c r="K26" s="569"/>
      <c r="L26" s="569"/>
      <c r="M26" s="569"/>
      <c r="N26" s="569"/>
      <c r="O26" s="569"/>
      <c r="P26" s="569"/>
      <c r="Q26" s="569"/>
      <c r="R26" s="569"/>
      <c r="S26" s="569"/>
      <c r="T26" s="569"/>
      <c r="U26" s="569"/>
      <c r="V26" s="569"/>
      <c r="W26" s="569"/>
      <c r="X26" s="569"/>
      <c r="Y26" s="569"/>
      <c r="Z26" s="569"/>
      <c r="AA26" s="551"/>
      <c r="AB26" s="551"/>
      <c r="AC26" s="55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0"/>
      <c r="R27" s="560"/>
      <c r="S27" s="560"/>
      <c r="T27" s="561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0"/>
      <c r="R28" s="560"/>
      <c r="S28" s="560"/>
      <c r="T28" s="561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0"/>
      <c r="R29" s="560"/>
      <c r="S29" s="560"/>
      <c r="T29" s="561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0"/>
      <c r="R30" s="560"/>
      <c r="S30" s="560"/>
      <c r="T30" s="561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62">
        <v>4607091388244</v>
      </c>
      <c r="E31" s="563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0"/>
      <c r="R31" s="560"/>
      <c r="S31" s="560"/>
      <c r="T31" s="561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9"/>
      <c r="C32" s="569"/>
      <c r="D32" s="569"/>
      <c r="E32" s="569"/>
      <c r="F32" s="569"/>
      <c r="G32" s="569"/>
      <c r="H32" s="569"/>
      <c r="I32" s="569"/>
      <c r="J32" s="569"/>
      <c r="K32" s="569"/>
      <c r="L32" s="569"/>
      <c r="M32" s="569"/>
      <c r="N32" s="569"/>
      <c r="O32" s="583"/>
      <c r="P32" s="573" t="s">
        <v>75</v>
      </c>
      <c r="Q32" s="574"/>
      <c r="R32" s="574"/>
      <c r="S32" s="574"/>
      <c r="T32" s="574"/>
      <c r="U32" s="574"/>
      <c r="V32" s="575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x14ac:dyDescent="0.2">
      <c r="A33" s="569"/>
      <c r="B33" s="569"/>
      <c r="C33" s="569"/>
      <c r="D33" s="569"/>
      <c r="E33" s="569"/>
      <c r="F33" s="569"/>
      <c r="G33" s="569"/>
      <c r="H33" s="569"/>
      <c r="I33" s="569"/>
      <c r="J33" s="569"/>
      <c r="K33" s="569"/>
      <c r="L33" s="569"/>
      <c r="M33" s="569"/>
      <c r="N33" s="569"/>
      <c r="O33" s="583"/>
      <c r="P33" s="573" t="s">
        <v>75</v>
      </c>
      <c r="Q33" s="574"/>
      <c r="R33" s="574"/>
      <c r="S33" s="574"/>
      <c r="T33" s="574"/>
      <c r="U33" s="574"/>
      <c r="V33" s="575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customHeight="1" x14ac:dyDescent="0.25">
      <c r="A34" s="570" t="s">
        <v>95</v>
      </c>
      <c r="B34" s="569"/>
      <c r="C34" s="569"/>
      <c r="D34" s="569"/>
      <c r="E34" s="569"/>
      <c r="F34" s="569"/>
      <c r="G34" s="569"/>
      <c r="H34" s="569"/>
      <c r="I34" s="569"/>
      <c r="J34" s="569"/>
      <c r="K34" s="569"/>
      <c r="L34" s="569"/>
      <c r="M34" s="569"/>
      <c r="N34" s="569"/>
      <c r="O34" s="569"/>
      <c r="P34" s="569"/>
      <c r="Q34" s="569"/>
      <c r="R34" s="569"/>
      <c r="S34" s="569"/>
      <c r="T34" s="569"/>
      <c r="U34" s="569"/>
      <c r="V34" s="569"/>
      <c r="W34" s="569"/>
      <c r="X34" s="569"/>
      <c r="Y34" s="569"/>
      <c r="Z34" s="569"/>
      <c r="AA34" s="551"/>
      <c r="AB34" s="551"/>
      <c r="AC34" s="551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62">
        <v>4607091388503</v>
      </c>
      <c r="E35" s="563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0"/>
      <c r="R35" s="560"/>
      <c r="S35" s="560"/>
      <c r="T35" s="561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9"/>
      <c r="C36" s="569"/>
      <c r="D36" s="569"/>
      <c r="E36" s="569"/>
      <c r="F36" s="569"/>
      <c r="G36" s="569"/>
      <c r="H36" s="569"/>
      <c r="I36" s="569"/>
      <c r="J36" s="569"/>
      <c r="K36" s="569"/>
      <c r="L36" s="569"/>
      <c r="M36" s="569"/>
      <c r="N36" s="569"/>
      <c r="O36" s="583"/>
      <c r="P36" s="573" t="s">
        <v>75</v>
      </c>
      <c r="Q36" s="574"/>
      <c r="R36" s="574"/>
      <c r="S36" s="574"/>
      <c r="T36" s="574"/>
      <c r="U36" s="574"/>
      <c r="V36" s="575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x14ac:dyDescent="0.2">
      <c r="A37" s="569"/>
      <c r="B37" s="569"/>
      <c r="C37" s="569"/>
      <c r="D37" s="569"/>
      <c r="E37" s="569"/>
      <c r="F37" s="569"/>
      <c r="G37" s="569"/>
      <c r="H37" s="569"/>
      <c r="I37" s="569"/>
      <c r="J37" s="569"/>
      <c r="K37" s="569"/>
      <c r="L37" s="569"/>
      <c r="M37" s="569"/>
      <c r="N37" s="569"/>
      <c r="O37" s="583"/>
      <c r="P37" s="573" t="s">
        <v>75</v>
      </c>
      <c r="Q37" s="574"/>
      <c r="R37" s="574"/>
      <c r="S37" s="574"/>
      <c r="T37" s="574"/>
      <c r="U37" s="574"/>
      <c r="V37" s="575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customHeight="1" x14ac:dyDescent="0.2">
      <c r="A38" s="727" t="s">
        <v>101</v>
      </c>
      <c r="B38" s="728"/>
      <c r="C38" s="728"/>
      <c r="D38" s="728"/>
      <c r="E38" s="728"/>
      <c r="F38" s="728"/>
      <c r="G38" s="728"/>
      <c r="H38" s="728"/>
      <c r="I38" s="728"/>
      <c r="J38" s="728"/>
      <c r="K38" s="728"/>
      <c r="L38" s="728"/>
      <c r="M38" s="728"/>
      <c r="N38" s="728"/>
      <c r="O38" s="728"/>
      <c r="P38" s="728"/>
      <c r="Q38" s="728"/>
      <c r="R38" s="728"/>
      <c r="S38" s="728"/>
      <c r="T38" s="728"/>
      <c r="U38" s="728"/>
      <c r="V38" s="728"/>
      <c r="W38" s="728"/>
      <c r="X38" s="728"/>
      <c r="Y38" s="728"/>
      <c r="Z38" s="728"/>
      <c r="AA38" s="48"/>
      <c r="AB38" s="48"/>
      <c r="AC38" s="48"/>
    </row>
    <row r="39" spans="1:68" ht="16.5" customHeight="1" x14ac:dyDescent="0.25">
      <c r="A39" s="568" t="s">
        <v>102</v>
      </c>
      <c r="B39" s="569"/>
      <c r="C39" s="569"/>
      <c r="D39" s="569"/>
      <c r="E39" s="569"/>
      <c r="F39" s="569"/>
      <c r="G39" s="569"/>
      <c r="H39" s="569"/>
      <c r="I39" s="569"/>
      <c r="J39" s="569"/>
      <c r="K39" s="569"/>
      <c r="L39" s="569"/>
      <c r="M39" s="569"/>
      <c r="N39" s="569"/>
      <c r="O39" s="569"/>
      <c r="P39" s="569"/>
      <c r="Q39" s="569"/>
      <c r="R39" s="569"/>
      <c r="S39" s="569"/>
      <c r="T39" s="569"/>
      <c r="U39" s="569"/>
      <c r="V39" s="569"/>
      <c r="W39" s="569"/>
      <c r="X39" s="569"/>
      <c r="Y39" s="569"/>
      <c r="Z39" s="569"/>
      <c r="AA39" s="550"/>
      <c r="AB39" s="550"/>
      <c r="AC39" s="550"/>
    </row>
    <row r="40" spans="1:68" ht="14.25" customHeight="1" x14ac:dyDescent="0.25">
      <c r="A40" s="570" t="s">
        <v>103</v>
      </c>
      <c r="B40" s="569"/>
      <c r="C40" s="569"/>
      <c r="D40" s="569"/>
      <c r="E40" s="569"/>
      <c r="F40" s="569"/>
      <c r="G40" s="569"/>
      <c r="H40" s="569"/>
      <c r="I40" s="569"/>
      <c r="J40" s="569"/>
      <c r="K40" s="569"/>
      <c r="L40" s="569"/>
      <c r="M40" s="569"/>
      <c r="N40" s="569"/>
      <c r="O40" s="569"/>
      <c r="P40" s="569"/>
      <c r="Q40" s="569"/>
      <c r="R40" s="569"/>
      <c r="S40" s="569"/>
      <c r="T40" s="569"/>
      <c r="U40" s="569"/>
      <c r="V40" s="569"/>
      <c r="W40" s="569"/>
      <c r="X40" s="569"/>
      <c r="Y40" s="569"/>
      <c r="Z40" s="569"/>
      <c r="AA40" s="551"/>
      <c r="AB40" s="551"/>
      <c r="AC40" s="551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2">
        <v>4607091385670</v>
      </c>
      <c r="E41" s="563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0"/>
      <c r="R41" s="560"/>
      <c r="S41" s="560"/>
      <c r="T41" s="561"/>
      <c r="U41" s="34"/>
      <c r="V41" s="34"/>
      <c r="W41" s="35" t="s">
        <v>69</v>
      </c>
      <c r="X41" s="555">
        <v>80</v>
      </c>
      <c r="Y41" s="556">
        <f>IFERROR(IF(X41="",0,CEILING((X41/$H41),1)*$H41),"")</f>
        <v>86.4</v>
      </c>
      <c r="Z41" s="36">
        <f>IFERROR(IF(Y41=0,"",ROUNDUP(Y41/H41,0)*0.01898),"")</f>
        <v>0.15184</v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83.037037037037038</v>
      </c>
      <c r="BN41" s="64">
        <f>IFERROR(Y41*I41/H41,"0")</f>
        <v>89.68</v>
      </c>
      <c r="BO41" s="64">
        <f>IFERROR(1/J41*(X41/H41),"0")</f>
        <v>0.11574074074074073</v>
      </c>
      <c r="BP41" s="64">
        <f>IFERROR(1/J41*(Y41/H41),"0")</f>
        <v>0.125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62">
        <v>4680115882539</v>
      </c>
      <c r="E42" s="563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0"/>
      <c r="R42" s="560"/>
      <c r="S42" s="560"/>
      <c r="T42" s="561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0"/>
      <c r="R43" s="560"/>
      <c r="S43" s="560"/>
      <c r="T43" s="561"/>
      <c r="U43" s="34"/>
      <c r="V43" s="34"/>
      <c r="W43" s="35" t="s">
        <v>69</v>
      </c>
      <c r="X43" s="555">
        <v>28</v>
      </c>
      <c r="Y43" s="556">
        <f>IFERROR(IF(X43="",0,CEILING((X43/$H43),1)*$H43),"")</f>
        <v>28</v>
      </c>
      <c r="Z43" s="36">
        <f>IFERROR(IF(Y43=0,"",ROUNDUP(Y43/H43,0)*0.00902),"")</f>
        <v>6.3140000000000002E-2</v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29.330000000000002</v>
      </c>
      <c r="BN43" s="64">
        <f>IFERROR(Y43*I43/H43,"0")</f>
        <v>29.330000000000002</v>
      </c>
      <c r="BO43" s="64">
        <f>IFERROR(1/J43*(X43/H43),"0")</f>
        <v>5.3030303030303032E-2</v>
      </c>
      <c r="BP43" s="64">
        <f>IFERROR(1/J43*(Y43/H43),"0")</f>
        <v>5.3030303030303032E-2</v>
      </c>
    </row>
    <row r="44" spans="1:68" x14ac:dyDescent="0.2">
      <c r="A44" s="582"/>
      <c r="B44" s="569"/>
      <c r="C44" s="569"/>
      <c r="D44" s="569"/>
      <c r="E44" s="569"/>
      <c r="F44" s="569"/>
      <c r="G44" s="569"/>
      <c r="H44" s="569"/>
      <c r="I44" s="569"/>
      <c r="J44" s="569"/>
      <c r="K44" s="569"/>
      <c r="L44" s="569"/>
      <c r="M44" s="569"/>
      <c r="N44" s="569"/>
      <c r="O44" s="583"/>
      <c r="P44" s="573" t="s">
        <v>75</v>
      </c>
      <c r="Q44" s="574"/>
      <c r="R44" s="574"/>
      <c r="S44" s="574"/>
      <c r="T44" s="574"/>
      <c r="U44" s="574"/>
      <c r="V44" s="575"/>
      <c r="W44" s="37" t="s">
        <v>76</v>
      </c>
      <c r="X44" s="557">
        <f>IFERROR(X41/H41,"0")+IFERROR(X42/H42,"0")+IFERROR(X43/H43,"0")</f>
        <v>14.407407407407407</v>
      </c>
      <c r="Y44" s="557">
        <f>IFERROR(Y41/H41,"0")+IFERROR(Y42/H42,"0")+IFERROR(Y43/H43,"0")</f>
        <v>15</v>
      </c>
      <c r="Z44" s="557">
        <f>IFERROR(IF(Z41="",0,Z41),"0")+IFERROR(IF(Z42="",0,Z42),"0")+IFERROR(IF(Z43="",0,Z43),"0")</f>
        <v>0.21498</v>
      </c>
      <c r="AA44" s="558"/>
      <c r="AB44" s="558"/>
      <c r="AC44" s="558"/>
    </row>
    <row r="45" spans="1:68" x14ac:dyDescent="0.2">
      <c r="A45" s="569"/>
      <c r="B45" s="569"/>
      <c r="C45" s="569"/>
      <c r="D45" s="569"/>
      <c r="E45" s="569"/>
      <c r="F45" s="569"/>
      <c r="G45" s="569"/>
      <c r="H45" s="569"/>
      <c r="I45" s="569"/>
      <c r="J45" s="569"/>
      <c r="K45" s="569"/>
      <c r="L45" s="569"/>
      <c r="M45" s="569"/>
      <c r="N45" s="569"/>
      <c r="O45" s="583"/>
      <c r="P45" s="573" t="s">
        <v>75</v>
      </c>
      <c r="Q45" s="574"/>
      <c r="R45" s="574"/>
      <c r="S45" s="574"/>
      <c r="T45" s="574"/>
      <c r="U45" s="574"/>
      <c r="V45" s="575"/>
      <c r="W45" s="37" t="s">
        <v>69</v>
      </c>
      <c r="X45" s="557">
        <f>IFERROR(SUM(X41:X43),"0")</f>
        <v>108</v>
      </c>
      <c r="Y45" s="557">
        <f>IFERROR(SUM(Y41:Y43),"0")</f>
        <v>114.4</v>
      </c>
      <c r="Z45" s="37"/>
      <c r="AA45" s="558"/>
      <c r="AB45" s="558"/>
      <c r="AC45" s="558"/>
    </row>
    <row r="46" spans="1:68" ht="14.25" customHeight="1" x14ac:dyDescent="0.25">
      <c r="A46" s="570" t="s">
        <v>77</v>
      </c>
      <c r="B46" s="569"/>
      <c r="C46" s="569"/>
      <c r="D46" s="569"/>
      <c r="E46" s="569"/>
      <c r="F46" s="569"/>
      <c r="G46" s="569"/>
      <c r="H46" s="569"/>
      <c r="I46" s="569"/>
      <c r="J46" s="569"/>
      <c r="K46" s="569"/>
      <c r="L46" s="569"/>
      <c r="M46" s="569"/>
      <c r="N46" s="569"/>
      <c r="O46" s="569"/>
      <c r="P46" s="569"/>
      <c r="Q46" s="569"/>
      <c r="R46" s="569"/>
      <c r="S46" s="569"/>
      <c r="T46" s="569"/>
      <c r="U46" s="569"/>
      <c r="V46" s="569"/>
      <c r="W46" s="569"/>
      <c r="X46" s="569"/>
      <c r="Y46" s="569"/>
      <c r="Z46" s="569"/>
      <c r="AA46" s="551"/>
      <c r="AB46" s="551"/>
      <c r="AC46" s="55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62">
        <v>4680115884915</v>
      </c>
      <c r="E47" s="563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5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0"/>
      <c r="R47" s="560"/>
      <c r="S47" s="560"/>
      <c r="T47" s="561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9"/>
      <c r="C48" s="569"/>
      <c r="D48" s="569"/>
      <c r="E48" s="569"/>
      <c r="F48" s="569"/>
      <c r="G48" s="569"/>
      <c r="H48" s="569"/>
      <c r="I48" s="569"/>
      <c r="J48" s="569"/>
      <c r="K48" s="569"/>
      <c r="L48" s="569"/>
      <c r="M48" s="569"/>
      <c r="N48" s="569"/>
      <c r="O48" s="583"/>
      <c r="P48" s="573" t="s">
        <v>75</v>
      </c>
      <c r="Q48" s="574"/>
      <c r="R48" s="574"/>
      <c r="S48" s="574"/>
      <c r="T48" s="574"/>
      <c r="U48" s="574"/>
      <c r="V48" s="575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x14ac:dyDescent="0.2">
      <c r="A49" s="569"/>
      <c r="B49" s="569"/>
      <c r="C49" s="569"/>
      <c r="D49" s="569"/>
      <c r="E49" s="569"/>
      <c r="F49" s="569"/>
      <c r="G49" s="569"/>
      <c r="H49" s="569"/>
      <c r="I49" s="569"/>
      <c r="J49" s="569"/>
      <c r="K49" s="569"/>
      <c r="L49" s="569"/>
      <c r="M49" s="569"/>
      <c r="N49" s="569"/>
      <c r="O49" s="583"/>
      <c r="P49" s="573" t="s">
        <v>75</v>
      </c>
      <c r="Q49" s="574"/>
      <c r="R49" s="574"/>
      <c r="S49" s="574"/>
      <c r="T49" s="574"/>
      <c r="U49" s="574"/>
      <c r="V49" s="575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customHeight="1" x14ac:dyDescent="0.25">
      <c r="A50" s="568" t="s">
        <v>119</v>
      </c>
      <c r="B50" s="569"/>
      <c r="C50" s="569"/>
      <c r="D50" s="569"/>
      <c r="E50" s="569"/>
      <c r="F50" s="569"/>
      <c r="G50" s="569"/>
      <c r="H50" s="569"/>
      <c r="I50" s="569"/>
      <c r="J50" s="569"/>
      <c r="K50" s="569"/>
      <c r="L50" s="569"/>
      <c r="M50" s="569"/>
      <c r="N50" s="569"/>
      <c r="O50" s="569"/>
      <c r="P50" s="569"/>
      <c r="Q50" s="569"/>
      <c r="R50" s="569"/>
      <c r="S50" s="569"/>
      <c r="T50" s="569"/>
      <c r="U50" s="569"/>
      <c r="V50" s="569"/>
      <c r="W50" s="569"/>
      <c r="X50" s="569"/>
      <c r="Y50" s="569"/>
      <c r="Z50" s="569"/>
      <c r="AA50" s="550"/>
      <c r="AB50" s="550"/>
      <c r="AC50" s="550"/>
    </row>
    <row r="51" spans="1:68" ht="14.25" customHeight="1" x14ac:dyDescent="0.25">
      <c r="A51" s="570" t="s">
        <v>103</v>
      </c>
      <c r="B51" s="569"/>
      <c r="C51" s="569"/>
      <c r="D51" s="569"/>
      <c r="E51" s="569"/>
      <c r="F51" s="569"/>
      <c r="G51" s="569"/>
      <c r="H51" s="569"/>
      <c r="I51" s="569"/>
      <c r="J51" s="569"/>
      <c r="K51" s="569"/>
      <c r="L51" s="569"/>
      <c r="M51" s="569"/>
      <c r="N51" s="569"/>
      <c r="O51" s="569"/>
      <c r="P51" s="569"/>
      <c r="Q51" s="569"/>
      <c r="R51" s="569"/>
      <c r="S51" s="569"/>
      <c r="T51" s="569"/>
      <c r="U51" s="569"/>
      <c r="V51" s="569"/>
      <c r="W51" s="569"/>
      <c r="X51" s="569"/>
      <c r="Y51" s="569"/>
      <c r="Z51" s="569"/>
      <c r="AA51" s="551"/>
      <c r="AB51" s="551"/>
      <c r="AC51" s="55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2">
        <v>4680115885882</v>
      </c>
      <c r="E52" s="563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0"/>
      <c r="R52" s="560"/>
      <c r="S52" s="560"/>
      <c r="T52" s="561"/>
      <c r="U52" s="34"/>
      <c r="V52" s="34"/>
      <c r="W52" s="35" t="s">
        <v>69</v>
      </c>
      <c r="X52" s="555">
        <v>0</v>
      </c>
      <c r="Y52" s="55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2">
        <v>4680115881426</v>
      </c>
      <c r="E53" s="563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70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0"/>
      <c r="R53" s="560"/>
      <c r="S53" s="560"/>
      <c r="T53" s="561"/>
      <c r="U53" s="34"/>
      <c r="V53" s="34"/>
      <c r="W53" s="35" t="s">
        <v>69</v>
      </c>
      <c r="X53" s="555">
        <v>830</v>
      </c>
      <c r="Y53" s="556">
        <f t="shared" si="0"/>
        <v>831.6</v>
      </c>
      <c r="Z53" s="36">
        <f>IFERROR(IF(Y53=0,"",ROUNDUP(Y53/H53,0)*0.01898),"")</f>
        <v>1.46146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861.50925925925935</v>
      </c>
      <c r="BN53" s="64">
        <f t="shared" si="2"/>
        <v>863.17000000000007</v>
      </c>
      <c r="BO53" s="64">
        <f t="shared" si="3"/>
        <v>1.2008101851851851</v>
      </c>
      <c r="BP53" s="64">
        <f t="shared" si="4"/>
        <v>1.203125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62">
        <v>4680115880283</v>
      </c>
      <c r="E54" s="563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4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0"/>
      <c r="R54" s="560"/>
      <c r="S54" s="560"/>
      <c r="T54" s="561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62">
        <v>4680115881525</v>
      </c>
      <c r="E55" s="563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0"/>
      <c r="R55" s="560"/>
      <c r="S55" s="560"/>
      <c r="T55" s="561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62">
        <v>4680115885899</v>
      </c>
      <c r="E56" s="563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5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0"/>
      <c r="R56" s="560"/>
      <c r="S56" s="560"/>
      <c r="T56" s="561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2">
        <v>4680115881419</v>
      </c>
      <c r="E57" s="563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0"/>
      <c r="R57" s="560"/>
      <c r="S57" s="560"/>
      <c r="T57" s="561"/>
      <c r="U57" s="34"/>
      <c r="V57" s="34"/>
      <c r="W57" s="35" t="s">
        <v>69</v>
      </c>
      <c r="X57" s="555">
        <v>117</v>
      </c>
      <c r="Y57" s="556">
        <f t="shared" si="0"/>
        <v>117</v>
      </c>
      <c r="Z57" s="36">
        <f>IFERROR(IF(Y57=0,"",ROUNDUP(Y57/H57,0)*0.00902),"")</f>
        <v>0.23452000000000001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121.94</v>
      </c>
      <c r="BN57" s="64">
        <f t="shared" si="2"/>
        <v>121.94</v>
      </c>
      <c r="BO57" s="64">
        <f t="shared" si="3"/>
        <v>0.19696969696969696</v>
      </c>
      <c r="BP57" s="64">
        <f t="shared" si="4"/>
        <v>0.19696969696969696</v>
      </c>
    </row>
    <row r="58" spans="1:68" x14ac:dyDescent="0.2">
      <c r="A58" s="582"/>
      <c r="B58" s="569"/>
      <c r="C58" s="569"/>
      <c r="D58" s="569"/>
      <c r="E58" s="569"/>
      <c r="F58" s="569"/>
      <c r="G58" s="569"/>
      <c r="H58" s="569"/>
      <c r="I58" s="569"/>
      <c r="J58" s="569"/>
      <c r="K58" s="569"/>
      <c r="L58" s="569"/>
      <c r="M58" s="569"/>
      <c r="N58" s="569"/>
      <c r="O58" s="583"/>
      <c r="P58" s="573" t="s">
        <v>75</v>
      </c>
      <c r="Q58" s="574"/>
      <c r="R58" s="574"/>
      <c r="S58" s="574"/>
      <c r="T58" s="574"/>
      <c r="U58" s="574"/>
      <c r="V58" s="575"/>
      <c r="W58" s="37" t="s">
        <v>76</v>
      </c>
      <c r="X58" s="557">
        <f>IFERROR(X52/H52,"0")+IFERROR(X53/H53,"0")+IFERROR(X54/H54,"0")+IFERROR(X55/H55,"0")+IFERROR(X56/H56,"0")+IFERROR(X57/H57,"0")</f>
        <v>102.85185185185185</v>
      </c>
      <c r="Y58" s="557">
        <f>IFERROR(Y52/H52,"0")+IFERROR(Y53/H53,"0")+IFERROR(Y54/H54,"0")+IFERROR(Y55/H55,"0")+IFERROR(Y56/H56,"0")+IFERROR(Y57/H57,"0")</f>
        <v>103</v>
      </c>
      <c r="Z58" s="557">
        <f>IFERROR(IF(Z52="",0,Z52),"0")+IFERROR(IF(Z53="",0,Z53),"0")+IFERROR(IF(Z54="",0,Z54),"0")+IFERROR(IF(Z55="",0,Z55),"0")+IFERROR(IF(Z56="",0,Z56),"0")+IFERROR(IF(Z57="",0,Z57),"0")</f>
        <v>1.69598</v>
      </c>
      <c r="AA58" s="558"/>
      <c r="AB58" s="558"/>
      <c r="AC58" s="558"/>
    </row>
    <row r="59" spans="1:68" x14ac:dyDescent="0.2">
      <c r="A59" s="569"/>
      <c r="B59" s="569"/>
      <c r="C59" s="569"/>
      <c r="D59" s="569"/>
      <c r="E59" s="569"/>
      <c r="F59" s="569"/>
      <c r="G59" s="569"/>
      <c r="H59" s="569"/>
      <c r="I59" s="569"/>
      <c r="J59" s="569"/>
      <c r="K59" s="569"/>
      <c r="L59" s="569"/>
      <c r="M59" s="569"/>
      <c r="N59" s="569"/>
      <c r="O59" s="583"/>
      <c r="P59" s="573" t="s">
        <v>75</v>
      </c>
      <c r="Q59" s="574"/>
      <c r="R59" s="574"/>
      <c r="S59" s="574"/>
      <c r="T59" s="574"/>
      <c r="U59" s="574"/>
      <c r="V59" s="575"/>
      <c r="W59" s="37" t="s">
        <v>69</v>
      </c>
      <c r="X59" s="557">
        <f>IFERROR(SUM(X52:X57),"0")</f>
        <v>947</v>
      </c>
      <c r="Y59" s="557">
        <f>IFERROR(SUM(Y52:Y57),"0")</f>
        <v>948.6</v>
      </c>
      <c r="Z59" s="37"/>
      <c r="AA59" s="558"/>
      <c r="AB59" s="558"/>
      <c r="AC59" s="558"/>
    </row>
    <row r="60" spans="1:68" ht="14.25" customHeight="1" x14ac:dyDescent="0.25">
      <c r="A60" s="570" t="s">
        <v>138</v>
      </c>
      <c r="B60" s="569"/>
      <c r="C60" s="569"/>
      <c r="D60" s="569"/>
      <c r="E60" s="569"/>
      <c r="F60" s="569"/>
      <c r="G60" s="569"/>
      <c r="H60" s="569"/>
      <c r="I60" s="569"/>
      <c r="J60" s="569"/>
      <c r="K60" s="569"/>
      <c r="L60" s="569"/>
      <c r="M60" s="569"/>
      <c r="N60" s="569"/>
      <c r="O60" s="569"/>
      <c r="P60" s="569"/>
      <c r="Q60" s="569"/>
      <c r="R60" s="569"/>
      <c r="S60" s="569"/>
      <c r="T60" s="569"/>
      <c r="U60" s="569"/>
      <c r="V60" s="569"/>
      <c r="W60" s="569"/>
      <c r="X60" s="569"/>
      <c r="Y60" s="569"/>
      <c r="Z60" s="569"/>
      <c r="AA60" s="551"/>
      <c r="AB60" s="551"/>
      <c r="AC60" s="55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2">
        <v>4680115881440</v>
      </c>
      <c r="E61" s="563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81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0"/>
      <c r="R61" s="560"/>
      <c r="S61" s="560"/>
      <c r="T61" s="561"/>
      <c r="U61" s="34"/>
      <c r="V61" s="34"/>
      <c r="W61" s="35" t="s">
        <v>69</v>
      </c>
      <c r="X61" s="555">
        <v>360</v>
      </c>
      <c r="Y61" s="556">
        <f>IFERROR(IF(X61="",0,CEILING((X61/$H61),1)*$H61),"")</f>
        <v>367.20000000000005</v>
      </c>
      <c r="Z61" s="36">
        <f>IFERROR(IF(Y61=0,"",ROUNDUP(Y61/H61,0)*0.01898),"")</f>
        <v>0.64532</v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373.66666666666669</v>
      </c>
      <c r="BN61" s="64">
        <f>IFERROR(Y61*I61/H61,"0")</f>
        <v>381.14000000000004</v>
      </c>
      <c r="BO61" s="64">
        <f>IFERROR(1/J61*(X61/H61),"0")</f>
        <v>0.52083333333333326</v>
      </c>
      <c r="BP61" s="64">
        <f>IFERROR(1/J61*(Y61/H61),"0")</f>
        <v>0.53125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62">
        <v>4680115885950</v>
      </c>
      <c r="E62" s="563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0"/>
      <c r="R62" s="560"/>
      <c r="S62" s="560"/>
      <c r="T62" s="561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2">
        <v>4680115881433</v>
      </c>
      <c r="E63" s="563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0"/>
      <c r="R63" s="560"/>
      <c r="S63" s="560"/>
      <c r="T63" s="561"/>
      <c r="U63" s="34"/>
      <c r="V63" s="34"/>
      <c r="W63" s="35" t="s">
        <v>69</v>
      </c>
      <c r="X63" s="555">
        <v>27.9</v>
      </c>
      <c r="Y63" s="556">
        <f>IFERROR(IF(X63="",0,CEILING((X63/$H63),1)*$H63),"")</f>
        <v>29.700000000000003</v>
      </c>
      <c r="Z63" s="36">
        <f>IFERROR(IF(Y63=0,"",ROUNDUP(Y63/H63,0)*0.00651),"")</f>
        <v>7.1610000000000007E-2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29.759999999999994</v>
      </c>
      <c r="BN63" s="64">
        <f>IFERROR(Y63*I63/H63,"0")</f>
        <v>31.68</v>
      </c>
      <c r="BO63" s="64">
        <f>IFERROR(1/J63*(X63/H63),"0")</f>
        <v>5.6776556776556776E-2</v>
      </c>
      <c r="BP63" s="64">
        <f>IFERROR(1/J63*(Y63/H63),"0")</f>
        <v>6.0439560439560447E-2</v>
      </c>
    </row>
    <row r="64" spans="1:68" x14ac:dyDescent="0.2">
      <c r="A64" s="582"/>
      <c r="B64" s="569"/>
      <c r="C64" s="569"/>
      <c r="D64" s="569"/>
      <c r="E64" s="569"/>
      <c r="F64" s="569"/>
      <c r="G64" s="569"/>
      <c r="H64" s="569"/>
      <c r="I64" s="569"/>
      <c r="J64" s="569"/>
      <c r="K64" s="569"/>
      <c r="L64" s="569"/>
      <c r="M64" s="569"/>
      <c r="N64" s="569"/>
      <c r="O64" s="583"/>
      <c r="P64" s="573" t="s">
        <v>75</v>
      </c>
      <c r="Q64" s="574"/>
      <c r="R64" s="574"/>
      <c r="S64" s="574"/>
      <c r="T64" s="574"/>
      <c r="U64" s="574"/>
      <c r="V64" s="575"/>
      <c r="W64" s="37" t="s">
        <v>76</v>
      </c>
      <c r="X64" s="557">
        <f>IFERROR(X61/H61,"0")+IFERROR(X62/H62,"0")+IFERROR(X63/H63,"0")</f>
        <v>43.666666666666657</v>
      </c>
      <c r="Y64" s="557">
        <f>IFERROR(Y61/H61,"0")+IFERROR(Y62/H62,"0")+IFERROR(Y63/H63,"0")</f>
        <v>45</v>
      </c>
      <c r="Z64" s="557">
        <f>IFERROR(IF(Z61="",0,Z61),"0")+IFERROR(IF(Z62="",0,Z62),"0")+IFERROR(IF(Z63="",0,Z63),"0")</f>
        <v>0.71693000000000007</v>
      </c>
      <c r="AA64" s="558"/>
      <c r="AB64" s="558"/>
      <c r="AC64" s="558"/>
    </row>
    <row r="65" spans="1:68" x14ac:dyDescent="0.2">
      <c r="A65" s="569"/>
      <c r="B65" s="569"/>
      <c r="C65" s="569"/>
      <c r="D65" s="569"/>
      <c r="E65" s="569"/>
      <c r="F65" s="569"/>
      <c r="G65" s="569"/>
      <c r="H65" s="569"/>
      <c r="I65" s="569"/>
      <c r="J65" s="569"/>
      <c r="K65" s="569"/>
      <c r="L65" s="569"/>
      <c r="M65" s="569"/>
      <c r="N65" s="569"/>
      <c r="O65" s="583"/>
      <c r="P65" s="573" t="s">
        <v>75</v>
      </c>
      <c r="Q65" s="574"/>
      <c r="R65" s="574"/>
      <c r="S65" s="574"/>
      <c r="T65" s="574"/>
      <c r="U65" s="574"/>
      <c r="V65" s="575"/>
      <c r="W65" s="37" t="s">
        <v>69</v>
      </c>
      <c r="X65" s="557">
        <f>IFERROR(SUM(X61:X63),"0")</f>
        <v>387.9</v>
      </c>
      <c r="Y65" s="557">
        <f>IFERROR(SUM(Y61:Y63),"0")</f>
        <v>396.90000000000003</v>
      </c>
      <c r="Z65" s="37"/>
      <c r="AA65" s="558"/>
      <c r="AB65" s="558"/>
      <c r="AC65" s="558"/>
    </row>
    <row r="66" spans="1:68" ht="14.25" customHeight="1" x14ac:dyDescent="0.25">
      <c r="A66" s="570" t="s">
        <v>64</v>
      </c>
      <c r="B66" s="569"/>
      <c r="C66" s="569"/>
      <c r="D66" s="569"/>
      <c r="E66" s="569"/>
      <c r="F66" s="569"/>
      <c r="G66" s="569"/>
      <c r="H66" s="569"/>
      <c r="I66" s="569"/>
      <c r="J66" s="569"/>
      <c r="K66" s="569"/>
      <c r="L66" s="569"/>
      <c r="M66" s="569"/>
      <c r="N66" s="569"/>
      <c r="O66" s="569"/>
      <c r="P66" s="569"/>
      <c r="Q66" s="569"/>
      <c r="R66" s="569"/>
      <c r="S66" s="569"/>
      <c r="T66" s="569"/>
      <c r="U66" s="569"/>
      <c r="V66" s="569"/>
      <c r="W66" s="569"/>
      <c r="X66" s="569"/>
      <c r="Y66" s="569"/>
      <c r="Z66" s="569"/>
      <c r="AA66" s="551"/>
      <c r="AB66" s="551"/>
      <c r="AC66" s="55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62">
        <v>4680115885073</v>
      </c>
      <c r="E67" s="563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5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0"/>
      <c r="R67" s="560"/>
      <c r="S67" s="560"/>
      <c r="T67" s="561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62">
        <v>4680115885097</v>
      </c>
      <c r="E68" s="563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0"/>
      <c r="R68" s="560"/>
      <c r="S68" s="560"/>
      <c r="T68" s="561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9"/>
      <c r="C69" s="569"/>
      <c r="D69" s="569"/>
      <c r="E69" s="569"/>
      <c r="F69" s="569"/>
      <c r="G69" s="569"/>
      <c r="H69" s="569"/>
      <c r="I69" s="569"/>
      <c r="J69" s="569"/>
      <c r="K69" s="569"/>
      <c r="L69" s="569"/>
      <c r="M69" s="569"/>
      <c r="N69" s="569"/>
      <c r="O69" s="583"/>
      <c r="P69" s="573" t="s">
        <v>75</v>
      </c>
      <c r="Q69" s="574"/>
      <c r="R69" s="574"/>
      <c r="S69" s="574"/>
      <c r="T69" s="574"/>
      <c r="U69" s="574"/>
      <c r="V69" s="575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x14ac:dyDescent="0.2">
      <c r="A70" s="569"/>
      <c r="B70" s="569"/>
      <c r="C70" s="569"/>
      <c r="D70" s="569"/>
      <c r="E70" s="569"/>
      <c r="F70" s="569"/>
      <c r="G70" s="569"/>
      <c r="H70" s="569"/>
      <c r="I70" s="569"/>
      <c r="J70" s="569"/>
      <c r="K70" s="569"/>
      <c r="L70" s="569"/>
      <c r="M70" s="569"/>
      <c r="N70" s="569"/>
      <c r="O70" s="583"/>
      <c r="P70" s="573" t="s">
        <v>75</v>
      </c>
      <c r="Q70" s="574"/>
      <c r="R70" s="574"/>
      <c r="S70" s="574"/>
      <c r="T70" s="574"/>
      <c r="U70" s="574"/>
      <c r="V70" s="575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customHeight="1" x14ac:dyDescent="0.25">
      <c r="A71" s="570" t="s">
        <v>77</v>
      </c>
      <c r="B71" s="569"/>
      <c r="C71" s="569"/>
      <c r="D71" s="569"/>
      <c r="E71" s="569"/>
      <c r="F71" s="569"/>
      <c r="G71" s="569"/>
      <c r="H71" s="569"/>
      <c r="I71" s="569"/>
      <c r="J71" s="569"/>
      <c r="K71" s="569"/>
      <c r="L71" s="569"/>
      <c r="M71" s="569"/>
      <c r="N71" s="569"/>
      <c r="O71" s="569"/>
      <c r="P71" s="569"/>
      <c r="Q71" s="569"/>
      <c r="R71" s="569"/>
      <c r="S71" s="569"/>
      <c r="T71" s="569"/>
      <c r="U71" s="569"/>
      <c r="V71" s="569"/>
      <c r="W71" s="569"/>
      <c r="X71" s="569"/>
      <c r="Y71" s="569"/>
      <c r="Z71" s="569"/>
      <c r="AA71" s="551"/>
      <c r="AB71" s="551"/>
      <c r="AC71" s="551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62">
        <v>4680115885769</v>
      </c>
      <c r="E72" s="563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6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0"/>
      <c r="R72" s="560"/>
      <c r="S72" s="560"/>
      <c r="T72" s="561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62">
        <v>4680115884311</v>
      </c>
      <c r="E73" s="563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5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0"/>
      <c r="R73" s="560"/>
      <c r="S73" s="560"/>
      <c r="T73" s="561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62">
        <v>4680115885929</v>
      </c>
      <c r="E74" s="563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0"/>
      <c r="R74" s="560"/>
      <c r="S74" s="560"/>
      <c r="T74" s="561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62">
        <v>4680115884403</v>
      </c>
      <c r="E75" s="563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0"/>
      <c r="R75" s="560"/>
      <c r="S75" s="560"/>
      <c r="T75" s="561"/>
      <c r="U75" s="34"/>
      <c r="V75" s="34"/>
      <c r="W75" s="35" t="s">
        <v>69</v>
      </c>
      <c r="X75" s="555">
        <v>0</v>
      </c>
      <c r="Y75" s="55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9"/>
      <c r="C76" s="569"/>
      <c r="D76" s="569"/>
      <c r="E76" s="569"/>
      <c r="F76" s="569"/>
      <c r="G76" s="569"/>
      <c r="H76" s="569"/>
      <c r="I76" s="569"/>
      <c r="J76" s="569"/>
      <c r="K76" s="569"/>
      <c r="L76" s="569"/>
      <c r="M76" s="569"/>
      <c r="N76" s="569"/>
      <c r="O76" s="583"/>
      <c r="P76" s="573" t="s">
        <v>75</v>
      </c>
      <c r="Q76" s="574"/>
      <c r="R76" s="574"/>
      <c r="S76" s="574"/>
      <c r="T76" s="574"/>
      <c r="U76" s="574"/>
      <c r="V76" s="575"/>
      <c r="W76" s="37" t="s">
        <v>76</v>
      </c>
      <c r="X76" s="557">
        <f>IFERROR(X72/H72,"0")+IFERROR(X73/H73,"0")+IFERROR(X74/H74,"0")+IFERROR(X75/H75,"0")</f>
        <v>0</v>
      </c>
      <c r="Y76" s="557">
        <f>IFERROR(Y72/H72,"0")+IFERROR(Y73/H73,"0")+IFERROR(Y74/H74,"0")+IFERROR(Y75/H75,"0")</f>
        <v>0</v>
      </c>
      <c r="Z76" s="557">
        <f>IFERROR(IF(Z72="",0,Z72),"0")+IFERROR(IF(Z73="",0,Z73),"0")+IFERROR(IF(Z74="",0,Z74),"0")+IFERROR(IF(Z75="",0,Z75),"0")</f>
        <v>0</v>
      </c>
      <c r="AA76" s="558"/>
      <c r="AB76" s="558"/>
      <c r="AC76" s="558"/>
    </row>
    <row r="77" spans="1:68" x14ac:dyDescent="0.2">
      <c r="A77" s="569"/>
      <c r="B77" s="569"/>
      <c r="C77" s="569"/>
      <c r="D77" s="569"/>
      <c r="E77" s="569"/>
      <c r="F77" s="569"/>
      <c r="G77" s="569"/>
      <c r="H77" s="569"/>
      <c r="I77" s="569"/>
      <c r="J77" s="569"/>
      <c r="K77" s="569"/>
      <c r="L77" s="569"/>
      <c r="M77" s="569"/>
      <c r="N77" s="569"/>
      <c r="O77" s="583"/>
      <c r="P77" s="573" t="s">
        <v>75</v>
      </c>
      <c r="Q77" s="574"/>
      <c r="R77" s="574"/>
      <c r="S77" s="574"/>
      <c r="T77" s="574"/>
      <c r="U77" s="574"/>
      <c r="V77" s="575"/>
      <c r="W77" s="37" t="s">
        <v>69</v>
      </c>
      <c r="X77" s="557">
        <f>IFERROR(SUM(X72:X75),"0")</f>
        <v>0</v>
      </c>
      <c r="Y77" s="557">
        <f>IFERROR(SUM(Y72:Y75),"0")</f>
        <v>0</v>
      </c>
      <c r="Z77" s="37"/>
      <c r="AA77" s="558"/>
      <c r="AB77" s="558"/>
      <c r="AC77" s="558"/>
    </row>
    <row r="78" spans="1:68" ht="14.25" customHeight="1" x14ac:dyDescent="0.25">
      <c r="A78" s="570" t="s">
        <v>163</v>
      </c>
      <c r="B78" s="569"/>
      <c r="C78" s="569"/>
      <c r="D78" s="569"/>
      <c r="E78" s="569"/>
      <c r="F78" s="569"/>
      <c r="G78" s="569"/>
      <c r="H78" s="569"/>
      <c r="I78" s="569"/>
      <c r="J78" s="569"/>
      <c r="K78" s="569"/>
      <c r="L78" s="569"/>
      <c r="M78" s="569"/>
      <c r="N78" s="569"/>
      <c r="O78" s="569"/>
      <c r="P78" s="569"/>
      <c r="Q78" s="569"/>
      <c r="R78" s="569"/>
      <c r="S78" s="569"/>
      <c r="T78" s="569"/>
      <c r="U78" s="569"/>
      <c r="V78" s="569"/>
      <c r="W78" s="569"/>
      <c r="X78" s="569"/>
      <c r="Y78" s="569"/>
      <c r="Z78" s="569"/>
      <c r="AA78" s="551"/>
      <c r="AB78" s="551"/>
      <c r="AC78" s="551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62">
        <v>4680115881532</v>
      </c>
      <c r="E79" s="563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5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0"/>
      <c r="R79" s="560"/>
      <c r="S79" s="560"/>
      <c r="T79" s="561"/>
      <c r="U79" s="34"/>
      <c r="V79" s="34"/>
      <c r="W79" s="35" t="s">
        <v>69</v>
      </c>
      <c r="X79" s="555">
        <v>0</v>
      </c>
      <c r="Y79" s="55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62">
        <v>4680115881464</v>
      </c>
      <c r="E80" s="563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80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0"/>
      <c r="R80" s="560"/>
      <c r="S80" s="560"/>
      <c r="T80" s="561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9"/>
      <c r="C81" s="569"/>
      <c r="D81" s="569"/>
      <c r="E81" s="569"/>
      <c r="F81" s="569"/>
      <c r="G81" s="569"/>
      <c r="H81" s="569"/>
      <c r="I81" s="569"/>
      <c r="J81" s="569"/>
      <c r="K81" s="569"/>
      <c r="L81" s="569"/>
      <c r="M81" s="569"/>
      <c r="N81" s="569"/>
      <c r="O81" s="583"/>
      <c r="P81" s="573" t="s">
        <v>75</v>
      </c>
      <c r="Q81" s="574"/>
      <c r="R81" s="574"/>
      <c r="S81" s="574"/>
      <c r="T81" s="574"/>
      <c r="U81" s="574"/>
      <c r="V81" s="575"/>
      <c r="W81" s="37" t="s">
        <v>76</v>
      </c>
      <c r="X81" s="557">
        <f>IFERROR(X79/H79,"0")+IFERROR(X80/H80,"0")</f>
        <v>0</v>
      </c>
      <c r="Y81" s="557">
        <f>IFERROR(Y79/H79,"0")+IFERROR(Y80/H80,"0")</f>
        <v>0</v>
      </c>
      <c r="Z81" s="557">
        <f>IFERROR(IF(Z79="",0,Z79),"0")+IFERROR(IF(Z80="",0,Z80),"0")</f>
        <v>0</v>
      </c>
      <c r="AA81" s="558"/>
      <c r="AB81" s="558"/>
      <c r="AC81" s="558"/>
    </row>
    <row r="82" spans="1:68" x14ac:dyDescent="0.2">
      <c r="A82" s="569"/>
      <c r="B82" s="569"/>
      <c r="C82" s="569"/>
      <c r="D82" s="569"/>
      <c r="E82" s="569"/>
      <c r="F82" s="569"/>
      <c r="G82" s="569"/>
      <c r="H82" s="569"/>
      <c r="I82" s="569"/>
      <c r="J82" s="569"/>
      <c r="K82" s="569"/>
      <c r="L82" s="569"/>
      <c r="M82" s="569"/>
      <c r="N82" s="569"/>
      <c r="O82" s="583"/>
      <c r="P82" s="573" t="s">
        <v>75</v>
      </c>
      <c r="Q82" s="574"/>
      <c r="R82" s="574"/>
      <c r="S82" s="574"/>
      <c r="T82" s="574"/>
      <c r="U82" s="574"/>
      <c r="V82" s="575"/>
      <c r="W82" s="37" t="s">
        <v>69</v>
      </c>
      <c r="X82" s="557">
        <f>IFERROR(SUM(X79:X80),"0")</f>
        <v>0</v>
      </c>
      <c r="Y82" s="557">
        <f>IFERROR(SUM(Y79:Y80),"0")</f>
        <v>0</v>
      </c>
      <c r="Z82" s="37"/>
      <c r="AA82" s="558"/>
      <c r="AB82" s="558"/>
      <c r="AC82" s="558"/>
    </row>
    <row r="83" spans="1:68" ht="16.5" customHeight="1" x14ac:dyDescent="0.25">
      <c r="A83" s="568" t="s">
        <v>170</v>
      </c>
      <c r="B83" s="569"/>
      <c r="C83" s="569"/>
      <c r="D83" s="569"/>
      <c r="E83" s="569"/>
      <c r="F83" s="569"/>
      <c r="G83" s="569"/>
      <c r="H83" s="569"/>
      <c r="I83" s="569"/>
      <c r="J83" s="569"/>
      <c r="K83" s="569"/>
      <c r="L83" s="569"/>
      <c r="M83" s="569"/>
      <c r="N83" s="569"/>
      <c r="O83" s="569"/>
      <c r="P83" s="569"/>
      <c r="Q83" s="569"/>
      <c r="R83" s="569"/>
      <c r="S83" s="569"/>
      <c r="T83" s="569"/>
      <c r="U83" s="569"/>
      <c r="V83" s="569"/>
      <c r="W83" s="569"/>
      <c r="X83" s="569"/>
      <c r="Y83" s="569"/>
      <c r="Z83" s="569"/>
      <c r="AA83" s="550"/>
      <c r="AB83" s="550"/>
      <c r="AC83" s="550"/>
    </row>
    <row r="84" spans="1:68" ht="14.25" customHeight="1" x14ac:dyDescent="0.25">
      <c r="A84" s="570" t="s">
        <v>103</v>
      </c>
      <c r="B84" s="569"/>
      <c r="C84" s="569"/>
      <c r="D84" s="569"/>
      <c r="E84" s="569"/>
      <c r="F84" s="569"/>
      <c r="G84" s="569"/>
      <c r="H84" s="569"/>
      <c r="I84" s="569"/>
      <c r="J84" s="569"/>
      <c r="K84" s="569"/>
      <c r="L84" s="569"/>
      <c r="M84" s="569"/>
      <c r="N84" s="569"/>
      <c r="O84" s="569"/>
      <c r="P84" s="569"/>
      <c r="Q84" s="569"/>
      <c r="R84" s="569"/>
      <c r="S84" s="569"/>
      <c r="T84" s="569"/>
      <c r="U84" s="569"/>
      <c r="V84" s="569"/>
      <c r="W84" s="569"/>
      <c r="X84" s="569"/>
      <c r="Y84" s="569"/>
      <c r="Z84" s="569"/>
      <c r="AA84" s="551"/>
      <c r="AB84" s="551"/>
      <c r="AC84" s="551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2">
        <v>4680115881327</v>
      </c>
      <c r="E85" s="563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0"/>
      <c r="R85" s="560"/>
      <c r="S85" s="560"/>
      <c r="T85" s="561"/>
      <c r="U85" s="34"/>
      <c r="V85" s="34"/>
      <c r="W85" s="35" t="s">
        <v>69</v>
      </c>
      <c r="X85" s="555">
        <v>150</v>
      </c>
      <c r="Y85" s="556">
        <f>IFERROR(IF(X85="",0,CEILING((X85/$H85),1)*$H85),"")</f>
        <v>151.20000000000002</v>
      </c>
      <c r="Z85" s="36">
        <f>IFERROR(IF(Y85=0,"",ROUNDUP(Y85/H85,0)*0.01898),"")</f>
        <v>0.26572000000000001</v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155.69444444444446</v>
      </c>
      <c r="BN85" s="64">
        <f>IFERROR(Y85*I85/H85,"0")</f>
        <v>156.94</v>
      </c>
      <c r="BO85" s="64">
        <f>IFERROR(1/J85*(X85/H85),"0")</f>
        <v>0.21701388888888887</v>
      </c>
      <c r="BP85" s="64">
        <f>IFERROR(1/J85*(Y85/H85),"0")</f>
        <v>0.21875</v>
      </c>
    </row>
    <row r="86" spans="1:68" ht="27" customHeight="1" x14ac:dyDescent="0.25">
      <c r="A86" s="54" t="s">
        <v>174</v>
      </c>
      <c r="B86" s="54" t="s">
        <v>175</v>
      </c>
      <c r="C86" s="31">
        <v>4301011261</v>
      </c>
      <c r="D86" s="562">
        <v>4680115887732</v>
      </c>
      <c r="E86" s="563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0"/>
      <c r="R86" s="560"/>
      <c r="S86" s="560"/>
      <c r="T86" s="561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62">
        <v>4680115881518</v>
      </c>
      <c r="E87" s="563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4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0"/>
      <c r="R87" s="560"/>
      <c r="S87" s="560"/>
      <c r="T87" s="561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2">
        <v>4680115881303</v>
      </c>
      <c r="E88" s="563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0"/>
      <c r="R88" s="560"/>
      <c r="S88" s="560"/>
      <c r="T88" s="561"/>
      <c r="U88" s="34"/>
      <c r="V88" s="34"/>
      <c r="W88" s="35" t="s">
        <v>69</v>
      </c>
      <c r="X88" s="555">
        <v>72</v>
      </c>
      <c r="Y88" s="556">
        <f>IFERROR(IF(X88="",0,CEILING((X88/$H88),1)*$H88),"")</f>
        <v>72</v>
      </c>
      <c r="Z88" s="36">
        <f>IFERROR(IF(Y88=0,"",ROUNDUP(Y88/H88,0)*0.00902),"")</f>
        <v>0.14432</v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75.040000000000006</v>
      </c>
      <c r="BN88" s="64">
        <f>IFERROR(Y88*I88/H88,"0")</f>
        <v>75.040000000000006</v>
      </c>
      <c r="BO88" s="64">
        <f>IFERROR(1/J88*(X88/H88),"0")</f>
        <v>0.12121212121212122</v>
      </c>
      <c r="BP88" s="64">
        <f>IFERROR(1/J88*(Y88/H88),"0")</f>
        <v>0.12121212121212122</v>
      </c>
    </row>
    <row r="89" spans="1:68" x14ac:dyDescent="0.2">
      <c r="A89" s="582"/>
      <c r="B89" s="569"/>
      <c r="C89" s="569"/>
      <c r="D89" s="569"/>
      <c r="E89" s="569"/>
      <c r="F89" s="569"/>
      <c r="G89" s="569"/>
      <c r="H89" s="569"/>
      <c r="I89" s="569"/>
      <c r="J89" s="569"/>
      <c r="K89" s="569"/>
      <c r="L89" s="569"/>
      <c r="M89" s="569"/>
      <c r="N89" s="569"/>
      <c r="O89" s="583"/>
      <c r="P89" s="573" t="s">
        <v>75</v>
      </c>
      <c r="Q89" s="574"/>
      <c r="R89" s="574"/>
      <c r="S89" s="574"/>
      <c r="T89" s="574"/>
      <c r="U89" s="574"/>
      <c r="V89" s="575"/>
      <c r="W89" s="37" t="s">
        <v>76</v>
      </c>
      <c r="X89" s="557">
        <f>IFERROR(X85/H85,"0")+IFERROR(X86/H86,"0")+IFERROR(X87/H87,"0")+IFERROR(X88/H88,"0")</f>
        <v>29.888888888888886</v>
      </c>
      <c r="Y89" s="557">
        <f>IFERROR(Y85/H85,"0")+IFERROR(Y86/H86,"0")+IFERROR(Y87/H87,"0")+IFERROR(Y88/H88,"0")</f>
        <v>30</v>
      </c>
      <c r="Z89" s="557">
        <f>IFERROR(IF(Z85="",0,Z85),"0")+IFERROR(IF(Z86="",0,Z86),"0")+IFERROR(IF(Z87="",0,Z87),"0")+IFERROR(IF(Z88="",0,Z88),"0")</f>
        <v>0.41004000000000002</v>
      </c>
      <c r="AA89" s="558"/>
      <c r="AB89" s="558"/>
      <c r="AC89" s="558"/>
    </row>
    <row r="90" spans="1:68" x14ac:dyDescent="0.2">
      <c r="A90" s="569"/>
      <c r="B90" s="569"/>
      <c r="C90" s="569"/>
      <c r="D90" s="569"/>
      <c r="E90" s="569"/>
      <c r="F90" s="569"/>
      <c r="G90" s="569"/>
      <c r="H90" s="569"/>
      <c r="I90" s="569"/>
      <c r="J90" s="569"/>
      <c r="K90" s="569"/>
      <c r="L90" s="569"/>
      <c r="M90" s="569"/>
      <c r="N90" s="569"/>
      <c r="O90" s="583"/>
      <c r="P90" s="573" t="s">
        <v>75</v>
      </c>
      <c r="Q90" s="574"/>
      <c r="R90" s="574"/>
      <c r="S90" s="574"/>
      <c r="T90" s="574"/>
      <c r="U90" s="574"/>
      <c r="V90" s="575"/>
      <c r="W90" s="37" t="s">
        <v>69</v>
      </c>
      <c r="X90" s="557">
        <f>IFERROR(SUM(X85:X88),"0")</f>
        <v>222</v>
      </c>
      <c r="Y90" s="557">
        <f>IFERROR(SUM(Y85:Y88),"0")</f>
        <v>223.20000000000002</v>
      </c>
      <c r="Z90" s="37"/>
      <c r="AA90" s="558"/>
      <c r="AB90" s="558"/>
      <c r="AC90" s="558"/>
    </row>
    <row r="91" spans="1:68" ht="14.25" customHeight="1" x14ac:dyDescent="0.25">
      <c r="A91" s="570" t="s">
        <v>77</v>
      </c>
      <c r="B91" s="569"/>
      <c r="C91" s="569"/>
      <c r="D91" s="569"/>
      <c r="E91" s="569"/>
      <c r="F91" s="569"/>
      <c r="G91" s="569"/>
      <c r="H91" s="569"/>
      <c r="I91" s="569"/>
      <c r="J91" s="569"/>
      <c r="K91" s="569"/>
      <c r="L91" s="569"/>
      <c r="M91" s="569"/>
      <c r="N91" s="569"/>
      <c r="O91" s="569"/>
      <c r="P91" s="569"/>
      <c r="Q91" s="569"/>
      <c r="R91" s="569"/>
      <c r="S91" s="569"/>
      <c r="T91" s="569"/>
      <c r="U91" s="569"/>
      <c r="V91" s="569"/>
      <c r="W91" s="569"/>
      <c r="X91" s="569"/>
      <c r="Y91" s="569"/>
      <c r="Z91" s="569"/>
      <c r="AA91" s="551"/>
      <c r="AB91" s="551"/>
      <c r="AC91" s="551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2">
        <v>4607091386967</v>
      </c>
      <c r="E92" s="563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0"/>
      <c r="R92" s="560"/>
      <c r="S92" s="560"/>
      <c r="T92" s="561"/>
      <c r="U92" s="34"/>
      <c r="V92" s="34"/>
      <c r="W92" s="35" t="s">
        <v>69</v>
      </c>
      <c r="X92" s="555">
        <v>100</v>
      </c>
      <c r="Y92" s="556">
        <f>IFERROR(IF(X92="",0,CEILING((X92/$H92),1)*$H92),"")</f>
        <v>105.3</v>
      </c>
      <c r="Z92" s="36">
        <f>IFERROR(IF(Y92=0,"",ROUNDUP(Y92/H92,0)*0.01898),"")</f>
        <v>0.24674000000000001</v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106.09876543209877</v>
      </c>
      <c r="BN92" s="64">
        <f>IFERROR(Y92*I92/H92,"0")</f>
        <v>111.72199999999999</v>
      </c>
      <c r="BO92" s="64">
        <f>IFERROR(1/J92*(X92/H92),"0")</f>
        <v>0.19290123456790123</v>
      </c>
      <c r="BP92" s="64">
        <f>IFERROR(1/J92*(Y92/H92),"0")</f>
        <v>0.203125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62">
        <v>4680115884953</v>
      </c>
      <c r="E93" s="563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0"/>
      <c r="R93" s="560"/>
      <c r="S93" s="560"/>
      <c r="T93" s="561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62">
        <v>4607091385731</v>
      </c>
      <c r="E94" s="563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0"/>
      <c r="R94" s="560"/>
      <c r="S94" s="560"/>
      <c r="T94" s="561"/>
      <c r="U94" s="34"/>
      <c r="V94" s="34"/>
      <c r="W94" s="35" t="s">
        <v>69</v>
      </c>
      <c r="X94" s="555">
        <v>13.5</v>
      </c>
      <c r="Y94" s="556">
        <f>IFERROR(IF(X94="",0,CEILING((X94/$H94),1)*$H94),"")</f>
        <v>13.5</v>
      </c>
      <c r="Z94" s="36">
        <f>IFERROR(IF(Y94=0,"",ROUNDUP(Y94/H94,0)*0.00651),"")</f>
        <v>3.2550000000000003E-2</v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14.759999999999998</v>
      </c>
      <c r="BN94" s="64">
        <f>IFERROR(Y94*I94/H94,"0")</f>
        <v>14.759999999999998</v>
      </c>
      <c r="BO94" s="64">
        <f>IFERROR(1/J94*(X94/H94),"0")</f>
        <v>2.7472527472527476E-2</v>
      </c>
      <c r="BP94" s="64">
        <f>IFERROR(1/J94*(Y94/H94),"0")</f>
        <v>2.7472527472527476E-2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0"/>
      <c r="R95" s="560"/>
      <c r="S95" s="560"/>
      <c r="T95" s="561"/>
      <c r="U95" s="34"/>
      <c r="V95" s="34"/>
      <c r="W95" s="35" t="s">
        <v>69</v>
      </c>
      <c r="X95" s="555">
        <v>0</v>
      </c>
      <c r="Y95" s="55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9"/>
      <c r="C96" s="569"/>
      <c r="D96" s="569"/>
      <c r="E96" s="569"/>
      <c r="F96" s="569"/>
      <c r="G96" s="569"/>
      <c r="H96" s="569"/>
      <c r="I96" s="569"/>
      <c r="J96" s="569"/>
      <c r="K96" s="569"/>
      <c r="L96" s="569"/>
      <c r="M96" s="569"/>
      <c r="N96" s="569"/>
      <c r="O96" s="583"/>
      <c r="P96" s="573" t="s">
        <v>75</v>
      </c>
      <c r="Q96" s="574"/>
      <c r="R96" s="574"/>
      <c r="S96" s="574"/>
      <c r="T96" s="574"/>
      <c r="U96" s="574"/>
      <c r="V96" s="575"/>
      <c r="W96" s="37" t="s">
        <v>76</v>
      </c>
      <c r="X96" s="557">
        <f>IFERROR(X92/H92,"0")+IFERROR(X93/H93,"0")+IFERROR(X94/H94,"0")+IFERROR(X95/H95,"0")</f>
        <v>17.345679012345677</v>
      </c>
      <c r="Y96" s="557">
        <f>IFERROR(Y92/H92,"0")+IFERROR(Y93/H93,"0")+IFERROR(Y94/H94,"0")+IFERROR(Y95/H95,"0")</f>
        <v>18</v>
      </c>
      <c r="Z96" s="557">
        <f>IFERROR(IF(Z92="",0,Z92),"0")+IFERROR(IF(Z93="",0,Z93),"0")+IFERROR(IF(Z94="",0,Z94),"0")+IFERROR(IF(Z95="",0,Z95),"0")</f>
        <v>0.27929000000000004</v>
      </c>
      <c r="AA96" s="558"/>
      <c r="AB96" s="558"/>
      <c r="AC96" s="558"/>
    </row>
    <row r="97" spans="1:68" x14ac:dyDescent="0.2">
      <c r="A97" s="569"/>
      <c r="B97" s="569"/>
      <c r="C97" s="569"/>
      <c r="D97" s="569"/>
      <c r="E97" s="569"/>
      <c r="F97" s="569"/>
      <c r="G97" s="569"/>
      <c r="H97" s="569"/>
      <c r="I97" s="569"/>
      <c r="J97" s="569"/>
      <c r="K97" s="569"/>
      <c r="L97" s="569"/>
      <c r="M97" s="569"/>
      <c r="N97" s="569"/>
      <c r="O97" s="583"/>
      <c r="P97" s="573" t="s">
        <v>75</v>
      </c>
      <c r="Q97" s="574"/>
      <c r="R97" s="574"/>
      <c r="S97" s="574"/>
      <c r="T97" s="574"/>
      <c r="U97" s="574"/>
      <c r="V97" s="575"/>
      <c r="W97" s="37" t="s">
        <v>69</v>
      </c>
      <c r="X97" s="557">
        <f>IFERROR(SUM(X92:X95),"0")</f>
        <v>113.5</v>
      </c>
      <c r="Y97" s="557">
        <f>IFERROR(SUM(Y92:Y95),"0")</f>
        <v>118.8</v>
      </c>
      <c r="Z97" s="37"/>
      <c r="AA97" s="558"/>
      <c r="AB97" s="558"/>
      <c r="AC97" s="558"/>
    </row>
    <row r="98" spans="1:68" ht="16.5" customHeight="1" x14ac:dyDescent="0.25">
      <c r="A98" s="568" t="s">
        <v>192</v>
      </c>
      <c r="B98" s="569"/>
      <c r="C98" s="569"/>
      <c r="D98" s="569"/>
      <c r="E98" s="569"/>
      <c r="F98" s="569"/>
      <c r="G98" s="569"/>
      <c r="H98" s="569"/>
      <c r="I98" s="569"/>
      <c r="J98" s="569"/>
      <c r="K98" s="569"/>
      <c r="L98" s="569"/>
      <c r="M98" s="569"/>
      <c r="N98" s="569"/>
      <c r="O98" s="569"/>
      <c r="P98" s="569"/>
      <c r="Q98" s="569"/>
      <c r="R98" s="569"/>
      <c r="S98" s="569"/>
      <c r="T98" s="569"/>
      <c r="U98" s="569"/>
      <c r="V98" s="569"/>
      <c r="W98" s="569"/>
      <c r="X98" s="569"/>
      <c r="Y98" s="569"/>
      <c r="Z98" s="569"/>
      <c r="AA98" s="550"/>
      <c r="AB98" s="550"/>
      <c r="AC98" s="550"/>
    </row>
    <row r="99" spans="1:68" ht="14.25" customHeight="1" x14ac:dyDescent="0.25">
      <c r="A99" s="570" t="s">
        <v>103</v>
      </c>
      <c r="B99" s="569"/>
      <c r="C99" s="569"/>
      <c r="D99" s="569"/>
      <c r="E99" s="569"/>
      <c r="F99" s="569"/>
      <c r="G99" s="569"/>
      <c r="H99" s="569"/>
      <c r="I99" s="569"/>
      <c r="J99" s="569"/>
      <c r="K99" s="569"/>
      <c r="L99" s="569"/>
      <c r="M99" s="569"/>
      <c r="N99" s="569"/>
      <c r="O99" s="569"/>
      <c r="P99" s="569"/>
      <c r="Q99" s="569"/>
      <c r="R99" s="569"/>
      <c r="S99" s="569"/>
      <c r="T99" s="569"/>
      <c r="U99" s="569"/>
      <c r="V99" s="569"/>
      <c r="W99" s="569"/>
      <c r="X99" s="569"/>
      <c r="Y99" s="569"/>
      <c r="Z99" s="569"/>
      <c r="AA99" s="551"/>
      <c r="AB99" s="551"/>
      <c r="AC99" s="551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0"/>
      <c r="R100" s="560"/>
      <c r="S100" s="560"/>
      <c r="T100" s="561"/>
      <c r="U100" s="34"/>
      <c r="V100" s="34"/>
      <c r="W100" s="35" t="s">
        <v>69</v>
      </c>
      <c r="X100" s="555">
        <v>0</v>
      </c>
      <c r="Y100" s="55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2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0"/>
      <c r="R101" s="560"/>
      <c r="S101" s="560"/>
      <c r="T101" s="561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3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0"/>
      <c r="R102" s="560"/>
      <c r="S102" s="560"/>
      <c r="T102" s="561"/>
      <c r="U102" s="34"/>
      <c r="V102" s="34"/>
      <c r="W102" s="35" t="s">
        <v>69</v>
      </c>
      <c r="X102" s="555">
        <v>3.75</v>
      </c>
      <c r="Y102" s="556">
        <f>IFERROR(IF(X102="",0,CEILING((X102/$H102),1)*$H102),"")</f>
        <v>3.75</v>
      </c>
      <c r="Z102" s="36">
        <f>IFERROR(IF(Y102=0,"",ROUNDUP(Y102/H102,0)*0.00902),"")</f>
        <v>9.0200000000000002E-3</v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3.94</v>
      </c>
      <c r="BN102" s="64">
        <f>IFERROR(Y102*I102/H102,"0")</f>
        <v>3.94</v>
      </c>
      <c r="BO102" s="64">
        <f>IFERROR(1/J102*(X102/H102),"0")</f>
        <v>7.575757575757576E-3</v>
      </c>
      <c r="BP102" s="64">
        <f>IFERROR(1/J102*(Y102/H102),"0")</f>
        <v>7.575757575757576E-3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0"/>
      <c r="R103" s="560"/>
      <c r="S103" s="560"/>
      <c r="T103" s="561"/>
      <c r="U103" s="34"/>
      <c r="V103" s="34"/>
      <c r="W103" s="35" t="s">
        <v>69</v>
      </c>
      <c r="X103" s="555">
        <v>0</v>
      </c>
      <c r="Y103" s="55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0"/>
      <c r="R104" s="560"/>
      <c r="S104" s="560"/>
      <c r="T104" s="561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9"/>
      <c r="C105" s="569"/>
      <c r="D105" s="569"/>
      <c r="E105" s="569"/>
      <c r="F105" s="569"/>
      <c r="G105" s="569"/>
      <c r="H105" s="569"/>
      <c r="I105" s="569"/>
      <c r="J105" s="569"/>
      <c r="K105" s="569"/>
      <c r="L105" s="569"/>
      <c r="M105" s="569"/>
      <c r="N105" s="569"/>
      <c r="O105" s="583"/>
      <c r="P105" s="573" t="s">
        <v>75</v>
      </c>
      <c r="Q105" s="574"/>
      <c r="R105" s="574"/>
      <c r="S105" s="574"/>
      <c r="T105" s="574"/>
      <c r="U105" s="574"/>
      <c r="V105" s="575"/>
      <c r="W105" s="37" t="s">
        <v>76</v>
      </c>
      <c r="X105" s="557">
        <f>IFERROR(X100/H100,"0")+IFERROR(X101/H101,"0")+IFERROR(X102/H102,"0")+IFERROR(X103/H103,"0")+IFERROR(X104/H104,"0")</f>
        <v>1</v>
      </c>
      <c r="Y105" s="557">
        <f>IFERROR(Y100/H100,"0")+IFERROR(Y101/H101,"0")+IFERROR(Y102/H102,"0")+IFERROR(Y103/H103,"0")+IFERROR(Y104/H104,"0")</f>
        <v>1</v>
      </c>
      <c r="Z105" s="557">
        <f>IFERROR(IF(Z100="",0,Z100),"0")+IFERROR(IF(Z101="",0,Z101),"0")+IFERROR(IF(Z102="",0,Z102),"0")+IFERROR(IF(Z103="",0,Z103),"0")+IFERROR(IF(Z104="",0,Z104),"0")</f>
        <v>9.0200000000000002E-3</v>
      </c>
      <c r="AA105" s="558"/>
      <c r="AB105" s="558"/>
      <c r="AC105" s="558"/>
    </row>
    <row r="106" spans="1:68" x14ac:dyDescent="0.2">
      <c r="A106" s="569"/>
      <c r="B106" s="569"/>
      <c r="C106" s="569"/>
      <c r="D106" s="569"/>
      <c r="E106" s="569"/>
      <c r="F106" s="569"/>
      <c r="G106" s="569"/>
      <c r="H106" s="569"/>
      <c r="I106" s="569"/>
      <c r="J106" s="569"/>
      <c r="K106" s="569"/>
      <c r="L106" s="569"/>
      <c r="M106" s="569"/>
      <c r="N106" s="569"/>
      <c r="O106" s="583"/>
      <c r="P106" s="573" t="s">
        <v>75</v>
      </c>
      <c r="Q106" s="574"/>
      <c r="R106" s="574"/>
      <c r="S106" s="574"/>
      <c r="T106" s="574"/>
      <c r="U106" s="574"/>
      <c r="V106" s="575"/>
      <c r="W106" s="37" t="s">
        <v>69</v>
      </c>
      <c r="X106" s="557">
        <f>IFERROR(SUM(X100:X104),"0")</f>
        <v>3.75</v>
      </c>
      <c r="Y106" s="557">
        <f>IFERROR(SUM(Y100:Y104),"0")</f>
        <v>3.75</v>
      </c>
      <c r="Z106" s="37"/>
      <c r="AA106" s="558"/>
      <c r="AB106" s="558"/>
      <c r="AC106" s="558"/>
    </row>
    <row r="107" spans="1:68" ht="14.25" customHeight="1" x14ac:dyDescent="0.25">
      <c r="A107" s="570" t="s">
        <v>138</v>
      </c>
      <c r="B107" s="569"/>
      <c r="C107" s="569"/>
      <c r="D107" s="569"/>
      <c r="E107" s="569"/>
      <c r="F107" s="569"/>
      <c r="G107" s="569"/>
      <c r="H107" s="569"/>
      <c r="I107" s="569"/>
      <c r="J107" s="569"/>
      <c r="K107" s="569"/>
      <c r="L107" s="569"/>
      <c r="M107" s="569"/>
      <c r="N107" s="569"/>
      <c r="O107" s="569"/>
      <c r="P107" s="569"/>
      <c r="Q107" s="569"/>
      <c r="R107" s="569"/>
      <c r="S107" s="569"/>
      <c r="T107" s="569"/>
      <c r="U107" s="569"/>
      <c r="V107" s="569"/>
      <c r="W107" s="569"/>
      <c r="X107" s="569"/>
      <c r="Y107" s="569"/>
      <c r="Z107" s="569"/>
      <c r="AA107" s="551"/>
      <c r="AB107" s="551"/>
      <c r="AC107" s="551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0"/>
      <c r="R108" s="560"/>
      <c r="S108" s="560"/>
      <c r="T108" s="561"/>
      <c r="U108" s="34"/>
      <c r="V108" s="34"/>
      <c r="W108" s="35" t="s">
        <v>69</v>
      </c>
      <c r="X108" s="555">
        <v>0</v>
      </c>
      <c r="Y108" s="556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0"/>
      <c r="R109" s="560"/>
      <c r="S109" s="560"/>
      <c r="T109" s="561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0"/>
      <c r="R110" s="560"/>
      <c r="S110" s="560"/>
      <c r="T110" s="561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81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0"/>
      <c r="R111" s="560"/>
      <c r="S111" s="560"/>
      <c r="T111" s="561"/>
      <c r="U111" s="34"/>
      <c r="V111" s="34"/>
      <c r="W111" s="35" t="s">
        <v>69</v>
      </c>
      <c r="X111" s="555">
        <v>0</v>
      </c>
      <c r="Y111" s="556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9"/>
      <c r="C112" s="569"/>
      <c r="D112" s="569"/>
      <c r="E112" s="569"/>
      <c r="F112" s="569"/>
      <c r="G112" s="569"/>
      <c r="H112" s="569"/>
      <c r="I112" s="569"/>
      <c r="J112" s="569"/>
      <c r="K112" s="569"/>
      <c r="L112" s="569"/>
      <c r="M112" s="569"/>
      <c r="N112" s="569"/>
      <c r="O112" s="583"/>
      <c r="P112" s="573" t="s">
        <v>75</v>
      </c>
      <c r="Q112" s="574"/>
      <c r="R112" s="574"/>
      <c r="S112" s="574"/>
      <c r="T112" s="574"/>
      <c r="U112" s="574"/>
      <c r="V112" s="575"/>
      <c r="W112" s="37" t="s">
        <v>76</v>
      </c>
      <c r="X112" s="557">
        <f>IFERROR(X108/H108,"0")+IFERROR(X109/H109,"0")+IFERROR(X110/H110,"0")+IFERROR(X111/H111,"0")</f>
        <v>0</v>
      </c>
      <c r="Y112" s="557">
        <f>IFERROR(Y108/H108,"0")+IFERROR(Y109/H109,"0")+IFERROR(Y110/H110,"0")+IFERROR(Y111/H111,"0")</f>
        <v>0</v>
      </c>
      <c r="Z112" s="557">
        <f>IFERROR(IF(Z108="",0,Z108),"0")+IFERROR(IF(Z109="",0,Z109),"0")+IFERROR(IF(Z110="",0,Z110),"0")+IFERROR(IF(Z111="",0,Z111),"0")</f>
        <v>0</v>
      </c>
      <c r="AA112" s="558"/>
      <c r="AB112" s="558"/>
      <c r="AC112" s="558"/>
    </row>
    <row r="113" spans="1:68" x14ac:dyDescent="0.2">
      <c r="A113" s="569"/>
      <c r="B113" s="569"/>
      <c r="C113" s="569"/>
      <c r="D113" s="569"/>
      <c r="E113" s="569"/>
      <c r="F113" s="569"/>
      <c r="G113" s="569"/>
      <c r="H113" s="569"/>
      <c r="I113" s="569"/>
      <c r="J113" s="569"/>
      <c r="K113" s="569"/>
      <c r="L113" s="569"/>
      <c r="M113" s="569"/>
      <c r="N113" s="569"/>
      <c r="O113" s="583"/>
      <c r="P113" s="573" t="s">
        <v>75</v>
      </c>
      <c r="Q113" s="574"/>
      <c r="R113" s="574"/>
      <c r="S113" s="574"/>
      <c r="T113" s="574"/>
      <c r="U113" s="574"/>
      <c r="V113" s="575"/>
      <c r="W113" s="37" t="s">
        <v>69</v>
      </c>
      <c r="X113" s="557">
        <f>IFERROR(SUM(X108:X111),"0")</f>
        <v>0</v>
      </c>
      <c r="Y113" s="557">
        <f>IFERROR(SUM(Y108:Y111),"0")</f>
        <v>0</v>
      </c>
      <c r="Z113" s="37"/>
      <c r="AA113" s="558"/>
      <c r="AB113" s="558"/>
      <c r="AC113" s="558"/>
    </row>
    <row r="114" spans="1:68" ht="14.25" customHeight="1" x14ac:dyDescent="0.25">
      <c r="A114" s="570" t="s">
        <v>77</v>
      </c>
      <c r="B114" s="569"/>
      <c r="C114" s="569"/>
      <c r="D114" s="569"/>
      <c r="E114" s="569"/>
      <c r="F114" s="569"/>
      <c r="G114" s="569"/>
      <c r="H114" s="569"/>
      <c r="I114" s="569"/>
      <c r="J114" s="569"/>
      <c r="K114" s="569"/>
      <c r="L114" s="569"/>
      <c r="M114" s="569"/>
      <c r="N114" s="569"/>
      <c r="O114" s="569"/>
      <c r="P114" s="569"/>
      <c r="Q114" s="569"/>
      <c r="R114" s="569"/>
      <c r="S114" s="569"/>
      <c r="T114" s="569"/>
      <c r="U114" s="569"/>
      <c r="V114" s="569"/>
      <c r="W114" s="569"/>
      <c r="X114" s="569"/>
      <c r="Y114" s="569"/>
      <c r="Z114" s="569"/>
      <c r="AA114" s="551"/>
      <c r="AB114" s="551"/>
      <c r="AC114" s="551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5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0"/>
      <c r="R115" s="560"/>
      <c r="S115" s="560"/>
      <c r="T115" s="561"/>
      <c r="U115" s="34"/>
      <c r="V115" s="34"/>
      <c r="W115" s="35" t="s">
        <v>69</v>
      </c>
      <c r="X115" s="555">
        <v>55</v>
      </c>
      <c r="Y115" s="556">
        <f>IFERROR(IF(X115="",0,CEILING((X115/$H115),1)*$H115),"")</f>
        <v>56.699999999999996</v>
      </c>
      <c r="Z115" s="36">
        <f>IFERROR(IF(Y115=0,"",ROUNDUP(Y115/H115,0)*0.01898),"")</f>
        <v>0.13286000000000001</v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58.313580246913581</v>
      </c>
      <c r="BN115" s="64">
        <f>IFERROR(Y115*I115/H115,"0")</f>
        <v>60.115999999999993</v>
      </c>
      <c r="BO115" s="64">
        <f>IFERROR(1/J115*(X115/H115),"0")</f>
        <v>0.10609567901234568</v>
      </c>
      <c r="BP115" s="64">
        <f>IFERROR(1/J115*(Y115/H115),"0")</f>
        <v>0.109375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0"/>
      <c r="R116" s="560"/>
      <c r="S116" s="560"/>
      <c r="T116" s="561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0"/>
      <c r="R117" s="560"/>
      <c r="S117" s="560"/>
      <c r="T117" s="561"/>
      <c r="U117" s="34"/>
      <c r="V117" s="34"/>
      <c r="W117" s="35" t="s">
        <v>69</v>
      </c>
      <c r="X117" s="555">
        <v>23.4</v>
      </c>
      <c r="Y117" s="556">
        <f>IFERROR(IF(X117="",0,CEILING((X117/$H117),1)*$H117),"")</f>
        <v>24.3</v>
      </c>
      <c r="Z117" s="36">
        <f>IFERROR(IF(Y117=0,"",ROUNDUP(Y117/H117,0)*0.00651),"")</f>
        <v>5.8590000000000003E-2</v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25.583999999999996</v>
      </c>
      <c r="BN117" s="64">
        <f>IFERROR(Y117*I117/H117,"0")</f>
        <v>26.567999999999998</v>
      </c>
      <c r="BO117" s="64">
        <f>IFERROR(1/J117*(X117/H117),"0")</f>
        <v>4.7619047619047616E-2</v>
      </c>
      <c r="BP117" s="64">
        <f>IFERROR(1/J117*(Y117/H117),"0")</f>
        <v>4.9450549450549455E-2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0"/>
      <c r="R118" s="560"/>
      <c r="S118" s="560"/>
      <c r="T118" s="561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9"/>
      <c r="C119" s="569"/>
      <c r="D119" s="569"/>
      <c r="E119" s="569"/>
      <c r="F119" s="569"/>
      <c r="G119" s="569"/>
      <c r="H119" s="569"/>
      <c r="I119" s="569"/>
      <c r="J119" s="569"/>
      <c r="K119" s="569"/>
      <c r="L119" s="569"/>
      <c r="M119" s="569"/>
      <c r="N119" s="569"/>
      <c r="O119" s="583"/>
      <c r="P119" s="573" t="s">
        <v>75</v>
      </c>
      <c r="Q119" s="574"/>
      <c r="R119" s="574"/>
      <c r="S119" s="574"/>
      <c r="T119" s="574"/>
      <c r="U119" s="574"/>
      <c r="V119" s="575"/>
      <c r="W119" s="37" t="s">
        <v>76</v>
      </c>
      <c r="X119" s="557">
        <f>IFERROR(X115/H115,"0")+IFERROR(X116/H116,"0")+IFERROR(X117/H117,"0")+IFERROR(X118/H118,"0")</f>
        <v>15.456790123456789</v>
      </c>
      <c r="Y119" s="557">
        <f>IFERROR(Y115/H115,"0")+IFERROR(Y116/H116,"0")+IFERROR(Y117/H117,"0")+IFERROR(Y118/H118,"0")</f>
        <v>16</v>
      </c>
      <c r="Z119" s="557">
        <f>IFERROR(IF(Z115="",0,Z115),"0")+IFERROR(IF(Z116="",0,Z116),"0")+IFERROR(IF(Z117="",0,Z117),"0")+IFERROR(IF(Z118="",0,Z118),"0")</f>
        <v>0.19145000000000001</v>
      </c>
      <c r="AA119" s="558"/>
      <c r="AB119" s="558"/>
      <c r="AC119" s="558"/>
    </row>
    <row r="120" spans="1:68" x14ac:dyDescent="0.2">
      <c r="A120" s="569"/>
      <c r="B120" s="569"/>
      <c r="C120" s="569"/>
      <c r="D120" s="569"/>
      <c r="E120" s="569"/>
      <c r="F120" s="569"/>
      <c r="G120" s="569"/>
      <c r="H120" s="569"/>
      <c r="I120" s="569"/>
      <c r="J120" s="569"/>
      <c r="K120" s="569"/>
      <c r="L120" s="569"/>
      <c r="M120" s="569"/>
      <c r="N120" s="569"/>
      <c r="O120" s="583"/>
      <c r="P120" s="573" t="s">
        <v>75</v>
      </c>
      <c r="Q120" s="574"/>
      <c r="R120" s="574"/>
      <c r="S120" s="574"/>
      <c r="T120" s="574"/>
      <c r="U120" s="574"/>
      <c r="V120" s="575"/>
      <c r="W120" s="37" t="s">
        <v>69</v>
      </c>
      <c r="X120" s="557">
        <f>IFERROR(SUM(X115:X118),"0")</f>
        <v>78.400000000000006</v>
      </c>
      <c r="Y120" s="557">
        <f>IFERROR(SUM(Y115:Y118),"0")</f>
        <v>81</v>
      </c>
      <c r="Z120" s="37"/>
      <c r="AA120" s="558"/>
      <c r="AB120" s="558"/>
      <c r="AC120" s="558"/>
    </row>
    <row r="121" spans="1:68" ht="14.25" customHeight="1" x14ac:dyDescent="0.25">
      <c r="A121" s="570" t="s">
        <v>163</v>
      </c>
      <c r="B121" s="569"/>
      <c r="C121" s="569"/>
      <c r="D121" s="569"/>
      <c r="E121" s="569"/>
      <c r="F121" s="569"/>
      <c r="G121" s="569"/>
      <c r="H121" s="569"/>
      <c r="I121" s="569"/>
      <c r="J121" s="569"/>
      <c r="K121" s="569"/>
      <c r="L121" s="569"/>
      <c r="M121" s="569"/>
      <c r="N121" s="569"/>
      <c r="O121" s="569"/>
      <c r="P121" s="569"/>
      <c r="Q121" s="569"/>
      <c r="R121" s="569"/>
      <c r="S121" s="569"/>
      <c r="T121" s="569"/>
      <c r="U121" s="569"/>
      <c r="V121" s="569"/>
      <c r="W121" s="569"/>
      <c r="X121" s="569"/>
      <c r="Y121" s="569"/>
      <c r="Z121" s="569"/>
      <c r="AA121" s="551"/>
      <c r="AB121" s="551"/>
      <c r="AC121" s="551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0"/>
      <c r="R122" s="560"/>
      <c r="S122" s="560"/>
      <c r="T122" s="561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9"/>
      <c r="C123" s="569"/>
      <c r="D123" s="569"/>
      <c r="E123" s="569"/>
      <c r="F123" s="569"/>
      <c r="G123" s="569"/>
      <c r="H123" s="569"/>
      <c r="I123" s="569"/>
      <c r="J123" s="569"/>
      <c r="K123" s="569"/>
      <c r="L123" s="569"/>
      <c r="M123" s="569"/>
      <c r="N123" s="569"/>
      <c r="O123" s="583"/>
      <c r="P123" s="573" t="s">
        <v>75</v>
      </c>
      <c r="Q123" s="574"/>
      <c r="R123" s="574"/>
      <c r="S123" s="574"/>
      <c r="T123" s="574"/>
      <c r="U123" s="574"/>
      <c r="V123" s="575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x14ac:dyDescent="0.2">
      <c r="A124" s="569"/>
      <c r="B124" s="569"/>
      <c r="C124" s="569"/>
      <c r="D124" s="569"/>
      <c r="E124" s="569"/>
      <c r="F124" s="569"/>
      <c r="G124" s="569"/>
      <c r="H124" s="569"/>
      <c r="I124" s="569"/>
      <c r="J124" s="569"/>
      <c r="K124" s="569"/>
      <c r="L124" s="569"/>
      <c r="M124" s="569"/>
      <c r="N124" s="569"/>
      <c r="O124" s="583"/>
      <c r="P124" s="573" t="s">
        <v>75</v>
      </c>
      <c r="Q124" s="574"/>
      <c r="R124" s="574"/>
      <c r="S124" s="574"/>
      <c r="T124" s="574"/>
      <c r="U124" s="574"/>
      <c r="V124" s="575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customHeight="1" x14ac:dyDescent="0.25">
      <c r="A125" s="568" t="s">
        <v>229</v>
      </c>
      <c r="B125" s="569"/>
      <c r="C125" s="569"/>
      <c r="D125" s="569"/>
      <c r="E125" s="569"/>
      <c r="F125" s="569"/>
      <c r="G125" s="569"/>
      <c r="H125" s="569"/>
      <c r="I125" s="569"/>
      <c r="J125" s="569"/>
      <c r="K125" s="569"/>
      <c r="L125" s="569"/>
      <c r="M125" s="569"/>
      <c r="N125" s="569"/>
      <c r="O125" s="569"/>
      <c r="P125" s="569"/>
      <c r="Q125" s="569"/>
      <c r="R125" s="569"/>
      <c r="S125" s="569"/>
      <c r="T125" s="569"/>
      <c r="U125" s="569"/>
      <c r="V125" s="569"/>
      <c r="W125" s="569"/>
      <c r="X125" s="569"/>
      <c r="Y125" s="569"/>
      <c r="Z125" s="569"/>
      <c r="AA125" s="550"/>
      <c r="AB125" s="550"/>
      <c r="AC125" s="550"/>
    </row>
    <row r="126" spans="1:68" ht="14.25" customHeight="1" x14ac:dyDescent="0.25">
      <c r="A126" s="570" t="s">
        <v>103</v>
      </c>
      <c r="B126" s="569"/>
      <c r="C126" s="569"/>
      <c r="D126" s="569"/>
      <c r="E126" s="569"/>
      <c r="F126" s="569"/>
      <c r="G126" s="569"/>
      <c r="H126" s="569"/>
      <c r="I126" s="569"/>
      <c r="J126" s="569"/>
      <c r="K126" s="569"/>
      <c r="L126" s="569"/>
      <c r="M126" s="569"/>
      <c r="N126" s="569"/>
      <c r="O126" s="569"/>
      <c r="P126" s="569"/>
      <c r="Q126" s="569"/>
      <c r="R126" s="569"/>
      <c r="S126" s="569"/>
      <c r="T126" s="569"/>
      <c r="U126" s="569"/>
      <c r="V126" s="569"/>
      <c r="W126" s="569"/>
      <c r="X126" s="569"/>
      <c r="Y126" s="569"/>
      <c r="Z126" s="569"/>
      <c r="AA126" s="551"/>
      <c r="AB126" s="551"/>
      <c r="AC126" s="551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0"/>
      <c r="R127" s="560"/>
      <c r="S127" s="560"/>
      <c r="T127" s="561"/>
      <c r="U127" s="34"/>
      <c r="V127" s="34"/>
      <c r="W127" s="35" t="s">
        <v>69</v>
      </c>
      <c r="X127" s="555">
        <v>14.4</v>
      </c>
      <c r="Y127" s="556">
        <f>IFERROR(IF(X127="",0,CEILING((X127/$H127),1)*$H127),"")</f>
        <v>16</v>
      </c>
      <c r="Z127" s="36">
        <f>IFERROR(IF(Y127=0,"",ROUNDUP(Y127/H127,0)*0.00651),"")</f>
        <v>3.2550000000000003E-2</v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15.209999999999999</v>
      </c>
      <c r="BN127" s="64">
        <f>IFERROR(Y127*I127/H127,"0")</f>
        <v>16.899999999999999</v>
      </c>
      <c r="BO127" s="64">
        <f>IFERROR(1/J127*(X127/H127),"0")</f>
        <v>2.4725274725274728E-2</v>
      </c>
      <c r="BP127" s="64">
        <f>IFERROR(1/J127*(Y127/H127),"0")</f>
        <v>2.7472527472527476E-2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0"/>
      <c r="R128" s="560"/>
      <c r="S128" s="560"/>
      <c r="T128" s="561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9"/>
      <c r="C129" s="569"/>
      <c r="D129" s="569"/>
      <c r="E129" s="569"/>
      <c r="F129" s="569"/>
      <c r="G129" s="569"/>
      <c r="H129" s="569"/>
      <c r="I129" s="569"/>
      <c r="J129" s="569"/>
      <c r="K129" s="569"/>
      <c r="L129" s="569"/>
      <c r="M129" s="569"/>
      <c r="N129" s="569"/>
      <c r="O129" s="583"/>
      <c r="P129" s="573" t="s">
        <v>75</v>
      </c>
      <c r="Q129" s="574"/>
      <c r="R129" s="574"/>
      <c r="S129" s="574"/>
      <c r="T129" s="574"/>
      <c r="U129" s="574"/>
      <c r="V129" s="575"/>
      <c r="W129" s="37" t="s">
        <v>76</v>
      </c>
      <c r="X129" s="557">
        <f>IFERROR(X127/H127,"0")+IFERROR(X128/H128,"0")</f>
        <v>4.5</v>
      </c>
      <c r="Y129" s="557">
        <f>IFERROR(Y127/H127,"0")+IFERROR(Y128/H128,"0")</f>
        <v>5</v>
      </c>
      <c r="Z129" s="557">
        <f>IFERROR(IF(Z127="",0,Z127),"0")+IFERROR(IF(Z128="",0,Z128),"0")</f>
        <v>3.2550000000000003E-2</v>
      </c>
      <c r="AA129" s="558"/>
      <c r="AB129" s="558"/>
      <c r="AC129" s="558"/>
    </row>
    <row r="130" spans="1:68" x14ac:dyDescent="0.2">
      <c r="A130" s="569"/>
      <c r="B130" s="569"/>
      <c r="C130" s="569"/>
      <c r="D130" s="569"/>
      <c r="E130" s="569"/>
      <c r="F130" s="569"/>
      <c r="G130" s="569"/>
      <c r="H130" s="569"/>
      <c r="I130" s="569"/>
      <c r="J130" s="569"/>
      <c r="K130" s="569"/>
      <c r="L130" s="569"/>
      <c r="M130" s="569"/>
      <c r="N130" s="569"/>
      <c r="O130" s="583"/>
      <c r="P130" s="573" t="s">
        <v>75</v>
      </c>
      <c r="Q130" s="574"/>
      <c r="R130" s="574"/>
      <c r="S130" s="574"/>
      <c r="T130" s="574"/>
      <c r="U130" s="574"/>
      <c r="V130" s="575"/>
      <c r="W130" s="37" t="s">
        <v>69</v>
      </c>
      <c r="X130" s="557">
        <f>IFERROR(SUM(X127:X128),"0")</f>
        <v>14.4</v>
      </c>
      <c r="Y130" s="557">
        <f>IFERROR(SUM(Y127:Y128),"0")</f>
        <v>16</v>
      </c>
      <c r="Z130" s="37"/>
      <c r="AA130" s="558"/>
      <c r="AB130" s="558"/>
      <c r="AC130" s="558"/>
    </row>
    <row r="131" spans="1:68" ht="14.25" customHeight="1" x14ac:dyDescent="0.25">
      <c r="A131" s="570" t="s">
        <v>64</v>
      </c>
      <c r="B131" s="569"/>
      <c r="C131" s="569"/>
      <c r="D131" s="569"/>
      <c r="E131" s="569"/>
      <c r="F131" s="569"/>
      <c r="G131" s="569"/>
      <c r="H131" s="569"/>
      <c r="I131" s="569"/>
      <c r="J131" s="569"/>
      <c r="K131" s="569"/>
      <c r="L131" s="569"/>
      <c r="M131" s="569"/>
      <c r="N131" s="569"/>
      <c r="O131" s="569"/>
      <c r="P131" s="569"/>
      <c r="Q131" s="569"/>
      <c r="R131" s="569"/>
      <c r="S131" s="569"/>
      <c r="T131" s="569"/>
      <c r="U131" s="569"/>
      <c r="V131" s="569"/>
      <c r="W131" s="569"/>
      <c r="X131" s="569"/>
      <c r="Y131" s="569"/>
      <c r="Z131" s="569"/>
      <c r="AA131" s="551"/>
      <c r="AB131" s="551"/>
      <c r="AC131" s="551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1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0"/>
      <c r="R132" s="560"/>
      <c r="S132" s="560"/>
      <c r="T132" s="561"/>
      <c r="U132" s="34"/>
      <c r="V132" s="34"/>
      <c r="W132" s="35" t="s">
        <v>69</v>
      </c>
      <c r="X132" s="555">
        <v>0</v>
      </c>
      <c r="Y132" s="55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0"/>
      <c r="R133" s="560"/>
      <c r="S133" s="560"/>
      <c r="T133" s="561"/>
      <c r="U133" s="34"/>
      <c r="V133" s="34"/>
      <c r="W133" s="35" t="s">
        <v>69</v>
      </c>
      <c r="X133" s="555">
        <v>7</v>
      </c>
      <c r="Y133" s="556">
        <f>IFERROR(IF(X133="",0,CEILING((X133/$H133),1)*$H133),"")</f>
        <v>8.3999999999999986</v>
      </c>
      <c r="Z133" s="36">
        <f>IFERROR(IF(Y133=0,"",ROUNDUP(Y133/H133,0)*0.00651),"")</f>
        <v>1.9529999999999999E-2</v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7.67</v>
      </c>
      <c r="BN133" s="64">
        <f>IFERROR(Y133*I133/H133,"0")</f>
        <v>9.2039999999999988</v>
      </c>
      <c r="BO133" s="64">
        <f>IFERROR(1/J133*(X133/H133),"0")</f>
        <v>1.3736263736263738E-2</v>
      </c>
      <c r="BP133" s="64">
        <f>IFERROR(1/J133*(Y133/H133),"0")</f>
        <v>1.6483516483516484E-2</v>
      </c>
    </row>
    <row r="134" spans="1:68" x14ac:dyDescent="0.2">
      <c r="A134" s="582"/>
      <c r="B134" s="569"/>
      <c r="C134" s="569"/>
      <c r="D134" s="569"/>
      <c r="E134" s="569"/>
      <c r="F134" s="569"/>
      <c r="G134" s="569"/>
      <c r="H134" s="569"/>
      <c r="I134" s="569"/>
      <c r="J134" s="569"/>
      <c r="K134" s="569"/>
      <c r="L134" s="569"/>
      <c r="M134" s="569"/>
      <c r="N134" s="569"/>
      <c r="O134" s="583"/>
      <c r="P134" s="573" t="s">
        <v>75</v>
      </c>
      <c r="Q134" s="574"/>
      <c r="R134" s="574"/>
      <c r="S134" s="574"/>
      <c r="T134" s="574"/>
      <c r="U134" s="574"/>
      <c r="V134" s="575"/>
      <c r="W134" s="37" t="s">
        <v>76</v>
      </c>
      <c r="X134" s="557">
        <f>IFERROR(X132/H132,"0")+IFERROR(X133/H133,"0")</f>
        <v>2.5</v>
      </c>
      <c r="Y134" s="557">
        <f>IFERROR(Y132/H132,"0")+IFERROR(Y133/H133,"0")</f>
        <v>2.9999999999999996</v>
      </c>
      <c r="Z134" s="557">
        <f>IFERROR(IF(Z132="",0,Z132),"0")+IFERROR(IF(Z133="",0,Z133),"0")</f>
        <v>1.9529999999999999E-2</v>
      </c>
      <c r="AA134" s="558"/>
      <c r="AB134" s="558"/>
      <c r="AC134" s="558"/>
    </row>
    <row r="135" spans="1:68" x14ac:dyDescent="0.2">
      <c r="A135" s="569"/>
      <c r="B135" s="569"/>
      <c r="C135" s="569"/>
      <c r="D135" s="569"/>
      <c r="E135" s="569"/>
      <c r="F135" s="569"/>
      <c r="G135" s="569"/>
      <c r="H135" s="569"/>
      <c r="I135" s="569"/>
      <c r="J135" s="569"/>
      <c r="K135" s="569"/>
      <c r="L135" s="569"/>
      <c r="M135" s="569"/>
      <c r="N135" s="569"/>
      <c r="O135" s="583"/>
      <c r="P135" s="573" t="s">
        <v>75</v>
      </c>
      <c r="Q135" s="574"/>
      <c r="R135" s="574"/>
      <c r="S135" s="574"/>
      <c r="T135" s="574"/>
      <c r="U135" s="574"/>
      <c r="V135" s="575"/>
      <c r="W135" s="37" t="s">
        <v>69</v>
      </c>
      <c r="X135" s="557">
        <f>IFERROR(SUM(X132:X133),"0")</f>
        <v>7</v>
      </c>
      <c r="Y135" s="557">
        <f>IFERROR(SUM(Y132:Y133),"0")</f>
        <v>8.3999999999999986</v>
      </c>
      <c r="Z135" s="37"/>
      <c r="AA135" s="558"/>
      <c r="AB135" s="558"/>
      <c r="AC135" s="558"/>
    </row>
    <row r="136" spans="1:68" ht="14.25" customHeight="1" x14ac:dyDescent="0.25">
      <c r="A136" s="570" t="s">
        <v>77</v>
      </c>
      <c r="B136" s="569"/>
      <c r="C136" s="569"/>
      <c r="D136" s="569"/>
      <c r="E136" s="569"/>
      <c r="F136" s="569"/>
      <c r="G136" s="569"/>
      <c r="H136" s="569"/>
      <c r="I136" s="569"/>
      <c r="J136" s="569"/>
      <c r="K136" s="569"/>
      <c r="L136" s="569"/>
      <c r="M136" s="569"/>
      <c r="N136" s="569"/>
      <c r="O136" s="569"/>
      <c r="P136" s="569"/>
      <c r="Q136" s="569"/>
      <c r="R136" s="569"/>
      <c r="S136" s="569"/>
      <c r="T136" s="569"/>
      <c r="U136" s="569"/>
      <c r="V136" s="569"/>
      <c r="W136" s="569"/>
      <c r="X136" s="569"/>
      <c r="Y136" s="569"/>
      <c r="Z136" s="569"/>
      <c r="AA136" s="551"/>
      <c r="AB136" s="551"/>
      <c r="AC136" s="551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0"/>
      <c r="R137" s="560"/>
      <c r="S137" s="560"/>
      <c r="T137" s="561"/>
      <c r="U137" s="34"/>
      <c r="V137" s="34"/>
      <c r="W137" s="35" t="s">
        <v>69</v>
      </c>
      <c r="X137" s="555">
        <v>0</v>
      </c>
      <c r="Y137" s="55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3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0"/>
      <c r="R138" s="560"/>
      <c r="S138" s="560"/>
      <c r="T138" s="561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9"/>
      <c r="C139" s="569"/>
      <c r="D139" s="569"/>
      <c r="E139" s="569"/>
      <c r="F139" s="569"/>
      <c r="G139" s="569"/>
      <c r="H139" s="569"/>
      <c r="I139" s="569"/>
      <c r="J139" s="569"/>
      <c r="K139" s="569"/>
      <c r="L139" s="569"/>
      <c r="M139" s="569"/>
      <c r="N139" s="569"/>
      <c r="O139" s="583"/>
      <c r="P139" s="573" t="s">
        <v>75</v>
      </c>
      <c r="Q139" s="574"/>
      <c r="R139" s="574"/>
      <c r="S139" s="574"/>
      <c r="T139" s="574"/>
      <c r="U139" s="574"/>
      <c r="V139" s="575"/>
      <c r="W139" s="37" t="s">
        <v>76</v>
      </c>
      <c r="X139" s="557">
        <f>IFERROR(X137/H137,"0")+IFERROR(X138/H138,"0")</f>
        <v>0</v>
      </c>
      <c r="Y139" s="557">
        <f>IFERROR(Y137/H137,"0")+IFERROR(Y138/H138,"0")</f>
        <v>0</v>
      </c>
      <c r="Z139" s="557">
        <f>IFERROR(IF(Z137="",0,Z137),"0")+IFERROR(IF(Z138="",0,Z138),"0")</f>
        <v>0</v>
      </c>
      <c r="AA139" s="558"/>
      <c r="AB139" s="558"/>
      <c r="AC139" s="558"/>
    </row>
    <row r="140" spans="1:68" x14ac:dyDescent="0.2">
      <c r="A140" s="569"/>
      <c r="B140" s="569"/>
      <c r="C140" s="569"/>
      <c r="D140" s="569"/>
      <c r="E140" s="569"/>
      <c r="F140" s="569"/>
      <c r="G140" s="569"/>
      <c r="H140" s="569"/>
      <c r="I140" s="569"/>
      <c r="J140" s="569"/>
      <c r="K140" s="569"/>
      <c r="L140" s="569"/>
      <c r="M140" s="569"/>
      <c r="N140" s="569"/>
      <c r="O140" s="583"/>
      <c r="P140" s="573" t="s">
        <v>75</v>
      </c>
      <c r="Q140" s="574"/>
      <c r="R140" s="574"/>
      <c r="S140" s="574"/>
      <c r="T140" s="574"/>
      <c r="U140" s="574"/>
      <c r="V140" s="575"/>
      <c r="W140" s="37" t="s">
        <v>69</v>
      </c>
      <c r="X140" s="557">
        <f>IFERROR(SUM(X137:X138),"0")</f>
        <v>0</v>
      </c>
      <c r="Y140" s="557">
        <f>IFERROR(SUM(Y137:Y138),"0")</f>
        <v>0</v>
      </c>
      <c r="Z140" s="37"/>
      <c r="AA140" s="558"/>
      <c r="AB140" s="558"/>
      <c r="AC140" s="558"/>
    </row>
    <row r="141" spans="1:68" ht="16.5" customHeight="1" x14ac:dyDescent="0.25">
      <c r="A141" s="568" t="s">
        <v>101</v>
      </c>
      <c r="B141" s="569"/>
      <c r="C141" s="569"/>
      <c r="D141" s="569"/>
      <c r="E141" s="569"/>
      <c r="F141" s="569"/>
      <c r="G141" s="569"/>
      <c r="H141" s="569"/>
      <c r="I141" s="569"/>
      <c r="J141" s="569"/>
      <c r="K141" s="569"/>
      <c r="L141" s="569"/>
      <c r="M141" s="569"/>
      <c r="N141" s="569"/>
      <c r="O141" s="569"/>
      <c r="P141" s="569"/>
      <c r="Q141" s="569"/>
      <c r="R141" s="569"/>
      <c r="S141" s="569"/>
      <c r="T141" s="569"/>
      <c r="U141" s="569"/>
      <c r="V141" s="569"/>
      <c r="W141" s="569"/>
      <c r="X141" s="569"/>
      <c r="Y141" s="569"/>
      <c r="Z141" s="569"/>
      <c r="AA141" s="550"/>
      <c r="AB141" s="550"/>
      <c r="AC141" s="550"/>
    </row>
    <row r="142" spans="1:68" ht="14.25" customHeight="1" x14ac:dyDescent="0.25">
      <c r="A142" s="570" t="s">
        <v>103</v>
      </c>
      <c r="B142" s="569"/>
      <c r="C142" s="569"/>
      <c r="D142" s="569"/>
      <c r="E142" s="569"/>
      <c r="F142" s="569"/>
      <c r="G142" s="569"/>
      <c r="H142" s="569"/>
      <c r="I142" s="569"/>
      <c r="J142" s="569"/>
      <c r="K142" s="569"/>
      <c r="L142" s="569"/>
      <c r="M142" s="569"/>
      <c r="N142" s="569"/>
      <c r="O142" s="569"/>
      <c r="P142" s="569"/>
      <c r="Q142" s="569"/>
      <c r="R142" s="569"/>
      <c r="S142" s="569"/>
      <c r="T142" s="569"/>
      <c r="U142" s="569"/>
      <c r="V142" s="569"/>
      <c r="W142" s="569"/>
      <c r="X142" s="569"/>
      <c r="Y142" s="569"/>
      <c r="Z142" s="569"/>
      <c r="AA142" s="551"/>
      <c r="AB142" s="551"/>
      <c r="AC142" s="551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0"/>
      <c r="R143" s="560"/>
      <c r="S143" s="560"/>
      <c r="T143" s="561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5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0"/>
      <c r="R144" s="560"/>
      <c r="S144" s="560"/>
      <c r="T144" s="561"/>
      <c r="U144" s="34"/>
      <c r="V144" s="34"/>
      <c r="W144" s="35" t="s">
        <v>69</v>
      </c>
      <c r="X144" s="555">
        <v>0</v>
      </c>
      <c r="Y144" s="556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9"/>
      <c r="C145" s="569"/>
      <c r="D145" s="569"/>
      <c r="E145" s="569"/>
      <c r="F145" s="569"/>
      <c r="G145" s="569"/>
      <c r="H145" s="569"/>
      <c r="I145" s="569"/>
      <c r="J145" s="569"/>
      <c r="K145" s="569"/>
      <c r="L145" s="569"/>
      <c r="M145" s="569"/>
      <c r="N145" s="569"/>
      <c r="O145" s="583"/>
      <c r="P145" s="573" t="s">
        <v>75</v>
      </c>
      <c r="Q145" s="574"/>
      <c r="R145" s="574"/>
      <c r="S145" s="574"/>
      <c r="T145" s="574"/>
      <c r="U145" s="574"/>
      <c r="V145" s="575"/>
      <c r="W145" s="37" t="s">
        <v>76</v>
      </c>
      <c r="X145" s="557">
        <f>IFERROR(X143/H143,"0")+IFERROR(X144/H144,"0")</f>
        <v>0</v>
      </c>
      <c r="Y145" s="557">
        <f>IFERROR(Y143/H143,"0")+IFERROR(Y144/H144,"0")</f>
        <v>0</v>
      </c>
      <c r="Z145" s="557">
        <f>IFERROR(IF(Z143="",0,Z143),"0")+IFERROR(IF(Z144="",0,Z144),"0")</f>
        <v>0</v>
      </c>
      <c r="AA145" s="558"/>
      <c r="AB145" s="558"/>
      <c r="AC145" s="558"/>
    </row>
    <row r="146" spans="1:68" x14ac:dyDescent="0.2">
      <c r="A146" s="569"/>
      <c r="B146" s="569"/>
      <c r="C146" s="569"/>
      <c r="D146" s="569"/>
      <c r="E146" s="569"/>
      <c r="F146" s="569"/>
      <c r="G146" s="569"/>
      <c r="H146" s="569"/>
      <c r="I146" s="569"/>
      <c r="J146" s="569"/>
      <c r="K146" s="569"/>
      <c r="L146" s="569"/>
      <c r="M146" s="569"/>
      <c r="N146" s="569"/>
      <c r="O146" s="583"/>
      <c r="P146" s="573" t="s">
        <v>75</v>
      </c>
      <c r="Q146" s="574"/>
      <c r="R146" s="574"/>
      <c r="S146" s="574"/>
      <c r="T146" s="574"/>
      <c r="U146" s="574"/>
      <c r="V146" s="575"/>
      <c r="W146" s="37" t="s">
        <v>69</v>
      </c>
      <c r="X146" s="557">
        <f>IFERROR(SUM(X143:X144),"0")</f>
        <v>0</v>
      </c>
      <c r="Y146" s="557">
        <f>IFERROR(SUM(Y143:Y144),"0")</f>
        <v>0</v>
      </c>
      <c r="Z146" s="37"/>
      <c r="AA146" s="558"/>
      <c r="AB146" s="558"/>
      <c r="AC146" s="558"/>
    </row>
    <row r="147" spans="1:68" ht="14.25" customHeight="1" x14ac:dyDescent="0.25">
      <c r="A147" s="570" t="s">
        <v>64</v>
      </c>
      <c r="B147" s="569"/>
      <c r="C147" s="569"/>
      <c r="D147" s="569"/>
      <c r="E147" s="569"/>
      <c r="F147" s="569"/>
      <c r="G147" s="569"/>
      <c r="H147" s="569"/>
      <c r="I147" s="569"/>
      <c r="J147" s="569"/>
      <c r="K147" s="569"/>
      <c r="L147" s="569"/>
      <c r="M147" s="569"/>
      <c r="N147" s="569"/>
      <c r="O147" s="569"/>
      <c r="P147" s="569"/>
      <c r="Q147" s="569"/>
      <c r="R147" s="569"/>
      <c r="S147" s="569"/>
      <c r="T147" s="569"/>
      <c r="U147" s="569"/>
      <c r="V147" s="569"/>
      <c r="W147" s="569"/>
      <c r="X147" s="569"/>
      <c r="Y147" s="569"/>
      <c r="Z147" s="569"/>
      <c r="AA147" s="551"/>
      <c r="AB147" s="551"/>
      <c r="AC147" s="551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64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0"/>
      <c r="R148" s="560"/>
      <c r="S148" s="560"/>
      <c r="T148" s="561"/>
      <c r="U148" s="34"/>
      <c r="V148" s="34"/>
      <c r="W148" s="35" t="s">
        <v>69</v>
      </c>
      <c r="X148" s="555">
        <v>40</v>
      </c>
      <c r="Y148" s="556">
        <f t="shared" ref="Y148:Y153" si="5">IFERROR(IF(X148="",0,CEILING((X148/$H148),1)*$H148),"")</f>
        <v>45</v>
      </c>
      <c r="Z148" s="36">
        <f>IFERROR(IF(Y148=0,"",ROUNDUP(Y148/H148,0)*0.01898),"")</f>
        <v>9.4899999999999998E-2</v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42.488888888888894</v>
      </c>
      <c r="BN148" s="64">
        <f t="shared" ref="BN148:BN153" si="7">IFERROR(Y148*I148/H148,"0")</f>
        <v>47.800000000000004</v>
      </c>
      <c r="BO148" s="64">
        <f t="shared" ref="BO148:BO153" si="8">IFERROR(1/J148*(X148/H148),"0")</f>
        <v>6.9444444444444448E-2</v>
      </c>
      <c r="BP148" s="64">
        <f t="shared" ref="BP148:BP153" si="9">IFERROR(1/J148*(Y148/H148),"0")</f>
        <v>7.8125E-2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80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0"/>
      <c r="R149" s="560"/>
      <c r="S149" s="560"/>
      <c r="T149" s="561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0"/>
      <c r="R150" s="560"/>
      <c r="S150" s="560"/>
      <c r="T150" s="561"/>
      <c r="U150" s="34"/>
      <c r="V150" s="34"/>
      <c r="W150" s="35" t="s">
        <v>69</v>
      </c>
      <c r="X150" s="555">
        <v>0</v>
      </c>
      <c r="Y150" s="556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886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0"/>
      <c r="R151" s="560"/>
      <c r="S151" s="560"/>
      <c r="T151" s="561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0"/>
      <c r="R152" s="560"/>
      <c r="S152" s="560"/>
      <c r="T152" s="561"/>
      <c r="U152" s="34"/>
      <c r="V152" s="34"/>
      <c r="W152" s="35" t="s">
        <v>69</v>
      </c>
      <c r="X152" s="555">
        <v>10</v>
      </c>
      <c r="Y152" s="556">
        <f t="shared" si="5"/>
        <v>18</v>
      </c>
      <c r="Z152" s="36">
        <f>IFERROR(IF(Y152=0,"",ROUNDUP(Y152/H152,0)*0.01898),"")</f>
        <v>3.7960000000000001E-2</v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10.622222222222224</v>
      </c>
      <c r="BN152" s="64">
        <f t="shared" si="7"/>
        <v>19.12</v>
      </c>
      <c r="BO152" s="64">
        <f t="shared" si="8"/>
        <v>1.7361111111111112E-2</v>
      </c>
      <c r="BP152" s="64">
        <f t="shared" si="9"/>
        <v>3.125E-2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0"/>
      <c r="R153" s="560"/>
      <c r="S153" s="560"/>
      <c r="T153" s="561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9"/>
      <c r="C154" s="569"/>
      <c r="D154" s="569"/>
      <c r="E154" s="569"/>
      <c r="F154" s="569"/>
      <c r="G154" s="569"/>
      <c r="H154" s="569"/>
      <c r="I154" s="569"/>
      <c r="J154" s="569"/>
      <c r="K154" s="569"/>
      <c r="L154" s="569"/>
      <c r="M154" s="569"/>
      <c r="N154" s="569"/>
      <c r="O154" s="583"/>
      <c r="P154" s="573" t="s">
        <v>75</v>
      </c>
      <c r="Q154" s="574"/>
      <c r="R154" s="574"/>
      <c r="S154" s="574"/>
      <c r="T154" s="574"/>
      <c r="U154" s="574"/>
      <c r="V154" s="575"/>
      <c r="W154" s="37" t="s">
        <v>76</v>
      </c>
      <c r="X154" s="557">
        <f>IFERROR(X148/H148,"0")+IFERROR(X149/H149,"0")+IFERROR(X150/H150,"0")+IFERROR(X151/H151,"0")+IFERROR(X152/H152,"0")+IFERROR(X153/H153,"0")</f>
        <v>5.5555555555555554</v>
      </c>
      <c r="Y154" s="557">
        <f>IFERROR(Y148/H148,"0")+IFERROR(Y149/H149,"0")+IFERROR(Y150/H150,"0")+IFERROR(Y151/H151,"0")+IFERROR(Y152/H152,"0")+IFERROR(Y153/H153,"0")</f>
        <v>7</v>
      </c>
      <c r="Z154" s="557">
        <f>IFERROR(IF(Z148="",0,Z148),"0")+IFERROR(IF(Z149="",0,Z149),"0")+IFERROR(IF(Z150="",0,Z150),"0")+IFERROR(IF(Z151="",0,Z151),"0")+IFERROR(IF(Z152="",0,Z152),"0")+IFERROR(IF(Z153="",0,Z153),"0")</f>
        <v>0.13286000000000001</v>
      </c>
      <c r="AA154" s="558"/>
      <c r="AB154" s="558"/>
      <c r="AC154" s="558"/>
    </row>
    <row r="155" spans="1:68" x14ac:dyDescent="0.2">
      <c r="A155" s="569"/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83"/>
      <c r="P155" s="573" t="s">
        <v>75</v>
      </c>
      <c r="Q155" s="574"/>
      <c r="R155" s="574"/>
      <c r="S155" s="574"/>
      <c r="T155" s="574"/>
      <c r="U155" s="574"/>
      <c r="V155" s="575"/>
      <c r="W155" s="37" t="s">
        <v>69</v>
      </c>
      <c r="X155" s="557">
        <f>IFERROR(SUM(X148:X153),"0")</f>
        <v>50</v>
      </c>
      <c r="Y155" s="557">
        <f>IFERROR(SUM(Y148:Y153),"0")</f>
        <v>63</v>
      </c>
      <c r="Z155" s="37"/>
      <c r="AA155" s="558"/>
      <c r="AB155" s="558"/>
      <c r="AC155" s="558"/>
    </row>
    <row r="156" spans="1:68" ht="14.25" customHeight="1" x14ac:dyDescent="0.25">
      <c r="A156" s="570" t="s">
        <v>77</v>
      </c>
      <c r="B156" s="569"/>
      <c r="C156" s="569"/>
      <c r="D156" s="569"/>
      <c r="E156" s="569"/>
      <c r="F156" s="569"/>
      <c r="G156" s="569"/>
      <c r="H156" s="569"/>
      <c r="I156" s="569"/>
      <c r="J156" s="569"/>
      <c r="K156" s="569"/>
      <c r="L156" s="569"/>
      <c r="M156" s="569"/>
      <c r="N156" s="569"/>
      <c r="O156" s="569"/>
      <c r="P156" s="569"/>
      <c r="Q156" s="569"/>
      <c r="R156" s="569"/>
      <c r="S156" s="569"/>
      <c r="T156" s="569"/>
      <c r="U156" s="569"/>
      <c r="V156" s="569"/>
      <c r="W156" s="569"/>
      <c r="X156" s="569"/>
      <c r="Y156" s="569"/>
      <c r="Z156" s="569"/>
      <c r="AA156" s="551"/>
      <c r="AB156" s="551"/>
      <c r="AC156" s="551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0"/>
      <c r="R157" s="560"/>
      <c r="S157" s="560"/>
      <c r="T157" s="561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9"/>
      <c r="C158" s="569"/>
      <c r="D158" s="569"/>
      <c r="E158" s="569"/>
      <c r="F158" s="569"/>
      <c r="G158" s="569"/>
      <c r="H158" s="569"/>
      <c r="I158" s="569"/>
      <c r="J158" s="569"/>
      <c r="K158" s="569"/>
      <c r="L158" s="569"/>
      <c r="M158" s="569"/>
      <c r="N158" s="569"/>
      <c r="O158" s="583"/>
      <c r="P158" s="573" t="s">
        <v>75</v>
      </c>
      <c r="Q158" s="574"/>
      <c r="R158" s="574"/>
      <c r="S158" s="574"/>
      <c r="T158" s="574"/>
      <c r="U158" s="574"/>
      <c r="V158" s="575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x14ac:dyDescent="0.2">
      <c r="A159" s="569"/>
      <c r="B159" s="569"/>
      <c r="C159" s="569"/>
      <c r="D159" s="569"/>
      <c r="E159" s="569"/>
      <c r="F159" s="569"/>
      <c r="G159" s="569"/>
      <c r="H159" s="569"/>
      <c r="I159" s="569"/>
      <c r="J159" s="569"/>
      <c r="K159" s="569"/>
      <c r="L159" s="569"/>
      <c r="M159" s="569"/>
      <c r="N159" s="569"/>
      <c r="O159" s="583"/>
      <c r="P159" s="573" t="s">
        <v>75</v>
      </c>
      <c r="Q159" s="574"/>
      <c r="R159" s="574"/>
      <c r="S159" s="574"/>
      <c r="T159" s="574"/>
      <c r="U159" s="574"/>
      <c r="V159" s="575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customHeight="1" x14ac:dyDescent="0.2">
      <c r="A160" s="727" t="s">
        <v>268</v>
      </c>
      <c r="B160" s="728"/>
      <c r="C160" s="728"/>
      <c r="D160" s="728"/>
      <c r="E160" s="728"/>
      <c r="F160" s="728"/>
      <c r="G160" s="728"/>
      <c r="H160" s="728"/>
      <c r="I160" s="728"/>
      <c r="J160" s="728"/>
      <c r="K160" s="728"/>
      <c r="L160" s="728"/>
      <c r="M160" s="728"/>
      <c r="N160" s="728"/>
      <c r="O160" s="728"/>
      <c r="P160" s="728"/>
      <c r="Q160" s="728"/>
      <c r="R160" s="728"/>
      <c r="S160" s="728"/>
      <c r="T160" s="728"/>
      <c r="U160" s="728"/>
      <c r="V160" s="728"/>
      <c r="W160" s="728"/>
      <c r="X160" s="728"/>
      <c r="Y160" s="728"/>
      <c r="Z160" s="728"/>
      <c r="AA160" s="48"/>
      <c r="AB160" s="48"/>
      <c r="AC160" s="48"/>
    </row>
    <row r="161" spans="1:68" ht="16.5" customHeight="1" x14ac:dyDescent="0.25">
      <c r="A161" s="568" t="s">
        <v>269</v>
      </c>
      <c r="B161" s="569"/>
      <c r="C161" s="569"/>
      <c r="D161" s="569"/>
      <c r="E161" s="569"/>
      <c r="F161" s="569"/>
      <c r="G161" s="569"/>
      <c r="H161" s="569"/>
      <c r="I161" s="569"/>
      <c r="J161" s="569"/>
      <c r="K161" s="569"/>
      <c r="L161" s="569"/>
      <c r="M161" s="569"/>
      <c r="N161" s="569"/>
      <c r="O161" s="569"/>
      <c r="P161" s="569"/>
      <c r="Q161" s="569"/>
      <c r="R161" s="569"/>
      <c r="S161" s="569"/>
      <c r="T161" s="569"/>
      <c r="U161" s="569"/>
      <c r="V161" s="569"/>
      <c r="W161" s="569"/>
      <c r="X161" s="569"/>
      <c r="Y161" s="569"/>
      <c r="Z161" s="569"/>
      <c r="AA161" s="550"/>
      <c r="AB161" s="550"/>
      <c r="AC161" s="550"/>
    </row>
    <row r="162" spans="1:68" ht="14.25" customHeight="1" x14ac:dyDescent="0.25">
      <c r="A162" s="570" t="s">
        <v>138</v>
      </c>
      <c r="B162" s="569"/>
      <c r="C162" s="569"/>
      <c r="D162" s="569"/>
      <c r="E162" s="569"/>
      <c r="F162" s="569"/>
      <c r="G162" s="569"/>
      <c r="H162" s="569"/>
      <c r="I162" s="569"/>
      <c r="J162" s="569"/>
      <c r="K162" s="569"/>
      <c r="L162" s="569"/>
      <c r="M162" s="569"/>
      <c r="N162" s="569"/>
      <c r="O162" s="569"/>
      <c r="P162" s="569"/>
      <c r="Q162" s="569"/>
      <c r="R162" s="569"/>
      <c r="S162" s="569"/>
      <c r="T162" s="569"/>
      <c r="U162" s="569"/>
      <c r="V162" s="569"/>
      <c r="W162" s="569"/>
      <c r="X162" s="569"/>
      <c r="Y162" s="569"/>
      <c r="Z162" s="569"/>
      <c r="AA162" s="551"/>
      <c r="AB162" s="551"/>
      <c r="AC162" s="551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0"/>
      <c r="R163" s="560"/>
      <c r="S163" s="560"/>
      <c r="T163" s="561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9"/>
      <c r="C164" s="569"/>
      <c r="D164" s="569"/>
      <c r="E164" s="569"/>
      <c r="F164" s="569"/>
      <c r="G164" s="569"/>
      <c r="H164" s="569"/>
      <c r="I164" s="569"/>
      <c r="J164" s="569"/>
      <c r="K164" s="569"/>
      <c r="L164" s="569"/>
      <c r="M164" s="569"/>
      <c r="N164" s="569"/>
      <c r="O164" s="583"/>
      <c r="P164" s="573" t="s">
        <v>75</v>
      </c>
      <c r="Q164" s="574"/>
      <c r="R164" s="574"/>
      <c r="S164" s="574"/>
      <c r="T164" s="574"/>
      <c r="U164" s="574"/>
      <c r="V164" s="575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x14ac:dyDescent="0.2">
      <c r="A165" s="569"/>
      <c r="B165" s="569"/>
      <c r="C165" s="569"/>
      <c r="D165" s="569"/>
      <c r="E165" s="569"/>
      <c r="F165" s="569"/>
      <c r="G165" s="569"/>
      <c r="H165" s="569"/>
      <c r="I165" s="569"/>
      <c r="J165" s="569"/>
      <c r="K165" s="569"/>
      <c r="L165" s="569"/>
      <c r="M165" s="569"/>
      <c r="N165" s="569"/>
      <c r="O165" s="583"/>
      <c r="P165" s="573" t="s">
        <v>75</v>
      </c>
      <c r="Q165" s="574"/>
      <c r="R165" s="574"/>
      <c r="S165" s="574"/>
      <c r="T165" s="574"/>
      <c r="U165" s="574"/>
      <c r="V165" s="575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customHeight="1" x14ac:dyDescent="0.25">
      <c r="A166" s="570" t="s">
        <v>64</v>
      </c>
      <c r="B166" s="569"/>
      <c r="C166" s="569"/>
      <c r="D166" s="569"/>
      <c r="E166" s="569"/>
      <c r="F166" s="569"/>
      <c r="G166" s="569"/>
      <c r="H166" s="569"/>
      <c r="I166" s="569"/>
      <c r="J166" s="569"/>
      <c r="K166" s="569"/>
      <c r="L166" s="569"/>
      <c r="M166" s="569"/>
      <c r="N166" s="569"/>
      <c r="O166" s="569"/>
      <c r="P166" s="569"/>
      <c r="Q166" s="569"/>
      <c r="R166" s="569"/>
      <c r="S166" s="569"/>
      <c r="T166" s="569"/>
      <c r="U166" s="569"/>
      <c r="V166" s="569"/>
      <c r="W166" s="569"/>
      <c r="X166" s="569"/>
      <c r="Y166" s="569"/>
      <c r="Z166" s="569"/>
      <c r="AA166" s="551"/>
      <c r="AB166" s="551"/>
      <c r="AC166" s="551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4" t="s">
        <v>276</v>
      </c>
      <c r="Q167" s="560"/>
      <c r="R167" s="560"/>
      <c r="S167" s="560"/>
      <c r="T167" s="561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2" t="s">
        <v>281</v>
      </c>
      <c r="Q168" s="560"/>
      <c r="R168" s="560"/>
      <c r="S168" s="560"/>
      <c r="T168" s="561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8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0"/>
      <c r="R169" s="560"/>
      <c r="S169" s="560"/>
      <c r="T169" s="561"/>
      <c r="U169" s="34"/>
      <c r="V169" s="34"/>
      <c r="W169" s="35" t="s">
        <v>69</v>
      </c>
      <c r="X169" s="555">
        <v>0</v>
      </c>
      <c r="Y169" s="556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60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0"/>
      <c r="R170" s="560"/>
      <c r="S170" s="560"/>
      <c r="T170" s="561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6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0"/>
      <c r="R171" s="560"/>
      <c r="S171" s="560"/>
      <c r="T171" s="561"/>
      <c r="U171" s="34"/>
      <c r="V171" s="34"/>
      <c r="W171" s="35" t="s">
        <v>69</v>
      </c>
      <c r="X171" s="555">
        <v>0</v>
      </c>
      <c r="Y171" s="556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0"/>
      <c r="R172" s="560"/>
      <c r="S172" s="560"/>
      <c r="T172" s="561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0"/>
      <c r="R173" s="560"/>
      <c r="S173" s="560"/>
      <c r="T173" s="561"/>
      <c r="U173" s="34"/>
      <c r="V173" s="34"/>
      <c r="W173" s="35" t="s">
        <v>69</v>
      </c>
      <c r="X173" s="555">
        <v>4.1999999999999993</v>
      </c>
      <c r="Y173" s="556">
        <f t="shared" si="10"/>
        <v>4.2</v>
      </c>
      <c r="Z173" s="36">
        <f>IFERROR(IF(Y173=0,"",ROUNDUP(Y173/H173,0)*0.00502),"")</f>
        <v>1.004E-2</v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4.4599999999999991</v>
      </c>
      <c r="BN173" s="64">
        <f t="shared" si="12"/>
        <v>4.46</v>
      </c>
      <c r="BO173" s="64">
        <f t="shared" si="13"/>
        <v>8.5470085470085461E-3</v>
      </c>
      <c r="BP173" s="64">
        <f t="shared" si="14"/>
        <v>8.5470085470085479E-3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0"/>
      <c r="R174" s="560"/>
      <c r="S174" s="560"/>
      <c r="T174" s="561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0"/>
      <c r="R175" s="560"/>
      <c r="S175" s="560"/>
      <c r="T175" s="561"/>
      <c r="U175" s="34"/>
      <c r="V175" s="34"/>
      <c r="W175" s="35" t="s">
        <v>69</v>
      </c>
      <c r="X175" s="555">
        <v>0</v>
      </c>
      <c r="Y175" s="556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0"/>
      <c r="R176" s="560"/>
      <c r="S176" s="560"/>
      <c r="T176" s="561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0"/>
      <c r="R177" s="560"/>
      <c r="S177" s="560"/>
      <c r="T177" s="561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0"/>
      <c r="R178" s="560"/>
      <c r="S178" s="560"/>
      <c r="T178" s="561"/>
      <c r="U178" s="34"/>
      <c r="V178" s="34"/>
      <c r="W178" s="35" t="s">
        <v>69</v>
      </c>
      <c r="X178" s="555">
        <v>0</v>
      </c>
      <c r="Y178" s="556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5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0"/>
      <c r="R179" s="560"/>
      <c r="S179" s="560"/>
      <c r="T179" s="561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0"/>
      <c r="R180" s="560"/>
      <c r="S180" s="560"/>
      <c r="T180" s="561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9"/>
      <c r="C181" s="569"/>
      <c r="D181" s="569"/>
      <c r="E181" s="569"/>
      <c r="F181" s="569"/>
      <c r="G181" s="569"/>
      <c r="H181" s="569"/>
      <c r="I181" s="569"/>
      <c r="J181" s="569"/>
      <c r="K181" s="569"/>
      <c r="L181" s="569"/>
      <c r="M181" s="569"/>
      <c r="N181" s="569"/>
      <c r="O181" s="583"/>
      <c r="P181" s="573" t="s">
        <v>75</v>
      </c>
      <c r="Q181" s="574"/>
      <c r="R181" s="574"/>
      <c r="S181" s="574"/>
      <c r="T181" s="574"/>
      <c r="U181" s="574"/>
      <c r="V181" s="575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1.9999999999999996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2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1.004E-2</v>
      </c>
      <c r="AA181" s="558"/>
      <c r="AB181" s="558"/>
      <c r="AC181" s="558"/>
    </row>
    <row r="182" spans="1:68" x14ac:dyDescent="0.2">
      <c r="A182" s="569"/>
      <c r="B182" s="569"/>
      <c r="C182" s="569"/>
      <c r="D182" s="569"/>
      <c r="E182" s="569"/>
      <c r="F182" s="569"/>
      <c r="G182" s="569"/>
      <c r="H182" s="569"/>
      <c r="I182" s="569"/>
      <c r="J182" s="569"/>
      <c r="K182" s="569"/>
      <c r="L182" s="569"/>
      <c r="M182" s="569"/>
      <c r="N182" s="569"/>
      <c r="O182" s="583"/>
      <c r="P182" s="573" t="s">
        <v>75</v>
      </c>
      <c r="Q182" s="574"/>
      <c r="R182" s="574"/>
      <c r="S182" s="574"/>
      <c r="T182" s="574"/>
      <c r="U182" s="574"/>
      <c r="V182" s="575"/>
      <c r="W182" s="37" t="s">
        <v>69</v>
      </c>
      <c r="X182" s="557">
        <f>IFERROR(SUM(X167:X180),"0")</f>
        <v>4.1999999999999993</v>
      </c>
      <c r="Y182" s="557">
        <f>IFERROR(SUM(Y167:Y180),"0")</f>
        <v>4.2</v>
      </c>
      <c r="Z182" s="37"/>
      <c r="AA182" s="558"/>
      <c r="AB182" s="558"/>
      <c r="AC182" s="558"/>
    </row>
    <row r="183" spans="1:68" ht="14.25" customHeight="1" x14ac:dyDescent="0.25">
      <c r="A183" s="570" t="s">
        <v>95</v>
      </c>
      <c r="B183" s="569"/>
      <c r="C183" s="569"/>
      <c r="D183" s="569"/>
      <c r="E183" s="569"/>
      <c r="F183" s="569"/>
      <c r="G183" s="569"/>
      <c r="H183" s="569"/>
      <c r="I183" s="569"/>
      <c r="J183" s="569"/>
      <c r="K183" s="569"/>
      <c r="L183" s="569"/>
      <c r="M183" s="569"/>
      <c r="N183" s="569"/>
      <c r="O183" s="569"/>
      <c r="P183" s="569"/>
      <c r="Q183" s="569"/>
      <c r="R183" s="569"/>
      <c r="S183" s="569"/>
      <c r="T183" s="569"/>
      <c r="U183" s="569"/>
      <c r="V183" s="569"/>
      <c r="W183" s="569"/>
      <c r="X183" s="569"/>
      <c r="Y183" s="569"/>
      <c r="Z183" s="569"/>
      <c r="AA183" s="551"/>
      <c r="AB183" s="551"/>
      <c r="AC183" s="551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0"/>
      <c r="R184" s="560"/>
      <c r="S184" s="560"/>
      <c r="T184" s="561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0"/>
      <c r="R185" s="560"/>
      <c r="S185" s="560"/>
      <c r="T185" s="561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5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0"/>
      <c r="R186" s="560"/>
      <c r="S186" s="560"/>
      <c r="T186" s="561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9"/>
      <c r="C187" s="569"/>
      <c r="D187" s="569"/>
      <c r="E187" s="569"/>
      <c r="F187" s="569"/>
      <c r="G187" s="569"/>
      <c r="H187" s="569"/>
      <c r="I187" s="569"/>
      <c r="J187" s="569"/>
      <c r="K187" s="569"/>
      <c r="L187" s="569"/>
      <c r="M187" s="569"/>
      <c r="N187" s="569"/>
      <c r="O187" s="583"/>
      <c r="P187" s="573" t="s">
        <v>75</v>
      </c>
      <c r="Q187" s="574"/>
      <c r="R187" s="574"/>
      <c r="S187" s="574"/>
      <c r="T187" s="574"/>
      <c r="U187" s="574"/>
      <c r="V187" s="575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x14ac:dyDescent="0.2">
      <c r="A188" s="569"/>
      <c r="B188" s="569"/>
      <c r="C188" s="569"/>
      <c r="D188" s="569"/>
      <c r="E188" s="569"/>
      <c r="F188" s="569"/>
      <c r="G188" s="569"/>
      <c r="H188" s="569"/>
      <c r="I188" s="569"/>
      <c r="J188" s="569"/>
      <c r="K188" s="569"/>
      <c r="L188" s="569"/>
      <c r="M188" s="569"/>
      <c r="N188" s="569"/>
      <c r="O188" s="583"/>
      <c r="P188" s="573" t="s">
        <v>75</v>
      </c>
      <c r="Q188" s="574"/>
      <c r="R188" s="574"/>
      <c r="S188" s="574"/>
      <c r="T188" s="574"/>
      <c r="U188" s="574"/>
      <c r="V188" s="575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customHeight="1" x14ac:dyDescent="0.25">
      <c r="A189" s="570" t="s">
        <v>324</v>
      </c>
      <c r="B189" s="569"/>
      <c r="C189" s="569"/>
      <c r="D189" s="569"/>
      <c r="E189" s="569"/>
      <c r="F189" s="569"/>
      <c r="G189" s="569"/>
      <c r="H189" s="569"/>
      <c r="I189" s="569"/>
      <c r="J189" s="569"/>
      <c r="K189" s="569"/>
      <c r="L189" s="569"/>
      <c r="M189" s="569"/>
      <c r="N189" s="569"/>
      <c r="O189" s="569"/>
      <c r="P189" s="569"/>
      <c r="Q189" s="569"/>
      <c r="R189" s="569"/>
      <c r="S189" s="569"/>
      <c r="T189" s="569"/>
      <c r="U189" s="569"/>
      <c r="V189" s="569"/>
      <c r="W189" s="569"/>
      <c r="X189" s="569"/>
      <c r="Y189" s="569"/>
      <c r="Z189" s="569"/>
      <c r="AA189" s="551"/>
      <c r="AB189" s="551"/>
      <c r="AC189" s="551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0"/>
      <c r="R190" s="560"/>
      <c r="S190" s="560"/>
      <c r="T190" s="561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9"/>
      <c r="C191" s="569"/>
      <c r="D191" s="569"/>
      <c r="E191" s="569"/>
      <c r="F191" s="569"/>
      <c r="G191" s="569"/>
      <c r="H191" s="569"/>
      <c r="I191" s="569"/>
      <c r="J191" s="569"/>
      <c r="K191" s="569"/>
      <c r="L191" s="569"/>
      <c r="M191" s="569"/>
      <c r="N191" s="569"/>
      <c r="O191" s="583"/>
      <c r="P191" s="573" t="s">
        <v>75</v>
      </c>
      <c r="Q191" s="574"/>
      <c r="R191" s="574"/>
      <c r="S191" s="574"/>
      <c r="T191" s="574"/>
      <c r="U191" s="574"/>
      <c r="V191" s="575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x14ac:dyDescent="0.2">
      <c r="A192" s="569"/>
      <c r="B192" s="569"/>
      <c r="C192" s="569"/>
      <c r="D192" s="569"/>
      <c r="E192" s="569"/>
      <c r="F192" s="569"/>
      <c r="G192" s="569"/>
      <c r="H192" s="569"/>
      <c r="I192" s="569"/>
      <c r="J192" s="569"/>
      <c r="K192" s="569"/>
      <c r="L192" s="569"/>
      <c r="M192" s="569"/>
      <c r="N192" s="569"/>
      <c r="O192" s="583"/>
      <c r="P192" s="573" t="s">
        <v>75</v>
      </c>
      <c r="Q192" s="574"/>
      <c r="R192" s="574"/>
      <c r="S192" s="574"/>
      <c r="T192" s="574"/>
      <c r="U192" s="574"/>
      <c r="V192" s="575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customHeight="1" x14ac:dyDescent="0.25">
      <c r="A193" s="568" t="s">
        <v>327</v>
      </c>
      <c r="B193" s="569"/>
      <c r="C193" s="569"/>
      <c r="D193" s="569"/>
      <c r="E193" s="569"/>
      <c r="F193" s="569"/>
      <c r="G193" s="569"/>
      <c r="H193" s="569"/>
      <c r="I193" s="569"/>
      <c r="J193" s="569"/>
      <c r="K193" s="569"/>
      <c r="L193" s="569"/>
      <c r="M193" s="569"/>
      <c r="N193" s="569"/>
      <c r="O193" s="569"/>
      <c r="P193" s="569"/>
      <c r="Q193" s="569"/>
      <c r="R193" s="569"/>
      <c r="S193" s="569"/>
      <c r="T193" s="569"/>
      <c r="U193" s="569"/>
      <c r="V193" s="569"/>
      <c r="W193" s="569"/>
      <c r="X193" s="569"/>
      <c r="Y193" s="569"/>
      <c r="Z193" s="569"/>
      <c r="AA193" s="550"/>
      <c r="AB193" s="550"/>
      <c r="AC193" s="550"/>
    </row>
    <row r="194" spans="1:68" ht="14.25" customHeight="1" x14ac:dyDescent="0.25">
      <c r="A194" s="570" t="s">
        <v>103</v>
      </c>
      <c r="B194" s="569"/>
      <c r="C194" s="569"/>
      <c r="D194" s="569"/>
      <c r="E194" s="569"/>
      <c r="F194" s="569"/>
      <c r="G194" s="569"/>
      <c r="H194" s="569"/>
      <c r="I194" s="569"/>
      <c r="J194" s="569"/>
      <c r="K194" s="569"/>
      <c r="L194" s="569"/>
      <c r="M194" s="569"/>
      <c r="N194" s="569"/>
      <c r="O194" s="569"/>
      <c r="P194" s="569"/>
      <c r="Q194" s="569"/>
      <c r="R194" s="569"/>
      <c r="S194" s="569"/>
      <c r="T194" s="569"/>
      <c r="U194" s="569"/>
      <c r="V194" s="569"/>
      <c r="W194" s="569"/>
      <c r="X194" s="569"/>
      <c r="Y194" s="569"/>
      <c r="Z194" s="569"/>
      <c r="AA194" s="551"/>
      <c r="AB194" s="551"/>
      <c r="AC194" s="551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6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0"/>
      <c r="R195" s="560"/>
      <c r="S195" s="560"/>
      <c r="T195" s="561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83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0"/>
      <c r="R196" s="560"/>
      <c r="S196" s="560"/>
      <c r="T196" s="561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9"/>
      <c r="C197" s="569"/>
      <c r="D197" s="569"/>
      <c r="E197" s="569"/>
      <c r="F197" s="569"/>
      <c r="G197" s="569"/>
      <c r="H197" s="569"/>
      <c r="I197" s="569"/>
      <c r="J197" s="569"/>
      <c r="K197" s="569"/>
      <c r="L197" s="569"/>
      <c r="M197" s="569"/>
      <c r="N197" s="569"/>
      <c r="O197" s="583"/>
      <c r="P197" s="573" t="s">
        <v>75</v>
      </c>
      <c r="Q197" s="574"/>
      <c r="R197" s="574"/>
      <c r="S197" s="574"/>
      <c r="T197" s="574"/>
      <c r="U197" s="574"/>
      <c r="V197" s="575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x14ac:dyDescent="0.2">
      <c r="A198" s="569"/>
      <c r="B198" s="569"/>
      <c r="C198" s="569"/>
      <c r="D198" s="569"/>
      <c r="E198" s="569"/>
      <c r="F198" s="569"/>
      <c r="G198" s="569"/>
      <c r="H198" s="569"/>
      <c r="I198" s="569"/>
      <c r="J198" s="569"/>
      <c r="K198" s="569"/>
      <c r="L198" s="569"/>
      <c r="M198" s="569"/>
      <c r="N198" s="569"/>
      <c r="O198" s="583"/>
      <c r="P198" s="573" t="s">
        <v>75</v>
      </c>
      <c r="Q198" s="574"/>
      <c r="R198" s="574"/>
      <c r="S198" s="574"/>
      <c r="T198" s="574"/>
      <c r="U198" s="574"/>
      <c r="V198" s="575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customHeight="1" x14ac:dyDescent="0.25">
      <c r="A199" s="570" t="s">
        <v>138</v>
      </c>
      <c r="B199" s="569"/>
      <c r="C199" s="569"/>
      <c r="D199" s="569"/>
      <c r="E199" s="569"/>
      <c r="F199" s="569"/>
      <c r="G199" s="569"/>
      <c r="H199" s="569"/>
      <c r="I199" s="569"/>
      <c r="J199" s="569"/>
      <c r="K199" s="569"/>
      <c r="L199" s="569"/>
      <c r="M199" s="569"/>
      <c r="N199" s="569"/>
      <c r="O199" s="569"/>
      <c r="P199" s="569"/>
      <c r="Q199" s="569"/>
      <c r="R199" s="569"/>
      <c r="S199" s="569"/>
      <c r="T199" s="569"/>
      <c r="U199" s="569"/>
      <c r="V199" s="569"/>
      <c r="W199" s="569"/>
      <c r="X199" s="569"/>
      <c r="Y199" s="569"/>
      <c r="Z199" s="569"/>
      <c r="AA199" s="551"/>
      <c r="AB199" s="551"/>
      <c r="AC199" s="551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87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0"/>
      <c r="R200" s="560"/>
      <c r="S200" s="560"/>
      <c r="T200" s="561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8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0"/>
      <c r="R201" s="560"/>
      <c r="S201" s="560"/>
      <c r="T201" s="561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9"/>
      <c r="C202" s="569"/>
      <c r="D202" s="569"/>
      <c r="E202" s="569"/>
      <c r="F202" s="569"/>
      <c r="G202" s="569"/>
      <c r="H202" s="569"/>
      <c r="I202" s="569"/>
      <c r="J202" s="569"/>
      <c r="K202" s="569"/>
      <c r="L202" s="569"/>
      <c r="M202" s="569"/>
      <c r="N202" s="569"/>
      <c r="O202" s="583"/>
      <c r="P202" s="573" t="s">
        <v>75</v>
      </c>
      <c r="Q202" s="574"/>
      <c r="R202" s="574"/>
      <c r="S202" s="574"/>
      <c r="T202" s="574"/>
      <c r="U202" s="574"/>
      <c r="V202" s="575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x14ac:dyDescent="0.2">
      <c r="A203" s="569"/>
      <c r="B203" s="569"/>
      <c r="C203" s="569"/>
      <c r="D203" s="569"/>
      <c r="E203" s="569"/>
      <c r="F203" s="569"/>
      <c r="G203" s="569"/>
      <c r="H203" s="569"/>
      <c r="I203" s="569"/>
      <c r="J203" s="569"/>
      <c r="K203" s="569"/>
      <c r="L203" s="569"/>
      <c r="M203" s="569"/>
      <c r="N203" s="569"/>
      <c r="O203" s="583"/>
      <c r="P203" s="573" t="s">
        <v>75</v>
      </c>
      <c r="Q203" s="574"/>
      <c r="R203" s="574"/>
      <c r="S203" s="574"/>
      <c r="T203" s="574"/>
      <c r="U203" s="574"/>
      <c r="V203" s="575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customHeight="1" x14ac:dyDescent="0.25">
      <c r="A204" s="570" t="s">
        <v>64</v>
      </c>
      <c r="B204" s="569"/>
      <c r="C204" s="569"/>
      <c r="D204" s="569"/>
      <c r="E204" s="569"/>
      <c r="F204" s="569"/>
      <c r="G204" s="569"/>
      <c r="H204" s="569"/>
      <c r="I204" s="569"/>
      <c r="J204" s="569"/>
      <c r="K204" s="569"/>
      <c r="L204" s="569"/>
      <c r="M204" s="569"/>
      <c r="N204" s="569"/>
      <c r="O204" s="569"/>
      <c r="P204" s="569"/>
      <c r="Q204" s="569"/>
      <c r="R204" s="569"/>
      <c r="S204" s="569"/>
      <c r="T204" s="569"/>
      <c r="U204" s="569"/>
      <c r="V204" s="569"/>
      <c r="W204" s="569"/>
      <c r="X204" s="569"/>
      <c r="Y204" s="569"/>
      <c r="Z204" s="569"/>
      <c r="AA204" s="551"/>
      <c r="AB204" s="551"/>
      <c r="AC204" s="551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0"/>
      <c r="R205" s="560"/>
      <c r="S205" s="560"/>
      <c r="T205" s="561"/>
      <c r="U205" s="34"/>
      <c r="V205" s="34"/>
      <c r="W205" s="35" t="s">
        <v>69</v>
      </c>
      <c r="X205" s="555">
        <v>15</v>
      </c>
      <c r="Y205" s="556">
        <f t="shared" ref="Y205:Y212" si="15">IFERROR(IF(X205="",0,CEILING((X205/$H205),1)*$H205),"")</f>
        <v>16.200000000000003</v>
      </c>
      <c r="Z205" s="36">
        <f>IFERROR(IF(Y205=0,"",ROUNDUP(Y205/H205,0)*0.00902),"")</f>
        <v>2.7060000000000001E-2</v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15.527777777777775</v>
      </c>
      <c r="BN205" s="64">
        <f t="shared" ref="BN205:BN212" si="17">IFERROR(Y205*I205/H205,"0")</f>
        <v>16.77</v>
      </c>
      <c r="BO205" s="64">
        <f t="shared" ref="BO205:BO212" si="18">IFERROR(1/J205*(X205/H205),"0")</f>
        <v>2.1043771043771045E-2</v>
      </c>
      <c r="BP205" s="64">
        <f t="shared" ref="BP205:BP212" si="19">IFERROR(1/J205*(Y205/H205),"0")</f>
        <v>2.2727272727272731E-2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0"/>
      <c r="R206" s="560"/>
      <c r="S206" s="560"/>
      <c r="T206" s="561"/>
      <c r="U206" s="34"/>
      <c r="V206" s="34"/>
      <c r="W206" s="35" t="s">
        <v>69</v>
      </c>
      <c r="X206" s="555">
        <v>0</v>
      </c>
      <c r="Y206" s="556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0"/>
      <c r="R207" s="560"/>
      <c r="S207" s="560"/>
      <c r="T207" s="561"/>
      <c r="U207" s="34"/>
      <c r="V207" s="34"/>
      <c r="W207" s="35" t="s">
        <v>69</v>
      </c>
      <c r="X207" s="555">
        <v>0</v>
      </c>
      <c r="Y207" s="556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7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0"/>
      <c r="R208" s="560"/>
      <c r="S208" s="560"/>
      <c r="T208" s="561"/>
      <c r="U208" s="34"/>
      <c r="V208" s="34"/>
      <c r="W208" s="35" t="s">
        <v>69</v>
      </c>
      <c r="X208" s="555">
        <v>0</v>
      </c>
      <c r="Y208" s="556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0"/>
      <c r="R209" s="560"/>
      <c r="S209" s="560"/>
      <c r="T209" s="561"/>
      <c r="U209" s="34"/>
      <c r="V209" s="34"/>
      <c r="W209" s="35" t="s">
        <v>69</v>
      </c>
      <c r="X209" s="555">
        <v>0</v>
      </c>
      <c r="Y209" s="556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1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0"/>
      <c r="R210" s="560"/>
      <c r="S210" s="560"/>
      <c r="T210" s="561"/>
      <c r="U210" s="34"/>
      <c r="V210" s="34"/>
      <c r="W210" s="35" t="s">
        <v>69</v>
      </c>
      <c r="X210" s="555">
        <v>0</v>
      </c>
      <c r="Y210" s="556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0"/>
      <c r="R211" s="560"/>
      <c r="S211" s="560"/>
      <c r="T211" s="561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0"/>
      <c r="R212" s="560"/>
      <c r="S212" s="560"/>
      <c r="T212" s="561"/>
      <c r="U212" s="34"/>
      <c r="V212" s="34"/>
      <c r="W212" s="35" t="s">
        <v>69</v>
      </c>
      <c r="X212" s="555">
        <v>0</v>
      </c>
      <c r="Y212" s="556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9"/>
      <c r="C213" s="569"/>
      <c r="D213" s="569"/>
      <c r="E213" s="569"/>
      <c r="F213" s="569"/>
      <c r="G213" s="569"/>
      <c r="H213" s="569"/>
      <c r="I213" s="569"/>
      <c r="J213" s="569"/>
      <c r="K213" s="569"/>
      <c r="L213" s="569"/>
      <c r="M213" s="569"/>
      <c r="N213" s="569"/>
      <c r="O213" s="583"/>
      <c r="P213" s="573" t="s">
        <v>75</v>
      </c>
      <c r="Q213" s="574"/>
      <c r="R213" s="574"/>
      <c r="S213" s="574"/>
      <c r="T213" s="574"/>
      <c r="U213" s="574"/>
      <c r="V213" s="575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2.7777777777777777</v>
      </c>
      <c r="Y213" s="557">
        <f>IFERROR(Y205/H205,"0")+IFERROR(Y206/H206,"0")+IFERROR(Y207/H207,"0")+IFERROR(Y208/H208,"0")+IFERROR(Y209/H209,"0")+IFERROR(Y210/H210,"0")+IFERROR(Y211/H211,"0")+IFERROR(Y212/H212,"0")</f>
        <v>3.0000000000000004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2.7060000000000001E-2</v>
      </c>
      <c r="AA213" s="558"/>
      <c r="AB213" s="558"/>
      <c r="AC213" s="558"/>
    </row>
    <row r="214" spans="1:68" x14ac:dyDescent="0.2">
      <c r="A214" s="569"/>
      <c r="B214" s="569"/>
      <c r="C214" s="569"/>
      <c r="D214" s="569"/>
      <c r="E214" s="569"/>
      <c r="F214" s="569"/>
      <c r="G214" s="569"/>
      <c r="H214" s="569"/>
      <c r="I214" s="569"/>
      <c r="J214" s="569"/>
      <c r="K214" s="569"/>
      <c r="L214" s="569"/>
      <c r="M214" s="569"/>
      <c r="N214" s="569"/>
      <c r="O214" s="583"/>
      <c r="P214" s="573" t="s">
        <v>75</v>
      </c>
      <c r="Q214" s="574"/>
      <c r="R214" s="574"/>
      <c r="S214" s="574"/>
      <c r="T214" s="574"/>
      <c r="U214" s="574"/>
      <c r="V214" s="575"/>
      <c r="W214" s="37" t="s">
        <v>69</v>
      </c>
      <c r="X214" s="557">
        <f>IFERROR(SUM(X205:X212),"0")</f>
        <v>15</v>
      </c>
      <c r="Y214" s="557">
        <f>IFERROR(SUM(Y205:Y212),"0")</f>
        <v>16.200000000000003</v>
      </c>
      <c r="Z214" s="37"/>
      <c r="AA214" s="558"/>
      <c r="AB214" s="558"/>
      <c r="AC214" s="558"/>
    </row>
    <row r="215" spans="1:68" ht="14.25" customHeight="1" x14ac:dyDescent="0.25">
      <c r="A215" s="570" t="s">
        <v>77</v>
      </c>
      <c r="B215" s="569"/>
      <c r="C215" s="569"/>
      <c r="D215" s="569"/>
      <c r="E215" s="569"/>
      <c r="F215" s="569"/>
      <c r="G215" s="569"/>
      <c r="H215" s="569"/>
      <c r="I215" s="569"/>
      <c r="J215" s="569"/>
      <c r="K215" s="569"/>
      <c r="L215" s="569"/>
      <c r="M215" s="569"/>
      <c r="N215" s="569"/>
      <c r="O215" s="569"/>
      <c r="P215" s="569"/>
      <c r="Q215" s="569"/>
      <c r="R215" s="569"/>
      <c r="S215" s="569"/>
      <c r="T215" s="569"/>
      <c r="U215" s="569"/>
      <c r="V215" s="569"/>
      <c r="W215" s="569"/>
      <c r="X215" s="569"/>
      <c r="Y215" s="569"/>
      <c r="Z215" s="569"/>
      <c r="AA215" s="551"/>
      <c r="AB215" s="551"/>
      <c r="AC215" s="551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0"/>
      <c r="R216" s="560"/>
      <c r="S216" s="560"/>
      <c r="T216" s="561"/>
      <c r="U216" s="34"/>
      <c r="V216" s="34"/>
      <c r="W216" s="35" t="s">
        <v>69</v>
      </c>
      <c r="X216" s="555">
        <v>0</v>
      </c>
      <c r="Y216" s="556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7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0"/>
      <c r="R217" s="560"/>
      <c r="S217" s="560"/>
      <c r="T217" s="561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88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0"/>
      <c r="R218" s="560"/>
      <c r="S218" s="560"/>
      <c r="T218" s="561"/>
      <c r="U218" s="34"/>
      <c r="V218" s="34"/>
      <c r="W218" s="35" t="s">
        <v>69</v>
      </c>
      <c r="X218" s="555">
        <v>0</v>
      </c>
      <c r="Y218" s="556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0"/>
      <c r="R219" s="560"/>
      <c r="S219" s="560"/>
      <c r="T219" s="561"/>
      <c r="U219" s="34"/>
      <c r="V219" s="34"/>
      <c r="W219" s="35" t="s">
        <v>69</v>
      </c>
      <c r="X219" s="555">
        <v>12.8</v>
      </c>
      <c r="Y219" s="556">
        <f t="shared" si="20"/>
        <v>14.399999999999999</v>
      </c>
      <c r="Z219" s="36">
        <f t="shared" ref="Z219:Z224" si="25">IFERROR(IF(Y219=0,"",ROUNDUP(Y219/H219,0)*0.00651),"")</f>
        <v>3.9059999999999997E-2</v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14.240000000000002</v>
      </c>
      <c r="BN219" s="64">
        <f t="shared" si="22"/>
        <v>16.019999999999996</v>
      </c>
      <c r="BO219" s="64">
        <f t="shared" si="23"/>
        <v>2.9304029304029311E-2</v>
      </c>
      <c r="BP219" s="64">
        <f t="shared" si="24"/>
        <v>3.2967032967032968E-2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57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0"/>
      <c r="R220" s="560"/>
      <c r="S220" s="560"/>
      <c r="T220" s="561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0"/>
      <c r="R221" s="560"/>
      <c r="S221" s="560"/>
      <c r="T221" s="561"/>
      <c r="U221" s="34"/>
      <c r="V221" s="34"/>
      <c r="W221" s="35" t="s">
        <v>69</v>
      </c>
      <c r="X221" s="555">
        <v>13.5</v>
      </c>
      <c r="Y221" s="556">
        <f t="shared" si="20"/>
        <v>14.399999999999999</v>
      </c>
      <c r="Z221" s="36">
        <f t="shared" si="25"/>
        <v>3.9059999999999997E-2</v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14.9175</v>
      </c>
      <c r="BN221" s="64">
        <f t="shared" si="22"/>
        <v>15.912000000000001</v>
      </c>
      <c r="BO221" s="64">
        <f t="shared" si="23"/>
        <v>3.0906593406593408E-2</v>
      </c>
      <c r="BP221" s="64">
        <f t="shared" si="24"/>
        <v>3.2967032967032968E-2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79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0"/>
      <c r="R222" s="560"/>
      <c r="S222" s="560"/>
      <c r="T222" s="561"/>
      <c r="U222" s="34"/>
      <c r="V222" s="34"/>
      <c r="W222" s="35" t="s">
        <v>69</v>
      </c>
      <c r="X222" s="555">
        <v>9</v>
      </c>
      <c r="Y222" s="556">
        <f t="shared" si="20"/>
        <v>9.6</v>
      </c>
      <c r="Z222" s="36">
        <f t="shared" si="25"/>
        <v>2.6040000000000001E-2</v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9.9450000000000021</v>
      </c>
      <c r="BN222" s="64">
        <f t="shared" si="22"/>
        <v>10.608000000000001</v>
      </c>
      <c r="BO222" s="64">
        <f t="shared" si="23"/>
        <v>2.0604395604395608E-2</v>
      </c>
      <c r="BP222" s="64">
        <f t="shared" si="24"/>
        <v>2.197802197802198E-2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6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0"/>
      <c r="R223" s="560"/>
      <c r="S223" s="560"/>
      <c r="T223" s="561"/>
      <c r="U223" s="34"/>
      <c r="V223" s="34"/>
      <c r="W223" s="35" t="s">
        <v>69</v>
      </c>
      <c r="X223" s="555">
        <v>0</v>
      </c>
      <c r="Y223" s="556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0"/>
      <c r="R224" s="560"/>
      <c r="S224" s="560"/>
      <c r="T224" s="561"/>
      <c r="U224" s="34"/>
      <c r="V224" s="34"/>
      <c r="W224" s="35" t="s">
        <v>69</v>
      </c>
      <c r="X224" s="555">
        <v>10</v>
      </c>
      <c r="Y224" s="556">
        <f t="shared" si="20"/>
        <v>12</v>
      </c>
      <c r="Z224" s="36">
        <f t="shared" si="25"/>
        <v>3.2550000000000003E-2</v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11.074999999999999</v>
      </c>
      <c r="BN224" s="64">
        <f t="shared" si="22"/>
        <v>13.290000000000001</v>
      </c>
      <c r="BO224" s="64">
        <f t="shared" si="23"/>
        <v>2.2893772893772896E-2</v>
      </c>
      <c r="BP224" s="64">
        <f t="shared" si="24"/>
        <v>2.7472527472527476E-2</v>
      </c>
    </row>
    <row r="225" spans="1:68" x14ac:dyDescent="0.2">
      <c r="A225" s="582"/>
      <c r="B225" s="569"/>
      <c r="C225" s="569"/>
      <c r="D225" s="569"/>
      <c r="E225" s="569"/>
      <c r="F225" s="569"/>
      <c r="G225" s="569"/>
      <c r="H225" s="569"/>
      <c r="I225" s="569"/>
      <c r="J225" s="569"/>
      <c r="K225" s="569"/>
      <c r="L225" s="569"/>
      <c r="M225" s="569"/>
      <c r="N225" s="569"/>
      <c r="O225" s="583"/>
      <c r="P225" s="573" t="s">
        <v>75</v>
      </c>
      <c r="Q225" s="574"/>
      <c r="R225" s="574"/>
      <c r="S225" s="574"/>
      <c r="T225" s="574"/>
      <c r="U225" s="574"/>
      <c r="V225" s="575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18.875</v>
      </c>
      <c r="Y225" s="557">
        <f>IFERROR(Y216/H216,"0")+IFERROR(Y217/H217,"0")+IFERROR(Y218/H218,"0")+IFERROR(Y219/H219,"0")+IFERROR(Y220/H220,"0")+IFERROR(Y221/H221,"0")+IFERROR(Y222/H222,"0")+IFERROR(Y223/H223,"0")+IFERROR(Y224/H224,"0")</f>
        <v>21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0.13671</v>
      </c>
      <c r="AA225" s="558"/>
      <c r="AB225" s="558"/>
      <c r="AC225" s="558"/>
    </row>
    <row r="226" spans="1:68" x14ac:dyDescent="0.2">
      <c r="A226" s="569"/>
      <c r="B226" s="569"/>
      <c r="C226" s="569"/>
      <c r="D226" s="569"/>
      <c r="E226" s="569"/>
      <c r="F226" s="569"/>
      <c r="G226" s="569"/>
      <c r="H226" s="569"/>
      <c r="I226" s="569"/>
      <c r="J226" s="569"/>
      <c r="K226" s="569"/>
      <c r="L226" s="569"/>
      <c r="M226" s="569"/>
      <c r="N226" s="569"/>
      <c r="O226" s="583"/>
      <c r="P226" s="573" t="s">
        <v>75</v>
      </c>
      <c r="Q226" s="574"/>
      <c r="R226" s="574"/>
      <c r="S226" s="574"/>
      <c r="T226" s="574"/>
      <c r="U226" s="574"/>
      <c r="V226" s="575"/>
      <c r="W226" s="37" t="s">
        <v>69</v>
      </c>
      <c r="X226" s="557">
        <f>IFERROR(SUM(X216:X224),"0")</f>
        <v>45.3</v>
      </c>
      <c r="Y226" s="557">
        <f>IFERROR(SUM(Y216:Y224),"0")</f>
        <v>50.4</v>
      </c>
      <c r="Z226" s="37"/>
      <c r="AA226" s="558"/>
      <c r="AB226" s="558"/>
      <c r="AC226" s="558"/>
    </row>
    <row r="227" spans="1:68" ht="14.25" customHeight="1" x14ac:dyDescent="0.25">
      <c r="A227" s="570" t="s">
        <v>163</v>
      </c>
      <c r="B227" s="569"/>
      <c r="C227" s="569"/>
      <c r="D227" s="569"/>
      <c r="E227" s="569"/>
      <c r="F227" s="569"/>
      <c r="G227" s="569"/>
      <c r="H227" s="569"/>
      <c r="I227" s="569"/>
      <c r="J227" s="569"/>
      <c r="K227" s="569"/>
      <c r="L227" s="569"/>
      <c r="M227" s="569"/>
      <c r="N227" s="569"/>
      <c r="O227" s="569"/>
      <c r="P227" s="569"/>
      <c r="Q227" s="569"/>
      <c r="R227" s="569"/>
      <c r="S227" s="569"/>
      <c r="T227" s="569"/>
      <c r="U227" s="569"/>
      <c r="V227" s="569"/>
      <c r="W227" s="569"/>
      <c r="X227" s="569"/>
      <c r="Y227" s="569"/>
      <c r="Z227" s="569"/>
      <c r="AA227" s="551"/>
      <c r="AB227" s="551"/>
      <c r="AC227" s="551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8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0"/>
      <c r="R228" s="560"/>
      <c r="S228" s="560"/>
      <c r="T228" s="561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0"/>
      <c r="R229" s="560"/>
      <c r="S229" s="560"/>
      <c r="T229" s="561"/>
      <c r="U229" s="34"/>
      <c r="V229" s="34"/>
      <c r="W229" s="35" t="s">
        <v>69</v>
      </c>
      <c r="X229" s="555">
        <v>0</v>
      </c>
      <c r="Y229" s="556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9"/>
      <c r="C230" s="569"/>
      <c r="D230" s="569"/>
      <c r="E230" s="569"/>
      <c r="F230" s="569"/>
      <c r="G230" s="569"/>
      <c r="H230" s="569"/>
      <c r="I230" s="569"/>
      <c r="J230" s="569"/>
      <c r="K230" s="569"/>
      <c r="L230" s="569"/>
      <c r="M230" s="569"/>
      <c r="N230" s="569"/>
      <c r="O230" s="583"/>
      <c r="P230" s="573" t="s">
        <v>75</v>
      </c>
      <c r="Q230" s="574"/>
      <c r="R230" s="574"/>
      <c r="S230" s="574"/>
      <c r="T230" s="574"/>
      <c r="U230" s="574"/>
      <c r="V230" s="575"/>
      <c r="W230" s="37" t="s">
        <v>76</v>
      </c>
      <c r="X230" s="557">
        <f>IFERROR(X228/H228,"0")+IFERROR(X229/H229,"0")</f>
        <v>0</v>
      </c>
      <c r="Y230" s="557">
        <f>IFERROR(Y228/H228,"0")+IFERROR(Y229/H229,"0")</f>
        <v>0</v>
      </c>
      <c r="Z230" s="557">
        <f>IFERROR(IF(Z228="",0,Z228),"0")+IFERROR(IF(Z229="",0,Z229),"0")</f>
        <v>0</v>
      </c>
      <c r="AA230" s="558"/>
      <c r="AB230" s="558"/>
      <c r="AC230" s="558"/>
    </row>
    <row r="231" spans="1:68" x14ac:dyDescent="0.2">
      <c r="A231" s="569"/>
      <c r="B231" s="569"/>
      <c r="C231" s="569"/>
      <c r="D231" s="569"/>
      <c r="E231" s="569"/>
      <c r="F231" s="569"/>
      <c r="G231" s="569"/>
      <c r="H231" s="569"/>
      <c r="I231" s="569"/>
      <c r="J231" s="569"/>
      <c r="K231" s="569"/>
      <c r="L231" s="569"/>
      <c r="M231" s="569"/>
      <c r="N231" s="569"/>
      <c r="O231" s="583"/>
      <c r="P231" s="573" t="s">
        <v>75</v>
      </c>
      <c r="Q231" s="574"/>
      <c r="R231" s="574"/>
      <c r="S231" s="574"/>
      <c r="T231" s="574"/>
      <c r="U231" s="574"/>
      <c r="V231" s="575"/>
      <c r="W231" s="37" t="s">
        <v>69</v>
      </c>
      <c r="X231" s="557">
        <f>IFERROR(SUM(X228:X229),"0")</f>
        <v>0</v>
      </c>
      <c r="Y231" s="557">
        <f>IFERROR(SUM(Y228:Y229),"0")</f>
        <v>0</v>
      </c>
      <c r="Z231" s="37"/>
      <c r="AA231" s="558"/>
      <c r="AB231" s="558"/>
      <c r="AC231" s="558"/>
    </row>
    <row r="232" spans="1:68" ht="16.5" customHeight="1" x14ac:dyDescent="0.25">
      <c r="A232" s="568" t="s">
        <v>387</v>
      </c>
      <c r="B232" s="569"/>
      <c r="C232" s="569"/>
      <c r="D232" s="569"/>
      <c r="E232" s="569"/>
      <c r="F232" s="569"/>
      <c r="G232" s="569"/>
      <c r="H232" s="569"/>
      <c r="I232" s="569"/>
      <c r="J232" s="569"/>
      <c r="K232" s="569"/>
      <c r="L232" s="569"/>
      <c r="M232" s="569"/>
      <c r="N232" s="569"/>
      <c r="O232" s="569"/>
      <c r="P232" s="569"/>
      <c r="Q232" s="569"/>
      <c r="R232" s="569"/>
      <c r="S232" s="569"/>
      <c r="T232" s="569"/>
      <c r="U232" s="569"/>
      <c r="V232" s="569"/>
      <c r="W232" s="569"/>
      <c r="X232" s="569"/>
      <c r="Y232" s="569"/>
      <c r="Z232" s="569"/>
      <c r="AA232" s="550"/>
      <c r="AB232" s="550"/>
      <c r="AC232" s="550"/>
    </row>
    <row r="233" spans="1:68" ht="14.25" customHeight="1" x14ac:dyDescent="0.25">
      <c r="A233" s="570" t="s">
        <v>103</v>
      </c>
      <c r="B233" s="569"/>
      <c r="C233" s="569"/>
      <c r="D233" s="569"/>
      <c r="E233" s="569"/>
      <c r="F233" s="569"/>
      <c r="G233" s="569"/>
      <c r="H233" s="569"/>
      <c r="I233" s="569"/>
      <c r="J233" s="569"/>
      <c r="K233" s="569"/>
      <c r="L233" s="569"/>
      <c r="M233" s="569"/>
      <c r="N233" s="569"/>
      <c r="O233" s="569"/>
      <c r="P233" s="569"/>
      <c r="Q233" s="569"/>
      <c r="R233" s="569"/>
      <c r="S233" s="569"/>
      <c r="T233" s="569"/>
      <c r="U233" s="569"/>
      <c r="V233" s="569"/>
      <c r="W233" s="569"/>
      <c r="X233" s="569"/>
      <c r="Y233" s="569"/>
      <c r="Z233" s="569"/>
      <c r="AA233" s="551"/>
      <c r="AB233" s="551"/>
      <c r="AC233" s="551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0"/>
      <c r="R234" s="560"/>
      <c r="S234" s="560"/>
      <c r="T234" s="561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6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0"/>
      <c r="R235" s="560"/>
      <c r="S235" s="560"/>
      <c r="T235" s="561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6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0"/>
      <c r="R236" s="560"/>
      <c r="S236" s="560"/>
      <c r="T236" s="561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0"/>
      <c r="R237" s="560"/>
      <c r="S237" s="560"/>
      <c r="T237" s="561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5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0"/>
      <c r="R238" s="560"/>
      <c r="S238" s="560"/>
      <c r="T238" s="561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0"/>
      <c r="R239" s="560"/>
      <c r="S239" s="560"/>
      <c r="T239" s="561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64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0"/>
      <c r="R240" s="560"/>
      <c r="S240" s="560"/>
      <c r="T240" s="561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82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0"/>
      <c r="R241" s="560"/>
      <c r="S241" s="560"/>
      <c r="T241" s="561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63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0"/>
      <c r="R242" s="560"/>
      <c r="S242" s="560"/>
      <c r="T242" s="561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9"/>
      <c r="C243" s="569"/>
      <c r="D243" s="569"/>
      <c r="E243" s="569"/>
      <c r="F243" s="569"/>
      <c r="G243" s="569"/>
      <c r="H243" s="569"/>
      <c r="I243" s="569"/>
      <c r="J243" s="569"/>
      <c r="K243" s="569"/>
      <c r="L243" s="569"/>
      <c r="M243" s="569"/>
      <c r="N243" s="569"/>
      <c r="O243" s="583"/>
      <c r="P243" s="573" t="s">
        <v>75</v>
      </c>
      <c r="Q243" s="574"/>
      <c r="R243" s="574"/>
      <c r="S243" s="574"/>
      <c r="T243" s="574"/>
      <c r="U243" s="574"/>
      <c r="V243" s="575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x14ac:dyDescent="0.2">
      <c r="A244" s="569"/>
      <c r="B244" s="569"/>
      <c r="C244" s="569"/>
      <c r="D244" s="569"/>
      <c r="E244" s="569"/>
      <c r="F244" s="569"/>
      <c r="G244" s="569"/>
      <c r="H244" s="569"/>
      <c r="I244" s="569"/>
      <c r="J244" s="569"/>
      <c r="K244" s="569"/>
      <c r="L244" s="569"/>
      <c r="M244" s="569"/>
      <c r="N244" s="569"/>
      <c r="O244" s="583"/>
      <c r="P244" s="573" t="s">
        <v>75</v>
      </c>
      <c r="Q244" s="574"/>
      <c r="R244" s="574"/>
      <c r="S244" s="574"/>
      <c r="T244" s="574"/>
      <c r="U244" s="574"/>
      <c r="V244" s="575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customHeight="1" x14ac:dyDescent="0.25">
      <c r="A245" s="570" t="s">
        <v>138</v>
      </c>
      <c r="B245" s="569"/>
      <c r="C245" s="569"/>
      <c r="D245" s="569"/>
      <c r="E245" s="569"/>
      <c r="F245" s="569"/>
      <c r="G245" s="569"/>
      <c r="H245" s="569"/>
      <c r="I245" s="569"/>
      <c r="J245" s="569"/>
      <c r="K245" s="569"/>
      <c r="L245" s="569"/>
      <c r="M245" s="569"/>
      <c r="N245" s="569"/>
      <c r="O245" s="569"/>
      <c r="P245" s="569"/>
      <c r="Q245" s="569"/>
      <c r="R245" s="569"/>
      <c r="S245" s="569"/>
      <c r="T245" s="569"/>
      <c r="U245" s="569"/>
      <c r="V245" s="569"/>
      <c r="W245" s="569"/>
      <c r="X245" s="569"/>
      <c r="Y245" s="569"/>
      <c r="Z245" s="569"/>
      <c r="AA245" s="551"/>
      <c r="AB245" s="551"/>
      <c r="AC245" s="551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0"/>
      <c r="R246" s="560"/>
      <c r="S246" s="560"/>
      <c r="T246" s="561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9"/>
      <c r="C247" s="569"/>
      <c r="D247" s="569"/>
      <c r="E247" s="569"/>
      <c r="F247" s="569"/>
      <c r="G247" s="569"/>
      <c r="H247" s="569"/>
      <c r="I247" s="569"/>
      <c r="J247" s="569"/>
      <c r="K247" s="569"/>
      <c r="L247" s="569"/>
      <c r="M247" s="569"/>
      <c r="N247" s="569"/>
      <c r="O247" s="583"/>
      <c r="P247" s="573" t="s">
        <v>75</v>
      </c>
      <c r="Q247" s="574"/>
      <c r="R247" s="574"/>
      <c r="S247" s="574"/>
      <c r="T247" s="574"/>
      <c r="U247" s="574"/>
      <c r="V247" s="575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x14ac:dyDescent="0.2">
      <c r="A248" s="569"/>
      <c r="B248" s="569"/>
      <c r="C248" s="569"/>
      <c r="D248" s="569"/>
      <c r="E248" s="569"/>
      <c r="F248" s="569"/>
      <c r="G248" s="569"/>
      <c r="H248" s="569"/>
      <c r="I248" s="569"/>
      <c r="J248" s="569"/>
      <c r="K248" s="569"/>
      <c r="L248" s="569"/>
      <c r="M248" s="569"/>
      <c r="N248" s="569"/>
      <c r="O248" s="583"/>
      <c r="P248" s="573" t="s">
        <v>75</v>
      </c>
      <c r="Q248" s="574"/>
      <c r="R248" s="574"/>
      <c r="S248" s="574"/>
      <c r="T248" s="574"/>
      <c r="U248" s="574"/>
      <c r="V248" s="575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customHeight="1" x14ac:dyDescent="0.25">
      <c r="A249" s="570" t="s">
        <v>412</v>
      </c>
      <c r="B249" s="569"/>
      <c r="C249" s="569"/>
      <c r="D249" s="569"/>
      <c r="E249" s="569"/>
      <c r="F249" s="569"/>
      <c r="G249" s="569"/>
      <c r="H249" s="569"/>
      <c r="I249" s="569"/>
      <c r="J249" s="569"/>
      <c r="K249" s="569"/>
      <c r="L249" s="569"/>
      <c r="M249" s="569"/>
      <c r="N249" s="569"/>
      <c r="O249" s="569"/>
      <c r="P249" s="569"/>
      <c r="Q249" s="569"/>
      <c r="R249" s="569"/>
      <c r="S249" s="569"/>
      <c r="T249" s="569"/>
      <c r="U249" s="569"/>
      <c r="V249" s="569"/>
      <c r="W249" s="569"/>
      <c r="X249" s="569"/>
      <c r="Y249" s="569"/>
      <c r="Z249" s="569"/>
      <c r="AA249" s="551"/>
      <c r="AB249" s="551"/>
      <c r="AC249" s="551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0"/>
      <c r="R250" s="560"/>
      <c r="S250" s="560"/>
      <c r="T250" s="561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9"/>
      <c r="C251" s="569"/>
      <c r="D251" s="569"/>
      <c r="E251" s="569"/>
      <c r="F251" s="569"/>
      <c r="G251" s="569"/>
      <c r="H251" s="569"/>
      <c r="I251" s="569"/>
      <c r="J251" s="569"/>
      <c r="K251" s="569"/>
      <c r="L251" s="569"/>
      <c r="M251" s="569"/>
      <c r="N251" s="569"/>
      <c r="O251" s="583"/>
      <c r="P251" s="573" t="s">
        <v>75</v>
      </c>
      <c r="Q251" s="574"/>
      <c r="R251" s="574"/>
      <c r="S251" s="574"/>
      <c r="T251" s="574"/>
      <c r="U251" s="574"/>
      <c r="V251" s="575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x14ac:dyDescent="0.2">
      <c r="A252" s="569"/>
      <c r="B252" s="569"/>
      <c r="C252" s="569"/>
      <c r="D252" s="569"/>
      <c r="E252" s="569"/>
      <c r="F252" s="569"/>
      <c r="G252" s="569"/>
      <c r="H252" s="569"/>
      <c r="I252" s="569"/>
      <c r="J252" s="569"/>
      <c r="K252" s="569"/>
      <c r="L252" s="569"/>
      <c r="M252" s="569"/>
      <c r="N252" s="569"/>
      <c r="O252" s="583"/>
      <c r="P252" s="573" t="s">
        <v>75</v>
      </c>
      <c r="Q252" s="574"/>
      <c r="R252" s="574"/>
      <c r="S252" s="574"/>
      <c r="T252" s="574"/>
      <c r="U252" s="574"/>
      <c r="V252" s="575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customHeight="1" x14ac:dyDescent="0.25">
      <c r="A253" s="570" t="s">
        <v>416</v>
      </c>
      <c r="B253" s="569"/>
      <c r="C253" s="569"/>
      <c r="D253" s="569"/>
      <c r="E253" s="569"/>
      <c r="F253" s="569"/>
      <c r="G253" s="569"/>
      <c r="H253" s="569"/>
      <c r="I253" s="569"/>
      <c r="J253" s="569"/>
      <c r="K253" s="569"/>
      <c r="L253" s="569"/>
      <c r="M253" s="569"/>
      <c r="N253" s="569"/>
      <c r="O253" s="569"/>
      <c r="P253" s="569"/>
      <c r="Q253" s="569"/>
      <c r="R253" s="569"/>
      <c r="S253" s="569"/>
      <c r="T253" s="569"/>
      <c r="U253" s="569"/>
      <c r="V253" s="569"/>
      <c r="W253" s="569"/>
      <c r="X253" s="569"/>
      <c r="Y253" s="569"/>
      <c r="Z253" s="569"/>
      <c r="AA253" s="551"/>
      <c r="AB253" s="551"/>
      <c r="AC253" s="551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0"/>
      <c r="R254" s="560"/>
      <c r="S254" s="560"/>
      <c r="T254" s="561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0"/>
      <c r="R255" s="560"/>
      <c r="S255" s="560"/>
      <c r="T255" s="561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0"/>
      <c r="R256" s="560"/>
      <c r="S256" s="560"/>
      <c r="T256" s="561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0"/>
      <c r="R257" s="560"/>
      <c r="S257" s="560"/>
      <c r="T257" s="561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0"/>
      <c r="R258" s="560"/>
      <c r="S258" s="560"/>
      <c r="T258" s="561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9"/>
      <c r="C259" s="569"/>
      <c r="D259" s="569"/>
      <c r="E259" s="569"/>
      <c r="F259" s="569"/>
      <c r="G259" s="569"/>
      <c r="H259" s="569"/>
      <c r="I259" s="569"/>
      <c r="J259" s="569"/>
      <c r="K259" s="569"/>
      <c r="L259" s="569"/>
      <c r="M259" s="569"/>
      <c r="N259" s="569"/>
      <c r="O259" s="583"/>
      <c r="P259" s="573" t="s">
        <v>75</v>
      </c>
      <c r="Q259" s="574"/>
      <c r="R259" s="574"/>
      <c r="S259" s="574"/>
      <c r="T259" s="574"/>
      <c r="U259" s="574"/>
      <c r="V259" s="575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x14ac:dyDescent="0.2">
      <c r="A260" s="569"/>
      <c r="B260" s="569"/>
      <c r="C260" s="569"/>
      <c r="D260" s="569"/>
      <c r="E260" s="569"/>
      <c r="F260" s="569"/>
      <c r="G260" s="569"/>
      <c r="H260" s="569"/>
      <c r="I260" s="569"/>
      <c r="J260" s="569"/>
      <c r="K260" s="569"/>
      <c r="L260" s="569"/>
      <c r="M260" s="569"/>
      <c r="N260" s="569"/>
      <c r="O260" s="583"/>
      <c r="P260" s="573" t="s">
        <v>75</v>
      </c>
      <c r="Q260" s="574"/>
      <c r="R260" s="574"/>
      <c r="S260" s="574"/>
      <c r="T260" s="574"/>
      <c r="U260" s="574"/>
      <c r="V260" s="575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customHeight="1" x14ac:dyDescent="0.25">
      <c r="A261" s="568" t="s">
        <v>428</v>
      </c>
      <c r="B261" s="569"/>
      <c r="C261" s="569"/>
      <c r="D261" s="569"/>
      <c r="E261" s="569"/>
      <c r="F261" s="569"/>
      <c r="G261" s="569"/>
      <c r="H261" s="569"/>
      <c r="I261" s="569"/>
      <c r="J261" s="569"/>
      <c r="K261" s="569"/>
      <c r="L261" s="569"/>
      <c r="M261" s="569"/>
      <c r="N261" s="569"/>
      <c r="O261" s="569"/>
      <c r="P261" s="569"/>
      <c r="Q261" s="569"/>
      <c r="R261" s="569"/>
      <c r="S261" s="569"/>
      <c r="T261" s="569"/>
      <c r="U261" s="569"/>
      <c r="V261" s="569"/>
      <c r="W261" s="569"/>
      <c r="X261" s="569"/>
      <c r="Y261" s="569"/>
      <c r="Z261" s="569"/>
      <c r="AA261" s="550"/>
      <c r="AB261" s="550"/>
      <c r="AC261" s="550"/>
    </row>
    <row r="262" spans="1:68" ht="14.25" customHeight="1" x14ac:dyDescent="0.25">
      <c r="A262" s="570" t="s">
        <v>103</v>
      </c>
      <c r="B262" s="569"/>
      <c r="C262" s="569"/>
      <c r="D262" s="569"/>
      <c r="E262" s="569"/>
      <c r="F262" s="569"/>
      <c r="G262" s="569"/>
      <c r="H262" s="569"/>
      <c r="I262" s="569"/>
      <c r="J262" s="569"/>
      <c r="K262" s="569"/>
      <c r="L262" s="569"/>
      <c r="M262" s="569"/>
      <c r="N262" s="569"/>
      <c r="O262" s="569"/>
      <c r="P262" s="569"/>
      <c r="Q262" s="569"/>
      <c r="R262" s="569"/>
      <c r="S262" s="569"/>
      <c r="T262" s="569"/>
      <c r="U262" s="569"/>
      <c r="V262" s="569"/>
      <c r="W262" s="569"/>
      <c r="X262" s="569"/>
      <c r="Y262" s="569"/>
      <c r="Z262" s="569"/>
      <c r="AA262" s="551"/>
      <c r="AB262" s="551"/>
      <c r="AC262" s="551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0"/>
      <c r="R263" s="560"/>
      <c r="S263" s="560"/>
      <c r="T263" s="561"/>
      <c r="U263" s="34"/>
      <c r="V263" s="34"/>
      <c r="W263" s="35" t="s">
        <v>69</v>
      </c>
      <c r="X263" s="555">
        <v>90</v>
      </c>
      <c r="Y263" s="556">
        <f>IFERROR(IF(X263="",0,CEILING((X263/$H263),1)*$H263),"")</f>
        <v>97.2</v>
      </c>
      <c r="Z263" s="36">
        <f>IFERROR(IF(Y263=0,"",ROUNDUP(Y263/H263,0)*0.01898),"")</f>
        <v>0.17082</v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93.416666666666671</v>
      </c>
      <c r="BN263" s="64">
        <f>IFERROR(Y263*I263/H263,"0")</f>
        <v>100.89</v>
      </c>
      <c r="BO263" s="64">
        <f>IFERROR(1/J263*(X263/H263),"0")</f>
        <v>0.13020833333333331</v>
      </c>
      <c r="BP263" s="64">
        <f>IFERROR(1/J263*(Y263/H263),"0")</f>
        <v>0.140625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0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0"/>
      <c r="R264" s="560"/>
      <c r="S264" s="560"/>
      <c r="T264" s="561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0"/>
      <c r="R265" s="560"/>
      <c r="S265" s="560"/>
      <c r="T265" s="561"/>
      <c r="U265" s="34"/>
      <c r="V265" s="34"/>
      <c r="W265" s="35" t="s">
        <v>69</v>
      </c>
      <c r="X265" s="555">
        <v>240</v>
      </c>
      <c r="Y265" s="556">
        <f>IFERROR(IF(X265="",0,CEILING((X265/$H265),1)*$H265),"")</f>
        <v>248.4</v>
      </c>
      <c r="Z265" s="36">
        <f>IFERROR(IF(Y265=0,"",ROUNDUP(Y265/H265,0)*0.01898),"")</f>
        <v>0.43653999999999998</v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249.11111111111111</v>
      </c>
      <c r="BN265" s="64">
        <f>IFERROR(Y265*I265/H265,"0")</f>
        <v>257.83</v>
      </c>
      <c r="BO265" s="64">
        <f>IFERROR(1/J265*(X265/H265),"0")</f>
        <v>0.34722222222222221</v>
      </c>
      <c r="BP265" s="64">
        <f>IFERROR(1/J265*(Y265/H265),"0")</f>
        <v>0.359375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62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0"/>
      <c r="R266" s="560"/>
      <c r="S266" s="560"/>
      <c r="T266" s="561"/>
      <c r="U266" s="34"/>
      <c r="V266" s="34"/>
      <c r="W266" s="35" t="s">
        <v>69</v>
      </c>
      <c r="X266" s="555">
        <v>5</v>
      </c>
      <c r="Y266" s="556">
        <f>IFERROR(IF(X266="",0,CEILING((X266/$H266),1)*$H266),"")</f>
        <v>8</v>
      </c>
      <c r="Z266" s="36">
        <f>IFERROR(IF(Y266=0,"",ROUNDUP(Y266/H266,0)*0.00902),"")</f>
        <v>1.804E-2</v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5.2375000000000007</v>
      </c>
      <c r="BN266" s="64">
        <f>IFERROR(Y266*I266/H266,"0")</f>
        <v>8.3800000000000008</v>
      </c>
      <c r="BO266" s="64">
        <f>IFERROR(1/J266*(X266/H266),"0")</f>
        <v>9.46969696969697E-3</v>
      </c>
      <c r="BP266" s="64">
        <f>IFERROR(1/J266*(Y266/H266),"0")</f>
        <v>1.5151515151515152E-2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0"/>
      <c r="R267" s="560"/>
      <c r="S267" s="560"/>
      <c r="T267" s="561"/>
      <c r="U267" s="34"/>
      <c r="V267" s="34"/>
      <c r="W267" s="35" t="s">
        <v>69</v>
      </c>
      <c r="X267" s="555">
        <v>16</v>
      </c>
      <c r="Y267" s="556">
        <f>IFERROR(IF(X267="",0,CEILING((X267/$H267),1)*$H267),"")</f>
        <v>16</v>
      </c>
      <c r="Z267" s="36">
        <f>IFERROR(IF(Y267=0,"",ROUNDUP(Y267/H267,0)*0.00902),"")</f>
        <v>3.6080000000000001E-2</v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16.760000000000002</v>
      </c>
      <c r="BN267" s="64">
        <f>IFERROR(Y267*I267/H267,"0")</f>
        <v>16.760000000000002</v>
      </c>
      <c r="BO267" s="64">
        <f>IFERROR(1/J267*(X267/H267),"0")</f>
        <v>3.0303030303030304E-2</v>
      </c>
      <c r="BP267" s="64">
        <f>IFERROR(1/J267*(Y267/H267),"0")</f>
        <v>3.0303030303030304E-2</v>
      </c>
    </row>
    <row r="268" spans="1:68" x14ac:dyDescent="0.2">
      <c r="A268" s="582"/>
      <c r="B268" s="569"/>
      <c r="C268" s="569"/>
      <c r="D268" s="569"/>
      <c r="E268" s="569"/>
      <c r="F268" s="569"/>
      <c r="G268" s="569"/>
      <c r="H268" s="569"/>
      <c r="I268" s="569"/>
      <c r="J268" s="569"/>
      <c r="K268" s="569"/>
      <c r="L268" s="569"/>
      <c r="M268" s="569"/>
      <c r="N268" s="569"/>
      <c r="O268" s="583"/>
      <c r="P268" s="573" t="s">
        <v>75</v>
      </c>
      <c r="Q268" s="574"/>
      <c r="R268" s="574"/>
      <c r="S268" s="574"/>
      <c r="T268" s="574"/>
      <c r="U268" s="574"/>
      <c r="V268" s="575"/>
      <c r="W268" s="37" t="s">
        <v>76</v>
      </c>
      <c r="X268" s="557">
        <f>IFERROR(X263/H263,"0")+IFERROR(X264/H264,"0")+IFERROR(X265/H265,"0")+IFERROR(X266/H266,"0")+IFERROR(X267/H267,"0")</f>
        <v>35.805555555555557</v>
      </c>
      <c r="Y268" s="557">
        <f>IFERROR(Y263/H263,"0")+IFERROR(Y264/H264,"0")+IFERROR(Y265/H265,"0")+IFERROR(Y266/H266,"0")+IFERROR(Y267/H267,"0")</f>
        <v>38</v>
      </c>
      <c r="Z268" s="557">
        <f>IFERROR(IF(Z263="",0,Z263),"0")+IFERROR(IF(Z264="",0,Z264),"0")+IFERROR(IF(Z265="",0,Z265),"0")+IFERROR(IF(Z266="",0,Z266),"0")+IFERROR(IF(Z267="",0,Z267),"0")</f>
        <v>0.66147999999999996</v>
      </c>
      <c r="AA268" s="558"/>
      <c r="AB268" s="558"/>
      <c r="AC268" s="558"/>
    </row>
    <row r="269" spans="1:68" x14ac:dyDescent="0.2">
      <c r="A269" s="569"/>
      <c r="B269" s="569"/>
      <c r="C269" s="569"/>
      <c r="D269" s="569"/>
      <c r="E269" s="569"/>
      <c r="F269" s="569"/>
      <c r="G269" s="569"/>
      <c r="H269" s="569"/>
      <c r="I269" s="569"/>
      <c r="J269" s="569"/>
      <c r="K269" s="569"/>
      <c r="L269" s="569"/>
      <c r="M269" s="569"/>
      <c r="N269" s="569"/>
      <c r="O269" s="583"/>
      <c r="P269" s="573" t="s">
        <v>75</v>
      </c>
      <c r="Q269" s="574"/>
      <c r="R269" s="574"/>
      <c r="S269" s="574"/>
      <c r="T269" s="574"/>
      <c r="U269" s="574"/>
      <c r="V269" s="575"/>
      <c r="W269" s="37" t="s">
        <v>69</v>
      </c>
      <c r="X269" s="557">
        <f>IFERROR(SUM(X263:X267),"0")</f>
        <v>351</v>
      </c>
      <c r="Y269" s="557">
        <f>IFERROR(SUM(Y263:Y267),"0")</f>
        <v>369.6</v>
      </c>
      <c r="Z269" s="37"/>
      <c r="AA269" s="558"/>
      <c r="AB269" s="558"/>
      <c r="AC269" s="558"/>
    </row>
    <row r="270" spans="1:68" ht="16.5" customHeight="1" x14ac:dyDescent="0.25">
      <c r="A270" s="568" t="s">
        <v>444</v>
      </c>
      <c r="B270" s="569"/>
      <c r="C270" s="569"/>
      <c r="D270" s="569"/>
      <c r="E270" s="569"/>
      <c r="F270" s="569"/>
      <c r="G270" s="569"/>
      <c r="H270" s="569"/>
      <c r="I270" s="569"/>
      <c r="J270" s="569"/>
      <c r="K270" s="569"/>
      <c r="L270" s="569"/>
      <c r="M270" s="569"/>
      <c r="N270" s="569"/>
      <c r="O270" s="569"/>
      <c r="P270" s="569"/>
      <c r="Q270" s="569"/>
      <c r="R270" s="569"/>
      <c r="S270" s="569"/>
      <c r="T270" s="569"/>
      <c r="U270" s="569"/>
      <c r="V270" s="569"/>
      <c r="W270" s="569"/>
      <c r="X270" s="569"/>
      <c r="Y270" s="569"/>
      <c r="Z270" s="569"/>
      <c r="AA270" s="550"/>
      <c r="AB270" s="550"/>
      <c r="AC270" s="550"/>
    </row>
    <row r="271" spans="1:68" ht="14.25" customHeight="1" x14ac:dyDescent="0.25">
      <c r="A271" s="570" t="s">
        <v>103</v>
      </c>
      <c r="B271" s="569"/>
      <c r="C271" s="569"/>
      <c r="D271" s="569"/>
      <c r="E271" s="569"/>
      <c r="F271" s="569"/>
      <c r="G271" s="569"/>
      <c r="H271" s="569"/>
      <c r="I271" s="569"/>
      <c r="J271" s="569"/>
      <c r="K271" s="569"/>
      <c r="L271" s="569"/>
      <c r="M271" s="569"/>
      <c r="N271" s="569"/>
      <c r="O271" s="569"/>
      <c r="P271" s="569"/>
      <c r="Q271" s="569"/>
      <c r="R271" s="569"/>
      <c r="S271" s="569"/>
      <c r="T271" s="569"/>
      <c r="U271" s="569"/>
      <c r="V271" s="569"/>
      <c r="W271" s="569"/>
      <c r="X271" s="569"/>
      <c r="Y271" s="569"/>
      <c r="Z271" s="569"/>
      <c r="AA271" s="551"/>
      <c r="AB271" s="551"/>
      <c r="AC271" s="551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1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0"/>
      <c r="R272" s="560"/>
      <c r="S272" s="560"/>
      <c r="T272" s="561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64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0"/>
      <c r="R273" s="560"/>
      <c r="S273" s="560"/>
      <c r="T273" s="561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0"/>
      <c r="R274" s="560"/>
      <c r="S274" s="560"/>
      <c r="T274" s="561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0"/>
      <c r="R275" s="560"/>
      <c r="S275" s="560"/>
      <c r="T275" s="561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9"/>
      <c r="C276" s="569"/>
      <c r="D276" s="569"/>
      <c r="E276" s="569"/>
      <c r="F276" s="569"/>
      <c r="G276" s="569"/>
      <c r="H276" s="569"/>
      <c r="I276" s="569"/>
      <c r="J276" s="569"/>
      <c r="K276" s="569"/>
      <c r="L276" s="569"/>
      <c r="M276" s="569"/>
      <c r="N276" s="569"/>
      <c r="O276" s="583"/>
      <c r="P276" s="573" t="s">
        <v>75</v>
      </c>
      <c r="Q276" s="574"/>
      <c r="R276" s="574"/>
      <c r="S276" s="574"/>
      <c r="T276" s="574"/>
      <c r="U276" s="574"/>
      <c r="V276" s="575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x14ac:dyDescent="0.2">
      <c r="A277" s="569"/>
      <c r="B277" s="569"/>
      <c r="C277" s="569"/>
      <c r="D277" s="569"/>
      <c r="E277" s="569"/>
      <c r="F277" s="569"/>
      <c r="G277" s="569"/>
      <c r="H277" s="569"/>
      <c r="I277" s="569"/>
      <c r="J277" s="569"/>
      <c r="K277" s="569"/>
      <c r="L277" s="569"/>
      <c r="M277" s="569"/>
      <c r="N277" s="569"/>
      <c r="O277" s="583"/>
      <c r="P277" s="573" t="s">
        <v>75</v>
      </c>
      <c r="Q277" s="574"/>
      <c r="R277" s="574"/>
      <c r="S277" s="574"/>
      <c r="T277" s="574"/>
      <c r="U277" s="574"/>
      <c r="V277" s="575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customHeight="1" x14ac:dyDescent="0.25">
      <c r="A278" s="568" t="s">
        <v>455</v>
      </c>
      <c r="B278" s="569"/>
      <c r="C278" s="569"/>
      <c r="D278" s="569"/>
      <c r="E278" s="569"/>
      <c r="F278" s="569"/>
      <c r="G278" s="569"/>
      <c r="H278" s="569"/>
      <c r="I278" s="569"/>
      <c r="J278" s="569"/>
      <c r="K278" s="569"/>
      <c r="L278" s="569"/>
      <c r="M278" s="569"/>
      <c r="N278" s="569"/>
      <c r="O278" s="569"/>
      <c r="P278" s="569"/>
      <c r="Q278" s="569"/>
      <c r="R278" s="569"/>
      <c r="S278" s="569"/>
      <c r="T278" s="569"/>
      <c r="U278" s="569"/>
      <c r="V278" s="569"/>
      <c r="W278" s="569"/>
      <c r="X278" s="569"/>
      <c r="Y278" s="569"/>
      <c r="Z278" s="569"/>
      <c r="AA278" s="550"/>
      <c r="AB278" s="550"/>
      <c r="AC278" s="550"/>
    </row>
    <row r="279" spans="1:68" ht="14.25" customHeight="1" x14ac:dyDescent="0.25">
      <c r="A279" s="570" t="s">
        <v>77</v>
      </c>
      <c r="B279" s="569"/>
      <c r="C279" s="569"/>
      <c r="D279" s="569"/>
      <c r="E279" s="569"/>
      <c r="F279" s="569"/>
      <c r="G279" s="569"/>
      <c r="H279" s="569"/>
      <c r="I279" s="569"/>
      <c r="J279" s="569"/>
      <c r="K279" s="569"/>
      <c r="L279" s="569"/>
      <c r="M279" s="569"/>
      <c r="N279" s="569"/>
      <c r="O279" s="569"/>
      <c r="P279" s="569"/>
      <c r="Q279" s="569"/>
      <c r="R279" s="569"/>
      <c r="S279" s="569"/>
      <c r="T279" s="569"/>
      <c r="U279" s="569"/>
      <c r="V279" s="569"/>
      <c r="W279" s="569"/>
      <c r="X279" s="569"/>
      <c r="Y279" s="569"/>
      <c r="Z279" s="569"/>
      <c r="AA279" s="551"/>
      <c r="AB279" s="551"/>
      <c r="AC279" s="551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0"/>
      <c r="R280" s="560"/>
      <c r="S280" s="560"/>
      <c r="T280" s="561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0"/>
      <c r="R281" s="560"/>
      <c r="S281" s="560"/>
      <c r="T281" s="561"/>
      <c r="U281" s="34"/>
      <c r="V281" s="34"/>
      <c r="W281" s="35" t="s">
        <v>69</v>
      </c>
      <c r="X281" s="555">
        <v>0</v>
      </c>
      <c r="Y281" s="556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0"/>
      <c r="R282" s="560"/>
      <c r="S282" s="560"/>
      <c r="T282" s="561"/>
      <c r="U282" s="34"/>
      <c r="V282" s="34"/>
      <c r="W282" s="35" t="s">
        <v>69</v>
      </c>
      <c r="X282" s="555">
        <v>0</v>
      </c>
      <c r="Y282" s="556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9"/>
      <c r="C283" s="569"/>
      <c r="D283" s="569"/>
      <c r="E283" s="569"/>
      <c r="F283" s="569"/>
      <c r="G283" s="569"/>
      <c r="H283" s="569"/>
      <c r="I283" s="569"/>
      <c r="J283" s="569"/>
      <c r="K283" s="569"/>
      <c r="L283" s="569"/>
      <c r="M283" s="569"/>
      <c r="N283" s="569"/>
      <c r="O283" s="583"/>
      <c r="P283" s="573" t="s">
        <v>75</v>
      </c>
      <c r="Q283" s="574"/>
      <c r="R283" s="574"/>
      <c r="S283" s="574"/>
      <c r="T283" s="574"/>
      <c r="U283" s="574"/>
      <c r="V283" s="575"/>
      <c r="W283" s="37" t="s">
        <v>76</v>
      </c>
      <c r="X283" s="557">
        <f>IFERROR(X280/H280,"0")+IFERROR(X281/H281,"0")+IFERROR(X282/H282,"0")</f>
        <v>0</v>
      </c>
      <c r="Y283" s="557">
        <f>IFERROR(Y280/H280,"0")+IFERROR(Y281/H281,"0")+IFERROR(Y282/H282,"0")</f>
        <v>0</v>
      </c>
      <c r="Z283" s="557">
        <f>IFERROR(IF(Z280="",0,Z280),"0")+IFERROR(IF(Z281="",0,Z281),"0")+IFERROR(IF(Z282="",0,Z282),"0")</f>
        <v>0</v>
      </c>
      <c r="AA283" s="558"/>
      <c r="AB283" s="558"/>
      <c r="AC283" s="558"/>
    </row>
    <row r="284" spans="1:68" x14ac:dyDescent="0.2">
      <c r="A284" s="569"/>
      <c r="B284" s="569"/>
      <c r="C284" s="569"/>
      <c r="D284" s="569"/>
      <c r="E284" s="569"/>
      <c r="F284" s="569"/>
      <c r="G284" s="569"/>
      <c r="H284" s="569"/>
      <c r="I284" s="569"/>
      <c r="J284" s="569"/>
      <c r="K284" s="569"/>
      <c r="L284" s="569"/>
      <c r="M284" s="569"/>
      <c r="N284" s="569"/>
      <c r="O284" s="583"/>
      <c r="P284" s="573" t="s">
        <v>75</v>
      </c>
      <c r="Q284" s="574"/>
      <c r="R284" s="574"/>
      <c r="S284" s="574"/>
      <c r="T284" s="574"/>
      <c r="U284" s="574"/>
      <c r="V284" s="575"/>
      <c r="W284" s="37" t="s">
        <v>69</v>
      </c>
      <c r="X284" s="557">
        <f>IFERROR(SUM(X280:X282),"0")</f>
        <v>0</v>
      </c>
      <c r="Y284" s="557">
        <f>IFERROR(SUM(Y280:Y282),"0")</f>
        <v>0</v>
      </c>
      <c r="Z284" s="37"/>
      <c r="AA284" s="558"/>
      <c r="AB284" s="558"/>
      <c r="AC284" s="558"/>
    </row>
    <row r="285" spans="1:68" ht="16.5" customHeight="1" x14ac:dyDescent="0.25">
      <c r="A285" s="568" t="s">
        <v>464</v>
      </c>
      <c r="B285" s="569"/>
      <c r="C285" s="569"/>
      <c r="D285" s="569"/>
      <c r="E285" s="569"/>
      <c r="F285" s="569"/>
      <c r="G285" s="569"/>
      <c r="H285" s="569"/>
      <c r="I285" s="569"/>
      <c r="J285" s="569"/>
      <c r="K285" s="569"/>
      <c r="L285" s="569"/>
      <c r="M285" s="569"/>
      <c r="N285" s="569"/>
      <c r="O285" s="569"/>
      <c r="P285" s="569"/>
      <c r="Q285" s="569"/>
      <c r="R285" s="569"/>
      <c r="S285" s="569"/>
      <c r="T285" s="569"/>
      <c r="U285" s="569"/>
      <c r="V285" s="569"/>
      <c r="W285" s="569"/>
      <c r="X285" s="569"/>
      <c r="Y285" s="569"/>
      <c r="Z285" s="569"/>
      <c r="AA285" s="550"/>
      <c r="AB285" s="550"/>
      <c r="AC285" s="550"/>
    </row>
    <row r="286" spans="1:68" ht="14.25" customHeight="1" x14ac:dyDescent="0.25">
      <c r="A286" s="570" t="s">
        <v>64</v>
      </c>
      <c r="B286" s="569"/>
      <c r="C286" s="569"/>
      <c r="D286" s="569"/>
      <c r="E286" s="569"/>
      <c r="F286" s="569"/>
      <c r="G286" s="569"/>
      <c r="H286" s="569"/>
      <c r="I286" s="569"/>
      <c r="J286" s="569"/>
      <c r="K286" s="569"/>
      <c r="L286" s="569"/>
      <c r="M286" s="569"/>
      <c r="N286" s="569"/>
      <c r="O286" s="569"/>
      <c r="P286" s="569"/>
      <c r="Q286" s="569"/>
      <c r="R286" s="569"/>
      <c r="S286" s="569"/>
      <c r="T286" s="569"/>
      <c r="U286" s="569"/>
      <c r="V286" s="569"/>
      <c r="W286" s="569"/>
      <c r="X286" s="569"/>
      <c r="Y286" s="569"/>
      <c r="Z286" s="569"/>
      <c r="AA286" s="551"/>
      <c r="AB286" s="551"/>
      <c r="AC286" s="551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0"/>
      <c r="R287" s="560"/>
      <c r="S287" s="560"/>
      <c r="T287" s="561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0"/>
      <c r="R288" s="560"/>
      <c r="S288" s="560"/>
      <c r="T288" s="561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9"/>
      <c r="C289" s="569"/>
      <c r="D289" s="569"/>
      <c r="E289" s="569"/>
      <c r="F289" s="569"/>
      <c r="G289" s="569"/>
      <c r="H289" s="569"/>
      <c r="I289" s="569"/>
      <c r="J289" s="569"/>
      <c r="K289" s="569"/>
      <c r="L289" s="569"/>
      <c r="M289" s="569"/>
      <c r="N289" s="569"/>
      <c r="O289" s="583"/>
      <c r="P289" s="573" t="s">
        <v>75</v>
      </c>
      <c r="Q289" s="574"/>
      <c r="R289" s="574"/>
      <c r="S289" s="574"/>
      <c r="T289" s="574"/>
      <c r="U289" s="574"/>
      <c r="V289" s="575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x14ac:dyDescent="0.2">
      <c r="A290" s="569"/>
      <c r="B290" s="569"/>
      <c r="C290" s="569"/>
      <c r="D290" s="569"/>
      <c r="E290" s="569"/>
      <c r="F290" s="569"/>
      <c r="G290" s="569"/>
      <c r="H290" s="569"/>
      <c r="I290" s="569"/>
      <c r="J290" s="569"/>
      <c r="K290" s="569"/>
      <c r="L290" s="569"/>
      <c r="M290" s="569"/>
      <c r="N290" s="569"/>
      <c r="O290" s="583"/>
      <c r="P290" s="573" t="s">
        <v>75</v>
      </c>
      <c r="Q290" s="574"/>
      <c r="R290" s="574"/>
      <c r="S290" s="574"/>
      <c r="T290" s="574"/>
      <c r="U290" s="574"/>
      <c r="V290" s="575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customHeight="1" x14ac:dyDescent="0.25">
      <c r="A291" s="570" t="s">
        <v>77</v>
      </c>
      <c r="B291" s="569"/>
      <c r="C291" s="569"/>
      <c r="D291" s="569"/>
      <c r="E291" s="569"/>
      <c r="F291" s="569"/>
      <c r="G291" s="569"/>
      <c r="H291" s="569"/>
      <c r="I291" s="569"/>
      <c r="J291" s="569"/>
      <c r="K291" s="569"/>
      <c r="L291" s="569"/>
      <c r="M291" s="569"/>
      <c r="N291" s="569"/>
      <c r="O291" s="569"/>
      <c r="P291" s="569"/>
      <c r="Q291" s="569"/>
      <c r="R291" s="569"/>
      <c r="S291" s="569"/>
      <c r="T291" s="569"/>
      <c r="U291" s="569"/>
      <c r="V291" s="569"/>
      <c r="W291" s="569"/>
      <c r="X291" s="569"/>
      <c r="Y291" s="569"/>
      <c r="Z291" s="569"/>
      <c r="AA291" s="551"/>
      <c r="AB291" s="551"/>
      <c r="AC291" s="551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8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0"/>
      <c r="R292" s="560"/>
      <c r="S292" s="560"/>
      <c r="T292" s="561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8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0"/>
      <c r="R293" s="560"/>
      <c r="S293" s="560"/>
      <c r="T293" s="561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9"/>
      <c r="C294" s="569"/>
      <c r="D294" s="569"/>
      <c r="E294" s="569"/>
      <c r="F294" s="569"/>
      <c r="G294" s="569"/>
      <c r="H294" s="569"/>
      <c r="I294" s="569"/>
      <c r="J294" s="569"/>
      <c r="K294" s="569"/>
      <c r="L294" s="569"/>
      <c r="M294" s="569"/>
      <c r="N294" s="569"/>
      <c r="O294" s="583"/>
      <c r="P294" s="573" t="s">
        <v>75</v>
      </c>
      <c r="Q294" s="574"/>
      <c r="R294" s="574"/>
      <c r="S294" s="574"/>
      <c r="T294" s="574"/>
      <c r="U294" s="574"/>
      <c r="V294" s="575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x14ac:dyDescent="0.2">
      <c r="A295" s="569"/>
      <c r="B295" s="569"/>
      <c r="C295" s="569"/>
      <c r="D295" s="569"/>
      <c r="E295" s="569"/>
      <c r="F295" s="569"/>
      <c r="G295" s="569"/>
      <c r="H295" s="569"/>
      <c r="I295" s="569"/>
      <c r="J295" s="569"/>
      <c r="K295" s="569"/>
      <c r="L295" s="569"/>
      <c r="M295" s="569"/>
      <c r="N295" s="569"/>
      <c r="O295" s="583"/>
      <c r="P295" s="573" t="s">
        <v>75</v>
      </c>
      <c r="Q295" s="574"/>
      <c r="R295" s="574"/>
      <c r="S295" s="574"/>
      <c r="T295" s="574"/>
      <c r="U295" s="574"/>
      <c r="V295" s="575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customHeight="1" x14ac:dyDescent="0.25">
      <c r="A296" s="568" t="s">
        <v>477</v>
      </c>
      <c r="B296" s="569"/>
      <c r="C296" s="569"/>
      <c r="D296" s="569"/>
      <c r="E296" s="569"/>
      <c r="F296" s="569"/>
      <c r="G296" s="569"/>
      <c r="H296" s="569"/>
      <c r="I296" s="569"/>
      <c r="J296" s="569"/>
      <c r="K296" s="569"/>
      <c r="L296" s="569"/>
      <c r="M296" s="569"/>
      <c r="N296" s="569"/>
      <c r="O296" s="569"/>
      <c r="P296" s="569"/>
      <c r="Q296" s="569"/>
      <c r="R296" s="569"/>
      <c r="S296" s="569"/>
      <c r="T296" s="569"/>
      <c r="U296" s="569"/>
      <c r="V296" s="569"/>
      <c r="W296" s="569"/>
      <c r="X296" s="569"/>
      <c r="Y296" s="569"/>
      <c r="Z296" s="569"/>
      <c r="AA296" s="550"/>
      <c r="AB296" s="550"/>
      <c r="AC296" s="550"/>
    </row>
    <row r="297" spans="1:68" ht="14.25" customHeight="1" x14ac:dyDescent="0.25">
      <c r="A297" s="570" t="s">
        <v>103</v>
      </c>
      <c r="B297" s="569"/>
      <c r="C297" s="569"/>
      <c r="D297" s="569"/>
      <c r="E297" s="569"/>
      <c r="F297" s="569"/>
      <c r="G297" s="569"/>
      <c r="H297" s="569"/>
      <c r="I297" s="569"/>
      <c r="J297" s="569"/>
      <c r="K297" s="569"/>
      <c r="L297" s="569"/>
      <c r="M297" s="569"/>
      <c r="N297" s="569"/>
      <c r="O297" s="569"/>
      <c r="P297" s="569"/>
      <c r="Q297" s="569"/>
      <c r="R297" s="569"/>
      <c r="S297" s="569"/>
      <c r="T297" s="569"/>
      <c r="U297" s="569"/>
      <c r="V297" s="569"/>
      <c r="W297" s="569"/>
      <c r="X297" s="569"/>
      <c r="Y297" s="569"/>
      <c r="Z297" s="569"/>
      <c r="AA297" s="551"/>
      <c r="AB297" s="551"/>
      <c r="AC297" s="551"/>
    </row>
    <row r="298" spans="1:68" ht="27" customHeight="1" x14ac:dyDescent="0.25">
      <c r="A298" s="54" t="s">
        <v>478</v>
      </c>
      <c r="B298" s="54" t="s">
        <v>479</v>
      </c>
      <c r="C298" s="31">
        <v>4301012126</v>
      </c>
      <c r="D298" s="562">
        <v>4607091386004</v>
      </c>
      <c r="E298" s="563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8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0"/>
      <c r="R298" s="560"/>
      <c r="S298" s="560"/>
      <c r="T298" s="561"/>
      <c r="U298" s="34"/>
      <c r="V298" s="34"/>
      <c r="W298" s="35" t="s">
        <v>69</v>
      </c>
      <c r="X298" s="555">
        <v>0</v>
      </c>
      <c r="Y298" s="556">
        <f t="shared" ref="Y298:Y303" si="31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0</v>
      </c>
      <c r="BN298" s="64">
        <f t="shared" ref="BN298:BN303" si="33">IFERROR(Y298*I298/H298,"0")</f>
        <v>0</v>
      </c>
      <c r="BO298" s="64">
        <f t="shared" ref="BO298:BO303" si="34">IFERROR(1/J298*(X298/H298),"0")</f>
        <v>0</v>
      </c>
      <c r="BP298" s="64">
        <f t="shared" ref="BP298:BP303" si="35">IFERROR(1/J298*(Y298/H298),"0")</f>
        <v>0</v>
      </c>
    </row>
    <row r="299" spans="1:68" ht="27" customHeight="1" x14ac:dyDescent="0.25">
      <c r="A299" s="54" t="s">
        <v>481</v>
      </c>
      <c r="B299" s="54" t="s">
        <v>482</v>
      </c>
      <c r="C299" s="31">
        <v>4301012024</v>
      </c>
      <c r="D299" s="562">
        <v>4680115885615</v>
      </c>
      <c r="E299" s="563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6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0"/>
      <c r="R299" s="560"/>
      <c r="S299" s="560"/>
      <c r="T299" s="561"/>
      <c r="U299" s="34"/>
      <c r="V299" s="34"/>
      <c r="W299" s="35" t="s">
        <v>69</v>
      </c>
      <c r="X299" s="555">
        <v>190</v>
      </c>
      <c r="Y299" s="556">
        <f t="shared" si="31"/>
        <v>194.4</v>
      </c>
      <c r="Z299" s="36">
        <f>IFERROR(IF(Y299=0,"",ROUNDUP(Y299/H299,0)*0.01898),"")</f>
        <v>0.34164</v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197.21296296296296</v>
      </c>
      <c r="BN299" s="64">
        <f t="shared" si="33"/>
        <v>201.78</v>
      </c>
      <c r="BO299" s="64">
        <f t="shared" si="34"/>
        <v>0.27488425925925924</v>
      </c>
      <c r="BP299" s="64">
        <f t="shared" si="35"/>
        <v>0.28125</v>
      </c>
    </row>
    <row r="300" spans="1:68" ht="37.5" customHeight="1" x14ac:dyDescent="0.25">
      <c r="A300" s="54" t="s">
        <v>484</v>
      </c>
      <c r="B300" s="54" t="s">
        <v>485</v>
      </c>
      <c r="C300" s="31">
        <v>4301011858</v>
      </c>
      <c r="D300" s="562">
        <v>4680115885646</v>
      </c>
      <c r="E300" s="563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6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0"/>
      <c r="R300" s="560"/>
      <c r="S300" s="560"/>
      <c r="T300" s="561"/>
      <c r="U300" s="34"/>
      <c r="V300" s="34"/>
      <c r="W300" s="35" t="s">
        <v>69</v>
      </c>
      <c r="X300" s="555">
        <v>160</v>
      </c>
      <c r="Y300" s="556">
        <f t="shared" si="31"/>
        <v>162</v>
      </c>
      <c r="Z300" s="36">
        <f>IFERROR(IF(Y300=0,"",ROUNDUP(Y300/H300,0)*0.01898),"")</f>
        <v>0.28470000000000001</v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166.07407407407408</v>
      </c>
      <c r="BN300" s="64">
        <f t="shared" si="33"/>
        <v>168.15</v>
      </c>
      <c r="BO300" s="64">
        <f t="shared" si="34"/>
        <v>0.23148148148148145</v>
      </c>
      <c r="BP300" s="64">
        <f t="shared" si="35"/>
        <v>0.23437499999999997</v>
      </c>
    </row>
    <row r="301" spans="1:68" ht="27" customHeight="1" x14ac:dyDescent="0.25">
      <c r="A301" s="54" t="s">
        <v>487</v>
      </c>
      <c r="B301" s="54" t="s">
        <v>488</v>
      </c>
      <c r="C301" s="31">
        <v>4301012016</v>
      </c>
      <c r="D301" s="562">
        <v>4680115885554</v>
      </c>
      <c r="E301" s="563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82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0"/>
      <c r="R301" s="560"/>
      <c r="S301" s="560"/>
      <c r="T301" s="561"/>
      <c r="U301" s="34"/>
      <c r="V301" s="34"/>
      <c r="W301" s="35" t="s">
        <v>69</v>
      </c>
      <c r="X301" s="555">
        <v>730</v>
      </c>
      <c r="Y301" s="556">
        <f t="shared" si="31"/>
        <v>734.40000000000009</v>
      </c>
      <c r="Z301" s="36">
        <f>IFERROR(IF(Y301=0,"",ROUNDUP(Y301/H301,0)*0.01898),"")</f>
        <v>1.29064</v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757.71296296296293</v>
      </c>
      <c r="BN301" s="64">
        <f t="shared" si="33"/>
        <v>762.28000000000009</v>
      </c>
      <c r="BO301" s="64">
        <f t="shared" si="34"/>
        <v>1.0561342592592593</v>
      </c>
      <c r="BP301" s="64">
        <f t="shared" si="35"/>
        <v>1.0625</v>
      </c>
    </row>
    <row r="302" spans="1:68" ht="27" customHeight="1" x14ac:dyDescent="0.25">
      <c r="A302" s="54" t="s">
        <v>490</v>
      </c>
      <c r="B302" s="54" t="s">
        <v>491</v>
      </c>
      <c r="C302" s="31">
        <v>4301011857</v>
      </c>
      <c r="D302" s="562">
        <v>4680115885622</v>
      </c>
      <c r="E302" s="563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56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0"/>
      <c r="R302" s="560"/>
      <c r="S302" s="560"/>
      <c r="T302" s="561"/>
      <c r="U302" s="34"/>
      <c r="V302" s="34"/>
      <c r="W302" s="35" t="s">
        <v>69</v>
      </c>
      <c r="X302" s="555">
        <v>40</v>
      </c>
      <c r="Y302" s="556">
        <f t="shared" si="31"/>
        <v>40</v>
      </c>
      <c r="Z302" s="36">
        <f>IFERROR(IF(Y302=0,"",ROUNDUP(Y302/H302,0)*0.00902),"")</f>
        <v>9.0200000000000002E-2</v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41.900000000000006</v>
      </c>
      <c r="BN302" s="64">
        <f t="shared" si="33"/>
        <v>41.900000000000006</v>
      </c>
      <c r="BO302" s="64">
        <f t="shared" si="34"/>
        <v>7.575757575757576E-2</v>
      </c>
      <c r="BP302" s="64">
        <f t="shared" si="35"/>
        <v>7.575757575757576E-2</v>
      </c>
    </row>
    <row r="303" spans="1:68" ht="27" customHeight="1" x14ac:dyDescent="0.25">
      <c r="A303" s="54" t="s">
        <v>492</v>
      </c>
      <c r="B303" s="54" t="s">
        <v>493</v>
      </c>
      <c r="C303" s="31">
        <v>4301011859</v>
      </c>
      <c r="D303" s="562">
        <v>4680115885608</v>
      </c>
      <c r="E303" s="563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0"/>
      <c r="R303" s="560"/>
      <c r="S303" s="560"/>
      <c r="T303" s="561"/>
      <c r="U303" s="34"/>
      <c r="V303" s="34"/>
      <c r="W303" s="35" t="s">
        <v>69</v>
      </c>
      <c r="X303" s="555">
        <v>80</v>
      </c>
      <c r="Y303" s="556">
        <f t="shared" si="31"/>
        <v>80</v>
      </c>
      <c r="Z303" s="36">
        <f>IFERROR(IF(Y303=0,"",ROUNDUP(Y303/H303,0)*0.00902),"")</f>
        <v>0.1804</v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83.800000000000011</v>
      </c>
      <c r="BN303" s="64">
        <f t="shared" si="33"/>
        <v>83.800000000000011</v>
      </c>
      <c r="BO303" s="64">
        <f t="shared" si="34"/>
        <v>0.15151515151515152</v>
      </c>
      <c r="BP303" s="64">
        <f t="shared" si="35"/>
        <v>0.15151515151515152</v>
      </c>
    </row>
    <row r="304" spans="1:68" x14ac:dyDescent="0.2">
      <c r="A304" s="582"/>
      <c r="B304" s="569"/>
      <c r="C304" s="569"/>
      <c r="D304" s="569"/>
      <c r="E304" s="569"/>
      <c r="F304" s="569"/>
      <c r="G304" s="569"/>
      <c r="H304" s="569"/>
      <c r="I304" s="569"/>
      <c r="J304" s="569"/>
      <c r="K304" s="569"/>
      <c r="L304" s="569"/>
      <c r="M304" s="569"/>
      <c r="N304" s="569"/>
      <c r="O304" s="583"/>
      <c r="P304" s="573" t="s">
        <v>75</v>
      </c>
      <c r="Q304" s="574"/>
      <c r="R304" s="574"/>
      <c r="S304" s="574"/>
      <c r="T304" s="574"/>
      <c r="U304" s="574"/>
      <c r="V304" s="575"/>
      <c r="W304" s="37" t="s">
        <v>76</v>
      </c>
      <c r="X304" s="557">
        <f>IFERROR(X298/H298,"0")+IFERROR(X299/H299,"0")+IFERROR(X300/H300,"0")+IFERROR(X301/H301,"0")+IFERROR(X302/H302,"0")+IFERROR(X303/H303,"0")</f>
        <v>130</v>
      </c>
      <c r="Y304" s="557">
        <f>IFERROR(Y298/H298,"0")+IFERROR(Y299/H299,"0")+IFERROR(Y300/H300,"0")+IFERROR(Y301/H301,"0")+IFERROR(Y302/H302,"0")+IFERROR(Y303/H303,"0")</f>
        <v>131</v>
      </c>
      <c r="Z304" s="557">
        <f>IFERROR(IF(Z298="",0,Z298),"0")+IFERROR(IF(Z299="",0,Z299),"0")+IFERROR(IF(Z300="",0,Z300),"0")+IFERROR(IF(Z301="",0,Z301),"0")+IFERROR(IF(Z302="",0,Z302),"0")+IFERROR(IF(Z303="",0,Z303),"0")</f>
        <v>2.1875800000000001</v>
      </c>
      <c r="AA304" s="558"/>
      <c r="AB304" s="558"/>
      <c r="AC304" s="558"/>
    </row>
    <row r="305" spans="1:68" x14ac:dyDescent="0.2">
      <c r="A305" s="569"/>
      <c r="B305" s="569"/>
      <c r="C305" s="569"/>
      <c r="D305" s="569"/>
      <c r="E305" s="569"/>
      <c r="F305" s="569"/>
      <c r="G305" s="569"/>
      <c r="H305" s="569"/>
      <c r="I305" s="569"/>
      <c r="J305" s="569"/>
      <c r="K305" s="569"/>
      <c r="L305" s="569"/>
      <c r="M305" s="569"/>
      <c r="N305" s="569"/>
      <c r="O305" s="583"/>
      <c r="P305" s="573" t="s">
        <v>75</v>
      </c>
      <c r="Q305" s="574"/>
      <c r="R305" s="574"/>
      <c r="S305" s="574"/>
      <c r="T305" s="574"/>
      <c r="U305" s="574"/>
      <c r="V305" s="575"/>
      <c r="W305" s="37" t="s">
        <v>69</v>
      </c>
      <c r="X305" s="557">
        <f>IFERROR(SUM(X298:X303),"0")</f>
        <v>1200</v>
      </c>
      <c r="Y305" s="557">
        <f>IFERROR(SUM(Y298:Y303),"0")</f>
        <v>1210.8000000000002</v>
      </c>
      <c r="Z305" s="37"/>
      <c r="AA305" s="558"/>
      <c r="AB305" s="558"/>
      <c r="AC305" s="558"/>
    </row>
    <row r="306" spans="1:68" ht="14.25" customHeight="1" x14ac:dyDescent="0.25">
      <c r="A306" s="570" t="s">
        <v>64</v>
      </c>
      <c r="B306" s="569"/>
      <c r="C306" s="569"/>
      <c r="D306" s="569"/>
      <c r="E306" s="569"/>
      <c r="F306" s="569"/>
      <c r="G306" s="569"/>
      <c r="H306" s="569"/>
      <c r="I306" s="569"/>
      <c r="J306" s="569"/>
      <c r="K306" s="569"/>
      <c r="L306" s="569"/>
      <c r="M306" s="569"/>
      <c r="N306" s="569"/>
      <c r="O306" s="569"/>
      <c r="P306" s="569"/>
      <c r="Q306" s="569"/>
      <c r="R306" s="569"/>
      <c r="S306" s="569"/>
      <c r="T306" s="569"/>
      <c r="U306" s="569"/>
      <c r="V306" s="569"/>
      <c r="W306" s="569"/>
      <c r="X306" s="569"/>
      <c r="Y306" s="569"/>
      <c r="Z306" s="569"/>
      <c r="AA306" s="551"/>
      <c r="AB306" s="551"/>
      <c r="AC306" s="551"/>
    </row>
    <row r="307" spans="1:68" ht="27" customHeight="1" x14ac:dyDescent="0.25">
      <c r="A307" s="54" t="s">
        <v>495</v>
      </c>
      <c r="B307" s="54" t="s">
        <v>496</v>
      </c>
      <c r="C307" s="31">
        <v>4301030878</v>
      </c>
      <c r="D307" s="562">
        <v>4607091387193</v>
      </c>
      <c r="E307" s="563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88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0"/>
      <c r="R307" s="560"/>
      <c r="S307" s="560"/>
      <c r="T307" s="561"/>
      <c r="U307" s="34"/>
      <c r="V307" s="34"/>
      <c r="W307" s="35" t="s">
        <v>69</v>
      </c>
      <c r="X307" s="555">
        <v>178</v>
      </c>
      <c r="Y307" s="556">
        <f t="shared" ref="Y307:Y312" si="36">IFERROR(IF(X307="",0,CEILING((X307/$H307),1)*$H307),"")</f>
        <v>180.6</v>
      </c>
      <c r="Z307" s="36">
        <f>IFERROR(IF(Y307=0,"",ROUNDUP(Y307/H307,0)*0.00902),"")</f>
        <v>0.38785999999999998</v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188.5952380952381</v>
      </c>
      <c r="BN307" s="64">
        <f t="shared" ref="BN307:BN312" si="38">IFERROR(Y307*I307/H307,"0")</f>
        <v>191.35</v>
      </c>
      <c r="BO307" s="64">
        <f t="shared" ref="BO307:BO312" si="39">IFERROR(1/J307*(X307/H307),"0")</f>
        <v>0.32106782106782106</v>
      </c>
      <c r="BP307" s="64">
        <f t="shared" ref="BP307:BP312" si="40">IFERROR(1/J307*(Y307/H307),"0")</f>
        <v>0.32575757575757575</v>
      </c>
    </row>
    <row r="308" spans="1:68" ht="27" customHeight="1" x14ac:dyDescent="0.25">
      <c r="A308" s="54" t="s">
        <v>498</v>
      </c>
      <c r="B308" s="54" t="s">
        <v>499</v>
      </c>
      <c r="C308" s="31">
        <v>4301031153</v>
      </c>
      <c r="D308" s="562">
        <v>4607091387230</v>
      </c>
      <c r="E308" s="563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71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0"/>
      <c r="R308" s="560"/>
      <c r="S308" s="560"/>
      <c r="T308" s="561"/>
      <c r="U308" s="34"/>
      <c r="V308" s="34"/>
      <c r="W308" s="35" t="s">
        <v>69</v>
      </c>
      <c r="X308" s="555">
        <v>254</v>
      </c>
      <c r="Y308" s="556">
        <f t="shared" si="36"/>
        <v>256.2</v>
      </c>
      <c r="Z308" s="36">
        <f>IFERROR(IF(Y308=0,"",ROUNDUP(Y308/H308,0)*0.00902),"")</f>
        <v>0.55022000000000004</v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269.11904761904759</v>
      </c>
      <c r="BN308" s="64">
        <f t="shared" si="38"/>
        <v>271.45</v>
      </c>
      <c r="BO308" s="64">
        <f t="shared" si="39"/>
        <v>0.45815295815295815</v>
      </c>
      <c r="BP308" s="64">
        <f t="shared" si="40"/>
        <v>0.4621212121212121</v>
      </c>
    </row>
    <row r="309" spans="1:68" ht="27" customHeight="1" x14ac:dyDescent="0.25">
      <c r="A309" s="54" t="s">
        <v>501</v>
      </c>
      <c r="B309" s="54" t="s">
        <v>502</v>
      </c>
      <c r="C309" s="31">
        <v>4301031154</v>
      </c>
      <c r="D309" s="562">
        <v>4607091387292</v>
      </c>
      <c r="E309" s="563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0"/>
      <c r="R309" s="560"/>
      <c r="S309" s="560"/>
      <c r="T309" s="561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504</v>
      </c>
      <c r="B310" s="54" t="s">
        <v>505</v>
      </c>
      <c r="C310" s="31">
        <v>4301031152</v>
      </c>
      <c r="D310" s="562">
        <v>4607091387285</v>
      </c>
      <c r="E310" s="563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0"/>
      <c r="R310" s="560"/>
      <c r="S310" s="560"/>
      <c r="T310" s="561"/>
      <c r="U310" s="34"/>
      <c r="V310" s="34"/>
      <c r="W310" s="35" t="s">
        <v>69</v>
      </c>
      <c r="X310" s="555">
        <v>64.399999999999991</v>
      </c>
      <c r="Y310" s="556">
        <f t="shared" si="36"/>
        <v>65.100000000000009</v>
      </c>
      <c r="Z310" s="36">
        <f>IFERROR(IF(Y310=0,"",ROUNDUP(Y310/H310,0)*0.00502),"")</f>
        <v>0.15562000000000001</v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68.386666666666642</v>
      </c>
      <c r="BN310" s="64">
        <f t="shared" si="38"/>
        <v>69.13000000000001</v>
      </c>
      <c r="BO310" s="64">
        <f t="shared" si="39"/>
        <v>0.13105413105413105</v>
      </c>
      <c r="BP310" s="64">
        <f t="shared" si="40"/>
        <v>0.13247863247863251</v>
      </c>
    </row>
    <row r="311" spans="1:68" ht="27" customHeight="1" x14ac:dyDescent="0.25">
      <c r="A311" s="54" t="s">
        <v>506</v>
      </c>
      <c r="B311" s="54" t="s">
        <v>507</v>
      </c>
      <c r="C311" s="31">
        <v>4301031305</v>
      </c>
      <c r="D311" s="562">
        <v>4607091389845</v>
      </c>
      <c r="E311" s="563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3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0"/>
      <c r="R311" s="560"/>
      <c r="S311" s="560"/>
      <c r="T311" s="561"/>
      <c r="U311" s="34"/>
      <c r="V311" s="34"/>
      <c r="W311" s="35" t="s">
        <v>69</v>
      </c>
      <c r="X311" s="555">
        <v>8.3999999999999986</v>
      </c>
      <c r="Y311" s="556">
        <f t="shared" si="36"/>
        <v>8.4</v>
      </c>
      <c r="Z311" s="36">
        <f>IFERROR(IF(Y311=0,"",ROUNDUP(Y311/H311,0)*0.00502),"")</f>
        <v>2.0080000000000001E-2</v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8.7999999999999989</v>
      </c>
      <c r="BN311" s="64">
        <f t="shared" si="38"/>
        <v>8.8000000000000007</v>
      </c>
      <c r="BO311" s="64">
        <f t="shared" si="39"/>
        <v>1.7094017094017092E-2</v>
      </c>
      <c r="BP311" s="64">
        <f t="shared" si="40"/>
        <v>1.7094017094017096E-2</v>
      </c>
    </row>
    <row r="312" spans="1:68" ht="27" customHeight="1" x14ac:dyDescent="0.25">
      <c r="A312" s="54" t="s">
        <v>509</v>
      </c>
      <c r="B312" s="54" t="s">
        <v>510</v>
      </c>
      <c r="C312" s="31">
        <v>4301031066</v>
      </c>
      <c r="D312" s="562">
        <v>4607091383836</v>
      </c>
      <c r="E312" s="563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67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0"/>
      <c r="R312" s="560"/>
      <c r="S312" s="560"/>
      <c r="T312" s="561"/>
      <c r="U312" s="34"/>
      <c r="V312" s="34"/>
      <c r="W312" s="35" t="s">
        <v>69</v>
      </c>
      <c r="X312" s="555">
        <v>0</v>
      </c>
      <c r="Y312" s="556">
        <f t="shared" si="36"/>
        <v>0</v>
      </c>
      <c r="Z312" s="36" t="str">
        <f>IFERROR(IF(Y312=0,"",ROUNDUP(Y312/H312,0)*0.00651),"")</f>
        <v/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0</v>
      </c>
      <c r="BN312" s="64">
        <f t="shared" si="38"/>
        <v>0</v>
      </c>
      <c r="BO312" s="64">
        <f t="shared" si="39"/>
        <v>0</v>
      </c>
      <c r="BP312" s="64">
        <f t="shared" si="40"/>
        <v>0</v>
      </c>
    </row>
    <row r="313" spans="1:68" x14ac:dyDescent="0.2">
      <c r="A313" s="582"/>
      <c r="B313" s="569"/>
      <c r="C313" s="569"/>
      <c r="D313" s="569"/>
      <c r="E313" s="569"/>
      <c r="F313" s="569"/>
      <c r="G313" s="569"/>
      <c r="H313" s="569"/>
      <c r="I313" s="569"/>
      <c r="J313" s="569"/>
      <c r="K313" s="569"/>
      <c r="L313" s="569"/>
      <c r="M313" s="569"/>
      <c r="N313" s="569"/>
      <c r="O313" s="583"/>
      <c r="P313" s="573" t="s">
        <v>75</v>
      </c>
      <c r="Q313" s="574"/>
      <c r="R313" s="574"/>
      <c r="S313" s="574"/>
      <c r="T313" s="574"/>
      <c r="U313" s="574"/>
      <c r="V313" s="575"/>
      <c r="W313" s="37" t="s">
        <v>76</v>
      </c>
      <c r="X313" s="557">
        <f>IFERROR(X307/H307,"0")+IFERROR(X308/H308,"0")+IFERROR(X309/H309,"0")+IFERROR(X310/H310,"0")+IFERROR(X311/H311,"0")+IFERROR(X312/H312,"0")</f>
        <v>137.52380952380952</v>
      </c>
      <c r="Y313" s="557">
        <f>IFERROR(Y307/H307,"0")+IFERROR(Y308/H308,"0")+IFERROR(Y309/H309,"0")+IFERROR(Y310/H310,"0")+IFERROR(Y311/H311,"0")+IFERROR(Y312/H312,"0")</f>
        <v>139</v>
      </c>
      <c r="Z313" s="557">
        <f>IFERROR(IF(Z307="",0,Z307),"0")+IFERROR(IF(Z308="",0,Z308),"0")+IFERROR(IF(Z309="",0,Z309),"0")+IFERROR(IF(Z310="",0,Z310),"0")+IFERROR(IF(Z311="",0,Z311),"0")+IFERROR(IF(Z312="",0,Z312),"0")</f>
        <v>1.1137800000000002</v>
      </c>
      <c r="AA313" s="558"/>
      <c r="AB313" s="558"/>
      <c r="AC313" s="558"/>
    </row>
    <row r="314" spans="1:68" x14ac:dyDescent="0.2">
      <c r="A314" s="569"/>
      <c r="B314" s="569"/>
      <c r="C314" s="569"/>
      <c r="D314" s="569"/>
      <c r="E314" s="569"/>
      <c r="F314" s="569"/>
      <c r="G314" s="569"/>
      <c r="H314" s="569"/>
      <c r="I314" s="569"/>
      <c r="J314" s="569"/>
      <c r="K314" s="569"/>
      <c r="L314" s="569"/>
      <c r="M314" s="569"/>
      <c r="N314" s="569"/>
      <c r="O314" s="583"/>
      <c r="P314" s="573" t="s">
        <v>75</v>
      </c>
      <c r="Q314" s="574"/>
      <c r="R314" s="574"/>
      <c r="S314" s="574"/>
      <c r="T314" s="574"/>
      <c r="U314" s="574"/>
      <c r="V314" s="575"/>
      <c r="W314" s="37" t="s">
        <v>69</v>
      </c>
      <c r="X314" s="557">
        <f>IFERROR(SUM(X307:X312),"0")</f>
        <v>504.79999999999995</v>
      </c>
      <c r="Y314" s="557">
        <f>IFERROR(SUM(Y307:Y312),"0")</f>
        <v>510.29999999999995</v>
      </c>
      <c r="Z314" s="37"/>
      <c r="AA314" s="558"/>
      <c r="AB314" s="558"/>
      <c r="AC314" s="558"/>
    </row>
    <row r="315" spans="1:68" ht="14.25" customHeight="1" x14ac:dyDescent="0.25">
      <c r="A315" s="570" t="s">
        <v>77</v>
      </c>
      <c r="B315" s="569"/>
      <c r="C315" s="569"/>
      <c r="D315" s="569"/>
      <c r="E315" s="569"/>
      <c r="F315" s="569"/>
      <c r="G315" s="569"/>
      <c r="H315" s="569"/>
      <c r="I315" s="569"/>
      <c r="J315" s="569"/>
      <c r="K315" s="569"/>
      <c r="L315" s="569"/>
      <c r="M315" s="569"/>
      <c r="N315" s="569"/>
      <c r="O315" s="569"/>
      <c r="P315" s="569"/>
      <c r="Q315" s="569"/>
      <c r="R315" s="569"/>
      <c r="S315" s="569"/>
      <c r="T315" s="569"/>
      <c r="U315" s="569"/>
      <c r="V315" s="569"/>
      <c r="W315" s="569"/>
      <c r="X315" s="569"/>
      <c r="Y315" s="569"/>
      <c r="Z315" s="569"/>
      <c r="AA315" s="551"/>
      <c r="AB315" s="551"/>
      <c r="AC315" s="551"/>
    </row>
    <row r="316" spans="1:68" ht="27" customHeight="1" x14ac:dyDescent="0.25">
      <c r="A316" s="54" t="s">
        <v>512</v>
      </c>
      <c r="B316" s="54" t="s">
        <v>513</v>
      </c>
      <c r="C316" s="31">
        <v>4301051100</v>
      </c>
      <c r="D316" s="562">
        <v>4607091387766</v>
      </c>
      <c r="E316" s="563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60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0"/>
      <c r="R316" s="560"/>
      <c r="S316" s="560"/>
      <c r="T316" s="561"/>
      <c r="U316" s="34"/>
      <c r="V316" s="34"/>
      <c r="W316" s="35" t="s">
        <v>69</v>
      </c>
      <c r="X316" s="555">
        <v>3580</v>
      </c>
      <c r="Y316" s="556">
        <f>IFERROR(IF(X316="",0,CEILING((X316/$H316),1)*$H316),"")</f>
        <v>3580.2</v>
      </c>
      <c r="Z316" s="36">
        <f>IFERROR(IF(Y316=0,"",ROUNDUP(Y316/H316,0)*0.01898),"")</f>
        <v>8.7118199999999995</v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3803.9794871794875</v>
      </c>
      <c r="BN316" s="64">
        <f>IFERROR(Y316*I316/H316,"0")</f>
        <v>3804.192</v>
      </c>
      <c r="BO316" s="64">
        <f>IFERROR(1/J316*(X316/H316),"0")</f>
        <v>7.1714743589743595</v>
      </c>
      <c r="BP316" s="64">
        <f>IFERROR(1/J316*(Y316/H316),"0")</f>
        <v>7.171875</v>
      </c>
    </row>
    <row r="317" spans="1:68" ht="27" customHeight="1" x14ac:dyDescent="0.25">
      <c r="A317" s="54" t="s">
        <v>515</v>
      </c>
      <c r="B317" s="54" t="s">
        <v>516</v>
      </c>
      <c r="C317" s="31">
        <v>4301051818</v>
      </c>
      <c r="D317" s="562">
        <v>4607091387957</v>
      </c>
      <c r="E317" s="563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8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0"/>
      <c r="R317" s="560"/>
      <c r="S317" s="560"/>
      <c r="T317" s="561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4301051819</v>
      </c>
      <c r="D318" s="562">
        <v>4607091387964</v>
      </c>
      <c r="E318" s="563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0"/>
      <c r="R318" s="560"/>
      <c r="S318" s="560"/>
      <c r="T318" s="561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521</v>
      </c>
      <c r="B319" s="54" t="s">
        <v>522</v>
      </c>
      <c r="C319" s="31">
        <v>4301051734</v>
      </c>
      <c r="D319" s="562">
        <v>4680115884588</v>
      </c>
      <c r="E319" s="563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8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0"/>
      <c r="R319" s="560"/>
      <c r="S319" s="560"/>
      <c r="T319" s="561"/>
      <c r="U319" s="34"/>
      <c r="V319" s="34"/>
      <c r="W319" s="35" t="s">
        <v>69</v>
      </c>
      <c r="X319" s="555">
        <v>10.8</v>
      </c>
      <c r="Y319" s="556">
        <f>IFERROR(IF(X319="",0,CEILING((X319/$H319),1)*$H319),"")</f>
        <v>12</v>
      </c>
      <c r="Z319" s="36">
        <f>IFERROR(IF(Y319=0,"",ROUNDUP(Y319/H319,0)*0.00651),"")</f>
        <v>2.6040000000000001E-2</v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11.685600000000001</v>
      </c>
      <c r="BN319" s="64">
        <f>IFERROR(Y319*I319/H319,"0")</f>
        <v>12.984</v>
      </c>
      <c r="BO319" s="64">
        <f>IFERROR(1/J319*(X319/H319),"0")</f>
        <v>1.9780219780219783E-2</v>
      </c>
      <c r="BP319" s="64">
        <f>IFERROR(1/J319*(Y319/H319),"0")</f>
        <v>2.197802197802198E-2</v>
      </c>
    </row>
    <row r="320" spans="1:68" x14ac:dyDescent="0.2">
      <c r="A320" s="582"/>
      <c r="B320" s="569"/>
      <c r="C320" s="569"/>
      <c r="D320" s="569"/>
      <c r="E320" s="569"/>
      <c r="F320" s="569"/>
      <c r="G320" s="569"/>
      <c r="H320" s="569"/>
      <c r="I320" s="569"/>
      <c r="J320" s="569"/>
      <c r="K320" s="569"/>
      <c r="L320" s="569"/>
      <c r="M320" s="569"/>
      <c r="N320" s="569"/>
      <c r="O320" s="583"/>
      <c r="P320" s="573" t="s">
        <v>75</v>
      </c>
      <c r="Q320" s="574"/>
      <c r="R320" s="574"/>
      <c r="S320" s="574"/>
      <c r="T320" s="574"/>
      <c r="U320" s="574"/>
      <c r="V320" s="575"/>
      <c r="W320" s="37" t="s">
        <v>76</v>
      </c>
      <c r="X320" s="557">
        <f>IFERROR(X316/H316,"0")+IFERROR(X317/H317,"0")+IFERROR(X318/H318,"0")+IFERROR(X319/H319,"0")</f>
        <v>462.57435897435903</v>
      </c>
      <c r="Y320" s="557">
        <f>IFERROR(Y316/H316,"0")+IFERROR(Y317/H317,"0")+IFERROR(Y318/H318,"0")+IFERROR(Y319/H319,"0")</f>
        <v>463</v>
      </c>
      <c r="Z320" s="557">
        <f>IFERROR(IF(Z316="",0,Z316),"0")+IFERROR(IF(Z317="",0,Z317),"0")+IFERROR(IF(Z318="",0,Z318),"0")+IFERROR(IF(Z319="",0,Z319),"0")</f>
        <v>8.7378599999999995</v>
      </c>
      <c r="AA320" s="558"/>
      <c r="AB320" s="558"/>
      <c r="AC320" s="558"/>
    </row>
    <row r="321" spans="1:68" x14ac:dyDescent="0.2">
      <c r="A321" s="569"/>
      <c r="B321" s="569"/>
      <c r="C321" s="569"/>
      <c r="D321" s="569"/>
      <c r="E321" s="569"/>
      <c r="F321" s="569"/>
      <c r="G321" s="569"/>
      <c r="H321" s="569"/>
      <c r="I321" s="569"/>
      <c r="J321" s="569"/>
      <c r="K321" s="569"/>
      <c r="L321" s="569"/>
      <c r="M321" s="569"/>
      <c r="N321" s="569"/>
      <c r="O321" s="583"/>
      <c r="P321" s="573" t="s">
        <v>75</v>
      </c>
      <c r="Q321" s="574"/>
      <c r="R321" s="574"/>
      <c r="S321" s="574"/>
      <c r="T321" s="574"/>
      <c r="U321" s="574"/>
      <c r="V321" s="575"/>
      <c r="W321" s="37" t="s">
        <v>69</v>
      </c>
      <c r="X321" s="557">
        <f>IFERROR(SUM(X316:X319),"0")</f>
        <v>3590.8</v>
      </c>
      <c r="Y321" s="557">
        <f>IFERROR(SUM(Y316:Y319),"0")</f>
        <v>3592.2</v>
      </c>
      <c r="Z321" s="37"/>
      <c r="AA321" s="558"/>
      <c r="AB321" s="558"/>
      <c r="AC321" s="558"/>
    </row>
    <row r="322" spans="1:68" ht="14.25" customHeight="1" x14ac:dyDescent="0.25">
      <c r="A322" s="570" t="s">
        <v>163</v>
      </c>
      <c r="B322" s="569"/>
      <c r="C322" s="569"/>
      <c r="D322" s="569"/>
      <c r="E322" s="569"/>
      <c r="F322" s="569"/>
      <c r="G322" s="569"/>
      <c r="H322" s="569"/>
      <c r="I322" s="569"/>
      <c r="J322" s="569"/>
      <c r="K322" s="569"/>
      <c r="L322" s="569"/>
      <c r="M322" s="569"/>
      <c r="N322" s="569"/>
      <c r="O322" s="569"/>
      <c r="P322" s="569"/>
      <c r="Q322" s="569"/>
      <c r="R322" s="569"/>
      <c r="S322" s="569"/>
      <c r="T322" s="569"/>
      <c r="U322" s="569"/>
      <c r="V322" s="569"/>
      <c r="W322" s="569"/>
      <c r="X322" s="569"/>
      <c r="Y322" s="569"/>
      <c r="Z322" s="569"/>
      <c r="AA322" s="551"/>
      <c r="AB322" s="551"/>
      <c r="AC322" s="551"/>
    </row>
    <row r="323" spans="1:68" ht="27" customHeight="1" x14ac:dyDescent="0.25">
      <c r="A323" s="54" t="s">
        <v>524</v>
      </c>
      <c r="B323" s="54" t="s">
        <v>525</v>
      </c>
      <c r="C323" s="31">
        <v>4301060387</v>
      </c>
      <c r="D323" s="562">
        <v>4607091380880</v>
      </c>
      <c r="E323" s="563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8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0"/>
      <c r="R323" s="560"/>
      <c r="S323" s="560"/>
      <c r="T323" s="561"/>
      <c r="U323" s="34"/>
      <c r="V323" s="34"/>
      <c r="W323" s="35" t="s">
        <v>69</v>
      </c>
      <c r="X323" s="555">
        <v>0</v>
      </c>
      <c r="Y323" s="556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527</v>
      </c>
      <c r="B324" s="54" t="s">
        <v>528</v>
      </c>
      <c r="C324" s="31">
        <v>4301060406</v>
      </c>
      <c r="D324" s="562">
        <v>4607091384482</v>
      </c>
      <c r="E324" s="563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7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0"/>
      <c r="R324" s="560"/>
      <c r="S324" s="560"/>
      <c r="T324" s="561"/>
      <c r="U324" s="34"/>
      <c r="V324" s="34"/>
      <c r="W324" s="35" t="s">
        <v>69</v>
      </c>
      <c r="X324" s="555">
        <v>210</v>
      </c>
      <c r="Y324" s="556">
        <f>IFERROR(IF(X324="",0,CEILING((X324/$H324),1)*$H324),"")</f>
        <v>210.6</v>
      </c>
      <c r="Z324" s="36">
        <f>IFERROR(IF(Y324=0,"",ROUNDUP(Y324/H324,0)*0.01898),"")</f>
        <v>0.51246000000000003</v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223.3</v>
      </c>
      <c r="BN324" s="64">
        <f>IFERROR(Y324*I324/H324,"0")</f>
        <v>223.93800000000002</v>
      </c>
      <c r="BO324" s="64">
        <f>IFERROR(1/J324*(X324/H324),"0")</f>
        <v>0.42067307692307693</v>
      </c>
      <c r="BP324" s="64">
        <f>IFERROR(1/J324*(Y324/H324),"0")</f>
        <v>0.421875</v>
      </c>
    </row>
    <row r="325" spans="1:68" ht="16.5" customHeight="1" x14ac:dyDescent="0.25">
      <c r="A325" s="54" t="s">
        <v>530</v>
      </c>
      <c r="B325" s="54" t="s">
        <v>531</v>
      </c>
      <c r="C325" s="31">
        <v>4301060484</v>
      </c>
      <c r="D325" s="562">
        <v>4607091380897</v>
      </c>
      <c r="E325" s="563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7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0"/>
      <c r="R325" s="560"/>
      <c r="S325" s="560"/>
      <c r="T325" s="561"/>
      <c r="U325" s="34"/>
      <c r="V325" s="34"/>
      <c r="W325" s="35" t="s">
        <v>69</v>
      </c>
      <c r="X325" s="555">
        <v>70</v>
      </c>
      <c r="Y325" s="556">
        <f>IFERROR(IF(X325="",0,CEILING((X325/$H325),1)*$H325),"")</f>
        <v>75.600000000000009</v>
      </c>
      <c r="Z325" s="36">
        <f>IFERROR(IF(Y325=0,"",ROUNDUP(Y325/H325,0)*0.01898),"")</f>
        <v>0.17082</v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74.116666666666674</v>
      </c>
      <c r="BN325" s="64">
        <f>IFERROR(Y325*I325/H325,"0")</f>
        <v>80.046000000000006</v>
      </c>
      <c r="BO325" s="64">
        <f>IFERROR(1/J325*(X325/H325),"0")</f>
        <v>0.13020833333333331</v>
      </c>
      <c r="BP325" s="64">
        <f>IFERROR(1/J325*(Y325/H325),"0")</f>
        <v>0.140625</v>
      </c>
    </row>
    <row r="326" spans="1:68" x14ac:dyDescent="0.2">
      <c r="A326" s="582"/>
      <c r="B326" s="569"/>
      <c r="C326" s="569"/>
      <c r="D326" s="569"/>
      <c r="E326" s="569"/>
      <c r="F326" s="569"/>
      <c r="G326" s="569"/>
      <c r="H326" s="569"/>
      <c r="I326" s="569"/>
      <c r="J326" s="569"/>
      <c r="K326" s="569"/>
      <c r="L326" s="569"/>
      <c r="M326" s="569"/>
      <c r="N326" s="569"/>
      <c r="O326" s="583"/>
      <c r="P326" s="573" t="s">
        <v>75</v>
      </c>
      <c r="Q326" s="574"/>
      <c r="R326" s="574"/>
      <c r="S326" s="574"/>
      <c r="T326" s="574"/>
      <c r="U326" s="574"/>
      <c r="V326" s="575"/>
      <c r="W326" s="37" t="s">
        <v>76</v>
      </c>
      <c r="X326" s="557">
        <f>IFERROR(X323/H323,"0")+IFERROR(X324/H324,"0")+IFERROR(X325/H325,"0")</f>
        <v>35.256410256410255</v>
      </c>
      <c r="Y326" s="557">
        <f>IFERROR(Y323/H323,"0")+IFERROR(Y324/H324,"0")+IFERROR(Y325/H325,"0")</f>
        <v>36</v>
      </c>
      <c r="Z326" s="557">
        <f>IFERROR(IF(Z323="",0,Z323),"0")+IFERROR(IF(Z324="",0,Z324),"0")+IFERROR(IF(Z325="",0,Z325),"0")</f>
        <v>0.68328</v>
      </c>
      <c r="AA326" s="558"/>
      <c r="AB326" s="558"/>
      <c r="AC326" s="558"/>
    </row>
    <row r="327" spans="1:68" x14ac:dyDescent="0.2">
      <c r="A327" s="569"/>
      <c r="B327" s="569"/>
      <c r="C327" s="569"/>
      <c r="D327" s="569"/>
      <c r="E327" s="569"/>
      <c r="F327" s="569"/>
      <c r="G327" s="569"/>
      <c r="H327" s="569"/>
      <c r="I327" s="569"/>
      <c r="J327" s="569"/>
      <c r="K327" s="569"/>
      <c r="L327" s="569"/>
      <c r="M327" s="569"/>
      <c r="N327" s="569"/>
      <c r="O327" s="583"/>
      <c r="P327" s="573" t="s">
        <v>75</v>
      </c>
      <c r="Q327" s="574"/>
      <c r="R327" s="574"/>
      <c r="S327" s="574"/>
      <c r="T327" s="574"/>
      <c r="U327" s="574"/>
      <c r="V327" s="575"/>
      <c r="W327" s="37" t="s">
        <v>69</v>
      </c>
      <c r="X327" s="557">
        <f>IFERROR(SUM(X323:X325),"0")</f>
        <v>280</v>
      </c>
      <c r="Y327" s="557">
        <f>IFERROR(SUM(Y323:Y325),"0")</f>
        <v>286.2</v>
      </c>
      <c r="Z327" s="37"/>
      <c r="AA327" s="558"/>
      <c r="AB327" s="558"/>
      <c r="AC327" s="558"/>
    </row>
    <row r="328" spans="1:68" ht="14.25" customHeight="1" x14ac:dyDescent="0.25">
      <c r="A328" s="570" t="s">
        <v>95</v>
      </c>
      <c r="B328" s="569"/>
      <c r="C328" s="569"/>
      <c r="D328" s="569"/>
      <c r="E328" s="569"/>
      <c r="F328" s="569"/>
      <c r="G328" s="569"/>
      <c r="H328" s="569"/>
      <c r="I328" s="569"/>
      <c r="J328" s="569"/>
      <c r="K328" s="569"/>
      <c r="L328" s="569"/>
      <c r="M328" s="569"/>
      <c r="N328" s="569"/>
      <c r="O328" s="569"/>
      <c r="P328" s="569"/>
      <c r="Q328" s="569"/>
      <c r="R328" s="569"/>
      <c r="S328" s="569"/>
      <c r="T328" s="569"/>
      <c r="U328" s="569"/>
      <c r="V328" s="569"/>
      <c r="W328" s="569"/>
      <c r="X328" s="569"/>
      <c r="Y328" s="569"/>
      <c r="Z328" s="569"/>
      <c r="AA328" s="551"/>
      <c r="AB328" s="551"/>
      <c r="AC328" s="551"/>
    </row>
    <row r="329" spans="1:68" ht="27" customHeight="1" x14ac:dyDescent="0.25">
      <c r="A329" s="54" t="s">
        <v>533</v>
      </c>
      <c r="B329" s="54" t="s">
        <v>534</v>
      </c>
      <c r="C329" s="31">
        <v>4301030235</v>
      </c>
      <c r="D329" s="562">
        <v>4607091388381</v>
      </c>
      <c r="E329" s="563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0"/>
      <c r="R329" s="560"/>
      <c r="S329" s="560"/>
      <c r="T329" s="561"/>
      <c r="U329" s="34"/>
      <c r="V329" s="34"/>
      <c r="W329" s="35" t="s">
        <v>69</v>
      </c>
      <c r="X329" s="555">
        <v>0</v>
      </c>
      <c r="Y329" s="55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536</v>
      </c>
      <c r="B330" s="54" t="s">
        <v>537</v>
      </c>
      <c r="C330" s="31">
        <v>4301030232</v>
      </c>
      <c r="D330" s="562">
        <v>4607091388374</v>
      </c>
      <c r="E330" s="563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7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0"/>
      <c r="R330" s="560"/>
      <c r="S330" s="560"/>
      <c r="T330" s="561"/>
      <c r="U330" s="34"/>
      <c r="V330" s="34"/>
      <c r="W330" s="35" t="s">
        <v>69</v>
      </c>
      <c r="X330" s="555">
        <v>0</v>
      </c>
      <c r="Y330" s="55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4301032015</v>
      </c>
      <c r="D331" s="562">
        <v>4607091383102</v>
      </c>
      <c r="E331" s="563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63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0"/>
      <c r="R331" s="560"/>
      <c r="S331" s="560"/>
      <c r="T331" s="561"/>
      <c r="U331" s="34"/>
      <c r="V331" s="34"/>
      <c r="W331" s="35" t="s">
        <v>69</v>
      </c>
      <c r="X331" s="555">
        <v>0</v>
      </c>
      <c r="Y331" s="55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541</v>
      </c>
      <c r="B332" s="54" t="s">
        <v>542</v>
      </c>
      <c r="C332" s="31">
        <v>4301030233</v>
      </c>
      <c r="D332" s="562">
        <v>4607091388404</v>
      </c>
      <c r="E332" s="563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7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0"/>
      <c r="R332" s="560"/>
      <c r="S332" s="560"/>
      <c r="T332" s="561"/>
      <c r="U332" s="34"/>
      <c r="V332" s="34"/>
      <c r="W332" s="35" t="s">
        <v>69</v>
      </c>
      <c r="X332" s="555">
        <v>5.1000000000000014</v>
      </c>
      <c r="Y332" s="556">
        <f>IFERROR(IF(X332="",0,CEILING((X332/$H332),1)*$H332),"")</f>
        <v>5.0999999999999996</v>
      </c>
      <c r="Z332" s="36">
        <f>IFERROR(IF(Y332=0,"",ROUNDUP(Y332/H332,0)*0.00651),"")</f>
        <v>1.302E-2</v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5.7600000000000025</v>
      </c>
      <c r="BN332" s="64">
        <f>IFERROR(Y332*I332/H332,"0")</f>
        <v>5.76</v>
      </c>
      <c r="BO332" s="64">
        <f>IFERROR(1/J332*(X332/H332),"0")</f>
        <v>1.0989010989010995E-2</v>
      </c>
      <c r="BP332" s="64">
        <f>IFERROR(1/J332*(Y332/H332),"0")</f>
        <v>1.098901098901099E-2</v>
      </c>
    </row>
    <row r="333" spans="1:68" x14ac:dyDescent="0.2">
      <c r="A333" s="582"/>
      <c r="B333" s="569"/>
      <c r="C333" s="569"/>
      <c r="D333" s="569"/>
      <c r="E333" s="569"/>
      <c r="F333" s="569"/>
      <c r="G333" s="569"/>
      <c r="H333" s="569"/>
      <c r="I333" s="569"/>
      <c r="J333" s="569"/>
      <c r="K333" s="569"/>
      <c r="L333" s="569"/>
      <c r="M333" s="569"/>
      <c r="N333" s="569"/>
      <c r="O333" s="583"/>
      <c r="P333" s="573" t="s">
        <v>75</v>
      </c>
      <c r="Q333" s="574"/>
      <c r="R333" s="574"/>
      <c r="S333" s="574"/>
      <c r="T333" s="574"/>
      <c r="U333" s="574"/>
      <c r="V333" s="575"/>
      <c r="W333" s="37" t="s">
        <v>76</v>
      </c>
      <c r="X333" s="557">
        <f>IFERROR(X329/H329,"0")+IFERROR(X330/H330,"0")+IFERROR(X331/H331,"0")+IFERROR(X332/H332,"0")</f>
        <v>2.0000000000000009</v>
      </c>
      <c r="Y333" s="557">
        <f>IFERROR(Y329/H329,"0")+IFERROR(Y330/H330,"0")+IFERROR(Y331/H331,"0")+IFERROR(Y332/H332,"0")</f>
        <v>2</v>
      </c>
      <c r="Z333" s="557">
        <f>IFERROR(IF(Z329="",0,Z329),"0")+IFERROR(IF(Z330="",0,Z330),"0")+IFERROR(IF(Z331="",0,Z331),"0")+IFERROR(IF(Z332="",0,Z332),"0")</f>
        <v>1.302E-2</v>
      </c>
      <c r="AA333" s="558"/>
      <c r="AB333" s="558"/>
      <c r="AC333" s="558"/>
    </row>
    <row r="334" spans="1:68" x14ac:dyDescent="0.2">
      <c r="A334" s="569"/>
      <c r="B334" s="569"/>
      <c r="C334" s="569"/>
      <c r="D334" s="569"/>
      <c r="E334" s="569"/>
      <c r="F334" s="569"/>
      <c r="G334" s="569"/>
      <c r="H334" s="569"/>
      <c r="I334" s="569"/>
      <c r="J334" s="569"/>
      <c r="K334" s="569"/>
      <c r="L334" s="569"/>
      <c r="M334" s="569"/>
      <c r="N334" s="569"/>
      <c r="O334" s="583"/>
      <c r="P334" s="573" t="s">
        <v>75</v>
      </c>
      <c r="Q334" s="574"/>
      <c r="R334" s="574"/>
      <c r="S334" s="574"/>
      <c r="T334" s="574"/>
      <c r="U334" s="574"/>
      <c r="V334" s="575"/>
      <c r="W334" s="37" t="s">
        <v>69</v>
      </c>
      <c r="X334" s="557">
        <f>IFERROR(SUM(X329:X332),"0")</f>
        <v>5.1000000000000014</v>
      </c>
      <c r="Y334" s="557">
        <f>IFERROR(SUM(Y329:Y332),"0")</f>
        <v>5.0999999999999996</v>
      </c>
      <c r="Z334" s="37"/>
      <c r="AA334" s="558"/>
      <c r="AB334" s="558"/>
      <c r="AC334" s="558"/>
    </row>
    <row r="335" spans="1:68" ht="14.25" customHeight="1" x14ac:dyDescent="0.25">
      <c r="A335" s="570" t="s">
        <v>543</v>
      </c>
      <c r="B335" s="569"/>
      <c r="C335" s="569"/>
      <c r="D335" s="569"/>
      <c r="E335" s="569"/>
      <c r="F335" s="569"/>
      <c r="G335" s="569"/>
      <c r="H335" s="569"/>
      <c r="I335" s="569"/>
      <c r="J335" s="569"/>
      <c r="K335" s="569"/>
      <c r="L335" s="569"/>
      <c r="M335" s="569"/>
      <c r="N335" s="569"/>
      <c r="O335" s="569"/>
      <c r="P335" s="569"/>
      <c r="Q335" s="569"/>
      <c r="R335" s="569"/>
      <c r="S335" s="569"/>
      <c r="T335" s="569"/>
      <c r="U335" s="569"/>
      <c r="V335" s="569"/>
      <c r="W335" s="569"/>
      <c r="X335" s="569"/>
      <c r="Y335" s="569"/>
      <c r="Z335" s="569"/>
      <c r="AA335" s="551"/>
      <c r="AB335" s="551"/>
      <c r="AC335" s="551"/>
    </row>
    <row r="336" spans="1:68" ht="16.5" customHeight="1" x14ac:dyDescent="0.25">
      <c r="A336" s="54" t="s">
        <v>544</v>
      </c>
      <c r="B336" s="54" t="s">
        <v>545</v>
      </c>
      <c r="C336" s="31">
        <v>4301180007</v>
      </c>
      <c r="D336" s="562">
        <v>4680115881808</v>
      </c>
      <c r="E336" s="563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8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0"/>
      <c r="R336" s="560"/>
      <c r="S336" s="560"/>
      <c r="T336" s="561"/>
      <c r="U336" s="34"/>
      <c r="V336" s="34"/>
      <c r="W336" s="35" t="s">
        <v>69</v>
      </c>
      <c r="X336" s="555">
        <v>0</v>
      </c>
      <c r="Y336" s="556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548</v>
      </c>
      <c r="B337" s="54" t="s">
        <v>549</v>
      </c>
      <c r="C337" s="31">
        <v>4301180006</v>
      </c>
      <c r="D337" s="562">
        <v>4680115881822</v>
      </c>
      <c r="E337" s="563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64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0"/>
      <c r="R337" s="560"/>
      <c r="S337" s="560"/>
      <c r="T337" s="561"/>
      <c r="U337" s="34"/>
      <c r="V337" s="34"/>
      <c r="W337" s="35" t="s">
        <v>69</v>
      </c>
      <c r="X337" s="555">
        <v>0</v>
      </c>
      <c r="Y337" s="556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550</v>
      </c>
      <c r="B338" s="54" t="s">
        <v>551</v>
      </c>
      <c r="C338" s="31">
        <v>4301180001</v>
      </c>
      <c r="D338" s="562">
        <v>4680115880016</v>
      </c>
      <c r="E338" s="563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88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0"/>
      <c r="R338" s="560"/>
      <c r="S338" s="560"/>
      <c r="T338" s="561"/>
      <c r="U338" s="34"/>
      <c r="V338" s="34"/>
      <c r="W338" s="35" t="s">
        <v>69</v>
      </c>
      <c r="X338" s="555">
        <v>0</v>
      </c>
      <c r="Y338" s="556">
        <f>IFERROR(IF(X338="",0,CEILING((X338/$H338),1)*$H338),"")</f>
        <v>0</v>
      </c>
      <c r="Z338" s="36" t="str">
        <f>IFERROR(IF(Y338=0,"",ROUNDUP(Y338/H338,0)*0.00474),"")</f>
        <v/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582"/>
      <c r="B339" s="569"/>
      <c r="C339" s="569"/>
      <c r="D339" s="569"/>
      <c r="E339" s="569"/>
      <c r="F339" s="569"/>
      <c r="G339" s="569"/>
      <c r="H339" s="569"/>
      <c r="I339" s="569"/>
      <c r="J339" s="569"/>
      <c r="K339" s="569"/>
      <c r="L339" s="569"/>
      <c r="M339" s="569"/>
      <c r="N339" s="569"/>
      <c r="O339" s="583"/>
      <c r="P339" s="573" t="s">
        <v>75</v>
      </c>
      <c r="Q339" s="574"/>
      <c r="R339" s="574"/>
      <c r="S339" s="574"/>
      <c r="T339" s="574"/>
      <c r="U339" s="574"/>
      <c r="V339" s="575"/>
      <c r="W339" s="37" t="s">
        <v>76</v>
      </c>
      <c r="X339" s="557">
        <f>IFERROR(X336/H336,"0")+IFERROR(X337/H337,"0")+IFERROR(X338/H338,"0")</f>
        <v>0</v>
      </c>
      <c r="Y339" s="557">
        <f>IFERROR(Y336/H336,"0")+IFERROR(Y337/H337,"0")+IFERROR(Y338/H338,"0")</f>
        <v>0</v>
      </c>
      <c r="Z339" s="557">
        <f>IFERROR(IF(Z336="",0,Z336),"0")+IFERROR(IF(Z337="",0,Z337),"0")+IFERROR(IF(Z338="",0,Z338),"0")</f>
        <v>0</v>
      </c>
      <c r="AA339" s="558"/>
      <c r="AB339" s="558"/>
      <c r="AC339" s="558"/>
    </row>
    <row r="340" spans="1:68" x14ac:dyDescent="0.2">
      <c r="A340" s="569"/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83"/>
      <c r="P340" s="573" t="s">
        <v>75</v>
      </c>
      <c r="Q340" s="574"/>
      <c r="R340" s="574"/>
      <c r="S340" s="574"/>
      <c r="T340" s="574"/>
      <c r="U340" s="574"/>
      <c r="V340" s="575"/>
      <c r="W340" s="37" t="s">
        <v>69</v>
      </c>
      <c r="X340" s="557">
        <f>IFERROR(SUM(X336:X338),"0")</f>
        <v>0</v>
      </c>
      <c r="Y340" s="557">
        <f>IFERROR(SUM(Y336:Y338),"0")</f>
        <v>0</v>
      </c>
      <c r="Z340" s="37"/>
      <c r="AA340" s="558"/>
      <c r="AB340" s="558"/>
      <c r="AC340" s="558"/>
    </row>
    <row r="341" spans="1:68" ht="16.5" customHeight="1" x14ac:dyDescent="0.25">
      <c r="A341" s="568" t="s">
        <v>552</v>
      </c>
      <c r="B341" s="569"/>
      <c r="C341" s="569"/>
      <c r="D341" s="569"/>
      <c r="E341" s="569"/>
      <c r="F341" s="569"/>
      <c r="G341" s="569"/>
      <c r="H341" s="569"/>
      <c r="I341" s="569"/>
      <c r="J341" s="569"/>
      <c r="K341" s="569"/>
      <c r="L341" s="569"/>
      <c r="M341" s="569"/>
      <c r="N341" s="569"/>
      <c r="O341" s="569"/>
      <c r="P341" s="569"/>
      <c r="Q341" s="569"/>
      <c r="R341" s="569"/>
      <c r="S341" s="569"/>
      <c r="T341" s="569"/>
      <c r="U341" s="569"/>
      <c r="V341" s="569"/>
      <c r="W341" s="569"/>
      <c r="X341" s="569"/>
      <c r="Y341" s="569"/>
      <c r="Z341" s="569"/>
      <c r="AA341" s="550"/>
      <c r="AB341" s="550"/>
      <c r="AC341" s="550"/>
    </row>
    <row r="342" spans="1:68" ht="14.25" customHeight="1" x14ac:dyDescent="0.25">
      <c r="A342" s="570" t="s">
        <v>77</v>
      </c>
      <c r="B342" s="569"/>
      <c r="C342" s="569"/>
      <c r="D342" s="569"/>
      <c r="E342" s="569"/>
      <c r="F342" s="569"/>
      <c r="G342" s="569"/>
      <c r="H342" s="569"/>
      <c r="I342" s="569"/>
      <c r="J342" s="569"/>
      <c r="K342" s="569"/>
      <c r="L342" s="569"/>
      <c r="M342" s="569"/>
      <c r="N342" s="569"/>
      <c r="O342" s="569"/>
      <c r="P342" s="569"/>
      <c r="Q342" s="569"/>
      <c r="R342" s="569"/>
      <c r="S342" s="569"/>
      <c r="T342" s="569"/>
      <c r="U342" s="569"/>
      <c r="V342" s="569"/>
      <c r="W342" s="569"/>
      <c r="X342" s="569"/>
      <c r="Y342" s="569"/>
      <c r="Z342" s="569"/>
      <c r="AA342" s="551"/>
      <c r="AB342" s="551"/>
      <c r="AC342" s="551"/>
    </row>
    <row r="343" spans="1:68" ht="27" customHeight="1" x14ac:dyDescent="0.25">
      <c r="A343" s="54" t="s">
        <v>553</v>
      </c>
      <c r="B343" s="54" t="s">
        <v>554</v>
      </c>
      <c r="C343" s="31">
        <v>4301051489</v>
      </c>
      <c r="D343" s="562">
        <v>4607091387919</v>
      </c>
      <c r="E343" s="563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7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0"/>
      <c r="R343" s="560"/>
      <c r="S343" s="560"/>
      <c r="T343" s="561"/>
      <c r="U343" s="34"/>
      <c r="V343" s="34"/>
      <c r="W343" s="35" t="s">
        <v>69</v>
      </c>
      <c r="X343" s="555">
        <v>33</v>
      </c>
      <c r="Y343" s="556">
        <f>IFERROR(IF(X343="",0,CEILING((X343/$H343),1)*$H343),"")</f>
        <v>40.5</v>
      </c>
      <c r="Z343" s="36">
        <f>IFERROR(IF(Y343=0,"",ROUNDUP(Y343/H343,0)*0.01898),"")</f>
        <v>9.4899999999999998E-2</v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35.01259259259259</v>
      </c>
      <c r="BN343" s="64">
        <f>IFERROR(Y343*I343/H343,"0")</f>
        <v>42.97</v>
      </c>
      <c r="BO343" s="64">
        <f>IFERROR(1/J343*(X343/H343),"0")</f>
        <v>6.3657407407407413E-2</v>
      </c>
      <c r="BP343" s="64">
        <f>IFERROR(1/J343*(Y343/H343),"0")</f>
        <v>7.8125E-2</v>
      </c>
    </row>
    <row r="344" spans="1:68" ht="27" customHeight="1" x14ac:dyDescent="0.25">
      <c r="A344" s="54" t="s">
        <v>556</v>
      </c>
      <c r="B344" s="54" t="s">
        <v>557</v>
      </c>
      <c r="C344" s="31">
        <v>4301051461</v>
      </c>
      <c r="D344" s="562">
        <v>4680115883604</v>
      </c>
      <c r="E344" s="563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8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0"/>
      <c r="R344" s="560"/>
      <c r="S344" s="560"/>
      <c r="T344" s="561"/>
      <c r="U344" s="34"/>
      <c r="V344" s="34"/>
      <c r="W344" s="35" t="s">
        <v>69</v>
      </c>
      <c r="X344" s="555">
        <v>56.7</v>
      </c>
      <c r="Y344" s="556">
        <f>IFERROR(IF(X344="",0,CEILING((X344/$H344),1)*$H344),"")</f>
        <v>56.7</v>
      </c>
      <c r="Z344" s="36">
        <f>IFERROR(IF(Y344=0,"",ROUNDUP(Y344/H344,0)*0.00651),"")</f>
        <v>0.17577000000000001</v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63.503999999999991</v>
      </c>
      <c r="BN344" s="64">
        <f>IFERROR(Y344*I344/H344,"0")</f>
        <v>63.503999999999991</v>
      </c>
      <c r="BO344" s="64">
        <f>IFERROR(1/J344*(X344/H344),"0")</f>
        <v>0.14835164835164835</v>
      </c>
      <c r="BP344" s="64">
        <f>IFERROR(1/J344*(Y344/H344),"0")</f>
        <v>0.14835164835164835</v>
      </c>
    </row>
    <row r="345" spans="1:68" ht="27" customHeight="1" x14ac:dyDescent="0.25">
      <c r="A345" s="54" t="s">
        <v>559</v>
      </c>
      <c r="B345" s="54" t="s">
        <v>560</v>
      </c>
      <c r="C345" s="31">
        <v>4301051864</v>
      </c>
      <c r="D345" s="562">
        <v>4680115883567</v>
      </c>
      <c r="E345" s="563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79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0"/>
      <c r="R345" s="560"/>
      <c r="S345" s="560"/>
      <c r="T345" s="561"/>
      <c r="U345" s="34"/>
      <c r="V345" s="34"/>
      <c r="W345" s="35" t="s">
        <v>69</v>
      </c>
      <c r="X345" s="555">
        <v>39.200000000000003</v>
      </c>
      <c r="Y345" s="556">
        <f>IFERROR(IF(X345="",0,CEILING((X345/$H345),1)*$H345),"")</f>
        <v>39.9</v>
      </c>
      <c r="Z345" s="36">
        <f>IFERROR(IF(Y345=0,"",ROUNDUP(Y345/H345,0)*0.00651),"")</f>
        <v>0.12369000000000001</v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43.679999999999993</v>
      </c>
      <c r="BN345" s="64">
        <f>IFERROR(Y345*I345/H345,"0")</f>
        <v>44.459999999999994</v>
      </c>
      <c r="BO345" s="64">
        <f>IFERROR(1/J345*(X345/H345),"0")</f>
        <v>0.10256410256410257</v>
      </c>
      <c r="BP345" s="64">
        <f>IFERROR(1/J345*(Y345/H345),"0")</f>
        <v>0.1043956043956044</v>
      </c>
    </row>
    <row r="346" spans="1:68" x14ac:dyDescent="0.2">
      <c r="A346" s="582"/>
      <c r="B346" s="569"/>
      <c r="C346" s="569"/>
      <c r="D346" s="569"/>
      <c r="E346" s="569"/>
      <c r="F346" s="569"/>
      <c r="G346" s="569"/>
      <c r="H346" s="569"/>
      <c r="I346" s="569"/>
      <c r="J346" s="569"/>
      <c r="K346" s="569"/>
      <c r="L346" s="569"/>
      <c r="M346" s="569"/>
      <c r="N346" s="569"/>
      <c r="O346" s="583"/>
      <c r="P346" s="573" t="s">
        <v>75</v>
      </c>
      <c r="Q346" s="574"/>
      <c r="R346" s="574"/>
      <c r="S346" s="574"/>
      <c r="T346" s="574"/>
      <c r="U346" s="574"/>
      <c r="V346" s="575"/>
      <c r="W346" s="37" t="s">
        <v>76</v>
      </c>
      <c r="X346" s="557">
        <f>IFERROR(X343/H343,"0")+IFERROR(X344/H344,"0")+IFERROR(X345/H345,"0")</f>
        <v>49.740740740740748</v>
      </c>
      <c r="Y346" s="557">
        <f>IFERROR(Y343/H343,"0")+IFERROR(Y344/H344,"0")+IFERROR(Y345/H345,"0")</f>
        <v>51</v>
      </c>
      <c r="Z346" s="557">
        <f>IFERROR(IF(Z343="",0,Z343),"0")+IFERROR(IF(Z344="",0,Z344),"0")+IFERROR(IF(Z345="",0,Z345),"0")</f>
        <v>0.39436000000000004</v>
      </c>
      <c r="AA346" s="558"/>
      <c r="AB346" s="558"/>
      <c r="AC346" s="558"/>
    </row>
    <row r="347" spans="1:68" x14ac:dyDescent="0.2">
      <c r="A347" s="569"/>
      <c r="B347" s="569"/>
      <c r="C347" s="569"/>
      <c r="D347" s="569"/>
      <c r="E347" s="569"/>
      <c r="F347" s="569"/>
      <c r="G347" s="569"/>
      <c r="H347" s="569"/>
      <c r="I347" s="569"/>
      <c r="J347" s="569"/>
      <c r="K347" s="569"/>
      <c r="L347" s="569"/>
      <c r="M347" s="569"/>
      <c r="N347" s="569"/>
      <c r="O347" s="583"/>
      <c r="P347" s="573" t="s">
        <v>75</v>
      </c>
      <c r="Q347" s="574"/>
      <c r="R347" s="574"/>
      <c r="S347" s="574"/>
      <c r="T347" s="574"/>
      <c r="U347" s="574"/>
      <c r="V347" s="575"/>
      <c r="W347" s="37" t="s">
        <v>69</v>
      </c>
      <c r="X347" s="557">
        <f>IFERROR(SUM(X343:X345),"0")</f>
        <v>128.9</v>
      </c>
      <c r="Y347" s="557">
        <f>IFERROR(SUM(Y343:Y345),"0")</f>
        <v>137.1</v>
      </c>
      <c r="Z347" s="37"/>
      <c r="AA347" s="558"/>
      <c r="AB347" s="558"/>
      <c r="AC347" s="558"/>
    </row>
    <row r="348" spans="1:68" ht="27.75" customHeight="1" x14ac:dyDescent="0.2">
      <c r="A348" s="727" t="s">
        <v>562</v>
      </c>
      <c r="B348" s="728"/>
      <c r="C348" s="728"/>
      <c r="D348" s="728"/>
      <c r="E348" s="728"/>
      <c r="F348" s="728"/>
      <c r="G348" s="728"/>
      <c r="H348" s="728"/>
      <c r="I348" s="728"/>
      <c r="J348" s="728"/>
      <c r="K348" s="728"/>
      <c r="L348" s="728"/>
      <c r="M348" s="728"/>
      <c r="N348" s="728"/>
      <c r="O348" s="728"/>
      <c r="P348" s="728"/>
      <c r="Q348" s="728"/>
      <c r="R348" s="728"/>
      <c r="S348" s="728"/>
      <c r="T348" s="728"/>
      <c r="U348" s="728"/>
      <c r="V348" s="728"/>
      <c r="W348" s="728"/>
      <c r="X348" s="728"/>
      <c r="Y348" s="728"/>
      <c r="Z348" s="728"/>
      <c r="AA348" s="48"/>
      <c r="AB348" s="48"/>
      <c r="AC348" s="48"/>
    </row>
    <row r="349" spans="1:68" ht="16.5" customHeight="1" x14ac:dyDescent="0.25">
      <c r="A349" s="568" t="s">
        <v>563</v>
      </c>
      <c r="B349" s="569"/>
      <c r="C349" s="569"/>
      <c r="D349" s="569"/>
      <c r="E349" s="569"/>
      <c r="F349" s="569"/>
      <c r="G349" s="569"/>
      <c r="H349" s="569"/>
      <c r="I349" s="569"/>
      <c r="J349" s="569"/>
      <c r="K349" s="569"/>
      <c r="L349" s="569"/>
      <c r="M349" s="569"/>
      <c r="N349" s="569"/>
      <c r="O349" s="569"/>
      <c r="P349" s="569"/>
      <c r="Q349" s="569"/>
      <c r="R349" s="569"/>
      <c r="S349" s="569"/>
      <c r="T349" s="569"/>
      <c r="U349" s="569"/>
      <c r="V349" s="569"/>
      <c r="W349" s="569"/>
      <c r="X349" s="569"/>
      <c r="Y349" s="569"/>
      <c r="Z349" s="569"/>
      <c r="AA349" s="550"/>
      <c r="AB349" s="550"/>
      <c r="AC349" s="550"/>
    </row>
    <row r="350" spans="1:68" ht="14.25" customHeight="1" x14ac:dyDescent="0.25">
      <c r="A350" s="570" t="s">
        <v>103</v>
      </c>
      <c r="B350" s="569"/>
      <c r="C350" s="569"/>
      <c r="D350" s="569"/>
      <c r="E350" s="569"/>
      <c r="F350" s="569"/>
      <c r="G350" s="569"/>
      <c r="H350" s="569"/>
      <c r="I350" s="569"/>
      <c r="J350" s="569"/>
      <c r="K350" s="569"/>
      <c r="L350" s="569"/>
      <c r="M350" s="569"/>
      <c r="N350" s="569"/>
      <c r="O350" s="569"/>
      <c r="P350" s="569"/>
      <c r="Q350" s="569"/>
      <c r="R350" s="569"/>
      <c r="S350" s="569"/>
      <c r="T350" s="569"/>
      <c r="U350" s="569"/>
      <c r="V350" s="569"/>
      <c r="W350" s="569"/>
      <c r="X350" s="569"/>
      <c r="Y350" s="569"/>
      <c r="Z350" s="569"/>
      <c r="AA350" s="551"/>
      <c r="AB350" s="551"/>
      <c r="AC350" s="551"/>
    </row>
    <row r="351" spans="1:68" ht="37.5" customHeight="1" x14ac:dyDescent="0.25">
      <c r="A351" s="54" t="s">
        <v>564</v>
      </c>
      <c r="B351" s="54" t="s">
        <v>565</v>
      </c>
      <c r="C351" s="31">
        <v>4301011869</v>
      </c>
      <c r="D351" s="562">
        <v>4680115884847</v>
      </c>
      <c r="E351" s="563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7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0"/>
      <c r="R351" s="560"/>
      <c r="S351" s="560"/>
      <c r="T351" s="561"/>
      <c r="U351" s="34"/>
      <c r="V351" s="34"/>
      <c r="W351" s="35" t="s">
        <v>69</v>
      </c>
      <c r="X351" s="555">
        <v>230</v>
      </c>
      <c r="Y351" s="556">
        <f t="shared" ref="Y351:Y357" si="41">IFERROR(IF(X351="",0,CEILING((X351/$H351),1)*$H351),"")</f>
        <v>240</v>
      </c>
      <c r="Z351" s="36">
        <f>IFERROR(IF(Y351=0,"",ROUNDUP(Y351/H351,0)*0.02175),"")</f>
        <v>0.34799999999999998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237.20666666666668</v>
      </c>
      <c r="BN351" s="64">
        <f t="shared" ref="BN351:BN357" si="43">IFERROR(Y351*I351/H351,"0")</f>
        <v>247.52</v>
      </c>
      <c r="BO351" s="64">
        <f t="shared" ref="BO351:BO357" si="44">IFERROR(1/J351*(X351/H351),"0")</f>
        <v>0.31944444444444442</v>
      </c>
      <c r="BP351" s="64">
        <f t="shared" ref="BP351:BP357" si="45">IFERROR(1/J351*(Y351/H351),"0")</f>
        <v>0.33333333333333331</v>
      </c>
    </row>
    <row r="352" spans="1:68" ht="27" customHeight="1" x14ac:dyDescent="0.25">
      <c r="A352" s="54" t="s">
        <v>567</v>
      </c>
      <c r="B352" s="54" t="s">
        <v>568</v>
      </c>
      <c r="C352" s="31">
        <v>4301011870</v>
      </c>
      <c r="D352" s="562">
        <v>4680115884854</v>
      </c>
      <c r="E352" s="563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7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0"/>
      <c r="R352" s="560"/>
      <c r="S352" s="560"/>
      <c r="T352" s="561"/>
      <c r="U352" s="34"/>
      <c r="V352" s="34"/>
      <c r="W352" s="35" t="s">
        <v>69</v>
      </c>
      <c r="X352" s="555">
        <v>795</v>
      </c>
      <c r="Y352" s="556">
        <f t="shared" si="41"/>
        <v>795</v>
      </c>
      <c r="Z352" s="36">
        <f>IFERROR(IF(Y352=0,"",ROUNDUP(Y352/H352,0)*0.02175),"")</f>
        <v>1.1527499999999999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819.91</v>
      </c>
      <c r="BN352" s="64">
        <f t="shared" si="43"/>
        <v>819.91</v>
      </c>
      <c r="BO352" s="64">
        <f t="shared" si="44"/>
        <v>1.1041666666666665</v>
      </c>
      <c r="BP352" s="64">
        <f t="shared" si="45"/>
        <v>1.1041666666666665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0"/>
      <c r="R353" s="560"/>
      <c r="S353" s="560"/>
      <c r="T353" s="561"/>
      <c r="U353" s="34"/>
      <c r="V353" s="34"/>
      <c r="W353" s="35" t="s">
        <v>69</v>
      </c>
      <c r="X353" s="555">
        <v>0</v>
      </c>
      <c r="Y353" s="556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4301012215</v>
      </c>
      <c r="D354" s="562">
        <v>4680115887046</v>
      </c>
      <c r="E354" s="563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83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0"/>
      <c r="R354" s="560"/>
      <c r="S354" s="560"/>
      <c r="T354" s="561"/>
      <c r="U354" s="34"/>
      <c r="V354" s="34"/>
      <c r="W354" s="35" t="s">
        <v>69</v>
      </c>
      <c r="X354" s="555">
        <v>1120</v>
      </c>
      <c r="Y354" s="556">
        <f t="shared" si="41"/>
        <v>1125</v>
      </c>
      <c r="Z354" s="36">
        <f>IFERROR(IF(Y354=0,"",ROUNDUP(Y354/H354,0)*0.02175),"")</f>
        <v>1.6312499999999999</v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1155.0933333333335</v>
      </c>
      <c r="BN354" s="64">
        <f t="shared" si="43"/>
        <v>1160.25</v>
      </c>
      <c r="BO354" s="64">
        <f t="shared" si="44"/>
        <v>1.5555555555555556</v>
      </c>
      <c r="BP354" s="64">
        <f t="shared" si="45"/>
        <v>1.5625</v>
      </c>
    </row>
    <row r="355" spans="1:68" ht="27" customHeight="1" x14ac:dyDescent="0.25">
      <c r="A355" s="54" t="s">
        <v>576</v>
      </c>
      <c r="B355" s="54" t="s">
        <v>577</v>
      </c>
      <c r="C355" s="31">
        <v>4301011433</v>
      </c>
      <c r="D355" s="562">
        <v>4680115882638</v>
      </c>
      <c r="E355" s="563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87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0"/>
      <c r="R355" s="560"/>
      <c r="S355" s="560"/>
      <c r="T355" s="561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customHeight="1" x14ac:dyDescent="0.25">
      <c r="A356" s="54" t="s">
        <v>579</v>
      </c>
      <c r="B356" s="54" t="s">
        <v>580</v>
      </c>
      <c r="C356" s="31">
        <v>4301011952</v>
      </c>
      <c r="D356" s="562">
        <v>4680115884922</v>
      </c>
      <c r="E356" s="563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0"/>
      <c r="R356" s="560"/>
      <c r="S356" s="560"/>
      <c r="T356" s="561"/>
      <c r="U356" s="34"/>
      <c r="V356" s="34"/>
      <c r="W356" s="35" t="s">
        <v>69</v>
      </c>
      <c r="X356" s="555">
        <v>0</v>
      </c>
      <c r="Y356" s="556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ht="37.5" customHeight="1" x14ac:dyDescent="0.25">
      <c r="A357" s="54" t="s">
        <v>581</v>
      </c>
      <c r="B357" s="54" t="s">
        <v>582</v>
      </c>
      <c r="C357" s="31">
        <v>4301011868</v>
      </c>
      <c r="D357" s="562">
        <v>4680115884861</v>
      </c>
      <c r="E357" s="563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8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0"/>
      <c r="R357" s="560"/>
      <c r="S357" s="560"/>
      <c r="T357" s="561"/>
      <c r="U357" s="34"/>
      <c r="V357" s="34"/>
      <c r="W357" s="35" t="s">
        <v>69</v>
      </c>
      <c r="X357" s="555">
        <v>5</v>
      </c>
      <c r="Y357" s="556">
        <f t="shared" si="41"/>
        <v>5</v>
      </c>
      <c r="Z357" s="36">
        <f>IFERROR(IF(Y357=0,"",ROUNDUP(Y357/H357,0)*0.00902),"")</f>
        <v>9.0200000000000002E-3</v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5.19</v>
      </c>
      <c r="BN357" s="64">
        <f t="shared" si="43"/>
        <v>5.19</v>
      </c>
      <c r="BO357" s="64">
        <f t="shared" si="44"/>
        <v>7.575757575757576E-3</v>
      </c>
      <c r="BP357" s="64">
        <f t="shared" si="45"/>
        <v>7.575757575757576E-3</v>
      </c>
    </row>
    <row r="358" spans="1:68" x14ac:dyDescent="0.2">
      <c r="A358" s="582"/>
      <c r="B358" s="569"/>
      <c r="C358" s="569"/>
      <c r="D358" s="569"/>
      <c r="E358" s="569"/>
      <c r="F358" s="569"/>
      <c r="G358" s="569"/>
      <c r="H358" s="569"/>
      <c r="I358" s="569"/>
      <c r="J358" s="569"/>
      <c r="K358" s="569"/>
      <c r="L358" s="569"/>
      <c r="M358" s="569"/>
      <c r="N358" s="569"/>
      <c r="O358" s="583"/>
      <c r="P358" s="573" t="s">
        <v>75</v>
      </c>
      <c r="Q358" s="574"/>
      <c r="R358" s="574"/>
      <c r="S358" s="574"/>
      <c r="T358" s="574"/>
      <c r="U358" s="574"/>
      <c r="V358" s="575"/>
      <c r="W358" s="37" t="s">
        <v>76</v>
      </c>
      <c r="X358" s="557">
        <f>IFERROR(X351/H351,"0")+IFERROR(X352/H352,"0")+IFERROR(X353/H353,"0")+IFERROR(X354/H354,"0")+IFERROR(X355/H355,"0")+IFERROR(X356/H356,"0")+IFERROR(X357/H357,"0")</f>
        <v>144</v>
      </c>
      <c r="Y358" s="557">
        <f>IFERROR(Y351/H351,"0")+IFERROR(Y352/H352,"0")+IFERROR(Y353/H353,"0")+IFERROR(Y354/H354,"0")+IFERROR(Y355/H355,"0")+IFERROR(Y356/H356,"0")+IFERROR(Y357/H357,"0")</f>
        <v>145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3.1410199999999997</v>
      </c>
      <c r="AA358" s="558"/>
      <c r="AB358" s="558"/>
      <c r="AC358" s="558"/>
    </row>
    <row r="359" spans="1:68" x14ac:dyDescent="0.2">
      <c r="A359" s="569"/>
      <c r="B359" s="569"/>
      <c r="C359" s="569"/>
      <c r="D359" s="569"/>
      <c r="E359" s="569"/>
      <c r="F359" s="569"/>
      <c r="G359" s="569"/>
      <c r="H359" s="569"/>
      <c r="I359" s="569"/>
      <c r="J359" s="569"/>
      <c r="K359" s="569"/>
      <c r="L359" s="569"/>
      <c r="M359" s="569"/>
      <c r="N359" s="569"/>
      <c r="O359" s="583"/>
      <c r="P359" s="573" t="s">
        <v>75</v>
      </c>
      <c r="Q359" s="574"/>
      <c r="R359" s="574"/>
      <c r="S359" s="574"/>
      <c r="T359" s="574"/>
      <c r="U359" s="574"/>
      <c r="V359" s="575"/>
      <c r="W359" s="37" t="s">
        <v>69</v>
      </c>
      <c r="X359" s="557">
        <f>IFERROR(SUM(X351:X357),"0")</f>
        <v>2150</v>
      </c>
      <c r="Y359" s="557">
        <f>IFERROR(SUM(Y351:Y357),"0")</f>
        <v>2165</v>
      </c>
      <c r="Z359" s="37"/>
      <c r="AA359" s="558"/>
      <c r="AB359" s="558"/>
      <c r="AC359" s="558"/>
    </row>
    <row r="360" spans="1:68" ht="14.25" customHeight="1" x14ac:dyDescent="0.25">
      <c r="A360" s="570" t="s">
        <v>138</v>
      </c>
      <c r="B360" s="569"/>
      <c r="C360" s="569"/>
      <c r="D360" s="569"/>
      <c r="E360" s="569"/>
      <c r="F360" s="569"/>
      <c r="G360" s="569"/>
      <c r="H360" s="569"/>
      <c r="I360" s="569"/>
      <c r="J360" s="569"/>
      <c r="K360" s="569"/>
      <c r="L360" s="569"/>
      <c r="M360" s="569"/>
      <c r="N360" s="569"/>
      <c r="O360" s="569"/>
      <c r="P360" s="569"/>
      <c r="Q360" s="569"/>
      <c r="R360" s="569"/>
      <c r="S360" s="569"/>
      <c r="T360" s="569"/>
      <c r="U360" s="569"/>
      <c r="V360" s="569"/>
      <c r="W360" s="569"/>
      <c r="X360" s="569"/>
      <c r="Y360" s="569"/>
      <c r="Z360" s="569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2">
        <v>4607091383980</v>
      </c>
      <c r="E361" s="563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0"/>
      <c r="R361" s="560"/>
      <c r="S361" s="560"/>
      <c r="T361" s="561"/>
      <c r="U361" s="34"/>
      <c r="V361" s="34"/>
      <c r="W361" s="35" t="s">
        <v>69</v>
      </c>
      <c r="X361" s="555">
        <v>1100</v>
      </c>
      <c r="Y361" s="556">
        <f>IFERROR(IF(X361="",0,CEILING((X361/$H361),1)*$H361),"")</f>
        <v>1110</v>
      </c>
      <c r="Z361" s="36">
        <f>IFERROR(IF(Y361=0,"",ROUNDUP(Y361/H361,0)*0.02175),"")</f>
        <v>1.6094999999999999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1134.4666666666667</v>
      </c>
      <c r="BN361" s="64">
        <f>IFERROR(Y361*I361/H361,"0")</f>
        <v>1144.78</v>
      </c>
      <c r="BO361" s="64">
        <f>IFERROR(1/J361*(X361/H361),"0")</f>
        <v>1.5277777777777777</v>
      </c>
      <c r="BP361" s="64">
        <f>IFERROR(1/J361*(Y361/H361),"0")</f>
        <v>1.5416666666666665</v>
      </c>
    </row>
    <row r="362" spans="1:68" ht="27" customHeight="1" x14ac:dyDescent="0.25">
      <c r="A362" s="54" t="s">
        <v>586</v>
      </c>
      <c r="B362" s="54" t="s">
        <v>587</v>
      </c>
      <c r="C362" s="31">
        <v>4301020179</v>
      </c>
      <c r="D362" s="562">
        <v>4607091384178</v>
      </c>
      <c r="E362" s="563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8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0"/>
      <c r="R362" s="560"/>
      <c r="S362" s="560"/>
      <c r="T362" s="561"/>
      <c r="U362" s="34"/>
      <c r="V362" s="34"/>
      <c r="W362" s="35" t="s">
        <v>69</v>
      </c>
      <c r="X362" s="555">
        <v>0</v>
      </c>
      <c r="Y362" s="556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82"/>
      <c r="B363" s="569"/>
      <c r="C363" s="569"/>
      <c r="D363" s="569"/>
      <c r="E363" s="569"/>
      <c r="F363" s="569"/>
      <c r="G363" s="569"/>
      <c r="H363" s="569"/>
      <c r="I363" s="569"/>
      <c r="J363" s="569"/>
      <c r="K363" s="569"/>
      <c r="L363" s="569"/>
      <c r="M363" s="569"/>
      <c r="N363" s="569"/>
      <c r="O363" s="583"/>
      <c r="P363" s="573" t="s">
        <v>75</v>
      </c>
      <c r="Q363" s="574"/>
      <c r="R363" s="574"/>
      <c r="S363" s="574"/>
      <c r="T363" s="574"/>
      <c r="U363" s="574"/>
      <c r="V363" s="575"/>
      <c r="W363" s="37" t="s">
        <v>76</v>
      </c>
      <c r="X363" s="557">
        <f>IFERROR(X361/H361,"0")+IFERROR(X362/H362,"0")</f>
        <v>73.333333333333329</v>
      </c>
      <c r="Y363" s="557">
        <f>IFERROR(Y361/H361,"0")+IFERROR(Y362/H362,"0")</f>
        <v>74</v>
      </c>
      <c r="Z363" s="557">
        <f>IFERROR(IF(Z361="",0,Z361),"0")+IFERROR(IF(Z362="",0,Z362),"0")</f>
        <v>1.6094999999999999</v>
      </c>
      <c r="AA363" s="558"/>
      <c r="AB363" s="558"/>
      <c r="AC363" s="558"/>
    </row>
    <row r="364" spans="1:68" x14ac:dyDescent="0.2">
      <c r="A364" s="569"/>
      <c r="B364" s="569"/>
      <c r="C364" s="569"/>
      <c r="D364" s="569"/>
      <c r="E364" s="569"/>
      <c r="F364" s="569"/>
      <c r="G364" s="569"/>
      <c r="H364" s="569"/>
      <c r="I364" s="569"/>
      <c r="J364" s="569"/>
      <c r="K364" s="569"/>
      <c r="L364" s="569"/>
      <c r="M364" s="569"/>
      <c r="N364" s="569"/>
      <c r="O364" s="583"/>
      <c r="P364" s="573" t="s">
        <v>75</v>
      </c>
      <c r="Q364" s="574"/>
      <c r="R364" s="574"/>
      <c r="S364" s="574"/>
      <c r="T364" s="574"/>
      <c r="U364" s="574"/>
      <c r="V364" s="575"/>
      <c r="W364" s="37" t="s">
        <v>69</v>
      </c>
      <c r="X364" s="557">
        <f>IFERROR(SUM(X361:X362),"0")</f>
        <v>1100</v>
      </c>
      <c r="Y364" s="557">
        <f>IFERROR(SUM(Y361:Y362),"0")</f>
        <v>1110</v>
      </c>
      <c r="Z364" s="37"/>
      <c r="AA364" s="558"/>
      <c r="AB364" s="558"/>
      <c r="AC364" s="558"/>
    </row>
    <row r="365" spans="1:68" ht="14.25" customHeight="1" x14ac:dyDescent="0.25">
      <c r="A365" s="570" t="s">
        <v>77</v>
      </c>
      <c r="B365" s="569"/>
      <c r="C365" s="569"/>
      <c r="D365" s="569"/>
      <c r="E365" s="569"/>
      <c r="F365" s="569"/>
      <c r="G365" s="569"/>
      <c r="H365" s="569"/>
      <c r="I365" s="569"/>
      <c r="J365" s="569"/>
      <c r="K365" s="569"/>
      <c r="L365" s="569"/>
      <c r="M365" s="569"/>
      <c r="N365" s="569"/>
      <c r="O365" s="569"/>
      <c r="P365" s="569"/>
      <c r="Q365" s="569"/>
      <c r="R365" s="569"/>
      <c r="S365" s="569"/>
      <c r="T365" s="569"/>
      <c r="U365" s="569"/>
      <c r="V365" s="569"/>
      <c r="W365" s="569"/>
      <c r="X365" s="569"/>
      <c r="Y365" s="569"/>
      <c r="Z365" s="569"/>
      <c r="AA365" s="551"/>
      <c r="AB365" s="551"/>
      <c r="AC365" s="551"/>
    </row>
    <row r="366" spans="1:68" ht="27" customHeight="1" x14ac:dyDescent="0.25">
      <c r="A366" s="54" t="s">
        <v>589</v>
      </c>
      <c r="B366" s="54" t="s">
        <v>590</v>
      </c>
      <c r="C366" s="31">
        <v>4301051903</v>
      </c>
      <c r="D366" s="562">
        <v>4607091383928</v>
      </c>
      <c r="E366" s="563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6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0"/>
      <c r="R366" s="560"/>
      <c r="S366" s="560"/>
      <c r="T366" s="561"/>
      <c r="U366" s="34"/>
      <c r="V366" s="34"/>
      <c r="W366" s="35" t="s">
        <v>69</v>
      </c>
      <c r="X366" s="555">
        <v>0</v>
      </c>
      <c r="Y366" s="55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592</v>
      </c>
      <c r="B367" s="54" t="s">
        <v>593</v>
      </c>
      <c r="C367" s="31">
        <v>4301051897</v>
      </c>
      <c r="D367" s="562">
        <v>4607091384260</v>
      </c>
      <c r="E367" s="563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8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0"/>
      <c r="R367" s="560"/>
      <c r="S367" s="560"/>
      <c r="T367" s="561"/>
      <c r="U367" s="34"/>
      <c r="V367" s="34"/>
      <c r="W367" s="35" t="s">
        <v>69</v>
      </c>
      <c r="X367" s="555">
        <v>0</v>
      </c>
      <c r="Y367" s="55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582"/>
      <c r="B368" s="569"/>
      <c r="C368" s="569"/>
      <c r="D368" s="569"/>
      <c r="E368" s="569"/>
      <c r="F368" s="569"/>
      <c r="G368" s="569"/>
      <c r="H368" s="569"/>
      <c r="I368" s="569"/>
      <c r="J368" s="569"/>
      <c r="K368" s="569"/>
      <c r="L368" s="569"/>
      <c r="M368" s="569"/>
      <c r="N368" s="569"/>
      <c r="O368" s="583"/>
      <c r="P368" s="573" t="s">
        <v>75</v>
      </c>
      <c r="Q368" s="574"/>
      <c r="R368" s="574"/>
      <c r="S368" s="574"/>
      <c r="T368" s="574"/>
      <c r="U368" s="574"/>
      <c r="V368" s="575"/>
      <c r="W368" s="37" t="s">
        <v>76</v>
      </c>
      <c r="X368" s="557">
        <f>IFERROR(X366/H366,"0")+IFERROR(X367/H367,"0")</f>
        <v>0</v>
      </c>
      <c r="Y368" s="557">
        <f>IFERROR(Y366/H366,"0")+IFERROR(Y367/H367,"0")</f>
        <v>0</v>
      </c>
      <c r="Z368" s="557">
        <f>IFERROR(IF(Z366="",0,Z366),"0")+IFERROR(IF(Z367="",0,Z367),"0")</f>
        <v>0</v>
      </c>
      <c r="AA368" s="558"/>
      <c r="AB368" s="558"/>
      <c r="AC368" s="558"/>
    </row>
    <row r="369" spans="1:68" x14ac:dyDescent="0.2">
      <c r="A369" s="569"/>
      <c r="B369" s="569"/>
      <c r="C369" s="569"/>
      <c r="D369" s="569"/>
      <c r="E369" s="569"/>
      <c r="F369" s="569"/>
      <c r="G369" s="569"/>
      <c r="H369" s="569"/>
      <c r="I369" s="569"/>
      <c r="J369" s="569"/>
      <c r="K369" s="569"/>
      <c r="L369" s="569"/>
      <c r="M369" s="569"/>
      <c r="N369" s="569"/>
      <c r="O369" s="583"/>
      <c r="P369" s="573" t="s">
        <v>75</v>
      </c>
      <c r="Q369" s="574"/>
      <c r="R369" s="574"/>
      <c r="S369" s="574"/>
      <c r="T369" s="574"/>
      <c r="U369" s="574"/>
      <c r="V369" s="575"/>
      <c r="W369" s="37" t="s">
        <v>69</v>
      </c>
      <c r="X369" s="557">
        <f>IFERROR(SUM(X366:X367),"0")</f>
        <v>0</v>
      </c>
      <c r="Y369" s="557">
        <f>IFERROR(SUM(Y366:Y367),"0")</f>
        <v>0</v>
      </c>
      <c r="Z369" s="37"/>
      <c r="AA369" s="558"/>
      <c r="AB369" s="558"/>
      <c r="AC369" s="558"/>
    </row>
    <row r="370" spans="1:68" ht="14.25" customHeight="1" x14ac:dyDescent="0.25">
      <c r="A370" s="570" t="s">
        <v>163</v>
      </c>
      <c r="B370" s="569"/>
      <c r="C370" s="569"/>
      <c r="D370" s="569"/>
      <c r="E370" s="569"/>
      <c r="F370" s="569"/>
      <c r="G370" s="569"/>
      <c r="H370" s="569"/>
      <c r="I370" s="569"/>
      <c r="J370" s="569"/>
      <c r="K370" s="569"/>
      <c r="L370" s="569"/>
      <c r="M370" s="569"/>
      <c r="N370" s="569"/>
      <c r="O370" s="569"/>
      <c r="P370" s="569"/>
      <c r="Q370" s="569"/>
      <c r="R370" s="569"/>
      <c r="S370" s="569"/>
      <c r="T370" s="569"/>
      <c r="U370" s="569"/>
      <c r="V370" s="569"/>
      <c r="W370" s="569"/>
      <c r="X370" s="569"/>
      <c r="Y370" s="569"/>
      <c r="Z370" s="569"/>
      <c r="AA370" s="551"/>
      <c r="AB370" s="551"/>
      <c r="AC370" s="551"/>
    </row>
    <row r="371" spans="1:68" ht="16.5" customHeight="1" x14ac:dyDescent="0.25">
      <c r="A371" s="54" t="s">
        <v>595</v>
      </c>
      <c r="B371" s="54" t="s">
        <v>596</v>
      </c>
      <c r="C371" s="31">
        <v>4301060524</v>
      </c>
      <c r="D371" s="562">
        <v>4607091384673</v>
      </c>
      <c r="E371" s="563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6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0"/>
      <c r="R371" s="560"/>
      <c r="S371" s="560"/>
      <c r="T371" s="561"/>
      <c r="U371" s="34"/>
      <c r="V371" s="34"/>
      <c r="W371" s="35" t="s">
        <v>69</v>
      </c>
      <c r="X371" s="555">
        <v>0</v>
      </c>
      <c r="Y371" s="55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">
      <c r="A372" s="582"/>
      <c r="B372" s="569"/>
      <c r="C372" s="569"/>
      <c r="D372" s="569"/>
      <c r="E372" s="569"/>
      <c r="F372" s="569"/>
      <c r="G372" s="569"/>
      <c r="H372" s="569"/>
      <c r="I372" s="569"/>
      <c r="J372" s="569"/>
      <c r="K372" s="569"/>
      <c r="L372" s="569"/>
      <c r="M372" s="569"/>
      <c r="N372" s="569"/>
      <c r="O372" s="583"/>
      <c r="P372" s="573" t="s">
        <v>75</v>
      </c>
      <c r="Q372" s="574"/>
      <c r="R372" s="574"/>
      <c r="S372" s="574"/>
      <c r="T372" s="574"/>
      <c r="U372" s="574"/>
      <c r="V372" s="575"/>
      <c r="W372" s="37" t="s">
        <v>76</v>
      </c>
      <c r="X372" s="557">
        <f>IFERROR(X371/H371,"0")</f>
        <v>0</v>
      </c>
      <c r="Y372" s="557">
        <f>IFERROR(Y371/H371,"0")</f>
        <v>0</v>
      </c>
      <c r="Z372" s="557">
        <f>IFERROR(IF(Z371="",0,Z371),"0")</f>
        <v>0</v>
      </c>
      <c r="AA372" s="558"/>
      <c r="AB372" s="558"/>
      <c r="AC372" s="558"/>
    </row>
    <row r="373" spans="1:68" x14ac:dyDescent="0.2">
      <c r="A373" s="569"/>
      <c r="B373" s="569"/>
      <c r="C373" s="569"/>
      <c r="D373" s="569"/>
      <c r="E373" s="569"/>
      <c r="F373" s="569"/>
      <c r="G373" s="569"/>
      <c r="H373" s="569"/>
      <c r="I373" s="569"/>
      <c r="J373" s="569"/>
      <c r="K373" s="569"/>
      <c r="L373" s="569"/>
      <c r="M373" s="569"/>
      <c r="N373" s="569"/>
      <c r="O373" s="583"/>
      <c r="P373" s="573" t="s">
        <v>75</v>
      </c>
      <c r="Q373" s="574"/>
      <c r="R373" s="574"/>
      <c r="S373" s="574"/>
      <c r="T373" s="574"/>
      <c r="U373" s="574"/>
      <c r="V373" s="575"/>
      <c r="W373" s="37" t="s">
        <v>69</v>
      </c>
      <c r="X373" s="557">
        <f>IFERROR(SUM(X371:X371),"0")</f>
        <v>0</v>
      </c>
      <c r="Y373" s="557">
        <f>IFERROR(SUM(Y371:Y371),"0")</f>
        <v>0</v>
      </c>
      <c r="Z373" s="37"/>
      <c r="AA373" s="558"/>
      <c r="AB373" s="558"/>
      <c r="AC373" s="558"/>
    </row>
    <row r="374" spans="1:68" ht="16.5" customHeight="1" x14ac:dyDescent="0.25">
      <c r="A374" s="568" t="s">
        <v>598</v>
      </c>
      <c r="B374" s="569"/>
      <c r="C374" s="569"/>
      <c r="D374" s="569"/>
      <c r="E374" s="569"/>
      <c r="F374" s="569"/>
      <c r="G374" s="569"/>
      <c r="H374" s="569"/>
      <c r="I374" s="569"/>
      <c r="J374" s="569"/>
      <c r="K374" s="569"/>
      <c r="L374" s="569"/>
      <c r="M374" s="569"/>
      <c r="N374" s="569"/>
      <c r="O374" s="569"/>
      <c r="P374" s="569"/>
      <c r="Q374" s="569"/>
      <c r="R374" s="569"/>
      <c r="S374" s="569"/>
      <c r="T374" s="569"/>
      <c r="U374" s="569"/>
      <c r="V374" s="569"/>
      <c r="W374" s="569"/>
      <c r="X374" s="569"/>
      <c r="Y374" s="569"/>
      <c r="Z374" s="569"/>
      <c r="AA374" s="550"/>
      <c r="AB374" s="550"/>
      <c r="AC374" s="550"/>
    </row>
    <row r="375" spans="1:68" ht="14.25" customHeight="1" x14ac:dyDescent="0.25">
      <c r="A375" s="570" t="s">
        <v>103</v>
      </c>
      <c r="B375" s="569"/>
      <c r="C375" s="569"/>
      <c r="D375" s="569"/>
      <c r="E375" s="569"/>
      <c r="F375" s="569"/>
      <c r="G375" s="569"/>
      <c r="H375" s="569"/>
      <c r="I375" s="569"/>
      <c r="J375" s="569"/>
      <c r="K375" s="569"/>
      <c r="L375" s="569"/>
      <c r="M375" s="569"/>
      <c r="N375" s="569"/>
      <c r="O375" s="569"/>
      <c r="P375" s="569"/>
      <c r="Q375" s="569"/>
      <c r="R375" s="569"/>
      <c r="S375" s="569"/>
      <c r="T375" s="569"/>
      <c r="U375" s="569"/>
      <c r="V375" s="569"/>
      <c r="W375" s="569"/>
      <c r="X375" s="569"/>
      <c r="Y375" s="569"/>
      <c r="Z375" s="569"/>
      <c r="AA375" s="551"/>
      <c r="AB375" s="551"/>
      <c r="AC375" s="551"/>
    </row>
    <row r="376" spans="1:68" ht="37.5" customHeight="1" x14ac:dyDescent="0.25">
      <c r="A376" s="54" t="s">
        <v>599</v>
      </c>
      <c r="B376" s="54" t="s">
        <v>600</v>
      </c>
      <c r="C376" s="31">
        <v>4301011875</v>
      </c>
      <c r="D376" s="562">
        <v>4680115884885</v>
      </c>
      <c r="E376" s="563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6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0"/>
      <c r="R376" s="560"/>
      <c r="S376" s="560"/>
      <c r="T376" s="561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customHeight="1" x14ac:dyDescent="0.25">
      <c r="A377" s="54" t="s">
        <v>602</v>
      </c>
      <c r="B377" s="54" t="s">
        <v>603</v>
      </c>
      <c r="C377" s="31">
        <v>4301011871</v>
      </c>
      <c r="D377" s="562">
        <v>4680115884908</v>
      </c>
      <c r="E377" s="563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6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0"/>
      <c r="R377" s="560"/>
      <c r="S377" s="560"/>
      <c r="T377" s="561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82"/>
      <c r="B378" s="569"/>
      <c r="C378" s="569"/>
      <c r="D378" s="569"/>
      <c r="E378" s="569"/>
      <c r="F378" s="569"/>
      <c r="G378" s="569"/>
      <c r="H378" s="569"/>
      <c r="I378" s="569"/>
      <c r="J378" s="569"/>
      <c r="K378" s="569"/>
      <c r="L378" s="569"/>
      <c r="M378" s="569"/>
      <c r="N378" s="569"/>
      <c r="O378" s="583"/>
      <c r="P378" s="573" t="s">
        <v>75</v>
      </c>
      <c r="Q378" s="574"/>
      <c r="R378" s="574"/>
      <c r="S378" s="574"/>
      <c r="T378" s="574"/>
      <c r="U378" s="574"/>
      <c r="V378" s="575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x14ac:dyDescent="0.2">
      <c r="A379" s="569"/>
      <c r="B379" s="569"/>
      <c r="C379" s="569"/>
      <c r="D379" s="569"/>
      <c r="E379" s="569"/>
      <c r="F379" s="569"/>
      <c r="G379" s="569"/>
      <c r="H379" s="569"/>
      <c r="I379" s="569"/>
      <c r="J379" s="569"/>
      <c r="K379" s="569"/>
      <c r="L379" s="569"/>
      <c r="M379" s="569"/>
      <c r="N379" s="569"/>
      <c r="O379" s="583"/>
      <c r="P379" s="573" t="s">
        <v>75</v>
      </c>
      <c r="Q379" s="574"/>
      <c r="R379" s="574"/>
      <c r="S379" s="574"/>
      <c r="T379" s="574"/>
      <c r="U379" s="574"/>
      <c r="V379" s="575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customHeight="1" x14ac:dyDescent="0.25">
      <c r="A380" s="570" t="s">
        <v>64</v>
      </c>
      <c r="B380" s="569"/>
      <c r="C380" s="569"/>
      <c r="D380" s="569"/>
      <c r="E380" s="569"/>
      <c r="F380" s="569"/>
      <c r="G380" s="569"/>
      <c r="H380" s="569"/>
      <c r="I380" s="569"/>
      <c r="J380" s="569"/>
      <c r="K380" s="569"/>
      <c r="L380" s="569"/>
      <c r="M380" s="569"/>
      <c r="N380" s="569"/>
      <c r="O380" s="569"/>
      <c r="P380" s="569"/>
      <c r="Q380" s="569"/>
      <c r="R380" s="569"/>
      <c r="S380" s="569"/>
      <c r="T380" s="569"/>
      <c r="U380" s="569"/>
      <c r="V380" s="569"/>
      <c r="W380" s="569"/>
      <c r="X380" s="569"/>
      <c r="Y380" s="569"/>
      <c r="Z380" s="569"/>
      <c r="AA380" s="551"/>
      <c r="AB380" s="551"/>
      <c r="AC380" s="551"/>
    </row>
    <row r="381" spans="1:68" ht="27" customHeight="1" x14ac:dyDescent="0.25">
      <c r="A381" s="54" t="s">
        <v>604</v>
      </c>
      <c r="B381" s="54" t="s">
        <v>605</v>
      </c>
      <c r="C381" s="31">
        <v>4301031303</v>
      </c>
      <c r="D381" s="562">
        <v>4607091384802</v>
      </c>
      <c r="E381" s="563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60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0"/>
      <c r="R381" s="560"/>
      <c r="S381" s="560"/>
      <c r="T381" s="561"/>
      <c r="U381" s="34"/>
      <c r="V381" s="34"/>
      <c r="W381" s="35" t="s">
        <v>69</v>
      </c>
      <c r="X381" s="555">
        <v>0</v>
      </c>
      <c r="Y381" s="556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604</v>
      </c>
      <c r="B382" s="54" t="s">
        <v>607</v>
      </c>
      <c r="C382" s="31">
        <v>4301031457</v>
      </c>
      <c r="D382" s="562">
        <v>4607091384802</v>
      </c>
      <c r="E382" s="563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63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0"/>
      <c r="R382" s="560"/>
      <c r="S382" s="560"/>
      <c r="T382" s="561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582"/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83"/>
      <c r="P383" s="573" t="s">
        <v>75</v>
      </c>
      <c r="Q383" s="574"/>
      <c r="R383" s="574"/>
      <c r="S383" s="574"/>
      <c r="T383" s="574"/>
      <c r="U383" s="574"/>
      <c r="V383" s="575"/>
      <c r="W383" s="37" t="s">
        <v>76</v>
      </c>
      <c r="X383" s="557">
        <f>IFERROR(X381/H381,"0")+IFERROR(X382/H382,"0")</f>
        <v>0</v>
      </c>
      <c r="Y383" s="557">
        <f>IFERROR(Y381/H381,"0")+IFERROR(Y382/H382,"0")</f>
        <v>0</v>
      </c>
      <c r="Z383" s="557">
        <f>IFERROR(IF(Z381="",0,Z381),"0")+IFERROR(IF(Z382="",0,Z382),"0")</f>
        <v>0</v>
      </c>
      <c r="AA383" s="558"/>
      <c r="AB383" s="558"/>
      <c r="AC383" s="558"/>
    </row>
    <row r="384" spans="1:68" x14ac:dyDescent="0.2">
      <c r="A384" s="569"/>
      <c r="B384" s="569"/>
      <c r="C384" s="569"/>
      <c r="D384" s="569"/>
      <c r="E384" s="569"/>
      <c r="F384" s="569"/>
      <c r="G384" s="569"/>
      <c r="H384" s="569"/>
      <c r="I384" s="569"/>
      <c r="J384" s="569"/>
      <c r="K384" s="569"/>
      <c r="L384" s="569"/>
      <c r="M384" s="569"/>
      <c r="N384" s="569"/>
      <c r="O384" s="583"/>
      <c r="P384" s="573" t="s">
        <v>75</v>
      </c>
      <c r="Q384" s="574"/>
      <c r="R384" s="574"/>
      <c r="S384" s="574"/>
      <c r="T384" s="574"/>
      <c r="U384" s="574"/>
      <c r="V384" s="575"/>
      <c r="W384" s="37" t="s">
        <v>69</v>
      </c>
      <c r="X384" s="557">
        <f>IFERROR(SUM(X381:X382),"0")</f>
        <v>0</v>
      </c>
      <c r="Y384" s="557">
        <f>IFERROR(SUM(Y381:Y382),"0")</f>
        <v>0</v>
      </c>
      <c r="Z384" s="37"/>
      <c r="AA384" s="558"/>
      <c r="AB384" s="558"/>
      <c r="AC384" s="558"/>
    </row>
    <row r="385" spans="1:68" ht="14.25" customHeight="1" x14ac:dyDescent="0.25">
      <c r="A385" s="570" t="s">
        <v>77</v>
      </c>
      <c r="B385" s="569"/>
      <c r="C385" s="569"/>
      <c r="D385" s="569"/>
      <c r="E385" s="569"/>
      <c r="F385" s="569"/>
      <c r="G385" s="569"/>
      <c r="H385" s="569"/>
      <c r="I385" s="569"/>
      <c r="J385" s="569"/>
      <c r="K385" s="569"/>
      <c r="L385" s="569"/>
      <c r="M385" s="569"/>
      <c r="N385" s="569"/>
      <c r="O385" s="569"/>
      <c r="P385" s="569"/>
      <c r="Q385" s="569"/>
      <c r="R385" s="569"/>
      <c r="S385" s="569"/>
      <c r="T385" s="569"/>
      <c r="U385" s="569"/>
      <c r="V385" s="569"/>
      <c r="W385" s="569"/>
      <c r="X385" s="569"/>
      <c r="Y385" s="569"/>
      <c r="Z385" s="569"/>
      <c r="AA385" s="551"/>
      <c r="AB385" s="551"/>
      <c r="AC385" s="551"/>
    </row>
    <row r="386" spans="1:68" ht="27" customHeight="1" x14ac:dyDescent="0.25">
      <c r="A386" s="54" t="s">
        <v>609</v>
      </c>
      <c r="B386" s="54" t="s">
        <v>610</v>
      </c>
      <c r="C386" s="31">
        <v>4301051899</v>
      </c>
      <c r="D386" s="562">
        <v>4607091384246</v>
      </c>
      <c r="E386" s="563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0"/>
      <c r="R386" s="560"/>
      <c r="S386" s="560"/>
      <c r="T386" s="561"/>
      <c r="U386" s="34"/>
      <c r="V386" s="34"/>
      <c r="W386" s="35" t="s">
        <v>69</v>
      </c>
      <c r="X386" s="555">
        <v>0</v>
      </c>
      <c r="Y386" s="556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612</v>
      </c>
      <c r="B387" s="54" t="s">
        <v>613</v>
      </c>
      <c r="C387" s="31">
        <v>4301051660</v>
      </c>
      <c r="D387" s="562">
        <v>4607091384253</v>
      </c>
      <c r="E387" s="563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0"/>
      <c r="R387" s="560"/>
      <c r="S387" s="560"/>
      <c r="T387" s="561"/>
      <c r="U387" s="34"/>
      <c r="V387" s="34"/>
      <c r="W387" s="35" t="s">
        <v>69</v>
      </c>
      <c r="X387" s="555">
        <v>0</v>
      </c>
      <c r="Y387" s="55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612</v>
      </c>
      <c r="B388" s="54" t="s">
        <v>614</v>
      </c>
      <c r="C388" s="31">
        <v>4301052069</v>
      </c>
      <c r="D388" s="562">
        <v>4607091384253</v>
      </c>
      <c r="E388" s="563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7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0"/>
      <c r="R388" s="560"/>
      <c r="S388" s="560"/>
      <c r="T388" s="561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582"/>
      <c r="B389" s="569"/>
      <c r="C389" s="569"/>
      <c r="D389" s="569"/>
      <c r="E389" s="569"/>
      <c r="F389" s="569"/>
      <c r="G389" s="569"/>
      <c r="H389" s="569"/>
      <c r="I389" s="569"/>
      <c r="J389" s="569"/>
      <c r="K389" s="569"/>
      <c r="L389" s="569"/>
      <c r="M389" s="569"/>
      <c r="N389" s="569"/>
      <c r="O389" s="583"/>
      <c r="P389" s="573" t="s">
        <v>75</v>
      </c>
      <c r="Q389" s="574"/>
      <c r="R389" s="574"/>
      <c r="S389" s="574"/>
      <c r="T389" s="574"/>
      <c r="U389" s="574"/>
      <c r="V389" s="575"/>
      <c r="W389" s="37" t="s">
        <v>76</v>
      </c>
      <c r="X389" s="557">
        <f>IFERROR(X386/H386,"0")+IFERROR(X387/H387,"0")+IFERROR(X388/H388,"0")</f>
        <v>0</v>
      </c>
      <c r="Y389" s="557">
        <f>IFERROR(Y386/H386,"0")+IFERROR(Y387/H387,"0")+IFERROR(Y388/H388,"0")</f>
        <v>0</v>
      </c>
      <c r="Z389" s="557">
        <f>IFERROR(IF(Z386="",0,Z386),"0")+IFERROR(IF(Z387="",0,Z387),"0")+IFERROR(IF(Z388="",0,Z388),"0")</f>
        <v>0</v>
      </c>
      <c r="AA389" s="558"/>
      <c r="AB389" s="558"/>
      <c r="AC389" s="558"/>
    </row>
    <row r="390" spans="1:68" x14ac:dyDescent="0.2">
      <c r="A390" s="569"/>
      <c r="B390" s="569"/>
      <c r="C390" s="569"/>
      <c r="D390" s="569"/>
      <c r="E390" s="569"/>
      <c r="F390" s="569"/>
      <c r="G390" s="569"/>
      <c r="H390" s="569"/>
      <c r="I390" s="569"/>
      <c r="J390" s="569"/>
      <c r="K390" s="569"/>
      <c r="L390" s="569"/>
      <c r="M390" s="569"/>
      <c r="N390" s="569"/>
      <c r="O390" s="583"/>
      <c r="P390" s="573" t="s">
        <v>75</v>
      </c>
      <c r="Q390" s="574"/>
      <c r="R390" s="574"/>
      <c r="S390" s="574"/>
      <c r="T390" s="574"/>
      <c r="U390" s="574"/>
      <c r="V390" s="575"/>
      <c r="W390" s="37" t="s">
        <v>69</v>
      </c>
      <c r="X390" s="557">
        <f>IFERROR(SUM(X386:X388),"0")</f>
        <v>0</v>
      </c>
      <c r="Y390" s="557">
        <f>IFERROR(SUM(Y386:Y388),"0")</f>
        <v>0</v>
      </c>
      <c r="Z390" s="37"/>
      <c r="AA390" s="558"/>
      <c r="AB390" s="558"/>
      <c r="AC390" s="558"/>
    </row>
    <row r="391" spans="1:68" ht="27.75" customHeight="1" x14ac:dyDescent="0.2">
      <c r="A391" s="727" t="s">
        <v>616</v>
      </c>
      <c r="B391" s="728"/>
      <c r="C391" s="728"/>
      <c r="D391" s="728"/>
      <c r="E391" s="728"/>
      <c r="F391" s="728"/>
      <c r="G391" s="728"/>
      <c r="H391" s="728"/>
      <c r="I391" s="728"/>
      <c r="J391" s="728"/>
      <c r="K391" s="728"/>
      <c r="L391" s="728"/>
      <c r="M391" s="728"/>
      <c r="N391" s="728"/>
      <c r="O391" s="728"/>
      <c r="P391" s="728"/>
      <c r="Q391" s="728"/>
      <c r="R391" s="728"/>
      <c r="S391" s="728"/>
      <c r="T391" s="728"/>
      <c r="U391" s="728"/>
      <c r="V391" s="728"/>
      <c r="W391" s="728"/>
      <c r="X391" s="728"/>
      <c r="Y391" s="728"/>
      <c r="Z391" s="728"/>
      <c r="AA391" s="48"/>
      <c r="AB391" s="48"/>
      <c r="AC391" s="48"/>
    </row>
    <row r="392" spans="1:68" ht="16.5" customHeight="1" x14ac:dyDescent="0.25">
      <c r="A392" s="568" t="s">
        <v>617</v>
      </c>
      <c r="B392" s="569"/>
      <c r="C392" s="569"/>
      <c r="D392" s="569"/>
      <c r="E392" s="569"/>
      <c r="F392" s="569"/>
      <c r="G392" s="569"/>
      <c r="H392" s="569"/>
      <c r="I392" s="569"/>
      <c r="J392" s="569"/>
      <c r="K392" s="569"/>
      <c r="L392" s="569"/>
      <c r="M392" s="569"/>
      <c r="N392" s="569"/>
      <c r="O392" s="569"/>
      <c r="P392" s="569"/>
      <c r="Q392" s="569"/>
      <c r="R392" s="569"/>
      <c r="S392" s="569"/>
      <c r="T392" s="569"/>
      <c r="U392" s="569"/>
      <c r="V392" s="569"/>
      <c r="W392" s="569"/>
      <c r="X392" s="569"/>
      <c r="Y392" s="569"/>
      <c r="Z392" s="569"/>
      <c r="AA392" s="550"/>
      <c r="AB392" s="550"/>
      <c r="AC392" s="550"/>
    </row>
    <row r="393" spans="1:68" ht="14.25" customHeight="1" x14ac:dyDescent="0.25">
      <c r="A393" s="570" t="s">
        <v>64</v>
      </c>
      <c r="B393" s="569"/>
      <c r="C393" s="569"/>
      <c r="D393" s="569"/>
      <c r="E393" s="569"/>
      <c r="F393" s="569"/>
      <c r="G393" s="569"/>
      <c r="H393" s="569"/>
      <c r="I393" s="569"/>
      <c r="J393" s="569"/>
      <c r="K393" s="569"/>
      <c r="L393" s="569"/>
      <c r="M393" s="569"/>
      <c r="N393" s="569"/>
      <c r="O393" s="569"/>
      <c r="P393" s="569"/>
      <c r="Q393" s="569"/>
      <c r="R393" s="569"/>
      <c r="S393" s="569"/>
      <c r="T393" s="569"/>
      <c r="U393" s="569"/>
      <c r="V393" s="569"/>
      <c r="W393" s="569"/>
      <c r="X393" s="569"/>
      <c r="Y393" s="569"/>
      <c r="Z393" s="569"/>
      <c r="AA393" s="551"/>
      <c r="AB393" s="551"/>
      <c r="AC393" s="551"/>
    </row>
    <row r="394" spans="1:68" ht="27" customHeight="1" x14ac:dyDescent="0.25">
      <c r="A394" s="54" t="s">
        <v>618</v>
      </c>
      <c r="B394" s="54" t="s">
        <v>619</v>
      </c>
      <c r="C394" s="31">
        <v>4301031405</v>
      </c>
      <c r="D394" s="562">
        <v>4680115886100</v>
      </c>
      <c r="E394" s="563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0"/>
      <c r="R394" s="560"/>
      <c r="S394" s="560"/>
      <c r="T394" s="561"/>
      <c r="U394" s="34"/>
      <c r="V394" s="34"/>
      <c r="W394" s="35" t="s">
        <v>69</v>
      </c>
      <c r="X394" s="555">
        <v>0</v>
      </c>
      <c r="Y394" s="556">
        <f t="shared" ref="Y394:Y402" si="46"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0</v>
      </c>
      <c r="BN394" s="64">
        <f t="shared" ref="BN394:BN402" si="48">IFERROR(Y394*I394/H394,"0")</f>
        <v>0</v>
      </c>
      <c r="BO394" s="64">
        <f t="shared" ref="BO394:BO402" si="49">IFERROR(1/J394*(X394/H394),"0")</f>
        <v>0</v>
      </c>
      <c r="BP394" s="64">
        <f t="shared" ref="BP394:BP402" si="50">IFERROR(1/J394*(Y394/H394),"0")</f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4301031406</v>
      </c>
      <c r="D395" s="562">
        <v>4680115886117</v>
      </c>
      <c r="E395" s="563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7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0"/>
      <c r="R395" s="560"/>
      <c r="S395" s="560"/>
      <c r="T395" s="561"/>
      <c r="U395" s="34"/>
      <c r="V395" s="34"/>
      <c r="W395" s="35" t="s">
        <v>69</v>
      </c>
      <c r="X395" s="555">
        <v>0</v>
      </c>
      <c r="Y395" s="556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4301031402</v>
      </c>
      <c r="D396" s="562">
        <v>4680115886124</v>
      </c>
      <c r="E396" s="563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80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0"/>
      <c r="R396" s="560"/>
      <c r="S396" s="560"/>
      <c r="T396" s="561"/>
      <c r="U396" s="34"/>
      <c r="V396" s="34"/>
      <c r="W396" s="35" t="s">
        <v>69</v>
      </c>
      <c r="X396" s="555">
        <v>0</v>
      </c>
      <c r="Y396" s="556">
        <f t="shared" si="46"/>
        <v>0</v>
      </c>
      <c r="Z396" s="36" t="str">
        <f>IFERROR(IF(Y396=0,"",ROUNDUP(Y396/H396,0)*0.00902),"")</f>
        <v/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customHeight="1" x14ac:dyDescent="0.25">
      <c r="A397" s="54" t="s">
        <v>627</v>
      </c>
      <c r="B397" s="54" t="s">
        <v>628</v>
      </c>
      <c r="C397" s="31">
        <v>4301031366</v>
      </c>
      <c r="D397" s="562">
        <v>4680115883147</v>
      </c>
      <c r="E397" s="563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0"/>
      <c r="R397" s="560"/>
      <c r="S397" s="560"/>
      <c r="T397" s="561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4301031362</v>
      </c>
      <c r="D398" s="562">
        <v>4607091384338</v>
      </c>
      <c r="E398" s="563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0"/>
      <c r="R398" s="560"/>
      <c r="S398" s="560"/>
      <c r="T398" s="561"/>
      <c r="U398" s="34"/>
      <c r="V398" s="34"/>
      <c r="W398" s="35" t="s">
        <v>69</v>
      </c>
      <c r="X398" s="555">
        <v>4.1999999999999993</v>
      </c>
      <c r="Y398" s="556">
        <f t="shared" si="46"/>
        <v>4.2</v>
      </c>
      <c r="Z398" s="36">
        <f t="shared" si="51"/>
        <v>1.004E-2</v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4.4599999999999991</v>
      </c>
      <c r="BN398" s="64">
        <f t="shared" si="48"/>
        <v>4.46</v>
      </c>
      <c r="BO398" s="64">
        <f t="shared" si="49"/>
        <v>8.5470085470085461E-3</v>
      </c>
      <c r="BP398" s="64">
        <f t="shared" si="50"/>
        <v>8.5470085470085479E-3</v>
      </c>
    </row>
    <row r="399" spans="1:68" ht="37.5" customHeight="1" x14ac:dyDescent="0.25">
      <c r="A399" s="54" t="s">
        <v>631</v>
      </c>
      <c r="B399" s="54" t="s">
        <v>632</v>
      </c>
      <c r="C399" s="31">
        <v>4301031361</v>
      </c>
      <c r="D399" s="562">
        <v>4607091389524</v>
      </c>
      <c r="E399" s="563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0"/>
      <c r="R399" s="560"/>
      <c r="S399" s="560"/>
      <c r="T399" s="561"/>
      <c r="U399" s="34"/>
      <c r="V399" s="34"/>
      <c r="W399" s="35" t="s">
        <v>69</v>
      </c>
      <c r="X399" s="555">
        <v>8.3999999999999986</v>
      </c>
      <c r="Y399" s="556">
        <f t="shared" si="46"/>
        <v>8.4</v>
      </c>
      <c r="Z399" s="36">
        <f t="shared" si="51"/>
        <v>2.0080000000000001E-2</v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8.9199999999999982</v>
      </c>
      <c r="BN399" s="64">
        <f t="shared" si="48"/>
        <v>8.92</v>
      </c>
      <c r="BO399" s="64">
        <f t="shared" si="49"/>
        <v>1.7094017094017092E-2</v>
      </c>
      <c r="BP399" s="64">
        <f t="shared" si="50"/>
        <v>1.7094017094017096E-2</v>
      </c>
    </row>
    <row r="400" spans="1:68" ht="27" customHeight="1" x14ac:dyDescent="0.25">
      <c r="A400" s="54" t="s">
        <v>634</v>
      </c>
      <c r="B400" s="54" t="s">
        <v>635</v>
      </c>
      <c r="C400" s="31">
        <v>4301031364</v>
      </c>
      <c r="D400" s="562">
        <v>4680115883161</v>
      </c>
      <c r="E400" s="563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0"/>
      <c r="R400" s="560"/>
      <c r="S400" s="560"/>
      <c r="T400" s="561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customHeight="1" x14ac:dyDescent="0.25">
      <c r="A401" s="54" t="s">
        <v>637</v>
      </c>
      <c r="B401" s="54" t="s">
        <v>638</v>
      </c>
      <c r="C401" s="31">
        <v>4301031358</v>
      </c>
      <c r="D401" s="562">
        <v>4607091389531</v>
      </c>
      <c r="E401" s="563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0"/>
      <c r="R401" s="560"/>
      <c r="S401" s="560"/>
      <c r="T401" s="561"/>
      <c r="U401" s="34"/>
      <c r="V401" s="34"/>
      <c r="W401" s="35" t="s">
        <v>69</v>
      </c>
      <c r="X401" s="555">
        <v>2.1</v>
      </c>
      <c r="Y401" s="556">
        <f t="shared" si="46"/>
        <v>2.1</v>
      </c>
      <c r="Z401" s="36">
        <f t="shared" si="51"/>
        <v>5.0200000000000002E-3</v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2.23</v>
      </c>
      <c r="BN401" s="64">
        <f t="shared" si="48"/>
        <v>2.23</v>
      </c>
      <c r="BO401" s="64">
        <f t="shared" si="49"/>
        <v>4.2735042735042739E-3</v>
      </c>
      <c r="BP401" s="64">
        <f t="shared" si="50"/>
        <v>4.2735042735042739E-3</v>
      </c>
    </row>
    <row r="402" spans="1:68" ht="37.5" customHeight="1" x14ac:dyDescent="0.25">
      <c r="A402" s="54" t="s">
        <v>640</v>
      </c>
      <c r="B402" s="54" t="s">
        <v>641</v>
      </c>
      <c r="C402" s="31">
        <v>4301031360</v>
      </c>
      <c r="D402" s="562">
        <v>4607091384345</v>
      </c>
      <c r="E402" s="563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64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0"/>
      <c r="R402" s="560"/>
      <c r="S402" s="560"/>
      <c r="T402" s="561"/>
      <c r="U402" s="34"/>
      <c r="V402" s="34"/>
      <c r="W402" s="35" t="s">
        <v>69</v>
      </c>
      <c r="X402" s="555">
        <v>0</v>
      </c>
      <c r="Y402" s="556">
        <f t="shared" si="46"/>
        <v>0</v>
      </c>
      <c r="Z402" s="36" t="str">
        <f t="shared" si="51"/>
        <v/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0</v>
      </c>
      <c r="BN402" s="64">
        <f t="shared" si="48"/>
        <v>0</v>
      </c>
      <c r="BO402" s="64">
        <f t="shared" si="49"/>
        <v>0</v>
      </c>
      <c r="BP402" s="64">
        <f t="shared" si="50"/>
        <v>0</v>
      </c>
    </row>
    <row r="403" spans="1:68" x14ac:dyDescent="0.2">
      <c r="A403" s="582"/>
      <c r="B403" s="569"/>
      <c r="C403" s="569"/>
      <c r="D403" s="569"/>
      <c r="E403" s="569"/>
      <c r="F403" s="569"/>
      <c r="G403" s="569"/>
      <c r="H403" s="569"/>
      <c r="I403" s="569"/>
      <c r="J403" s="569"/>
      <c r="K403" s="569"/>
      <c r="L403" s="569"/>
      <c r="M403" s="569"/>
      <c r="N403" s="569"/>
      <c r="O403" s="583"/>
      <c r="P403" s="573" t="s">
        <v>75</v>
      </c>
      <c r="Q403" s="574"/>
      <c r="R403" s="574"/>
      <c r="S403" s="574"/>
      <c r="T403" s="574"/>
      <c r="U403" s="574"/>
      <c r="V403" s="575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6.9999999999999982</v>
      </c>
      <c r="Y403" s="557">
        <f>IFERROR(Y394/H394,"0")+IFERROR(Y395/H395,"0")+IFERROR(Y396/H396,"0")+IFERROR(Y397/H397,"0")+IFERROR(Y398/H398,"0")+IFERROR(Y399/H399,"0")+IFERROR(Y400/H400,"0")+IFERROR(Y401/H401,"0")+IFERROR(Y402/H402,"0")</f>
        <v>7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3.5140000000000005E-2</v>
      </c>
      <c r="AA403" s="558"/>
      <c r="AB403" s="558"/>
      <c r="AC403" s="558"/>
    </row>
    <row r="404" spans="1:68" x14ac:dyDescent="0.2">
      <c r="A404" s="569"/>
      <c r="B404" s="569"/>
      <c r="C404" s="569"/>
      <c r="D404" s="569"/>
      <c r="E404" s="569"/>
      <c r="F404" s="569"/>
      <c r="G404" s="569"/>
      <c r="H404" s="569"/>
      <c r="I404" s="569"/>
      <c r="J404" s="569"/>
      <c r="K404" s="569"/>
      <c r="L404" s="569"/>
      <c r="M404" s="569"/>
      <c r="N404" s="569"/>
      <c r="O404" s="583"/>
      <c r="P404" s="573" t="s">
        <v>75</v>
      </c>
      <c r="Q404" s="574"/>
      <c r="R404" s="574"/>
      <c r="S404" s="574"/>
      <c r="T404" s="574"/>
      <c r="U404" s="574"/>
      <c r="V404" s="575"/>
      <c r="W404" s="37" t="s">
        <v>69</v>
      </c>
      <c r="X404" s="557">
        <f>IFERROR(SUM(X394:X402),"0")</f>
        <v>14.699999999999998</v>
      </c>
      <c r="Y404" s="557">
        <f>IFERROR(SUM(Y394:Y402),"0")</f>
        <v>14.700000000000001</v>
      </c>
      <c r="Z404" s="37"/>
      <c r="AA404" s="558"/>
      <c r="AB404" s="558"/>
      <c r="AC404" s="558"/>
    </row>
    <row r="405" spans="1:68" ht="14.25" customHeight="1" x14ac:dyDescent="0.25">
      <c r="A405" s="570" t="s">
        <v>77</v>
      </c>
      <c r="B405" s="569"/>
      <c r="C405" s="569"/>
      <c r="D405" s="569"/>
      <c r="E405" s="569"/>
      <c r="F405" s="569"/>
      <c r="G405" s="569"/>
      <c r="H405" s="569"/>
      <c r="I405" s="569"/>
      <c r="J405" s="569"/>
      <c r="K405" s="569"/>
      <c r="L405" s="569"/>
      <c r="M405" s="569"/>
      <c r="N405" s="569"/>
      <c r="O405" s="569"/>
      <c r="P405" s="569"/>
      <c r="Q405" s="569"/>
      <c r="R405" s="569"/>
      <c r="S405" s="569"/>
      <c r="T405" s="569"/>
      <c r="U405" s="569"/>
      <c r="V405" s="569"/>
      <c r="W405" s="569"/>
      <c r="X405" s="569"/>
      <c r="Y405" s="569"/>
      <c r="Z405" s="569"/>
      <c r="AA405" s="551"/>
      <c r="AB405" s="551"/>
      <c r="AC405" s="551"/>
    </row>
    <row r="406" spans="1:68" ht="27" customHeight="1" x14ac:dyDescent="0.25">
      <c r="A406" s="54" t="s">
        <v>642</v>
      </c>
      <c r="B406" s="54" t="s">
        <v>643</v>
      </c>
      <c r="C406" s="31">
        <v>4301051284</v>
      </c>
      <c r="D406" s="562">
        <v>4607091384352</v>
      </c>
      <c r="E406" s="563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0"/>
      <c r="R406" s="560"/>
      <c r="S406" s="560"/>
      <c r="T406" s="561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645</v>
      </c>
      <c r="B407" s="54" t="s">
        <v>646</v>
      </c>
      <c r="C407" s="31">
        <v>4301051431</v>
      </c>
      <c r="D407" s="562">
        <v>4607091389654</v>
      </c>
      <c r="E407" s="563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63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0"/>
      <c r="R407" s="560"/>
      <c r="S407" s="560"/>
      <c r="T407" s="561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82"/>
      <c r="B408" s="569"/>
      <c r="C408" s="569"/>
      <c r="D408" s="569"/>
      <c r="E408" s="569"/>
      <c r="F408" s="569"/>
      <c r="G408" s="569"/>
      <c r="H408" s="569"/>
      <c r="I408" s="569"/>
      <c r="J408" s="569"/>
      <c r="K408" s="569"/>
      <c r="L408" s="569"/>
      <c r="M408" s="569"/>
      <c r="N408" s="569"/>
      <c r="O408" s="583"/>
      <c r="P408" s="573" t="s">
        <v>75</v>
      </c>
      <c r="Q408" s="574"/>
      <c r="R408" s="574"/>
      <c r="S408" s="574"/>
      <c r="T408" s="574"/>
      <c r="U408" s="574"/>
      <c r="V408" s="575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x14ac:dyDescent="0.2">
      <c r="A409" s="569"/>
      <c r="B409" s="569"/>
      <c r="C409" s="569"/>
      <c r="D409" s="569"/>
      <c r="E409" s="569"/>
      <c r="F409" s="569"/>
      <c r="G409" s="569"/>
      <c r="H409" s="569"/>
      <c r="I409" s="569"/>
      <c r="J409" s="569"/>
      <c r="K409" s="569"/>
      <c r="L409" s="569"/>
      <c r="M409" s="569"/>
      <c r="N409" s="569"/>
      <c r="O409" s="583"/>
      <c r="P409" s="573" t="s">
        <v>75</v>
      </c>
      <c r="Q409" s="574"/>
      <c r="R409" s="574"/>
      <c r="S409" s="574"/>
      <c r="T409" s="574"/>
      <c r="U409" s="574"/>
      <c r="V409" s="575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customHeight="1" x14ac:dyDescent="0.25">
      <c r="A410" s="568" t="s">
        <v>648</v>
      </c>
      <c r="B410" s="569"/>
      <c r="C410" s="569"/>
      <c r="D410" s="569"/>
      <c r="E410" s="569"/>
      <c r="F410" s="569"/>
      <c r="G410" s="569"/>
      <c r="H410" s="569"/>
      <c r="I410" s="569"/>
      <c r="J410" s="569"/>
      <c r="K410" s="569"/>
      <c r="L410" s="569"/>
      <c r="M410" s="569"/>
      <c r="N410" s="569"/>
      <c r="O410" s="569"/>
      <c r="P410" s="569"/>
      <c r="Q410" s="569"/>
      <c r="R410" s="569"/>
      <c r="S410" s="569"/>
      <c r="T410" s="569"/>
      <c r="U410" s="569"/>
      <c r="V410" s="569"/>
      <c r="W410" s="569"/>
      <c r="X410" s="569"/>
      <c r="Y410" s="569"/>
      <c r="Z410" s="569"/>
      <c r="AA410" s="550"/>
      <c r="AB410" s="550"/>
      <c r="AC410" s="550"/>
    </row>
    <row r="411" spans="1:68" ht="14.25" customHeight="1" x14ac:dyDescent="0.25">
      <c r="A411" s="570" t="s">
        <v>138</v>
      </c>
      <c r="B411" s="569"/>
      <c r="C411" s="569"/>
      <c r="D411" s="569"/>
      <c r="E411" s="569"/>
      <c r="F411" s="569"/>
      <c r="G411" s="569"/>
      <c r="H411" s="569"/>
      <c r="I411" s="569"/>
      <c r="J411" s="569"/>
      <c r="K411" s="569"/>
      <c r="L411" s="569"/>
      <c r="M411" s="569"/>
      <c r="N411" s="569"/>
      <c r="O411" s="569"/>
      <c r="P411" s="569"/>
      <c r="Q411" s="569"/>
      <c r="R411" s="569"/>
      <c r="S411" s="569"/>
      <c r="T411" s="569"/>
      <c r="U411" s="569"/>
      <c r="V411" s="569"/>
      <c r="W411" s="569"/>
      <c r="X411" s="569"/>
      <c r="Y411" s="569"/>
      <c r="Z411" s="569"/>
      <c r="AA411" s="551"/>
      <c r="AB411" s="551"/>
      <c r="AC411" s="551"/>
    </row>
    <row r="412" spans="1:68" ht="27" customHeight="1" x14ac:dyDescent="0.25">
      <c r="A412" s="54" t="s">
        <v>649</v>
      </c>
      <c r="B412" s="54" t="s">
        <v>650</v>
      </c>
      <c r="C412" s="31">
        <v>4301020319</v>
      </c>
      <c r="D412" s="562">
        <v>4680115885240</v>
      </c>
      <c r="E412" s="563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0"/>
      <c r="R412" s="560"/>
      <c r="S412" s="560"/>
      <c r="T412" s="561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582"/>
      <c r="B413" s="569"/>
      <c r="C413" s="569"/>
      <c r="D413" s="569"/>
      <c r="E413" s="569"/>
      <c r="F413" s="569"/>
      <c r="G413" s="569"/>
      <c r="H413" s="569"/>
      <c r="I413" s="569"/>
      <c r="J413" s="569"/>
      <c r="K413" s="569"/>
      <c r="L413" s="569"/>
      <c r="M413" s="569"/>
      <c r="N413" s="569"/>
      <c r="O413" s="583"/>
      <c r="P413" s="573" t="s">
        <v>75</v>
      </c>
      <c r="Q413" s="574"/>
      <c r="R413" s="574"/>
      <c r="S413" s="574"/>
      <c r="T413" s="574"/>
      <c r="U413" s="574"/>
      <c r="V413" s="575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x14ac:dyDescent="0.2">
      <c r="A414" s="569"/>
      <c r="B414" s="569"/>
      <c r="C414" s="569"/>
      <c r="D414" s="569"/>
      <c r="E414" s="569"/>
      <c r="F414" s="569"/>
      <c r="G414" s="569"/>
      <c r="H414" s="569"/>
      <c r="I414" s="569"/>
      <c r="J414" s="569"/>
      <c r="K414" s="569"/>
      <c r="L414" s="569"/>
      <c r="M414" s="569"/>
      <c r="N414" s="569"/>
      <c r="O414" s="583"/>
      <c r="P414" s="573" t="s">
        <v>75</v>
      </c>
      <c r="Q414" s="574"/>
      <c r="R414" s="574"/>
      <c r="S414" s="574"/>
      <c r="T414" s="574"/>
      <c r="U414" s="574"/>
      <c r="V414" s="575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customHeight="1" x14ac:dyDescent="0.25">
      <c r="A415" s="570" t="s">
        <v>64</v>
      </c>
      <c r="B415" s="569"/>
      <c r="C415" s="569"/>
      <c r="D415" s="569"/>
      <c r="E415" s="569"/>
      <c r="F415" s="569"/>
      <c r="G415" s="569"/>
      <c r="H415" s="569"/>
      <c r="I415" s="569"/>
      <c r="J415" s="569"/>
      <c r="K415" s="569"/>
      <c r="L415" s="569"/>
      <c r="M415" s="569"/>
      <c r="N415" s="569"/>
      <c r="O415" s="569"/>
      <c r="P415" s="569"/>
      <c r="Q415" s="569"/>
      <c r="R415" s="569"/>
      <c r="S415" s="569"/>
      <c r="T415" s="569"/>
      <c r="U415" s="569"/>
      <c r="V415" s="569"/>
      <c r="W415" s="569"/>
      <c r="X415" s="569"/>
      <c r="Y415" s="569"/>
      <c r="Z415" s="569"/>
      <c r="AA415" s="551"/>
      <c r="AB415" s="551"/>
      <c r="AC415" s="551"/>
    </row>
    <row r="416" spans="1:68" ht="27" customHeight="1" x14ac:dyDescent="0.25">
      <c r="A416" s="54" t="s">
        <v>652</v>
      </c>
      <c r="B416" s="54" t="s">
        <v>653</v>
      </c>
      <c r="C416" s="31">
        <v>4301031403</v>
      </c>
      <c r="D416" s="562">
        <v>4680115886094</v>
      </c>
      <c r="E416" s="563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6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0"/>
      <c r="R416" s="560"/>
      <c r="S416" s="560"/>
      <c r="T416" s="561"/>
      <c r="U416" s="34"/>
      <c r="V416" s="34"/>
      <c r="W416" s="35" t="s">
        <v>69</v>
      </c>
      <c r="X416" s="555">
        <v>0</v>
      </c>
      <c r="Y416" s="556">
        <f>IFERROR(IF(X416="",0,CEILING((X416/$H416),1)*$H416),"")</f>
        <v>0</v>
      </c>
      <c r="Z416" s="36" t="str">
        <f>IFERROR(IF(Y416=0,"",ROUNDUP(Y416/H416,0)*0.00902),"")</f>
        <v/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4301031363</v>
      </c>
      <c r="D417" s="562">
        <v>4607091389425</v>
      </c>
      <c r="E417" s="563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0"/>
      <c r="R417" s="560"/>
      <c r="S417" s="560"/>
      <c r="T417" s="561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4301031373</v>
      </c>
      <c r="D418" s="562">
        <v>4680115880771</v>
      </c>
      <c r="E418" s="563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0"/>
      <c r="R418" s="560"/>
      <c r="S418" s="560"/>
      <c r="T418" s="561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661</v>
      </c>
      <c r="B419" s="54" t="s">
        <v>662</v>
      </c>
      <c r="C419" s="31">
        <v>4301031359</v>
      </c>
      <c r="D419" s="562">
        <v>4607091389500</v>
      </c>
      <c r="E419" s="563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1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0"/>
      <c r="R419" s="560"/>
      <c r="S419" s="560"/>
      <c r="T419" s="561"/>
      <c r="U419" s="34"/>
      <c r="V419" s="34"/>
      <c r="W419" s="35" t="s">
        <v>69</v>
      </c>
      <c r="X419" s="555">
        <v>4.1999999999999993</v>
      </c>
      <c r="Y419" s="556">
        <f>IFERROR(IF(X419="",0,CEILING((X419/$H419),1)*$H419),"")</f>
        <v>4.2</v>
      </c>
      <c r="Z419" s="36">
        <f>IFERROR(IF(Y419=0,"",ROUNDUP(Y419/H419,0)*0.00502),"")</f>
        <v>1.004E-2</v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4.4599999999999991</v>
      </c>
      <c r="BN419" s="64">
        <f>IFERROR(Y419*I419/H419,"0")</f>
        <v>4.46</v>
      </c>
      <c r="BO419" s="64">
        <f>IFERROR(1/J419*(X419/H419),"0")</f>
        <v>8.5470085470085461E-3</v>
      </c>
      <c r="BP419" s="64">
        <f>IFERROR(1/J419*(Y419/H419),"0")</f>
        <v>8.5470085470085479E-3</v>
      </c>
    </row>
    <row r="420" spans="1:68" x14ac:dyDescent="0.2">
      <c r="A420" s="582"/>
      <c r="B420" s="569"/>
      <c r="C420" s="569"/>
      <c r="D420" s="569"/>
      <c r="E420" s="569"/>
      <c r="F420" s="569"/>
      <c r="G420" s="569"/>
      <c r="H420" s="569"/>
      <c r="I420" s="569"/>
      <c r="J420" s="569"/>
      <c r="K420" s="569"/>
      <c r="L420" s="569"/>
      <c r="M420" s="569"/>
      <c r="N420" s="569"/>
      <c r="O420" s="583"/>
      <c r="P420" s="573" t="s">
        <v>75</v>
      </c>
      <c r="Q420" s="574"/>
      <c r="R420" s="574"/>
      <c r="S420" s="574"/>
      <c r="T420" s="574"/>
      <c r="U420" s="574"/>
      <c r="V420" s="575"/>
      <c r="W420" s="37" t="s">
        <v>76</v>
      </c>
      <c r="X420" s="557">
        <f>IFERROR(X416/H416,"0")+IFERROR(X417/H417,"0")+IFERROR(X418/H418,"0")+IFERROR(X419/H419,"0")</f>
        <v>1.9999999999999996</v>
      </c>
      <c r="Y420" s="557">
        <f>IFERROR(Y416/H416,"0")+IFERROR(Y417/H417,"0")+IFERROR(Y418/H418,"0")+IFERROR(Y419/H419,"0")</f>
        <v>2</v>
      </c>
      <c r="Z420" s="557">
        <f>IFERROR(IF(Z416="",0,Z416),"0")+IFERROR(IF(Z417="",0,Z417),"0")+IFERROR(IF(Z418="",0,Z418),"0")+IFERROR(IF(Z419="",0,Z419),"0")</f>
        <v>1.004E-2</v>
      </c>
      <c r="AA420" s="558"/>
      <c r="AB420" s="558"/>
      <c r="AC420" s="558"/>
    </row>
    <row r="421" spans="1:68" x14ac:dyDescent="0.2">
      <c r="A421" s="569"/>
      <c r="B421" s="569"/>
      <c r="C421" s="569"/>
      <c r="D421" s="569"/>
      <c r="E421" s="569"/>
      <c r="F421" s="569"/>
      <c r="G421" s="569"/>
      <c r="H421" s="569"/>
      <c r="I421" s="569"/>
      <c r="J421" s="569"/>
      <c r="K421" s="569"/>
      <c r="L421" s="569"/>
      <c r="M421" s="569"/>
      <c r="N421" s="569"/>
      <c r="O421" s="583"/>
      <c r="P421" s="573" t="s">
        <v>75</v>
      </c>
      <c r="Q421" s="574"/>
      <c r="R421" s="574"/>
      <c r="S421" s="574"/>
      <c r="T421" s="574"/>
      <c r="U421" s="574"/>
      <c r="V421" s="575"/>
      <c r="W421" s="37" t="s">
        <v>69</v>
      </c>
      <c r="X421" s="557">
        <f>IFERROR(SUM(X416:X419),"0")</f>
        <v>4.1999999999999993</v>
      </c>
      <c r="Y421" s="557">
        <f>IFERROR(SUM(Y416:Y419),"0")</f>
        <v>4.2</v>
      </c>
      <c r="Z421" s="37"/>
      <c r="AA421" s="558"/>
      <c r="AB421" s="558"/>
      <c r="AC421" s="558"/>
    </row>
    <row r="422" spans="1:68" ht="16.5" customHeight="1" x14ac:dyDescent="0.25">
      <c r="A422" s="568" t="s">
        <v>663</v>
      </c>
      <c r="B422" s="569"/>
      <c r="C422" s="569"/>
      <c r="D422" s="569"/>
      <c r="E422" s="569"/>
      <c r="F422" s="569"/>
      <c r="G422" s="569"/>
      <c r="H422" s="569"/>
      <c r="I422" s="569"/>
      <c r="J422" s="569"/>
      <c r="K422" s="569"/>
      <c r="L422" s="569"/>
      <c r="M422" s="569"/>
      <c r="N422" s="569"/>
      <c r="O422" s="569"/>
      <c r="P422" s="569"/>
      <c r="Q422" s="569"/>
      <c r="R422" s="569"/>
      <c r="S422" s="569"/>
      <c r="T422" s="569"/>
      <c r="U422" s="569"/>
      <c r="V422" s="569"/>
      <c r="W422" s="569"/>
      <c r="X422" s="569"/>
      <c r="Y422" s="569"/>
      <c r="Z422" s="569"/>
      <c r="AA422" s="550"/>
      <c r="AB422" s="550"/>
      <c r="AC422" s="550"/>
    </row>
    <row r="423" spans="1:68" ht="14.25" customHeight="1" x14ac:dyDescent="0.25">
      <c r="A423" s="570" t="s">
        <v>64</v>
      </c>
      <c r="B423" s="569"/>
      <c r="C423" s="569"/>
      <c r="D423" s="569"/>
      <c r="E423" s="569"/>
      <c r="F423" s="569"/>
      <c r="G423" s="569"/>
      <c r="H423" s="569"/>
      <c r="I423" s="569"/>
      <c r="J423" s="569"/>
      <c r="K423" s="569"/>
      <c r="L423" s="569"/>
      <c r="M423" s="569"/>
      <c r="N423" s="569"/>
      <c r="O423" s="569"/>
      <c r="P423" s="569"/>
      <c r="Q423" s="569"/>
      <c r="R423" s="569"/>
      <c r="S423" s="569"/>
      <c r="T423" s="569"/>
      <c r="U423" s="569"/>
      <c r="V423" s="569"/>
      <c r="W423" s="569"/>
      <c r="X423" s="569"/>
      <c r="Y423" s="569"/>
      <c r="Z423" s="569"/>
      <c r="AA423" s="551"/>
      <c r="AB423" s="551"/>
      <c r="AC423" s="551"/>
    </row>
    <row r="424" spans="1:68" ht="27" customHeight="1" x14ac:dyDescent="0.25">
      <c r="A424" s="54" t="s">
        <v>664</v>
      </c>
      <c r="B424" s="54" t="s">
        <v>665</v>
      </c>
      <c r="C424" s="31">
        <v>4301031347</v>
      </c>
      <c r="D424" s="562">
        <v>4680115885110</v>
      </c>
      <c r="E424" s="563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7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0"/>
      <c r="R424" s="560"/>
      <c r="S424" s="560"/>
      <c r="T424" s="561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582"/>
      <c r="B425" s="569"/>
      <c r="C425" s="569"/>
      <c r="D425" s="569"/>
      <c r="E425" s="569"/>
      <c r="F425" s="569"/>
      <c r="G425" s="569"/>
      <c r="H425" s="569"/>
      <c r="I425" s="569"/>
      <c r="J425" s="569"/>
      <c r="K425" s="569"/>
      <c r="L425" s="569"/>
      <c r="M425" s="569"/>
      <c r="N425" s="569"/>
      <c r="O425" s="583"/>
      <c r="P425" s="573" t="s">
        <v>75</v>
      </c>
      <c r="Q425" s="574"/>
      <c r="R425" s="574"/>
      <c r="S425" s="574"/>
      <c r="T425" s="574"/>
      <c r="U425" s="574"/>
      <c r="V425" s="575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x14ac:dyDescent="0.2">
      <c r="A426" s="569"/>
      <c r="B426" s="569"/>
      <c r="C426" s="569"/>
      <c r="D426" s="569"/>
      <c r="E426" s="569"/>
      <c r="F426" s="569"/>
      <c r="G426" s="569"/>
      <c r="H426" s="569"/>
      <c r="I426" s="569"/>
      <c r="J426" s="569"/>
      <c r="K426" s="569"/>
      <c r="L426" s="569"/>
      <c r="M426" s="569"/>
      <c r="N426" s="569"/>
      <c r="O426" s="583"/>
      <c r="P426" s="573" t="s">
        <v>75</v>
      </c>
      <c r="Q426" s="574"/>
      <c r="R426" s="574"/>
      <c r="S426" s="574"/>
      <c r="T426" s="574"/>
      <c r="U426" s="574"/>
      <c r="V426" s="575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customHeight="1" x14ac:dyDescent="0.2">
      <c r="A427" s="727" t="s">
        <v>667</v>
      </c>
      <c r="B427" s="728"/>
      <c r="C427" s="728"/>
      <c r="D427" s="728"/>
      <c r="E427" s="728"/>
      <c r="F427" s="728"/>
      <c r="G427" s="728"/>
      <c r="H427" s="728"/>
      <c r="I427" s="728"/>
      <c r="J427" s="728"/>
      <c r="K427" s="728"/>
      <c r="L427" s="728"/>
      <c r="M427" s="728"/>
      <c r="N427" s="728"/>
      <c r="O427" s="728"/>
      <c r="P427" s="728"/>
      <c r="Q427" s="728"/>
      <c r="R427" s="728"/>
      <c r="S427" s="728"/>
      <c r="T427" s="728"/>
      <c r="U427" s="728"/>
      <c r="V427" s="728"/>
      <c r="W427" s="728"/>
      <c r="X427" s="728"/>
      <c r="Y427" s="728"/>
      <c r="Z427" s="728"/>
      <c r="AA427" s="48"/>
      <c r="AB427" s="48"/>
      <c r="AC427" s="48"/>
    </row>
    <row r="428" spans="1:68" ht="16.5" customHeight="1" x14ac:dyDescent="0.25">
      <c r="A428" s="568" t="s">
        <v>667</v>
      </c>
      <c r="B428" s="569"/>
      <c r="C428" s="569"/>
      <c r="D428" s="569"/>
      <c r="E428" s="569"/>
      <c r="F428" s="569"/>
      <c r="G428" s="569"/>
      <c r="H428" s="569"/>
      <c r="I428" s="569"/>
      <c r="J428" s="569"/>
      <c r="K428" s="569"/>
      <c r="L428" s="569"/>
      <c r="M428" s="569"/>
      <c r="N428" s="569"/>
      <c r="O428" s="569"/>
      <c r="P428" s="569"/>
      <c r="Q428" s="569"/>
      <c r="R428" s="569"/>
      <c r="S428" s="569"/>
      <c r="T428" s="569"/>
      <c r="U428" s="569"/>
      <c r="V428" s="569"/>
      <c r="W428" s="569"/>
      <c r="X428" s="569"/>
      <c r="Y428" s="569"/>
      <c r="Z428" s="569"/>
      <c r="AA428" s="550"/>
      <c r="AB428" s="550"/>
      <c r="AC428" s="550"/>
    </row>
    <row r="429" spans="1:68" ht="14.25" customHeight="1" x14ac:dyDescent="0.25">
      <c r="A429" s="570" t="s">
        <v>103</v>
      </c>
      <c r="B429" s="569"/>
      <c r="C429" s="569"/>
      <c r="D429" s="569"/>
      <c r="E429" s="569"/>
      <c r="F429" s="569"/>
      <c r="G429" s="569"/>
      <c r="H429" s="569"/>
      <c r="I429" s="569"/>
      <c r="J429" s="569"/>
      <c r="K429" s="569"/>
      <c r="L429" s="569"/>
      <c r="M429" s="569"/>
      <c r="N429" s="569"/>
      <c r="O429" s="569"/>
      <c r="P429" s="569"/>
      <c r="Q429" s="569"/>
      <c r="R429" s="569"/>
      <c r="S429" s="569"/>
      <c r="T429" s="569"/>
      <c r="U429" s="569"/>
      <c r="V429" s="569"/>
      <c r="W429" s="569"/>
      <c r="X429" s="569"/>
      <c r="Y429" s="569"/>
      <c r="Z429" s="569"/>
      <c r="AA429" s="551"/>
      <c r="AB429" s="551"/>
      <c r="AC429" s="551"/>
    </row>
    <row r="430" spans="1:68" ht="27" customHeight="1" x14ac:dyDescent="0.25">
      <c r="A430" s="54" t="s">
        <v>668</v>
      </c>
      <c r="B430" s="54" t="s">
        <v>669</v>
      </c>
      <c r="C430" s="31">
        <v>4301011795</v>
      </c>
      <c r="D430" s="562">
        <v>4607091389067</v>
      </c>
      <c r="E430" s="563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83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0"/>
      <c r="R430" s="560"/>
      <c r="S430" s="560"/>
      <c r="T430" s="561"/>
      <c r="U430" s="34"/>
      <c r="V430" s="34"/>
      <c r="W430" s="35" t="s">
        <v>69</v>
      </c>
      <c r="X430" s="555">
        <v>70</v>
      </c>
      <c r="Y430" s="556">
        <f t="shared" ref="Y430:Y441" si="52">IFERROR(IF(X430="",0,CEILING((X430/$H430),1)*$H430),"")</f>
        <v>73.92</v>
      </c>
      <c r="Z430" s="36">
        <f t="shared" ref="Z430:Z436" si="53">IFERROR(IF(Y430=0,"",ROUNDUP(Y430/H430,0)*0.01196),"")</f>
        <v>0.16744000000000001</v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74.640151515151501</v>
      </c>
      <c r="BN430" s="64">
        <f t="shared" ref="BN430:BN441" si="55">IFERROR(Y430*I430/H430,"0")</f>
        <v>78.819999999999993</v>
      </c>
      <c r="BO430" s="64">
        <f t="shared" ref="BO430:BO441" si="56">IFERROR(1/J430*(X430/H430),"0")</f>
        <v>0.12747668997668998</v>
      </c>
      <c r="BP430" s="64">
        <f t="shared" ref="BP430:BP441" si="57">IFERROR(1/J430*(Y430/H430),"0")</f>
        <v>0.13461538461538464</v>
      </c>
    </row>
    <row r="431" spans="1:68" ht="27" customHeight="1" x14ac:dyDescent="0.25">
      <c r="A431" s="54" t="s">
        <v>670</v>
      </c>
      <c r="B431" s="54" t="s">
        <v>671</v>
      </c>
      <c r="C431" s="31">
        <v>4301012145</v>
      </c>
      <c r="D431" s="562">
        <v>4607091383522</v>
      </c>
      <c r="E431" s="563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69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0"/>
      <c r="R431" s="560"/>
      <c r="S431" s="560"/>
      <c r="T431" s="561"/>
      <c r="U431" s="34"/>
      <c r="V431" s="34"/>
      <c r="W431" s="35" t="s">
        <v>69</v>
      </c>
      <c r="X431" s="555">
        <v>0</v>
      </c>
      <c r="Y431" s="556">
        <f t="shared" si="52"/>
        <v>0</v>
      </c>
      <c r="Z431" s="36" t="str">
        <f t="shared" si="53"/>
        <v/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670</v>
      </c>
      <c r="B432" s="54" t="s">
        <v>673</v>
      </c>
      <c r="C432" s="31">
        <v>4301012210</v>
      </c>
      <c r="D432" s="562">
        <v>4607091383522</v>
      </c>
      <c r="E432" s="563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59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0"/>
      <c r="R432" s="560"/>
      <c r="S432" s="560"/>
      <c r="T432" s="561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4301011961</v>
      </c>
      <c r="D433" s="562">
        <v>4680115885271</v>
      </c>
      <c r="E433" s="563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8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0"/>
      <c r="R433" s="560"/>
      <c r="S433" s="560"/>
      <c r="T433" s="561"/>
      <c r="U433" s="34"/>
      <c r="V433" s="34"/>
      <c r="W433" s="35" t="s">
        <v>69</v>
      </c>
      <c r="X433" s="555">
        <v>6</v>
      </c>
      <c r="Y433" s="556">
        <f t="shared" si="52"/>
        <v>10.56</v>
      </c>
      <c r="Z433" s="36">
        <f t="shared" si="53"/>
        <v>2.392E-2</v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6.3977272727272725</v>
      </c>
      <c r="BN433" s="64">
        <f t="shared" si="55"/>
        <v>11.26</v>
      </c>
      <c r="BO433" s="64">
        <f t="shared" si="56"/>
        <v>1.0926573426573426E-2</v>
      </c>
      <c r="BP433" s="64">
        <f t="shared" si="57"/>
        <v>1.9230769230769232E-2</v>
      </c>
    </row>
    <row r="434" spans="1:68" ht="27" customHeight="1" x14ac:dyDescent="0.25">
      <c r="A434" s="54" t="s">
        <v>677</v>
      </c>
      <c r="B434" s="54" t="s">
        <v>678</v>
      </c>
      <c r="C434" s="31">
        <v>4301011376</v>
      </c>
      <c r="D434" s="562">
        <v>4680115885226</v>
      </c>
      <c r="E434" s="563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86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0"/>
      <c r="R434" s="560"/>
      <c r="S434" s="560"/>
      <c r="T434" s="561"/>
      <c r="U434" s="34"/>
      <c r="V434" s="34"/>
      <c r="W434" s="35" t="s">
        <v>69</v>
      </c>
      <c r="X434" s="555">
        <v>20</v>
      </c>
      <c r="Y434" s="556">
        <f t="shared" si="52"/>
        <v>21.12</v>
      </c>
      <c r="Z434" s="36">
        <f t="shared" si="53"/>
        <v>4.7840000000000001E-2</v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21.325757575757574</v>
      </c>
      <c r="BN434" s="64">
        <f t="shared" si="55"/>
        <v>22.52</v>
      </c>
      <c r="BO434" s="64">
        <f t="shared" si="56"/>
        <v>3.6421911421911424E-2</v>
      </c>
      <c r="BP434" s="64">
        <f t="shared" si="57"/>
        <v>3.8461538461538464E-2</v>
      </c>
    </row>
    <row r="435" spans="1:68" ht="16.5" customHeight="1" x14ac:dyDescent="0.25">
      <c r="A435" s="54" t="s">
        <v>680</v>
      </c>
      <c r="B435" s="54" t="s">
        <v>681</v>
      </c>
      <c r="C435" s="31">
        <v>4301011774</v>
      </c>
      <c r="D435" s="562">
        <v>4680115884502</v>
      </c>
      <c r="E435" s="563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8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0"/>
      <c r="R435" s="560"/>
      <c r="S435" s="560"/>
      <c r="T435" s="561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4301011771</v>
      </c>
      <c r="D436" s="562">
        <v>4607091389104</v>
      </c>
      <c r="E436" s="563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8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0"/>
      <c r="R436" s="560"/>
      <c r="S436" s="560"/>
      <c r="T436" s="561"/>
      <c r="U436" s="34"/>
      <c r="V436" s="34"/>
      <c r="W436" s="35" t="s">
        <v>69</v>
      </c>
      <c r="X436" s="555">
        <v>20</v>
      </c>
      <c r="Y436" s="556">
        <f t="shared" si="52"/>
        <v>21.12</v>
      </c>
      <c r="Z436" s="36">
        <f t="shared" si="53"/>
        <v>4.7840000000000001E-2</v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21.325757575757574</v>
      </c>
      <c r="BN436" s="64">
        <f t="shared" si="55"/>
        <v>22.52</v>
      </c>
      <c r="BO436" s="64">
        <f t="shared" si="56"/>
        <v>3.6421911421911424E-2</v>
      </c>
      <c r="BP436" s="64">
        <f t="shared" si="57"/>
        <v>3.8461538461538464E-2</v>
      </c>
    </row>
    <row r="437" spans="1:68" ht="27" customHeight="1" x14ac:dyDescent="0.25">
      <c r="A437" s="54" t="s">
        <v>686</v>
      </c>
      <c r="B437" s="54" t="s">
        <v>687</v>
      </c>
      <c r="C437" s="31">
        <v>4301012125</v>
      </c>
      <c r="D437" s="562">
        <v>4680115886391</v>
      </c>
      <c r="E437" s="563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5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0"/>
      <c r="R437" s="560"/>
      <c r="S437" s="560"/>
      <c r="T437" s="561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688</v>
      </c>
      <c r="B438" s="54" t="s">
        <v>689</v>
      </c>
      <c r="C438" s="31">
        <v>4301012035</v>
      </c>
      <c r="D438" s="562">
        <v>4680115880603</v>
      </c>
      <c r="E438" s="563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3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0"/>
      <c r="R438" s="560"/>
      <c r="S438" s="560"/>
      <c r="T438" s="561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690</v>
      </c>
      <c r="B439" s="54" t="s">
        <v>691</v>
      </c>
      <c r="C439" s="31">
        <v>4301012036</v>
      </c>
      <c r="D439" s="562">
        <v>4680115882782</v>
      </c>
      <c r="E439" s="563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0"/>
      <c r="R439" s="560"/>
      <c r="S439" s="560"/>
      <c r="T439" s="561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4301012050</v>
      </c>
      <c r="D440" s="562">
        <v>4680115885479</v>
      </c>
      <c r="E440" s="563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6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0"/>
      <c r="R440" s="560"/>
      <c r="S440" s="560"/>
      <c r="T440" s="561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customHeight="1" x14ac:dyDescent="0.25">
      <c r="A441" s="54" t="s">
        <v>695</v>
      </c>
      <c r="B441" s="54" t="s">
        <v>696</v>
      </c>
      <c r="C441" s="31">
        <v>4301012034</v>
      </c>
      <c r="D441" s="562">
        <v>4607091389982</v>
      </c>
      <c r="E441" s="563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6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0"/>
      <c r="R441" s="560"/>
      <c r="S441" s="560"/>
      <c r="T441" s="561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x14ac:dyDescent="0.2">
      <c r="A442" s="582"/>
      <c r="B442" s="569"/>
      <c r="C442" s="569"/>
      <c r="D442" s="569"/>
      <c r="E442" s="569"/>
      <c r="F442" s="569"/>
      <c r="G442" s="569"/>
      <c r="H442" s="569"/>
      <c r="I442" s="569"/>
      <c r="J442" s="569"/>
      <c r="K442" s="569"/>
      <c r="L442" s="569"/>
      <c r="M442" s="569"/>
      <c r="N442" s="569"/>
      <c r="O442" s="583"/>
      <c r="P442" s="573" t="s">
        <v>75</v>
      </c>
      <c r="Q442" s="574"/>
      <c r="R442" s="574"/>
      <c r="S442" s="574"/>
      <c r="T442" s="574"/>
      <c r="U442" s="574"/>
      <c r="V442" s="575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21.969696969696972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24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0.28704000000000002</v>
      </c>
      <c r="AA442" s="558"/>
      <c r="AB442" s="558"/>
      <c r="AC442" s="558"/>
    </row>
    <row r="443" spans="1:68" x14ac:dyDescent="0.2">
      <c r="A443" s="569"/>
      <c r="B443" s="569"/>
      <c r="C443" s="569"/>
      <c r="D443" s="569"/>
      <c r="E443" s="569"/>
      <c r="F443" s="569"/>
      <c r="G443" s="569"/>
      <c r="H443" s="569"/>
      <c r="I443" s="569"/>
      <c r="J443" s="569"/>
      <c r="K443" s="569"/>
      <c r="L443" s="569"/>
      <c r="M443" s="569"/>
      <c r="N443" s="569"/>
      <c r="O443" s="583"/>
      <c r="P443" s="573" t="s">
        <v>75</v>
      </c>
      <c r="Q443" s="574"/>
      <c r="R443" s="574"/>
      <c r="S443" s="574"/>
      <c r="T443" s="574"/>
      <c r="U443" s="574"/>
      <c r="V443" s="575"/>
      <c r="W443" s="37" t="s">
        <v>69</v>
      </c>
      <c r="X443" s="557">
        <f>IFERROR(SUM(X430:X441),"0")</f>
        <v>116</v>
      </c>
      <c r="Y443" s="557">
        <f>IFERROR(SUM(Y430:Y441),"0")</f>
        <v>126.72000000000001</v>
      </c>
      <c r="Z443" s="37"/>
      <c r="AA443" s="558"/>
      <c r="AB443" s="558"/>
      <c r="AC443" s="558"/>
    </row>
    <row r="444" spans="1:68" ht="14.25" customHeight="1" x14ac:dyDescent="0.25">
      <c r="A444" s="570" t="s">
        <v>138</v>
      </c>
      <c r="B444" s="569"/>
      <c r="C444" s="569"/>
      <c r="D444" s="569"/>
      <c r="E444" s="569"/>
      <c r="F444" s="569"/>
      <c r="G444" s="569"/>
      <c r="H444" s="569"/>
      <c r="I444" s="569"/>
      <c r="J444" s="569"/>
      <c r="K444" s="569"/>
      <c r="L444" s="569"/>
      <c r="M444" s="569"/>
      <c r="N444" s="569"/>
      <c r="O444" s="569"/>
      <c r="P444" s="569"/>
      <c r="Q444" s="569"/>
      <c r="R444" s="569"/>
      <c r="S444" s="569"/>
      <c r="T444" s="569"/>
      <c r="U444" s="569"/>
      <c r="V444" s="569"/>
      <c r="W444" s="569"/>
      <c r="X444" s="569"/>
      <c r="Y444" s="569"/>
      <c r="Z444" s="569"/>
      <c r="AA444" s="551"/>
      <c r="AB444" s="551"/>
      <c r="AC444" s="551"/>
    </row>
    <row r="445" spans="1:68" ht="16.5" customHeight="1" x14ac:dyDescent="0.25">
      <c r="A445" s="54" t="s">
        <v>697</v>
      </c>
      <c r="B445" s="54" t="s">
        <v>698</v>
      </c>
      <c r="C445" s="31">
        <v>4301020334</v>
      </c>
      <c r="D445" s="562">
        <v>4607091388930</v>
      </c>
      <c r="E445" s="563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60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0"/>
      <c r="R445" s="560"/>
      <c r="S445" s="560"/>
      <c r="T445" s="561"/>
      <c r="U445" s="34"/>
      <c r="V445" s="34"/>
      <c r="W445" s="35" t="s">
        <v>69</v>
      </c>
      <c r="X445" s="555">
        <v>0</v>
      </c>
      <c r="Y445" s="556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700</v>
      </c>
      <c r="B446" s="54" t="s">
        <v>701</v>
      </c>
      <c r="C446" s="31">
        <v>4301020384</v>
      </c>
      <c r="D446" s="562">
        <v>4680115886407</v>
      </c>
      <c r="E446" s="563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5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0"/>
      <c r="R446" s="560"/>
      <c r="S446" s="560"/>
      <c r="T446" s="561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customHeight="1" x14ac:dyDescent="0.25">
      <c r="A447" s="54" t="s">
        <v>702</v>
      </c>
      <c r="B447" s="54" t="s">
        <v>703</v>
      </c>
      <c r="C447" s="31">
        <v>4301020385</v>
      </c>
      <c r="D447" s="562">
        <v>4680115880054</v>
      </c>
      <c r="E447" s="563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8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0"/>
      <c r="R447" s="560"/>
      <c r="S447" s="560"/>
      <c r="T447" s="561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582"/>
      <c r="B448" s="569"/>
      <c r="C448" s="569"/>
      <c r="D448" s="569"/>
      <c r="E448" s="569"/>
      <c r="F448" s="569"/>
      <c r="G448" s="569"/>
      <c r="H448" s="569"/>
      <c r="I448" s="569"/>
      <c r="J448" s="569"/>
      <c r="K448" s="569"/>
      <c r="L448" s="569"/>
      <c r="M448" s="569"/>
      <c r="N448" s="569"/>
      <c r="O448" s="583"/>
      <c r="P448" s="573" t="s">
        <v>75</v>
      </c>
      <c r="Q448" s="574"/>
      <c r="R448" s="574"/>
      <c r="S448" s="574"/>
      <c r="T448" s="574"/>
      <c r="U448" s="574"/>
      <c r="V448" s="575"/>
      <c r="W448" s="37" t="s">
        <v>76</v>
      </c>
      <c r="X448" s="557">
        <f>IFERROR(X445/H445,"0")+IFERROR(X446/H446,"0")+IFERROR(X447/H447,"0")</f>
        <v>0</v>
      </c>
      <c r="Y448" s="557">
        <f>IFERROR(Y445/H445,"0")+IFERROR(Y446/H446,"0")+IFERROR(Y447/H447,"0")</f>
        <v>0</v>
      </c>
      <c r="Z448" s="557">
        <f>IFERROR(IF(Z445="",0,Z445),"0")+IFERROR(IF(Z446="",0,Z446),"0")+IFERROR(IF(Z447="",0,Z447),"0")</f>
        <v>0</v>
      </c>
      <c r="AA448" s="558"/>
      <c r="AB448" s="558"/>
      <c r="AC448" s="558"/>
    </row>
    <row r="449" spans="1:68" x14ac:dyDescent="0.2">
      <c r="A449" s="569"/>
      <c r="B449" s="569"/>
      <c r="C449" s="569"/>
      <c r="D449" s="569"/>
      <c r="E449" s="569"/>
      <c r="F449" s="569"/>
      <c r="G449" s="569"/>
      <c r="H449" s="569"/>
      <c r="I449" s="569"/>
      <c r="J449" s="569"/>
      <c r="K449" s="569"/>
      <c r="L449" s="569"/>
      <c r="M449" s="569"/>
      <c r="N449" s="569"/>
      <c r="O449" s="583"/>
      <c r="P449" s="573" t="s">
        <v>75</v>
      </c>
      <c r="Q449" s="574"/>
      <c r="R449" s="574"/>
      <c r="S449" s="574"/>
      <c r="T449" s="574"/>
      <c r="U449" s="574"/>
      <c r="V449" s="575"/>
      <c r="W449" s="37" t="s">
        <v>69</v>
      </c>
      <c r="X449" s="557">
        <f>IFERROR(SUM(X445:X447),"0")</f>
        <v>0</v>
      </c>
      <c r="Y449" s="557">
        <f>IFERROR(SUM(Y445:Y447),"0")</f>
        <v>0</v>
      </c>
      <c r="Z449" s="37"/>
      <c r="AA449" s="558"/>
      <c r="AB449" s="558"/>
      <c r="AC449" s="558"/>
    </row>
    <row r="450" spans="1:68" ht="14.25" customHeight="1" x14ac:dyDescent="0.25">
      <c r="A450" s="570" t="s">
        <v>64</v>
      </c>
      <c r="B450" s="569"/>
      <c r="C450" s="569"/>
      <c r="D450" s="569"/>
      <c r="E450" s="569"/>
      <c r="F450" s="569"/>
      <c r="G450" s="569"/>
      <c r="H450" s="569"/>
      <c r="I450" s="569"/>
      <c r="J450" s="569"/>
      <c r="K450" s="569"/>
      <c r="L450" s="569"/>
      <c r="M450" s="569"/>
      <c r="N450" s="569"/>
      <c r="O450" s="569"/>
      <c r="P450" s="569"/>
      <c r="Q450" s="569"/>
      <c r="R450" s="569"/>
      <c r="S450" s="569"/>
      <c r="T450" s="569"/>
      <c r="U450" s="569"/>
      <c r="V450" s="569"/>
      <c r="W450" s="569"/>
      <c r="X450" s="569"/>
      <c r="Y450" s="569"/>
      <c r="Z450" s="569"/>
      <c r="AA450" s="551"/>
      <c r="AB450" s="551"/>
      <c r="AC450" s="551"/>
    </row>
    <row r="451" spans="1:68" ht="27" customHeight="1" x14ac:dyDescent="0.25">
      <c r="A451" s="54" t="s">
        <v>704</v>
      </c>
      <c r="B451" s="54" t="s">
        <v>705</v>
      </c>
      <c r="C451" s="31">
        <v>4301031349</v>
      </c>
      <c r="D451" s="562">
        <v>4680115883116</v>
      </c>
      <c r="E451" s="563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0"/>
      <c r="R451" s="560"/>
      <c r="S451" s="560"/>
      <c r="T451" s="561"/>
      <c r="U451" s="34"/>
      <c r="V451" s="34"/>
      <c r="W451" s="35" t="s">
        <v>69</v>
      </c>
      <c r="X451" s="555">
        <v>32</v>
      </c>
      <c r="Y451" s="556">
        <f t="shared" ref="Y451:Y456" si="58">IFERROR(IF(X451="",0,CEILING((X451/$H451),1)*$H451),"")</f>
        <v>36.96</v>
      </c>
      <c r="Z451" s="36">
        <f>IFERROR(IF(Y451=0,"",ROUNDUP(Y451/H451,0)*0.01196),"")</f>
        <v>8.3720000000000003E-2</v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34.121212121212118</v>
      </c>
      <c r="BN451" s="64">
        <f t="shared" ref="BN451:BN456" si="60">IFERROR(Y451*I451/H451,"0")</f>
        <v>39.409999999999997</v>
      </c>
      <c r="BO451" s="64">
        <f t="shared" ref="BO451:BO456" si="61">IFERROR(1/J451*(X451/H451),"0")</f>
        <v>5.8275058275058279E-2</v>
      </c>
      <c r="BP451" s="64">
        <f t="shared" ref="BP451:BP456" si="62">IFERROR(1/J451*(Y451/H451),"0")</f>
        <v>6.7307692307692318E-2</v>
      </c>
    </row>
    <row r="452" spans="1:68" ht="27" customHeight="1" x14ac:dyDescent="0.25">
      <c r="A452" s="54" t="s">
        <v>707</v>
      </c>
      <c r="B452" s="54" t="s">
        <v>708</v>
      </c>
      <c r="C452" s="31">
        <v>4301031350</v>
      </c>
      <c r="D452" s="562">
        <v>4680115883093</v>
      </c>
      <c r="E452" s="563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0"/>
      <c r="R452" s="560"/>
      <c r="S452" s="560"/>
      <c r="T452" s="561"/>
      <c r="U452" s="34"/>
      <c r="V452" s="34"/>
      <c r="W452" s="35" t="s">
        <v>69</v>
      </c>
      <c r="X452" s="555">
        <v>20</v>
      </c>
      <c r="Y452" s="556">
        <f t="shared" si="58"/>
        <v>21.12</v>
      </c>
      <c r="Z452" s="36">
        <f>IFERROR(IF(Y452=0,"",ROUNDUP(Y452/H452,0)*0.01196),"")</f>
        <v>4.7840000000000001E-2</v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21.325757575757574</v>
      </c>
      <c r="BN452" s="64">
        <f t="shared" si="60"/>
        <v>22.52</v>
      </c>
      <c r="BO452" s="64">
        <f t="shared" si="61"/>
        <v>3.6421911421911424E-2</v>
      </c>
      <c r="BP452" s="64">
        <f t="shared" si="62"/>
        <v>3.8461538461538464E-2</v>
      </c>
    </row>
    <row r="453" spans="1:68" ht="27" customHeight="1" x14ac:dyDescent="0.25">
      <c r="A453" s="54" t="s">
        <v>710</v>
      </c>
      <c r="B453" s="54" t="s">
        <v>711</v>
      </c>
      <c r="C453" s="31">
        <v>4301031353</v>
      </c>
      <c r="D453" s="562">
        <v>4680115883109</v>
      </c>
      <c r="E453" s="563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64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0"/>
      <c r="R453" s="560"/>
      <c r="S453" s="560"/>
      <c r="T453" s="561"/>
      <c r="U453" s="34"/>
      <c r="V453" s="34"/>
      <c r="W453" s="35" t="s">
        <v>69</v>
      </c>
      <c r="X453" s="555">
        <v>25</v>
      </c>
      <c r="Y453" s="556">
        <f t="shared" si="58"/>
        <v>26.400000000000002</v>
      </c>
      <c r="Z453" s="36">
        <f>IFERROR(IF(Y453=0,"",ROUNDUP(Y453/H453,0)*0.01196),"")</f>
        <v>5.9799999999999999E-2</v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26.657196969696969</v>
      </c>
      <c r="BN453" s="64">
        <f t="shared" si="60"/>
        <v>28.15</v>
      </c>
      <c r="BO453" s="64">
        <f t="shared" si="61"/>
        <v>4.5527389277389273E-2</v>
      </c>
      <c r="BP453" s="64">
        <f t="shared" si="62"/>
        <v>4.807692307692308E-2</v>
      </c>
    </row>
    <row r="454" spans="1:68" ht="27" customHeight="1" x14ac:dyDescent="0.25">
      <c r="A454" s="54" t="s">
        <v>713</v>
      </c>
      <c r="B454" s="54" t="s">
        <v>714</v>
      </c>
      <c r="C454" s="31">
        <v>4301031419</v>
      </c>
      <c r="D454" s="562">
        <v>4680115882072</v>
      </c>
      <c r="E454" s="563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57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0"/>
      <c r="R454" s="560"/>
      <c r="S454" s="560"/>
      <c r="T454" s="561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customHeight="1" x14ac:dyDescent="0.25">
      <c r="A455" s="54" t="s">
        <v>715</v>
      </c>
      <c r="B455" s="54" t="s">
        <v>716</v>
      </c>
      <c r="C455" s="31">
        <v>4301031418</v>
      </c>
      <c r="D455" s="562">
        <v>4680115882102</v>
      </c>
      <c r="E455" s="563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0"/>
      <c r="R455" s="560"/>
      <c r="S455" s="560"/>
      <c r="T455" s="561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customHeight="1" x14ac:dyDescent="0.25">
      <c r="A456" s="54" t="s">
        <v>717</v>
      </c>
      <c r="B456" s="54" t="s">
        <v>718</v>
      </c>
      <c r="C456" s="31">
        <v>4301031417</v>
      </c>
      <c r="D456" s="562">
        <v>4680115882096</v>
      </c>
      <c r="E456" s="563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0"/>
      <c r="R456" s="560"/>
      <c r="S456" s="560"/>
      <c r="T456" s="561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x14ac:dyDescent="0.2">
      <c r="A457" s="582"/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83"/>
      <c r="P457" s="573" t="s">
        <v>75</v>
      </c>
      <c r="Q457" s="574"/>
      <c r="R457" s="574"/>
      <c r="S457" s="574"/>
      <c r="T457" s="574"/>
      <c r="U457" s="574"/>
      <c r="V457" s="575"/>
      <c r="W457" s="37" t="s">
        <v>76</v>
      </c>
      <c r="X457" s="557">
        <f>IFERROR(X451/H451,"0")+IFERROR(X452/H452,"0")+IFERROR(X453/H453,"0")+IFERROR(X454/H454,"0")+IFERROR(X455/H455,"0")+IFERROR(X456/H456,"0")</f>
        <v>14.583333333333332</v>
      </c>
      <c r="Y457" s="557">
        <f>IFERROR(Y451/H451,"0")+IFERROR(Y452/H452,"0")+IFERROR(Y453/H453,"0")+IFERROR(Y454/H454,"0")+IFERROR(Y455/H455,"0")+IFERROR(Y456/H456,"0")</f>
        <v>16</v>
      </c>
      <c r="Z457" s="557">
        <f>IFERROR(IF(Z451="",0,Z451),"0")+IFERROR(IF(Z452="",0,Z452),"0")+IFERROR(IF(Z453="",0,Z453),"0")+IFERROR(IF(Z454="",0,Z454),"0")+IFERROR(IF(Z455="",0,Z455),"0")+IFERROR(IF(Z456="",0,Z456),"0")</f>
        <v>0.19136</v>
      </c>
      <c r="AA457" s="558"/>
      <c r="AB457" s="558"/>
      <c r="AC457" s="558"/>
    </row>
    <row r="458" spans="1:68" x14ac:dyDescent="0.2">
      <c r="A458" s="569"/>
      <c r="B458" s="569"/>
      <c r="C458" s="569"/>
      <c r="D458" s="569"/>
      <c r="E458" s="569"/>
      <c r="F458" s="569"/>
      <c r="G458" s="569"/>
      <c r="H458" s="569"/>
      <c r="I458" s="569"/>
      <c r="J458" s="569"/>
      <c r="K458" s="569"/>
      <c r="L458" s="569"/>
      <c r="M458" s="569"/>
      <c r="N458" s="569"/>
      <c r="O458" s="583"/>
      <c r="P458" s="573" t="s">
        <v>75</v>
      </c>
      <c r="Q458" s="574"/>
      <c r="R458" s="574"/>
      <c r="S458" s="574"/>
      <c r="T458" s="574"/>
      <c r="U458" s="574"/>
      <c r="V458" s="575"/>
      <c r="W458" s="37" t="s">
        <v>69</v>
      </c>
      <c r="X458" s="557">
        <f>IFERROR(SUM(X451:X456),"0")</f>
        <v>77</v>
      </c>
      <c r="Y458" s="557">
        <f>IFERROR(SUM(Y451:Y456),"0")</f>
        <v>84.48</v>
      </c>
      <c r="Z458" s="37"/>
      <c r="AA458" s="558"/>
      <c r="AB458" s="558"/>
      <c r="AC458" s="558"/>
    </row>
    <row r="459" spans="1:68" ht="14.25" customHeight="1" x14ac:dyDescent="0.25">
      <c r="A459" s="570" t="s">
        <v>77</v>
      </c>
      <c r="B459" s="569"/>
      <c r="C459" s="569"/>
      <c r="D459" s="569"/>
      <c r="E459" s="569"/>
      <c r="F459" s="569"/>
      <c r="G459" s="569"/>
      <c r="H459" s="569"/>
      <c r="I459" s="569"/>
      <c r="J459" s="569"/>
      <c r="K459" s="569"/>
      <c r="L459" s="569"/>
      <c r="M459" s="569"/>
      <c r="N459" s="569"/>
      <c r="O459" s="569"/>
      <c r="P459" s="569"/>
      <c r="Q459" s="569"/>
      <c r="R459" s="569"/>
      <c r="S459" s="569"/>
      <c r="T459" s="569"/>
      <c r="U459" s="569"/>
      <c r="V459" s="569"/>
      <c r="W459" s="569"/>
      <c r="X459" s="569"/>
      <c r="Y459" s="569"/>
      <c r="Z459" s="569"/>
      <c r="AA459" s="551"/>
      <c r="AB459" s="551"/>
      <c r="AC459" s="551"/>
    </row>
    <row r="460" spans="1:68" ht="27" customHeight="1" x14ac:dyDescent="0.25">
      <c r="A460" s="54" t="s">
        <v>719</v>
      </c>
      <c r="B460" s="54" t="s">
        <v>720</v>
      </c>
      <c r="C460" s="31">
        <v>4301051064</v>
      </c>
      <c r="D460" s="562">
        <v>4680115883536</v>
      </c>
      <c r="E460" s="563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80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0"/>
      <c r="R460" s="560"/>
      <c r="S460" s="560"/>
      <c r="T460" s="561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82"/>
      <c r="B461" s="569"/>
      <c r="C461" s="569"/>
      <c r="D461" s="569"/>
      <c r="E461" s="569"/>
      <c r="F461" s="569"/>
      <c r="G461" s="569"/>
      <c r="H461" s="569"/>
      <c r="I461" s="569"/>
      <c r="J461" s="569"/>
      <c r="K461" s="569"/>
      <c r="L461" s="569"/>
      <c r="M461" s="569"/>
      <c r="N461" s="569"/>
      <c r="O461" s="583"/>
      <c r="P461" s="573" t="s">
        <v>75</v>
      </c>
      <c r="Q461" s="574"/>
      <c r="R461" s="574"/>
      <c r="S461" s="574"/>
      <c r="T461" s="574"/>
      <c r="U461" s="574"/>
      <c r="V461" s="575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x14ac:dyDescent="0.2">
      <c r="A462" s="569"/>
      <c r="B462" s="569"/>
      <c r="C462" s="569"/>
      <c r="D462" s="569"/>
      <c r="E462" s="569"/>
      <c r="F462" s="569"/>
      <c r="G462" s="569"/>
      <c r="H462" s="569"/>
      <c r="I462" s="569"/>
      <c r="J462" s="569"/>
      <c r="K462" s="569"/>
      <c r="L462" s="569"/>
      <c r="M462" s="569"/>
      <c r="N462" s="569"/>
      <c r="O462" s="583"/>
      <c r="P462" s="573" t="s">
        <v>75</v>
      </c>
      <c r="Q462" s="574"/>
      <c r="R462" s="574"/>
      <c r="S462" s="574"/>
      <c r="T462" s="574"/>
      <c r="U462" s="574"/>
      <c r="V462" s="575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customHeight="1" x14ac:dyDescent="0.2">
      <c r="A463" s="727" t="s">
        <v>722</v>
      </c>
      <c r="B463" s="728"/>
      <c r="C463" s="728"/>
      <c r="D463" s="728"/>
      <c r="E463" s="728"/>
      <c r="F463" s="728"/>
      <c r="G463" s="728"/>
      <c r="H463" s="728"/>
      <c r="I463" s="728"/>
      <c r="J463" s="728"/>
      <c r="K463" s="728"/>
      <c r="L463" s="728"/>
      <c r="M463" s="728"/>
      <c r="N463" s="728"/>
      <c r="O463" s="728"/>
      <c r="P463" s="728"/>
      <c r="Q463" s="728"/>
      <c r="R463" s="728"/>
      <c r="S463" s="728"/>
      <c r="T463" s="728"/>
      <c r="U463" s="728"/>
      <c r="V463" s="728"/>
      <c r="W463" s="728"/>
      <c r="X463" s="728"/>
      <c r="Y463" s="728"/>
      <c r="Z463" s="728"/>
      <c r="AA463" s="48"/>
      <c r="AB463" s="48"/>
      <c r="AC463" s="48"/>
    </row>
    <row r="464" spans="1:68" ht="16.5" customHeight="1" x14ac:dyDescent="0.25">
      <c r="A464" s="568" t="s">
        <v>722</v>
      </c>
      <c r="B464" s="569"/>
      <c r="C464" s="569"/>
      <c r="D464" s="569"/>
      <c r="E464" s="569"/>
      <c r="F464" s="569"/>
      <c r="G464" s="569"/>
      <c r="H464" s="569"/>
      <c r="I464" s="569"/>
      <c r="J464" s="569"/>
      <c r="K464" s="569"/>
      <c r="L464" s="569"/>
      <c r="M464" s="569"/>
      <c r="N464" s="569"/>
      <c r="O464" s="569"/>
      <c r="P464" s="569"/>
      <c r="Q464" s="569"/>
      <c r="R464" s="569"/>
      <c r="S464" s="569"/>
      <c r="T464" s="569"/>
      <c r="U464" s="569"/>
      <c r="V464" s="569"/>
      <c r="W464" s="569"/>
      <c r="X464" s="569"/>
      <c r="Y464" s="569"/>
      <c r="Z464" s="569"/>
      <c r="AA464" s="550"/>
      <c r="AB464" s="550"/>
      <c r="AC464" s="550"/>
    </row>
    <row r="465" spans="1:68" ht="14.25" customHeight="1" x14ac:dyDescent="0.25">
      <c r="A465" s="570" t="s">
        <v>103</v>
      </c>
      <c r="B465" s="569"/>
      <c r="C465" s="569"/>
      <c r="D465" s="569"/>
      <c r="E465" s="569"/>
      <c r="F465" s="569"/>
      <c r="G465" s="569"/>
      <c r="H465" s="569"/>
      <c r="I465" s="569"/>
      <c r="J465" s="569"/>
      <c r="K465" s="569"/>
      <c r="L465" s="569"/>
      <c r="M465" s="569"/>
      <c r="N465" s="569"/>
      <c r="O465" s="569"/>
      <c r="P465" s="569"/>
      <c r="Q465" s="569"/>
      <c r="R465" s="569"/>
      <c r="S465" s="569"/>
      <c r="T465" s="569"/>
      <c r="U465" s="569"/>
      <c r="V465" s="569"/>
      <c r="W465" s="569"/>
      <c r="X465" s="569"/>
      <c r="Y465" s="569"/>
      <c r="Z465" s="569"/>
      <c r="AA465" s="551"/>
      <c r="AB465" s="551"/>
      <c r="AC465" s="551"/>
    </row>
    <row r="466" spans="1:68" ht="27" customHeight="1" x14ac:dyDescent="0.25">
      <c r="A466" s="54" t="s">
        <v>723</v>
      </c>
      <c r="B466" s="54" t="s">
        <v>724</v>
      </c>
      <c r="C466" s="31">
        <v>4301011763</v>
      </c>
      <c r="D466" s="562">
        <v>4640242181011</v>
      </c>
      <c r="E466" s="563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65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0"/>
      <c r="R466" s="560"/>
      <c r="S466" s="560"/>
      <c r="T466" s="561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4301011585</v>
      </c>
      <c r="D467" s="562">
        <v>4640242180441</v>
      </c>
      <c r="E467" s="563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6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0"/>
      <c r="R467" s="560"/>
      <c r="S467" s="560"/>
      <c r="T467" s="561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4301011584</v>
      </c>
      <c r="D468" s="562">
        <v>4640242180564</v>
      </c>
      <c r="E468" s="563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60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0"/>
      <c r="R468" s="560"/>
      <c r="S468" s="560"/>
      <c r="T468" s="561"/>
      <c r="U468" s="34"/>
      <c r="V468" s="34"/>
      <c r="W468" s="35" t="s">
        <v>69</v>
      </c>
      <c r="X468" s="555">
        <v>0</v>
      </c>
      <c r="Y468" s="55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732</v>
      </c>
      <c r="B469" s="54" t="s">
        <v>733</v>
      </c>
      <c r="C469" s="31">
        <v>4301011764</v>
      </c>
      <c r="D469" s="562">
        <v>4640242181189</v>
      </c>
      <c r="E469" s="563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6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0"/>
      <c r="R469" s="560"/>
      <c r="S469" s="560"/>
      <c r="T469" s="561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82"/>
      <c r="B470" s="569"/>
      <c r="C470" s="569"/>
      <c r="D470" s="569"/>
      <c r="E470" s="569"/>
      <c r="F470" s="569"/>
      <c r="G470" s="569"/>
      <c r="H470" s="569"/>
      <c r="I470" s="569"/>
      <c r="J470" s="569"/>
      <c r="K470" s="569"/>
      <c r="L470" s="569"/>
      <c r="M470" s="569"/>
      <c r="N470" s="569"/>
      <c r="O470" s="583"/>
      <c r="P470" s="573" t="s">
        <v>75</v>
      </c>
      <c r="Q470" s="574"/>
      <c r="R470" s="574"/>
      <c r="S470" s="574"/>
      <c r="T470" s="574"/>
      <c r="U470" s="574"/>
      <c r="V470" s="575"/>
      <c r="W470" s="37" t="s">
        <v>76</v>
      </c>
      <c r="X470" s="557">
        <f>IFERROR(X466/H466,"0")+IFERROR(X467/H467,"0")+IFERROR(X468/H468,"0")+IFERROR(X469/H469,"0")</f>
        <v>0</v>
      </c>
      <c r="Y470" s="557">
        <f>IFERROR(Y466/H466,"0")+IFERROR(Y467/H467,"0")+IFERROR(Y468/H468,"0")+IFERROR(Y469/H469,"0")</f>
        <v>0</v>
      </c>
      <c r="Z470" s="557">
        <f>IFERROR(IF(Z466="",0,Z466),"0")+IFERROR(IF(Z467="",0,Z467),"0")+IFERROR(IF(Z468="",0,Z468),"0")+IFERROR(IF(Z469="",0,Z469),"0")</f>
        <v>0</v>
      </c>
      <c r="AA470" s="558"/>
      <c r="AB470" s="558"/>
      <c r="AC470" s="558"/>
    </row>
    <row r="471" spans="1:68" x14ac:dyDescent="0.2">
      <c r="A471" s="569"/>
      <c r="B471" s="569"/>
      <c r="C471" s="569"/>
      <c r="D471" s="569"/>
      <c r="E471" s="569"/>
      <c r="F471" s="569"/>
      <c r="G471" s="569"/>
      <c r="H471" s="569"/>
      <c r="I471" s="569"/>
      <c r="J471" s="569"/>
      <c r="K471" s="569"/>
      <c r="L471" s="569"/>
      <c r="M471" s="569"/>
      <c r="N471" s="569"/>
      <c r="O471" s="583"/>
      <c r="P471" s="573" t="s">
        <v>75</v>
      </c>
      <c r="Q471" s="574"/>
      <c r="R471" s="574"/>
      <c r="S471" s="574"/>
      <c r="T471" s="574"/>
      <c r="U471" s="574"/>
      <c r="V471" s="575"/>
      <c r="W471" s="37" t="s">
        <v>69</v>
      </c>
      <c r="X471" s="557">
        <f>IFERROR(SUM(X466:X469),"0")</f>
        <v>0</v>
      </c>
      <c r="Y471" s="557">
        <f>IFERROR(SUM(Y466:Y469),"0")</f>
        <v>0</v>
      </c>
      <c r="Z471" s="37"/>
      <c r="AA471" s="558"/>
      <c r="AB471" s="558"/>
      <c r="AC471" s="558"/>
    </row>
    <row r="472" spans="1:68" ht="14.25" customHeight="1" x14ac:dyDescent="0.25">
      <c r="A472" s="570" t="s">
        <v>138</v>
      </c>
      <c r="B472" s="569"/>
      <c r="C472" s="569"/>
      <c r="D472" s="569"/>
      <c r="E472" s="569"/>
      <c r="F472" s="569"/>
      <c r="G472" s="569"/>
      <c r="H472" s="569"/>
      <c r="I472" s="569"/>
      <c r="J472" s="569"/>
      <c r="K472" s="569"/>
      <c r="L472" s="569"/>
      <c r="M472" s="569"/>
      <c r="N472" s="569"/>
      <c r="O472" s="569"/>
      <c r="P472" s="569"/>
      <c r="Q472" s="569"/>
      <c r="R472" s="569"/>
      <c r="S472" s="569"/>
      <c r="T472" s="569"/>
      <c r="U472" s="569"/>
      <c r="V472" s="569"/>
      <c r="W472" s="569"/>
      <c r="X472" s="569"/>
      <c r="Y472" s="569"/>
      <c r="Z472" s="569"/>
      <c r="AA472" s="551"/>
      <c r="AB472" s="551"/>
      <c r="AC472" s="551"/>
    </row>
    <row r="473" spans="1:68" ht="27" customHeight="1" x14ac:dyDescent="0.25">
      <c r="A473" s="54" t="s">
        <v>734</v>
      </c>
      <c r="B473" s="54" t="s">
        <v>735</v>
      </c>
      <c r="C473" s="31">
        <v>4301020400</v>
      </c>
      <c r="D473" s="562">
        <v>4640242180519</v>
      </c>
      <c r="E473" s="563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62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0"/>
      <c r="R473" s="560"/>
      <c r="S473" s="560"/>
      <c r="T473" s="561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737</v>
      </c>
      <c r="B474" s="54" t="s">
        <v>738</v>
      </c>
      <c r="C474" s="31">
        <v>4301020260</v>
      </c>
      <c r="D474" s="562">
        <v>4640242180526</v>
      </c>
      <c r="E474" s="563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64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0"/>
      <c r="R474" s="560"/>
      <c r="S474" s="560"/>
      <c r="T474" s="561"/>
      <c r="U474" s="34"/>
      <c r="V474" s="34"/>
      <c r="W474" s="35" t="s">
        <v>69</v>
      </c>
      <c r="X474" s="555">
        <v>60</v>
      </c>
      <c r="Y474" s="556">
        <f>IFERROR(IF(X474="",0,CEILING((X474/$H474),1)*$H474),"")</f>
        <v>64.800000000000011</v>
      </c>
      <c r="Z474" s="36">
        <f>IFERROR(IF(Y474=0,"",ROUNDUP(Y474/H474,0)*0.01898),"")</f>
        <v>0.11388000000000001</v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62.277777777777779</v>
      </c>
      <c r="BN474" s="64">
        <f>IFERROR(Y474*I474/H474,"0")</f>
        <v>67.260000000000005</v>
      </c>
      <c r="BO474" s="64">
        <f>IFERROR(1/J474*(X474/H474),"0")</f>
        <v>8.6805555555555552E-2</v>
      </c>
      <c r="BP474" s="64">
        <f>IFERROR(1/J474*(Y474/H474),"0")</f>
        <v>9.3750000000000014E-2</v>
      </c>
    </row>
    <row r="475" spans="1:68" x14ac:dyDescent="0.2">
      <c r="A475" s="582"/>
      <c r="B475" s="569"/>
      <c r="C475" s="569"/>
      <c r="D475" s="569"/>
      <c r="E475" s="569"/>
      <c r="F475" s="569"/>
      <c r="G475" s="569"/>
      <c r="H475" s="569"/>
      <c r="I475" s="569"/>
      <c r="J475" s="569"/>
      <c r="K475" s="569"/>
      <c r="L475" s="569"/>
      <c r="M475" s="569"/>
      <c r="N475" s="569"/>
      <c r="O475" s="583"/>
      <c r="P475" s="573" t="s">
        <v>75</v>
      </c>
      <c r="Q475" s="574"/>
      <c r="R475" s="574"/>
      <c r="S475" s="574"/>
      <c r="T475" s="574"/>
      <c r="U475" s="574"/>
      <c r="V475" s="575"/>
      <c r="W475" s="37" t="s">
        <v>76</v>
      </c>
      <c r="X475" s="557">
        <f>IFERROR(X473/H473,"0")+IFERROR(X474/H474,"0")</f>
        <v>5.5555555555555554</v>
      </c>
      <c r="Y475" s="557">
        <f>IFERROR(Y473/H473,"0")+IFERROR(Y474/H474,"0")</f>
        <v>6.0000000000000009</v>
      </c>
      <c r="Z475" s="557">
        <f>IFERROR(IF(Z473="",0,Z473),"0")+IFERROR(IF(Z474="",0,Z474),"0")</f>
        <v>0.11388000000000001</v>
      </c>
      <c r="AA475" s="558"/>
      <c r="AB475" s="558"/>
      <c r="AC475" s="558"/>
    </row>
    <row r="476" spans="1:68" x14ac:dyDescent="0.2">
      <c r="A476" s="569"/>
      <c r="B476" s="569"/>
      <c r="C476" s="569"/>
      <c r="D476" s="569"/>
      <c r="E476" s="569"/>
      <c r="F476" s="569"/>
      <c r="G476" s="569"/>
      <c r="H476" s="569"/>
      <c r="I476" s="569"/>
      <c r="J476" s="569"/>
      <c r="K476" s="569"/>
      <c r="L476" s="569"/>
      <c r="M476" s="569"/>
      <c r="N476" s="569"/>
      <c r="O476" s="583"/>
      <c r="P476" s="573" t="s">
        <v>75</v>
      </c>
      <c r="Q476" s="574"/>
      <c r="R476" s="574"/>
      <c r="S476" s="574"/>
      <c r="T476" s="574"/>
      <c r="U476" s="574"/>
      <c r="V476" s="575"/>
      <c r="W476" s="37" t="s">
        <v>69</v>
      </c>
      <c r="X476" s="557">
        <f>IFERROR(SUM(X473:X474),"0")</f>
        <v>60</v>
      </c>
      <c r="Y476" s="557">
        <f>IFERROR(SUM(Y473:Y474),"0")</f>
        <v>64.800000000000011</v>
      </c>
      <c r="Z476" s="37"/>
      <c r="AA476" s="558"/>
      <c r="AB476" s="558"/>
      <c r="AC476" s="558"/>
    </row>
    <row r="477" spans="1:68" ht="14.25" customHeight="1" x14ac:dyDescent="0.25">
      <c r="A477" s="570" t="s">
        <v>64</v>
      </c>
      <c r="B477" s="569"/>
      <c r="C477" s="569"/>
      <c r="D477" s="569"/>
      <c r="E477" s="569"/>
      <c r="F477" s="569"/>
      <c r="G477" s="569"/>
      <c r="H477" s="569"/>
      <c r="I477" s="569"/>
      <c r="J477" s="569"/>
      <c r="K477" s="569"/>
      <c r="L477" s="569"/>
      <c r="M477" s="569"/>
      <c r="N477" s="569"/>
      <c r="O477" s="569"/>
      <c r="P477" s="569"/>
      <c r="Q477" s="569"/>
      <c r="R477" s="569"/>
      <c r="S477" s="569"/>
      <c r="T477" s="569"/>
      <c r="U477" s="569"/>
      <c r="V477" s="569"/>
      <c r="W477" s="569"/>
      <c r="X477" s="569"/>
      <c r="Y477" s="569"/>
      <c r="Z477" s="569"/>
      <c r="AA477" s="551"/>
      <c r="AB477" s="551"/>
      <c r="AC477" s="551"/>
    </row>
    <row r="478" spans="1:68" ht="27" customHeight="1" x14ac:dyDescent="0.25">
      <c r="A478" s="54" t="s">
        <v>740</v>
      </c>
      <c r="B478" s="54" t="s">
        <v>741</v>
      </c>
      <c r="C478" s="31">
        <v>4301031244</v>
      </c>
      <c r="D478" s="562">
        <v>4640242180595</v>
      </c>
      <c r="E478" s="563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82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0"/>
      <c r="R478" s="560"/>
      <c r="S478" s="560"/>
      <c r="T478" s="561"/>
      <c r="U478" s="34"/>
      <c r="V478" s="34"/>
      <c r="W478" s="35" t="s">
        <v>69</v>
      </c>
      <c r="X478" s="555">
        <v>38</v>
      </c>
      <c r="Y478" s="556">
        <f>IFERROR(IF(X478="",0,CEILING((X478/$H478),1)*$H478),"")</f>
        <v>42</v>
      </c>
      <c r="Z478" s="36">
        <f>IFERROR(IF(Y478=0,"",ROUNDUP(Y478/H478,0)*0.00902),"")</f>
        <v>9.0200000000000002E-2</v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40.261904761904759</v>
      </c>
      <c r="BN478" s="64">
        <f>IFERROR(Y478*I478/H478,"0")</f>
        <v>44.5</v>
      </c>
      <c r="BO478" s="64">
        <f>IFERROR(1/J478*(X478/H478),"0")</f>
        <v>6.8542568542568544E-2</v>
      </c>
      <c r="BP478" s="64">
        <f>IFERROR(1/J478*(Y478/H478),"0")</f>
        <v>7.575757575757576E-2</v>
      </c>
    </row>
    <row r="479" spans="1:68" ht="27" customHeight="1" x14ac:dyDescent="0.25">
      <c r="A479" s="54" t="s">
        <v>740</v>
      </c>
      <c r="B479" s="54" t="s">
        <v>743</v>
      </c>
      <c r="C479" s="31">
        <v>4301031467</v>
      </c>
      <c r="D479" s="562">
        <v>4640242180595</v>
      </c>
      <c r="E479" s="563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66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0"/>
      <c r="R479" s="560"/>
      <c r="S479" s="560"/>
      <c r="T479" s="561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82"/>
      <c r="B480" s="569"/>
      <c r="C480" s="569"/>
      <c r="D480" s="569"/>
      <c r="E480" s="569"/>
      <c r="F480" s="569"/>
      <c r="G480" s="569"/>
      <c r="H480" s="569"/>
      <c r="I480" s="569"/>
      <c r="J480" s="569"/>
      <c r="K480" s="569"/>
      <c r="L480" s="569"/>
      <c r="M480" s="569"/>
      <c r="N480" s="569"/>
      <c r="O480" s="583"/>
      <c r="P480" s="573" t="s">
        <v>75</v>
      </c>
      <c r="Q480" s="574"/>
      <c r="R480" s="574"/>
      <c r="S480" s="574"/>
      <c r="T480" s="574"/>
      <c r="U480" s="574"/>
      <c r="V480" s="575"/>
      <c r="W480" s="37" t="s">
        <v>76</v>
      </c>
      <c r="X480" s="557">
        <f>IFERROR(X478/H478,"0")+IFERROR(X479/H479,"0")</f>
        <v>9.0476190476190474</v>
      </c>
      <c r="Y480" s="557">
        <f>IFERROR(Y478/H478,"0")+IFERROR(Y479/H479,"0")</f>
        <v>10</v>
      </c>
      <c r="Z480" s="557">
        <f>IFERROR(IF(Z478="",0,Z478),"0")+IFERROR(IF(Z479="",0,Z479),"0")</f>
        <v>9.0200000000000002E-2</v>
      </c>
      <c r="AA480" s="558"/>
      <c r="AB480" s="558"/>
      <c r="AC480" s="558"/>
    </row>
    <row r="481" spans="1:68" x14ac:dyDescent="0.2">
      <c r="A481" s="569"/>
      <c r="B481" s="569"/>
      <c r="C481" s="569"/>
      <c r="D481" s="569"/>
      <c r="E481" s="569"/>
      <c r="F481" s="569"/>
      <c r="G481" s="569"/>
      <c r="H481" s="569"/>
      <c r="I481" s="569"/>
      <c r="J481" s="569"/>
      <c r="K481" s="569"/>
      <c r="L481" s="569"/>
      <c r="M481" s="569"/>
      <c r="N481" s="569"/>
      <c r="O481" s="583"/>
      <c r="P481" s="573" t="s">
        <v>75</v>
      </c>
      <c r="Q481" s="574"/>
      <c r="R481" s="574"/>
      <c r="S481" s="574"/>
      <c r="T481" s="574"/>
      <c r="U481" s="574"/>
      <c r="V481" s="575"/>
      <c r="W481" s="37" t="s">
        <v>69</v>
      </c>
      <c r="X481" s="557">
        <f>IFERROR(SUM(X478:X479),"0")</f>
        <v>38</v>
      </c>
      <c r="Y481" s="557">
        <f>IFERROR(SUM(Y478:Y479),"0")</f>
        <v>42</v>
      </c>
      <c r="Z481" s="37"/>
      <c r="AA481" s="558"/>
      <c r="AB481" s="558"/>
      <c r="AC481" s="558"/>
    </row>
    <row r="482" spans="1:68" ht="14.25" customHeight="1" x14ac:dyDescent="0.25">
      <c r="A482" s="570" t="s">
        <v>77</v>
      </c>
      <c r="B482" s="569"/>
      <c r="C482" s="569"/>
      <c r="D482" s="569"/>
      <c r="E482" s="569"/>
      <c r="F482" s="569"/>
      <c r="G482" s="569"/>
      <c r="H482" s="569"/>
      <c r="I482" s="569"/>
      <c r="J482" s="569"/>
      <c r="K482" s="569"/>
      <c r="L482" s="569"/>
      <c r="M482" s="569"/>
      <c r="N482" s="569"/>
      <c r="O482" s="569"/>
      <c r="P482" s="569"/>
      <c r="Q482" s="569"/>
      <c r="R482" s="569"/>
      <c r="S482" s="569"/>
      <c r="T482" s="569"/>
      <c r="U482" s="569"/>
      <c r="V482" s="569"/>
      <c r="W482" s="569"/>
      <c r="X482" s="569"/>
      <c r="Y482" s="569"/>
      <c r="Z482" s="569"/>
      <c r="AA482" s="551"/>
      <c r="AB482" s="551"/>
      <c r="AC482" s="551"/>
    </row>
    <row r="483" spans="1:68" ht="27" customHeight="1" x14ac:dyDescent="0.25">
      <c r="A483" s="54" t="s">
        <v>745</v>
      </c>
      <c r="B483" s="54" t="s">
        <v>746</v>
      </c>
      <c r="C483" s="31">
        <v>4301052046</v>
      </c>
      <c r="D483" s="562">
        <v>4640242180533</v>
      </c>
      <c r="E483" s="563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8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0"/>
      <c r="R483" s="560"/>
      <c r="S483" s="560"/>
      <c r="T483" s="561"/>
      <c r="U483" s="34"/>
      <c r="V483" s="34"/>
      <c r="W483" s="35" t="s">
        <v>69</v>
      </c>
      <c r="X483" s="555">
        <v>30</v>
      </c>
      <c r="Y483" s="556">
        <f>IFERROR(IF(X483="",0,CEILING((X483/$H483),1)*$H483),"")</f>
        <v>36</v>
      </c>
      <c r="Z483" s="36">
        <f>IFERROR(IF(Y483=0,"",ROUNDUP(Y483/H483,0)*0.01898),"")</f>
        <v>7.5920000000000001E-2</v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31.646666666666665</v>
      </c>
      <c r="BN483" s="64">
        <f>IFERROR(Y483*I483/H483,"0")</f>
        <v>37.975999999999999</v>
      </c>
      <c r="BO483" s="64">
        <f>IFERROR(1/J483*(X483/H483),"0")</f>
        <v>5.2083333333333336E-2</v>
      </c>
      <c r="BP483" s="64">
        <f>IFERROR(1/J483*(Y483/H483),"0")</f>
        <v>6.25E-2</v>
      </c>
    </row>
    <row r="484" spans="1:68" x14ac:dyDescent="0.2">
      <c r="A484" s="582"/>
      <c r="B484" s="569"/>
      <c r="C484" s="569"/>
      <c r="D484" s="569"/>
      <c r="E484" s="569"/>
      <c r="F484" s="569"/>
      <c r="G484" s="569"/>
      <c r="H484" s="569"/>
      <c r="I484" s="569"/>
      <c r="J484" s="569"/>
      <c r="K484" s="569"/>
      <c r="L484" s="569"/>
      <c r="M484" s="569"/>
      <c r="N484" s="569"/>
      <c r="O484" s="583"/>
      <c r="P484" s="573" t="s">
        <v>75</v>
      </c>
      <c r="Q484" s="574"/>
      <c r="R484" s="574"/>
      <c r="S484" s="574"/>
      <c r="T484" s="574"/>
      <c r="U484" s="574"/>
      <c r="V484" s="575"/>
      <c r="W484" s="37" t="s">
        <v>76</v>
      </c>
      <c r="X484" s="557">
        <f>IFERROR(X483/H483,"0")</f>
        <v>3.3333333333333335</v>
      </c>
      <c r="Y484" s="557">
        <f>IFERROR(Y483/H483,"0")</f>
        <v>4</v>
      </c>
      <c r="Z484" s="557">
        <f>IFERROR(IF(Z483="",0,Z483),"0")</f>
        <v>7.5920000000000001E-2</v>
      </c>
      <c r="AA484" s="558"/>
      <c r="AB484" s="558"/>
      <c r="AC484" s="558"/>
    </row>
    <row r="485" spans="1:68" x14ac:dyDescent="0.2">
      <c r="A485" s="569"/>
      <c r="B485" s="569"/>
      <c r="C485" s="569"/>
      <c r="D485" s="569"/>
      <c r="E485" s="569"/>
      <c r="F485" s="569"/>
      <c r="G485" s="569"/>
      <c r="H485" s="569"/>
      <c r="I485" s="569"/>
      <c r="J485" s="569"/>
      <c r="K485" s="569"/>
      <c r="L485" s="569"/>
      <c r="M485" s="569"/>
      <c r="N485" s="569"/>
      <c r="O485" s="583"/>
      <c r="P485" s="573" t="s">
        <v>75</v>
      </c>
      <c r="Q485" s="574"/>
      <c r="R485" s="574"/>
      <c r="S485" s="574"/>
      <c r="T485" s="574"/>
      <c r="U485" s="574"/>
      <c r="V485" s="575"/>
      <c r="W485" s="37" t="s">
        <v>69</v>
      </c>
      <c r="X485" s="557">
        <f>IFERROR(SUM(X483:X483),"0")</f>
        <v>30</v>
      </c>
      <c r="Y485" s="557">
        <f>IFERROR(SUM(Y483:Y483),"0")</f>
        <v>36</v>
      </c>
      <c r="Z485" s="37"/>
      <c r="AA485" s="558"/>
      <c r="AB485" s="558"/>
      <c r="AC485" s="558"/>
    </row>
    <row r="486" spans="1:68" ht="14.25" customHeight="1" x14ac:dyDescent="0.25">
      <c r="A486" s="570" t="s">
        <v>163</v>
      </c>
      <c r="B486" s="569"/>
      <c r="C486" s="569"/>
      <c r="D486" s="569"/>
      <c r="E486" s="569"/>
      <c r="F486" s="569"/>
      <c r="G486" s="569"/>
      <c r="H486" s="569"/>
      <c r="I486" s="569"/>
      <c r="J486" s="569"/>
      <c r="K486" s="569"/>
      <c r="L486" s="569"/>
      <c r="M486" s="569"/>
      <c r="N486" s="569"/>
      <c r="O486" s="569"/>
      <c r="P486" s="569"/>
      <c r="Q486" s="569"/>
      <c r="R486" s="569"/>
      <c r="S486" s="569"/>
      <c r="T486" s="569"/>
      <c r="U486" s="569"/>
      <c r="V486" s="569"/>
      <c r="W486" s="569"/>
      <c r="X486" s="569"/>
      <c r="Y486" s="569"/>
      <c r="Z486" s="569"/>
      <c r="AA486" s="551"/>
      <c r="AB486" s="551"/>
      <c r="AC486" s="551"/>
    </row>
    <row r="487" spans="1:68" ht="27" customHeight="1" x14ac:dyDescent="0.25">
      <c r="A487" s="54" t="s">
        <v>748</v>
      </c>
      <c r="B487" s="54" t="s">
        <v>749</v>
      </c>
      <c r="C487" s="31">
        <v>4301060491</v>
      </c>
      <c r="D487" s="562">
        <v>4640242180120</v>
      </c>
      <c r="E487" s="563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0"/>
      <c r="R487" s="560"/>
      <c r="S487" s="560"/>
      <c r="T487" s="561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751</v>
      </c>
      <c r="B488" s="54" t="s">
        <v>752</v>
      </c>
      <c r="C488" s="31">
        <v>4301060493</v>
      </c>
      <c r="D488" s="562">
        <v>4640242180137</v>
      </c>
      <c r="E488" s="563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81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0"/>
      <c r="R488" s="560"/>
      <c r="S488" s="560"/>
      <c r="T488" s="561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82"/>
      <c r="B489" s="569"/>
      <c r="C489" s="569"/>
      <c r="D489" s="569"/>
      <c r="E489" s="569"/>
      <c r="F489" s="569"/>
      <c r="G489" s="569"/>
      <c r="H489" s="569"/>
      <c r="I489" s="569"/>
      <c r="J489" s="569"/>
      <c r="K489" s="569"/>
      <c r="L489" s="569"/>
      <c r="M489" s="569"/>
      <c r="N489" s="569"/>
      <c r="O489" s="583"/>
      <c r="P489" s="573" t="s">
        <v>75</v>
      </c>
      <c r="Q489" s="574"/>
      <c r="R489" s="574"/>
      <c r="S489" s="574"/>
      <c r="T489" s="574"/>
      <c r="U489" s="574"/>
      <c r="V489" s="575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x14ac:dyDescent="0.2">
      <c r="A490" s="569"/>
      <c r="B490" s="569"/>
      <c r="C490" s="569"/>
      <c r="D490" s="569"/>
      <c r="E490" s="569"/>
      <c r="F490" s="569"/>
      <c r="G490" s="569"/>
      <c r="H490" s="569"/>
      <c r="I490" s="569"/>
      <c r="J490" s="569"/>
      <c r="K490" s="569"/>
      <c r="L490" s="569"/>
      <c r="M490" s="569"/>
      <c r="N490" s="569"/>
      <c r="O490" s="583"/>
      <c r="P490" s="573" t="s">
        <v>75</v>
      </c>
      <c r="Q490" s="574"/>
      <c r="R490" s="574"/>
      <c r="S490" s="574"/>
      <c r="T490" s="574"/>
      <c r="U490" s="574"/>
      <c r="V490" s="575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customHeight="1" x14ac:dyDescent="0.25">
      <c r="A491" s="568" t="s">
        <v>754</v>
      </c>
      <c r="B491" s="569"/>
      <c r="C491" s="569"/>
      <c r="D491" s="569"/>
      <c r="E491" s="569"/>
      <c r="F491" s="569"/>
      <c r="G491" s="569"/>
      <c r="H491" s="569"/>
      <c r="I491" s="569"/>
      <c r="J491" s="569"/>
      <c r="K491" s="569"/>
      <c r="L491" s="569"/>
      <c r="M491" s="569"/>
      <c r="N491" s="569"/>
      <c r="O491" s="569"/>
      <c r="P491" s="569"/>
      <c r="Q491" s="569"/>
      <c r="R491" s="569"/>
      <c r="S491" s="569"/>
      <c r="T491" s="569"/>
      <c r="U491" s="569"/>
      <c r="V491" s="569"/>
      <c r="W491" s="569"/>
      <c r="X491" s="569"/>
      <c r="Y491" s="569"/>
      <c r="Z491" s="569"/>
      <c r="AA491" s="550"/>
      <c r="AB491" s="550"/>
      <c r="AC491" s="550"/>
    </row>
    <row r="492" spans="1:68" ht="14.25" customHeight="1" x14ac:dyDescent="0.25">
      <c r="A492" s="570" t="s">
        <v>138</v>
      </c>
      <c r="B492" s="569"/>
      <c r="C492" s="569"/>
      <c r="D492" s="569"/>
      <c r="E492" s="569"/>
      <c r="F492" s="569"/>
      <c r="G492" s="569"/>
      <c r="H492" s="569"/>
      <c r="I492" s="569"/>
      <c r="J492" s="569"/>
      <c r="K492" s="569"/>
      <c r="L492" s="569"/>
      <c r="M492" s="569"/>
      <c r="N492" s="569"/>
      <c r="O492" s="569"/>
      <c r="P492" s="569"/>
      <c r="Q492" s="569"/>
      <c r="R492" s="569"/>
      <c r="S492" s="569"/>
      <c r="T492" s="569"/>
      <c r="U492" s="569"/>
      <c r="V492" s="569"/>
      <c r="W492" s="569"/>
      <c r="X492" s="569"/>
      <c r="Y492" s="569"/>
      <c r="Z492" s="569"/>
      <c r="AA492" s="551"/>
      <c r="AB492" s="551"/>
      <c r="AC492" s="551"/>
    </row>
    <row r="493" spans="1:68" ht="27" customHeight="1" x14ac:dyDescent="0.25">
      <c r="A493" s="54" t="s">
        <v>755</v>
      </c>
      <c r="B493" s="54" t="s">
        <v>756</v>
      </c>
      <c r="C493" s="31">
        <v>4301020314</v>
      </c>
      <c r="D493" s="562">
        <v>4640242180090</v>
      </c>
      <c r="E493" s="563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6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0"/>
      <c r="R493" s="560"/>
      <c r="S493" s="560"/>
      <c r="T493" s="561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582"/>
      <c r="B494" s="569"/>
      <c r="C494" s="569"/>
      <c r="D494" s="569"/>
      <c r="E494" s="569"/>
      <c r="F494" s="569"/>
      <c r="G494" s="569"/>
      <c r="H494" s="569"/>
      <c r="I494" s="569"/>
      <c r="J494" s="569"/>
      <c r="K494" s="569"/>
      <c r="L494" s="569"/>
      <c r="M494" s="569"/>
      <c r="N494" s="569"/>
      <c r="O494" s="583"/>
      <c r="P494" s="573" t="s">
        <v>75</v>
      </c>
      <c r="Q494" s="574"/>
      <c r="R494" s="574"/>
      <c r="S494" s="574"/>
      <c r="T494" s="574"/>
      <c r="U494" s="574"/>
      <c r="V494" s="575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x14ac:dyDescent="0.2">
      <c r="A495" s="569"/>
      <c r="B495" s="569"/>
      <c r="C495" s="569"/>
      <c r="D495" s="569"/>
      <c r="E495" s="569"/>
      <c r="F495" s="569"/>
      <c r="G495" s="569"/>
      <c r="H495" s="569"/>
      <c r="I495" s="569"/>
      <c r="J495" s="569"/>
      <c r="K495" s="569"/>
      <c r="L495" s="569"/>
      <c r="M495" s="569"/>
      <c r="N495" s="569"/>
      <c r="O495" s="583"/>
      <c r="P495" s="573" t="s">
        <v>75</v>
      </c>
      <c r="Q495" s="574"/>
      <c r="R495" s="574"/>
      <c r="S495" s="574"/>
      <c r="T495" s="574"/>
      <c r="U495" s="574"/>
      <c r="V495" s="575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854"/>
      <c r="B496" s="569"/>
      <c r="C496" s="569"/>
      <c r="D496" s="569"/>
      <c r="E496" s="569"/>
      <c r="F496" s="569"/>
      <c r="G496" s="569"/>
      <c r="H496" s="569"/>
      <c r="I496" s="569"/>
      <c r="J496" s="569"/>
      <c r="K496" s="569"/>
      <c r="L496" s="569"/>
      <c r="M496" s="569"/>
      <c r="N496" s="569"/>
      <c r="O496" s="734"/>
      <c r="P496" s="721" t="s">
        <v>758</v>
      </c>
      <c r="Q496" s="679"/>
      <c r="R496" s="679"/>
      <c r="S496" s="679"/>
      <c r="T496" s="679"/>
      <c r="U496" s="679"/>
      <c r="V496" s="680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11646.95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11804.050000000001</v>
      </c>
      <c r="Z496" s="37"/>
      <c r="AA496" s="558"/>
      <c r="AB496" s="558"/>
      <c r="AC496" s="558"/>
    </row>
    <row r="497" spans="1:32" x14ac:dyDescent="0.2">
      <c r="A497" s="569"/>
      <c r="B497" s="569"/>
      <c r="C497" s="569"/>
      <c r="D497" s="569"/>
      <c r="E497" s="569"/>
      <c r="F497" s="569"/>
      <c r="G497" s="569"/>
      <c r="H497" s="569"/>
      <c r="I497" s="569"/>
      <c r="J497" s="569"/>
      <c r="K497" s="569"/>
      <c r="L497" s="569"/>
      <c r="M497" s="569"/>
      <c r="N497" s="569"/>
      <c r="O497" s="734"/>
      <c r="P497" s="721" t="s">
        <v>759</v>
      </c>
      <c r="Q497" s="679"/>
      <c r="R497" s="679"/>
      <c r="S497" s="679"/>
      <c r="T497" s="679"/>
      <c r="U497" s="679"/>
      <c r="V497" s="680"/>
      <c r="W497" s="37" t="s">
        <v>69</v>
      </c>
      <c r="X497" s="557">
        <f>IFERROR(SUM(BM22:BM493),"0")</f>
        <v>12203.911295051865</v>
      </c>
      <c r="Y497" s="557">
        <f>IFERROR(SUM(BN22:BN493),"0")</f>
        <v>12369.120000000003</v>
      </c>
      <c r="Z497" s="37"/>
      <c r="AA497" s="558"/>
      <c r="AB497" s="558"/>
      <c r="AC497" s="558"/>
    </row>
    <row r="498" spans="1:32" x14ac:dyDescent="0.2">
      <c r="A498" s="569"/>
      <c r="B498" s="569"/>
      <c r="C498" s="569"/>
      <c r="D498" s="569"/>
      <c r="E498" s="569"/>
      <c r="F498" s="569"/>
      <c r="G498" s="569"/>
      <c r="H498" s="569"/>
      <c r="I498" s="569"/>
      <c r="J498" s="569"/>
      <c r="K498" s="569"/>
      <c r="L498" s="569"/>
      <c r="M498" s="569"/>
      <c r="N498" s="569"/>
      <c r="O498" s="734"/>
      <c r="P498" s="721" t="s">
        <v>760</v>
      </c>
      <c r="Q498" s="679"/>
      <c r="R498" s="679"/>
      <c r="S498" s="679"/>
      <c r="T498" s="679"/>
      <c r="U498" s="679"/>
      <c r="V498" s="680"/>
      <c r="W498" s="37" t="s">
        <v>761</v>
      </c>
      <c r="X498" s="38">
        <f>ROUNDUP(SUM(BO22:BO493),0)</f>
        <v>20</v>
      </c>
      <c r="Y498" s="38">
        <f>ROUNDUP(SUM(BP22:BP493),0)</f>
        <v>20</v>
      </c>
      <c r="Z498" s="37"/>
      <c r="AA498" s="558"/>
      <c r="AB498" s="558"/>
      <c r="AC498" s="558"/>
    </row>
    <row r="499" spans="1:32" x14ac:dyDescent="0.2">
      <c r="A499" s="569"/>
      <c r="B499" s="569"/>
      <c r="C499" s="569"/>
      <c r="D499" s="569"/>
      <c r="E499" s="569"/>
      <c r="F499" s="569"/>
      <c r="G499" s="569"/>
      <c r="H499" s="569"/>
      <c r="I499" s="569"/>
      <c r="J499" s="569"/>
      <c r="K499" s="569"/>
      <c r="L499" s="569"/>
      <c r="M499" s="569"/>
      <c r="N499" s="569"/>
      <c r="O499" s="734"/>
      <c r="P499" s="721" t="s">
        <v>762</v>
      </c>
      <c r="Q499" s="679"/>
      <c r="R499" s="679"/>
      <c r="S499" s="679"/>
      <c r="T499" s="679"/>
      <c r="U499" s="679"/>
      <c r="V499" s="680"/>
      <c r="W499" s="37" t="s">
        <v>69</v>
      </c>
      <c r="X499" s="557">
        <f>GrossWeightTotal+PalletQtyTotal*25</f>
        <v>12703.911295051865</v>
      </c>
      <c r="Y499" s="557">
        <f>GrossWeightTotalR+PalletQtyTotalR*25</f>
        <v>12869.120000000003</v>
      </c>
      <c r="Z499" s="37"/>
      <c r="AA499" s="558"/>
      <c r="AB499" s="558"/>
      <c r="AC499" s="558"/>
    </row>
    <row r="500" spans="1:32" x14ac:dyDescent="0.2">
      <c r="A500" s="569"/>
      <c r="B500" s="569"/>
      <c r="C500" s="569"/>
      <c r="D500" s="569"/>
      <c r="E500" s="569"/>
      <c r="F500" s="569"/>
      <c r="G500" s="569"/>
      <c r="H500" s="569"/>
      <c r="I500" s="569"/>
      <c r="J500" s="569"/>
      <c r="K500" s="569"/>
      <c r="L500" s="569"/>
      <c r="M500" s="569"/>
      <c r="N500" s="569"/>
      <c r="O500" s="734"/>
      <c r="P500" s="721" t="s">
        <v>763</v>
      </c>
      <c r="Q500" s="679"/>
      <c r="R500" s="679"/>
      <c r="S500" s="679"/>
      <c r="T500" s="679"/>
      <c r="U500" s="679"/>
      <c r="V500" s="680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1394.5493639076969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1417</v>
      </c>
      <c r="Z500" s="37"/>
      <c r="AA500" s="558"/>
      <c r="AB500" s="558"/>
      <c r="AC500" s="558"/>
    </row>
    <row r="501" spans="1:32" ht="14.25" customHeight="1" x14ac:dyDescent="0.2">
      <c r="A501" s="569"/>
      <c r="B501" s="569"/>
      <c r="C501" s="569"/>
      <c r="D501" s="569"/>
      <c r="E501" s="569"/>
      <c r="F501" s="569"/>
      <c r="G501" s="569"/>
      <c r="H501" s="569"/>
      <c r="I501" s="569"/>
      <c r="J501" s="569"/>
      <c r="K501" s="569"/>
      <c r="L501" s="569"/>
      <c r="M501" s="569"/>
      <c r="N501" s="569"/>
      <c r="O501" s="734"/>
      <c r="P501" s="721" t="s">
        <v>764</v>
      </c>
      <c r="Q501" s="679"/>
      <c r="R501" s="679"/>
      <c r="S501" s="679"/>
      <c r="T501" s="679"/>
      <c r="U501" s="679"/>
      <c r="V501" s="680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23.221900000000002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601" t="s">
        <v>101</v>
      </c>
      <c r="D503" s="797"/>
      <c r="E503" s="797"/>
      <c r="F503" s="797"/>
      <c r="G503" s="797"/>
      <c r="H503" s="798"/>
      <c r="I503" s="601" t="s">
        <v>268</v>
      </c>
      <c r="J503" s="797"/>
      <c r="K503" s="797"/>
      <c r="L503" s="797"/>
      <c r="M503" s="797"/>
      <c r="N503" s="797"/>
      <c r="O503" s="797"/>
      <c r="P503" s="797"/>
      <c r="Q503" s="797"/>
      <c r="R503" s="798"/>
      <c r="S503" s="601" t="s">
        <v>562</v>
      </c>
      <c r="T503" s="798"/>
      <c r="U503" s="601" t="s">
        <v>616</v>
      </c>
      <c r="V503" s="797"/>
      <c r="W503" s="798"/>
      <c r="X503" s="552" t="s">
        <v>667</v>
      </c>
      <c r="Y503" s="601" t="s">
        <v>722</v>
      </c>
      <c r="Z503" s="798"/>
      <c r="AB503" s="52"/>
      <c r="AC503" s="52"/>
      <c r="AF503" s="553"/>
    </row>
    <row r="504" spans="1:32" ht="14.25" customHeight="1" thickTop="1" x14ac:dyDescent="0.2">
      <c r="A504" s="761" t="s">
        <v>767</v>
      </c>
      <c r="B504" s="601" t="s">
        <v>63</v>
      </c>
      <c r="C504" s="601" t="s">
        <v>102</v>
      </c>
      <c r="D504" s="601" t="s">
        <v>119</v>
      </c>
      <c r="E504" s="601" t="s">
        <v>170</v>
      </c>
      <c r="F504" s="601" t="s">
        <v>192</v>
      </c>
      <c r="G504" s="601" t="s">
        <v>229</v>
      </c>
      <c r="H504" s="601" t="s">
        <v>101</v>
      </c>
      <c r="I504" s="601" t="s">
        <v>269</v>
      </c>
      <c r="J504" s="601" t="s">
        <v>327</v>
      </c>
      <c r="K504" s="601" t="s">
        <v>387</v>
      </c>
      <c r="L504" s="601" t="s">
        <v>428</v>
      </c>
      <c r="M504" s="601" t="s">
        <v>444</v>
      </c>
      <c r="N504" s="553"/>
      <c r="O504" s="601" t="s">
        <v>455</v>
      </c>
      <c r="P504" s="601" t="s">
        <v>464</v>
      </c>
      <c r="Q504" s="601" t="s">
        <v>477</v>
      </c>
      <c r="R504" s="601" t="s">
        <v>552</v>
      </c>
      <c r="S504" s="601" t="s">
        <v>563</v>
      </c>
      <c r="T504" s="601" t="s">
        <v>598</v>
      </c>
      <c r="U504" s="601" t="s">
        <v>617</v>
      </c>
      <c r="V504" s="601" t="s">
        <v>648</v>
      </c>
      <c r="W504" s="601" t="s">
        <v>663</v>
      </c>
      <c r="X504" s="601" t="s">
        <v>667</v>
      </c>
      <c r="Y504" s="601" t="s">
        <v>722</v>
      </c>
      <c r="Z504" s="601" t="s">
        <v>754</v>
      </c>
      <c r="AB504" s="52"/>
      <c r="AC504" s="52"/>
      <c r="AF504" s="553"/>
    </row>
    <row r="505" spans="1:32" ht="13.5" customHeight="1" thickBot="1" x14ac:dyDescent="0.25">
      <c r="A505" s="762"/>
      <c r="B505" s="602"/>
      <c r="C505" s="602"/>
      <c r="D505" s="602"/>
      <c r="E505" s="602"/>
      <c r="F505" s="602"/>
      <c r="G505" s="602"/>
      <c r="H505" s="602"/>
      <c r="I505" s="602"/>
      <c r="J505" s="602"/>
      <c r="K505" s="602"/>
      <c r="L505" s="602"/>
      <c r="M505" s="602"/>
      <c r="N505" s="553"/>
      <c r="O505" s="602"/>
      <c r="P505" s="602"/>
      <c r="Q505" s="602"/>
      <c r="R505" s="602"/>
      <c r="S505" s="602"/>
      <c r="T505" s="602"/>
      <c r="U505" s="602"/>
      <c r="V505" s="602"/>
      <c r="W505" s="602"/>
      <c r="X505" s="602"/>
      <c r="Y505" s="602"/>
      <c r="Z505" s="602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114.4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1345.5000000000002</v>
      </c>
      <c r="E506" s="46">
        <f>IFERROR(Y85*1,"0")+IFERROR(Y86*1,"0")+IFERROR(Y87*1,"0")+IFERROR(Y88*1,"0")+IFERROR(Y92*1,"0")+IFERROR(Y93*1,"0")+IFERROR(Y94*1,"0")+IFERROR(Y95*1,"0")</f>
        <v>342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84.75</v>
      </c>
      <c r="G506" s="46">
        <f>IFERROR(Y127*1,"0")+IFERROR(Y128*1,"0")+IFERROR(Y132*1,"0")+IFERROR(Y133*1,"0")+IFERROR(Y137*1,"0")+IFERROR(Y138*1,"0")</f>
        <v>24.4</v>
      </c>
      <c r="H506" s="46">
        <f>IFERROR(Y143*1,"0")+IFERROR(Y144*1,"0")+IFERROR(Y148*1,"0")+IFERROR(Y149*1,"0")+IFERROR(Y150*1,"0")+IFERROR(Y151*1,"0")+IFERROR(Y152*1,"0")+IFERROR(Y153*1,"0")+IFERROR(Y157*1,"0")</f>
        <v>63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4.2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66.599999999999994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46">
        <f>IFERROR(Y263*1,"0")+IFERROR(Y264*1,"0")+IFERROR(Y265*1,"0")+IFERROR(Y266*1,"0")+IFERROR(Y267*1,"0")</f>
        <v>369.6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0</v>
      </c>
      <c r="P506" s="46">
        <f>IFERROR(Y287*1,"0")+IFERROR(Y288*1,"0")+IFERROR(Y292*1,"0")+IFERROR(Y293*1,"0")</f>
        <v>0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5604.6000000000013</v>
      </c>
      <c r="R506" s="46">
        <f>IFERROR(Y343*1,"0")+IFERROR(Y344*1,"0")+IFERROR(Y345*1,"0")</f>
        <v>137.1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3275</v>
      </c>
      <c r="T506" s="46">
        <f>IFERROR(Y376*1,"0")+IFERROR(Y377*1,"0")+IFERROR(Y381*1,"0")+IFERROR(Y382*1,"0")+IFERROR(Y386*1,"0")+IFERROR(Y387*1,"0")+IFERROR(Y388*1,"0")</f>
        <v>0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14.700000000000001</v>
      </c>
      <c r="V506" s="46">
        <f>IFERROR(Y412*1,"0")+IFERROR(Y416*1,"0")+IFERROR(Y417*1,"0")+IFERROR(Y418*1,"0")+IFERROR(Y419*1,"0")</f>
        <v>4.2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211.20000000000002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142.80000000000001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8"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P443:V443"/>
    <mergeCell ref="D133:E133"/>
    <mergeCell ref="A262:Z262"/>
    <mergeCell ref="D54:E54"/>
    <mergeCell ref="P283:V283"/>
    <mergeCell ref="D483:E483"/>
    <mergeCell ref="V12:W12"/>
    <mergeCell ref="P319:T319"/>
    <mergeCell ref="D433:E433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P494:V494"/>
    <mergeCell ref="P430:T430"/>
    <mergeCell ref="A297:Z297"/>
    <mergeCell ref="P481:V481"/>
    <mergeCell ref="P417:T417"/>
    <mergeCell ref="P102:T102"/>
    <mergeCell ref="P196:T196"/>
    <mergeCell ref="D177:E177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A131:Z131"/>
    <mergeCell ref="D110:E110"/>
    <mergeCell ref="P478:T478"/>
    <mergeCell ref="D150:E150"/>
    <mergeCell ref="P129:V129"/>
    <mergeCell ref="P101:T101"/>
    <mergeCell ref="D386:E386"/>
    <mergeCell ref="A233:Z233"/>
    <mergeCell ref="A339:O340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P27:T27"/>
    <mergeCell ref="P325:T325"/>
    <mergeCell ref="D75:E75"/>
    <mergeCell ref="P247:V247"/>
    <mergeCell ref="D206:E206"/>
    <mergeCell ref="A66:Z66"/>
    <mergeCell ref="D298:E298"/>
    <mergeCell ref="P404:V404"/>
    <mergeCell ref="A457:O458"/>
    <mergeCell ref="D273:E273"/>
    <mergeCell ref="P252:V252"/>
    <mergeCell ref="A378:O379"/>
    <mergeCell ref="P105:V105"/>
    <mergeCell ref="A160:Z160"/>
    <mergeCell ref="A141:Z141"/>
    <mergeCell ref="P212:T212"/>
    <mergeCell ref="A296:Z296"/>
    <mergeCell ref="D288:E288"/>
    <mergeCell ref="P123:V123"/>
    <mergeCell ref="P421:V421"/>
    <mergeCell ref="A271:Z271"/>
    <mergeCell ref="P190:T190"/>
    <mergeCell ref="D434:E434"/>
    <mergeCell ref="P282:T282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P461:V461"/>
    <mergeCell ref="P324:T324"/>
    <mergeCell ref="P153:T153"/>
    <mergeCell ref="A261:Z261"/>
    <mergeCell ref="A350:Z350"/>
    <mergeCell ref="P313:V313"/>
    <mergeCell ref="P373:V373"/>
    <mergeCell ref="P202:V202"/>
    <mergeCell ref="P58:V58"/>
    <mergeCell ref="P111:T111"/>
    <mergeCell ref="P61:T61"/>
    <mergeCell ref="A105:O106"/>
    <mergeCell ref="A243:O244"/>
    <mergeCell ref="D149:E149"/>
    <mergeCell ref="D447:E447"/>
    <mergeCell ref="P426:V426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P449:V449"/>
    <mergeCell ref="D201:E201"/>
    <mergeCell ref="D68:E68"/>
    <mergeCell ref="D424:E424"/>
    <mergeCell ref="P224:T224"/>
    <mergeCell ref="P211:T211"/>
    <mergeCell ref="D399:E399"/>
    <mergeCell ref="D132:E132"/>
    <mergeCell ref="P309:T309"/>
    <mergeCell ref="D178:E178"/>
    <mergeCell ref="P225:V225"/>
    <mergeCell ref="D172:E172"/>
    <mergeCell ref="P88:T88"/>
    <mergeCell ref="A191:O192"/>
    <mergeCell ref="P284:V284"/>
    <mergeCell ref="T5:U5"/>
    <mergeCell ref="D190:E190"/>
    <mergeCell ref="D246:E246"/>
    <mergeCell ref="V5:W5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D111:E111"/>
    <mergeCell ref="Q8:R8"/>
    <mergeCell ref="P311:T311"/>
    <mergeCell ref="P438:T438"/>
    <mergeCell ref="P267:T267"/>
    <mergeCell ref="D419:E419"/>
    <mergeCell ref="D219:E219"/>
    <mergeCell ref="D275:E275"/>
    <mergeCell ref="D104:E104"/>
    <mergeCell ref="T6:U9"/>
    <mergeCell ref="Q10:R10"/>
    <mergeCell ref="P368:V368"/>
    <mergeCell ref="A12:M12"/>
    <mergeCell ref="D487:E487"/>
    <mergeCell ref="A411:Z411"/>
    <mergeCell ref="D343:E343"/>
    <mergeCell ref="A482:Z482"/>
    <mergeCell ref="P397:T397"/>
    <mergeCell ref="P74:T74"/>
    <mergeCell ref="P243:V243"/>
    <mergeCell ref="A19:Z19"/>
    <mergeCell ref="P310:T310"/>
    <mergeCell ref="D280:E280"/>
    <mergeCell ref="P163:T163"/>
    <mergeCell ref="D109:E109"/>
    <mergeCell ref="A14:M14"/>
    <mergeCell ref="D467:E467"/>
    <mergeCell ref="P424:T424"/>
    <mergeCell ref="D345:E345"/>
    <mergeCell ref="P138:T138"/>
    <mergeCell ref="D185:E185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15:T16"/>
    <mergeCell ref="D116:E116"/>
    <mergeCell ref="D352:E352"/>
    <mergeCell ref="P419:T419"/>
    <mergeCell ref="P219:T219"/>
    <mergeCell ref="P23:T23"/>
    <mergeCell ref="A335:Z335"/>
    <mergeCell ref="P272:T272"/>
    <mergeCell ref="D460:E460"/>
    <mergeCell ref="P210:T210"/>
    <mergeCell ref="D398:E398"/>
    <mergeCell ref="D454:E454"/>
    <mergeCell ref="A69:O70"/>
    <mergeCell ref="P308:T308"/>
    <mergeCell ref="P185:T185"/>
    <mergeCell ref="D416:E416"/>
    <mergeCell ref="D264:E264"/>
    <mergeCell ref="D93:E93"/>
    <mergeCell ref="D220:E220"/>
    <mergeCell ref="P497:V497"/>
    <mergeCell ref="A322:Z322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M504:M505"/>
    <mergeCell ref="Q9:R9"/>
    <mergeCell ref="A393:Z393"/>
    <mergeCell ref="P312:T312"/>
    <mergeCell ref="D451:E451"/>
    <mergeCell ref="D255:E255"/>
    <mergeCell ref="P49:V49"/>
    <mergeCell ref="P36:V36"/>
    <mergeCell ref="Q11:R11"/>
    <mergeCell ref="P376:T376"/>
    <mergeCell ref="P205:T205"/>
    <mergeCell ref="D453:E453"/>
    <mergeCell ref="A459:Z459"/>
    <mergeCell ref="A470:O471"/>
    <mergeCell ref="P467:T467"/>
    <mergeCell ref="P489:V489"/>
    <mergeCell ref="P469:T469"/>
    <mergeCell ref="P493:T493"/>
    <mergeCell ref="D466:E466"/>
    <mergeCell ref="D180:E180"/>
    <mergeCell ref="P137:T137"/>
    <mergeCell ref="D118:E118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P490:V490"/>
    <mergeCell ref="P479:T479"/>
    <mergeCell ref="D400:E400"/>
    <mergeCell ref="D229:E229"/>
    <mergeCell ref="A403:O404"/>
    <mergeCell ref="D108:E108"/>
    <mergeCell ref="P258:T258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A46:Z46"/>
    <mergeCell ref="D67:E67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P266:T266"/>
    <mergeCell ref="P95:T95"/>
    <mergeCell ref="A461:O462"/>
    <mergeCell ref="P331:T331"/>
    <mergeCell ref="P182:V182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A291:Z291"/>
    <mergeCell ref="D479:E479"/>
    <mergeCell ref="P248:V248"/>
    <mergeCell ref="D258:E258"/>
    <mergeCell ref="A60:Z60"/>
    <mergeCell ref="P56:T56"/>
    <mergeCell ref="D195:E195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W17:W18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  <mergeCell ref="P221:T221"/>
    <mergeCell ref="P79:T79"/>
    <mergeCell ref="D473:E473"/>
    <mergeCell ref="P73:T73"/>
    <mergeCell ref="P437:T437"/>
    <mergeCell ref="P144:T144"/>
    <mergeCell ref="P302:T302"/>
    <mergeCell ref="D174:E174"/>
    <mergeCell ref="A83:Z83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P390:V390"/>
    <mergeCell ref="A215:Z215"/>
    <mergeCell ref="P329:T329"/>
    <mergeCell ref="D406:E406"/>
    <mergeCell ref="P251:V251"/>
    <mergeCell ref="P45:V4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2026-01-12T09:33:01Z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