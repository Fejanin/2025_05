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38937092-6EE4-4C02-9B44-7C7AC59630D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505" i="1" l="1"/>
  <c r="X494" i="1"/>
  <c r="X493" i="1"/>
  <c r="BO492" i="1"/>
  <c r="BM492" i="1"/>
  <c r="Y492" i="1"/>
  <c r="P492" i="1"/>
  <c r="X489" i="1"/>
  <c r="X488" i="1"/>
  <c r="BO487" i="1"/>
  <c r="BM487" i="1"/>
  <c r="Y487" i="1"/>
  <c r="P487" i="1"/>
  <c r="BP486" i="1"/>
  <c r="BO486" i="1"/>
  <c r="BN486" i="1"/>
  <c r="BM486" i="1"/>
  <c r="Z486" i="1"/>
  <c r="Y486" i="1"/>
  <c r="Y488" i="1" s="1"/>
  <c r="P486" i="1"/>
  <c r="X484" i="1"/>
  <c r="Y483" i="1"/>
  <c r="X483" i="1"/>
  <c r="BP482" i="1"/>
  <c r="BO482" i="1"/>
  <c r="BN482" i="1"/>
  <c r="BM482" i="1"/>
  <c r="Z482" i="1"/>
  <c r="Z483" i="1" s="1"/>
  <c r="Y482" i="1"/>
  <c r="Y484" i="1" s="1"/>
  <c r="P482" i="1"/>
  <c r="X480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Y448" i="1" s="1"/>
  <c r="P444" i="1"/>
  <c r="X442" i="1"/>
  <c r="X441" i="1"/>
  <c r="BP440" i="1"/>
  <c r="BO440" i="1"/>
  <c r="BN440" i="1"/>
  <c r="BM440" i="1"/>
  <c r="Z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Y419" i="1" s="1"/>
  <c r="P415" i="1"/>
  <c r="X413" i="1"/>
  <c r="Y412" i="1"/>
  <c r="X412" i="1"/>
  <c r="BP411" i="1"/>
  <c r="BO411" i="1"/>
  <c r="BN411" i="1"/>
  <c r="BM411" i="1"/>
  <c r="Z411" i="1"/>
  <c r="Z412" i="1" s="1"/>
  <c r="Y411" i="1"/>
  <c r="P411" i="1"/>
  <c r="X408" i="1"/>
  <c r="X407" i="1"/>
  <c r="BP406" i="1"/>
  <c r="BO406" i="1"/>
  <c r="BN406" i="1"/>
  <c r="BM406" i="1"/>
  <c r="Z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P380" i="1"/>
  <c r="BO380" i="1"/>
  <c r="BN380" i="1"/>
  <c r="BM380" i="1"/>
  <c r="Z380" i="1"/>
  <c r="Y380" i="1"/>
  <c r="Y382" i="1" s="1"/>
  <c r="P380" i="1"/>
  <c r="X378" i="1"/>
  <c r="X377" i="1"/>
  <c r="BP376" i="1"/>
  <c r="BO376" i="1"/>
  <c r="BN376" i="1"/>
  <c r="BM376" i="1"/>
  <c r="Z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P365" i="1"/>
  <c r="BO365" i="1"/>
  <c r="BN365" i="1"/>
  <c r="BM365" i="1"/>
  <c r="Z365" i="1"/>
  <c r="Y365" i="1"/>
  <c r="P365" i="1"/>
  <c r="X363" i="1"/>
  <c r="Y362" i="1"/>
  <c r="X362" i="1"/>
  <c r="BP361" i="1"/>
  <c r="BO361" i="1"/>
  <c r="BN361" i="1"/>
  <c r="BM361" i="1"/>
  <c r="Z361" i="1"/>
  <c r="Y361" i="1"/>
  <c r="P361" i="1"/>
  <c r="BO360" i="1"/>
  <c r="BM360" i="1"/>
  <c r="Y360" i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P354" i="1"/>
  <c r="BO354" i="1"/>
  <c r="BN354" i="1"/>
  <c r="BM354" i="1"/>
  <c r="Z354" i="1"/>
  <c r="Y354" i="1"/>
  <c r="P354" i="1"/>
  <c r="BO353" i="1"/>
  <c r="BM353" i="1"/>
  <c r="Y353" i="1"/>
  <c r="P353" i="1"/>
  <c r="BP352" i="1"/>
  <c r="BO352" i="1"/>
  <c r="BN352" i="1"/>
  <c r="BM352" i="1"/>
  <c r="Z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Y339" i="1" s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X290" i="1"/>
  <c r="Y289" i="1"/>
  <c r="X289" i="1"/>
  <c r="BP288" i="1"/>
  <c r="BO288" i="1"/>
  <c r="BN288" i="1"/>
  <c r="BM288" i="1"/>
  <c r="Z288" i="1"/>
  <c r="Y288" i="1"/>
  <c r="P288" i="1"/>
  <c r="BO287" i="1"/>
  <c r="BM287" i="1"/>
  <c r="Y287" i="1"/>
  <c r="P287" i="1"/>
  <c r="X284" i="1"/>
  <c r="X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P274" i="1"/>
  <c r="BO274" i="1"/>
  <c r="BN274" i="1"/>
  <c r="BM274" i="1"/>
  <c r="Z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P267" i="1"/>
  <c r="BO267" i="1"/>
  <c r="BN267" i="1"/>
  <c r="BM267" i="1"/>
  <c r="Z267" i="1"/>
  <c r="Y267" i="1"/>
  <c r="P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Y269" i="1" s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Y260" i="1" s="1"/>
  <c r="P254" i="1"/>
  <c r="X252" i="1"/>
  <c r="Y251" i="1"/>
  <c r="X251" i="1"/>
  <c r="BP250" i="1"/>
  <c r="BO250" i="1"/>
  <c r="BN250" i="1"/>
  <c r="BM250" i="1"/>
  <c r="Z250" i="1"/>
  <c r="Z251" i="1" s="1"/>
  <c r="Y250" i="1"/>
  <c r="Y252" i="1" s="1"/>
  <c r="P250" i="1"/>
  <c r="X248" i="1"/>
  <c r="Y247" i="1"/>
  <c r="X247" i="1"/>
  <c r="BP246" i="1"/>
  <c r="BO246" i="1"/>
  <c r="BN246" i="1"/>
  <c r="BM246" i="1"/>
  <c r="Z246" i="1"/>
  <c r="Z247" i="1" s="1"/>
  <c r="Y246" i="1"/>
  <c r="Y248" i="1" s="1"/>
  <c r="P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P228" i="1"/>
  <c r="X226" i="1"/>
  <c r="X225" i="1"/>
  <c r="BO224" i="1"/>
  <c r="BM224" i="1"/>
  <c r="Y224" i="1"/>
  <c r="P224" i="1"/>
  <c r="BP223" i="1"/>
  <c r="BO223" i="1"/>
  <c r="BN223" i="1"/>
  <c r="BM223" i="1"/>
  <c r="Z223" i="1"/>
  <c r="Y223" i="1"/>
  <c r="P223" i="1"/>
  <c r="BO222" i="1"/>
  <c r="BM222" i="1"/>
  <c r="Y222" i="1"/>
  <c r="P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N206" i="1"/>
  <c r="BM206" i="1"/>
  <c r="Z206" i="1"/>
  <c r="Y206" i="1"/>
  <c r="BP206" i="1" s="1"/>
  <c r="P206" i="1"/>
  <c r="BO205" i="1"/>
  <c r="BM205" i="1"/>
  <c r="Y205" i="1"/>
  <c r="P205" i="1"/>
  <c r="X203" i="1"/>
  <c r="X202" i="1"/>
  <c r="BO201" i="1"/>
  <c r="BM201" i="1"/>
  <c r="Y201" i="1"/>
  <c r="P201" i="1"/>
  <c r="BP200" i="1"/>
  <c r="BO200" i="1"/>
  <c r="BN200" i="1"/>
  <c r="BM200" i="1"/>
  <c r="Z200" i="1"/>
  <c r="Y200" i="1"/>
  <c r="Y202" i="1" s="1"/>
  <c r="P200" i="1"/>
  <c r="X198" i="1"/>
  <c r="X197" i="1"/>
  <c r="BP196" i="1"/>
  <c r="BO196" i="1"/>
  <c r="BN196" i="1"/>
  <c r="BM196" i="1"/>
  <c r="Z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BO184" i="1"/>
  <c r="BM184" i="1"/>
  <c r="Y184" i="1"/>
  <c r="P184" i="1"/>
  <c r="X182" i="1"/>
  <c r="X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BO167" i="1"/>
  <c r="BM167" i="1"/>
  <c r="Y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P153" i="1"/>
  <c r="BO153" i="1"/>
  <c r="BN153" i="1"/>
  <c r="BM153" i="1"/>
  <c r="Z153" i="1"/>
  <c r="Y153" i="1"/>
  <c r="P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P132" i="1"/>
  <c r="BO132" i="1"/>
  <c r="BN132" i="1"/>
  <c r="BM132" i="1"/>
  <c r="Z132" i="1"/>
  <c r="Y132" i="1"/>
  <c r="P132" i="1"/>
  <c r="X130" i="1"/>
  <c r="Y129" i="1"/>
  <c r="X129" i="1"/>
  <c r="BP128" i="1"/>
  <c r="BO128" i="1"/>
  <c r="BN128" i="1"/>
  <c r="BM128" i="1"/>
  <c r="Z128" i="1"/>
  <c r="Y128" i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P103" i="1"/>
  <c r="BO103" i="1"/>
  <c r="BN103" i="1"/>
  <c r="BM103" i="1"/>
  <c r="Z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Y96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BP62" i="1" s="1"/>
  <c r="P62" i="1"/>
  <c r="BP61" i="1"/>
  <c r="BO61" i="1"/>
  <c r="BN61" i="1"/>
  <c r="BM61" i="1"/>
  <c r="Z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Y59" i="1" s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P42" i="1"/>
  <c r="BO42" i="1"/>
  <c r="BN42" i="1"/>
  <c r="BM42" i="1"/>
  <c r="Z42" i="1"/>
  <c r="Y42" i="1"/>
  <c r="P42" i="1"/>
  <c r="BO41" i="1"/>
  <c r="BM41" i="1"/>
  <c r="Y41" i="1"/>
  <c r="C505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Y32" i="1" s="1"/>
  <c r="P27" i="1"/>
  <c r="X25" i="1"/>
  <c r="X24" i="1"/>
  <c r="X499" i="1" s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F10" i="1"/>
  <c r="J9" i="1"/>
  <c r="F9" i="1"/>
  <c r="A9" i="1"/>
  <c r="A10" i="1" s="1"/>
  <c r="D7" i="1"/>
  <c r="Q6" i="1"/>
  <c r="P2" i="1"/>
  <c r="Z64" i="1" l="1"/>
  <c r="Y25" i="1"/>
  <c r="Y33" i="1"/>
  <c r="Y37" i="1"/>
  <c r="Y45" i="1"/>
  <c r="Y49" i="1"/>
  <c r="Y58" i="1"/>
  <c r="Y64" i="1"/>
  <c r="BP74" i="1"/>
  <c r="BN74" i="1"/>
  <c r="Z74" i="1"/>
  <c r="BP87" i="1"/>
  <c r="BN87" i="1"/>
  <c r="Z87" i="1"/>
  <c r="BP95" i="1"/>
  <c r="BN95" i="1"/>
  <c r="Z95" i="1"/>
  <c r="Y97" i="1"/>
  <c r="F505" i="1"/>
  <c r="Y105" i="1"/>
  <c r="BP100" i="1"/>
  <c r="BN100" i="1"/>
  <c r="Z100" i="1"/>
  <c r="Z105" i="1" s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Z119" i="1" s="1"/>
  <c r="BP133" i="1"/>
  <c r="BN133" i="1"/>
  <c r="Z133" i="1"/>
  <c r="Z134" i="1" s="1"/>
  <c r="Y135" i="1"/>
  <c r="Y140" i="1"/>
  <c r="BP137" i="1"/>
  <c r="BN137" i="1"/>
  <c r="Z137" i="1"/>
  <c r="Z139" i="1" s="1"/>
  <c r="BP150" i="1"/>
  <c r="BN150" i="1"/>
  <c r="Z150" i="1"/>
  <c r="Y154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88" i="1"/>
  <c r="Y191" i="1"/>
  <c r="BP190" i="1"/>
  <c r="BN190" i="1"/>
  <c r="Z190" i="1"/>
  <c r="Z191" i="1" s="1"/>
  <c r="Y192" i="1"/>
  <c r="J505" i="1"/>
  <c r="Y198" i="1"/>
  <c r="BP195" i="1"/>
  <c r="BN195" i="1"/>
  <c r="Z195" i="1"/>
  <c r="Z197" i="1" s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Y230" i="1"/>
  <c r="BP257" i="1"/>
  <c r="BN257" i="1"/>
  <c r="Z257" i="1"/>
  <c r="BP275" i="1"/>
  <c r="BN275" i="1"/>
  <c r="Z275" i="1"/>
  <c r="Y277" i="1"/>
  <c r="O505" i="1"/>
  <c r="Y283" i="1"/>
  <c r="BP280" i="1"/>
  <c r="BN280" i="1"/>
  <c r="Z280" i="1"/>
  <c r="Y284" i="1"/>
  <c r="BP293" i="1"/>
  <c r="BN293" i="1"/>
  <c r="Z293" i="1"/>
  <c r="Z294" i="1" s="1"/>
  <c r="Y295" i="1"/>
  <c r="Q505" i="1"/>
  <c r="Y303" i="1"/>
  <c r="BP298" i="1"/>
  <c r="BN298" i="1"/>
  <c r="Z298" i="1"/>
  <c r="Z303" i="1" s="1"/>
  <c r="BP302" i="1"/>
  <c r="BN302" i="1"/>
  <c r="Z302" i="1"/>
  <c r="Y304" i="1"/>
  <c r="Y313" i="1"/>
  <c r="BP306" i="1"/>
  <c r="BN306" i="1"/>
  <c r="Z306" i="1"/>
  <c r="Y312" i="1"/>
  <c r="BP310" i="1"/>
  <c r="BN310" i="1"/>
  <c r="Z310" i="1"/>
  <c r="BP343" i="1"/>
  <c r="BN343" i="1"/>
  <c r="Z343" i="1"/>
  <c r="Z345" i="1" s="1"/>
  <c r="Y345" i="1"/>
  <c r="D505" i="1"/>
  <c r="H9" i="1"/>
  <c r="B505" i="1"/>
  <c r="X496" i="1"/>
  <c r="X497" i="1"/>
  <c r="Z23" i="1"/>
  <c r="Z24" i="1" s="1"/>
  <c r="BN23" i="1"/>
  <c r="Y496" i="1" s="1"/>
  <c r="Y24" i="1"/>
  <c r="X495" i="1"/>
  <c r="Z27" i="1"/>
  <c r="BN27" i="1"/>
  <c r="BP27" i="1"/>
  <c r="Z29" i="1"/>
  <c r="BN29" i="1"/>
  <c r="Z31" i="1"/>
  <c r="BN31" i="1"/>
  <c r="Z35" i="1"/>
  <c r="Z36" i="1" s="1"/>
  <c r="BN35" i="1"/>
  <c r="BP35" i="1"/>
  <c r="Y497" i="1" s="1"/>
  <c r="Z41" i="1"/>
  <c r="BN41" i="1"/>
  <c r="BP41" i="1"/>
  <c r="Z43" i="1"/>
  <c r="BN43" i="1"/>
  <c r="Y44" i="1"/>
  <c r="Z47" i="1"/>
  <c r="Z48" i="1" s="1"/>
  <c r="BN47" i="1"/>
  <c r="BP47" i="1"/>
  <c r="Z52" i="1"/>
  <c r="Z58" i="1" s="1"/>
  <c r="BN52" i="1"/>
  <c r="BP52" i="1"/>
  <c r="Z54" i="1"/>
  <c r="BN54" i="1"/>
  <c r="Z56" i="1"/>
  <c r="BN56" i="1"/>
  <c r="Z62" i="1"/>
  <c r="BN62" i="1"/>
  <c r="Y69" i="1"/>
  <c r="Z68" i="1"/>
  <c r="Z69" i="1" s="1"/>
  <c r="BN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505" i="1"/>
  <c r="Y90" i="1"/>
  <c r="BP85" i="1"/>
  <c r="BN85" i="1"/>
  <c r="Z85" i="1"/>
  <c r="Z89" i="1" s="1"/>
  <c r="Y89" i="1"/>
  <c r="BP93" i="1"/>
  <c r="BN93" i="1"/>
  <c r="Z93" i="1"/>
  <c r="Z96" i="1" s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5" i="1"/>
  <c r="Y130" i="1"/>
  <c r="BP127" i="1"/>
  <c r="BN127" i="1"/>
  <c r="Z127" i="1"/>
  <c r="Z129" i="1" s="1"/>
  <c r="Y134" i="1"/>
  <c r="Y139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Y197" i="1"/>
  <c r="BP201" i="1"/>
  <c r="BN201" i="1"/>
  <c r="Z201" i="1"/>
  <c r="Z202" i="1" s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BP318" i="1"/>
  <c r="BN318" i="1"/>
  <c r="Z318" i="1"/>
  <c r="Y320" i="1"/>
  <c r="Y325" i="1"/>
  <c r="BP322" i="1"/>
  <c r="BN322" i="1"/>
  <c r="Z322" i="1"/>
  <c r="Y326" i="1"/>
  <c r="BP330" i="1"/>
  <c r="BN330" i="1"/>
  <c r="Z330" i="1"/>
  <c r="BP353" i="1"/>
  <c r="BN353" i="1"/>
  <c r="Z353" i="1"/>
  <c r="Y357" i="1"/>
  <c r="BP366" i="1"/>
  <c r="BN366" i="1"/>
  <c r="Z366" i="1"/>
  <c r="Z367" i="1" s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Z377" i="1" s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Z456" i="1" s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Z479" i="1" s="1"/>
  <c r="Y479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Z243" i="1" s="1"/>
  <c r="BP239" i="1"/>
  <c r="BN239" i="1"/>
  <c r="Z239" i="1"/>
  <c r="Y243" i="1"/>
  <c r="BP255" i="1"/>
  <c r="BN255" i="1"/>
  <c r="Z255" i="1"/>
  <c r="Z259" i="1" s="1"/>
  <c r="Y259" i="1"/>
  <c r="Z268" i="1"/>
  <c r="BP264" i="1"/>
  <c r="BN264" i="1"/>
  <c r="Z264" i="1"/>
  <c r="Y268" i="1"/>
  <c r="BP273" i="1"/>
  <c r="BN273" i="1"/>
  <c r="Z273" i="1"/>
  <c r="BP282" i="1"/>
  <c r="BN282" i="1"/>
  <c r="Z282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BP316" i="1"/>
  <c r="BN316" i="1"/>
  <c r="Z316" i="1"/>
  <c r="BP324" i="1"/>
  <c r="BN324" i="1"/>
  <c r="Z324" i="1"/>
  <c r="Y333" i="1"/>
  <c r="BP328" i="1"/>
  <c r="BN328" i="1"/>
  <c r="Z328" i="1"/>
  <c r="Z332" i="1" s="1"/>
  <c r="Y332" i="1"/>
  <c r="Z338" i="1"/>
  <c r="BP336" i="1"/>
  <c r="BN336" i="1"/>
  <c r="Z336" i="1"/>
  <c r="BP351" i="1"/>
  <c r="BN351" i="1"/>
  <c r="Z351" i="1"/>
  <c r="BP355" i="1"/>
  <c r="BN355" i="1"/>
  <c r="Z355" i="1"/>
  <c r="Z357" i="1" s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Z407" i="1" s="1"/>
  <c r="Y407" i="1"/>
  <c r="L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Z382" i="1" s="1"/>
  <c r="Y383" i="1"/>
  <c r="Y388" i="1"/>
  <c r="BP385" i="1"/>
  <c r="BN385" i="1"/>
  <c r="Z385" i="1"/>
  <c r="Z388" i="1" s="1"/>
  <c r="BP395" i="1"/>
  <c r="BN395" i="1"/>
  <c r="Z395" i="1"/>
  <c r="BP399" i="1"/>
  <c r="BN399" i="1"/>
  <c r="Z399" i="1"/>
  <c r="BP416" i="1"/>
  <c r="BN416" i="1"/>
  <c r="Z416" i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Z447" i="1" s="1"/>
  <c r="Y456" i="1"/>
  <c r="BP453" i="1"/>
  <c r="BN453" i="1"/>
  <c r="Z453" i="1"/>
  <c r="BP467" i="1"/>
  <c r="BN467" i="1"/>
  <c r="Z467" i="1"/>
  <c r="Y474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Y498" i="1" l="1"/>
  <c r="Z402" i="1"/>
  <c r="Z213" i="1"/>
  <c r="Z312" i="1"/>
  <c r="Z283" i="1"/>
  <c r="Z225" i="1"/>
  <c r="Z181" i="1"/>
  <c r="Z112" i="1"/>
  <c r="Z441" i="1"/>
  <c r="Z419" i="1"/>
  <c r="Z319" i="1"/>
  <c r="Z276" i="1"/>
  <c r="Z469" i="1"/>
  <c r="Z325" i="1"/>
  <c r="Z187" i="1"/>
  <c r="Z154" i="1"/>
  <c r="Z44" i="1"/>
  <c r="Z32" i="1"/>
  <c r="Z500" i="1" s="1"/>
  <c r="Y499" i="1"/>
  <c r="X498" i="1"/>
  <c r="Y495" i="1"/>
</calcChain>
</file>

<file path=xl/sharedStrings.xml><?xml version="1.0" encoding="utf-8"?>
<sst xmlns="http://schemas.openxmlformats.org/spreadsheetml/2006/main" count="2320" uniqueCount="781">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</sst>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5"/>
  <sheetViews>
    <sheetView showGridLines="0" tabSelected="1" topLeftCell="A479" zoomScaleNormal="100" zoomScaleSheetLayoutView="100" workbookViewId="0">
      <selection activeCell="AA501" sqref="AA50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36" t="s">
        <v>0</v>
      </c>
      <c r="E1" s="588"/>
      <c r="F1" s="588"/>
      <c r="G1" s="12" t="s">
        <v>1</v>
      </c>
      <c r="H1" s="636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683" t="s">
        <v>8</v>
      </c>
      <c r="B5" s="684"/>
      <c r="C5" s="685"/>
      <c r="D5" s="641"/>
      <c r="E5" s="642"/>
      <c r="F5" s="847" t="s">
        <v>9</v>
      </c>
      <c r="G5" s="685"/>
      <c r="H5" s="641"/>
      <c r="I5" s="800"/>
      <c r="J5" s="800"/>
      <c r="K5" s="800"/>
      <c r="L5" s="800"/>
      <c r="M5" s="642"/>
      <c r="N5" s="58"/>
      <c r="P5" s="24" t="s">
        <v>10</v>
      </c>
      <c r="Q5" s="861">
        <v>46025</v>
      </c>
      <c r="R5" s="682"/>
      <c r="T5" s="732" t="s">
        <v>11</v>
      </c>
      <c r="U5" s="733"/>
      <c r="V5" s="734" t="s">
        <v>12</v>
      </c>
      <c r="W5" s="682"/>
      <c r="AB5" s="51"/>
      <c r="AC5" s="51"/>
      <c r="AD5" s="51"/>
      <c r="AE5" s="51"/>
    </row>
    <row r="6" spans="1:32" s="547" customFormat="1" ht="24" customHeight="1" x14ac:dyDescent="0.2">
      <c r="A6" s="683" t="s">
        <v>13</v>
      </c>
      <c r="B6" s="684"/>
      <c r="C6" s="685"/>
      <c r="D6" s="802" t="s">
        <v>14</v>
      </c>
      <c r="E6" s="803"/>
      <c r="F6" s="803"/>
      <c r="G6" s="803"/>
      <c r="H6" s="803"/>
      <c r="I6" s="803"/>
      <c r="J6" s="803"/>
      <c r="K6" s="803"/>
      <c r="L6" s="803"/>
      <c r="M6" s="682"/>
      <c r="N6" s="59"/>
      <c r="P6" s="24" t="s">
        <v>15</v>
      </c>
      <c r="Q6" s="869" t="str">
        <f>IF(Q5=0," ",CHOOSE(WEEKDAY(Q5,2),"Понедельник","Вторник","Среда","Четверг","Пятница","Суббота","Воскресенье"))</f>
        <v>Суббота</v>
      </c>
      <c r="R6" s="561"/>
      <c r="T6" s="739" t="s">
        <v>16</v>
      </c>
      <c r="U6" s="733"/>
      <c r="V6" s="787" t="s">
        <v>17</v>
      </c>
      <c r="W6" s="602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13" t="str">
        <f>IFERROR(VLOOKUP(DeliveryAddress,Table,3,0),1)</f>
        <v>1</v>
      </c>
      <c r="E7" s="614"/>
      <c r="F7" s="614"/>
      <c r="G7" s="614"/>
      <c r="H7" s="614"/>
      <c r="I7" s="614"/>
      <c r="J7" s="614"/>
      <c r="K7" s="614"/>
      <c r="L7" s="614"/>
      <c r="M7" s="615"/>
      <c r="N7" s="60"/>
      <c r="P7" s="24"/>
      <c r="Q7" s="42"/>
      <c r="R7" s="42"/>
      <c r="T7" s="568"/>
      <c r="U7" s="733"/>
      <c r="V7" s="788"/>
      <c r="W7" s="789"/>
      <c r="AB7" s="51"/>
      <c r="AC7" s="51"/>
      <c r="AD7" s="51"/>
      <c r="AE7" s="51"/>
    </row>
    <row r="8" spans="1:32" s="547" customFormat="1" ht="25.5" customHeight="1" x14ac:dyDescent="0.2">
      <c r="A8" s="880" t="s">
        <v>18</v>
      </c>
      <c r="B8" s="573"/>
      <c r="C8" s="574"/>
      <c r="D8" s="624" t="s">
        <v>19</v>
      </c>
      <c r="E8" s="625"/>
      <c r="F8" s="625"/>
      <c r="G8" s="625"/>
      <c r="H8" s="625"/>
      <c r="I8" s="625"/>
      <c r="J8" s="625"/>
      <c r="K8" s="625"/>
      <c r="L8" s="625"/>
      <c r="M8" s="626"/>
      <c r="N8" s="61"/>
      <c r="P8" s="24" t="s">
        <v>20</v>
      </c>
      <c r="Q8" s="693">
        <v>0.41666666666666669</v>
      </c>
      <c r="R8" s="615"/>
      <c r="T8" s="568"/>
      <c r="U8" s="733"/>
      <c r="V8" s="788"/>
      <c r="W8" s="789"/>
      <c r="AB8" s="51"/>
      <c r="AC8" s="51"/>
      <c r="AD8" s="51"/>
      <c r="AE8" s="51"/>
    </row>
    <row r="9" spans="1:32" s="547" customFormat="1" ht="39.950000000000003" customHeight="1" x14ac:dyDescent="0.2">
      <c r="A9" s="70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704"/>
      <c r="E9" s="571"/>
      <c r="F9" s="70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70" t="str">
        <f>IF(AND($A$9="Тип доверенности/получателя при получении в адресе перегруза:",$D$9="Разовая доверенность"),"Введите ФИО","")</f>
        <v/>
      </c>
      <c r="I9" s="571"/>
      <c r="J9" s="5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1"/>
      <c r="L9" s="571"/>
      <c r="M9" s="571"/>
      <c r="N9" s="545"/>
      <c r="P9" s="26" t="s">
        <v>21</v>
      </c>
      <c r="Q9" s="677"/>
      <c r="R9" s="678"/>
      <c r="T9" s="568"/>
      <c r="U9" s="733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704"/>
      <c r="E10" s="571"/>
      <c r="F10" s="70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79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40"/>
      <c r="R10" s="741"/>
      <c r="U10" s="24" t="s">
        <v>23</v>
      </c>
      <c r="V10" s="601" t="s">
        <v>24</v>
      </c>
      <c r="W10" s="602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1"/>
      <c r="R11" s="682"/>
      <c r="U11" s="24" t="s">
        <v>27</v>
      </c>
      <c r="V11" s="817" t="s">
        <v>28</v>
      </c>
      <c r="W11" s="678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26" t="s">
        <v>29</v>
      </c>
      <c r="B12" s="684"/>
      <c r="C12" s="684"/>
      <c r="D12" s="684"/>
      <c r="E12" s="684"/>
      <c r="F12" s="684"/>
      <c r="G12" s="684"/>
      <c r="H12" s="684"/>
      <c r="I12" s="684"/>
      <c r="J12" s="684"/>
      <c r="K12" s="684"/>
      <c r="L12" s="684"/>
      <c r="M12" s="685"/>
      <c r="N12" s="62"/>
      <c r="P12" s="24" t="s">
        <v>30</v>
      </c>
      <c r="Q12" s="693"/>
      <c r="R12" s="615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26" t="s">
        <v>31</v>
      </c>
      <c r="B13" s="684"/>
      <c r="C13" s="684"/>
      <c r="D13" s="684"/>
      <c r="E13" s="684"/>
      <c r="F13" s="684"/>
      <c r="G13" s="684"/>
      <c r="H13" s="684"/>
      <c r="I13" s="684"/>
      <c r="J13" s="684"/>
      <c r="K13" s="684"/>
      <c r="L13" s="684"/>
      <c r="M13" s="685"/>
      <c r="N13" s="62"/>
      <c r="O13" s="26"/>
      <c r="P13" s="26" t="s">
        <v>32</v>
      </c>
      <c r="Q13" s="817"/>
      <c r="R13" s="67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26" t="s">
        <v>33</v>
      </c>
      <c r="B14" s="684"/>
      <c r="C14" s="684"/>
      <c r="D14" s="684"/>
      <c r="E14" s="684"/>
      <c r="F14" s="684"/>
      <c r="G14" s="684"/>
      <c r="H14" s="684"/>
      <c r="I14" s="684"/>
      <c r="J14" s="684"/>
      <c r="K14" s="684"/>
      <c r="L14" s="684"/>
      <c r="M14" s="68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7" t="s">
        <v>34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5"/>
      <c r="N15" s="63"/>
      <c r="P15" s="71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6"/>
      <c r="Q16" s="716"/>
      <c r="R16" s="716"/>
      <c r="S16" s="716"/>
      <c r="T16" s="71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702" t="s">
        <v>38</v>
      </c>
      <c r="D17" s="596" t="s">
        <v>39</v>
      </c>
      <c r="E17" s="661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60"/>
      <c r="R17" s="660"/>
      <c r="S17" s="660"/>
      <c r="T17" s="661"/>
      <c r="U17" s="876" t="s">
        <v>51</v>
      </c>
      <c r="V17" s="685"/>
      <c r="W17" s="596" t="s">
        <v>52</v>
      </c>
      <c r="X17" s="596" t="s">
        <v>53</v>
      </c>
      <c r="Y17" s="878" t="s">
        <v>54</v>
      </c>
      <c r="Z17" s="798" t="s">
        <v>55</v>
      </c>
      <c r="AA17" s="777" t="s">
        <v>56</v>
      </c>
      <c r="AB17" s="777" t="s">
        <v>57</v>
      </c>
      <c r="AC17" s="777" t="s">
        <v>58</v>
      </c>
      <c r="AD17" s="777" t="s">
        <v>59</v>
      </c>
      <c r="AE17" s="842"/>
      <c r="AF17" s="843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2"/>
      <c r="E18" s="664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2"/>
      <c r="Q18" s="663"/>
      <c r="R18" s="663"/>
      <c r="S18" s="663"/>
      <c r="T18" s="664"/>
      <c r="U18" s="67" t="s">
        <v>61</v>
      </c>
      <c r="V18" s="67" t="s">
        <v>62</v>
      </c>
      <c r="W18" s="597"/>
      <c r="X18" s="597"/>
      <c r="Y18" s="879"/>
      <c r="Z18" s="799"/>
      <c r="AA18" s="778"/>
      <c r="AB18" s="778"/>
      <c r="AC18" s="778"/>
      <c r="AD18" s="844"/>
      <c r="AE18" s="845"/>
      <c r="AF18" s="846"/>
      <c r="AG18" s="66"/>
      <c r="BD18" s="65"/>
    </row>
    <row r="19" spans="1:68" ht="27.75" customHeight="1" x14ac:dyDescent="0.2">
      <c r="A19" s="630" t="s">
        <v>63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48"/>
      <c r="AB19" s="48"/>
      <c r="AC19" s="48"/>
    </row>
    <row r="20" spans="1:68" ht="16.5" customHeight="1" x14ac:dyDescent="0.25">
      <c r="A20" s="567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customHeight="1" x14ac:dyDescent="0.25">
      <c r="A21" s="569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0">
        <v>4680115887510</v>
      </c>
      <c r="E22" s="561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0">
        <v>4680115886643</v>
      </c>
      <c r="E23" s="561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83"/>
      <c r="P24" s="572" t="s">
        <v>75</v>
      </c>
      <c r="Q24" s="573"/>
      <c r="R24" s="573"/>
      <c r="S24" s="573"/>
      <c r="T24" s="573"/>
      <c r="U24" s="573"/>
      <c r="V24" s="574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83"/>
      <c r="P25" s="572" t="s">
        <v>75</v>
      </c>
      <c r="Q25" s="573"/>
      <c r="R25" s="573"/>
      <c r="S25" s="573"/>
      <c r="T25" s="573"/>
      <c r="U25" s="573"/>
      <c r="V25" s="574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customHeight="1" x14ac:dyDescent="0.25">
      <c r="A26" s="569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0">
        <v>4680115885912</v>
      </c>
      <c r="E27" s="561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0">
        <v>4607091388237</v>
      </c>
      <c r="E28" s="561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0">
        <v>4680115887350</v>
      </c>
      <c r="E29" s="561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0">
        <v>4680115885905</v>
      </c>
      <c r="E30" s="561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4301051851</v>
      </c>
      <c r="D31" s="560">
        <v>4607091388244</v>
      </c>
      <c r="E31" s="561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82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83"/>
      <c r="P32" s="572" t="s">
        <v>75</v>
      </c>
      <c r="Q32" s="573"/>
      <c r="R32" s="573"/>
      <c r="S32" s="573"/>
      <c r="T32" s="573"/>
      <c r="U32" s="573"/>
      <c r="V32" s="574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83"/>
      <c r="P33" s="572" t="s">
        <v>75</v>
      </c>
      <c r="Q33" s="573"/>
      <c r="R33" s="573"/>
      <c r="S33" s="573"/>
      <c r="T33" s="573"/>
      <c r="U33" s="573"/>
      <c r="V33" s="574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customHeight="1" x14ac:dyDescent="0.25">
      <c r="A34" s="569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customHeight="1" x14ac:dyDescent="0.25">
      <c r="A35" s="54" t="s">
        <v>94</v>
      </c>
      <c r="B35" s="54" t="s">
        <v>95</v>
      </c>
      <c r="C35" s="31">
        <v>4301032013</v>
      </c>
      <c r="D35" s="560">
        <v>4607091388503</v>
      </c>
      <c r="E35" s="561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83"/>
      <c r="P36" s="572" t="s">
        <v>75</v>
      </c>
      <c r="Q36" s="573"/>
      <c r="R36" s="573"/>
      <c r="S36" s="573"/>
      <c r="T36" s="573"/>
      <c r="U36" s="573"/>
      <c r="V36" s="574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83"/>
      <c r="P37" s="572" t="s">
        <v>75</v>
      </c>
      <c r="Q37" s="573"/>
      <c r="R37" s="573"/>
      <c r="S37" s="573"/>
      <c r="T37" s="573"/>
      <c r="U37" s="573"/>
      <c r="V37" s="574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customHeight="1" x14ac:dyDescent="0.2">
      <c r="A38" s="630" t="s">
        <v>99</v>
      </c>
      <c r="B38" s="631"/>
      <c r="C38" s="631"/>
      <c r="D38" s="631"/>
      <c r="E38" s="631"/>
      <c r="F38" s="631"/>
      <c r="G38" s="631"/>
      <c r="H38" s="631"/>
      <c r="I38" s="631"/>
      <c r="J38" s="631"/>
      <c r="K38" s="631"/>
      <c r="L38" s="631"/>
      <c r="M38" s="631"/>
      <c r="N38" s="631"/>
      <c r="O38" s="631"/>
      <c r="P38" s="631"/>
      <c r="Q38" s="631"/>
      <c r="R38" s="631"/>
      <c r="S38" s="631"/>
      <c r="T38" s="631"/>
      <c r="U38" s="631"/>
      <c r="V38" s="631"/>
      <c r="W38" s="631"/>
      <c r="X38" s="631"/>
      <c r="Y38" s="631"/>
      <c r="Z38" s="631"/>
      <c r="AA38" s="48"/>
      <c r="AB38" s="48"/>
      <c r="AC38" s="48"/>
    </row>
    <row r="39" spans="1:68" ht="16.5" customHeight="1" x14ac:dyDescent="0.25">
      <c r="A39" s="567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customHeight="1" x14ac:dyDescent="0.25">
      <c r="A40" s="569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0">
        <v>4607091385670</v>
      </c>
      <c r="E41" s="561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2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0</v>
      </c>
      <c r="Y41" s="554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60">
        <v>4680115882539</v>
      </c>
      <c r="E42" s="561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112</v>
      </c>
      <c r="B43" s="54" t="s">
        <v>113</v>
      </c>
      <c r="C43" s="31">
        <v>4301011382</v>
      </c>
      <c r="D43" s="560">
        <v>4607091385687</v>
      </c>
      <c r="E43" s="561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 t="s">
        <v>114</v>
      </c>
      <c r="M43" s="33" t="s">
        <v>80</v>
      </c>
      <c r="N43" s="33"/>
      <c r="O43" s="32">
        <v>50</v>
      </c>
      <c r="P43" s="72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82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83"/>
      <c r="P44" s="572" t="s">
        <v>75</v>
      </c>
      <c r="Q44" s="573"/>
      <c r="R44" s="573"/>
      <c r="S44" s="573"/>
      <c r="T44" s="573"/>
      <c r="U44" s="573"/>
      <c r="V44" s="574"/>
      <c r="W44" s="37" t="s">
        <v>76</v>
      </c>
      <c r="X44" s="555">
        <f>IFERROR(X41/H41,"0")+IFERROR(X42/H42,"0")+IFERROR(X43/H43,"0")</f>
        <v>0</v>
      </c>
      <c r="Y44" s="555">
        <f>IFERROR(Y41/H41,"0")+IFERROR(Y42/H42,"0")+IFERROR(Y43/H43,"0")</f>
        <v>0</v>
      </c>
      <c r="Z44" s="555">
        <f>IFERROR(IF(Z41="",0,Z41),"0")+IFERROR(IF(Z42="",0,Z42),"0")+IFERROR(IF(Z43="",0,Z43),"0")</f>
        <v>0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83"/>
      <c r="P45" s="572" t="s">
        <v>75</v>
      </c>
      <c r="Q45" s="573"/>
      <c r="R45" s="573"/>
      <c r="S45" s="573"/>
      <c r="T45" s="573"/>
      <c r="U45" s="573"/>
      <c r="V45" s="574"/>
      <c r="W45" s="37" t="s">
        <v>69</v>
      </c>
      <c r="X45" s="555">
        <f>IFERROR(SUM(X41:X43),"0")</f>
        <v>0</v>
      </c>
      <c r="Y45" s="555">
        <f>IFERROR(SUM(Y41:Y43),"0")</f>
        <v>0</v>
      </c>
      <c r="Z45" s="37"/>
      <c r="AA45" s="556"/>
      <c r="AB45" s="556"/>
      <c r="AC45" s="556"/>
    </row>
    <row r="46" spans="1:68" ht="14.25" customHeight="1" x14ac:dyDescent="0.25">
      <c r="A46" s="569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customHeight="1" x14ac:dyDescent="0.25">
      <c r="A47" s="54" t="s">
        <v>115</v>
      </c>
      <c r="B47" s="54" t="s">
        <v>116</v>
      </c>
      <c r="C47" s="31">
        <v>4301051820</v>
      </c>
      <c r="D47" s="560">
        <v>4680115884915</v>
      </c>
      <c r="E47" s="561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82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83"/>
      <c r="P48" s="572" t="s">
        <v>75</v>
      </c>
      <c r="Q48" s="573"/>
      <c r="R48" s="573"/>
      <c r="S48" s="573"/>
      <c r="T48" s="573"/>
      <c r="U48" s="573"/>
      <c r="V48" s="574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83"/>
      <c r="P49" s="572" t="s">
        <v>75</v>
      </c>
      <c r="Q49" s="573"/>
      <c r="R49" s="573"/>
      <c r="S49" s="573"/>
      <c r="T49" s="573"/>
      <c r="U49" s="573"/>
      <c r="V49" s="574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customHeight="1" x14ac:dyDescent="0.25">
      <c r="A50" s="567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customHeight="1" x14ac:dyDescent="0.25">
      <c r="A51" s="569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60">
        <v>4680115885882</v>
      </c>
      <c r="E52" s="561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7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0">
        <v>4680115881426</v>
      </c>
      <c r="E53" s="561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70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0</v>
      </c>
      <c r="Y53" s="554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125</v>
      </c>
      <c r="B54" s="54" t="s">
        <v>126</v>
      </c>
      <c r="C54" s="31">
        <v>4301011386</v>
      </c>
      <c r="D54" s="560">
        <v>4680115880283</v>
      </c>
      <c r="E54" s="561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60">
        <v>4680115881525</v>
      </c>
      <c r="E55" s="561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 t="s">
        <v>114</v>
      </c>
      <c r="M55" s="33" t="s">
        <v>106</v>
      </c>
      <c r="N55" s="33"/>
      <c r="O55" s="32">
        <v>50</v>
      </c>
      <c r="P55" s="69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131</v>
      </c>
      <c r="B56" s="54" t="s">
        <v>132</v>
      </c>
      <c r="C56" s="31">
        <v>4301011589</v>
      </c>
      <c r="D56" s="560">
        <v>4680115885899</v>
      </c>
      <c r="E56" s="561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60">
        <v>4680115881419</v>
      </c>
      <c r="E57" s="561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 t="s">
        <v>114</v>
      </c>
      <c r="M57" s="33" t="s">
        <v>106</v>
      </c>
      <c r="N57" s="33"/>
      <c r="O57" s="32">
        <v>50</v>
      </c>
      <c r="P57" s="8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 t="s">
        <v>108</v>
      </c>
      <c r="AK57" s="68">
        <v>54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82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83"/>
      <c r="P58" s="572" t="s">
        <v>75</v>
      </c>
      <c r="Q58" s="573"/>
      <c r="R58" s="573"/>
      <c r="S58" s="573"/>
      <c r="T58" s="573"/>
      <c r="U58" s="573"/>
      <c r="V58" s="574"/>
      <c r="W58" s="37" t="s">
        <v>76</v>
      </c>
      <c r="X58" s="555">
        <f>IFERROR(X52/H52,"0")+IFERROR(X53/H53,"0")+IFERROR(X54/H54,"0")+IFERROR(X55/H55,"0")+IFERROR(X56/H56,"0")+IFERROR(X57/H57,"0")</f>
        <v>0</v>
      </c>
      <c r="Y58" s="555">
        <f>IFERROR(Y52/H52,"0")+IFERROR(Y53/H53,"0")+IFERROR(Y54/H54,"0")+IFERROR(Y55/H55,"0")+IFERROR(Y56/H56,"0")+IFERROR(Y57/H57,"0")</f>
        <v>0</v>
      </c>
      <c r="Z58" s="555">
        <f>IFERROR(IF(Z52="",0,Z52),"0")+IFERROR(IF(Z53="",0,Z53),"0")+IFERROR(IF(Z54="",0,Z54),"0")+IFERROR(IF(Z55="",0,Z55),"0")+IFERROR(IF(Z56="",0,Z56),"0")+IFERROR(IF(Z57="",0,Z57),"0")</f>
        <v>0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83"/>
      <c r="P59" s="572" t="s">
        <v>75</v>
      </c>
      <c r="Q59" s="573"/>
      <c r="R59" s="573"/>
      <c r="S59" s="573"/>
      <c r="T59" s="573"/>
      <c r="U59" s="573"/>
      <c r="V59" s="574"/>
      <c r="W59" s="37" t="s">
        <v>69</v>
      </c>
      <c r="X59" s="555">
        <f>IFERROR(SUM(X52:X57),"0")</f>
        <v>0</v>
      </c>
      <c r="Y59" s="555">
        <f>IFERROR(SUM(Y52:Y57),"0")</f>
        <v>0</v>
      </c>
      <c r="Z59" s="37"/>
      <c r="AA59" s="556"/>
      <c r="AB59" s="556"/>
      <c r="AC59" s="556"/>
    </row>
    <row r="60" spans="1:68" ht="14.25" customHeight="1" x14ac:dyDescent="0.25">
      <c r="A60" s="569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0">
        <v>4680115881440</v>
      </c>
      <c r="E61" s="561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81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0</v>
      </c>
      <c r="Y61" s="554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customHeight="1" x14ac:dyDescent="0.25">
      <c r="A62" s="54" t="s">
        <v>141</v>
      </c>
      <c r="B62" s="54" t="s">
        <v>142</v>
      </c>
      <c r="C62" s="31">
        <v>4301020358</v>
      </c>
      <c r="D62" s="560">
        <v>4680115885950</v>
      </c>
      <c r="E62" s="561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60">
        <v>4680115881433</v>
      </c>
      <c r="E63" s="561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6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82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83"/>
      <c r="P64" s="572" t="s">
        <v>75</v>
      </c>
      <c r="Q64" s="573"/>
      <c r="R64" s="573"/>
      <c r="S64" s="573"/>
      <c r="T64" s="573"/>
      <c r="U64" s="573"/>
      <c r="V64" s="574"/>
      <c r="W64" s="37" t="s">
        <v>76</v>
      </c>
      <c r="X64" s="555">
        <f>IFERROR(X61/H61,"0")+IFERROR(X62/H62,"0")+IFERROR(X63/H63,"0")</f>
        <v>0</v>
      </c>
      <c r="Y64" s="555">
        <f>IFERROR(Y61/H61,"0")+IFERROR(Y62/H62,"0")+IFERROR(Y63/H63,"0")</f>
        <v>0</v>
      </c>
      <c r="Z64" s="555">
        <f>IFERROR(IF(Z61="",0,Z61),"0")+IFERROR(IF(Z62="",0,Z62),"0")+IFERROR(IF(Z63="",0,Z63),"0")</f>
        <v>0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83"/>
      <c r="P65" s="572" t="s">
        <v>75</v>
      </c>
      <c r="Q65" s="573"/>
      <c r="R65" s="573"/>
      <c r="S65" s="573"/>
      <c r="T65" s="573"/>
      <c r="U65" s="573"/>
      <c r="V65" s="574"/>
      <c r="W65" s="37" t="s">
        <v>69</v>
      </c>
      <c r="X65" s="555">
        <f>IFERROR(SUM(X61:X63),"0")</f>
        <v>0</v>
      </c>
      <c r="Y65" s="555">
        <f>IFERROR(SUM(Y61:Y63),"0")</f>
        <v>0</v>
      </c>
      <c r="Z65" s="37"/>
      <c r="AA65" s="556"/>
      <c r="AB65" s="556"/>
      <c r="AC65" s="556"/>
    </row>
    <row r="66" spans="1:68" ht="14.25" customHeight="1" x14ac:dyDescent="0.25">
      <c r="A66" s="569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customHeight="1" x14ac:dyDescent="0.25">
      <c r="A67" s="54" t="s">
        <v>145</v>
      </c>
      <c r="B67" s="54" t="s">
        <v>146</v>
      </c>
      <c r="C67" s="31">
        <v>4301031243</v>
      </c>
      <c r="D67" s="560">
        <v>4680115885073</v>
      </c>
      <c r="E67" s="561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60">
        <v>4680115885097</v>
      </c>
      <c r="E68" s="561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82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83"/>
      <c r="P69" s="572" t="s">
        <v>75</v>
      </c>
      <c r="Q69" s="573"/>
      <c r="R69" s="573"/>
      <c r="S69" s="573"/>
      <c r="T69" s="573"/>
      <c r="U69" s="573"/>
      <c r="V69" s="574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83"/>
      <c r="P70" s="572" t="s">
        <v>75</v>
      </c>
      <c r="Q70" s="573"/>
      <c r="R70" s="573"/>
      <c r="S70" s="573"/>
      <c r="T70" s="573"/>
      <c r="U70" s="573"/>
      <c r="V70" s="574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customHeight="1" x14ac:dyDescent="0.25">
      <c r="A71" s="569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60">
        <v>4680115885769</v>
      </c>
      <c r="E72" s="561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5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60">
        <v>4680115884311</v>
      </c>
      <c r="E73" s="561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60">
        <v>4680115885929</v>
      </c>
      <c r="E74" s="561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60">
        <v>4680115884403</v>
      </c>
      <c r="E75" s="561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82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83"/>
      <c r="P76" s="572" t="s">
        <v>75</v>
      </c>
      <c r="Q76" s="573"/>
      <c r="R76" s="573"/>
      <c r="S76" s="573"/>
      <c r="T76" s="573"/>
      <c r="U76" s="573"/>
      <c r="V76" s="574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83"/>
      <c r="P77" s="572" t="s">
        <v>75</v>
      </c>
      <c r="Q77" s="573"/>
      <c r="R77" s="573"/>
      <c r="S77" s="573"/>
      <c r="T77" s="573"/>
      <c r="U77" s="573"/>
      <c r="V77" s="574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customHeight="1" x14ac:dyDescent="0.25">
      <c r="A78" s="569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0">
        <v>4680115881532</v>
      </c>
      <c r="E79" s="561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5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0</v>
      </c>
      <c r="Y79" s="55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60">
        <v>4680115881464</v>
      </c>
      <c r="E80" s="561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82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83"/>
      <c r="P81" s="572" t="s">
        <v>75</v>
      </c>
      <c r="Q81" s="573"/>
      <c r="R81" s="573"/>
      <c r="S81" s="573"/>
      <c r="T81" s="573"/>
      <c r="U81" s="573"/>
      <c r="V81" s="574"/>
      <c r="W81" s="37" t="s">
        <v>76</v>
      </c>
      <c r="X81" s="555">
        <f>IFERROR(X79/H79,"0")+IFERROR(X80/H80,"0")</f>
        <v>0</v>
      </c>
      <c r="Y81" s="555">
        <f>IFERROR(Y79/H79,"0")+IFERROR(Y80/H80,"0")</f>
        <v>0</v>
      </c>
      <c r="Z81" s="555">
        <f>IFERROR(IF(Z79="",0,Z79),"0")+IFERROR(IF(Z80="",0,Z80),"0")</f>
        <v>0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83"/>
      <c r="P82" s="572" t="s">
        <v>75</v>
      </c>
      <c r="Q82" s="573"/>
      <c r="R82" s="573"/>
      <c r="S82" s="573"/>
      <c r="T82" s="573"/>
      <c r="U82" s="573"/>
      <c r="V82" s="574"/>
      <c r="W82" s="37" t="s">
        <v>69</v>
      </c>
      <c r="X82" s="555">
        <f>IFERROR(SUM(X79:X80),"0")</f>
        <v>0</v>
      </c>
      <c r="Y82" s="555">
        <f>IFERROR(SUM(Y79:Y80),"0")</f>
        <v>0</v>
      </c>
      <c r="Z82" s="37"/>
      <c r="AA82" s="556"/>
      <c r="AB82" s="556"/>
      <c r="AC82" s="556"/>
    </row>
    <row r="83" spans="1:68" ht="16.5" customHeight="1" x14ac:dyDescent="0.25">
      <c r="A83" s="567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customHeight="1" x14ac:dyDescent="0.25">
      <c r="A84" s="569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0">
        <v>4680115881327</v>
      </c>
      <c r="E85" s="561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0</v>
      </c>
      <c r="Y85" s="55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173</v>
      </c>
      <c r="B86" s="54" t="s">
        <v>174</v>
      </c>
      <c r="C86" s="31">
        <v>4301011261</v>
      </c>
      <c r="D86" s="560">
        <v>4680115887732</v>
      </c>
      <c r="E86" s="561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57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4301011476</v>
      </c>
      <c r="D87" s="560">
        <v>4680115881518</v>
      </c>
      <c r="E87" s="561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 t="s">
        <v>114</v>
      </c>
      <c r="M87" s="33" t="s">
        <v>80</v>
      </c>
      <c r="N87" s="33"/>
      <c r="O87" s="32">
        <v>50</v>
      </c>
      <c r="P87" s="74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 t="s">
        <v>108</v>
      </c>
      <c r="AK87" s="68">
        <v>48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0">
        <v>4680115881303</v>
      </c>
      <c r="E88" s="561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 t="s">
        <v>114</v>
      </c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0</v>
      </c>
      <c r="Y88" s="55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82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83"/>
      <c r="P89" s="572" t="s">
        <v>75</v>
      </c>
      <c r="Q89" s="573"/>
      <c r="R89" s="573"/>
      <c r="S89" s="573"/>
      <c r="T89" s="573"/>
      <c r="U89" s="573"/>
      <c r="V89" s="574"/>
      <c r="W89" s="37" t="s">
        <v>76</v>
      </c>
      <c r="X89" s="555">
        <f>IFERROR(X85/H85,"0")+IFERROR(X86/H86,"0")+IFERROR(X87/H87,"0")+IFERROR(X88/H88,"0")</f>
        <v>0</v>
      </c>
      <c r="Y89" s="555">
        <f>IFERROR(Y85/H85,"0")+IFERROR(Y86/H86,"0")+IFERROR(Y87/H87,"0")+IFERROR(Y88/H88,"0")</f>
        <v>0</v>
      </c>
      <c r="Z89" s="555">
        <f>IFERROR(IF(Z85="",0,Z85),"0")+IFERROR(IF(Z86="",0,Z86),"0")+IFERROR(IF(Z87="",0,Z87),"0")+IFERROR(IF(Z88="",0,Z88),"0")</f>
        <v>0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83"/>
      <c r="P90" s="572" t="s">
        <v>75</v>
      </c>
      <c r="Q90" s="573"/>
      <c r="R90" s="573"/>
      <c r="S90" s="573"/>
      <c r="T90" s="573"/>
      <c r="U90" s="573"/>
      <c r="V90" s="574"/>
      <c r="W90" s="37" t="s">
        <v>69</v>
      </c>
      <c r="X90" s="555">
        <f>IFERROR(SUM(X85:X88),"0")</f>
        <v>0</v>
      </c>
      <c r="Y90" s="555">
        <f>IFERROR(SUM(Y85:Y88),"0")</f>
        <v>0</v>
      </c>
      <c r="Z90" s="37"/>
      <c r="AA90" s="556"/>
      <c r="AB90" s="556"/>
      <c r="AC90" s="556"/>
    </row>
    <row r="91" spans="1:68" ht="14.25" customHeight="1" x14ac:dyDescent="0.25">
      <c r="A91" s="569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0">
        <v>4607091386967</v>
      </c>
      <c r="E92" s="561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98</v>
      </c>
      <c r="Y92" s="554">
        <f>IFERROR(IF(X92="",0,CEILING((X92/$H92),1)*$H92),"")</f>
        <v>105.3</v>
      </c>
      <c r="Z92" s="36">
        <f>IFERROR(IF(Y92=0,"",ROUNDUP(Y92/H92,0)*0.01898),"")</f>
        <v>0.24674000000000001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103.97679012345679</v>
      </c>
      <c r="BN92" s="64">
        <f>IFERROR(Y92*I92/H92,"0")</f>
        <v>111.72199999999999</v>
      </c>
      <c r="BO92" s="64">
        <f>IFERROR(1/J92*(X92/H92),"0")</f>
        <v>0.18904320987654322</v>
      </c>
      <c r="BP92" s="64">
        <f>IFERROR(1/J92*(Y92/H92),"0")</f>
        <v>0.203125</v>
      </c>
    </row>
    <row r="93" spans="1:68" ht="27" customHeight="1" x14ac:dyDescent="0.25">
      <c r="A93" s="54" t="s">
        <v>184</v>
      </c>
      <c r="B93" s="54" t="s">
        <v>185</v>
      </c>
      <c r="C93" s="31">
        <v>4301051788</v>
      </c>
      <c r="D93" s="560">
        <v>4680115884953</v>
      </c>
      <c r="E93" s="561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0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0">
        <v>4607091385731</v>
      </c>
      <c r="E94" s="561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 t="s">
        <v>188</v>
      </c>
      <c r="M94" s="33" t="s">
        <v>86</v>
      </c>
      <c r="N94" s="33"/>
      <c r="O94" s="32">
        <v>45</v>
      </c>
      <c r="P94" s="62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0</v>
      </c>
      <c r="Y94" s="55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183</v>
      </c>
      <c r="AG94" s="64"/>
      <c r="AJ94" s="68" t="s">
        <v>108</v>
      </c>
      <c r="AK94" s="68">
        <v>37.799999999999997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customHeight="1" x14ac:dyDescent="0.25">
      <c r="A95" s="54" t="s">
        <v>189</v>
      </c>
      <c r="B95" s="54" t="s">
        <v>190</v>
      </c>
      <c r="C95" s="31">
        <v>4301051438</v>
      </c>
      <c r="D95" s="560">
        <v>4680115880894</v>
      </c>
      <c r="E95" s="561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 t="s">
        <v>188</v>
      </c>
      <c r="M95" s="33" t="s">
        <v>80</v>
      </c>
      <c r="N95" s="33"/>
      <c r="O95" s="32">
        <v>45</v>
      </c>
      <c r="P95" s="63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108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82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83"/>
      <c r="P96" s="572" t="s">
        <v>75</v>
      </c>
      <c r="Q96" s="573"/>
      <c r="R96" s="573"/>
      <c r="S96" s="573"/>
      <c r="T96" s="573"/>
      <c r="U96" s="573"/>
      <c r="V96" s="574"/>
      <c r="W96" s="37" t="s">
        <v>76</v>
      </c>
      <c r="X96" s="555">
        <f>IFERROR(X92/H92,"0")+IFERROR(X93/H93,"0")+IFERROR(X94/H94,"0")+IFERROR(X95/H95,"0")</f>
        <v>12.098765432098766</v>
      </c>
      <c r="Y96" s="555">
        <f>IFERROR(Y92/H92,"0")+IFERROR(Y93/H93,"0")+IFERROR(Y94/H94,"0")+IFERROR(Y95/H95,"0")</f>
        <v>13</v>
      </c>
      <c r="Z96" s="555">
        <f>IFERROR(IF(Z92="",0,Z92),"0")+IFERROR(IF(Z93="",0,Z93),"0")+IFERROR(IF(Z94="",0,Z94),"0")+IFERROR(IF(Z95="",0,Z95),"0")</f>
        <v>0.24674000000000001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83"/>
      <c r="P97" s="572" t="s">
        <v>75</v>
      </c>
      <c r="Q97" s="573"/>
      <c r="R97" s="573"/>
      <c r="S97" s="573"/>
      <c r="T97" s="573"/>
      <c r="U97" s="573"/>
      <c r="V97" s="574"/>
      <c r="W97" s="37" t="s">
        <v>69</v>
      </c>
      <c r="X97" s="555">
        <f>IFERROR(SUM(X92:X95),"0")</f>
        <v>98</v>
      </c>
      <c r="Y97" s="555">
        <f>IFERROR(SUM(Y92:Y95),"0")</f>
        <v>105.3</v>
      </c>
      <c r="Z97" s="37"/>
      <c r="AA97" s="556"/>
      <c r="AB97" s="556"/>
      <c r="AC97" s="556"/>
    </row>
    <row r="98" spans="1:68" ht="16.5" customHeight="1" x14ac:dyDescent="0.25">
      <c r="A98" s="567" t="s">
        <v>192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customHeight="1" x14ac:dyDescent="0.25">
      <c r="A99" s="569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60">
        <v>4680115882133</v>
      </c>
      <c r="E100" s="561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2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0</v>
      </c>
      <c r="Y100" s="554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195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customHeight="1" x14ac:dyDescent="0.25">
      <c r="A101" s="54" t="s">
        <v>196</v>
      </c>
      <c r="B101" s="54" t="s">
        <v>197</v>
      </c>
      <c r="C101" s="31">
        <v>4301012051</v>
      </c>
      <c r="D101" s="560">
        <v>4680115887718</v>
      </c>
      <c r="E101" s="561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4301011417</v>
      </c>
      <c r="D102" s="560">
        <v>4680115880269</v>
      </c>
      <c r="E102" s="561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 t="s">
        <v>114</v>
      </c>
      <c r="M102" s="33" t="s">
        <v>80</v>
      </c>
      <c r="N102" s="33"/>
      <c r="O102" s="32">
        <v>50</v>
      </c>
      <c r="P102" s="8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108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560">
        <v>4680115880429</v>
      </c>
      <c r="E103" s="561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114</v>
      </c>
      <c r="M103" s="33" t="s">
        <v>80</v>
      </c>
      <c r="N103" s="33"/>
      <c r="O103" s="32">
        <v>50</v>
      </c>
      <c r="P103" s="65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0</v>
      </c>
      <c r="Y103" s="55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customHeight="1" x14ac:dyDescent="0.25">
      <c r="A104" s="54" t="s">
        <v>203</v>
      </c>
      <c r="B104" s="54" t="s">
        <v>204</v>
      </c>
      <c r="C104" s="31">
        <v>4301011462</v>
      </c>
      <c r="D104" s="560">
        <v>4680115881457</v>
      </c>
      <c r="E104" s="561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82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83"/>
      <c r="P105" s="572" t="s">
        <v>75</v>
      </c>
      <c r="Q105" s="573"/>
      <c r="R105" s="573"/>
      <c r="S105" s="573"/>
      <c r="T105" s="573"/>
      <c r="U105" s="573"/>
      <c r="V105" s="574"/>
      <c r="W105" s="37" t="s">
        <v>76</v>
      </c>
      <c r="X105" s="555">
        <f>IFERROR(X100/H100,"0")+IFERROR(X101/H101,"0")+IFERROR(X102/H102,"0")+IFERROR(X103/H103,"0")+IFERROR(X104/H104,"0")</f>
        <v>0</v>
      </c>
      <c r="Y105" s="555">
        <f>IFERROR(Y100/H100,"0")+IFERROR(Y101/H101,"0")+IFERROR(Y102/H102,"0")+IFERROR(Y103/H103,"0")+IFERROR(Y104/H104,"0")</f>
        <v>0</v>
      </c>
      <c r="Z105" s="555">
        <f>IFERROR(IF(Z100="",0,Z100),"0")+IFERROR(IF(Z101="",0,Z101),"0")+IFERROR(IF(Z102="",0,Z102),"0")+IFERROR(IF(Z103="",0,Z103),"0")+IFERROR(IF(Z104="",0,Z104),"0")</f>
        <v>0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83"/>
      <c r="P106" s="572" t="s">
        <v>75</v>
      </c>
      <c r="Q106" s="573"/>
      <c r="R106" s="573"/>
      <c r="S106" s="573"/>
      <c r="T106" s="573"/>
      <c r="U106" s="573"/>
      <c r="V106" s="574"/>
      <c r="W106" s="37" t="s">
        <v>69</v>
      </c>
      <c r="X106" s="555">
        <f>IFERROR(SUM(X100:X104),"0")</f>
        <v>0</v>
      </c>
      <c r="Y106" s="555">
        <f>IFERROR(SUM(Y100:Y104),"0")</f>
        <v>0</v>
      </c>
      <c r="Z106" s="37"/>
      <c r="AA106" s="556"/>
      <c r="AB106" s="556"/>
      <c r="AC106" s="556"/>
    </row>
    <row r="107" spans="1:68" ht="14.25" customHeight="1" x14ac:dyDescent="0.25">
      <c r="A107" s="569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customHeight="1" x14ac:dyDescent="0.25">
      <c r="A108" s="54" t="s">
        <v>205</v>
      </c>
      <c r="B108" s="54" t="s">
        <v>206</v>
      </c>
      <c r="C108" s="31">
        <v>4301020345</v>
      </c>
      <c r="D108" s="560">
        <v>4680115881488</v>
      </c>
      <c r="E108" s="561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208</v>
      </c>
      <c r="B109" s="54" t="s">
        <v>209</v>
      </c>
      <c r="C109" s="31">
        <v>4301020186</v>
      </c>
      <c r="D109" s="560">
        <v>4680115887664</v>
      </c>
      <c r="E109" s="561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4301020346</v>
      </c>
      <c r="D110" s="560">
        <v>4680115882775</v>
      </c>
      <c r="E110" s="561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5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214</v>
      </c>
      <c r="B111" s="54" t="s">
        <v>215</v>
      </c>
      <c r="C111" s="31">
        <v>4301020344</v>
      </c>
      <c r="D111" s="560">
        <v>4680115880658</v>
      </c>
      <c r="E111" s="561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81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82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83"/>
      <c r="P112" s="572" t="s">
        <v>75</v>
      </c>
      <c r="Q112" s="573"/>
      <c r="R112" s="573"/>
      <c r="S112" s="573"/>
      <c r="T112" s="573"/>
      <c r="U112" s="573"/>
      <c r="V112" s="574"/>
      <c r="W112" s="37" t="s">
        <v>76</v>
      </c>
      <c r="X112" s="555">
        <f>IFERROR(X108/H108,"0")+IFERROR(X109/H109,"0")+IFERROR(X110/H110,"0")+IFERROR(X111/H111,"0")</f>
        <v>0</v>
      </c>
      <c r="Y112" s="555">
        <f>IFERROR(Y108/H108,"0")+IFERROR(Y109/H109,"0")+IFERROR(Y110/H110,"0")+IFERROR(Y111/H111,"0")</f>
        <v>0</v>
      </c>
      <c r="Z112" s="555">
        <f>IFERROR(IF(Z108="",0,Z108),"0")+IFERROR(IF(Z109="",0,Z109),"0")+IFERROR(IF(Z110="",0,Z110),"0")+IFERROR(IF(Z111="",0,Z111),"0")</f>
        <v>0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83"/>
      <c r="P113" s="572" t="s">
        <v>75</v>
      </c>
      <c r="Q113" s="573"/>
      <c r="R113" s="573"/>
      <c r="S113" s="573"/>
      <c r="T113" s="573"/>
      <c r="U113" s="573"/>
      <c r="V113" s="574"/>
      <c r="W113" s="37" t="s">
        <v>69</v>
      </c>
      <c r="X113" s="555">
        <f>IFERROR(SUM(X108:X111),"0")</f>
        <v>0</v>
      </c>
      <c r="Y113" s="555">
        <f>IFERROR(SUM(Y108:Y111),"0")</f>
        <v>0</v>
      </c>
      <c r="Z113" s="37"/>
      <c r="AA113" s="556"/>
      <c r="AB113" s="556"/>
      <c r="AC113" s="556"/>
    </row>
    <row r="114" spans="1:68" ht="14.25" customHeight="1" x14ac:dyDescent="0.25">
      <c r="A114" s="569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0">
        <v>4607091385168</v>
      </c>
      <c r="E115" s="561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101</v>
      </c>
      <c r="Y115" s="554">
        <f>IFERROR(IF(X115="",0,CEILING((X115/$H115),1)*$H115),"")</f>
        <v>105.3</v>
      </c>
      <c r="Z115" s="36">
        <f>IFERROR(IF(Y115=0,"",ROUNDUP(Y115/H115,0)*0.01898),"")</f>
        <v>0.24674000000000001</v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107.08493827160493</v>
      </c>
      <c r="BN115" s="64">
        <f>IFERROR(Y115*I115/H115,"0")</f>
        <v>111.64399999999999</v>
      </c>
      <c r="BO115" s="64">
        <f>IFERROR(1/J115*(X115/H115),"0")</f>
        <v>0.19483024691358025</v>
      </c>
      <c r="BP115" s="64">
        <f>IFERROR(1/J115*(Y115/H115),"0")</f>
        <v>0.203125</v>
      </c>
    </row>
    <row r="116" spans="1:68" ht="27" customHeight="1" x14ac:dyDescent="0.25">
      <c r="A116" s="54" t="s">
        <v>219</v>
      </c>
      <c r="B116" s="54" t="s">
        <v>220</v>
      </c>
      <c r="C116" s="31">
        <v>4301051730</v>
      </c>
      <c r="D116" s="560">
        <v>4607091383256</v>
      </c>
      <c r="E116" s="561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0">
        <v>4607091385748</v>
      </c>
      <c r="E117" s="561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188</v>
      </c>
      <c r="M117" s="33" t="s">
        <v>86</v>
      </c>
      <c r="N117" s="33"/>
      <c r="O117" s="32">
        <v>45</v>
      </c>
      <c r="P117" s="69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0</v>
      </c>
      <c r="Y117" s="554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0">
        <v>4680115884533</v>
      </c>
      <c r="E118" s="561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68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82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83"/>
      <c r="P119" s="572" t="s">
        <v>75</v>
      </c>
      <c r="Q119" s="573"/>
      <c r="R119" s="573"/>
      <c r="S119" s="573"/>
      <c r="T119" s="573"/>
      <c r="U119" s="573"/>
      <c r="V119" s="574"/>
      <c r="W119" s="37" t="s">
        <v>76</v>
      </c>
      <c r="X119" s="555">
        <f>IFERROR(X115/H115,"0")+IFERROR(X116/H116,"0")+IFERROR(X117/H117,"0")+IFERROR(X118/H118,"0")</f>
        <v>12.469135802469136</v>
      </c>
      <c r="Y119" s="555">
        <f>IFERROR(Y115/H115,"0")+IFERROR(Y116/H116,"0")+IFERROR(Y117/H117,"0")+IFERROR(Y118/H118,"0")</f>
        <v>13</v>
      </c>
      <c r="Z119" s="555">
        <f>IFERROR(IF(Z115="",0,Z115),"0")+IFERROR(IF(Z116="",0,Z116),"0")+IFERROR(IF(Z117="",0,Z117),"0")+IFERROR(IF(Z118="",0,Z118),"0")</f>
        <v>0.24674000000000001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83"/>
      <c r="P120" s="572" t="s">
        <v>75</v>
      </c>
      <c r="Q120" s="573"/>
      <c r="R120" s="573"/>
      <c r="S120" s="573"/>
      <c r="T120" s="573"/>
      <c r="U120" s="573"/>
      <c r="V120" s="574"/>
      <c r="W120" s="37" t="s">
        <v>69</v>
      </c>
      <c r="X120" s="555">
        <f>IFERROR(SUM(X115:X118),"0")</f>
        <v>101</v>
      </c>
      <c r="Y120" s="555">
        <f>IFERROR(SUM(Y115:Y118),"0")</f>
        <v>105.3</v>
      </c>
      <c r="Z120" s="37"/>
      <c r="AA120" s="556"/>
      <c r="AB120" s="556"/>
      <c r="AC120" s="556"/>
    </row>
    <row r="121" spans="1:68" ht="14.25" customHeight="1" x14ac:dyDescent="0.25">
      <c r="A121" s="569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0">
        <v>4680115880238</v>
      </c>
      <c r="E122" s="561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2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82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83"/>
      <c r="P123" s="572" t="s">
        <v>75</v>
      </c>
      <c r="Q123" s="573"/>
      <c r="R123" s="573"/>
      <c r="S123" s="573"/>
      <c r="T123" s="573"/>
      <c r="U123" s="573"/>
      <c r="V123" s="574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83"/>
      <c r="P124" s="572" t="s">
        <v>75</v>
      </c>
      <c r="Q124" s="573"/>
      <c r="R124" s="573"/>
      <c r="S124" s="573"/>
      <c r="T124" s="573"/>
      <c r="U124" s="573"/>
      <c r="V124" s="574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customHeight="1" x14ac:dyDescent="0.25">
      <c r="A125" s="567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customHeight="1" x14ac:dyDescent="0.25">
      <c r="A126" s="569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0">
        <v>4680115882577</v>
      </c>
      <c r="E127" s="561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 t="s">
        <v>188</v>
      </c>
      <c r="M127" s="33" t="s">
        <v>96</v>
      </c>
      <c r="N127" s="33"/>
      <c r="O127" s="32">
        <v>90</v>
      </c>
      <c r="P127" s="83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0">
        <v>4680115882577</v>
      </c>
      <c r="E128" s="561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 t="s">
        <v>188</v>
      </c>
      <c r="M128" s="33" t="s">
        <v>96</v>
      </c>
      <c r="N128" s="33"/>
      <c r="O128" s="32">
        <v>90</v>
      </c>
      <c r="P128" s="84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108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83"/>
      <c r="P129" s="572" t="s">
        <v>75</v>
      </c>
      <c r="Q129" s="573"/>
      <c r="R129" s="573"/>
      <c r="S129" s="573"/>
      <c r="T129" s="573"/>
      <c r="U129" s="573"/>
      <c r="V129" s="574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83"/>
      <c r="P130" s="572" t="s">
        <v>75</v>
      </c>
      <c r="Q130" s="573"/>
      <c r="R130" s="573"/>
      <c r="S130" s="573"/>
      <c r="T130" s="573"/>
      <c r="U130" s="573"/>
      <c r="V130" s="574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customHeight="1" x14ac:dyDescent="0.25">
      <c r="A131" s="569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0">
        <v>4680115883444</v>
      </c>
      <c r="E132" s="561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7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0">
        <v>4680115883444</v>
      </c>
      <c r="E133" s="561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 t="s">
        <v>188</v>
      </c>
      <c r="M133" s="33" t="s">
        <v>96</v>
      </c>
      <c r="N133" s="33"/>
      <c r="O133" s="32">
        <v>90</v>
      </c>
      <c r="P133" s="8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82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83"/>
      <c r="P134" s="572" t="s">
        <v>75</v>
      </c>
      <c r="Q134" s="573"/>
      <c r="R134" s="573"/>
      <c r="S134" s="573"/>
      <c r="T134" s="573"/>
      <c r="U134" s="573"/>
      <c r="V134" s="574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83"/>
      <c r="P135" s="572" t="s">
        <v>75</v>
      </c>
      <c r="Q135" s="573"/>
      <c r="R135" s="573"/>
      <c r="S135" s="573"/>
      <c r="T135" s="573"/>
      <c r="U135" s="573"/>
      <c r="V135" s="574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customHeight="1" x14ac:dyDescent="0.25">
      <c r="A136" s="569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0">
        <v>4680115882584</v>
      </c>
      <c r="E137" s="561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7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0">
        <v>4680115882584</v>
      </c>
      <c r="E138" s="561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3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82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83"/>
      <c r="P139" s="572" t="s">
        <v>75</v>
      </c>
      <c r="Q139" s="573"/>
      <c r="R139" s="573"/>
      <c r="S139" s="573"/>
      <c r="T139" s="573"/>
      <c r="U139" s="573"/>
      <c r="V139" s="574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83"/>
      <c r="P140" s="572" t="s">
        <v>75</v>
      </c>
      <c r="Q140" s="573"/>
      <c r="R140" s="573"/>
      <c r="S140" s="573"/>
      <c r="T140" s="573"/>
      <c r="U140" s="573"/>
      <c r="V140" s="574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customHeight="1" x14ac:dyDescent="0.25">
      <c r="A141" s="567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customHeight="1" x14ac:dyDescent="0.25">
      <c r="A142" s="569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0">
        <v>4680115887374</v>
      </c>
      <c r="E143" s="561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0">
        <v>4607091384604</v>
      </c>
      <c r="E144" s="561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82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83"/>
      <c r="P145" s="572" t="s">
        <v>75</v>
      </c>
      <c r="Q145" s="573"/>
      <c r="R145" s="573"/>
      <c r="S145" s="573"/>
      <c r="T145" s="573"/>
      <c r="U145" s="573"/>
      <c r="V145" s="574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83"/>
      <c r="P146" s="572" t="s">
        <v>75</v>
      </c>
      <c r="Q146" s="573"/>
      <c r="R146" s="573"/>
      <c r="S146" s="573"/>
      <c r="T146" s="573"/>
      <c r="U146" s="573"/>
      <c r="V146" s="574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customHeight="1" x14ac:dyDescent="0.25">
      <c r="A147" s="569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customHeight="1" x14ac:dyDescent="0.25">
      <c r="A148" s="54" t="s">
        <v>247</v>
      </c>
      <c r="B148" s="54" t="s">
        <v>248</v>
      </c>
      <c r="C148" s="31">
        <v>4301031450</v>
      </c>
      <c r="D148" s="560">
        <v>4680115887428</v>
      </c>
      <c r="E148" s="561"/>
      <c r="F148" s="552">
        <v>0.7</v>
      </c>
      <c r="G148" s="32">
        <v>6</v>
      </c>
      <c r="H148" s="552">
        <v>4.2</v>
      </c>
      <c r="I148" s="552">
        <v>4.3899999999999997</v>
      </c>
      <c r="J148" s="32">
        <v>132</v>
      </c>
      <c r="K148" s="32" t="s">
        <v>111</v>
      </c>
      <c r="L148" s="32"/>
      <c r="M148" s="33" t="s">
        <v>68</v>
      </c>
      <c r="N148" s="33"/>
      <c r="O148" s="32">
        <v>40</v>
      </c>
      <c r="P148" s="645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4301030895</v>
      </c>
      <c r="D149" s="560">
        <v>4607091387667</v>
      </c>
      <c r="E149" s="561"/>
      <c r="F149" s="552">
        <v>0.9</v>
      </c>
      <c r="G149" s="32">
        <v>10</v>
      </c>
      <c r="H149" s="552">
        <v>9</v>
      </c>
      <c r="I149" s="552">
        <v>9.56</v>
      </c>
      <c r="J149" s="32">
        <v>64</v>
      </c>
      <c r="K149" s="32" t="s">
        <v>104</v>
      </c>
      <c r="L149" s="32"/>
      <c r="M149" s="33" t="s">
        <v>106</v>
      </c>
      <c r="N149" s="33"/>
      <c r="O149" s="32">
        <v>40</v>
      </c>
      <c r="P149" s="87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IFERROR(IF(Y149=0,"",ROUNDUP(Y149/H149,0)*0.01898),"")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0">
        <v>4607091387636</v>
      </c>
      <c r="E150" s="561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0">
        <v>4680115887336</v>
      </c>
      <c r="E151" s="561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82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0">
        <v>4607091382426</v>
      </c>
      <c r="E152" s="561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0">
        <v>4680115887398</v>
      </c>
      <c r="E153" s="561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82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83"/>
      <c r="P154" s="572" t="s">
        <v>75</v>
      </c>
      <c r="Q154" s="573"/>
      <c r="R154" s="573"/>
      <c r="S154" s="573"/>
      <c r="T154" s="573"/>
      <c r="U154" s="573"/>
      <c r="V154" s="574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83"/>
      <c r="P155" s="572" t="s">
        <v>75</v>
      </c>
      <c r="Q155" s="573"/>
      <c r="R155" s="573"/>
      <c r="S155" s="573"/>
      <c r="T155" s="573"/>
      <c r="U155" s="573"/>
      <c r="V155" s="574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customHeight="1" x14ac:dyDescent="0.25">
      <c r="A156" s="569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0">
        <v>4680115887459</v>
      </c>
      <c r="E157" s="561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83"/>
      <c r="P158" s="572" t="s">
        <v>75</v>
      </c>
      <c r="Q158" s="573"/>
      <c r="R158" s="573"/>
      <c r="S158" s="573"/>
      <c r="T158" s="573"/>
      <c r="U158" s="573"/>
      <c r="V158" s="574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83"/>
      <c r="P159" s="572" t="s">
        <v>75</v>
      </c>
      <c r="Q159" s="573"/>
      <c r="R159" s="573"/>
      <c r="S159" s="573"/>
      <c r="T159" s="573"/>
      <c r="U159" s="573"/>
      <c r="V159" s="574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customHeight="1" x14ac:dyDescent="0.2">
      <c r="A160" s="630" t="s">
        <v>268</v>
      </c>
      <c r="B160" s="631"/>
      <c r="C160" s="631"/>
      <c r="D160" s="631"/>
      <c r="E160" s="631"/>
      <c r="F160" s="631"/>
      <c r="G160" s="631"/>
      <c r="H160" s="631"/>
      <c r="I160" s="631"/>
      <c r="J160" s="631"/>
      <c r="K160" s="631"/>
      <c r="L160" s="631"/>
      <c r="M160" s="631"/>
      <c r="N160" s="631"/>
      <c r="O160" s="631"/>
      <c r="P160" s="631"/>
      <c r="Q160" s="631"/>
      <c r="R160" s="631"/>
      <c r="S160" s="631"/>
      <c r="T160" s="631"/>
      <c r="U160" s="631"/>
      <c r="V160" s="631"/>
      <c r="W160" s="631"/>
      <c r="X160" s="631"/>
      <c r="Y160" s="631"/>
      <c r="Z160" s="631"/>
      <c r="AA160" s="48"/>
      <c r="AB160" s="48"/>
      <c r="AC160" s="48"/>
    </row>
    <row r="161" spans="1:68" ht="16.5" customHeight="1" x14ac:dyDescent="0.25">
      <c r="A161" s="567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customHeight="1" x14ac:dyDescent="0.25">
      <c r="A162" s="569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0">
        <v>4680115886223</v>
      </c>
      <c r="E163" s="561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83"/>
      <c r="P164" s="572" t="s">
        <v>75</v>
      </c>
      <c r="Q164" s="573"/>
      <c r="R164" s="573"/>
      <c r="S164" s="573"/>
      <c r="T164" s="573"/>
      <c r="U164" s="573"/>
      <c r="V164" s="574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83"/>
      <c r="P165" s="572" t="s">
        <v>75</v>
      </c>
      <c r="Q165" s="573"/>
      <c r="R165" s="573"/>
      <c r="S165" s="573"/>
      <c r="T165" s="573"/>
      <c r="U165" s="573"/>
      <c r="V165" s="574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customHeight="1" x14ac:dyDescent="0.25">
      <c r="A166" s="569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0">
        <v>4680115887824</v>
      </c>
      <c r="E167" s="561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9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0">
        <v>4680115887701</v>
      </c>
      <c r="E168" s="561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56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0">
        <v>4680115880993</v>
      </c>
      <c r="E169" s="561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/>
      <c r="M169" s="33" t="s">
        <v>68</v>
      </c>
      <c r="N169" s="33"/>
      <c r="O169" s="32">
        <v>40</v>
      </c>
      <c r="P169" s="6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0</v>
      </c>
      <c r="Y169" s="554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0">
        <v>4680115881761</v>
      </c>
      <c r="E170" s="561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0">
        <v>4680115881563</v>
      </c>
      <c r="E171" s="561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114</v>
      </c>
      <c r="M171" s="33" t="s">
        <v>68</v>
      </c>
      <c r="N171" s="33"/>
      <c r="O171" s="32">
        <v>40</v>
      </c>
      <c r="P171" s="6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0</v>
      </c>
      <c r="Y171" s="554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0">
        <v>4680115887565</v>
      </c>
      <c r="E172" s="561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0">
        <v>4680115880986</v>
      </c>
      <c r="E173" s="561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0</v>
      </c>
      <c r="Y173" s="554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0">
        <v>4680115887213</v>
      </c>
      <c r="E174" s="561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0">
        <v>4680115881785</v>
      </c>
      <c r="E175" s="561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0">
        <v>4680115886537</v>
      </c>
      <c r="E176" s="561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0">
        <v>4680115887596</v>
      </c>
      <c r="E177" s="561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0">
        <v>4680115881679</v>
      </c>
      <c r="E178" s="561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0</v>
      </c>
      <c r="Y178" s="554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0">
        <v>4680115880191</v>
      </c>
      <c r="E179" s="561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0">
        <v>4680115883963</v>
      </c>
      <c r="E180" s="561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82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83"/>
      <c r="P181" s="572" t="s">
        <v>75</v>
      </c>
      <c r="Q181" s="573"/>
      <c r="R181" s="573"/>
      <c r="S181" s="573"/>
      <c r="T181" s="573"/>
      <c r="U181" s="573"/>
      <c r="V181" s="574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83"/>
      <c r="P182" s="572" t="s">
        <v>75</v>
      </c>
      <c r="Q182" s="573"/>
      <c r="R182" s="573"/>
      <c r="S182" s="573"/>
      <c r="T182" s="573"/>
      <c r="U182" s="573"/>
      <c r="V182" s="574"/>
      <c r="W182" s="37" t="s">
        <v>69</v>
      </c>
      <c r="X182" s="555">
        <f>IFERROR(SUM(X167:X180),"0")</f>
        <v>0</v>
      </c>
      <c r="Y182" s="555">
        <f>IFERROR(SUM(Y167:Y180),"0")</f>
        <v>0</v>
      </c>
      <c r="Z182" s="37"/>
      <c r="AA182" s="556"/>
      <c r="AB182" s="556"/>
      <c r="AC182" s="556"/>
    </row>
    <row r="183" spans="1:68" ht="14.25" customHeight="1" x14ac:dyDescent="0.25">
      <c r="A183" s="569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0">
        <v>4680115886780</v>
      </c>
      <c r="E184" s="561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0">
        <v>4680115886742</v>
      </c>
      <c r="E185" s="561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0</v>
      </c>
      <c r="Y185" s="554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0">
        <v>4680115886766</v>
      </c>
      <c r="E186" s="561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0</v>
      </c>
      <c r="Y186" s="55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82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83"/>
      <c r="P187" s="572" t="s">
        <v>75</v>
      </c>
      <c r="Q187" s="573"/>
      <c r="R187" s="573"/>
      <c r="S187" s="573"/>
      <c r="T187" s="573"/>
      <c r="U187" s="573"/>
      <c r="V187" s="574"/>
      <c r="W187" s="37" t="s">
        <v>76</v>
      </c>
      <c r="X187" s="555">
        <f>IFERROR(X184/H184,"0")+IFERROR(X185/H185,"0")+IFERROR(X186/H186,"0")</f>
        <v>0</v>
      </c>
      <c r="Y187" s="555">
        <f>IFERROR(Y184/H184,"0")+IFERROR(Y185/H185,"0")+IFERROR(Y186/H186,"0")</f>
        <v>0</v>
      </c>
      <c r="Z187" s="555">
        <f>IFERROR(IF(Z184="",0,Z184),"0")+IFERROR(IF(Z185="",0,Z185),"0")+IFERROR(IF(Z186="",0,Z186),"0")</f>
        <v>0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83"/>
      <c r="P188" s="572" t="s">
        <v>75</v>
      </c>
      <c r="Q188" s="573"/>
      <c r="R188" s="573"/>
      <c r="S188" s="573"/>
      <c r="T188" s="573"/>
      <c r="U188" s="573"/>
      <c r="V188" s="574"/>
      <c r="W188" s="37" t="s">
        <v>69</v>
      </c>
      <c r="X188" s="555">
        <f>IFERROR(SUM(X184:X186),"0")</f>
        <v>0</v>
      </c>
      <c r="Y188" s="555">
        <f>IFERROR(SUM(Y184:Y186),"0")</f>
        <v>0</v>
      </c>
      <c r="Z188" s="37"/>
      <c r="AA188" s="556"/>
      <c r="AB188" s="556"/>
      <c r="AC188" s="556"/>
    </row>
    <row r="189" spans="1:68" ht="14.25" customHeight="1" x14ac:dyDescent="0.25">
      <c r="A189" s="569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0">
        <v>4680115886797</v>
      </c>
      <c r="E190" s="561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1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x14ac:dyDescent="0.2">
      <c r="A191" s="582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83"/>
      <c r="P191" s="572" t="s">
        <v>75</v>
      </c>
      <c r="Q191" s="573"/>
      <c r="R191" s="573"/>
      <c r="S191" s="573"/>
      <c r="T191" s="573"/>
      <c r="U191" s="573"/>
      <c r="V191" s="574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83"/>
      <c r="P192" s="572" t="s">
        <v>75</v>
      </c>
      <c r="Q192" s="573"/>
      <c r="R192" s="573"/>
      <c r="S192" s="573"/>
      <c r="T192" s="573"/>
      <c r="U192" s="573"/>
      <c r="V192" s="574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customHeight="1" x14ac:dyDescent="0.25">
      <c r="A193" s="567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customHeight="1" x14ac:dyDescent="0.25">
      <c r="A194" s="569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0">
        <v>4680115881402</v>
      </c>
      <c r="E195" s="561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69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0">
        <v>4680115881396</v>
      </c>
      <c r="E196" s="561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 t="s">
        <v>188</v>
      </c>
      <c r="M196" s="33" t="s">
        <v>106</v>
      </c>
      <c r="N196" s="33"/>
      <c r="O196" s="32">
        <v>55</v>
      </c>
      <c r="P196" s="83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 t="s">
        <v>108</v>
      </c>
      <c r="AK196" s="68">
        <v>37.799999999999997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83"/>
      <c r="P197" s="572" t="s">
        <v>75</v>
      </c>
      <c r="Q197" s="573"/>
      <c r="R197" s="573"/>
      <c r="S197" s="573"/>
      <c r="T197" s="573"/>
      <c r="U197" s="573"/>
      <c r="V197" s="574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83"/>
      <c r="P198" s="572" t="s">
        <v>75</v>
      </c>
      <c r="Q198" s="573"/>
      <c r="R198" s="573"/>
      <c r="S198" s="573"/>
      <c r="T198" s="573"/>
      <c r="U198" s="573"/>
      <c r="V198" s="574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customHeight="1" x14ac:dyDescent="0.25">
      <c r="A199" s="569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0">
        <v>4680115882935</v>
      </c>
      <c r="E200" s="561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7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0">
        <v>4680115880764</v>
      </c>
      <c r="E201" s="561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/>
      <c r="M201" s="33" t="s">
        <v>106</v>
      </c>
      <c r="N201" s="33"/>
      <c r="O201" s="32">
        <v>50</v>
      </c>
      <c r="P20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83"/>
      <c r="P202" s="572" t="s">
        <v>75</v>
      </c>
      <c r="Q202" s="573"/>
      <c r="R202" s="573"/>
      <c r="S202" s="573"/>
      <c r="T202" s="573"/>
      <c r="U202" s="573"/>
      <c r="V202" s="574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83"/>
      <c r="P203" s="572" t="s">
        <v>75</v>
      </c>
      <c r="Q203" s="573"/>
      <c r="R203" s="573"/>
      <c r="S203" s="573"/>
      <c r="T203" s="573"/>
      <c r="U203" s="573"/>
      <c r="V203" s="574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customHeight="1" x14ac:dyDescent="0.25">
      <c r="A204" s="569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0">
        <v>4680115882683</v>
      </c>
      <c r="E205" s="561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114</v>
      </c>
      <c r="M205" s="33" t="s">
        <v>68</v>
      </c>
      <c r="N205" s="33"/>
      <c r="O205" s="32">
        <v>40</v>
      </c>
      <c r="P205" s="68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0</v>
      </c>
      <c r="Y205" s="554">
        <f t="shared" ref="Y205:Y212" si="15">IFERROR(IF(X205="",0,CEILING((X205/$H205),1)*$H205),"")</f>
        <v>0</v>
      </c>
      <c r="Z205" s="36" t="str">
        <f>IFERROR(IF(Y205=0,"",ROUNDUP(Y205/H205,0)*0.00902),"")</f>
        <v/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0</v>
      </c>
      <c r="BN205" s="64">
        <f t="shared" ref="BN205:BN212" si="17">IFERROR(Y205*I205/H205,"0")</f>
        <v>0</v>
      </c>
      <c r="BO205" s="64">
        <f t="shared" ref="BO205:BO212" si="18">IFERROR(1/J205*(X205/H205),"0")</f>
        <v>0</v>
      </c>
      <c r="BP205" s="64">
        <f t="shared" ref="BP205:BP212" si="19">IFERROR(1/J205*(Y205/H205),"0")</f>
        <v>0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0">
        <v>4680115882690</v>
      </c>
      <c r="E206" s="561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114</v>
      </c>
      <c r="M206" s="33" t="s">
        <v>68</v>
      </c>
      <c r="N206" s="33"/>
      <c r="O206" s="32">
        <v>40</v>
      </c>
      <c r="P206" s="76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0</v>
      </c>
      <c r="Y206" s="554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0">
        <v>4680115882669</v>
      </c>
      <c r="E207" s="561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 t="s">
        <v>114</v>
      </c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 t="s">
        <v>108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0">
        <v>4680115882676</v>
      </c>
      <c r="E208" s="561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114</v>
      </c>
      <c r="M208" s="33" t="s">
        <v>68</v>
      </c>
      <c r="N208" s="33"/>
      <c r="O208" s="32">
        <v>40</v>
      </c>
      <c r="P208" s="7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0</v>
      </c>
      <c r="Y208" s="554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0">
        <v>4680115884014</v>
      </c>
      <c r="E209" s="561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0</v>
      </c>
      <c r="Y209" s="554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0">
        <v>4680115884007</v>
      </c>
      <c r="E210" s="561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0</v>
      </c>
      <c r="Y210" s="554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0">
        <v>4680115884038</v>
      </c>
      <c r="E211" s="561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0">
        <v>4680115884021</v>
      </c>
      <c r="E212" s="561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77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0</v>
      </c>
      <c r="Y212" s="554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82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83"/>
      <c r="P213" s="572" t="s">
        <v>75</v>
      </c>
      <c r="Q213" s="573"/>
      <c r="R213" s="573"/>
      <c r="S213" s="573"/>
      <c r="T213" s="573"/>
      <c r="U213" s="573"/>
      <c r="V213" s="574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0</v>
      </c>
      <c r="Y213" s="555">
        <f>IFERROR(Y205/H205,"0")+IFERROR(Y206/H206,"0")+IFERROR(Y207/H207,"0")+IFERROR(Y208/H208,"0")+IFERROR(Y209/H209,"0")+IFERROR(Y210/H210,"0")+IFERROR(Y211/H211,"0")+IFERROR(Y212/H212,"0")</f>
        <v>0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83"/>
      <c r="P214" s="572" t="s">
        <v>75</v>
      </c>
      <c r="Q214" s="573"/>
      <c r="R214" s="573"/>
      <c r="S214" s="573"/>
      <c r="T214" s="573"/>
      <c r="U214" s="573"/>
      <c r="V214" s="574"/>
      <c r="W214" s="37" t="s">
        <v>69</v>
      </c>
      <c r="X214" s="555">
        <f>IFERROR(SUM(X205:X212),"0")</f>
        <v>0</v>
      </c>
      <c r="Y214" s="555">
        <f>IFERROR(SUM(Y205:Y212),"0")</f>
        <v>0</v>
      </c>
      <c r="Z214" s="37"/>
      <c r="AA214" s="556"/>
      <c r="AB214" s="556"/>
      <c r="AC214" s="556"/>
    </row>
    <row r="215" spans="1:68" ht="14.25" customHeight="1" x14ac:dyDescent="0.25">
      <c r="A215" s="569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0">
        <v>4680115881594</v>
      </c>
      <c r="E216" s="561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40</v>
      </c>
      <c r="P216" s="74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 t="s">
        <v>108</v>
      </c>
      <c r="AK216" s="68">
        <v>64.8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0">
        <v>4680115881617</v>
      </c>
      <c r="E217" s="561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 t="s">
        <v>105</v>
      </c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 t="s">
        <v>108</v>
      </c>
      <c r="AK217" s="68">
        <v>64.8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0">
        <v>4680115880573</v>
      </c>
      <c r="E218" s="561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0</v>
      </c>
      <c r="Y218" s="554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0">
        <v>4680115882195</v>
      </c>
      <c r="E219" s="561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188</v>
      </c>
      <c r="M219" s="33" t="s">
        <v>80</v>
      </c>
      <c r="N219" s="33"/>
      <c r="O219" s="32">
        <v>40</v>
      </c>
      <c r="P219" s="71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0</v>
      </c>
      <c r="Y219" s="554">
        <f t="shared" si="20"/>
        <v>0</v>
      </c>
      <c r="Z219" s="36" t="str">
        <f t="shared" ref="Z219:Z224" si="25">IFERROR(IF(Y219=0,"",ROUNDUP(Y219/H219,0)*0.00651),"")</f>
        <v/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0">
        <v>4680115882607</v>
      </c>
      <c r="E220" s="561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0">
        <v>4680115880092</v>
      </c>
      <c r="E221" s="561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188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82</v>
      </c>
      <c r="Y221" s="554">
        <f t="shared" si="20"/>
        <v>84</v>
      </c>
      <c r="Z221" s="36">
        <f t="shared" si="25"/>
        <v>0.22785</v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90.61</v>
      </c>
      <c r="BN221" s="64">
        <f t="shared" si="22"/>
        <v>92.820000000000007</v>
      </c>
      <c r="BO221" s="64">
        <f t="shared" si="23"/>
        <v>0.18772893772893776</v>
      </c>
      <c r="BP221" s="64">
        <f t="shared" si="24"/>
        <v>0.19230769230769232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0">
        <v>4680115880221</v>
      </c>
      <c r="E222" s="561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188</v>
      </c>
      <c r="M222" s="33" t="s">
        <v>80</v>
      </c>
      <c r="N222" s="33"/>
      <c r="O222" s="32">
        <v>45</v>
      </c>
      <c r="P222" s="79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74</v>
      </c>
      <c r="Y222" s="554">
        <f t="shared" si="20"/>
        <v>74.399999999999991</v>
      </c>
      <c r="Z222" s="36">
        <f t="shared" si="25"/>
        <v>0.20181000000000002</v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81.77000000000001</v>
      </c>
      <c r="BN222" s="64">
        <f t="shared" si="22"/>
        <v>82.212000000000003</v>
      </c>
      <c r="BO222" s="64">
        <f t="shared" si="23"/>
        <v>0.16941391941391945</v>
      </c>
      <c r="BP222" s="64">
        <f t="shared" si="24"/>
        <v>0.17032967032967034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0">
        <v>4680115880504</v>
      </c>
      <c r="E223" s="561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188</v>
      </c>
      <c r="M223" s="33" t="s">
        <v>86</v>
      </c>
      <c r="N223" s="33"/>
      <c r="O223" s="32">
        <v>40</v>
      </c>
      <c r="P223" s="6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0</v>
      </c>
      <c r="Y223" s="554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0">
        <v>4680115882164</v>
      </c>
      <c r="E224" s="561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188</v>
      </c>
      <c r="M224" s="33" t="s">
        <v>80</v>
      </c>
      <c r="N224" s="33"/>
      <c r="O224" s="32">
        <v>40</v>
      </c>
      <c r="P224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0</v>
      </c>
      <c r="Y224" s="554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x14ac:dyDescent="0.2">
      <c r="A225" s="582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83"/>
      <c r="P225" s="572" t="s">
        <v>75</v>
      </c>
      <c r="Q225" s="573"/>
      <c r="R225" s="573"/>
      <c r="S225" s="573"/>
      <c r="T225" s="573"/>
      <c r="U225" s="573"/>
      <c r="V225" s="574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65</v>
      </c>
      <c r="Y225" s="555">
        <f>IFERROR(Y216/H216,"0")+IFERROR(Y217/H217,"0")+IFERROR(Y218/H218,"0")+IFERROR(Y219/H219,"0")+IFERROR(Y220/H220,"0")+IFERROR(Y221/H221,"0")+IFERROR(Y222/H222,"0")+IFERROR(Y223/H223,"0")+IFERROR(Y224/H224,"0")</f>
        <v>66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0.42966000000000004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83"/>
      <c r="P226" s="572" t="s">
        <v>75</v>
      </c>
      <c r="Q226" s="573"/>
      <c r="R226" s="573"/>
      <c r="S226" s="573"/>
      <c r="T226" s="573"/>
      <c r="U226" s="573"/>
      <c r="V226" s="574"/>
      <c r="W226" s="37" t="s">
        <v>69</v>
      </c>
      <c r="X226" s="555">
        <f>IFERROR(SUM(X216:X224),"0")</f>
        <v>156</v>
      </c>
      <c r="Y226" s="555">
        <f>IFERROR(SUM(Y216:Y224),"0")</f>
        <v>158.39999999999998</v>
      </c>
      <c r="Z226" s="37"/>
      <c r="AA226" s="556"/>
      <c r="AB226" s="556"/>
      <c r="AC226" s="556"/>
    </row>
    <row r="227" spans="1:68" ht="14.25" customHeight="1" x14ac:dyDescent="0.25">
      <c r="A227" s="569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0">
        <v>4680115880818</v>
      </c>
      <c r="E228" s="561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/>
      <c r="M228" s="33" t="s">
        <v>86</v>
      </c>
      <c r="N228" s="33"/>
      <c r="O228" s="32">
        <v>40</v>
      </c>
      <c r="P228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0</v>
      </c>
      <c r="Y228" s="554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0">
        <v>4680115880801</v>
      </c>
      <c r="E229" s="561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0</v>
      </c>
      <c r="Y229" s="554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x14ac:dyDescent="0.2">
      <c r="A230" s="582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83"/>
      <c r="P230" s="572" t="s">
        <v>75</v>
      </c>
      <c r="Q230" s="573"/>
      <c r="R230" s="573"/>
      <c r="S230" s="573"/>
      <c r="T230" s="573"/>
      <c r="U230" s="573"/>
      <c r="V230" s="574"/>
      <c r="W230" s="37" t="s">
        <v>76</v>
      </c>
      <c r="X230" s="555">
        <f>IFERROR(X228/H228,"0")+IFERROR(X229/H229,"0")</f>
        <v>0</v>
      </c>
      <c r="Y230" s="555">
        <f>IFERROR(Y228/H228,"0")+IFERROR(Y229/H229,"0")</f>
        <v>0</v>
      </c>
      <c r="Z230" s="555">
        <f>IFERROR(IF(Z228="",0,Z228),"0")+IFERROR(IF(Z229="",0,Z229),"0")</f>
        <v>0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83"/>
      <c r="P231" s="572" t="s">
        <v>75</v>
      </c>
      <c r="Q231" s="573"/>
      <c r="R231" s="573"/>
      <c r="S231" s="573"/>
      <c r="T231" s="573"/>
      <c r="U231" s="573"/>
      <c r="V231" s="574"/>
      <c r="W231" s="37" t="s">
        <v>69</v>
      </c>
      <c r="X231" s="555">
        <f>IFERROR(SUM(X228:X229),"0")</f>
        <v>0</v>
      </c>
      <c r="Y231" s="555">
        <f>IFERROR(SUM(Y228:Y229),"0")</f>
        <v>0</v>
      </c>
      <c r="Z231" s="37"/>
      <c r="AA231" s="556"/>
      <c r="AB231" s="556"/>
      <c r="AC231" s="556"/>
    </row>
    <row r="232" spans="1:68" ht="16.5" customHeight="1" x14ac:dyDescent="0.25">
      <c r="A232" s="567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customHeight="1" x14ac:dyDescent="0.25">
      <c r="A233" s="569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0">
        <v>4680115884137</v>
      </c>
      <c r="E234" s="561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0">
        <v>4680115884236</v>
      </c>
      <c r="E235" s="561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0">
        <v>4680115884175</v>
      </c>
      <c r="E236" s="561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0">
        <v>4680115884144</v>
      </c>
      <c r="E237" s="561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0">
        <v>4680115884144</v>
      </c>
      <c r="E238" s="561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0">
        <v>4680115886551</v>
      </c>
      <c r="E239" s="561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0">
        <v>4680115887282</v>
      </c>
      <c r="E240" s="561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0">
        <v>4680115884205</v>
      </c>
      <c r="E241" s="561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 t="s">
        <v>114</v>
      </c>
      <c r="M241" s="33" t="s">
        <v>106</v>
      </c>
      <c r="N241" s="33"/>
      <c r="O241" s="32">
        <v>55</v>
      </c>
      <c r="P241" s="81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 t="s">
        <v>108</v>
      </c>
      <c r="AK241" s="68">
        <v>48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0">
        <v>4680115884205</v>
      </c>
      <c r="E242" s="561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4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83"/>
      <c r="P243" s="572" t="s">
        <v>75</v>
      </c>
      <c r="Q243" s="573"/>
      <c r="R243" s="573"/>
      <c r="S243" s="573"/>
      <c r="T243" s="573"/>
      <c r="U243" s="573"/>
      <c r="V243" s="574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83"/>
      <c r="P244" s="572" t="s">
        <v>75</v>
      </c>
      <c r="Q244" s="573"/>
      <c r="R244" s="573"/>
      <c r="S244" s="573"/>
      <c r="T244" s="573"/>
      <c r="U244" s="573"/>
      <c r="V244" s="574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customHeight="1" x14ac:dyDescent="0.25">
      <c r="A245" s="569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0">
        <v>4680115885981</v>
      </c>
      <c r="E246" s="561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82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83"/>
      <c r="P247" s="572" t="s">
        <v>75</v>
      </c>
      <c r="Q247" s="573"/>
      <c r="R247" s="573"/>
      <c r="S247" s="573"/>
      <c r="T247" s="573"/>
      <c r="U247" s="573"/>
      <c r="V247" s="574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83"/>
      <c r="P248" s="572" t="s">
        <v>75</v>
      </c>
      <c r="Q248" s="573"/>
      <c r="R248" s="573"/>
      <c r="S248" s="573"/>
      <c r="T248" s="573"/>
      <c r="U248" s="573"/>
      <c r="V248" s="574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customHeight="1" x14ac:dyDescent="0.25">
      <c r="A249" s="569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0">
        <v>4680115886803</v>
      </c>
      <c r="E250" s="561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6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82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83"/>
      <c r="P251" s="572" t="s">
        <v>75</v>
      </c>
      <c r="Q251" s="573"/>
      <c r="R251" s="573"/>
      <c r="S251" s="573"/>
      <c r="T251" s="573"/>
      <c r="U251" s="573"/>
      <c r="V251" s="574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83"/>
      <c r="P252" s="572" t="s">
        <v>75</v>
      </c>
      <c r="Q252" s="573"/>
      <c r="R252" s="573"/>
      <c r="S252" s="573"/>
      <c r="T252" s="573"/>
      <c r="U252" s="573"/>
      <c r="V252" s="574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customHeight="1" x14ac:dyDescent="0.25">
      <c r="A253" s="569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0">
        <v>4680115886704</v>
      </c>
      <c r="E254" s="561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0">
        <v>4680115886681</v>
      </c>
      <c r="E255" s="561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0">
        <v>4680115886735</v>
      </c>
      <c r="E256" s="561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0">
        <v>4680115886728</v>
      </c>
      <c r="E257" s="561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0">
        <v>4680115886711</v>
      </c>
      <c r="E258" s="561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82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83"/>
      <c r="P259" s="572" t="s">
        <v>75</v>
      </c>
      <c r="Q259" s="573"/>
      <c r="R259" s="573"/>
      <c r="S259" s="573"/>
      <c r="T259" s="573"/>
      <c r="U259" s="573"/>
      <c r="V259" s="574"/>
      <c r="W259" s="37" t="s">
        <v>76</v>
      </c>
      <c r="X259" s="555">
        <f>IFERROR(X254/H254,"0")+IFERROR(X255/H255,"0")+IFERROR(X256/H256,"0")+IFERROR(X257/H257,"0")+IFERROR(X258/H258,"0")</f>
        <v>0</v>
      </c>
      <c r="Y259" s="555">
        <f>IFERROR(Y254/H254,"0")+IFERROR(Y255/H255,"0")+IFERROR(Y256/H256,"0")+IFERROR(Y257/H257,"0")+IFERROR(Y258/H258,"0")</f>
        <v>0</v>
      </c>
      <c r="Z259" s="555">
        <f>IFERROR(IF(Z254="",0,Z254),"0")+IFERROR(IF(Z255="",0,Z255),"0")+IFERROR(IF(Z256="",0,Z256),"0")+IFERROR(IF(Z257="",0,Z257),"0")+IFERROR(IF(Z258="",0,Z258),"0")</f>
        <v>0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83"/>
      <c r="P260" s="572" t="s">
        <v>75</v>
      </c>
      <c r="Q260" s="573"/>
      <c r="R260" s="573"/>
      <c r="S260" s="573"/>
      <c r="T260" s="573"/>
      <c r="U260" s="573"/>
      <c r="V260" s="574"/>
      <c r="W260" s="37" t="s">
        <v>69</v>
      </c>
      <c r="X260" s="555">
        <f>IFERROR(SUM(X254:X258),"0")</f>
        <v>0</v>
      </c>
      <c r="Y260" s="555">
        <f>IFERROR(SUM(Y254:Y258),"0")</f>
        <v>0</v>
      </c>
      <c r="Z260" s="37"/>
      <c r="AA260" s="556"/>
      <c r="AB260" s="556"/>
      <c r="AC260" s="556"/>
    </row>
    <row r="261" spans="1:68" ht="16.5" customHeight="1" x14ac:dyDescent="0.25">
      <c r="A261" s="567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customHeight="1" x14ac:dyDescent="0.25">
      <c r="A262" s="569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0">
        <v>4680115885837</v>
      </c>
      <c r="E263" s="561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 t="s">
        <v>105</v>
      </c>
      <c r="M263" s="33" t="s">
        <v>106</v>
      </c>
      <c r="N263" s="33"/>
      <c r="O263" s="32">
        <v>55</v>
      </c>
      <c r="P263" s="8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 t="s">
        <v>108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0">
        <v>4680115885851</v>
      </c>
      <c r="E264" s="561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0">
        <v>4680115885806</v>
      </c>
      <c r="E265" s="561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 t="s">
        <v>105</v>
      </c>
      <c r="M265" s="33" t="s">
        <v>106</v>
      </c>
      <c r="N265" s="33"/>
      <c r="O265" s="32">
        <v>55</v>
      </c>
      <c r="P265" s="62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 t="s">
        <v>108</v>
      </c>
      <c r="AK265" s="68">
        <v>86.4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0">
        <v>4680115885844</v>
      </c>
      <c r="E266" s="561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0">
        <v>4680115885820</v>
      </c>
      <c r="E267" s="561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3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82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83"/>
      <c r="P268" s="572" t="s">
        <v>75</v>
      </c>
      <c r="Q268" s="573"/>
      <c r="R268" s="573"/>
      <c r="S268" s="573"/>
      <c r="T268" s="573"/>
      <c r="U268" s="573"/>
      <c r="V268" s="574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83"/>
      <c r="P269" s="572" t="s">
        <v>75</v>
      </c>
      <c r="Q269" s="573"/>
      <c r="R269" s="573"/>
      <c r="S269" s="573"/>
      <c r="T269" s="573"/>
      <c r="U269" s="573"/>
      <c r="V269" s="574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customHeight="1" x14ac:dyDescent="0.25">
      <c r="A270" s="567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customHeight="1" x14ac:dyDescent="0.25">
      <c r="A271" s="569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0">
        <v>4607091383423</v>
      </c>
      <c r="E272" s="561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1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0">
        <v>4680115886957</v>
      </c>
      <c r="E273" s="561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0">
        <v>4680115885660</v>
      </c>
      <c r="E274" s="561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0">
        <v>4680115886773</v>
      </c>
      <c r="E275" s="561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83"/>
      <c r="P276" s="572" t="s">
        <v>75</v>
      </c>
      <c r="Q276" s="573"/>
      <c r="R276" s="573"/>
      <c r="S276" s="573"/>
      <c r="T276" s="573"/>
      <c r="U276" s="573"/>
      <c r="V276" s="574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83"/>
      <c r="P277" s="572" t="s">
        <v>75</v>
      </c>
      <c r="Q277" s="573"/>
      <c r="R277" s="573"/>
      <c r="S277" s="573"/>
      <c r="T277" s="573"/>
      <c r="U277" s="573"/>
      <c r="V277" s="574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customHeight="1" x14ac:dyDescent="0.25">
      <c r="A278" s="567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customHeight="1" x14ac:dyDescent="0.25">
      <c r="A279" s="569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0">
        <v>4680115886186</v>
      </c>
      <c r="E280" s="561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0">
        <v>4680115881228</v>
      </c>
      <c r="E281" s="561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188</v>
      </c>
      <c r="M281" s="33" t="s">
        <v>86</v>
      </c>
      <c r="N281" s="33"/>
      <c r="O281" s="32">
        <v>40</v>
      </c>
      <c r="P281" s="67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29</v>
      </c>
      <c r="Y281" s="554">
        <f>IFERROR(IF(X281="",0,CEILING((X281/$H281),1)*$H281),"")</f>
        <v>31.2</v>
      </c>
      <c r="Z281" s="36">
        <f>IFERROR(IF(Y281=0,"",ROUNDUP(Y281/H281,0)*0.00651),"")</f>
        <v>8.4629999999999997E-2</v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32.045000000000002</v>
      </c>
      <c r="BN281" s="64">
        <f>IFERROR(Y281*I281/H281,"0")</f>
        <v>34.476000000000006</v>
      </c>
      <c r="BO281" s="64">
        <f>IFERROR(1/J281*(X281/H281),"0")</f>
        <v>6.6391941391941406E-2</v>
      </c>
      <c r="BP281" s="64">
        <f>IFERROR(1/J281*(Y281/H281),"0")</f>
        <v>7.1428571428571438E-2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0">
        <v>4680115881211</v>
      </c>
      <c r="E282" s="561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188</v>
      </c>
      <c r="M282" s="33" t="s">
        <v>80</v>
      </c>
      <c r="N282" s="33"/>
      <c r="O282" s="32">
        <v>45</v>
      </c>
      <c r="P282" s="8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31</v>
      </c>
      <c r="Y282" s="554">
        <f>IFERROR(IF(X282="",0,CEILING((X282/$H282),1)*$H282),"")</f>
        <v>31.2</v>
      </c>
      <c r="Z282" s="36">
        <f>IFERROR(IF(Y282=0,"",ROUNDUP(Y282/H282,0)*0.00651),"")</f>
        <v>8.4629999999999997E-2</v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33.325000000000003</v>
      </c>
      <c r="BN282" s="64">
        <f>IFERROR(Y282*I282/H282,"0")</f>
        <v>33.54</v>
      </c>
      <c r="BO282" s="64">
        <f>IFERROR(1/J282*(X282/H282),"0")</f>
        <v>7.0970695970695982E-2</v>
      </c>
      <c r="BP282" s="64">
        <f>IFERROR(1/J282*(Y282/H282),"0")</f>
        <v>7.1428571428571438E-2</v>
      </c>
    </row>
    <row r="283" spans="1:68" x14ac:dyDescent="0.2">
      <c r="A283" s="582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83"/>
      <c r="P283" s="572" t="s">
        <v>75</v>
      </c>
      <c r="Q283" s="573"/>
      <c r="R283" s="573"/>
      <c r="S283" s="573"/>
      <c r="T283" s="573"/>
      <c r="U283" s="573"/>
      <c r="V283" s="574"/>
      <c r="W283" s="37" t="s">
        <v>76</v>
      </c>
      <c r="X283" s="555">
        <f>IFERROR(X280/H280,"0")+IFERROR(X281/H281,"0")+IFERROR(X282/H282,"0")</f>
        <v>25</v>
      </c>
      <c r="Y283" s="555">
        <f>IFERROR(Y280/H280,"0")+IFERROR(Y281/H281,"0")+IFERROR(Y282/H282,"0")</f>
        <v>26</v>
      </c>
      <c r="Z283" s="555">
        <f>IFERROR(IF(Z280="",0,Z280),"0")+IFERROR(IF(Z281="",0,Z281),"0")+IFERROR(IF(Z282="",0,Z282),"0")</f>
        <v>0.16925999999999999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83"/>
      <c r="P284" s="572" t="s">
        <v>75</v>
      </c>
      <c r="Q284" s="573"/>
      <c r="R284" s="573"/>
      <c r="S284" s="573"/>
      <c r="T284" s="573"/>
      <c r="U284" s="573"/>
      <c r="V284" s="574"/>
      <c r="W284" s="37" t="s">
        <v>69</v>
      </c>
      <c r="X284" s="555">
        <f>IFERROR(SUM(X280:X282),"0")</f>
        <v>60</v>
      </c>
      <c r="Y284" s="555">
        <f>IFERROR(SUM(Y280:Y282),"0")</f>
        <v>62.4</v>
      </c>
      <c r="Z284" s="37"/>
      <c r="AA284" s="556"/>
      <c r="AB284" s="556"/>
      <c r="AC284" s="556"/>
    </row>
    <row r="285" spans="1:68" ht="16.5" customHeight="1" x14ac:dyDescent="0.25">
      <c r="A285" s="567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customHeight="1" x14ac:dyDescent="0.25">
      <c r="A286" s="569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0">
        <v>4680115880344</v>
      </c>
      <c r="E287" s="561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7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0">
        <v>4680115886919</v>
      </c>
      <c r="E288" s="561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83"/>
      <c r="P289" s="572" t="s">
        <v>75</v>
      </c>
      <c r="Q289" s="573"/>
      <c r="R289" s="573"/>
      <c r="S289" s="573"/>
      <c r="T289" s="573"/>
      <c r="U289" s="573"/>
      <c r="V289" s="574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83"/>
      <c r="P290" s="572" t="s">
        <v>75</v>
      </c>
      <c r="Q290" s="573"/>
      <c r="R290" s="573"/>
      <c r="S290" s="573"/>
      <c r="T290" s="573"/>
      <c r="U290" s="573"/>
      <c r="V290" s="574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customHeight="1" x14ac:dyDescent="0.25">
      <c r="A291" s="569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0">
        <v>4680115884618</v>
      </c>
      <c r="E292" s="561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0">
        <v>4680115887114</v>
      </c>
      <c r="E293" s="561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83"/>
      <c r="P294" s="572" t="s">
        <v>75</v>
      </c>
      <c r="Q294" s="573"/>
      <c r="R294" s="573"/>
      <c r="S294" s="573"/>
      <c r="T294" s="573"/>
      <c r="U294" s="573"/>
      <c r="V294" s="574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83"/>
      <c r="P295" s="572" t="s">
        <v>75</v>
      </c>
      <c r="Q295" s="573"/>
      <c r="R295" s="573"/>
      <c r="S295" s="573"/>
      <c r="T295" s="573"/>
      <c r="U295" s="573"/>
      <c r="V295" s="574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customHeight="1" x14ac:dyDescent="0.25">
      <c r="A296" s="567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customHeight="1" x14ac:dyDescent="0.25">
      <c r="A297" s="569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customHeight="1" x14ac:dyDescent="0.25">
      <c r="A298" s="54" t="s">
        <v>478</v>
      </c>
      <c r="B298" s="54" t="s">
        <v>479</v>
      </c>
      <c r="C298" s="31">
        <v>4301012024</v>
      </c>
      <c r="D298" s="560">
        <v>4680115885615</v>
      </c>
      <c r="E298" s="561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customHeight="1" x14ac:dyDescent="0.25">
      <c r="A299" s="54" t="s">
        <v>481</v>
      </c>
      <c r="B299" s="54" t="s">
        <v>482</v>
      </c>
      <c r="C299" s="31">
        <v>4301011858</v>
      </c>
      <c r="D299" s="560">
        <v>4680115885646</v>
      </c>
      <c r="E299" s="561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484</v>
      </c>
      <c r="B300" s="54" t="s">
        <v>485</v>
      </c>
      <c r="C300" s="31">
        <v>4301012016</v>
      </c>
      <c r="D300" s="560">
        <v>4680115885554</v>
      </c>
      <c r="E300" s="561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4301011857</v>
      </c>
      <c r="D301" s="560">
        <v>4680115885622</v>
      </c>
      <c r="E301" s="561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82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customHeight="1" x14ac:dyDescent="0.25">
      <c r="A302" s="54" t="s">
        <v>489</v>
      </c>
      <c r="B302" s="54" t="s">
        <v>490</v>
      </c>
      <c r="C302" s="31">
        <v>4301011859</v>
      </c>
      <c r="D302" s="560">
        <v>4680115885608</v>
      </c>
      <c r="E302" s="561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582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83"/>
      <c r="P303" s="572" t="s">
        <v>75</v>
      </c>
      <c r="Q303" s="573"/>
      <c r="R303" s="573"/>
      <c r="S303" s="573"/>
      <c r="T303" s="573"/>
      <c r="U303" s="573"/>
      <c r="V303" s="574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83"/>
      <c r="P304" s="572" t="s">
        <v>75</v>
      </c>
      <c r="Q304" s="573"/>
      <c r="R304" s="573"/>
      <c r="S304" s="573"/>
      <c r="T304" s="573"/>
      <c r="U304" s="573"/>
      <c r="V304" s="574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customHeight="1" x14ac:dyDescent="0.25">
      <c r="A305" s="569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customHeight="1" x14ac:dyDescent="0.25">
      <c r="A306" s="54" t="s">
        <v>492</v>
      </c>
      <c r="B306" s="54" t="s">
        <v>493</v>
      </c>
      <c r="C306" s="31">
        <v>4301030878</v>
      </c>
      <c r="D306" s="560">
        <v>4607091387193</v>
      </c>
      <c r="E306" s="561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6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customHeight="1" x14ac:dyDescent="0.25">
      <c r="A307" s="54" t="s">
        <v>495</v>
      </c>
      <c r="B307" s="54" t="s">
        <v>496</v>
      </c>
      <c r="C307" s="31">
        <v>4301031153</v>
      </c>
      <c r="D307" s="560">
        <v>4607091387230</v>
      </c>
      <c r="E307" s="561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 t="s">
        <v>114</v>
      </c>
      <c r="M307" s="33" t="s">
        <v>68</v>
      </c>
      <c r="N307" s="33"/>
      <c r="O307" s="32">
        <v>40</v>
      </c>
      <c r="P307" s="8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 t="s">
        <v>108</v>
      </c>
      <c r="AK307" s="68">
        <v>50.4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4301031154</v>
      </c>
      <c r="D308" s="560">
        <v>4607091387292</v>
      </c>
      <c r="E308" s="561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2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4301031152</v>
      </c>
      <c r="D309" s="560">
        <v>4607091387285</v>
      </c>
      <c r="E309" s="561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503</v>
      </c>
      <c r="B310" s="54" t="s">
        <v>504</v>
      </c>
      <c r="C310" s="31">
        <v>4301031305</v>
      </c>
      <c r="D310" s="560">
        <v>4607091389845</v>
      </c>
      <c r="E310" s="561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/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customHeight="1" x14ac:dyDescent="0.25">
      <c r="A311" s="54" t="s">
        <v>506</v>
      </c>
      <c r="B311" s="54" t="s">
        <v>507</v>
      </c>
      <c r="C311" s="31">
        <v>4301031066</v>
      </c>
      <c r="D311" s="560">
        <v>4607091383836</v>
      </c>
      <c r="E311" s="561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3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x14ac:dyDescent="0.2">
      <c r="A312" s="582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83"/>
      <c r="P312" s="572" t="s">
        <v>75</v>
      </c>
      <c r="Q312" s="573"/>
      <c r="R312" s="573"/>
      <c r="S312" s="573"/>
      <c r="T312" s="573"/>
      <c r="U312" s="573"/>
      <c r="V312" s="574"/>
      <c r="W312" s="37" t="s">
        <v>76</v>
      </c>
      <c r="X312" s="555">
        <f>IFERROR(X306/H306,"0")+IFERROR(X307/H307,"0")+IFERROR(X308/H308,"0")+IFERROR(X309/H309,"0")+IFERROR(X310/H310,"0")+IFERROR(X311/H311,"0")</f>
        <v>0</v>
      </c>
      <c r="Y312" s="555">
        <f>IFERROR(Y306/H306,"0")+IFERROR(Y307/H307,"0")+IFERROR(Y308/H308,"0")+IFERROR(Y309/H309,"0")+IFERROR(Y310/H310,"0")+IFERROR(Y311/H311,"0")</f>
        <v>0</v>
      </c>
      <c r="Z312" s="555">
        <f>IFERROR(IF(Z306="",0,Z306),"0")+IFERROR(IF(Z307="",0,Z307),"0")+IFERROR(IF(Z308="",0,Z308),"0")+IFERROR(IF(Z309="",0,Z309),"0")+IFERROR(IF(Z310="",0,Z310),"0")+IFERROR(IF(Z311="",0,Z311),"0")</f>
        <v>0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83"/>
      <c r="P313" s="572" t="s">
        <v>75</v>
      </c>
      <c r="Q313" s="573"/>
      <c r="R313" s="573"/>
      <c r="S313" s="573"/>
      <c r="T313" s="573"/>
      <c r="U313" s="573"/>
      <c r="V313" s="574"/>
      <c r="W313" s="37" t="s">
        <v>69</v>
      </c>
      <c r="X313" s="555">
        <f>IFERROR(SUM(X306:X311),"0")</f>
        <v>0</v>
      </c>
      <c r="Y313" s="555">
        <f>IFERROR(SUM(Y306:Y311),"0")</f>
        <v>0</v>
      </c>
      <c r="Z313" s="37"/>
      <c r="AA313" s="556"/>
      <c r="AB313" s="556"/>
      <c r="AC313" s="556"/>
    </row>
    <row r="314" spans="1:68" ht="14.25" customHeight="1" x14ac:dyDescent="0.25">
      <c r="A314" s="569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customHeight="1" x14ac:dyDescent="0.25">
      <c r="A315" s="54" t="s">
        <v>509</v>
      </c>
      <c r="B315" s="54" t="s">
        <v>510</v>
      </c>
      <c r="C315" s="31">
        <v>4301051100</v>
      </c>
      <c r="D315" s="560">
        <v>4607091387766</v>
      </c>
      <c r="E315" s="561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 t="s">
        <v>105</v>
      </c>
      <c r="M315" s="33" t="s">
        <v>80</v>
      </c>
      <c r="N315" s="33"/>
      <c r="O315" s="32">
        <v>40</v>
      </c>
      <c r="P315" s="5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 t="s">
        <v>108</v>
      </c>
      <c r="AK315" s="68">
        <v>62.4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512</v>
      </c>
      <c r="B316" s="54" t="s">
        <v>513</v>
      </c>
      <c r="C316" s="31">
        <v>4301051818</v>
      </c>
      <c r="D316" s="560">
        <v>4607091387957</v>
      </c>
      <c r="E316" s="561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515</v>
      </c>
      <c r="B317" s="54" t="s">
        <v>516</v>
      </c>
      <c r="C317" s="31">
        <v>4301051819</v>
      </c>
      <c r="D317" s="560">
        <v>4607091387964</v>
      </c>
      <c r="E317" s="561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4301051734</v>
      </c>
      <c r="D318" s="560">
        <v>4680115884588</v>
      </c>
      <c r="E318" s="561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82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83"/>
      <c r="P319" s="572" t="s">
        <v>75</v>
      </c>
      <c r="Q319" s="573"/>
      <c r="R319" s="573"/>
      <c r="S319" s="573"/>
      <c r="T319" s="573"/>
      <c r="U319" s="573"/>
      <c r="V319" s="574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83"/>
      <c r="P320" s="572" t="s">
        <v>75</v>
      </c>
      <c r="Q320" s="573"/>
      <c r="R320" s="573"/>
      <c r="S320" s="573"/>
      <c r="T320" s="573"/>
      <c r="U320" s="573"/>
      <c r="V320" s="574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customHeight="1" x14ac:dyDescent="0.25">
      <c r="A321" s="569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0">
        <v>4607091380880</v>
      </c>
      <c r="E322" s="561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/>
      <c r="M322" s="33" t="s">
        <v>80</v>
      </c>
      <c r="N322" s="33"/>
      <c r="O322" s="32">
        <v>30</v>
      </c>
      <c r="P322" s="74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0</v>
      </c>
      <c r="Y322" s="554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523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0">
        <v>4607091384482</v>
      </c>
      <c r="E323" s="561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76</v>
      </c>
      <c r="Y323" s="554">
        <f>IFERROR(IF(X323="",0,CEILING((X323/$H323),1)*$H323),"")</f>
        <v>78</v>
      </c>
      <c r="Z323" s="36">
        <f>IFERROR(IF(Y323=0,"",ROUNDUP(Y323/H323,0)*0.01898),"")</f>
        <v>0.1898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80.813333333333347</v>
      </c>
      <c r="BN323" s="64">
        <f>IFERROR(Y323*I323/H323,"0")</f>
        <v>82.94</v>
      </c>
      <c r="BO323" s="64">
        <f>IFERROR(1/J323*(X323/H323),"0")</f>
        <v>0.15224358974358976</v>
      </c>
      <c r="BP323" s="64">
        <f>IFERROR(1/J323*(Y323/H323),"0")</f>
        <v>0.15625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0">
        <v>4607091380897</v>
      </c>
      <c r="E324" s="561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/>
      <c r="M324" s="33" t="s">
        <v>86</v>
      </c>
      <c r="N324" s="33"/>
      <c r="O324" s="32">
        <v>30</v>
      </c>
      <c r="P324" s="75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0</v>
      </c>
      <c r="Y324" s="55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529</v>
      </c>
      <c r="AG324" s="64"/>
      <c r="AJ324" s="68"/>
      <c r="AK324" s="68">
        <v>0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82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83"/>
      <c r="P325" s="572" t="s">
        <v>75</v>
      </c>
      <c r="Q325" s="573"/>
      <c r="R325" s="573"/>
      <c r="S325" s="573"/>
      <c r="T325" s="573"/>
      <c r="U325" s="573"/>
      <c r="V325" s="574"/>
      <c r="W325" s="37" t="s">
        <v>76</v>
      </c>
      <c r="X325" s="555">
        <f>IFERROR(X322/H322,"0")+IFERROR(X323/H323,"0")+IFERROR(X324/H324,"0")</f>
        <v>9.7435897435897445</v>
      </c>
      <c r="Y325" s="555">
        <f>IFERROR(Y322/H322,"0")+IFERROR(Y323/H323,"0")+IFERROR(Y324/H324,"0")</f>
        <v>10</v>
      </c>
      <c r="Z325" s="555">
        <f>IFERROR(IF(Z322="",0,Z322),"0")+IFERROR(IF(Z323="",0,Z323),"0")+IFERROR(IF(Z324="",0,Z324),"0")</f>
        <v>0.1898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83"/>
      <c r="P326" s="572" t="s">
        <v>75</v>
      </c>
      <c r="Q326" s="573"/>
      <c r="R326" s="573"/>
      <c r="S326" s="573"/>
      <c r="T326" s="573"/>
      <c r="U326" s="573"/>
      <c r="V326" s="574"/>
      <c r="W326" s="37" t="s">
        <v>69</v>
      </c>
      <c r="X326" s="555">
        <f>IFERROR(SUM(X322:X324),"0")</f>
        <v>76</v>
      </c>
      <c r="Y326" s="555">
        <f>IFERROR(SUM(Y322:Y324),"0")</f>
        <v>78</v>
      </c>
      <c r="Z326" s="37"/>
      <c r="AA326" s="556"/>
      <c r="AB326" s="556"/>
      <c r="AC326" s="556"/>
    </row>
    <row r="327" spans="1:68" ht="14.25" customHeight="1" x14ac:dyDescent="0.25">
      <c r="A327" s="569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customHeight="1" x14ac:dyDescent="0.25">
      <c r="A328" s="54" t="s">
        <v>530</v>
      </c>
      <c r="B328" s="54" t="s">
        <v>531</v>
      </c>
      <c r="C328" s="31">
        <v>4301030235</v>
      </c>
      <c r="D328" s="560">
        <v>4607091388381</v>
      </c>
      <c r="E328" s="561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4301030232</v>
      </c>
      <c r="D329" s="560">
        <v>4607091388374</v>
      </c>
      <c r="E329" s="561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535</v>
      </c>
      <c r="B330" s="54" t="s">
        <v>536</v>
      </c>
      <c r="C330" s="31">
        <v>4301032015</v>
      </c>
      <c r="D330" s="560">
        <v>4607091383102</v>
      </c>
      <c r="E330" s="561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 t="s">
        <v>188</v>
      </c>
      <c r="M330" s="33" t="s">
        <v>96</v>
      </c>
      <c r="N330" s="33"/>
      <c r="O330" s="32">
        <v>180</v>
      </c>
      <c r="P330" s="77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 t="s">
        <v>108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0">
        <v>4607091388404</v>
      </c>
      <c r="E331" s="561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188</v>
      </c>
      <c r="M331" s="33" t="s">
        <v>96</v>
      </c>
      <c r="N331" s="33"/>
      <c r="O331" s="32">
        <v>180</v>
      </c>
      <c r="P331" s="63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0</v>
      </c>
      <c r="Y331" s="554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582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83"/>
      <c r="P332" s="572" t="s">
        <v>75</v>
      </c>
      <c r="Q332" s="573"/>
      <c r="R332" s="573"/>
      <c r="S332" s="573"/>
      <c r="T332" s="573"/>
      <c r="U332" s="573"/>
      <c r="V332" s="574"/>
      <c r="W332" s="37" t="s">
        <v>76</v>
      </c>
      <c r="X332" s="555">
        <f>IFERROR(X328/H328,"0")+IFERROR(X329/H329,"0")+IFERROR(X330/H330,"0")+IFERROR(X331/H331,"0")</f>
        <v>0</v>
      </c>
      <c r="Y332" s="555">
        <f>IFERROR(Y328/H328,"0")+IFERROR(Y329/H329,"0")+IFERROR(Y330/H330,"0")+IFERROR(Y331/H331,"0")</f>
        <v>0</v>
      </c>
      <c r="Z332" s="555">
        <f>IFERROR(IF(Z328="",0,Z328),"0")+IFERROR(IF(Z329="",0,Z329),"0")+IFERROR(IF(Z330="",0,Z330),"0")+IFERROR(IF(Z331="",0,Z331),"0")</f>
        <v>0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83"/>
      <c r="P333" s="572" t="s">
        <v>75</v>
      </c>
      <c r="Q333" s="573"/>
      <c r="R333" s="573"/>
      <c r="S333" s="573"/>
      <c r="T333" s="573"/>
      <c r="U333" s="573"/>
      <c r="V333" s="574"/>
      <c r="W333" s="37" t="s">
        <v>69</v>
      </c>
      <c r="X333" s="555">
        <f>IFERROR(SUM(X328:X331),"0")</f>
        <v>0</v>
      </c>
      <c r="Y333" s="555">
        <f>IFERROR(SUM(Y328:Y331),"0")</f>
        <v>0</v>
      </c>
      <c r="Z333" s="37"/>
      <c r="AA333" s="556"/>
      <c r="AB333" s="556"/>
      <c r="AC333" s="556"/>
    </row>
    <row r="334" spans="1:68" ht="14.25" customHeight="1" x14ac:dyDescent="0.25">
      <c r="A334" s="569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customHeight="1" x14ac:dyDescent="0.25">
      <c r="A335" s="54" t="s">
        <v>541</v>
      </c>
      <c r="B335" s="54" t="s">
        <v>542</v>
      </c>
      <c r="C335" s="31">
        <v>4301180007</v>
      </c>
      <c r="D335" s="560">
        <v>4680115881808</v>
      </c>
      <c r="E335" s="561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/>
      <c r="M335" s="33" t="s">
        <v>543</v>
      </c>
      <c r="N335" s="33"/>
      <c r="O335" s="32">
        <v>730</v>
      </c>
      <c r="P335" s="80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545</v>
      </c>
      <c r="B336" s="54" t="s">
        <v>546</v>
      </c>
      <c r="C336" s="31">
        <v>4301180006</v>
      </c>
      <c r="D336" s="560">
        <v>4680115881822</v>
      </c>
      <c r="E336" s="561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547</v>
      </c>
      <c r="B337" s="54" t="s">
        <v>548</v>
      </c>
      <c r="C337" s="31">
        <v>4301180001</v>
      </c>
      <c r="D337" s="560">
        <v>4680115880016</v>
      </c>
      <c r="E337" s="561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/>
      <c r="M337" s="33" t="s">
        <v>543</v>
      </c>
      <c r="N337" s="33"/>
      <c r="O337" s="32">
        <v>730</v>
      </c>
      <c r="P337" s="65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82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83"/>
      <c r="P338" s="572" t="s">
        <v>75</v>
      </c>
      <c r="Q338" s="573"/>
      <c r="R338" s="573"/>
      <c r="S338" s="573"/>
      <c r="T338" s="573"/>
      <c r="U338" s="573"/>
      <c r="V338" s="574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83"/>
      <c r="P339" s="572" t="s">
        <v>75</v>
      </c>
      <c r="Q339" s="573"/>
      <c r="R339" s="573"/>
      <c r="S339" s="573"/>
      <c r="T339" s="573"/>
      <c r="U339" s="573"/>
      <c r="V339" s="574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customHeight="1" x14ac:dyDescent="0.25">
      <c r="A340" s="567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customHeight="1" x14ac:dyDescent="0.25">
      <c r="A341" s="569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customHeight="1" x14ac:dyDescent="0.25">
      <c r="A342" s="54" t="s">
        <v>550</v>
      </c>
      <c r="B342" s="54" t="s">
        <v>551</v>
      </c>
      <c r="C342" s="31">
        <v>4301051489</v>
      </c>
      <c r="D342" s="560">
        <v>4607091387919</v>
      </c>
      <c r="E342" s="561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/>
      <c r="M342" s="33" t="s">
        <v>86</v>
      </c>
      <c r="N342" s="33"/>
      <c r="O342" s="32">
        <v>45</v>
      </c>
      <c r="P342" s="85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553</v>
      </c>
      <c r="B343" s="54" t="s">
        <v>554</v>
      </c>
      <c r="C343" s="31">
        <v>4301051461</v>
      </c>
      <c r="D343" s="560">
        <v>4680115883604</v>
      </c>
      <c r="E343" s="561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188</v>
      </c>
      <c r="M343" s="33" t="s">
        <v>80</v>
      </c>
      <c r="N343" s="33"/>
      <c r="O343" s="32">
        <v>45</v>
      </c>
      <c r="P343" s="78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 t="s">
        <v>108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556</v>
      </c>
      <c r="B344" s="54" t="s">
        <v>557</v>
      </c>
      <c r="C344" s="31">
        <v>4301051864</v>
      </c>
      <c r="D344" s="560">
        <v>4680115883567</v>
      </c>
      <c r="E344" s="561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188</v>
      </c>
      <c r="M344" s="33" t="s">
        <v>86</v>
      </c>
      <c r="N344" s="33"/>
      <c r="O344" s="32">
        <v>40</v>
      </c>
      <c r="P344" s="85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 t="s">
        <v>108</v>
      </c>
      <c r="AK344" s="68">
        <v>29.4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x14ac:dyDescent="0.2">
      <c r="A345" s="582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83"/>
      <c r="P345" s="572" t="s">
        <v>75</v>
      </c>
      <c r="Q345" s="573"/>
      <c r="R345" s="573"/>
      <c r="S345" s="573"/>
      <c r="T345" s="573"/>
      <c r="U345" s="573"/>
      <c r="V345" s="574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83"/>
      <c r="P346" s="572" t="s">
        <v>75</v>
      </c>
      <c r="Q346" s="573"/>
      <c r="R346" s="573"/>
      <c r="S346" s="573"/>
      <c r="T346" s="573"/>
      <c r="U346" s="573"/>
      <c r="V346" s="574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customHeight="1" x14ac:dyDescent="0.2">
      <c r="A347" s="630" t="s">
        <v>559</v>
      </c>
      <c r="B347" s="631"/>
      <c r="C347" s="631"/>
      <c r="D347" s="631"/>
      <c r="E347" s="631"/>
      <c r="F347" s="631"/>
      <c r="G347" s="631"/>
      <c r="H347" s="631"/>
      <c r="I347" s="631"/>
      <c r="J347" s="631"/>
      <c r="K347" s="631"/>
      <c r="L347" s="631"/>
      <c r="M347" s="631"/>
      <c r="N347" s="631"/>
      <c r="O347" s="631"/>
      <c r="P347" s="631"/>
      <c r="Q347" s="631"/>
      <c r="R347" s="631"/>
      <c r="S347" s="631"/>
      <c r="T347" s="631"/>
      <c r="U347" s="631"/>
      <c r="V347" s="631"/>
      <c r="W347" s="631"/>
      <c r="X347" s="631"/>
      <c r="Y347" s="631"/>
      <c r="Z347" s="631"/>
      <c r="AA347" s="48"/>
      <c r="AB347" s="48"/>
      <c r="AC347" s="48"/>
    </row>
    <row r="348" spans="1:68" ht="16.5" customHeight="1" x14ac:dyDescent="0.25">
      <c r="A348" s="567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customHeight="1" x14ac:dyDescent="0.25">
      <c r="A349" s="569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0">
        <v>4680115884847</v>
      </c>
      <c r="E350" s="561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7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149</v>
      </c>
      <c r="Y350" s="554">
        <f t="shared" ref="Y350:Y356" si="36">IFERROR(IF(X350="",0,CEILING((X350/$H350),1)*$H350),"")</f>
        <v>150</v>
      </c>
      <c r="Z350" s="36">
        <f>IFERROR(IF(Y350=0,"",ROUNDUP(Y350/H350,0)*0.02175),"")</f>
        <v>0.21749999999999997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153.66866666666667</v>
      </c>
      <c r="BN350" s="64">
        <f t="shared" ref="BN350:BN356" si="38">IFERROR(Y350*I350/H350,"0")</f>
        <v>154.69999999999999</v>
      </c>
      <c r="BO350" s="64">
        <f t="shared" ref="BO350:BO356" si="39">IFERROR(1/J350*(X350/H350),"0")</f>
        <v>0.20694444444444443</v>
      </c>
      <c r="BP350" s="64">
        <f t="shared" ref="BP350:BP356" si="40">IFERROR(1/J350*(Y350/H350),"0")</f>
        <v>0.20833333333333331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0">
        <v>4680115884854</v>
      </c>
      <c r="E351" s="561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0</v>
      </c>
      <c r="Y351" s="554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27" customHeight="1" x14ac:dyDescent="0.25">
      <c r="A352" s="54" t="s">
        <v>567</v>
      </c>
      <c r="B352" s="54" t="s">
        <v>568</v>
      </c>
      <c r="C352" s="31">
        <v>4301012215</v>
      </c>
      <c r="D352" s="560">
        <v>4680115887046</v>
      </c>
      <c r="E352" s="561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/>
      <c r="M352" s="33" t="s">
        <v>86</v>
      </c>
      <c r="N352" s="33"/>
      <c r="O352" s="32">
        <v>60</v>
      </c>
      <c r="P352" s="67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133</v>
      </c>
      <c r="Y352" s="554">
        <f t="shared" si="36"/>
        <v>135</v>
      </c>
      <c r="Z352" s="36">
        <f>IFERROR(IF(Y352=0,"",ROUNDUP(Y352/H352,0)*0.02175),"")</f>
        <v>0.19574999999999998</v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37"/>
        <v>137.16733333333335</v>
      </c>
      <c r="BN352" s="64">
        <f t="shared" si="38"/>
        <v>139.23000000000002</v>
      </c>
      <c r="BO352" s="64">
        <f t="shared" si="39"/>
        <v>0.18472222222222223</v>
      </c>
      <c r="BP352" s="64">
        <f t="shared" si="40"/>
        <v>0.1875</v>
      </c>
    </row>
    <row r="353" spans="1:68" ht="37.5" customHeight="1" x14ac:dyDescent="0.25">
      <c r="A353" s="54" t="s">
        <v>570</v>
      </c>
      <c r="B353" s="54" t="s">
        <v>571</v>
      </c>
      <c r="C353" s="31">
        <v>4301011867</v>
      </c>
      <c r="D353" s="560">
        <v>4680115884830</v>
      </c>
      <c r="E353" s="561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 t="s">
        <v>105</v>
      </c>
      <c r="M353" s="33" t="s">
        <v>68</v>
      </c>
      <c r="N353" s="33"/>
      <c r="O353" s="32">
        <v>60</v>
      </c>
      <c r="P353" s="71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0</v>
      </c>
      <c r="Y353" s="554">
        <f t="shared" si="36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 t="s">
        <v>108</v>
      </c>
      <c r="AK353" s="68">
        <v>120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customHeight="1" x14ac:dyDescent="0.25">
      <c r="A354" s="54" t="s">
        <v>573</v>
      </c>
      <c r="B354" s="54" t="s">
        <v>574</v>
      </c>
      <c r="C354" s="31">
        <v>4301011433</v>
      </c>
      <c r="D354" s="560">
        <v>4680115882638</v>
      </c>
      <c r="E354" s="561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customHeight="1" x14ac:dyDescent="0.25">
      <c r="A355" s="54" t="s">
        <v>576</v>
      </c>
      <c r="B355" s="54" t="s">
        <v>577</v>
      </c>
      <c r="C355" s="31">
        <v>4301011952</v>
      </c>
      <c r="D355" s="560">
        <v>4680115884922</v>
      </c>
      <c r="E355" s="561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customHeight="1" x14ac:dyDescent="0.25">
      <c r="A356" s="54" t="s">
        <v>578</v>
      </c>
      <c r="B356" s="54" t="s">
        <v>579</v>
      </c>
      <c r="C356" s="31">
        <v>4301011868</v>
      </c>
      <c r="D356" s="560">
        <v>4680115884861</v>
      </c>
      <c r="E356" s="561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572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82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83"/>
      <c r="P357" s="572" t="s">
        <v>75</v>
      </c>
      <c r="Q357" s="573"/>
      <c r="R357" s="573"/>
      <c r="S357" s="573"/>
      <c r="T357" s="573"/>
      <c r="U357" s="573"/>
      <c r="V357" s="574"/>
      <c r="W357" s="37" t="s">
        <v>76</v>
      </c>
      <c r="X357" s="555">
        <f>IFERROR(X350/H350,"0")+IFERROR(X351/H351,"0")+IFERROR(X352/H352,"0")+IFERROR(X353/H353,"0")+IFERROR(X354/H354,"0")+IFERROR(X355/H355,"0")+IFERROR(X356/H356,"0")</f>
        <v>18.8</v>
      </c>
      <c r="Y357" s="555">
        <f>IFERROR(Y350/H350,"0")+IFERROR(Y351/H351,"0")+IFERROR(Y352/H352,"0")+IFERROR(Y353/H353,"0")+IFERROR(Y354/H354,"0")+IFERROR(Y355/H355,"0")+IFERROR(Y356/H356,"0")</f>
        <v>19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0.41324999999999995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83"/>
      <c r="P358" s="572" t="s">
        <v>75</v>
      </c>
      <c r="Q358" s="573"/>
      <c r="R358" s="573"/>
      <c r="S358" s="573"/>
      <c r="T358" s="573"/>
      <c r="U358" s="573"/>
      <c r="V358" s="574"/>
      <c r="W358" s="37" t="s">
        <v>69</v>
      </c>
      <c r="X358" s="555">
        <f>IFERROR(SUM(X350:X356),"0")</f>
        <v>282</v>
      </c>
      <c r="Y358" s="555">
        <f>IFERROR(SUM(Y350:Y356),"0")</f>
        <v>285</v>
      </c>
      <c r="Z358" s="37"/>
      <c r="AA358" s="556"/>
      <c r="AB358" s="556"/>
      <c r="AC358" s="556"/>
    </row>
    <row r="359" spans="1:68" ht="14.25" customHeight="1" x14ac:dyDescent="0.25">
      <c r="A359" s="569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0">
        <v>4607091383980</v>
      </c>
      <c r="E360" s="561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8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131</v>
      </c>
      <c r="Y360" s="554">
        <f>IFERROR(IF(X360="",0,CEILING((X360/$H360),1)*$H360),"")</f>
        <v>135</v>
      </c>
      <c r="Z360" s="36">
        <f>IFERROR(IF(Y360=0,"",ROUNDUP(Y360/H360,0)*0.02175),"")</f>
        <v>0.19574999999999998</v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135.10466666666667</v>
      </c>
      <c r="BN360" s="64">
        <f>IFERROR(Y360*I360/H360,"0")</f>
        <v>139.23000000000002</v>
      </c>
      <c r="BO360" s="64">
        <f>IFERROR(1/J360*(X360/H360),"0")</f>
        <v>0.18194444444444441</v>
      </c>
      <c r="BP360" s="64">
        <f>IFERROR(1/J360*(Y360/H360),"0")</f>
        <v>0.1875</v>
      </c>
    </row>
    <row r="361" spans="1:68" ht="27" customHeight="1" x14ac:dyDescent="0.25">
      <c r="A361" s="54" t="s">
        <v>583</v>
      </c>
      <c r="B361" s="54" t="s">
        <v>584</v>
      </c>
      <c r="C361" s="31">
        <v>4301020179</v>
      </c>
      <c r="D361" s="560">
        <v>4607091384178</v>
      </c>
      <c r="E361" s="561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82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83"/>
      <c r="P362" s="572" t="s">
        <v>75</v>
      </c>
      <c r="Q362" s="573"/>
      <c r="R362" s="573"/>
      <c r="S362" s="573"/>
      <c r="T362" s="573"/>
      <c r="U362" s="573"/>
      <c r="V362" s="574"/>
      <c r="W362" s="37" t="s">
        <v>76</v>
      </c>
      <c r="X362" s="555">
        <f>IFERROR(X360/H360,"0")+IFERROR(X361/H361,"0")</f>
        <v>8.7333333333333325</v>
      </c>
      <c r="Y362" s="555">
        <f>IFERROR(Y360/H360,"0")+IFERROR(Y361/H361,"0")</f>
        <v>9</v>
      </c>
      <c r="Z362" s="555">
        <f>IFERROR(IF(Z360="",0,Z360),"0")+IFERROR(IF(Z361="",0,Z361),"0")</f>
        <v>0.19574999999999998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83"/>
      <c r="P363" s="572" t="s">
        <v>75</v>
      </c>
      <c r="Q363" s="573"/>
      <c r="R363" s="573"/>
      <c r="S363" s="573"/>
      <c r="T363" s="573"/>
      <c r="U363" s="573"/>
      <c r="V363" s="574"/>
      <c r="W363" s="37" t="s">
        <v>69</v>
      </c>
      <c r="X363" s="555">
        <f>IFERROR(SUM(X360:X361),"0")</f>
        <v>131</v>
      </c>
      <c r="Y363" s="555">
        <f>IFERROR(SUM(Y360:Y361),"0")</f>
        <v>135</v>
      </c>
      <c r="Z363" s="37"/>
      <c r="AA363" s="556"/>
      <c r="AB363" s="556"/>
      <c r="AC363" s="556"/>
    </row>
    <row r="364" spans="1:68" ht="14.25" customHeight="1" x14ac:dyDescent="0.25">
      <c r="A364" s="569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customHeight="1" x14ac:dyDescent="0.25">
      <c r="A365" s="54" t="s">
        <v>586</v>
      </c>
      <c r="B365" s="54" t="s">
        <v>587</v>
      </c>
      <c r="C365" s="31">
        <v>4301051903</v>
      </c>
      <c r="D365" s="560">
        <v>4607091383928</v>
      </c>
      <c r="E365" s="561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589</v>
      </c>
      <c r="B366" s="54" t="s">
        <v>590</v>
      </c>
      <c r="C366" s="31">
        <v>4301051897</v>
      </c>
      <c r="D366" s="560">
        <v>4607091384260</v>
      </c>
      <c r="E366" s="561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/>
      <c r="M366" s="33" t="s">
        <v>80</v>
      </c>
      <c r="N366" s="33"/>
      <c r="O366" s="32">
        <v>40</v>
      </c>
      <c r="P366" s="6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/>
      <c r="AK366" s="68">
        <v>0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582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83"/>
      <c r="P367" s="572" t="s">
        <v>75</v>
      </c>
      <c r="Q367" s="573"/>
      <c r="R367" s="573"/>
      <c r="S367" s="573"/>
      <c r="T367" s="573"/>
      <c r="U367" s="573"/>
      <c r="V367" s="574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83"/>
      <c r="P368" s="572" t="s">
        <v>75</v>
      </c>
      <c r="Q368" s="573"/>
      <c r="R368" s="573"/>
      <c r="S368" s="573"/>
      <c r="T368" s="573"/>
      <c r="U368" s="573"/>
      <c r="V368" s="574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customHeight="1" x14ac:dyDescent="0.25">
      <c r="A369" s="569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0">
        <v>4607091384673</v>
      </c>
      <c r="E370" s="561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0</v>
      </c>
      <c r="Y370" s="554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582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83"/>
      <c r="P371" s="572" t="s">
        <v>75</v>
      </c>
      <c r="Q371" s="573"/>
      <c r="R371" s="573"/>
      <c r="S371" s="573"/>
      <c r="T371" s="573"/>
      <c r="U371" s="573"/>
      <c r="V371" s="574"/>
      <c r="W371" s="37" t="s">
        <v>76</v>
      </c>
      <c r="X371" s="555">
        <f>IFERROR(X370/H370,"0")</f>
        <v>0</v>
      </c>
      <c r="Y371" s="555">
        <f>IFERROR(Y370/H370,"0")</f>
        <v>0</v>
      </c>
      <c r="Z371" s="555">
        <f>IFERROR(IF(Z370="",0,Z370),"0")</f>
        <v>0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83"/>
      <c r="P372" s="572" t="s">
        <v>75</v>
      </c>
      <c r="Q372" s="573"/>
      <c r="R372" s="573"/>
      <c r="S372" s="573"/>
      <c r="T372" s="573"/>
      <c r="U372" s="573"/>
      <c r="V372" s="574"/>
      <c r="W372" s="37" t="s">
        <v>69</v>
      </c>
      <c r="X372" s="555">
        <f>IFERROR(SUM(X370:X370),"0")</f>
        <v>0</v>
      </c>
      <c r="Y372" s="555">
        <f>IFERROR(SUM(Y370:Y370),"0")</f>
        <v>0</v>
      </c>
      <c r="Z372" s="37"/>
      <c r="AA372" s="556"/>
      <c r="AB372" s="556"/>
      <c r="AC372" s="556"/>
    </row>
    <row r="373" spans="1:68" ht="16.5" customHeight="1" x14ac:dyDescent="0.25">
      <c r="A373" s="567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customHeight="1" x14ac:dyDescent="0.25">
      <c r="A374" s="569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customHeight="1" x14ac:dyDescent="0.25">
      <c r="A375" s="54" t="s">
        <v>596</v>
      </c>
      <c r="B375" s="54" t="s">
        <v>597</v>
      </c>
      <c r="C375" s="31">
        <v>4301011875</v>
      </c>
      <c r="D375" s="560">
        <v>4680115884885</v>
      </c>
      <c r="E375" s="561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 t="s">
        <v>108</v>
      </c>
      <c r="AK375" s="68">
        <v>96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customHeight="1" x14ac:dyDescent="0.25">
      <c r="A376" s="54" t="s">
        <v>599</v>
      </c>
      <c r="B376" s="54" t="s">
        <v>600</v>
      </c>
      <c r="C376" s="31">
        <v>4301011871</v>
      </c>
      <c r="D376" s="560">
        <v>4680115884908</v>
      </c>
      <c r="E376" s="561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7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82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83"/>
      <c r="P377" s="572" t="s">
        <v>75</v>
      </c>
      <c r="Q377" s="573"/>
      <c r="R377" s="573"/>
      <c r="S377" s="573"/>
      <c r="T377" s="573"/>
      <c r="U377" s="573"/>
      <c r="V377" s="574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83"/>
      <c r="P378" s="572" t="s">
        <v>75</v>
      </c>
      <c r="Q378" s="573"/>
      <c r="R378" s="573"/>
      <c r="S378" s="573"/>
      <c r="T378" s="573"/>
      <c r="U378" s="573"/>
      <c r="V378" s="574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customHeight="1" x14ac:dyDescent="0.25">
      <c r="A379" s="569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customHeight="1" x14ac:dyDescent="0.25">
      <c r="A380" s="54" t="s">
        <v>601</v>
      </c>
      <c r="B380" s="54" t="s">
        <v>602</v>
      </c>
      <c r="C380" s="31">
        <v>4301031457</v>
      </c>
      <c r="D380" s="560">
        <v>4607091384802</v>
      </c>
      <c r="E380" s="561"/>
      <c r="F380" s="552">
        <v>0.7</v>
      </c>
      <c r="G380" s="32">
        <v>6</v>
      </c>
      <c r="H380" s="552">
        <v>4.2</v>
      </c>
      <c r="I380" s="552">
        <v>4.45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50</v>
      </c>
      <c r="P380" s="75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601</v>
      </c>
      <c r="B381" s="54" t="s">
        <v>604</v>
      </c>
      <c r="C381" s="31">
        <v>4301031303</v>
      </c>
      <c r="D381" s="560">
        <v>4607091384802</v>
      </c>
      <c r="E381" s="561"/>
      <c r="F381" s="552">
        <v>0.73</v>
      </c>
      <c r="G381" s="32">
        <v>6</v>
      </c>
      <c r="H381" s="552">
        <v>4.38</v>
      </c>
      <c r="I381" s="552">
        <v>4.63</v>
      </c>
      <c r="J381" s="32">
        <v>132</v>
      </c>
      <c r="K381" s="32" t="s">
        <v>111</v>
      </c>
      <c r="L381" s="32" t="s">
        <v>114</v>
      </c>
      <c r="M381" s="33" t="s">
        <v>68</v>
      </c>
      <c r="N381" s="33"/>
      <c r="O381" s="32">
        <v>35</v>
      </c>
      <c r="P381" s="60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 t="s">
        <v>108</v>
      </c>
      <c r="AK381" s="68">
        <v>52.56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x14ac:dyDescent="0.2">
      <c r="A382" s="582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83"/>
      <c r="P382" s="572" t="s">
        <v>75</v>
      </c>
      <c r="Q382" s="573"/>
      <c r="R382" s="573"/>
      <c r="S382" s="573"/>
      <c r="T382" s="573"/>
      <c r="U382" s="573"/>
      <c r="V382" s="574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83"/>
      <c r="P383" s="572" t="s">
        <v>75</v>
      </c>
      <c r="Q383" s="573"/>
      <c r="R383" s="573"/>
      <c r="S383" s="573"/>
      <c r="T383" s="573"/>
      <c r="U383" s="573"/>
      <c r="V383" s="574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customHeight="1" x14ac:dyDescent="0.25">
      <c r="A384" s="569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0">
        <v>4607091384246</v>
      </c>
      <c r="E385" s="561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0</v>
      </c>
      <c r="Y385" s="55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609</v>
      </c>
      <c r="B386" s="54" t="s">
        <v>610</v>
      </c>
      <c r="C386" s="31">
        <v>4301051660</v>
      </c>
      <c r="D386" s="560">
        <v>4607091384253</v>
      </c>
      <c r="E386" s="561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 t="s">
        <v>188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 t="s">
        <v>108</v>
      </c>
      <c r="AK386" s="68">
        <v>33.6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609</v>
      </c>
      <c r="B387" s="54" t="s">
        <v>611</v>
      </c>
      <c r="C387" s="31">
        <v>4301052069</v>
      </c>
      <c r="D387" s="560">
        <v>4607091384253</v>
      </c>
      <c r="E387" s="561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82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83"/>
      <c r="P388" s="572" t="s">
        <v>75</v>
      </c>
      <c r="Q388" s="573"/>
      <c r="R388" s="573"/>
      <c r="S388" s="573"/>
      <c r="T388" s="573"/>
      <c r="U388" s="573"/>
      <c r="V388" s="574"/>
      <c r="W388" s="37" t="s">
        <v>76</v>
      </c>
      <c r="X388" s="555">
        <f>IFERROR(X385/H385,"0")+IFERROR(X386/H386,"0")+IFERROR(X387/H387,"0")</f>
        <v>0</v>
      </c>
      <c r="Y388" s="555">
        <f>IFERROR(Y385/H385,"0")+IFERROR(Y386/H386,"0")+IFERROR(Y387/H387,"0")</f>
        <v>0</v>
      </c>
      <c r="Z388" s="555">
        <f>IFERROR(IF(Z385="",0,Z385),"0")+IFERROR(IF(Z386="",0,Z386),"0")+IFERROR(IF(Z387="",0,Z387),"0")</f>
        <v>0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83"/>
      <c r="P389" s="572" t="s">
        <v>75</v>
      </c>
      <c r="Q389" s="573"/>
      <c r="R389" s="573"/>
      <c r="S389" s="573"/>
      <c r="T389" s="573"/>
      <c r="U389" s="573"/>
      <c r="V389" s="574"/>
      <c r="W389" s="37" t="s">
        <v>69</v>
      </c>
      <c r="X389" s="555">
        <f>IFERROR(SUM(X385:X387),"0")</f>
        <v>0</v>
      </c>
      <c r="Y389" s="555">
        <f>IFERROR(SUM(Y385:Y387),"0")</f>
        <v>0</v>
      </c>
      <c r="Z389" s="37"/>
      <c r="AA389" s="556"/>
      <c r="AB389" s="556"/>
      <c r="AC389" s="556"/>
    </row>
    <row r="390" spans="1:68" ht="27.75" customHeight="1" x14ac:dyDescent="0.2">
      <c r="A390" s="630" t="s">
        <v>613</v>
      </c>
      <c r="B390" s="631"/>
      <c r="C390" s="631"/>
      <c r="D390" s="631"/>
      <c r="E390" s="631"/>
      <c r="F390" s="631"/>
      <c r="G390" s="631"/>
      <c r="H390" s="631"/>
      <c r="I390" s="631"/>
      <c r="J390" s="631"/>
      <c r="K390" s="631"/>
      <c r="L390" s="631"/>
      <c r="M390" s="631"/>
      <c r="N390" s="631"/>
      <c r="O390" s="631"/>
      <c r="P390" s="631"/>
      <c r="Q390" s="631"/>
      <c r="R390" s="631"/>
      <c r="S390" s="631"/>
      <c r="T390" s="631"/>
      <c r="U390" s="631"/>
      <c r="V390" s="631"/>
      <c r="W390" s="631"/>
      <c r="X390" s="631"/>
      <c r="Y390" s="631"/>
      <c r="Z390" s="631"/>
      <c r="AA390" s="48"/>
      <c r="AB390" s="48"/>
      <c r="AC390" s="48"/>
    </row>
    <row r="391" spans="1:68" ht="16.5" customHeight="1" x14ac:dyDescent="0.25">
      <c r="A391" s="567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customHeight="1" x14ac:dyDescent="0.25">
      <c r="A392" s="569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customHeight="1" x14ac:dyDescent="0.25">
      <c r="A393" s="54" t="s">
        <v>615</v>
      </c>
      <c r="B393" s="54" t="s">
        <v>616</v>
      </c>
      <c r="C393" s="31">
        <v>4301031405</v>
      </c>
      <c r="D393" s="560">
        <v>4680115886100</v>
      </c>
      <c r="E393" s="561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7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customHeight="1" x14ac:dyDescent="0.25">
      <c r="A394" s="54" t="s">
        <v>618</v>
      </c>
      <c r="B394" s="54" t="s">
        <v>619</v>
      </c>
      <c r="C394" s="31">
        <v>4301031406</v>
      </c>
      <c r="D394" s="560">
        <v>4680115886117</v>
      </c>
      <c r="E394" s="561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4301031402</v>
      </c>
      <c r="D395" s="560">
        <v>4680115886124</v>
      </c>
      <c r="E395" s="561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 t="s">
        <v>114</v>
      </c>
      <c r="M395" s="33" t="s">
        <v>68</v>
      </c>
      <c r="N395" s="33"/>
      <c r="O395" s="32">
        <v>50</v>
      </c>
      <c r="P395" s="7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 t="s">
        <v>108</v>
      </c>
      <c r="AK395" s="68">
        <v>64.8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4301031366</v>
      </c>
      <c r="D396" s="560">
        <v>4680115883147</v>
      </c>
      <c r="E396" s="561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626</v>
      </c>
      <c r="B397" s="54" t="s">
        <v>627</v>
      </c>
      <c r="C397" s="31">
        <v>4301031362</v>
      </c>
      <c r="D397" s="560">
        <v>4607091384338</v>
      </c>
      <c r="E397" s="561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customHeight="1" x14ac:dyDescent="0.25">
      <c r="A398" s="54" t="s">
        <v>628</v>
      </c>
      <c r="B398" s="54" t="s">
        <v>629</v>
      </c>
      <c r="C398" s="31">
        <v>4301031361</v>
      </c>
      <c r="D398" s="560">
        <v>4607091389524</v>
      </c>
      <c r="E398" s="561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631</v>
      </c>
      <c r="B399" s="54" t="s">
        <v>632</v>
      </c>
      <c r="C399" s="31">
        <v>4301031364</v>
      </c>
      <c r="D399" s="560">
        <v>4680115883161</v>
      </c>
      <c r="E399" s="561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4301031358</v>
      </c>
      <c r="D400" s="560">
        <v>4607091389531</v>
      </c>
      <c r="E400" s="561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customHeight="1" x14ac:dyDescent="0.25">
      <c r="A401" s="54" t="s">
        <v>637</v>
      </c>
      <c r="B401" s="54" t="s">
        <v>638</v>
      </c>
      <c r="C401" s="31">
        <v>4301031360</v>
      </c>
      <c r="D401" s="560">
        <v>4607091384345</v>
      </c>
      <c r="E401" s="561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x14ac:dyDescent="0.2">
      <c r="A402" s="582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83"/>
      <c r="P402" s="572" t="s">
        <v>75</v>
      </c>
      <c r="Q402" s="573"/>
      <c r="R402" s="573"/>
      <c r="S402" s="573"/>
      <c r="T402" s="573"/>
      <c r="U402" s="573"/>
      <c r="V402" s="574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83"/>
      <c r="P403" s="572" t="s">
        <v>75</v>
      </c>
      <c r="Q403" s="573"/>
      <c r="R403" s="573"/>
      <c r="S403" s="573"/>
      <c r="T403" s="573"/>
      <c r="U403" s="573"/>
      <c r="V403" s="574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customHeight="1" x14ac:dyDescent="0.25">
      <c r="A404" s="569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customHeight="1" x14ac:dyDescent="0.25">
      <c r="A405" s="54" t="s">
        <v>639</v>
      </c>
      <c r="B405" s="54" t="s">
        <v>640</v>
      </c>
      <c r="C405" s="31">
        <v>4301051284</v>
      </c>
      <c r="D405" s="560">
        <v>4607091384352</v>
      </c>
      <c r="E405" s="561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3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642</v>
      </c>
      <c r="B406" s="54" t="s">
        <v>643</v>
      </c>
      <c r="C406" s="31">
        <v>4301051431</v>
      </c>
      <c r="D406" s="560">
        <v>4607091389654</v>
      </c>
      <c r="E406" s="561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6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582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83"/>
      <c r="P407" s="572" t="s">
        <v>75</v>
      </c>
      <c r="Q407" s="573"/>
      <c r="R407" s="573"/>
      <c r="S407" s="573"/>
      <c r="T407" s="573"/>
      <c r="U407" s="573"/>
      <c r="V407" s="574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83"/>
      <c r="P408" s="572" t="s">
        <v>75</v>
      </c>
      <c r="Q408" s="573"/>
      <c r="R408" s="573"/>
      <c r="S408" s="573"/>
      <c r="T408" s="573"/>
      <c r="U408" s="573"/>
      <c r="V408" s="574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customHeight="1" x14ac:dyDescent="0.25">
      <c r="A409" s="567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customHeight="1" x14ac:dyDescent="0.25">
      <c r="A410" s="569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customHeight="1" x14ac:dyDescent="0.25">
      <c r="A411" s="54" t="s">
        <v>646</v>
      </c>
      <c r="B411" s="54" t="s">
        <v>647</v>
      </c>
      <c r="C411" s="31">
        <v>4301020319</v>
      </c>
      <c r="D411" s="560">
        <v>4680115885240</v>
      </c>
      <c r="E411" s="561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69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82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83"/>
      <c r="P412" s="572" t="s">
        <v>75</v>
      </c>
      <c r="Q412" s="573"/>
      <c r="R412" s="573"/>
      <c r="S412" s="573"/>
      <c r="T412" s="573"/>
      <c r="U412" s="573"/>
      <c r="V412" s="574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83"/>
      <c r="P413" s="572" t="s">
        <v>75</v>
      </c>
      <c r="Q413" s="573"/>
      <c r="R413" s="573"/>
      <c r="S413" s="573"/>
      <c r="T413" s="573"/>
      <c r="U413" s="573"/>
      <c r="V413" s="574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customHeight="1" x14ac:dyDescent="0.25">
      <c r="A414" s="569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customHeight="1" x14ac:dyDescent="0.25">
      <c r="A415" s="54" t="s">
        <v>649</v>
      </c>
      <c r="B415" s="54" t="s">
        <v>650</v>
      </c>
      <c r="C415" s="31">
        <v>4301031403</v>
      </c>
      <c r="D415" s="560">
        <v>4680115886094</v>
      </c>
      <c r="E415" s="561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652</v>
      </c>
      <c r="B416" s="54" t="s">
        <v>653</v>
      </c>
      <c r="C416" s="31">
        <v>4301031363</v>
      </c>
      <c r="D416" s="560">
        <v>4607091389425</v>
      </c>
      <c r="E416" s="561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655</v>
      </c>
      <c r="B417" s="54" t="s">
        <v>656</v>
      </c>
      <c r="C417" s="31">
        <v>4301031373</v>
      </c>
      <c r="D417" s="560">
        <v>4680115880771</v>
      </c>
      <c r="E417" s="561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4301031359</v>
      </c>
      <c r="D418" s="560">
        <v>4607091389500</v>
      </c>
      <c r="E418" s="561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582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83"/>
      <c r="P419" s="572" t="s">
        <v>75</v>
      </c>
      <c r="Q419" s="573"/>
      <c r="R419" s="573"/>
      <c r="S419" s="573"/>
      <c r="T419" s="573"/>
      <c r="U419" s="573"/>
      <c r="V419" s="574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83"/>
      <c r="P420" s="572" t="s">
        <v>75</v>
      </c>
      <c r="Q420" s="573"/>
      <c r="R420" s="573"/>
      <c r="S420" s="573"/>
      <c r="T420" s="573"/>
      <c r="U420" s="573"/>
      <c r="V420" s="574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customHeight="1" x14ac:dyDescent="0.25">
      <c r="A421" s="567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customHeight="1" x14ac:dyDescent="0.25">
      <c r="A422" s="569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customHeight="1" x14ac:dyDescent="0.25">
      <c r="A423" s="54" t="s">
        <v>661</v>
      </c>
      <c r="B423" s="54" t="s">
        <v>662</v>
      </c>
      <c r="C423" s="31">
        <v>4301031347</v>
      </c>
      <c r="D423" s="560">
        <v>4680115885110</v>
      </c>
      <c r="E423" s="561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7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x14ac:dyDescent="0.2">
      <c r="A424" s="582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83"/>
      <c r="P424" s="572" t="s">
        <v>75</v>
      </c>
      <c r="Q424" s="573"/>
      <c r="R424" s="573"/>
      <c r="S424" s="573"/>
      <c r="T424" s="573"/>
      <c r="U424" s="573"/>
      <c r="V424" s="574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83"/>
      <c r="P425" s="572" t="s">
        <v>75</v>
      </c>
      <c r="Q425" s="573"/>
      <c r="R425" s="573"/>
      <c r="S425" s="573"/>
      <c r="T425" s="573"/>
      <c r="U425" s="573"/>
      <c r="V425" s="574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customHeight="1" x14ac:dyDescent="0.2">
      <c r="A426" s="630" t="s">
        <v>664</v>
      </c>
      <c r="B426" s="631"/>
      <c r="C426" s="631"/>
      <c r="D426" s="631"/>
      <c r="E426" s="631"/>
      <c r="F426" s="631"/>
      <c r="G426" s="631"/>
      <c r="H426" s="631"/>
      <c r="I426" s="631"/>
      <c r="J426" s="631"/>
      <c r="K426" s="631"/>
      <c r="L426" s="631"/>
      <c r="M426" s="631"/>
      <c r="N426" s="631"/>
      <c r="O426" s="631"/>
      <c r="P426" s="631"/>
      <c r="Q426" s="631"/>
      <c r="R426" s="631"/>
      <c r="S426" s="631"/>
      <c r="T426" s="631"/>
      <c r="U426" s="631"/>
      <c r="V426" s="631"/>
      <c r="W426" s="631"/>
      <c r="X426" s="631"/>
      <c r="Y426" s="631"/>
      <c r="Z426" s="631"/>
      <c r="AA426" s="48"/>
      <c r="AB426" s="48"/>
      <c r="AC426" s="48"/>
    </row>
    <row r="427" spans="1:68" ht="16.5" customHeight="1" x14ac:dyDescent="0.25">
      <c r="A427" s="567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customHeight="1" x14ac:dyDescent="0.25">
      <c r="A428" s="569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0">
        <v>4607091389067</v>
      </c>
      <c r="E429" s="561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0</v>
      </c>
      <c r="Y429" s="554">
        <f t="shared" ref="Y429:Y440" si="47">IFERROR(IF(X429="",0,CEILING((X429/$H429),1)*$H429),"")</f>
        <v>0</v>
      </c>
      <c r="Z429" s="36" t="str">
        <f t="shared" ref="Z429:Z435" si="48">IFERROR(IF(Y429=0,"",ROUNDUP(Y429/H429,0)*0.01196),"")</f>
        <v/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0</v>
      </c>
      <c r="BN429" s="64">
        <f t="shared" ref="BN429:BN440" si="50">IFERROR(Y429*I429/H429,"0")</f>
        <v>0</v>
      </c>
      <c r="BO429" s="64">
        <f t="shared" ref="BO429:BO440" si="51">IFERROR(1/J429*(X429/H429),"0")</f>
        <v>0</v>
      </c>
      <c r="BP429" s="64">
        <f t="shared" ref="BP429:BP440" si="52">IFERROR(1/J429*(Y429/H429),"0")</f>
        <v>0</v>
      </c>
    </row>
    <row r="430" spans="1:68" ht="27" customHeight="1" x14ac:dyDescent="0.25">
      <c r="A430" s="54" t="s">
        <v>667</v>
      </c>
      <c r="B430" s="54" t="s">
        <v>668</v>
      </c>
      <c r="C430" s="31">
        <v>4301012210</v>
      </c>
      <c r="D430" s="560">
        <v>4607091383522</v>
      </c>
      <c r="E430" s="561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2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667</v>
      </c>
      <c r="B431" s="54" t="s">
        <v>670</v>
      </c>
      <c r="C431" s="31">
        <v>4301012145</v>
      </c>
      <c r="D431" s="560">
        <v>4607091383522</v>
      </c>
      <c r="E431" s="561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0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4301011961</v>
      </c>
      <c r="D432" s="560">
        <v>4680115885271</v>
      </c>
      <c r="E432" s="561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 t="s">
        <v>108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0">
        <v>4680115885226</v>
      </c>
      <c r="E433" s="561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0</v>
      </c>
      <c r="Y433" s="554">
        <f t="shared" si="47"/>
        <v>0</v>
      </c>
      <c r="Z433" s="36" t="str">
        <f t="shared" si="48"/>
        <v/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16.5" customHeight="1" x14ac:dyDescent="0.25">
      <c r="A434" s="54" t="s">
        <v>677</v>
      </c>
      <c r="B434" s="54" t="s">
        <v>678</v>
      </c>
      <c r="C434" s="31">
        <v>4301011774</v>
      </c>
      <c r="D434" s="560">
        <v>4680115884502</v>
      </c>
      <c r="E434" s="561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0">
        <v>4607091389104</v>
      </c>
      <c r="E435" s="561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306</v>
      </c>
      <c r="Y435" s="554">
        <f t="shared" si="47"/>
        <v>306.24</v>
      </c>
      <c r="Z435" s="36">
        <f t="shared" si="48"/>
        <v>0.69367999999999996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326.28409090909088</v>
      </c>
      <c r="BN435" s="64">
        <f t="shared" si="50"/>
        <v>326.53999999999996</v>
      </c>
      <c r="BO435" s="64">
        <f t="shared" si="51"/>
        <v>0.55725524475524479</v>
      </c>
      <c r="BP435" s="64">
        <f t="shared" si="52"/>
        <v>0.55769230769230771</v>
      </c>
    </row>
    <row r="436" spans="1:68" ht="27" customHeight="1" x14ac:dyDescent="0.25">
      <c r="A436" s="54" t="s">
        <v>683</v>
      </c>
      <c r="B436" s="54" t="s">
        <v>684</v>
      </c>
      <c r="C436" s="31">
        <v>4301012125</v>
      </c>
      <c r="D436" s="560">
        <v>4680115886391</v>
      </c>
      <c r="E436" s="561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7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4301012035</v>
      </c>
      <c r="D437" s="560">
        <v>4680115880603</v>
      </c>
      <c r="E437" s="561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6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687</v>
      </c>
      <c r="B438" s="54" t="s">
        <v>688</v>
      </c>
      <c r="C438" s="31">
        <v>4301012036</v>
      </c>
      <c r="D438" s="560">
        <v>4680115882782</v>
      </c>
      <c r="E438" s="561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3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689</v>
      </c>
      <c r="B439" s="54" t="s">
        <v>690</v>
      </c>
      <c r="C439" s="31">
        <v>4301012050</v>
      </c>
      <c r="D439" s="560">
        <v>4680115885479</v>
      </c>
      <c r="E439" s="561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0">
        <v>4607091389982</v>
      </c>
      <c r="E440" s="561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0</v>
      </c>
      <c r="Y440" s="554">
        <f t="shared" si="47"/>
        <v>0</v>
      </c>
      <c r="Z440" s="36" t="str">
        <f>IFERROR(IF(Y440=0,"",ROUNDUP(Y440/H440,0)*0.00902),"")</f>
        <v/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0</v>
      </c>
      <c r="BN440" s="64">
        <f t="shared" si="50"/>
        <v>0</v>
      </c>
      <c r="BO440" s="64">
        <f t="shared" si="51"/>
        <v>0</v>
      </c>
      <c r="BP440" s="64">
        <f t="shared" si="52"/>
        <v>0</v>
      </c>
    </row>
    <row r="441" spans="1:68" x14ac:dyDescent="0.2">
      <c r="A441" s="582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83"/>
      <c r="P441" s="572" t="s">
        <v>75</v>
      </c>
      <c r="Q441" s="573"/>
      <c r="R441" s="573"/>
      <c r="S441" s="573"/>
      <c r="T441" s="573"/>
      <c r="U441" s="573"/>
      <c r="V441" s="574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57.954545454545453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58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0.69367999999999996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83"/>
      <c r="P442" s="572" t="s">
        <v>75</v>
      </c>
      <c r="Q442" s="573"/>
      <c r="R442" s="573"/>
      <c r="S442" s="573"/>
      <c r="T442" s="573"/>
      <c r="U442" s="573"/>
      <c r="V442" s="574"/>
      <c r="W442" s="37" t="s">
        <v>69</v>
      </c>
      <c r="X442" s="555">
        <f>IFERROR(SUM(X429:X440),"0")</f>
        <v>306</v>
      </c>
      <c r="Y442" s="555">
        <f>IFERROR(SUM(Y429:Y440),"0")</f>
        <v>306.24</v>
      </c>
      <c r="Z442" s="37"/>
      <c r="AA442" s="556"/>
      <c r="AB442" s="556"/>
      <c r="AC442" s="556"/>
    </row>
    <row r="443" spans="1:68" ht="14.25" customHeight="1" x14ac:dyDescent="0.25">
      <c r="A443" s="569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0">
        <v>4607091388930</v>
      </c>
      <c r="E444" s="561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134</v>
      </c>
      <c r="Y444" s="554">
        <f>IFERROR(IF(X444="",0,CEILING((X444/$H444),1)*$H444),"")</f>
        <v>137.28</v>
      </c>
      <c r="Z444" s="36">
        <f>IFERROR(IF(Y444=0,"",ROUNDUP(Y444/H444,0)*0.01196),"")</f>
        <v>0.31096000000000001</v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142.88257575757575</v>
      </c>
      <c r="BN444" s="64">
        <f>IFERROR(Y444*I444/H444,"0")</f>
        <v>146.38</v>
      </c>
      <c r="BO444" s="64">
        <f>IFERROR(1/J444*(X444/H444),"0")</f>
        <v>0.24402680652680653</v>
      </c>
      <c r="BP444" s="64">
        <f>IFERROR(1/J444*(Y444/H444),"0")</f>
        <v>0.25</v>
      </c>
    </row>
    <row r="445" spans="1:68" ht="16.5" customHeight="1" x14ac:dyDescent="0.25">
      <c r="A445" s="54" t="s">
        <v>697</v>
      </c>
      <c r="B445" s="54" t="s">
        <v>698</v>
      </c>
      <c r="C445" s="31">
        <v>4301020384</v>
      </c>
      <c r="D445" s="560">
        <v>4680115886407</v>
      </c>
      <c r="E445" s="561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1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699</v>
      </c>
      <c r="B446" s="54" t="s">
        <v>700</v>
      </c>
      <c r="C446" s="31">
        <v>4301020385</v>
      </c>
      <c r="D446" s="560">
        <v>4680115880054</v>
      </c>
      <c r="E446" s="561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 t="s">
        <v>114</v>
      </c>
      <c r="M446" s="33" t="s">
        <v>106</v>
      </c>
      <c r="N446" s="33"/>
      <c r="O446" s="32">
        <v>70</v>
      </c>
      <c r="P446" s="76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 t="s">
        <v>108</v>
      </c>
      <c r="AK446" s="68">
        <v>57.6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82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83"/>
      <c r="P447" s="572" t="s">
        <v>75</v>
      </c>
      <c r="Q447" s="573"/>
      <c r="R447" s="573"/>
      <c r="S447" s="573"/>
      <c r="T447" s="573"/>
      <c r="U447" s="573"/>
      <c r="V447" s="574"/>
      <c r="W447" s="37" t="s">
        <v>76</v>
      </c>
      <c r="X447" s="555">
        <f>IFERROR(X444/H444,"0")+IFERROR(X445/H445,"0")+IFERROR(X446/H446,"0")</f>
        <v>25.378787878787879</v>
      </c>
      <c r="Y447" s="555">
        <f>IFERROR(Y444/H444,"0")+IFERROR(Y445/H445,"0")+IFERROR(Y446/H446,"0")</f>
        <v>26</v>
      </c>
      <c r="Z447" s="555">
        <f>IFERROR(IF(Z444="",0,Z444),"0")+IFERROR(IF(Z445="",0,Z445),"0")+IFERROR(IF(Z446="",0,Z446),"0")</f>
        <v>0.31096000000000001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83"/>
      <c r="P448" s="572" t="s">
        <v>75</v>
      </c>
      <c r="Q448" s="573"/>
      <c r="R448" s="573"/>
      <c r="S448" s="573"/>
      <c r="T448" s="573"/>
      <c r="U448" s="573"/>
      <c r="V448" s="574"/>
      <c r="W448" s="37" t="s">
        <v>69</v>
      </c>
      <c r="X448" s="555">
        <f>IFERROR(SUM(X444:X446),"0")</f>
        <v>134</v>
      </c>
      <c r="Y448" s="555">
        <f>IFERROR(SUM(Y444:Y446),"0")</f>
        <v>137.28</v>
      </c>
      <c r="Z448" s="37"/>
      <c r="AA448" s="556"/>
      <c r="AB448" s="556"/>
      <c r="AC448" s="556"/>
    </row>
    <row r="449" spans="1:68" ht="14.25" customHeight="1" x14ac:dyDescent="0.25">
      <c r="A449" s="569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0">
        <v>4680115883116</v>
      </c>
      <c r="E450" s="561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1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61</v>
      </c>
      <c r="Y450" s="554">
        <f t="shared" ref="Y450:Y455" si="53">IFERROR(IF(X450="",0,CEILING((X450/$H450),1)*$H450),"")</f>
        <v>63.36</v>
      </c>
      <c r="Z450" s="36">
        <f>IFERROR(IF(Y450=0,"",ROUNDUP(Y450/H450,0)*0.01196),"")</f>
        <v>0.14352000000000001</v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65.043560606060609</v>
      </c>
      <c r="BN450" s="64">
        <f t="shared" ref="BN450:BN455" si="55">IFERROR(Y450*I450/H450,"0")</f>
        <v>67.559999999999988</v>
      </c>
      <c r="BO450" s="64">
        <f t="shared" ref="BO450:BO455" si="56">IFERROR(1/J450*(X450/H450),"0")</f>
        <v>0.11108682983682984</v>
      </c>
      <c r="BP450" s="64">
        <f t="shared" ref="BP450:BP455" si="57">IFERROR(1/J450*(Y450/H450),"0")</f>
        <v>0.11538461538461539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0">
        <v>4680115883093</v>
      </c>
      <c r="E451" s="561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50</v>
      </c>
      <c r="Y451" s="554">
        <f t="shared" si="53"/>
        <v>52.800000000000004</v>
      </c>
      <c r="Z451" s="36">
        <f>IFERROR(IF(Y451=0,"",ROUNDUP(Y451/H451,0)*0.01196),"")</f>
        <v>0.1196</v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53.314393939393938</v>
      </c>
      <c r="BN451" s="64">
        <f t="shared" si="55"/>
        <v>56.3</v>
      </c>
      <c r="BO451" s="64">
        <f t="shared" si="56"/>
        <v>9.1054778554778545E-2</v>
      </c>
      <c r="BP451" s="64">
        <f t="shared" si="57"/>
        <v>9.6153846153846159E-2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0">
        <v>4680115883109</v>
      </c>
      <c r="E452" s="561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77</v>
      </c>
      <c r="Y452" s="554">
        <f t="shared" si="53"/>
        <v>79.2</v>
      </c>
      <c r="Z452" s="36">
        <f>IFERROR(IF(Y452=0,"",ROUNDUP(Y452/H452,0)*0.01196),"")</f>
        <v>0.1794</v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82.104166666666657</v>
      </c>
      <c r="BN452" s="64">
        <f t="shared" si="55"/>
        <v>84.45</v>
      </c>
      <c r="BO452" s="64">
        <f t="shared" si="56"/>
        <v>0.14022435897435898</v>
      </c>
      <c r="BP452" s="64">
        <f t="shared" si="57"/>
        <v>0.14423076923076925</v>
      </c>
    </row>
    <row r="453" spans="1:68" ht="27" customHeight="1" x14ac:dyDescent="0.25">
      <c r="A453" s="54" t="s">
        <v>710</v>
      </c>
      <c r="B453" s="54" t="s">
        <v>711</v>
      </c>
      <c r="C453" s="31">
        <v>4301031419</v>
      </c>
      <c r="D453" s="560">
        <v>4680115882072</v>
      </c>
      <c r="E453" s="561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712</v>
      </c>
      <c r="B454" s="54" t="s">
        <v>713</v>
      </c>
      <c r="C454" s="31">
        <v>4301031418</v>
      </c>
      <c r="D454" s="560">
        <v>4680115882102</v>
      </c>
      <c r="E454" s="561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customHeight="1" x14ac:dyDescent="0.25">
      <c r="A455" s="54" t="s">
        <v>714</v>
      </c>
      <c r="B455" s="54" t="s">
        <v>715</v>
      </c>
      <c r="C455" s="31">
        <v>4301031417</v>
      </c>
      <c r="D455" s="560">
        <v>4680115882096</v>
      </c>
      <c r="E455" s="561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82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83"/>
      <c r="P456" s="572" t="s">
        <v>75</v>
      </c>
      <c r="Q456" s="573"/>
      <c r="R456" s="573"/>
      <c r="S456" s="573"/>
      <c r="T456" s="573"/>
      <c r="U456" s="573"/>
      <c r="V456" s="574"/>
      <c r="W456" s="37" t="s">
        <v>76</v>
      </c>
      <c r="X456" s="555">
        <f>IFERROR(X450/H450,"0")+IFERROR(X451/H451,"0")+IFERROR(X452/H452,"0")+IFERROR(X453/H453,"0")+IFERROR(X454/H454,"0")+IFERROR(X455/H455,"0")</f>
        <v>35.606060606060609</v>
      </c>
      <c r="Y456" s="555">
        <f>IFERROR(Y450/H450,"0")+IFERROR(Y451/H451,"0")+IFERROR(Y452/H452,"0")+IFERROR(Y453/H453,"0")+IFERROR(Y454/H454,"0")+IFERROR(Y455/H455,"0")</f>
        <v>37</v>
      </c>
      <c r="Z456" s="555">
        <f>IFERROR(IF(Z450="",0,Z450),"0")+IFERROR(IF(Z451="",0,Z451),"0")+IFERROR(IF(Z452="",0,Z452),"0")+IFERROR(IF(Z453="",0,Z453),"0")+IFERROR(IF(Z454="",0,Z454),"0")+IFERROR(IF(Z455="",0,Z455),"0")</f>
        <v>0.44252000000000002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83"/>
      <c r="P457" s="572" t="s">
        <v>75</v>
      </c>
      <c r="Q457" s="573"/>
      <c r="R457" s="573"/>
      <c r="S457" s="573"/>
      <c r="T457" s="573"/>
      <c r="U457" s="573"/>
      <c r="V457" s="574"/>
      <c r="W457" s="37" t="s">
        <v>69</v>
      </c>
      <c r="X457" s="555">
        <f>IFERROR(SUM(X450:X455),"0")</f>
        <v>188</v>
      </c>
      <c r="Y457" s="555">
        <f>IFERROR(SUM(Y450:Y455),"0")</f>
        <v>195.36</v>
      </c>
      <c r="Z457" s="37"/>
      <c r="AA457" s="556"/>
      <c r="AB457" s="556"/>
      <c r="AC457" s="556"/>
    </row>
    <row r="458" spans="1:68" ht="14.25" customHeight="1" x14ac:dyDescent="0.25">
      <c r="A458" s="569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customHeight="1" x14ac:dyDescent="0.25">
      <c r="A459" s="54" t="s">
        <v>716</v>
      </c>
      <c r="B459" s="54" t="s">
        <v>717</v>
      </c>
      <c r="C459" s="31">
        <v>4301051064</v>
      </c>
      <c r="D459" s="560">
        <v>4680115883536</v>
      </c>
      <c r="E459" s="561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582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83"/>
      <c r="P460" s="572" t="s">
        <v>75</v>
      </c>
      <c r="Q460" s="573"/>
      <c r="R460" s="573"/>
      <c r="S460" s="573"/>
      <c r="T460" s="573"/>
      <c r="U460" s="573"/>
      <c r="V460" s="574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83"/>
      <c r="P461" s="572" t="s">
        <v>75</v>
      </c>
      <c r="Q461" s="573"/>
      <c r="R461" s="573"/>
      <c r="S461" s="573"/>
      <c r="T461" s="573"/>
      <c r="U461" s="573"/>
      <c r="V461" s="574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customHeight="1" x14ac:dyDescent="0.2">
      <c r="A462" s="630" t="s">
        <v>719</v>
      </c>
      <c r="B462" s="631"/>
      <c r="C462" s="631"/>
      <c r="D462" s="631"/>
      <c r="E462" s="631"/>
      <c r="F462" s="631"/>
      <c r="G462" s="631"/>
      <c r="H462" s="631"/>
      <c r="I462" s="631"/>
      <c r="J462" s="631"/>
      <c r="K462" s="631"/>
      <c r="L462" s="631"/>
      <c r="M462" s="631"/>
      <c r="N462" s="631"/>
      <c r="O462" s="631"/>
      <c r="P462" s="631"/>
      <c r="Q462" s="631"/>
      <c r="R462" s="631"/>
      <c r="S462" s="631"/>
      <c r="T462" s="631"/>
      <c r="U462" s="631"/>
      <c r="V462" s="631"/>
      <c r="W462" s="631"/>
      <c r="X462" s="631"/>
      <c r="Y462" s="631"/>
      <c r="Z462" s="631"/>
      <c r="AA462" s="48"/>
      <c r="AB462" s="48"/>
      <c r="AC462" s="48"/>
    </row>
    <row r="463" spans="1:68" ht="16.5" customHeight="1" x14ac:dyDescent="0.25">
      <c r="A463" s="567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customHeight="1" x14ac:dyDescent="0.25">
      <c r="A464" s="569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customHeight="1" x14ac:dyDescent="0.25">
      <c r="A465" s="54" t="s">
        <v>720</v>
      </c>
      <c r="B465" s="54" t="s">
        <v>721</v>
      </c>
      <c r="C465" s="31">
        <v>4301011763</v>
      </c>
      <c r="D465" s="560">
        <v>4640242181011</v>
      </c>
      <c r="E465" s="561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723</v>
      </c>
      <c r="B466" s="54" t="s">
        <v>724</v>
      </c>
      <c r="C466" s="31">
        <v>4301011585</v>
      </c>
      <c r="D466" s="560">
        <v>4640242180441</v>
      </c>
      <c r="E466" s="561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5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4301011584</v>
      </c>
      <c r="D467" s="560">
        <v>4640242180564</v>
      </c>
      <c r="E467" s="561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 t="s">
        <v>105</v>
      </c>
      <c r="M467" s="33" t="s">
        <v>106</v>
      </c>
      <c r="N467" s="33"/>
      <c r="O467" s="32">
        <v>50</v>
      </c>
      <c r="P467" s="6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 t="s">
        <v>108</v>
      </c>
      <c r="AK467" s="68">
        <v>96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4301011764</v>
      </c>
      <c r="D468" s="560">
        <v>4640242181189</v>
      </c>
      <c r="E468" s="561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82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83"/>
      <c r="P469" s="572" t="s">
        <v>75</v>
      </c>
      <c r="Q469" s="573"/>
      <c r="R469" s="573"/>
      <c r="S469" s="573"/>
      <c r="T469" s="573"/>
      <c r="U469" s="573"/>
      <c r="V469" s="574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83"/>
      <c r="P470" s="572" t="s">
        <v>75</v>
      </c>
      <c r="Q470" s="573"/>
      <c r="R470" s="573"/>
      <c r="S470" s="573"/>
      <c r="T470" s="573"/>
      <c r="U470" s="573"/>
      <c r="V470" s="574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customHeight="1" x14ac:dyDescent="0.25">
      <c r="A471" s="569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customHeight="1" x14ac:dyDescent="0.25">
      <c r="A472" s="54" t="s">
        <v>731</v>
      </c>
      <c r="B472" s="54" t="s">
        <v>732</v>
      </c>
      <c r="C472" s="31">
        <v>4301020400</v>
      </c>
      <c r="D472" s="560">
        <v>4640242180519</v>
      </c>
      <c r="E472" s="561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734</v>
      </c>
      <c r="B473" s="54" t="s">
        <v>735</v>
      </c>
      <c r="C473" s="31">
        <v>4301020260</v>
      </c>
      <c r="D473" s="560">
        <v>4640242180526</v>
      </c>
      <c r="E473" s="561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62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82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83"/>
      <c r="P474" s="572" t="s">
        <v>75</v>
      </c>
      <c r="Q474" s="573"/>
      <c r="R474" s="573"/>
      <c r="S474" s="573"/>
      <c r="T474" s="573"/>
      <c r="U474" s="573"/>
      <c r="V474" s="574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83"/>
      <c r="P475" s="572" t="s">
        <v>75</v>
      </c>
      <c r="Q475" s="573"/>
      <c r="R475" s="573"/>
      <c r="S475" s="573"/>
      <c r="T475" s="573"/>
      <c r="U475" s="573"/>
      <c r="V475" s="574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customHeight="1" x14ac:dyDescent="0.25">
      <c r="A476" s="569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customHeight="1" x14ac:dyDescent="0.25">
      <c r="A477" s="54" t="s">
        <v>737</v>
      </c>
      <c r="B477" s="54" t="s">
        <v>738</v>
      </c>
      <c r="C477" s="31">
        <v>4301031244</v>
      </c>
      <c r="D477" s="560">
        <v>4640242180595</v>
      </c>
      <c r="E477" s="561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/>
      <c r="M477" s="33" t="s">
        <v>68</v>
      </c>
      <c r="N477" s="33"/>
      <c r="O477" s="32">
        <v>40</v>
      </c>
      <c r="P477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737</v>
      </c>
      <c r="B478" s="54" t="s">
        <v>740</v>
      </c>
      <c r="C478" s="31">
        <v>4301031467</v>
      </c>
      <c r="D478" s="560">
        <v>4640242180595</v>
      </c>
      <c r="E478" s="561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2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82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83"/>
      <c r="P479" s="572" t="s">
        <v>75</v>
      </c>
      <c r="Q479" s="573"/>
      <c r="R479" s="573"/>
      <c r="S479" s="573"/>
      <c r="T479" s="573"/>
      <c r="U479" s="573"/>
      <c r="V479" s="574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83"/>
      <c r="P480" s="572" t="s">
        <v>75</v>
      </c>
      <c r="Q480" s="573"/>
      <c r="R480" s="573"/>
      <c r="S480" s="573"/>
      <c r="T480" s="573"/>
      <c r="U480" s="573"/>
      <c r="V480" s="574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customHeight="1" x14ac:dyDescent="0.25">
      <c r="A481" s="569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0">
        <v>4640242180533</v>
      </c>
      <c r="E482" s="561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0</v>
      </c>
      <c r="Y482" s="55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582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83"/>
      <c r="P483" s="572" t="s">
        <v>75</v>
      </c>
      <c r="Q483" s="573"/>
      <c r="R483" s="573"/>
      <c r="S483" s="573"/>
      <c r="T483" s="573"/>
      <c r="U483" s="573"/>
      <c r="V483" s="574"/>
      <c r="W483" s="37" t="s">
        <v>76</v>
      </c>
      <c r="X483" s="555">
        <f>IFERROR(X482/H482,"0")</f>
        <v>0</v>
      </c>
      <c r="Y483" s="555">
        <f>IFERROR(Y482/H482,"0")</f>
        <v>0</v>
      </c>
      <c r="Z483" s="555">
        <f>IFERROR(IF(Z482="",0,Z482),"0")</f>
        <v>0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83"/>
      <c r="P484" s="572" t="s">
        <v>75</v>
      </c>
      <c r="Q484" s="573"/>
      <c r="R484" s="573"/>
      <c r="S484" s="573"/>
      <c r="T484" s="573"/>
      <c r="U484" s="573"/>
      <c r="V484" s="574"/>
      <c r="W484" s="37" t="s">
        <v>69</v>
      </c>
      <c r="X484" s="555">
        <f>IFERROR(SUM(X482:X482),"0")</f>
        <v>0</v>
      </c>
      <c r="Y484" s="555">
        <f>IFERROR(SUM(Y482:Y482),"0")</f>
        <v>0</v>
      </c>
      <c r="Z484" s="37"/>
      <c r="AA484" s="556"/>
      <c r="AB484" s="556"/>
      <c r="AC484" s="556"/>
    </row>
    <row r="485" spans="1:68" ht="14.25" customHeight="1" x14ac:dyDescent="0.25">
      <c r="A485" s="569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customHeight="1" x14ac:dyDescent="0.25">
      <c r="A486" s="54" t="s">
        <v>745</v>
      </c>
      <c r="B486" s="54" t="s">
        <v>746</v>
      </c>
      <c r="C486" s="31">
        <v>4301060491</v>
      </c>
      <c r="D486" s="560">
        <v>4640242180120</v>
      </c>
      <c r="E486" s="561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5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customHeight="1" x14ac:dyDescent="0.25">
      <c r="A487" s="54" t="s">
        <v>748</v>
      </c>
      <c r="B487" s="54" t="s">
        <v>749</v>
      </c>
      <c r="C487" s="31">
        <v>4301060493</v>
      </c>
      <c r="D487" s="560">
        <v>4640242180137</v>
      </c>
      <c r="E487" s="561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82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83"/>
      <c r="P488" s="572" t="s">
        <v>75</v>
      </c>
      <c r="Q488" s="573"/>
      <c r="R488" s="573"/>
      <c r="S488" s="573"/>
      <c r="T488" s="573"/>
      <c r="U488" s="573"/>
      <c r="V488" s="574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83"/>
      <c r="P489" s="572" t="s">
        <v>75</v>
      </c>
      <c r="Q489" s="573"/>
      <c r="R489" s="573"/>
      <c r="S489" s="573"/>
      <c r="T489" s="573"/>
      <c r="U489" s="573"/>
      <c r="V489" s="574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customHeight="1" x14ac:dyDescent="0.25">
      <c r="A490" s="567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customHeight="1" x14ac:dyDescent="0.25">
      <c r="A491" s="569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customHeight="1" x14ac:dyDescent="0.25">
      <c r="A492" s="54" t="s">
        <v>752</v>
      </c>
      <c r="B492" s="54" t="s">
        <v>753</v>
      </c>
      <c r="C492" s="31">
        <v>4301020314</v>
      </c>
      <c r="D492" s="560">
        <v>4640242180090</v>
      </c>
      <c r="E492" s="561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6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x14ac:dyDescent="0.2">
      <c r="A493" s="582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83"/>
      <c r="P493" s="572" t="s">
        <v>75</v>
      </c>
      <c r="Q493" s="573"/>
      <c r="R493" s="573"/>
      <c r="S493" s="573"/>
      <c r="T493" s="573"/>
      <c r="U493" s="573"/>
      <c r="V493" s="574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83"/>
      <c r="P494" s="572" t="s">
        <v>75</v>
      </c>
      <c r="Q494" s="573"/>
      <c r="R494" s="573"/>
      <c r="S494" s="573"/>
      <c r="T494" s="573"/>
      <c r="U494" s="573"/>
      <c r="V494" s="574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2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33"/>
      <c r="P495" s="723" t="s">
        <v>755</v>
      </c>
      <c r="Q495" s="684"/>
      <c r="R495" s="684"/>
      <c r="S495" s="684"/>
      <c r="T495" s="684"/>
      <c r="U495" s="684"/>
      <c r="V495" s="685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1532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1568.2799999999997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33"/>
      <c r="P496" s="723" t="s">
        <v>756</v>
      </c>
      <c r="Q496" s="684"/>
      <c r="R496" s="684"/>
      <c r="S496" s="684"/>
      <c r="T496" s="684"/>
      <c r="U496" s="684"/>
      <c r="V496" s="685"/>
      <c r="W496" s="37" t="s">
        <v>69</v>
      </c>
      <c r="X496" s="555">
        <f>IFERROR(SUM(BM22:BM492),"0")</f>
        <v>1625.1945162738498</v>
      </c>
      <c r="Y496" s="555">
        <f>IFERROR(SUM(BN22:BN492),"0")</f>
        <v>1663.7440000000001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33"/>
      <c r="P497" s="723" t="s">
        <v>757</v>
      </c>
      <c r="Q497" s="684"/>
      <c r="R497" s="684"/>
      <c r="S497" s="684"/>
      <c r="T497" s="684"/>
      <c r="U497" s="684"/>
      <c r="V497" s="685"/>
      <c r="W497" s="37" t="s">
        <v>758</v>
      </c>
      <c r="X497" s="38">
        <f>ROUNDUP(SUM(BO22:BO492),0)</f>
        <v>3</v>
      </c>
      <c r="Y497" s="38">
        <f>ROUNDUP(SUM(BP22:BP492),0)</f>
        <v>3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33"/>
      <c r="P498" s="723" t="s">
        <v>759</v>
      </c>
      <c r="Q498" s="684"/>
      <c r="R498" s="684"/>
      <c r="S498" s="684"/>
      <c r="T498" s="684"/>
      <c r="U498" s="684"/>
      <c r="V498" s="685"/>
      <c r="W498" s="37" t="s">
        <v>69</v>
      </c>
      <c r="X498" s="555">
        <f>GrossWeightTotal+PalletQtyTotal*25</f>
        <v>1700.1945162738498</v>
      </c>
      <c r="Y498" s="555">
        <f>GrossWeightTotalR+PalletQtyTotalR*25</f>
        <v>1738.7440000000001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33"/>
      <c r="P499" s="723" t="s">
        <v>760</v>
      </c>
      <c r="Q499" s="684"/>
      <c r="R499" s="684"/>
      <c r="S499" s="684"/>
      <c r="T499" s="684"/>
      <c r="U499" s="684"/>
      <c r="V499" s="685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270.78421825088492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277</v>
      </c>
      <c r="Z499" s="37"/>
      <c r="AA499" s="556"/>
      <c r="AB499" s="556"/>
      <c r="AC499" s="556"/>
    </row>
    <row r="500" spans="1:32" ht="14.25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33"/>
      <c r="P500" s="723" t="s">
        <v>761</v>
      </c>
      <c r="Q500" s="684"/>
      <c r="R500" s="684"/>
      <c r="S500" s="684"/>
      <c r="T500" s="684"/>
      <c r="U500" s="684"/>
      <c r="V500" s="685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3.3383600000000002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8" t="s">
        <v>99</v>
      </c>
      <c r="D502" s="648"/>
      <c r="E502" s="648"/>
      <c r="F502" s="648"/>
      <c r="G502" s="648"/>
      <c r="H502" s="649"/>
      <c r="I502" s="598" t="s">
        <v>268</v>
      </c>
      <c r="J502" s="648"/>
      <c r="K502" s="648"/>
      <c r="L502" s="648"/>
      <c r="M502" s="648"/>
      <c r="N502" s="648"/>
      <c r="O502" s="648"/>
      <c r="P502" s="648"/>
      <c r="Q502" s="648"/>
      <c r="R502" s="649"/>
      <c r="S502" s="598" t="s">
        <v>559</v>
      </c>
      <c r="T502" s="649"/>
      <c r="U502" s="598" t="s">
        <v>613</v>
      </c>
      <c r="V502" s="648"/>
      <c r="W502" s="649"/>
      <c r="X502" s="550" t="s">
        <v>664</v>
      </c>
      <c r="Y502" s="598" t="s">
        <v>719</v>
      </c>
      <c r="Z502" s="649"/>
      <c r="AB502" s="52"/>
      <c r="AC502" s="52"/>
      <c r="AF502" s="551"/>
    </row>
    <row r="503" spans="1:32" ht="14.25" customHeight="1" thickTop="1" x14ac:dyDescent="0.2">
      <c r="A503" s="603" t="s">
        <v>764</v>
      </c>
      <c r="B503" s="598" t="s">
        <v>63</v>
      </c>
      <c r="C503" s="598" t="s">
        <v>100</v>
      </c>
      <c r="D503" s="598" t="s">
        <v>118</v>
      </c>
      <c r="E503" s="598" t="s">
        <v>169</v>
      </c>
      <c r="F503" s="598" t="s">
        <v>192</v>
      </c>
      <c r="G503" s="598" t="s">
        <v>229</v>
      </c>
      <c r="H503" s="598" t="s">
        <v>99</v>
      </c>
      <c r="I503" s="598" t="s">
        <v>269</v>
      </c>
      <c r="J503" s="598" t="s">
        <v>327</v>
      </c>
      <c r="K503" s="598" t="s">
        <v>387</v>
      </c>
      <c r="L503" s="598" t="s">
        <v>428</v>
      </c>
      <c r="M503" s="598" t="s">
        <v>444</v>
      </c>
      <c r="N503" s="551"/>
      <c r="O503" s="598" t="s">
        <v>455</v>
      </c>
      <c r="P503" s="598" t="s">
        <v>464</v>
      </c>
      <c r="Q503" s="598" t="s">
        <v>477</v>
      </c>
      <c r="R503" s="598" t="s">
        <v>549</v>
      </c>
      <c r="S503" s="598" t="s">
        <v>560</v>
      </c>
      <c r="T503" s="598" t="s">
        <v>595</v>
      </c>
      <c r="U503" s="598" t="s">
        <v>614</v>
      </c>
      <c r="V503" s="598" t="s">
        <v>645</v>
      </c>
      <c r="W503" s="598" t="s">
        <v>660</v>
      </c>
      <c r="X503" s="598" t="s">
        <v>664</v>
      </c>
      <c r="Y503" s="598" t="s">
        <v>719</v>
      </c>
      <c r="Z503" s="598" t="s">
        <v>751</v>
      </c>
      <c r="AB503" s="52"/>
      <c r="AC503" s="52"/>
      <c r="AF503" s="551"/>
    </row>
    <row r="504" spans="1:32" ht="13.5" customHeight="1" thickBot="1" x14ac:dyDescent="0.25">
      <c r="A504" s="604"/>
      <c r="B504" s="599"/>
      <c r="C504" s="599"/>
      <c r="D504" s="599"/>
      <c r="E504" s="599"/>
      <c r="F504" s="599"/>
      <c r="G504" s="599"/>
      <c r="H504" s="599"/>
      <c r="I504" s="599"/>
      <c r="J504" s="599"/>
      <c r="K504" s="599"/>
      <c r="L504" s="599"/>
      <c r="M504" s="599"/>
      <c r="N504" s="551"/>
      <c r="O504" s="599"/>
      <c r="P504" s="599"/>
      <c r="Q504" s="599"/>
      <c r="R504" s="599"/>
      <c r="S504" s="599"/>
      <c r="T504" s="599"/>
      <c r="U504" s="599"/>
      <c r="V504" s="599"/>
      <c r="W504" s="599"/>
      <c r="X504" s="599"/>
      <c r="Y504" s="599"/>
      <c r="Z504" s="599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0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0</v>
      </c>
      <c r="E505" s="46">
        <f>IFERROR(Y85*1,"0")+IFERROR(Y86*1,"0")+IFERROR(Y87*1,"0")+IFERROR(Y88*1,"0")+IFERROR(Y92*1,"0")+IFERROR(Y93*1,"0")+IFERROR(Y94*1,"0")+IFERROR(Y95*1,"0")</f>
        <v>105.3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105.3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0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158.39999999999998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62.4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78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420</v>
      </c>
      <c r="T505" s="46">
        <f>IFERROR(Y375*1,"0")+IFERROR(Y376*1,"0")+IFERROR(Y380*1,"0")+IFERROR(Y381*1,"0")+IFERROR(Y385*1,"0")+IFERROR(Y386*1,"0")+IFERROR(Y387*1,"0")</f>
        <v>0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638.88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0</v>
      </c>
      <c r="Z505" s="46">
        <f>IFERROR(Y492*1,"0")</f>
        <v>0</v>
      </c>
      <c r="AB505" s="52"/>
      <c r="AC505" s="52"/>
      <c r="AF505" s="551"/>
    </row>
  </sheetData>
  <sheetProtection algorithmName="SHA-512" hashValue="OIdBivsy7GagamAGCD98cl2VVFt7ZSWVMkWebHjC5fabhfhNwLHpKZZK8RsssfOxiZmCx2i03rG8e+cm50yJTA==" saltValue="OyFsd7TRa+7FtVkkwKHhQ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P85:T85"/>
    <mergeCell ref="A202:O203"/>
    <mergeCell ref="D239:E239"/>
    <mergeCell ref="D266:E266"/>
    <mergeCell ref="P174:T174"/>
    <mergeCell ref="P149:T149"/>
    <mergeCell ref="D95:E9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P197:V197"/>
    <mergeCell ref="A249:Z249"/>
    <mergeCell ref="P495:V495"/>
    <mergeCell ref="A347:Z347"/>
    <mergeCell ref="A314:Z314"/>
    <mergeCell ref="P289:V289"/>
    <mergeCell ref="A114:Z114"/>
    <mergeCell ref="P439:T439"/>
    <mergeCell ref="P433:T433"/>
    <mergeCell ref="A107:Z107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23:E23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D102:E102"/>
    <mergeCell ref="P81:V81"/>
    <mergeCell ref="A204:Z204"/>
    <mergeCell ref="D196:E196"/>
    <mergeCell ref="A424:O425"/>
    <mergeCell ref="P419:V419"/>
    <mergeCell ref="P145:V145"/>
    <mergeCell ref="D133:E133"/>
    <mergeCell ref="A262:Z262"/>
    <mergeCell ref="D54:E54"/>
    <mergeCell ref="P283:V283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P494:V494"/>
    <mergeCell ref="P430:T430"/>
    <mergeCell ref="A297:Z297"/>
    <mergeCell ref="P417:T417"/>
    <mergeCell ref="P102:T102"/>
    <mergeCell ref="P456:V456"/>
    <mergeCell ref="P196:T196"/>
    <mergeCell ref="D177:E177"/>
    <mergeCell ref="P354:T354"/>
    <mergeCell ref="A404:Z404"/>
    <mergeCell ref="D152:E152"/>
    <mergeCell ref="D394:E394"/>
    <mergeCell ref="D450:E450"/>
    <mergeCell ref="D223:E223"/>
    <mergeCell ref="A495:O500"/>
    <mergeCell ref="P178:T178"/>
    <mergeCell ref="D257:E257"/>
    <mergeCell ref="D86:E86"/>
    <mergeCell ref="A64:O65"/>
    <mergeCell ref="P192:V192"/>
    <mergeCell ref="D151:E151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P483:V483"/>
    <mergeCell ref="D298:E298"/>
    <mergeCell ref="D273:E273"/>
    <mergeCell ref="P252:V252"/>
    <mergeCell ref="P105:V105"/>
    <mergeCell ref="A464:Z464"/>
    <mergeCell ref="A160:Z160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111:T111"/>
    <mergeCell ref="A227:Z227"/>
    <mergeCell ref="D200:E200"/>
    <mergeCell ref="D436:E436"/>
    <mergeCell ref="A340:Z340"/>
    <mergeCell ref="A276:O277"/>
    <mergeCell ref="D267:E267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D29:E29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P58:V58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15:T16"/>
    <mergeCell ref="A325:O326"/>
    <mergeCell ref="D116:E116"/>
    <mergeCell ref="D352:E352"/>
    <mergeCell ref="P219:T219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328:E328"/>
    <mergeCell ref="D157:E157"/>
    <mergeCell ref="P65:V65"/>
    <mergeCell ref="A126:Z126"/>
    <mergeCell ref="A253:Z253"/>
    <mergeCell ref="D137:E137"/>
    <mergeCell ref="P124:V124"/>
    <mergeCell ref="D74:E74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26:Z26"/>
    <mergeCell ref="P401:T401"/>
    <mergeCell ref="A469:O470"/>
    <mergeCell ref="D211:E211"/>
    <mergeCell ref="P168:T168"/>
    <mergeCell ref="P130:V130"/>
    <mergeCell ref="P466:T466"/>
    <mergeCell ref="A71:Z71"/>
    <mergeCell ref="P488:V488"/>
    <mergeCell ref="A456:O457"/>
    <mergeCell ref="P59:V59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D453:E453"/>
    <mergeCell ref="D466:E466"/>
    <mergeCell ref="A483:O484"/>
    <mergeCell ref="P181:V181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D486:E486"/>
    <mergeCell ref="P86:T86"/>
    <mergeCell ref="P328:T328"/>
    <mergeCell ref="P157:T157"/>
    <mergeCell ref="P455:T455"/>
    <mergeCell ref="D376:E376"/>
    <mergeCell ref="D205:E205"/>
    <mergeCell ref="P172:T172"/>
    <mergeCell ref="A158:O159"/>
    <mergeCell ref="P150:T150"/>
    <mergeCell ref="P221:T221"/>
    <mergeCell ref="P452:T452"/>
    <mergeCell ref="P448:V448"/>
    <mergeCell ref="D482:E482"/>
    <mergeCell ref="P209:T209"/>
    <mergeCell ref="P445:T445"/>
    <mergeCell ref="P96:V96"/>
    <mergeCell ref="P90:V90"/>
    <mergeCell ref="P332:V332"/>
    <mergeCell ref="P388:V388"/>
    <mergeCell ref="A384:Z384"/>
    <mergeCell ref="A449:Z449"/>
    <mergeCell ref="P234:T234"/>
    <mergeCell ref="P325:V325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9:T79"/>
    <mergeCell ref="D473:E473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88:T88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53 X55 X57 X61 X79 X85 X87:X88 X92 X94:X95 X100 X102:X103 X108 X115 X117 X127:X128 X133 X171 X173 X178 X196 X205:X210 X212 X216:X219 X221:X224 X241 X263 X265 X281:X282 X307 X315 X323 X330:X331 X343:X344 X350:X351 X353 X360 X375 X381 X385:X386 X395 X429 X432:X433 X435 X444 X446 X450:X452 X467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qGLxP4OxwZjQU/bPLmGJAS27X7QwZITd6Kl3P2F/ND2yj186BtBryQ7rKHdVDEsrkfnkCPJQrxXZmWIMVIDlvw==" saltValue="fKgdUmbNws9zKIQclLD7k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2026-01-14T07:10:16Z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