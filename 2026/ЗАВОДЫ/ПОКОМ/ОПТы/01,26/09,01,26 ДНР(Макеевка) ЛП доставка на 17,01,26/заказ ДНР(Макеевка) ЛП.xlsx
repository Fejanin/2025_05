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B7A6A3AB-289B-472F-B0E9-71FE098B383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Y489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Y449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Y420" i="1" s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Y383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Y187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Y134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Y113" i="1" s="1"/>
  <c r="P109" i="1"/>
  <c r="BP108" i="1"/>
  <c r="BO108" i="1"/>
  <c r="BN108" i="1"/>
  <c r="BM108" i="1"/>
  <c r="Z108" i="1"/>
  <c r="Y108" i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Y65" i="1" s="1"/>
  <c r="P62" i="1"/>
  <c r="BP61" i="1"/>
  <c r="BO61" i="1"/>
  <c r="BN61" i="1"/>
  <c r="BM61" i="1"/>
  <c r="Z61" i="1"/>
  <c r="Y61" i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6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500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6" i="1"/>
  <c r="X497" i="1"/>
  <c r="X498" i="1"/>
  <c r="Z23" i="1"/>
  <c r="Z24" i="1" s="1"/>
  <c r="BN23" i="1"/>
  <c r="BP23" i="1"/>
  <c r="Y24" i="1"/>
  <c r="X496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Y64" i="1"/>
  <c r="Z62" i="1"/>
  <c r="Z64" i="1" s="1"/>
  <c r="BN62" i="1"/>
  <c r="BP62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Y112" i="1"/>
  <c r="BP111" i="1"/>
  <c r="BN111" i="1"/>
  <c r="Z111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Y139" i="1"/>
  <c r="BP149" i="1"/>
  <c r="BN149" i="1"/>
  <c r="Z149" i="1"/>
  <c r="Z154" i="1" s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Z181" i="1" s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Z213" i="1" s="1"/>
  <c r="BP210" i="1"/>
  <c r="BN210" i="1"/>
  <c r="Z210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Y45" i="1"/>
  <c r="Y496" i="1" s="1"/>
  <c r="Y70" i="1"/>
  <c r="BP67" i="1"/>
  <c r="BN67" i="1"/>
  <c r="Y497" i="1" s="1"/>
  <c r="Z67" i="1"/>
  <c r="Z69" i="1" s="1"/>
  <c r="BP75" i="1"/>
  <c r="Y498" i="1" s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BP138" i="1"/>
  <c r="BN138" i="1"/>
  <c r="Z138" i="1"/>
  <c r="Z139" i="1" s="1"/>
  <c r="Y140" i="1"/>
  <c r="H506" i="1"/>
  <c r="Y146" i="1"/>
  <c r="BP143" i="1"/>
  <c r="BN143" i="1"/>
  <c r="Z143" i="1"/>
  <c r="Z145" i="1" s="1"/>
  <c r="BP151" i="1"/>
  <c r="BN151" i="1"/>
  <c r="Z151" i="1"/>
  <c r="BP171" i="1"/>
  <c r="BN171" i="1"/>
  <c r="Z171" i="1"/>
  <c r="BP175" i="1"/>
  <c r="BN175" i="1"/>
  <c r="Z175" i="1"/>
  <c r="BP179" i="1"/>
  <c r="BN179" i="1"/>
  <c r="Z179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Z358" i="1" s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Z383" i="1" s="1"/>
  <c r="Y384" i="1"/>
  <c r="Y389" i="1"/>
  <c r="BP386" i="1"/>
  <c r="BN386" i="1"/>
  <c r="Z386" i="1"/>
  <c r="Z389" i="1" s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Y499" i="1" l="1"/>
  <c r="Z442" i="1"/>
  <c r="Z276" i="1"/>
  <c r="Z268" i="1"/>
  <c r="Z259" i="1"/>
  <c r="Z313" i="1"/>
  <c r="Z76" i="1"/>
  <c r="Z58" i="1"/>
  <c r="Z44" i="1"/>
  <c r="Z32" i="1"/>
  <c r="Z501" i="1" s="1"/>
  <c r="Y500" i="1"/>
  <c r="Z403" i="1"/>
  <c r="Z470" i="1"/>
  <c r="Z326" i="1"/>
  <c r="Z243" i="1"/>
  <c r="Z119" i="1"/>
  <c r="Z89" i="1"/>
  <c r="X499" i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<sst xmlns="http://schemas.openxmlformats.org/spreadsheetml/2006/main" count="2385" uniqueCount="784">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</sst>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3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0</v>
      </c>
      <c r="Y53" s="55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0</v>
      </c>
      <c r="Y58" s="557">
        <f>IFERROR(Y52/H52,"0")+IFERROR(Y53/H53,"0")+IFERROR(Y54/H54,"0")+IFERROR(Y55/H55,"0")+IFERROR(Y56/H56,"0")+IFERROR(Y57/H57,"0")</f>
        <v>0</v>
      </c>
      <c r="Z58" s="557">
        <f>IFERROR(IF(Z52="",0,Z52),"0")+IFERROR(IF(Z53="",0,Z53),"0")+IFERROR(IF(Z54="",0,Z54),"0")+IFERROR(IF(Z55="",0,Z55),"0")+IFERROR(IF(Z56="",0,Z56),"0")+IFERROR(IF(Z57="",0,Z57),"0")</f>
        <v>0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0</v>
      </c>
      <c r="Y59" s="557">
        <f>IFERROR(SUM(Y52:Y57),"0")</f>
        <v>0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0</v>
      </c>
      <c r="Y115" s="556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0</v>
      </c>
      <c r="Y119" s="557">
        <f>IFERROR(Y115/H115,"0")+IFERROR(Y116/H116,"0")+IFERROR(Y117/H117,"0")+IFERROR(Y118/H118,"0")</f>
        <v>0</v>
      </c>
      <c r="Z119" s="557">
        <f>IFERROR(IF(Z115="",0,Z115),"0")+IFERROR(IF(Z116="",0,Z116),"0")+IFERROR(IF(Z117="",0,Z117),"0")+IFERROR(IF(Z118="",0,Z118),"0")</f>
        <v>0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0</v>
      </c>
      <c r="Y120" s="557">
        <f>IFERROR(SUM(Y115:Y118),"0")</f>
        <v>0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0</v>
      </c>
      <c r="Y225" s="557">
        <f>IFERROR(Y216/H216,"0")+IFERROR(Y217/H217,"0")+IFERROR(Y218/H218,"0")+IFERROR(Y219/H219,"0")+IFERROR(Y220/H220,"0")+IFERROR(Y221/H221,"0")+IFERROR(Y222/H222,"0")+IFERROR(Y223/H223,"0")+IFERROR(Y224/H224,"0")</f>
        <v>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0</v>
      </c>
      <c r="Y226" s="557">
        <f>IFERROR(SUM(Y216:Y224),"0")</f>
        <v>0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0</v>
      </c>
      <c r="Y324" s="55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0</v>
      </c>
      <c r="Y326" s="557">
        <f>IFERROR(Y323/H323,"0")+IFERROR(Y324/H324,"0")+IFERROR(Y325/H325,"0")</f>
        <v>0</v>
      </c>
      <c r="Z326" s="557">
        <f>IFERROR(IF(Z323="",0,Z323),"0")+IFERROR(IF(Z324="",0,Z324),"0")+IFERROR(IF(Z325="",0,Z325),"0")</f>
        <v>0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0</v>
      </c>
      <c r="Y327" s="557">
        <f>IFERROR(SUM(Y323:Y325),"0")</f>
        <v>0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3000</v>
      </c>
      <c r="Y351" s="556">
        <f t="shared" ref="Y351:Y357" si="41">IFERROR(IF(X351="",0,CEILING((X351/$H351),1)*$H351),"")</f>
        <v>3000</v>
      </c>
      <c r="Z351" s="36">
        <f>IFERROR(IF(Y351=0,"",ROUNDUP(Y351/H351,0)*0.02175),"")</f>
        <v>4.3499999999999996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3094</v>
      </c>
      <c r="BN351" s="64">
        <f t="shared" ref="BN351:BN357" si="43">IFERROR(Y351*I351/H351,"0")</f>
        <v>3094</v>
      </c>
      <c r="BO351" s="64">
        <f t="shared" ref="BO351:BO357" si="44">IFERROR(1/J351*(X351/H351),"0")</f>
        <v>4.1666666666666661</v>
      </c>
      <c r="BP351" s="64">
        <f t="shared" ref="BP351:BP357" si="45">IFERROR(1/J351*(Y351/H351),"0")</f>
        <v>4.1666666666666661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1500</v>
      </c>
      <c r="Y352" s="556">
        <f t="shared" si="41"/>
        <v>1500</v>
      </c>
      <c r="Z352" s="36">
        <f>IFERROR(IF(Y352=0,"",ROUNDUP(Y352/H352,0)*0.02175),"")</f>
        <v>2.1749999999999998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1547</v>
      </c>
      <c r="BN352" s="64">
        <f t="shared" si="43"/>
        <v>1547</v>
      </c>
      <c r="BO352" s="64">
        <f t="shared" si="44"/>
        <v>2.083333333333333</v>
      </c>
      <c r="BP352" s="64">
        <f t="shared" si="45"/>
        <v>2.083333333333333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4000</v>
      </c>
      <c r="Y353" s="556">
        <f t="shared" si="41"/>
        <v>4005</v>
      </c>
      <c r="Z353" s="36">
        <f>IFERROR(IF(Y353=0,"",ROUNDUP(Y353/H353,0)*0.02175),"")</f>
        <v>5.8072499999999998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4125.333333333333</v>
      </c>
      <c r="BN353" s="64">
        <f t="shared" si="43"/>
        <v>4130.4900000000007</v>
      </c>
      <c r="BO353" s="64">
        <f t="shared" si="44"/>
        <v>5.5555555555555554</v>
      </c>
      <c r="BP353" s="64">
        <f t="shared" si="45"/>
        <v>5.5625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566.66666666666674</v>
      </c>
      <c r="Y358" s="557">
        <f>IFERROR(Y351/H351,"0")+IFERROR(Y352/H352,"0")+IFERROR(Y353/H353,"0")+IFERROR(Y354/H354,"0")+IFERROR(Y355/H355,"0")+IFERROR(Y356/H356,"0")+IFERROR(Y357/H357,"0")</f>
        <v>567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12.332249999999998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8500</v>
      </c>
      <c r="Y359" s="557">
        <f>IFERROR(SUM(Y351:Y357),"0")</f>
        <v>8505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3000</v>
      </c>
      <c r="Y361" s="556">
        <f>IFERROR(IF(X361="",0,CEILING((X361/$H361),1)*$H361),"")</f>
        <v>3000</v>
      </c>
      <c r="Z361" s="36">
        <f>IFERROR(IF(Y361=0,"",ROUNDUP(Y361/H361,0)*0.02175),"")</f>
        <v>4.3499999999999996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3094</v>
      </c>
      <c r="BN361" s="64">
        <f>IFERROR(Y361*I361/H361,"0")</f>
        <v>3094</v>
      </c>
      <c r="BO361" s="64">
        <f>IFERROR(1/J361*(X361/H361),"0")</f>
        <v>4.1666666666666661</v>
      </c>
      <c r="BP361" s="64">
        <f>IFERROR(1/J361*(Y361/H361),"0")</f>
        <v>4.1666666666666661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200</v>
      </c>
      <c r="Y363" s="557">
        <f>IFERROR(Y361/H361,"0")+IFERROR(Y362/H362,"0")</f>
        <v>200</v>
      </c>
      <c r="Z363" s="557">
        <f>IFERROR(IF(Z361="",0,Z361),"0")+IFERROR(IF(Z362="",0,Z362),"0")</f>
        <v>4.3499999999999996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3000</v>
      </c>
      <c r="Y364" s="557">
        <f>IFERROR(SUM(Y361:Y362),"0")</f>
        <v>3000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1000</v>
      </c>
      <c r="Y386" s="556">
        <f>IFERROR(IF(X386="",0,CEILING((X386/$H386),1)*$H386),"")</f>
        <v>1008</v>
      </c>
      <c r="Z386" s="36">
        <f>IFERROR(IF(Y386=0,"",ROUNDUP(Y386/H386,0)*0.01898),"")</f>
        <v>2.1257600000000001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1054.8888888888889</v>
      </c>
      <c r="BN386" s="64">
        <f>IFERROR(Y386*I386/H386,"0")</f>
        <v>1063.328</v>
      </c>
      <c r="BO386" s="64">
        <f>IFERROR(1/J386*(X386/H386),"0")</f>
        <v>1.7361111111111112</v>
      </c>
      <c r="BP386" s="64">
        <f>IFERROR(1/J386*(Y386/H386),"0")</f>
        <v>1.75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111.11111111111111</v>
      </c>
      <c r="Y389" s="557">
        <f>IFERROR(Y386/H386,"0")+IFERROR(Y387/H387,"0")+IFERROR(Y388/H388,"0")</f>
        <v>112</v>
      </c>
      <c r="Z389" s="557">
        <f>IFERROR(IF(Z386="",0,Z386),"0")+IFERROR(IF(Z387="",0,Z387),"0")+IFERROR(IF(Z388="",0,Z388),"0")</f>
        <v>2.1257600000000001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1000</v>
      </c>
      <c r="Y390" s="557">
        <f>IFERROR(SUM(Y386:Y388),"0")</f>
        <v>1008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1000</v>
      </c>
      <c r="Y434" s="556">
        <f t="shared" si="52"/>
        <v>1003.2</v>
      </c>
      <c r="Z434" s="36">
        <f t="shared" si="53"/>
        <v>2.2724000000000002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1066.2878787878788</v>
      </c>
      <c r="BN434" s="64">
        <f t="shared" si="55"/>
        <v>1069.7</v>
      </c>
      <c r="BO434" s="64">
        <f t="shared" si="56"/>
        <v>1.821095571095571</v>
      </c>
      <c r="BP434" s="64">
        <f t="shared" si="57"/>
        <v>1.8269230769230771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189.39393939393938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190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2.2724000000000002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1000</v>
      </c>
      <c r="Y443" s="557">
        <f>IFERROR(SUM(Y430:Y441),"0")</f>
        <v>1003.2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1000</v>
      </c>
      <c r="Y445" s="556">
        <f>IFERROR(IF(X445="",0,CEILING((X445/$H445),1)*$H445),"")</f>
        <v>1003.2</v>
      </c>
      <c r="Z445" s="36">
        <f>IFERROR(IF(Y445=0,"",ROUNDUP(Y445/H445,0)*0.01196),"")</f>
        <v>2.2724000000000002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1066.2878787878788</v>
      </c>
      <c r="BN445" s="64">
        <f>IFERROR(Y445*I445/H445,"0")</f>
        <v>1069.7</v>
      </c>
      <c r="BO445" s="64">
        <f>IFERROR(1/J445*(X445/H445),"0")</f>
        <v>1.821095571095571</v>
      </c>
      <c r="BP445" s="64">
        <f>IFERROR(1/J445*(Y445/H445),"0")</f>
        <v>1.8269230769230771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189.39393939393938</v>
      </c>
      <c r="Y448" s="557">
        <f>IFERROR(Y445/H445,"0")+IFERROR(Y446/H446,"0")+IFERROR(Y447/H447,"0")</f>
        <v>190</v>
      </c>
      <c r="Z448" s="557">
        <f>IFERROR(IF(Z445="",0,Z445),"0")+IFERROR(IF(Z446="",0,Z446),"0")+IFERROR(IF(Z447="",0,Z447),"0")</f>
        <v>2.2724000000000002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1000</v>
      </c>
      <c r="Y449" s="557">
        <f>IFERROR(SUM(Y445:Y447),"0")</f>
        <v>1003.2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14500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14519.400000000001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15047.797979797977</v>
      </c>
      <c r="Y497" s="557">
        <f>IFERROR(SUM(BN22:BN493),"0")</f>
        <v>15068.218000000003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22</v>
      </c>
      <c r="Y498" s="38">
        <f>ROUNDUP(SUM(BP22:BP493),0)</f>
        <v>22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15597.797979797977</v>
      </c>
      <c r="Y499" s="557">
        <f>GrossWeightTotalR+PalletQtyTotalR*25</f>
        <v>15618.218000000003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1256.5656565656568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1259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23.352809999999998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0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11505</v>
      </c>
      <c r="T506" s="46">
        <f>IFERROR(Y376*1,"0")+IFERROR(Y377*1,"0")+IFERROR(Y381*1,"0")+IFERROR(Y382*1,"0")+IFERROR(Y386*1,"0")+IFERROR(Y387*1,"0")+IFERROR(Y388*1,"0")</f>
        <v>1008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2006.4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2026-01-12T07:36:46Z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