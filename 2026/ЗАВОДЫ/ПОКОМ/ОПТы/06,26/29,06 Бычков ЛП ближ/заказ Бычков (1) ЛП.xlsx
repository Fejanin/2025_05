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29,06 Бычков ЛП ближ\"/>
    </mc:Choice>
  </mc:AlternateContent>
  <xr:revisionPtr revIDLastSave="0" documentId="13_ncr:1_{592B3A08-976E-4E53-AC61-F0DEFEEE80D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Y526" i="1" l="1"/>
  <c r="X526" i="1"/>
  <c r="X525" i="1"/>
  <c r="BP524" i="1"/>
  <c r="BO524" i="1"/>
  <c r="BM524" i="1"/>
  <c r="Y524" i="1"/>
  <c r="AB537" i="1" s="1"/>
  <c r="P524" i="1"/>
  <c r="X521" i="1"/>
  <c r="X520" i="1"/>
  <c r="BO519" i="1"/>
  <c r="BM519" i="1"/>
  <c r="Z519" i="1"/>
  <c r="Z520" i="1" s="1"/>
  <c r="Y519" i="1"/>
  <c r="Y521" i="1" s="1"/>
  <c r="P519" i="1"/>
  <c r="BO518" i="1"/>
  <c r="BM518" i="1"/>
  <c r="Z518" i="1"/>
  <c r="Y518" i="1"/>
  <c r="BP518" i="1" s="1"/>
  <c r="P518" i="1"/>
  <c r="Y516" i="1"/>
  <c r="X516" i="1"/>
  <c r="X515" i="1"/>
  <c r="BO514" i="1"/>
  <c r="BM514" i="1"/>
  <c r="Y514" i="1"/>
  <c r="Y515" i="1" s="1"/>
  <c r="P514" i="1"/>
  <c r="Y512" i="1"/>
  <c r="X512" i="1"/>
  <c r="Z511" i="1"/>
  <c r="X511" i="1"/>
  <c r="BO510" i="1"/>
  <c r="BN510" i="1"/>
  <c r="BM510" i="1"/>
  <c r="Z510" i="1"/>
  <c r="Y510" i="1"/>
  <c r="BP510" i="1" s="1"/>
  <c r="P510" i="1"/>
  <c r="BP509" i="1"/>
  <c r="BO509" i="1"/>
  <c r="BM509" i="1"/>
  <c r="Z509" i="1"/>
  <c r="Y509" i="1"/>
  <c r="Y511" i="1" s="1"/>
  <c r="P509" i="1"/>
  <c r="Y507" i="1"/>
  <c r="X507" i="1"/>
  <c r="Y506" i="1"/>
  <c r="X506" i="1"/>
  <c r="BO505" i="1"/>
  <c r="BM505" i="1"/>
  <c r="Z505" i="1"/>
  <c r="Z506" i="1" s="1"/>
  <c r="Y505" i="1"/>
  <c r="BP505" i="1" s="1"/>
  <c r="P505" i="1"/>
  <c r="Y503" i="1"/>
  <c r="X503" i="1"/>
  <c r="X502" i="1"/>
  <c r="BP501" i="1"/>
  <c r="BO501" i="1"/>
  <c r="BN501" i="1"/>
  <c r="BM501" i="1"/>
  <c r="Z501" i="1"/>
  <c r="Z502" i="1" s="1"/>
  <c r="Y501" i="1"/>
  <c r="AA537" i="1" s="1"/>
  <c r="P501" i="1"/>
  <c r="X497" i="1"/>
  <c r="X496" i="1"/>
  <c r="BP495" i="1"/>
  <c r="BO495" i="1"/>
  <c r="BM495" i="1"/>
  <c r="Y495" i="1"/>
  <c r="BN495" i="1" s="1"/>
  <c r="P495" i="1"/>
  <c r="BO494" i="1"/>
  <c r="BM494" i="1"/>
  <c r="Y494" i="1"/>
  <c r="BP494" i="1" s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P492" i="1"/>
  <c r="BP491" i="1"/>
  <c r="BO491" i="1"/>
  <c r="BN491" i="1"/>
  <c r="BM491" i="1"/>
  <c r="Z491" i="1"/>
  <c r="Y491" i="1"/>
  <c r="P491" i="1"/>
  <c r="BO490" i="1"/>
  <c r="BM490" i="1"/>
  <c r="Y490" i="1"/>
  <c r="Y497" i="1" s="1"/>
  <c r="P490" i="1"/>
  <c r="BO489" i="1"/>
  <c r="BM489" i="1"/>
  <c r="Y489" i="1"/>
  <c r="Y496" i="1" s="1"/>
  <c r="P489" i="1"/>
  <c r="X487" i="1"/>
  <c r="Y486" i="1"/>
  <c r="X486" i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P483" i="1"/>
  <c r="BO483" i="1"/>
  <c r="BN483" i="1"/>
  <c r="BM483" i="1"/>
  <c r="Z483" i="1"/>
  <c r="Y483" i="1"/>
  <c r="Y487" i="1" s="1"/>
  <c r="P483" i="1"/>
  <c r="X481" i="1"/>
  <c r="X480" i="1"/>
  <c r="BP479" i="1"/>
  <c r="BO479" i="1"/>
  <c r="BM479" i="1"/>
  <c r="Y479" i="1"/>
  <c r="BN479" i="1" s="1"/>
  <c r="P479" i="1"/>
  <c r="BO478" i="1"/>
  <c r="BM478" i="1"/>
  <c r="Y478" i="1"/>
  <c r="BP478" i="1" s="1"/>
  <c r="P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Y481" i="1" s="1"/>
  <c r="P474" i="1"/>
  <c r="BO473" i="1"/>
  <c r="BM473" i="1"/>
  <c r="Y473" i="1"/>
  <c r="BP473" i="1" s="1"/>
  <c r="P473" i="1"/>
  <c r="BO472" i="1"/>
  <c r="BN472" i="1"/>
  <c r="BM472" i="1"/>
  <c r="Y472" i="1"/>
  <c r="Z472" i="1" s="1"/>
  <c r="P472" i="1"/>
  <c r="BP471" i="1"/>
  <c r="BO471" i="1"/>
  <c r="BM471" i="1"/>
  <c r="Z471" i="1"/>
  <c r="Y471" i="1"/>
  <c r="Z537" i="1" s="1"/>
  <c r="P471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BP464" i="1" s="1"/>
  <c r="P464" i="1"/>
  <c r="BO463" i="1"/>
  <c r="BM463" i="1"/>
  <c r="Y463" i="1"/>
  <c r="BP463" i="1" s="1"/>
  <c r="P463" i="1"/>
  <c r="X461" i="1"/>
  <c r="Y460" i="1"/>
  <c r="X460" i="1"/>
  <c r="BO459" i="1"/>
  <c r="BM459" i="1"/>
  <c r="Y459" i="1"/>
  <c r="BP459" i="1" s="1"/>
  <c r="P459" i="1"/>
  <c r="X456" i="1"/>
  <c r="X455" i="1"/>
  <c r="BO454" i="1"/>
  <c r="BM454" i="1"/>
  <c r="Z454" i="1"/>
  <c r="Z455" i="1" s="1"/>
  <c r="Y454" i="1"/>
  <c r="Y456" i="1" s="1"/>
  <c r="P454" i="1"/>
  <c r="BP453" i="1"/>
  <c r="BO453" i="1"/>
  <c r="BN453" i="1"/>
  <c r="BM453" i="1"/>
  <c r="Z453" i="1"/>
  <c r="Y453" i="1"/>
  <c r="P453" i="1"/>
  <c r="Y451" i="1"/>
  <c r="X451" i="1"/>
  <c r="X450" i="1"/>
  <c r="BP449" i="1"/>
  <c r="BO449" i="1"/>
  <c r="BM449" i="1"/>
  <c r="Y449" i="1"/>
  <c r="BN449" i="1" s="1"/>
  <c r="P449" i="1"/>
  <c r="BP448" i="1"/>
  <c r="BO448" i="1"/>
  <c r="BN448" i="1"/>
  <c r="BM448" i="1"/>
  <c r="Z448" i="1"/>
  <c r="Y448" i="1"/>
  <c r="P448" i="1"/>
  <c r="BP447" i="1"/>
  <c r="BO447" i="1"/>
  <c r="BN447" i="1"/>
  <c r="BM447" i="1"/>
  <c r="Z447" i="1"/>
  <c r="Y447" i="1"/>
  <c r="P447" i="1"/>
  <c r="BO446" i="1"/>
  <c r="BM446" i="1"/>
  <c r="Z446" i="1"/>
  <c r="Y446" i="1"/>
  <c r="BP446" i="1" s="1"/>
  <c r="P446" i="1"/>
  <c r="BP445" i="1"/>
  <c r="BO445" i="1"/>
  <c r="BN445" i="1"/>
  <c r="BM445" i="1"/>
  <c r="Z445" i="1"/>
  <c r="Y445" i="1"/>
  <c r="P445" i="1"/>
  <c r="BP444" i="1"/>
  <c r="BO444" i="1"/>
  <c r="BM444" i="1"/>
  <c r="Y444" i="1"/>
  <c r="X537" i="1" s="1"/>
  <c r="P444" i="1"/>
  <c r="X440" i="1"/>
  <c r="Y439" i="1"/>
  <c r="X439" i="1"/>
  <c r="BP438" i="1"/>
  <c r="BO438" i="1"/>
  <c r="BN438" i="1"/>
  <c r="BM438" i="1"/>
  <c r="Z438" i="1"/>
  <c r="Y438" i="1"/>
  <c r="P438" i="1"/>
  <c r="BP437" i="1"/>
  <c r="BO437" i="1"/>
  <c r="BN437" i="1"/>
  <c r="BM437" i="1"/>
  <c r="Z437" i="1"/>
  <c r="Y437" i="1"/>
  <c r="P437" i="1"/>
  <c r="BO436" i="1"/>
  <c r="BM436" i="1"/>
  <c r="Z436" i="1"/>
  <c r="Z439" i="1" s="1"/>
  <c r="Y436" i="1"/>
  <c r="BP436" i="1" s="1"/>
  <c r="P436" i="1"/>
  <c r="X434" i="1"/>
  <c r="Y433" i="1"/>
  <c r="X433" i="1"/>
  <c r="BO432" i="1"/>
  <c r="BN432" i="1"/>
  <c r="BM432" i="1"/>
  <c r="Y432" i="1"/>
  <c r="Y434" i="1" s="1"/>
  <c r="P432" i="1"/>
  <c r="Y430" i="1"/>
  <c r="X430" i="1"/>
  <c r="X429" i="1"/>
  <c r="BP428" i="1"/>
  <c r="BO428" i="1"/>
  <c r="BN428" i="1"/>
  <c r="BM428" i="1"/>
  <c r="Y428" i="1"/>
  <c r="Z428" i="1" s="1"/>
  <c r="P428" i="1"/>
  <c r="BO427" i="1"/>
  <c r="BN427" i="1"/>
  <c r="BM427" i="1"/>
  <c r="Z427" i="1"/>
  <c r="Y427" i="1"/>
  <c r="W537" i="1" s="1"/>
  <c r="P427" i="1"/>
  <c r="X424" i="1"/>
  <c r="X423" i="1"/>
  <c r="BO422" i="1"/>
  <c r="BM422" i="1"/>
  <c r="Y422" i="1"/>
  <c r="Z422" i="1" s="1"/>
  <c r="Z423" i="1" s="1"/>
  <c r="P422" i="1"/>
  <c r="Y420" i="1"/>
  <c r="X420" i="1"/>
  <c r="Y419" i="1"/>
  <c r="X419" i="1"/>
  <c r="BP418" i="1"/>
  <c r="BO418" i="1"/>
  <c r="BN418" i="1"/>
  <c r="BM418" i="1"/>
  <c r="Z418" i="1"/>
  <c r="Y418" i="1"/>
  <c r="P418" i="1"/>
  <c r="BP417" i="1"/>
  <c r="BO417" i="1"/>
  <c r="BN417" i="1"/>
  <c r="BM417" i="1"/>
  <c r="Z417" i="1"/>
  <c r="Z419" i="1" s="1"/>
  <c r="Y417" i="1"/>
  <c r="P417" i="1"/>
  <c r="X415" i="1"/>
  <c r="X414" i="1"/>
  <c r="BP413" i="1"/>
  <c r="BO413" i="1"/>
  <c r="BM413" i="1"/>
  <c r="Y413" i="1"/>
  <c r="BN413" i="1" s="1"/>
  <c r="P413" i="1"/>
  <c r="BO412" i="1"/>
  <c r="BM412" i="1"/>
  <c r="Y412" i="1"/>
  <c r="BP412" i="1" s="1"/>
  <c r="P412" i="1"/>
  <c r="BO411" i="1"/>
  <c r="BN411" i="1"/>
  <c r="BM411" i="1"/>
  <c r="Y411" i="1"/>
  <c r="BP411" i="1" s="1"/>
  <c r="P411" i="1"/>
  <c r="X409" i="1"/>
  <c r="X408" i="1"/>
  <c r="BO407" i="1"/>
  <c r="BM407" i="1"/>
  <c r="Z407" i="1"/>
  <c r="Y407" i="1"/>
  <c r="BP407" i="1" s="1"/>
  <c r="P407" i="1"/>
  <c r="BP406" i="1"/>
  <c r="BO406" i="1"/>
  <c r="BN406" i="1"/>
  <c r="BM406" i="1"/>
  <c r="Z406" i="1"/>
  <c r="Y406" i="1"/>
  <c r="P406" i="1"/>
  <c r="BP405" i="1"/>
  <c r="BO405" i="1"/>
  <c r="BM405" i="1"/>
  <c r="Y405" i="1"/>
  <c r="BN405" i="1" s="1"/>
  <c r="P405" i="1"/>
  <c r="BO404" i="1"/>
  <c r="BM404" i="1"/>
  <c r="Y404" i="1"/>
  <c r="BP404" i="1" s="1"/>
  <c r="P404" i="1"/>
  <c r="BO403" i="1"/>
  <c r="BM403" i="1"/>
  <c r="Y403" i="1"/>
  <c r="BP403" i="1" s="1"/>
  <c r="P403" i="1"/>
  <c r="BP402" i="1"/>
  <c r="BO402" i="1"/>
  <c r="BN402" i="1"/>
  <c r="BM402" i="1"/>
  <c r="Z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BP400" i="1" s="1"/>
  <c r="P400" i="1"/>
  <c r="X396" i="1"/>
  <c r="X395" i="1"/>
  <c r="BO394" i="1"/>
  <c r="BM394" i="1"/>
  <c r="Y394" i="1"/>
  <c r="Y395" i="1" s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U537" i="1" s="1"/>
  <c r="P392" i="1"/>
  <c r="X389" i="1"/>
  <c r="X388" i="1"/>
  <c r="BP387" i="1"/>
  <c r="BO387" i="1"/>
  <c r="BN387" i="1"/>
  <c r="BM387" i="1"/>
  <c r="Z387" i="1"/>
  <c r="Y387" i="1"/>
  <c r="P387" i="1"/>
  <c r="BP386" i="1"/>
  <c r="BO386" i="1"/>
  <c r="BM386" i="1"/>
  <c r="Y386" i="1"/>
  <c r="BN386" i="1" s="1"/>
  <c r="P386" i="1"/>
  <c r="BO385" i="1"/>
  <c r="BM385" i="1"/>
  <c r="Y385" i="1"/>
  <c r="BP385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Z380" i="1"/>
  <c r="Y380" i="1"/>
  <c r="BP380" i="1" s="1"/>
  <c r="P380" i="1"/>
  <c r="BP379" i="1"/>
  <c r="BO379" i="1"/>
  <c r="BN379" i="1"/>
  <c r="BM379" i="1"/>
  <c r="Z379" i="1"/>
  <c r="Y379" i="1"/>
  <c r="P379" i="1"/>
  <c r="BP378" i="1"/>
  <c r="BO378" i="1"/>
  <c r="BM378" i="1"/>
  <c r="Y378" i="1"/>
  <c r="Y383" i="1" s="1"/>
  <c r="P378" i="1"/>
  <c r="X376" i="1"/>
  <c r="Y375" i="1"/>
  <c r="X375" i="1"/>
  <c r="BP374" i="1"/>
  <c r="BO374" i="1"/>
  <c r="BN374" i="1"/>
  <c r="BM374" i="1"/>
  <c r="Z374" i="1"/>
  <c r="Y374" i="1"/>
  <c r="P374" i="1"/>
  <c r="BP373" i="1"/>
  <c r="BO373" i="1"/>
  <c r="BN373" i="1"/>
  <c r="BM373" i="1"/>
  <c r="Z373" i="1"/>
  <c r="Y373" i="1"/>
  <c r="P373" i="1"/>
  <c r="BO372" i="1"/>
  <c r="BM372" i="1"/>
  <c r="Z372" i="1"/>
  <c r="Z375" i="1" s="1"/>
  <c r="Y372" i="1"/>
  <c r="BP372" i="1" s="1"/>
  <c r="P372" i="1"/>
  <c r="X370" i="1"/>
  <c r="X369" i="1"/>
  <c r="BO368" i="1"/>
  <c r="BN368" i="1"/>
  <c r="BM368" i="1"/>
  <c r="Y368" i="1"/>
  <c r="BP368" i="1" s="1"/>
  <c r="P368" i="1"/>
  <c r="BP367" i="1"/>
  <c r="BO367" i="1"/>
  <c r="BM367" i="1"/>
  <c r="Y367" i="1"/>
  <c r="Y370" i="1" s="1"/>
  <c r="P367" i="1"/>
  <c r="BP366" i="1"/>
  <c r="BO366" i="1"/>
  <c r="BN366" i="1"/>
  <c r="BM366" i="1"/>
  <c r="Z366" i="1"/>
  <c r="Y366" i="1"/>
  <c r="P366" i="1"/>
  <c r="BP365" i="1"/>
  <c r="BO365" i="1"/>
  <c r="BN365" i="1"/>
  <c r="BM365" i="1"/>
  <c r="Z365" i="1"/>
  <c r="Y365" i="1"/>
  <c r="P365" i="1"/>
  <c r="X363" i="1"/>
  <c r="X362" i="1"/>
  <c r="BO361" i="1"/>
  <c r="BM361" i="1"/>
  <c r="Y361" i="1"/>
  <c r="BN361" i="1" s="1"/>
  <c r="P361" i="1"/>
  <c r="BO360" i="1"/>
  <c r="BN360" i="1"/>
  <c r="BM360" i="1"/>
  <c r="Y360" i="1"/>
  <c r="BP360" i="1" s="1"/>
  <c r="P360" i="1"/>
  <c r="BP359" i="1"/>
  <c r="BO359" i="1"/>
  <c r="BM359" i="1"/>
  <c r="Y359" i="1"/>
  <c r="BN359" i="1" s="1"/>
  <c r="P359" i="1"/>
  <c r="BP358" i="1"/>
  <c r="BO358" i="1"/>
  <c r="BN358" i="1"/>
  <c r="BM358" i="1"/>
  <c r="Z358" i="1"/>
  <c r="Y358" i="1"/>
  <c r="P358" i="1"/>
  <c r="BP357" i="1"/>
  <c r="BO357" i="1"/>
  <c r="BN357" i="1"/>
  <c r="BM357" i="1"/>
  <c r="Z357" i="1"/>
  <c r="Y357" i="1"/>
  <c r="P357" i="1"/>
  <c r="BO356" i="1"/>
  <c r="BM356" i="1"/>
  <c r="Z356" i="1"/>
  <c r="Y356" i="1"/>
  <c r="Y363" i="1" s="1"/>
  <c r="P356" i="1"/>
  <c r="BP355" i="1"/>
  <c r="BO355" i="1"/>
  <c r="BN355" i="1"/>
  <c r="BM355" i="1"/>
  <c r="Z355" i="1"/>
  <c r="Y355" i="1"/>
  <c r="P355" i="1"/>
  <c r="Y353" i="1"/>
  <c r="X353" i="1"/>
  <c r="X352" i="1"/>
  <c r="BP351" i="1"/>
  <c r="BO351" i="1"/>
  <c r="BM351" i="1"/>
  <c r="Y351" i="1"/>
  <c r="BN351" i="1" s="1"/>
  <c r="P351" i="1"/>
  <c r="BP350" i="1"/>
  <c r="BO350" i="1"/>
  <c r="BN350" i="1"/>
  <c r="BM350" i="1"/>
  <c r="Z350" i="1"/>
  <c r="Y350" i="1"/>
  <c r="P350" i="1"/>
  <c r="BP349" i="1"/>
  <c r="BO349" i="1"/>
  <c r="BN349" i="1"/>
  <c r="BM349" i="1"/>
  <c r="Z349" i="1"/>
  <c r="Y349" i="1"/>
  <c r="P349" i="1"/>
  <c r="BO348" i="1"/>
  <c r="BM348" i="1"/>
  <c r="Z348" i="1"/>
  <c r="Y348" i="1"/>
  <c r="BP348" i="1" s="1"/>
  <c r="P348" i="1"/>
  <c r="BP347" i="1"/>
  <c r="BO347" i="1"/>
  <c r="BN347" i="1"/>
  <c r="BM347" i="1"/>
  <c r="Z347" i="1"/>
  <c r="Y347" i="1"/>
  <c r="P347" i="1"/>
  <c r="BP346" i="1"/>
  <c r="BO346" i="1"/>
  <c r="BM346" i="1"/>
  <c r="Y346" i="1"/>
  <c r="T537" i="1" s="1"/>
  <c r="P346" i="1"/>
  <c r="X343" i="1"/>
  <c r="Y342" i="1"/>
  <c r="X342" i="1"/>
  <c r="BP341" i="1"/>
  <c r="BO341" i="1"/>
  <c r="BN341" i="1"/>
  <c r="BM341" i="1"/>
  <c r="Z341" i="1"/>
  <c r="Y341" i="1"/>
  <c r="P341" i="1"/>
  <c r="BP340" i="1"/>
  <c r="BO340" i="1"/>
  <c r="BN340" i="1"/>
  <c r="BM340" i="1"/>
  <c r="Z340" i="1"/>
  <c r="Y340" i="1"/>
  <c r="P340" i="1"/>
  <c r="BO339" i="1"/>
  <c r="BM339" i="1"/>
  <c r="Z339" i="1"/>
  <c r="Z342" i="1" s="1"/>
  <c r="Y339" i="1"/>
  <c r="S537" i="1" s="1"/>
  <c r="P339" i="1"/>
  <c r="X336" i="1"/>
  <c r="X335" i="1"/>
  <c r="BO334" i="1"/>
  <c r="BN334" i="1"/>
  <c r="BM334" i="1"/>
  <c r="Y334" i="1"/>
  <c r="BP334" i="1" s="1"/>
  <c r="P334" i="1"/>
  <c r="BP333" i="1"/>
  <c r="BO333" i="1"/>
  <c r="BM333" i="1"/>
  <c r="Y333" i="1"/>
  <c r="Y336" i="1" s="1"/>
  <c r="P333" i="1"/>
  <c r="Y331" i="1"/>
  <c r="X331" i="1"/>
  <c r="X330" i="1"/>
  <c r="BO329" i="1"/>
  <c r="BN329" i="1"/>
  <c r="BM329" i="1"/>
  <c r="Z329" i="1"/>
  <c r="Y329" i="1"/>
  <c r="BP329" i="1" s="1"/>
  <c r="P329" i="1"/>
  <c r="BP328" i="1"/>
  <c r="BO328" i="1"/>
  <c r="BM328" i="1"/>
  <c r="Z328" i="1"/>
  <c r="Y328" i="1"/>
  <c r="BN328" i="1" s="1"/>
  <c r="P328" i="1"/>
  <c r="BO327" i="1"/>
  <c r="BM327" i="1"/>
  <c r="Y327" i="1"/>
  <c r="BN327" i="1" s="1"/>
  <c r="P327" i="1"/>
  <c r="BO326" i="1"/>
  <c r="BN326" i="1"/>
  <c r="BM326" i="1"/>
  <c r="Y326" i="1"/>
  <c r="BP326" i="1" s="1"/>
  <c r="P326" i="1"/>
  <c r="BP325" i="1"/>
  <c r="BO325" i="1"/>
  <c r="BM325" i="1"/>
  <c r="Y325" i="1"/>
  <c r="Y330" i="1" s="1"/>
  <c r="P325" i="1"/>
  <c r="Y322" i="1"/>
  <c r="X322" i="1"/>
  <c r="X321" i="1"/>
  <c r="BO320" i="1"/>
  <c r="BN320" i="1"/>
  <c r="BM320" i="1"/>
  <c r="Z320" i="1"/>
  <c r="Y320" i="1"/>
  <c r="BP320" i="1" s="1"/>
  <c r="P320" i="1"/>
  <c r="BP319" i="1"/>
  <c r="BO319" i="1"/>
  <c r="BM319" i="1"/>
  <c r="Z319" i="1"/>
  <c r="Y319" i="1"/>
  <c r="BN319" i="1" s="1"/>
  <c r="P319" i="1"/>
  <c r="BO318" i="1"/>
  <c r="BM318" i="1"/>
  <c r="Y318" i="1"/>
  <c r="BN318" i="1" s="1"/>
  <c r="P318" i="1"/>
  <c r="X315" i="1"/>
  <c r="X314" i="1"/>
  <c r="BP313" i="1"/>
  <c r="BO313" i="1"/>
  <c r="BN313" i="1"/>
  <c r="BM313" i="1"/>
  <c r="Z313" i="1"/>
  <c r="Y313" i="1"/>
  <c r="P313" i="1"/>
  <c r="BP312" i="1"/>
  <c r="BO312" i="1"/>
  <c r="BN312" i="1"/>
  <c r="BM312" i="1"/>
  <c r="Z312" i="1"/>
  <c r="Y312" i="1"/>
  <c r="P312" i="1"/>
  <c r="BO311" i="1"/>
  <c r="BN311" i="1"/>
  <c r="BM311" i="1"/>
  <c r="Z311" i="1"/>
  <c r="Y311" i="1"/>
  <c r="BP311" i="1" s="1"/>
  <c r="P311" i="1"/>
  <c r="BP310" i="1"/>
  <c r="BO310" i="1"/>
  <c r="BM310" i="1"/>
  <c r="Z310" i="1"/>
  <c r="Y310" i="1"/>
  <c r="BN310" i="1" s="1"/>
  <c r="P310" i="1"/>
  <c r="BO309" i="1"/>
  <c r="BM309" i="1"/>
  <c r="Y309" i="1"/>
  <c r="BN309" i="1" s="1"/>
  <c r="P309" i="1"/>
  <c r="X306" i="1"/>
  <c r="Z305" i="1"/>
  <c r="Y305" i="1"/>
  <c r="X305" i="1"/>
  <c r="BP304" i="1"/>
  <c r="BO304" i="1"/>
  <c r="BN304" i="1"/>
  <c r="BM304" i="1"/>
  <c r="Z304" i="1"/>
  <c r="Y304" i="1"/>
  <c r="P304" i="1"/>
  <c r="BP303" i="1"/>
  <c r="BO303" i="1"/>
  <c r="BN303" i="1"/>
  <c r="BM303" i="1"/>
  <c r="Z303" i="1"/>
  <c r="Y303" i="1"/>
  <c r="P303" i="1"/>
  <c r="BO302" i="1"/>
  <c r="BN302" i="1"/>
  <c r="BM302" i="1"/>
  <c r="Z302" i="1"/>
  <c r="Y302" i="1"/>
  <c r="BP302" i="1" s="1"/>
  <c r="P302" i="1"/>
  <c r="BP301" i="1"/>
  <c r="BO301" i="1"/>
  <c r="BM301" i="1"/>
  <c r="Z301" i="1"/>
  <c r="Y301" i="1"/>
  <c r="Y306" i="1" s="1"/>
  <c r="P301" i="1"/>
  <c r="Y299" i="1"/>
  <c r="X299" i="1"/>
  <c r="Y298" i="1"/>
  <c r="X298" i="1"/>
  <c r="BP297" i="1"/>
  <c r="BO297" i="1"/>
  <c r="BM297" i="1"/>
  <c r="Z297" i="1"/>
  <c r="Z298" i="1" s="1"/>
  <c r="Y297" i="1"/>
  <c r="BN297" i="1" s="1"/>
  <c r="P297" i="1"/>
  <c r="Y295" i="1"/>
  <c r="X295" i="1"/>
  <c r="X294" i="1"/>
  <c r="BP293" i="1"/>
  <c r="BO293" i="1"/>
  <c r="BN293" i="1"/>
  <c r="BM293" i="1"/>
  <c r="Z293" i="1"/>
  <c r="Z294" i="1" s="1"/>
  <c r="Y293" i="1"/>
  <c r="Y294" i="1" s="1"/>
  <c r="P293" i="1"/>
  <c r="X291" i="1"/>
  <c r="X290" i="1"/>
  <c r="BP289" i="1"/>
  <c r="BO289" i="1"/>
  <c r="BM289" i="1"/>
  <c r="Y289" i="1"/>
  <c r="BN289" i="1" s="1"/>
  <c r="P289" i="1"/>
  <c r="BO288" i="1"/>
  <c r="BM288" i="1"/>
  <c r="Y288" i="1"/>
  <c r="BP288" i="1" s="1"/>
  <c r="P288" i="1"/>
  <c r="BO287" i="1"/>
  <c r="BN287" i="1"/>
  <c r="BM287" i="1"/>
  <c r="Y287" i="1"/>
  <c r="BP287" i="1" s="1"/>
  <c r="P287" i="1"/>
  <c r="BP286" i="1"/>
  <c r="BO286" i="1"/>
  <c r="BN286" i="1"/>
  <c r="BM286" i="1"/>
  <c r="Z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Y291" i="1" s="1"/>
  <c r="P283" i="1"/>
  <c r="X280" i="1"/>
  <c r="Y279" i="1"/>
  <c r="X279" i="1"/>
  <c r="BO278" i="1"/>
  <c r="BN278" i="1"/>
  <c r="BM278" i="1"/>
  <c r="Y278" i="1"/>
  <c r="BP278" i="1" s="1"/>
  <c r="P278" i="1"/>
  <c r="BP277" i="1"/>
  <c r="BO277" i="1"/>
  <c r="BN277" i="1"/>
  <c r="BM277" i="1"/>
  <c r="Z277" i="1"/>
  <c r="Y277" i="1"/>
  <c r="P277" i="1"/>
  <c r="X275" i="1"/>
  <c r="X274" i="1"/>
  <c r="BP273" i="1"/>
  <c r="BO273" i="1"/>
  <c r="BN273" i="1"/>
  <c r="BM273" i="1"/>
  <c r="Z273" i="1"/>
  <c r="Y273" i="1"/>
  <c r="P273" i="1"/>
  <c r="BP272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Z265" i="1" s="1"/>
  <c r="P265" i="1"/>
  <c r="BP264" i="1"/>
  <c r="BO264" i="1"/>
  <c r="BM264" i="1"/>
  <c r="Z264" i="1"/>
  <c r="Y264" i="1"/>
  <c r="BN264" i="1" s="1"/>
  <c r="P264" i="1"/>
  <c r="BP263" i="1"/>
  <c r="BO263" i="1"/>
  <c r="BN263" i="1"/>
  <c r="BM263" i="1"/>
  <c r="Z263" i="1"/>
  <c r="Y263" i="1"/>
  <c r="P263" i="1"/>
  <c r="BP262" i="1"/>
  <c r="BO262" i="1"/>
  <c r="BN262" i="1"/>
  <c r="BM262" i="1"/>
  <c r="Z262" i="1"/>
  <c r="Y262" i="1"/>
  <c r="Y275" i="1" s="1"/>
  <c r="P262" i="1"/>
  <c r="X260" i="1"/>
  <c r="Y259" i="1"/>
  <c r="X259" i="1"/>
  <c r="BO258" i="1"/>
  <c r="BM258" i="1"/>
  <c r="Y258" i="1"/>
  <c r="BP258" i="1" s="1"/>
  <c r="P258" i="1"/>
  <c r="BO257" i="1"/>
  <c r="BM257" i="1"/>
  <c r="Y257" i="1"/>
  <c r="Z257" i="1" s="1"/>
  <c r="P257" i="1"/>
  <c r="BP256" i="1"/>
  <c r="BO256" i="1"/>
  <c r="BM256" i="1"/>
  <c r="Z256" i="1"/>
  <c r="Y256" i="1"/>
  <c r="BN256" i="1" s="1"/>
  <c r="P256" i="1"/>
  <c r="BP255" i="1"/>
  <c r="BO255" i="1"/>
  <c r="BN255" i="1"/>
  <c r="BM255" i="1"/>
  <c r="Z255" i="1"/>
  <c r="Y255" i="1"/>
  <c r="P255" i="1"/>
  <c r="BP254" i="1"/>
  <c r="BO254" i="1"/>
  <c r="BN254" i="1"/>
  <c r="BM254" i="1"/>
  <c r="Z254" i="1"/>
  <c r="Y254" i="1"/>
  <c r="P254" i="1"/>
  <c r="BO253" i="1"/>
  <c r="BN253" i="1"/>
  <c r="BM253" i="1"/>
  <c r="Z253" i="1"/>
  <c r="Y253" i="1"/>
  <c r="BP253" i="1" s="1"/>
  <c r="P253" i="1"/>
  <c r="BO252" i="1"/>
  <c r="BM252" i="1"/>
  <c r="Z252" i="1"/>
  <c r="Y252" i="1"/>
  <c r="BP252" i="1" s="1"/>
  <c r="P252" i="1"/>
  <c r="BO251" i="1"/>
  <c r="BM251" i="1"/>
  <c r="Y251" i="1"/>
  <c r="BN251" i="1" s="1"/>
  <c r="P251" i="1"/>
  <c r="X249" i="1"/>
  <c r="Z248" i="1"/>
  <c r="Y248" i="1"/>
  <c r="X248" i="1"/>
  <c r="BP247" i="1"/>
  <c r="BO247" i="1"/>
  <c r="BN247" i="1"/>
  <c r="BM247" i="1"/>
  <c r="Z247" i="1"/>
  <c r="Y247" i="1"/>
  <c r="P247" i="1"/>
  <c r="BP246" i="1"/>
  <c r="BO246" i="1"/>
  <c r="BN246" i="1"/>
  <c r="BM246" i="1"/>
  <c r="Z246" i="1"/>
  <c r="Y246" i="1"/>
  <c r="Y249" i="1" s="1"/>
  <c r="P246" i="1"/>
  <c r="X244" i="1"/>
  <c r="Y243" i="1"/>
  <c r="X243" i="1"/>
  <c r="BO242" i="1"/>
  <c r="BM242" i="1"/>
  <c r="Y242" i="1"/>
  <c r="BP242" i="1" s="1"/>
  <c r="P242" i="1"/>
  <c r="BO241" i="1"/>
  <c r="BM241" i="1"/>
  <c r="Y241" i="1"/>
  <c r="Z241" i="1" s="1"/>
  <c r="P241" i="1"/>
  <c r="Y238" i="1"/>
  <c r="X238" i="1"/>
  <c r="Y237" i="1"/>
  <c r="X237" i="1"/>
  <c r="BP236" i="1"/>
  <c r="BO236" i="1"/>
  <c r="BN236" i="1"/>
  <c r="BM236" i="1"/>
  <c r="Z236" i="1"/>
  <c r="Z237" i="1" s="1"/>
  <c r="Y236" i="1"/>
  <c r="P236" i="1"/>
  <c r="X234" i="1"/>
  <c r="X233" i="1"/>
  <c r="BP232" i="1"/>
  <c r="BO232" i="1"/>
  <c r="BN232" i="1"/>
  <c r="BM232" i="1"/>
  <c r="Z232" i="1"/>
  <c r="Y232" i="1"/>
  <c r="P232" i="1"/>
  <c r="BP231" i="1"/>
  <c r="BO231" i="1"/>
  <c r="BM231" i="1"/>
  <c r="Y231" i="1"/>
  <c r="BN231" i="1" s="1"/>
  <c r="P231" i="1"/>
  <c r="BO230" i="1"/>
  <c r="BM230" i="1"/>
  <c r="Y230" i="1"/>
  <c r="BP230" i="1" s="1"/>
  <c r="P230" i="1"/>
  <c r="Y228" i="1"/>
  <c r="X228" i="1"/>
  <c r="Z227" i="1"/>
  <c r="X227" i="1"/>
  <c r="BP226" i="1"/>
  <c r="BO226" i="1"/>
  <c r="BM226" i="1"/>
  <c r="Z226" i="1"/>
  <c r="Y226" i="1"/>
  <c r="BN226" i="1" s="1"/>
  <c r="P226" i="1"/>
  <c r="BO225" i="1"/>
  <c r="BM225" i="1"/>
  <c r="Z225" i="1"/>
  <c r="Y225" i="1"/>
  <c r="Y227" i="1" s="1"/>
  <c r="P225" i="1"/>
  <c r="X223" i="1"/>
  <c r="X222" i="1"/>
  <c r="BO221" i="1"/>
  <c r="BN221" i="1"/>
  <c r="BM221" i="1"/>
  <c r="Y221" i="1"/>
  <c r="BP221" i="1" s="1"/>
  <c r="P221" i="1"/>
  <c r="BP220" i="1"/>
  <c r="BO220" i="1"/>
  <c r="BM220" i="1"/>
  <c r="Y220" i="1"/>
  <c r="BN220" i="1" s="1"/>
  <c r="P220" i="1"/>
  <c r="BP219" i="1"/>
  <c r="BO219" i="1"/>
  <c r="BN219" i="1"/>
  <c r="BM219" i="1"/>
  <c r="Z219" i="1"/>
  <c r="Y219" i="1"/>
  <c r="P219" i="1"/>
  <c r="BP218" i="1"/>
  <c r="BO218" i="1"/>
  <c r="BM218" i="1"/>
  <c r="Z218" i="1"/>
  <c r="Y218" i="1"/>
  <c r="BN218" i="1" s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Y216" i="1"/>
  <c r="P216" i="1"/>
  <c r="BP215" i="1"/>
  <c r="BO215" i="1"/>
  <c r="BM215" i="1"/>
  <c r="Y215" i="1"/>
  <c r="BN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N209" i="1"/>
  <c r="BM209" i="1"/>
  <c r="Y209" i="1"/>
  <c r="BP209" i="1" s="1"/>
  <c r="P209" i="1"/>
  <c r="BO208" i="1"/>
  <c r="BM208" i="1"/>
  <c r="Y208" i="1"/>
  <c r="Y223" i="1" s="1"/>
  <c r="P208" i="1"/>
  <c r="Y206" i="1"/>
  <c r="X206" i="1"/>
  <c r="Y205" i="1"/>
  <c r="X205" i="1"/>
  <c r="BP204" i="1"/>
  <c r="BO204" i="1"/>
  <c r="BN204" i="1"/>
  <c r="BM204" i="1"/>
  <c r="Z204" i="1"/>
  <c r="Z205" i="1" s="1"/>
  <c r="Y204" i="1"/>
  <c r="L537" i="1" s="1"/>
  <c r="P204" i="1"/>
  <c r="X201" i="1"/>
  <c r="X200" i="1"/>
  <c r="BP199" i="1"/>
  <c r="BO199" i="1"/>
  <c r="BN199" i="1"/>
  <c r="BM199" i="1"/>
  <c r="Z199" i="1"/>
  <c r="Y199" i="1"/>
  <c r="P199" i="1"/>
  <c r="BP198" i="1"/>
  <c r="BO198" i="1"/>
  <c r="BM198" i="1"/>
  <c r="Y198" i="1"/>
  <c r="BN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X192" i="1"/>
  <c r="X191" i="1"/>
  <c r="BO190" i="1"/>
  <c r="BM190" i="1"/>
  <c r="Z190" i="1"/>
  <c r="Z191" i="1" s="1"/>
  <c r="Y190" i="1"/>
  <c r="Y192" i="1" s="1"/>
  <c r="P190" i="1"/>
  <c r="X188" i="1"/>
  <c r="Y187" i="1"/>
  <c r="X187" i="1"/>
  <c r="BO186" i="1"/>
  <c r="BN186" i="1"/>
  <c r="BM186" i="1"/>
  <c r="Y186" i="1"/>
  <c r="BP186" i="1" s="1"/>
  <c r="P186" i="1"/>
  <c r="BP185" i="1"/>
  <c r="BO185" i="1"/>
  <c r="BM185" i="1"/>
  <c r="Y185" i="1"/>
  <c r="Y188" i="1" s="1"/>
  <c r="P185" i="1"/>
  <c r="Y183" i="1"/>
  <c r="X183" i="1"/>
  <c r="X182" i="1"/>
  <c r="BP181" i="1"/>
  <c r="BO181" i="1"/>
  <c r="BN181" i="1"/>
  <c r="BM181" i="1"/>
  <c r="Z181" i="1"/>
  <c r="Y181" i="1"/>
  <c r="P181" i="1"/>
  <c r="BP180" i="1"/>
  <c r="BO180" i="1"/>
  <c r="BM180" i="1"/>
  <c r="Z180" i="1"/>
  <c r="Y180" i="1"/>
  <c r="BN180" i="1" s="1"/>
  <c r="P180" i="1"/>
  <c r="BO179" i="1"/>
  <c r="BM179" i="1"/>
  <c r="Y179" i="1"/>
  <c r="BN179" i="1" s="1"/>
  <c r="P179" i="1"/>
  <c r="X177" i="1"/>
  <c r="X176" i="1"/>
  <c r="BP175" i="1"/>
  <c r="BO175" i="1"/>
  <c r="BN175" i="1"/>
  <c r="BM175" i="1"/>
  <c r="Z175" i="1"/>
  <c r="Y175" i="1"/>
  <c r="P175" i="1"/>
  <c r="BP174" i="1"/>
  <c r="BO174" i="1"/>
  <c r="BN174" i="1"/>
  <c r="BM174" i="1"/>
  <c r="Z174" i="1"/>
  <c r="Y174" i="1"/>
  <c r="P174" i="1"/>
  <c r="BO173" i="1"/>
  <c r="BN173" i="1"/>
  <c r="BM173" i="1"/>
  <c r="Z173" i="1"/>
  <c r="Y173" i="1"/>
  <c r="BP173" i="1" s="1"/>
  <c r="P173" i="1"/>
  <c r="BP172" i="1"/>
  <c r="BO172" i="1"/>
  <c r="BM172" i="1"/>
  <c r="Z172" i="1"/>
  <c r="Y172" i="1"/>
  <c r="BN172" i="1" s="1"/>
  <c r="P172" i="1"/>
  <c r="BO171" i="1"/>
  <c r="BM171" i="1"/>
  <c r="Y171" i="1"/>
  <c r="BN171" i="1" s="1"/>
  <c r="P171" i="1"/>
  <c r="BO170" i="1"/>
  <c r="BN170" i="1"/>
  <c r="BM170" i="1"/>
  <c r="Y170" i="1"/>
  <c r="BP170" i="1" s="1"/>
  <c r="P170" i="1"/>
  <c r="BP169" i="1"/>
  <c r="BO169" i="1"/>
  <c r="BM169" i="1"/>
  <c r="Y169" i="1"/>
  <c r="BN169" i="1" s="1"/>
  <c r="P169" i="1"/>
  <c r="BP168" i="1"/>
  <c r="BO168" i="1"/>
  <c r="BN168" i="1"/>
  <c r="BM168" i="1"/>
  <c r="Z168" i="1"/>
  <c r="Y168" i="1"/>
  <c r="P168" i="1"/>
  <c r="BP167" i="1"/>
  <c r="BO167" i="1"/>
  <c r="BM167" i="1"/>
  <c r="Y167" i="1"/>
  <c r="BN167" i="1" s="1"/>
  <c r="P167" i="1"/>
  <c r="BO166" i="1"/>
  <c r="BM166" i="1"/>
  <c r="Z166" i="1"/>
  <c r="Y166" i="1"/>
  <c r="Y177" i="1" s="1"/>
  <c r="P166" i="1"/>
  <c r="X164" i="1"/>
  <c r="Y163" i="1"/>
  <c r="X163" i="1"/>
  <c r="BO162" i="1"/>
  <c r="BN162" i="1"/>
  <c r="BM162" i="1"/>
  <c r="Y162" i="1"/>
  <c r="Y164" i="1" s="1"/>
  <c r="P162" i="1"/>
  <c r="Y160" i="1"/>
  <c r="X160" i="1"/>
  <c r="X159" i="1"/>
  <c r="BP158" i="1"/>
  <c r="BO158" i="1"/>
  <c r="BN158" i="1"/>
  <c r="BM158" i="1"/>
  <c r="Z158" i="1"/>
  <c r="Y158" i="1"/>
  <c r="Y159" i="1" s="1"/>
  <c r="P158" i="1"/>
  <c r="BO157" i="1"/>
  <c r="BN157" i="1"/>
  <c r="BM157" i="1"/>
  <c r="Z157" i="1"/>
  <c r="Z159" i="1" s="1"/>
  <c r="Y157" i="1"/>
  <c r="BP157" i="1" s="1"/>
  <c r="P157" i="1"/>
  <c r="X154" i="1"/>
  <c r="X153" i="1"/>
  <c r="BO152" i="1"/>
  <c r="BN152" i="1"/>
  <c r="BM152" i="1"/>
  <c r="Y152" i="1"/>
  <c r="Z152" i="1" s="1"/>
  <c r="P152" i="1"/>
  <c r="BP151" i="1"/>
  <c r="BO151" i="1"/>
  <c r="BM151" i="1"/>
  <c r="Z151" i="1"/>
  <c r="Y151" i="1"/>
  <c r="BN151" i="1" s="1"/>
  <c r="P151" i="1"/>
  <c r="BP150" i="1"/>
  <c r="BO150" i="1"/>
  <c r="BN150" i="1"/>
  <c r="BM150" i="1"/>
  <c r="Y150" i="1"/>
  <c r="Z150" i="1" s="1"/>
  <c r="P150" i="1"/>
  <c r="BP149" i="1"/>
  <c r="BO149" i="1"/>
  <c r="BN149" i="1"/>
  <c r="BM149" i="1"/>
  <c r="Z149" i="1"/>
  <c r="Y149" i="1"/>
  <c r="Y154" i="1" s="1"/>
  <c r="P149" i="1"/>
  <c r="X146" i="1"/>
  <c r="Y145" i="1"/>
  <c r="X145" i="1"/>
  <c r="BO144" i="1"/>
  <c r="BN144" i="1"/>
  <c r="BM144" i="1"/>
  <c r="Y144" i="1"/>
  <c r="BP144" i="1" s="1"/>
  <c r="P144" i="1"/>
  <c r="BO143" i="1"/>
  <c r="BN143" i="1"/>
  <c r="BM143" i="1"/>
  <c r="Y143" i="1"/>
  <c r="Z143" i="1" s="1"/>
  <c r="P143" i="1"/>
  <c r="Y141" i="1"/>
  <c r="X141" i="1"/>
  <c r="Y140" i="1"/>
  <c r="X140" i="1"/>
  <c r="BP139" i="1"/>
  <c r="BO139" i="1"/>
  <c r="BN139" i="1"/>
  <c r="BM139" i="1"/>
  <c r="Z139" i="1"/>
  <c r="Y139" i="1"/>
  <c r="P139" i="1"/>
  <c r="BP138" i="1"/>
  <c r="BO138" i="1"/>
  <c r="BN138" i="1"/>
  <c r="BM138" i="1"/>
  <c r="Z138" i="1"/>
  <c r="Z140" i="1" s="1"/>
  <c r="Y138" i="1"/>
  <c r="P138" i="1"/>
  <c r="X136" i="1"/>
  <c r="X135" i="1"/>
  <c r="BP134" i="1"/>
  <c r="BO134" i="1"/>
  <c r="BM134" i="1"/>
  <c r="Y134" i="1"/>
  <c r="BN134" i="1" s="1"/>
  <c r="P134" i="1"/>
  <c r="BO133" i="1"/>
  <c r="BM133" i="1"/>
  <c r="Y133" i="1"/>
  <c r="Y136" i="1" s="1"/>
  <c r="P133" i="1"/>
  <c r="X130" i="1"/>
  <c r="X129" i="1"/>
  <c r="BP128" i="1"/>
  <c r="BO128" i="1"/>
  <c r="BM128" i="1"/>
  <c r="Y128" i="1"/>
  <c r="Y130" i="1" s="1"/>
  <c r="P128" i="1"/>
  <c r="X126" i="1"/>
  <c r="X125" i="1"/>
  <c r="BO124" i="1"/>
  <c r="BM124" i="1"/>
  <c r="Y124" i="1"/>
  <c r="BN124" i="1" s="1"/>
  <c r="P124" i="1"/>
  <c r="BO123" i="1"/>
  <c r="BN123" i="1"/>
  <c r="BM123" i="1"/>
  <c r="Y123" i="1"/>
  <c r="BP123" i="1" s="1"/>
  <c r="P123" i="1"/>
  <c r="BP122" i="1"/>
  <c r="BO122" i="1"/>
  <c r="BM122" i="1"/>
  <c r="Y122" i="1"/>
  <c r="BN122" i="1" s="1"/>
  <c r="P122" i="1"/>
  <c r="BP121" i="1"/>
  <c r="BO121" i="1"/>
  <c r="BN121" i="1"/>
  <c r="BM121" i="1"/>
  <c r="Z121" i="1"/>
  <c r="Y121" i="1"/>
  <c r="Y126" i="1" s="1"/>
  <c r="P121" i="1"/>
  <c r="Y119" i="1"/>
  <c r="X119" i="1"/>
  <c r="X118" i="1"/>
  <c r="BP117" i="1"/>
  <c r="BO117" i="1"/>
  <c r="BM117" i="1"/>
  <c r="Z117" i="1"/>
  <c r="Y117" i="1"/>
  <c r="BN117" i="1" s="1"/>
  <c r="P117" i="1"/>
  <c r="BO116" i="1"/>
  <c r="BM116" i="1"/>
  <c r="Y116" i="1"/>
  <c r="BN116" i="1" s="1"/>
  <c r="P116" i="1"/>
  <c r="BO115" i="1"/>
  <c r="BN115" i="1"/>
  <c r="BM115" i="1"/>
  <c r="Y115" i="1"/>
  <c r="BP115" i="1" s="1"/>
  <c r="P115" i="1"/>
  <c r="BP114" i="1"/>
  <c r="BO114" i="1"/>
  <c r="BM114" i="1"/>
  <c r="Y114" i="1"/>
  <c r="BN114" i="1" s="1"/>
  <c r="P114" i="1"/>
  <c r="BP113" i="1"/>
  <c r="BO113" i="1"/>
  <c r="BN113" i="1"/>
  <c r="BM113" i="1"/>
  <c r="Z113" i="1"/>
  <c r="Y113" i="1"/>
  <c r="P113" i="1"/>
  <c r="BP112" i="1"/>
  <c r="BO112" i="1"/>
  <c r="BM112" i="1"/>
  <c r="Y112" i="1"/>
  <c r="BN112" i="1" s="1"/>
  <c r="P112" i="1"/>
  <c r="X110" i="1"/>
  <c r="X109" i="1"/>
  <c r="BO108" i="1"/>
  <c r="BM108" i="1"/>
  <c r="Y108" i="1"/>
  <c r="BN108" i="1" s="1"/>
  <c r="P108" i="1"/>
  <c r="BO107" i="1"/>
  <c r="BN107" i="1"/>
  <c r="BM107" i="1"/>
  <c r="Y107" i="1"/>
  <c r="BP107" i="1" s="1"/>
  <c r="P107" i="1"/>
  <c r="BP106" i="1"/>
  <c r="BO106" i="1"/>
  <c r="BM106" i="1"/>
  <c r="Y106" i="1"/>
  <c r="BN106" i="1" s="1"/>
  <c r="P106" i="1"/>
  <c r="BP105" i="1"/>
  <c r="BO105" i="1"/>
  <c r="BN105" i="1"/>
  <c r="BM105" i="1"/>
  <c r="Z105" i="1"/>
  <c r="Y105" i="1"/>
  <c r="P105" i="1"/>
  <c r="BP104" i="1"/>
  <c r="BO104" i="1"/>
  <c r="BM104" i="1"/>
  <c r="Y104" i="1"/>
  <c r="BN104" i="1" s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G537" i="1" s="1"/>
  <c r="P102" i="1"/>
  <c r="Y99" i="1"/>
  <c r="X99" i="1"/>
  <c r="X98" i="1"/>
  <c r="BP97" i="1"/>
  <c r="BO97" i="1"/>
  <c r="BM97" i="1"/>
  <c r="Y97" i="1"/>
  <c r="BN97" i="1" s="1"/>
  <c r="P97" i="1"/>
  <c r="BP96" i="1"/>
  <c r="BO96" i="1"/>
  <c r="BN96" i="1"/>
  <c r="BM96" i="1"/>
  <c r="Z96" i="1"/>
  <c r="Y96" i="1"/>
  <c r="P96" i="1"/>
  <c r="BP95" i="1"/>
  <c r="BO95" i="1"/>
  <c r="BM95" i="1"/>
  <c r="Y95" i="1"/>
  <c r="BN95" i="1" s="1"/>
  <c r="P95" i="1"/>
  <c r="BO94" i="1"/>
  <c r="BM94" i="1"/>
  <c r="Z94" i="1"/>
  <c r="Y94" i="1"/>
  <c r="Y98" i="1" s="1"/>
  <c r="P94" i="1"/>
  <c r="X92" i="1"/>
  <c r="Y91" i="1"/>
  <c r="X91" i="1"/>
  <c r="BO90" i="1"/>
  <c r="BN90" i="1"/>
  <c r="BM90" i="1"/>
  <c r="Y90" i="1"/>
  <c r="BP90" i="1" s="1"/>
  <c r="P90" i="1"/>
  <c r="BP89" i="1"/>
  <c r="BO89" i="1"/>
  <c r="BM89" i="1"/>
  <c r="Y89" i="1"/>
  <c r="BN89" i="1" s="1"/>
  <c r="P89" i="1"/>
  <c r="BP88" i="1"/>
  <c r="BO88" i="1"/>
  <c r="BN88" i="1"/>
  <c r="BM88" i="1"/>
  <c r="Z88" i="1"/>
  <c r="Y88" i="1"/>
  <c r="P88" i="1"/>
  <c r="BP87" i="1"/>
  <c r="BO87" i="1"/>
  <c r="BM87" i="1"/>
  <c r="Y87" i="1"/>
  <c r="F537" i="1" s="1"/>
  <c r="P87" i="1"/>
  <c r="X84" i="1"/>
  <c r="X83" i="1"/>
  <c r="BO82" i="1"/>
  <c r="BM82" i="1"/>
  <c r="Y82" i="1"/>
  <c r="BN82" i="1" s="1"/>
  <c r="P82" i="1"/>
  <c r="BO81" i="1"/>
  <c r="BN81" i="1"/>
  <c r="BM81" i="1"/>
  <c r="Y81" i="1"/>
  <c r="BP81" i="1" s="1"/>
  <c r="P81" i="1"/>
  <c r="Y79" i="1"/>
  <c r="X79" i="1"/>
  <c r="X78" i="1"/>
  <c r="BP77" i="1"/>
  <c r="BO77" i="1"/>
  <c r="BN77" i="1"/>
  <c r="BM77" i="1"/>
  <c r="Z77" i="1"/>
  <c r="Y77" i="1"/>
  <c r="Y78" i="1" s="1"/>
  <c r="P77" i="1"/>
  <c r="BP76" i="1"/>
  <c r="BO76" i="1"/>
  <c r="BN76" i="1"/>
  <c r="BM76" i="1"/>
  <c r="Z76" i="1"/>
  <c r="Z78" i="1" s="1"/>
  <c r="Y76" i="1"/>
  <c r="P76" i="1"/>
  <c r="Y74" i="1"/>
  <c r="X74" i="1"/>
  <c r="X73" i="1"/>
  <c r="BO72" i="1"/>
  <c r="BN72" i="1"/>
  <c r="BM72" i="1"/>
  <c r="Y72" i="1"/>
  <c r="Z72" i="1" s="1"/>
  <c r="P72" i="1"/>
  <c r="BP71" i="1"/>
  <c r="BO71" i="1"/>
  <c r="BM71" i="1"/>
  <c r="Z71" i="1"/>
  <c r="Y71" i="1"/>
  <c r="BN71" i="1" s="1"/>
  <c r="P71" i="1"/>
  <c r="BP70" i="1"/>
  <c r="BO70" i="1"/>
  <c r="BN70" i="1"/>
  <c r="BM70" i="1"/>
  <c r="Y70" i="1"/>
  <c r="Z70" i="1" s="1"/>
  <c r="P70" i="1"/>
  <c r="BP69" i="1"/>
  <c r="BO69" i="1"/>
  <c r="BN69" i="1"/>
  <c r="BM69" i="1"/>
  <c r="Y69" i="1"/>
  <c r="Z69" i="1" s="1"/>
  <c r="P69" i="1"/>
  <c r="X67" i="1"/>
  <c r="Y66" i="1"/>
  <c r="X66" i="1"/>
  <c r="BO65" i="1"/>
  <c r="BN65" i="1"/>
  <c r="BM65" i="1"/>
  <c r="Y65" i="1"/>
  <c r="BP65" i="1" s="1"/>
  <c r="P65" i="1"/>
  <c r="BO64" i="1"/>
  <c r="BN64" i="1"/>
  <c r="BM64" i="1"/>
  <c r="Y64" i="1"/>
  <c r="Z64" i="1" s="1"/>
  <c r="P64" i="1"/>
  <c r="BP63" i="1"/>
  <c r="BO63" i="1"/>
  <c r="BM63" i="1"/>
  <c r="Z63" i="1"/>
  <c r="Y63" i="1"/>
  <c r="BN63" i="1" s="1"/>
  <c r="P63" i="1"/>
  <c r="BP62" i="1"/>
  <c r="BO62" i="1"/>
  <c r="BN62" i="1"/>
  <c r="BM62" i="1"/>
  <c r="Y62" i="1"/>
  <c r="Z62" i="1" s="1"/>
  <c r="P62" i="1"/>
  <c r="BP61" i="1"/>
  <c r="BO61" i="1"/>
  <c r="BN61" i="1"/>
  <c r="BM61" i="1"/>
  <c r="Y61" i="1"/>
  <c r="Z61" i="1" s="1"/>
  <c r="P61" i="1"/>
  <c r="BP60" i="1"/>
  <c r="BO60" i="1"/>
  <c r="BN60" i="1"/>
  <c r="BM60" i="1"/>
  <c r="Z60" i="1"/>
  <c r="Y60" i="1"/>
  <c r="P60" i="1"/>
  <c r="BP59" i="1"/>
  <c r="BO59" i="1"/>
  <c r="BM59" i="1"/>
  <c r="Z59" i="1"/>
  <c r="Y59" i="1"/>
  <c r="E537" i="1" s="1"/>
  <c r="P59" i="1"/>
  <c r="Y56" i="1"/>
  <c r="X56" i="1"/>
  <c r="X55" i="1"/>
  <c r="BP54" i="1"/>
  <c r="BO54" i="1"/>
  <c r="BM54" i="1"/>
  <c r="Z54" i="1"/>
  <c r="Y54" i="1"/>
  <c r="BN54" i="1" s="1"/>
  <c r="P54" i="1"/>
  <c r="BP53" i="1"/>
  <c r="BO53" i="1"/>
  <c r="BN53" i="1"/>
  <c r="BM53" i="1"/>
  <c r="Y53" i="1"/>
  <c r="Z53" i="1" s="1"/>
  <c r="P53" i="1"/>
  <c r="BP52" i="1"/>
  <c r="BO52" i="1"/>
  <c r="BN52" i="1"/>
  <c r="BM52" i="1"/>
  <c r="Y52" i="1"/>
  <c r="Z52" i="1" s="1"/>
  <c r="P52" i="1"/>
  <c r="BP51" i="1"/>
  <c r="BO51" i="1"/>
  <c r="BN51" i="1"/>
  <c r="BM51" i="1"/>
  <c r="Z51" i="1"/>
  <c r="Y51" i="1"/>
  <c r="D537" i="1" s="1"/>
  <c r="P51" i="1"/>
  <c r="Y47" i="1"/>
  <c r="X47" i="1"/>
  <c r="X46" i="1"/>
  <c r="BO45" i="1"/>
  <c r="BN45" i="1"/>
  <c r="BM45" i="1"/>
  <c r="Y45" i="1"/>
  <c r="Z45" i="1" s="1"/>
  <c r="P45" i="1"/>
  <c r="BP44" i="1"/>
  <c r="BO44" i="1"/>
  <c r="BM44" i="1"/>
  <c r="Z44" i="1"/>
  <c r="Y44" i="1"/>
  <c r="BN44" i="1" s="1"/>
  <c r="P44" i="1"/>
  <c r="BP43" i="1"/>
  <c r="BO43" i="1"/>
  <c r="BN43" i="1"/>
  <c r="BM43" i="1"/>
  <c r="Y43" i="1"/>
  <c r="Z43" i="1" s="1"/>
  <c r="P43" i="1"/>
  <c r="BP42" i="1"/>
  <c r="BO42" i="1"/>
  <c r="BN42" i="1"/>
  <c r="BM42" i="1"/>
  <c r="Y42" i="1"/>
  <c r="Z42" i="1" s="1"/>
  <c r="P42" i="1"/>
  <c r="Y38" i="1"/>
  <c r="X38" i="1"/>
  <c r="Y37" i="1"/>
  <c r="X37" i="1"/>
  <c r="BO36" i="1"/>
  <c r="BN36" i="1"/>
  <c r="BM36" i="1"/>
  <c r="Y36" i="1"/>
  <c r="BP36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N27" i="1"/>
  <c r="BM27" i="1"/>
  <c r="Y27" i="1"/>
  <c r="Z27" i="1" s="1"/>
  <c r="P27" i="1"/>
  <c r="Y25" i="1"/>
  <c r="X25" i="1"/>
  <c r="X527" i="1" s="1"/>
  <c r="Y24" i="1"/>
  <c r="X24" i="1"/>
  <c r="X531" i="1" s="1"/>
  <c r="BP23" i="1"/>
  <c r="BO23" i="1"/>
  <c r="BN23" i="1"/>
  <c r="BM23" i="1"/>
  <c r="Z23" i="1"/>
  <c r="Y23" i="1"/>
  <c r="P23" i="1"/>
  <c r="BP22" i="1"/>
  <c r="BO22" i="1"/>
  <c r="X529" i="1" s="1"/>
  <c r="BN22" i="1"/>
  <c r="BM22" i="1"/>
  <c r="X528" i="1" s="1"/>
  <c r="Z22" i="1"/>
  <c r="Z24" i="1" s="1"/>
  <c r="Y22" i="1"/>
  <c r="B537" i="1" s="1"/>
  <c r="P22" i="1"/>
  <c r="H10" i="1"/>
  <c r="F10" i="1"/>
  <c r="A10" i="1"/>
  <c r="H9" i="1"/>
  <c r="F9" i="1"/>
  <c r="A9" i="1"/>
  <c r="J9" i="1" s="1"/>
  <c r="D7" i="1"/>
  <c r="Q6" i="1"/>
  <c r="P2" i="1"/>
  <c r="X530" i="1" l="1"/>
  <c r="Z73" i="1"/>
  <c r="Z46" i="1"/>
  <c r="Z429" i="1"/>
  <c r="Z55" i="1"/>
  <c r="Z153" i="1"/>
  <c r="Z480" i="1"/>
  <c r="BP82" i="1"/>
  <c r="BP108" i="1"/>
  <c r="BP116" i="1"/>
  <c r="BP124" i="1"/>
  <c r="Z133" i="1"/>
  <c r="BP171" i="1"/>
  <c r="BP179" i="1"/>
  <c r="Z197" i="1"/>
  <c r="Y200" i="1"/>
  <c r="BN208" i="1"/>
  <c r="Z214" i="1"/>
  <c r="Z230" i="1"/>
  <c r="Y233" i="1"/>
  <c r="BN241" i="1"/>
  <c r="BP251" i="1"/>
  <c r="BN257" i="1"/>
  <c r="BN265" i="1"/>
  <c r="Z271" i="1"/>
  <c r="Y274" i="1"/>
  <c r="Z288" i="1"/>
  <c r="BP309" i="1"/>
  <c r="BP318" i="1"/>
  <c r="BP327" i="1"/>
  <c r="BP361" i="1"/>
  <c r="Z385" i="1"/>
  <c r="Y388" i="1"/>
  <c r="Z394" i="1"/>
  <c r="Z404" i="1"/>
  <c r="Z412" i="1"/>
  <c r="BN422" i="1"/>
  <c r="Z478" i="1"/>
  <c r="Z494" i="1"/>
  <c r="H537" i="1"/>
  <c r="I537" i="1"/>
  <c r="BP27" i="1"/>
  <c r="Y529" i="1" s="1"/>
  <c r="Y34" i="1"/>
  <c r="BP45" i="1"/>
  <c r="BP64" i="1"/>
  <c r="BP72" i="1"/>
  <c r="Y83" i="1"/>
  <c r="Z89" i="1"/>
  <c r="Z97" i="1"/>
  <c r="Z106" i="1"/>
  <c r="Y109" i="1"/>
  <c r="Z114" i="1"/>
  <c r="Z122" i="1"/>
  <c r="Z125" i="1" s="1"/>
  <c r="Y125" i="1"/>
  <c r="BN133" i="1"/>
  <c r="BP143" i="1"/>
  <c r="BP152" i="1"/>
  <c r="Z169" i="1"/>
  <c r="Z185" i="1"/>
  <c r="BN197" i="1"/>
  <c r="BP208" i="1"/>
  <c r="BN214" i="1"/>
  <c r="Z220" i="1"/>
  <c r="BN230" i="1"/>
  <c r="BP241" i="1"/>
  <c r="BP257" i="1"/>
  <c r="BP265" i="1"/>
  <c r="BN271" i="1"/>
  <c r="Y280" i="1"/>
  <c r="BN288" i="1"/>
  <c r="Z325" i="1"/>
  <c r="Z333" i="1"/>
  <c r="Z335" i="1" s="1"/>
  <c r="Z351" i="1"/>
  <c r="Z359" i="1"/>
  <c r="Z362" i="1" s="1"/>
  <c r="Y362" i="1"/>
  <c r="Z367" i="1"/>
  <c r="Z369" i="1" s="1"/>
  <c r="BN385" i="1"/>
  <c r="BN394" i="1"/>
  <c r="BN404" i="1"/>
  <c r="BN412" i="1"/>
  <c r="BP422" i="1"/>
  <c r="Z449" i="1"/>
  <c r="Y461" i="1"/>
  <c r="BP472" i="1"/>
  <c r="BN478" i="1"/>
  <c r="BN494" i="1"/>
  <c r="Z514" i="1"/>
  <c r="Z515" i="1" s="1"/>
  <c r="J537" i="1"/>
  <c r="Y33" i="1"/>
  <c r="Y531" i="1" s="1"/>
  <c r="BN94" i="1"/>
  <c r="BN166" i="1"/>
  <c r="BN190" i="1"/>
  <c r="Y201" i="1"/>
  <c r="BN217" i="1"/>
  <c r="BN225" i="1"/>
  <c r="Y234" i="1"/>
  <c r="BN339" i="1"/>
  <c r="BN348" i="1"/>
  <c r="BN356" i="1"/>
  <c r="BN372" i="1"/>
  <c r="BN380" i="1"/>
  <c r="Y389" i="1"/>
  <c r="BN407" i="1"/>
  <c r="Y429" i="1"/>
  <c r="BN436" i="1"/>
  <c r="BN446" i="1"/>
  <c r="BN454" i="1"/>
  <c r="BN519" i="1"/>
  <c r="K537" i="1"/>
  <c r="BN103" i="1"/>
  <c r="Y46" i="1"/>
  <c r="Y73" i="1"/>
  <c r="Y153" i="1"/>
  <c r="BN185" i="1"/>
  <c r="BN325" i="1"/>
  <c r="BN333" i="1"/>
  <c r="Y343" i="1"/>
  <c r="BN367" i="1"/>
  <c r="Y376" i="1"/>
  <c r="BP394" i="1"/>
  <c r="Y423" i="1"/>
  <c r="Y440" i="1"/>
  <c r="BN514" i="1"/>
  <c r="BP133" i="1"/>
  <c r="Z28" i="1"/>
  <c r="Z33" i="1" s="1"/>
  <c r="Z36" i="1"/>
  <c r="Z37" i="1" s="1"/>
  <c r="BN59" i="1"/>
  <c r="Z65" i="1"/>
  <c r="Z66" i="1" s="1"/>
  <c r="Y84" i="1"/>
  <c r="BP94" i="1"/>
  <c r="Y110" i="1"/>
  <c r="Z144" i="1"/>
  <c r="Z145" i="1" s="1"/>
  <c r="BP166" i="1"/>
  <c r="BP190" i="1"/>
  <c r="Z209" i="1"/>
  <c r="BP225" i="1"/>
  <c r="Z242" i="1"/>
  <c r="Z243" i="1" s="1"/>
  <c r="BN252" i="1"/>
  <c r="Z258" i="1"/>
  <c r="Z266" i="1"/>
  <c r="Z274" i="1" s="1"/>
  <c r="Z283" i="1"/>
  <c r="Z290" i="1" s="1"/>
  <c r="BN301" i="1"/>
  <c r="BP339" i="1"/>
  <c r="BP356" i="1"/>
  <c r="BP454" i="1"/>
  <c r="Z463" i="1"/>
  <c r="Z466" i="1" s="1"/>
  <c r="Y466" i="1"/>
  <c r="Z473" i="1"/>
  <c r="Z489" i="1"/>
  <c r="Y502" i="1"/>
  <c r="BN509" i="1"/>
  <c r="BP519" i="1"/>
  <c r="M537" i="1"/>
  <c r="BP514" i="1"/>
  <c r="O537" i="1"/>
  <c r="Y191" i="1"/>
  <c r="Z198" i="1"/>
  <c r="Z215" i="1"/>
  <c r="Z231" i="1"/>
  <c r="BN242" i="1"/>
  <c r="BN258" i="1"/>
  <c r="BN266" i="1"/>
  <c r="Z272" i="1"/>
  <c r="BN283" i="1"/>
  <c r="Z289" i="1"/>
  <c r="Z346" i="1"/>
  <c r="Z378" i="1"/>
  <c r="Z382" i="1" s="1"/>
  <c r="Z386" i="1"/>
  <c r="Z405" i="1"/>
  <c r="Y408" i="1"/>
  <c r="Z413" i="1"/>
  <c r="Y424" i="1"/>
  <c r="Z444" i="1"/>
  <c r="Y455" i="1"/>
  <c r="BN463" i="1"/>
  <c r="BN473" i="1"/>
  <c r="Z479" i="1"/>
  <c r="BN489" i="1"/>
  <c r="Z495" i="1"/>
  <c r="Y520" i="1"/>
  <c r="P537" i="1"/>
  <c r="Z134" i="1"/>
  <c r="Z112" i="1"/>
  <c r="Z128" i="1"/>
  <c r="Z129" i="1" s="1"/>
  <c r="Z167" i="1"/>
  <c r="Y352" i="1"/>
  <c r="Y450" i="1"/>
  <c r="Y467" i="1"/>
  <c r="Q537" i="1"/>
  <c r="Z87" i="1"/>
  <c r="Z95" i="1"/>
  <c r="Z98" i="1" s="1"/>
  <c r="Z104" i="1"/>
  <c r="Z109" i="1" s="1"/>
  <c r="Z81" i="1"/>
  <c r="Z90" i="1"/>
  <c r="Z107" i="1"/>
  <c r="Z115" i="1"/>
  <c r="Y118" i="1"/>
  <c r="Z123" i="1"/>
  <c r="Z162" i="1"/>
  <c r="Z163" i="1" s="1"/>
  <c r="Z170" i="1"/>
  <c r="Z186" i="1"/>
  <c r="Z221" i="1"/>
  <c r="BP283" i="1"/>
  <c r="Z326" i="1"/>
  <c r="Z334" i="1"/>
  <c r="BN346" i="1"/>
  <c r="Z360" i="1"/>
  <c r="Z368" i="1"/>
  <c r="BN378" i="1"/>
  <c r="Y396" i="1"/>
  <c r="Z432" i="1"/>
  <c r="Z433" i="1" s="1"/>
  <c r="BN444" i="1"/>
  <c r="BP489" i="1"/>
  <c r="R537" i="1"/>
  <c r="BN87" i="1"/>
  <c r="BN128" i="1"/>
  <c r="Y176" i="1"/>
  <c r="Y314" i="1"/>
  <c r="Y409" i="1"/>
  <c r="Z400" i="1"/>
  <c r="Z474" i="1"/>
  <c r="Z490" i="1"/>
  <c r="Z210" i="1"/>
  <c r="Z267" i="1"/>
  <c r="Z284" i="1"/>
  <c r="Z464" i="1"/>
  <c r="Z32" i="1"/>
  <c r="Y135" i="1"/>
  <c r="BP162" i="1"/>
  <c r="Z196" i="1"/>
  <c r="Z213" i="1"/>
  <c r="Z270" i="1"/>
  <c r="Z278" i="1"/>
  <c r="Z279" i="1" s="1"/>
  <c r="Z287" i="1"/>
  <c r="Y290" i="1"/>
  <c r="Y315" i="1"/>
  <c r="Z393" i="1"/>
  <c r="Z395" i="1" s="1"/>
  <c r="Z403" i="1"/>
  <c r="Z411" i="1"/>
  <c r="Z414" i="1" s="1"/>
  <c r="Y414" i="1"/>
  <c r="BP432" i="1"/>
  <c r="Z459" i="1"/>
  <c r="Z460" i="1" s="1"/>
  <c r="BN471" i="1"/>
  <c r="Z477" i="1"/>
  <c r="Y480" i="1"/>
  <c r="Z485" i="1"/>
  <c r="Z486" i="1" s="1"/>
  <c r="Z493" i="1"/>
  <c r="BN505" i="1"/>
  <c r="Z524" i="1"/>
  <c r="Z525" i="1" s="1"/>
  <c r="V537" i="1"/>
  <c r="BN29" i="1"/>
  <c r="Y528" i="1" s="1"/>
  <c r="Y530" i="1" s="1"/>
  <c r="Y67" i="1"/>
  <c r="Y527" i="1" s="1"/>
  <c r="Y129" i="1"/>
  <c r="Y146" i="1"/>
  <c r="BN210" i="1"/>
  <c r="Y244" i="1"/>
  <c r="Y260" i="1"/>
  <c r="BN267" i="1"/>
  <c r="BN284" i="1"/>
  <c r="Y382" i="1"/>
  <c r="BN400" i="1"/>
  <c r="BP427" i="1"/>
  <c r="BN464" i="1"/>
  <c r="BN474" i="1"/>
  <c r="BN490" i="1"/>
  <c r="Z29" i="1"/>
  <c r="BN196" i="1"/>
  <c r="BN213" i="1"/>
  <c r="Y222" i="1"/>
  <c r="BN270" i="1"/>
  <c r="Y335" i="1"/>
  <c r="Y369" i="1"/>
  <c r="BN393" i="1"/>
  <c r="BN403" i="1"/>
  <c r="BN459" i="1"/>
  <c r="BN477" i="1"/>
  <c r="BN485" i="1"/>
  <c r="BN493" i="1"/>
  <c r="BN524" i="1"/>
  <c r="C537" i="1"/>
  <c r="Z82" i="1"/>
  <c r="Z108" i="1"/>
  <c r="Z116" i="1"/>
  <c r="Z124" i="1"/>
  <c r="Z171" i="1"/>
  <c r="Z179" i="1"/>
  <c r="Z182" i="1" s="1"/>
  <c r="Y182" i="1"/>
  <c r="Z251" i="1"/>
  <c r="Z259" i="1" s="1"/>
  <c r="Z309" i="1"/>
  <c r="Z314" i="1" s="1"/>
  <c r="Z318" i="1"/>
  <c r="Z321" i="1" s="1"/>
  <c r="Y321" i="1"/>
  <c r="Z327" i="1"/>
  <c r="Z361" i="1"/>
  <c r="Y415" i="1"/>
  <c r="BP474" i="1"/>
  <c r="BP490" i="1"/>
  <c r="BN518" i="1"/>
  <c r="Y537" i="1"/>
  <c r="Y55" i="1"/>
  <c r="BN32" i="1"/>
  <c r="Y92" i="1"/>
  <c r="Z208" i="1"/>
  <c r="Y525" i="1"/>
  <c r="Z222" i="1" l="1"/>
  <c r="Z187" i="1"/>
  <c r="Z233" i="1"/>
  <c r="Z83" i="1"/>
  <c r="Z532" i="1" s="1"/>
  <c r="Z450" i="1"/>
  <c r="Z388" i="1"/>
  <c r="Z135" i="1"/>
  <c r="Z330" i="1"/>
  <c r="Z200" i="1"/>
  <c r="Z91" i="1"/>
  <c r="Z496" i="1"/>
  <c r="Z408" i="1"/>
  <c r="Z176" i="1"/>
  <c r="Z352" i="1"/>
  <c r="Z118" i="1"/>
</calcChain>
</file>

<file path=xl/sharedStrings.xml><?xml version="1.0" encoding="utf-8"?>
<sst xmlns="http://schemas.openxmlformats.org/spreadsheetml/2006/main" count="2341" uniqueCount="843">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</sst>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3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zoomScaleNormal="100" zoomScaleSheetLayoutView="100" workbookViewId="0">
      <selection activeCell="U27" sqref="U27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8" t="s">
        <v>0</v>
      </c>
      <c r="E1" s="625"/>
      <c r="F1" s="625"/>
      <c r="G1" s="14" t="s">
        <v>1</v>
      </c>
      <c r="H1" s="678" t="s">
        <v>2</v>
      </c>
      <c r="I1" s="625"/>
      <c r="J1" s="625"/>
      <c r="K1" s="625"/>
      <c r="L1" s="625"/>
      <c r="M1" s="625"/>
      <c r="N1" s="625"/>
      <c r="O1" s="625"/>
      <c r="P1" s="625"/>
      <c r="Q1" s="625"/>
      <c r="R1" s="624" t="s">
        <v>3</v>
      </c>
      <c r="S1" s="625"/>
      <c r="T1" s="62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9"/>
      <c r="Q3" s="609"/>
      <c r="R3" s="609"/>
      <c r="S3" s="609"/>
      <c r="T3" s="609"/>
      <c r="U3" s="609"/>
      <c r="V3" s="609"/>
      <c r="W3" s="60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29" t="s">
        <v>8</v>
      </c>
      <c r="B5" s="655"/>
      <c r="C5" s="656"/>
      <c r="D5" s="685"/>
      <c r="E5" s="686"/>
      <c r="F5" s="900" t="s">
        <v>9</v>
      </c>
      <c r="G5" s="656"/>
      <c r="H5" s="685"/>
      <c r="I5" s="842"/>
      <c r="J5" s="842"/>
      <c r="K5" s="842"/>
      <c r="L5" s="842"/>
      <c r="M5" s="686"/>
      <c r="N5" s="69"/>
      <c r="P5" s="26" t="s">
        <v>10</v>
      </c>
      <c r="Q5" s="913">
        <v>46205</v>
      </c>
      <c r="R5" s="728"/>
      <c r="T5" s="775" t="s">
        <v>11</v>
      </c>
      <c r="U5" s="776"/>
      <c r="V5" s="779" t="s">
        <v>12</v>
      </c>
      <c r="W5" s="728"/>
      <c r="AB5" s="57"/>
      <c r="AC5" s="57"/>
      <c r="AD5" s="57"/>
      <c r="AE5" s="57"/>
    </row>
    <row r="6" spans="1:32" s="17" customFormat="1" ht="24" customHeight="1" x14ac:dyDescent="0.2">
      <c r="A6" s="729" t="s">
        <v>13</v>
      </c>
      <c r="B6" s="655"/>
      <c r="C6" s="656"/>
      <c r="D6" s="844" t="s">
        <v>14</v>
      </c>
      <c r="E6" s="845"/>
      <c r="F6" s="845"/>
      <c r="G6" s="845"/>
      <c r="H6" s="845"/>
      <c r="I6" s="845"/>
      <c r="J6" s="845"/>
      <c r="K6" s="845"/>
      <c r="L6" s="845"/>
      <c r="M6" s="728"/>
      <c r="N6" s="70"/>
      <c r="P6" s="26" t="s">
        <v>15</v>
      </c>
      <c r="Q6" s="923" t="str">
        <f>IF(Q5=0," ",CHOOSE(WEEKDAY(Q5,2),"Понедельник","Вторник","Среда","Четверг","Пятница","Суббота","Воскресенье"))</f>
        <v>Четверг</v>
      </c>
      <c r="R6" s="598"/>
      <c r="T6" s="785" t="s">
        <v>16</v>
      </c>
      <c r="U6" s="776"/>
      <c r="V6" s="832" t="s">
        <v>17</v>
      </c>
      <c r="W6" s="64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7" t="str">
        <f>IFERROR(VLOOKUP(DeliveryAddress,Table,3,0),1)</f>
        <v>3</v>
      </c>
      <c r="E7" s="658"/>
      <c r="F7" s="658"/>
      <c r="G7" s="658"/>
      <c r="H7" s="658"/>
      <c r="I7" s="658"/>
      <c r="J7" s="658"/>
      <c r="K7" s="658"/>
      <c r="L7" s="658"/>
      <c r="M7" s="659"/>
      <c r="N7" s="71"/>
      <c r="P7" s="26"/>
      <c r="Q7" s="46"/>
      <c r="R7" s="46"/>
      <c r="T7" s="609"/>
      <c r="U7" s="776"/>
      <c r="V7" s="833"/>
      <c r="W7" s="834"/>
      <c r="AB7" s="57"/>
      <c r="AC7" s="57"/>
      <c r="AD7" s="57"/>
      <c r="AE7" s="57"/>
    </row>
    <row r="8" spans="1:32" s="17" customFormat="1" ht="25.5" customHeight="1" x14ac:dyDescent="0.2">
      <c r="A8" s="910" t="s">
        <v>18</v>
      </c>
      <c r="B8" s="606"/>
      <c r="C8" s="607"/>
      <c r="D8" s="668"/>
      <c r="E8" s="669"/>
      <c r="F8" s="669"/>
      <c r="G8" s="669"/>
      <c r="H8" s="669"/>
      <c r="I8" s="669"/>
      <c r="J8" s="669"/>
      <c r="K8" s="669"/>
      <c r="L8" s="669"/>
      <c r="M8" s="670"/>
      <c r="N8" s="72"/>
      <c r="P8" s="26" t="s">
        <v>19</v>
      </c>
      <c r="Q8" s="735">
        <v>0.41666666666666669</v>
      </c>
      <c r="R8" s="659"/>
      <c r="T8" s="609"/>
      <c r="U8" s="776"/>
      <c r="V8" s="833"/>
      <c r="W8" s="834"/>
      <c r="AB8" s="57"/>
      <c r="AC8" s="57"/>
      <c r="AD8" s="57"/>
      <c r="AE8" s="57"/>
    </row>
    <row r="9" spans="1:32" s="17" customFormat="1" ht="39.950000000000003" customHeight="1" x14ac:dyDescent="0.2">
      <c r="A9" s="74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744"/>
      <c r="E9" s="613"/>
      <c r="F9" s="74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612" t="str">
        <f>IF(AND($A$9="Тип доверенности/получателя при получении в адресе перегруза:",$D$9="Разовая доверенность"),"Введите ФИО","")</f>
        <v/>
      </c>
      <c r="I9" s="613"/>
      <c r="J9" s="6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3"/>
      <c r="L9" s="613"/>
      <c r="M9" s="613"/>
      <c r="N9" s="67"/>
      <c r="P9" s="29" t="s">
        <v>20</v>
      </c>
      <c r="Q9" s="724"/>
      <c r="R9" s="725"/>
      <c r="T9" s="609"/>
      <c r="U9" s="776"/>
      <c r="V9" s="835"/>
      <c r="W9" s="83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4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744"/>
      <c r="E10" s="613"/>
      <c r="F10" s="74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824" t="str">
        <f>IFERROR(VLOOKUP($D$10,Proxy,2,FALSE),"")</f>
        <v/>
      </c>
      <c r="I10" s="609"/>
      <c r="J10" s="609"/>
      <c r="K10" s="609"/>
      <c r="L10" s="609"/>
      <c r="M10" s="609"/>
      <c r="N10" s="68"/>
      <c r="P10" s="29" t="s">
        <v>21</v>
      </c>
      <c r="Q10" s="786"/>
      <c r="R10" s="787"/>
      <c r="U10" s="26" t="s">
        <v>22</v>
      </c>
      <c r="V10" s="643" t="s">
        <v>23</v>
      </c>
      <c r="W10" s="64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25</v>
      </c>
      <c r="Q11" s="727"/>
      <c r="R11" s="728"/>
      <c r="U11" s="26" t="s">
        <v>26</v>
      </c>
      <c r="V11" s="863" t="s">
        <v>27</v>
      </c>
      <c r="W11" s="7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71" t="s">
        <v>28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73"/>
      <c r="P12" s="26" t="s">
        <v>29</v>
      </c>
      <c r="Q12" s="735"/>
      <c r="R12" s="659"/>
      <c r="S12" s="27"/>
      <c r="U12" s="26"/>
      <c r="V12" s="625"/>
      <c r="W12" s="609"/>
      <c r="AB12" s="57"/>
      <c r="AC12" s="57"/>
      <c r="AD12" s="57"/>
      <c r="AE12" s="57"/>
    </row>
    <row r="13" spans="1:32" s="17" customFormat="1" ht="23.25" customHeight="1" x14ac:dyDescent="0.2">
      <c r="A13" s="771" t="s">
        <v>30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73"/>
      <c r="O13" s="29"/>
      <c r="P13" s="29" t="s">
        <v>31</v>
      </c>
      <c r="Q13" s="863"/>
      <c r="R13" s="725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71" t="s">
        <v>32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02" t="s">
        <v>33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74"/>
      <c r="P15" s="756" t="s">
        <v>34</v>
      </c>
      <c r="Q15" s="625"/>
      <c r="R15" s="625"/>
      <c r="S15" s="625"/>
      <c r="T15" s="62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7"/>
      <c r="Q16" s="757"/>
      <c r="R16" s="757"/>
      <c r="S16" s="757"/>
      <c r="T16" s="7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7" t="s">
        <v>35</v>
      </c>
      <c r="B17" s="637" t="s">
        <v>36</v>
      </c>
      <c r="C17" s="742" t="s">
        <v>37</v>
      </c>
      <c r="D17" s="637" t="s">
        <v>38</v>
      </c>
      <c r="E17" s="710"/>
      <c r="F17" s="637" t="s">
        <v>39</v>
      </c>
      <c r="G17" s="637" t="s">
        <v>40</v>
      </c>
      <c r="H17" s="637" t="s">
        <v>41</v>
      </c>
      <c r="I17" s="637" t="s">
        <v>42</v>
      </c>
      <c r="J17" s="637" t="s">
        <v>43</v>
      </c>
      <c r="K17" s="637" t="s">
        <v>44</v>
      </c>
      <c r="L17" s="637" t="s">
        <v>45</v>
      </c>
      <c r="M17" s="637" t="s">
        <v>46</v>
      </c>
      <c r="N17" s="637" t="s">
        <v>47</v>
      </c>
      <c r="O17" s="637" t="s">
        <v>48</v>
      </c>
      <c r="P17" s="637" t="s">
        <v>49</v>
      </c>
      <c r="Q17" s="709"/>
      <c r="R17" s="709"/>
      <c r="S17" s="709"/>
      <c r="T17" s="710"/>
      <c r="U17" s="933" t="s">
        <v>50</v>
      </c>
      <c r="V17" s="656"/>
      <c r="W17" s="637" t="s">
        <v>51</v>
      </c>
      <c r="X17" s="637" t="s">
        <v>52</v>
      </c>
      <c r="Y17" s="931" t="s">
        <v>53</v>
      </c>
      <c r="Z17" s="840" t="s">
        <v>54</v>
      </c>
      <c r="AA17" s="821" t="s">
        <v>55</v>
      </c>
      <c r="AB17" s="821" t="s">
        <v>56</v>
      </c>
      <c r="AC17" s="821" t="s">
        <v>57</v>
      </c>
      <c r="AD17" s="821" t="s">
        <v>58</v>
      </c>
      <c r="AE17" s="894"/>
      <c r="AF17" s="895"/>
      <c r="AG17" s="77"/>
      <c r="BD17" s="76" t="s">
        <v>59</v>
      </c>
    </row>
    <row r="18" spans="1:68" ht="14.25" customHeight="1" x14ac:dyDescent="0.2">
      <c r="A18" s="638"/>
      <c r="B18" s="638"/>
      <c r="C18" s="638"/>
      <c r="D18" s="711"/>
      <c r="E18" s="713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711"/>
      <c r="Q18" s="712"/>
      <c r="R18" s="712"/>
      <c r="S18" s="712"/>
      <c r="T18" s="713"/>
      <c r="U18" s="78" t="s">
        <v>60</v>
      </c>
      <c r="V18" s="78" t="s">
        <v>61</v>
      </c>
      <c r="W18" s="638"/>
      <c r="X18" s="638"/>
      <c r="Y18" s="932"/>
      <c r="Z18" s="841"/>
      <c r="AA18" s="822"/>
      <c r="AB18" s="822"/>
      <c r="AC18" s="822"/>
      <c r="AD18" s="896"/>
      <c r="AE18" s="897"/>
      <c r="AF18" s="898"/>
      <c r="AG18" s="77"/>
      <c r="BD18" s="76"/>
    </row>
    <row r="19" spans="1:68" ht="27.75" customHeight="1" x14ac:dyDescent="0.2">
      <c r="A19" s="610" t="s">
        <v>62</v>
      </c>
      <c r="B19" s="611"/>
      <c r="C19" s="611"/>
      <c r="D19" s="611"/>
      <c r="E19" s="611"/>
      <c r="F19" s="611"/>
      <c r="G19" s="611"/>
      <c r="H19" s="611"/>
      <c r="I19" s="611"/>
      <c r="J19" s="611"/>
      <c r="K19" s="611"/>
      <c r="L19" s="611"/>
      <c r="M19" s="611"/>
      <c r="N19" s="611"/>
      <c r="O19" s="611"/>
      <c r="P19" s="611"/>
      <c r="Q19" s="611"/>
      <c r="R19" s="611"/>
      <c r="S19" s="611"/>
      <c r="T19" s="611"/>
      <c r="U19" s="611"/>
      <c r="V19" s="611"/>
      <c r="W19" s="611"/>
      <c r="X19" s="611"/>
      <c r="Y19" s="611"/>
      <c r="Z19" s="611"/>
      <c r="AA19" s="52"/>
      <c r="AB19" s="52"/>
      <c r="AC19" s="52"/>
    </row>
    <row r="20" spans="1:68" ht="16.5" customHeight="1" x14ac:dyDescent="0.25">
      <c r="A20" s="614" t="s">
        <v>62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62"/>
      <c r="AB20" s="62"/>
      <c r="AC20" s="62"/>
    </row>
    <row r="21" spans="1:68" ht="14.25" customHeight="1" x14ac:dyDescent="0.25">
      <c r="A21" s="608" t="s">
        <v>63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63"/>
      <c r="AB21" s="63"/>
      <c r="AC21" s="63"/>
    </row>
    <row r="22" spans="1:68" ht="27" customHeight="1" x14ac:dyDescent="0.25">
      <c r="A22" s="60" t="s">
        <v>64</v>
      </c>
      <c r="B22" s="60" t="s">
        <v>65</v>
      </c>
      <c r="C22" s="34">
        <v>4301031278</v>
      </c>
      <c r="D22" s="597">
        <v>4680115886643</v>
      </c>
      <c r="E22" s="59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66</v>
      </c>
      <c r="L22" s="35"/>
      <c r="M22" s="36" t="s">
        <v>67</v>
      </c>
      <c r="N22" s="36"/>
      <c r="O22" s="35">
        <v>40</v>
      </c>
      <c r="P22" s="8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0"/>
      <c r="R22" s="600"/>
      <c r="S22" s="600"/>
      <c r="T22" s="601"/>
      <c r="U22" s="37"/>
      <c r="V22" s="37"/>
      <c r="W22" s="38" t="s">
        <v>68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69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70</v>
      </c>
      <c r="B23" s="60" t="s">
        <v>71</v>
      </c>
      <c r="C23" s="34">
        <v>4301031508</v>
      </c>
      <c r="D23" s="597">
        <v>4680115889071</v>
      </c>
      <c r="E23" s="59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66</v>
      </c>
      <c r="L23" s="35"/>
      <c r="M23" s="36" t="s">
        <v>67</v>
      </c>
      <c r="N23" s="36"/>
      <c r="O23" s="35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0"/>
      <c r="R23" s="600"/>
      <c r="S23" s="600"/>
      <c r="T23" s="601"/>
      <c r="U23" s="37"/>
      <c r="V23" s="37"/>
      <c r="W23" s="38" t="s">
        <v>68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72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1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22"/>
      <c r="P24" s="605" t="s">
        <v>73</v>
      </c>
      <c r="Q24" s="606"/>
      <c r="R24" s="606"/>
      <c r="S24" s="606"/>
      <c r="T24" s="606"/>
      <c r="U24" s="606"/>
      <c r="V24" s="607"/>
      <c r="W24" s="40" t="s">
        <v>74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22"/>
      <c r="P25" s="605" t="s">
        <v>73</v>
      </c>
      <c r="Q25" s="606"/>
      <c r="R25" s="606"/>
      <c r="S25" s="606"/>
      <c r="T25" s="606"/>
      <c r="U25" s="606"/>
      <c r="V25" s="607"/>
      <c r="W25" s="40" t="s">
        <v>68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8" t="s">
        <v>75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63"/>
      <c r="AB26" s="63"/>
      <c r="AC26" s="63"/>
    </row>
    <row r="27" spans="1:68" ht="27" customHeight="1" x14ac:dyDescent="0.25">
      <c r="A27" s="60" t="s">
        <v>76</v>
      </c>
      <c r="B27" s="60" t="s">
        <v>77</v>
      </c>
      <c r="C27" s="34">
        <v>4301051866</v>
      </c>
      <c r="D27" s="597">
        <v>4680115885912</v>
      </c>
      <c r="E27" s="59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78</v>
      </c>
      <c r="L27" s="35"/>
      <c r="M27" s="36" t="s">
        <v>79</v>
      </c>
      <c r="N27" s="36"/>
      <c r="O27" s="35">
        <v>40</v>
      </c>
      <c r="P27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0"/>
      <c r="R27" s="600"/>
      <c r="S27" s="600"/>
      <c r="T27" s="601"/>
      <c r="U27" s="37"/>
      <c r="V27" s="37"/>
      <c r="W27" s="38" t="s">
        <v>68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80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81</v>
      </c>
      <c r="B28" s="60" t="s">
        <v>82</v>
      </c>
      <c r="C28" s="34">
        <v>4301051776</v>
      </c>
      <c r="D28" s="597">
        <v>4607091388237</v>
      </c>
      <c r="E28" s="59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78</v>
      </c>
      <c r="L28" s="35"/>
      <c r="M28" s="36" t="s">
        <v>79</v>
      </c>
      <c r="N28" s="36"/>
      <c r="O28" s="35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0"/>
      <c r="R28" s="600"/>
      <c r="S28" s="600"/>
      <c r="T28" s="601"/>
      <c r="U28" s="37"/>
      <c r="V28" s="37"/>
      <c r="W28" s="38" t="s">
        <v>68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80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83</v>
      </c>
      <c r="B29" s="60" t="s">
        <v>84</v>
      </c>
      <c r="C29" s="34">
        <v>4301052063</v>
      </c>
      <c r="D29" s="597">
        <v>4680115887350</v>
      </c>
      <c r="E29" s="59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78</v>
      </c>
      <c r="L29" s="35"/>
      <c r="M29" s="36" t="s">
        <v>85</v>
      </c>
      <c r="N29" s="36"/>
      <c r="O29" s="35">
        <v>40</v>
      </c>
      <c r="P29" s="6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0"/>
      <c r="R29" s="600"/>
      <c r="S29" s="600"/>
      <c r="T29" s="601"/>
      <c r="U29" s="37"/>
      <c r="V29" s="37"/>
      <c r="W29" s="38" t="s">
        <v>68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86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87</v>
      </c>
      <c r="B30" s="60" t="s">
        <v>88</v>
      </c>
      <c r="C30" s="34">
        <v>4301051863</v>
      </c>
      <c r="D30" s="597">
        <v>4680115885905</v>
      </c>
      <c r="E30" s="59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78</v>
      </c>
      <c r="L30" s="35"/>
      <c r="M30" s="36" t="s">
        <v>85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0"/>
      <c r="R30" s="600"/>
      <c r="S30" s="600"/>
      <c r="T30" s="601"/>
      <c r="U30" s="37"/>
      <c r="V30" s="37"/>
      <c r="W30" s="38" t="s">
        <v>68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89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90</v>
      </c>
      <c r="B31" s="60" t="s">
        <v>91</v>
      </c>
      <c r="C31" s="34">
        <v>4301052078</v>
      </c>
      <c r="D31" s="597">
        <v>4680115887657</v>
      </c>
      <c r="E31" s="59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78</v>
      </c>
      <c r="L31" s="35"/>
      <c r="M31" s="36" t="s">
        <v>85</v>
      </c>
      <c r="N31" s="36"/>
      <c r="O31" s="35">
        <v>40</v>
      </c>
      <c r="P31" s="67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0"/>
      <c r="R31" s="600"/>
      <c r="S31" s="600"/>
      <c r="T31" s="601"/>
      <c r="U31" s="37"/>
      <c r="V31" s="37"/>
      <c r="W31" s="38" t="s">
        <v>68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92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93</v>
      </c>
      <c r="B32" s="60" t="s">
        <v>94</v>
      </c>
      <c r="C32" s="34">
        <v>4301052071</v>
      </c>
      <c r="D32" s="597">
        <v>4680115887619</v>
      </c>
      <c r="E32" s="59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78</v>
      </c>
      <c r="L32" s="35"/>
      <c r="M32" s="36" t="s">
        <v>79</v>
      </c>
      <c r="N32" s="36"/>
      <c r="O32" s="35">
        <v>40</v>
      </c>
      <c r="P32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0"/>
      <c r="R32" s="600"/>
      <c r="S32" s="600"/>
      <c r="T32" s="601"/>
      <c r="U32" s="37"/>
      <c r="V32" s="37"/>
      <c r="W32" s="38" t="s">
        <v>68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95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1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22"/>
      <c r="P33" s="605" t="s">
        <v>73</v>
      </c>
      <c r="Q33" s="606"/>
      <c r="R33" s="606"/>
      <c r="S33" s="606"/>
      <c r="T33" s="606"/>
      <c r="U33" s="606"/>
      <c r="V33" s="607"/>
      <c r="W33" s="40" t="s">
        <v>74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22"/>
      <c r="P34" s="605" t="s">
        <v>73</v>
      </c>
      <c r="Q34" s="606"/>
      <c r="R34" s="606"/>
      <c r="S34" s="606"/>
      <c r="T34" s="606"/>
      <c r="U34" s="606"/>
      <c r="V34" s="607"/>
      <c r="W34" s="40" t="s">
        <v>68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8" t="s">
        <v>96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63"/>
      <c r="AB35" s="63"/>
      <c r="AC35" s="63"/>
    </row>
    <row r="36" spans="1:68" ht="27" customHeight="1" x14ac:dyDescent="0.25">
      <c r="A36" s="60" t="s">
        <v>97</v>
      </c>
      <c r="B36" s="60" t="s">
        <v>98</v>
      </c>
      <c r="C36" s="34">
        <v>4301032013</v>
      </c>
      <c r="D36" s="597">
        <v>4607091388503</v>
      </c>
      <c r="E36" s="59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78</v>
      </c>
      <c r="L36" s="35"/>
      <c r="M36" s="36" t="s">
        <v>99</v>
      </c>
      <c r="N36" s="36"/>
      <c r="O36" s="35">
        <v>120</v>
      </c>
      <c r="P36" s="87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0"/>
      <c r="R36" s="600"/>
      <c r="S36" s="600"/>
      <c r="T36" s="601"/>
      <c r="U36" s="37"/>
      <c r="V36" s="37"/>
      <c r="W36" s="38" t="s">
        <v>68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100</v>
      </c>
      <c r="AG36" s="75"/>
      <c r="AJ36" s="79"/>
      <c r="AK36" s="79">
        <v>0</v>
      </c>
      <c r="BB36" s="98" t="s">
        <v>101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1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22"/>
      <c r="P37" s="605" t="s">
        <v>73</v>
      </c>
      <c r="Q37" s="606"/>
      <c r="R37" s="606"/>
      <c r="S37" s="606"/>
      <c r="T37" s="606"/>
      <c r="U37" s="606"/>
      <c r="V37" s="607"/>
      <c r="W37" s="40" t="s">
        <v>74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22"/>
      <c r="P38" s="605" t="s">
        <v>73</v>
      </c>
      <c r="Q38" s="606"/>
      <c r="R38" s="606"/>
      <c r="S38" s="606"/>
      <c r="T38" s="606"/>
      <c r="U38" s="606"/>
      <c r="V38" s="607"/>
      <c r="W38" s="40" t="s">
        <v>68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0" t="s">
        <v>102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11"/>
      <c r="U39" s="611"/>
      <c r="V39" s="611"/>
      <c r="W39" s="611"/>
      <c r="X39" s="611"/>
      <c r="Y39" s="611"/>
      <c r="Z39" s="611"/>
      <c r="AA39" s="52"/>
      <c r="AB39" s="52"/>
      <c r="AC39" s="52"/>
    </row>
    <row r="40" spans="1:68" ht="16.5" customHeight="1" x14ac:dyDescent="0.25">
      <c r="A40" s="614" t="s">
        <v>103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62"/>
      <c r="AB40" s="62"/>
      <c r="AC40" s="62"/>
    </row>
    <row r="41" spans="1:68" ht="14.25" customHeight="1" x14ac:dyDescent="0.25">
      <c r="A41" s="608" t="s">
        <v>75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63"/>
      <c r="AB41" s="63"/>
      <c r="AC41" s="63"/>
    </row>
    <row r="42" spans="1:68" ht="27" customHeight="1" x14ac:dyDescent="0.25">
      <c r="A42" s="60" t="s">
        <v>104</v>
      </c>
      <c r="B42" s="60" t="s">
        <v>105</v>
      </c>
      <c r="C42" s="34">
        <v>4301052198</v>
      </c>
      <c r="D42" s="597">
        <v>4680115888463</v>
      </c>
      <c r="E42" s="59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78</v>
      </c>
      <c r="L42" s="35"/>
      <c r="M42" s="36" t="s">
        <v>79</v>
      </c>
      <c r="N42" s="36"/>
      <c r="O42" s="35">
        <v>40</v>
      </c>
      <c r="P42" s="6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0"/>
      <c r="R42" s="600"/>
      <c r="S42" s="600"/>
      <c r="T42" s="601"/>
      <c r="U42" s="37"/>
      <c r="V42" s="37"/>
      <c r="W42" s="38" t="s">
        <v>68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106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107</v>
      </c>
      <c r="B43" s="60" t="s">
        <v>108</v>
      </c>
      <c r="C43" s="34">
        <v>4301052202</v>
      </c>
      <c r="D43" s="597">
        <v>4680115888494</v>
      </c>
      <c r="E43" s="59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78</v>
      </c>
      <c r="L43" s="35"/>
      <c r="M43" s="36" t="s">
        <v>79</v>
      </c>
      <c r="N43" s="36"/>
      <c r="O43" s="35">
        <v>40</v>
      </c>
      <c r="P43" s="76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0"/>
      <c r="R43" s="600"/>
      <c r="S43" s="600"/>
      <c r="T43" s="601"/>
      <c r="U43" s="37"/>
      <c r="V43" s="37"/>
      <c r="W43" s="38" t="s">
        <v>68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109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110</v>
      </c>
      <c r="B44" s="60" t="s">
        <v>111</v>
      </c>
      <c r="C44" s="34">
        <v>4301052184</v>
      </c>
      <c r="D44" s="597">
        <v>4680115888272</v>
      </c>
      <c r="E44" s="59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78</v>
      </c>
      <c r="L44" s="35"/>
      <c r="M44" s="36" t="s">
        <v>79</v>
      </c>
      <c r="N44" s="36"/>
      <c r="O44" s="35">
        <v>40</v>
      </c>
      <c r="P44" s="67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0"/>
      <c r="R44" s="600"/>
      <c r="S44" s="600"/>
      <c r="T44" s="601"/>
      <c r="U44" s="37"/>
      <c r="V44" s="37"/>
      <c r="W44" s="38" t="s">
        <v>68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112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113</v>
      </c>
      <c r="B45" s="60" t="s">
        <v>114</v>
      </c>
      <c r="C45" s="34">
        <v>4301052188</v>
      </c>
      <c r="D45" s="597">
        <v>4680115888364</v>
      </c>
      <c r="E45" s="59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78</v>
      </c>
      <c r="L45" s="35"/>
      <c r="M45" s="36" t="s">
        <v>79</v>
      </c>
      <c r="N45" s="36"/>
      <c r="O45" s="35">
        <v>40</v>
      </c>
      <c r="P45" s="8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0"/>
      <c r="R45" s="600"/>
      <c r="S45" s="600"/>
      <c r="T45" s="601"/>
      <c r="U45" s="37"/>
      <c r="V45" s="37"/>
      <c r="W45" s="38" t="s">
        <v>68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115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21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22"/>
      <c r="P46" s="605" t="s">
        <v>73</v>
      </c>
      <c r="Q46" s="606"/>
      <c r="R46" s="606"/>
      <c r="S46" s="606"/>
      <c r="T46" s="606"/>
      <c r="U46" s="606"/>
      <c r="V46" s="607"/>
      <c r="W46" s="40" t="s">
        <v>74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22"/>
      <c r="P47" s="605" t="s">
        <v>73</v>
      </c>
      <c r="Q47" s="606"/>
      <c r="R47" s="606"/>
      <c r="S47" s="606"/>
      <c r="T47" s="606"/>
      <c r="U47" s="606"/>
      <c r="V47" s="607"/>
      <c r="W47" s="40" t="s">
        <v>68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10" t="s">
        <v>116</v>
      </c>
      <c r="B48" s="611"/>
      <c r="C48" s="611"/>
      <c r="D48" s="611"/>
      <c r="E48" s="611"/>
      <c r="F48" s="611"/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1"/>
      <c r="R48" s="611"/>
      <c r="S48" s="611"/>
      <c r="T48" s="611"/>
      <c r="U48" s="611"/>
      <c r="V48" s="611"/>
      <c r="W48" s="611"/>
      <c r="X48" s="611"/>
      <c r="Y48" s="611"/>
      <c r="Z48" s="611"/>
      <c r="AA48" s="52"/>
      <c r="AB48" s="52"/>
      <c r="AC48" s="52"/>
    </row>
    <row r="49" spans="1:68" ht="16.5" customHeight="1" x14ac:dyDescent="0.25">
      <c r="A49" s="614" t="s">
        <v>117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62"/>
      <c r="AB49" s="62"/>
      <c r="AC49" s="62"/>
    </row>
    <row r="50" spans="1:68" ht="14.25" customHeight="1" x14ac:dyDescent="0.25">
      <c r="A50" s="608" t="s">
        <v>118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63"/>
      <c r="AB50" s="63"/>
      <c r="AC50" s="63"/>
    </row>
    <row r="51" spans="1:68" ht="16.5" customHeight="1" x14ac:dyDescent="0.25">
      <c r="A51" s="60" t="s">
        <v>119</v>
      </c>
      <c r="B51" s="60" t="s">
        <v>120</v>
      </c>
      <c r="C51" s="34">
        <v>4301011380</v>
      </c>
      <c r="D51" s="597">
        <v>4607091385670</v>
      </c>
      <c r="E51" s="59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121</v>
      </c>
      <c r="L51" s="35"/>
      <c r="M51" s="36" t="s">
        <v>122</v>
      </c>
      <c r="N51" s="36"/>
      <c r="O51" s="35">
        <v>50</v>
      </c>
      <c r="P5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0"/>
      <c r="R51" s="600"/>
      <c r="S51" s="600"/>
      <c r="T51" s="601"/>
      <c r="U51" s="37"/>
      <c r="V51" s="37"/>
      <c r="W51" s="38" t="s">
        <v>68</v>
      </c>
      <c r="X51" s="56">
        <v>30</v>
      </c>
      <c r="Y51" s="53">
        <f>IFERROR(IF(X51="",0,CEILING((X51/$H51),1)*$H51),"")</f>
        <v>32.400000000000006</v>
      </c>
      <c r="Z51" s="39">
        <f>IFERROR(IF(Y51=0,"",ROUNDUP(Y51/H51,0)*0.01898),"")</f>
        <v>5.6940000000000004E-2</v>
      </c>
      <c r="AA51" s="65"/>
      <c r="AB51" s="66"/>
      <c r="AC51" s="107" t="s">
        <v>123</v>
      </c>
      <c r="AG51" s="75"/>
      <c r="AJ51" s="79"/>
      <c r="AK51" s="79">
        <v>0</v>
      </c>
      <c r="BB51" s="108" t="s">
        <v>1</v>
      </c>
      <c r="BM51" s="75">
        <f>IFERROR(X51*I51/H51,"0")</f>
        <v>31.138888888888889</v>
      </c>
      <c r="BN51" s="75">
        <f>IFERROR(Y51*I51/H51,"0")</f>
        <v>33.630000000000003</v>
      </c>
      <c r="BO51" s="75">
        <f>IFERROR(1/J51*(X51/H51),"0")</f>
        <v>4.3402777777777776E-2</v>
      </c>
      <c r="BP51" s="75">
        <f>IFERROR(1/J51*(Y51/H51),"0")</f>
        <v>4.6875000000000007E-2</v>
      </c>
    </row>
    <row r="52" spans="1:68" ht="27" customHeight="1" x14ac:dyDescent="0.25">
      <c r="A52" s="60" t="s">
        <v>124</v>
      </c>
      <c r="B52" s="60" t="s">
        <v>125</v>
      </c>
      <c r="C52" s="34">
        <v>4301012053</v>
      </c>
      <c r="D52" s="597">
        <v>4680115887725</v>
      </c>
      <c r="E52" s="59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126</v>
      </c>
      <c r="L52" s="35"/>
      <c r="M52" s="36" t="s">
        <v>67</v>
      </c>
      <c r="N52" s="36"/>
      <c r="O52" s="35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0"/>
      <c r="R52" s="600"/>
      <c r="S52" s="600"/>
      <c r="T52" s="601"/>
      <c r="U52" s="37"/>
      <c r="V52" s="37"/>
      <c r="W52" s="38" t="s">
        <v>68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127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128</v>
      </c>
      <c r="B53" s="60" t="s">
        <v>129</v>
      </c>
      <c r="C53" s="34">
        <v>4301011382</v>
      </c>
      <c r="D53" s="597">
        <v>4607091385687</v>
      </c>
      <c r="E53" s="59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130</v>
      </c>
      <c r="L53" s="35"/>
      <c r="M53" s="36" t="s">
        <v>79</v>
      </c>
      <c r="N53" s="36"/>
      <c r="O53" s="35">
        <v>50</v>
      </c>
      <c r="P53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0"/>
      <c r="R53" s="600"/>
      <c r="S53" s="600"/>
      <c r="T53" s="601"/>
      <c r="U53" s="37"/>
      <c r="V53" s="37"/>
      <c r="W53" s="38" t="s">
        <v>68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123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131</v>
      </c>
      <c r="B54" s="60" t="s">
        <v>132</v>
      </c>
      <c r="C54" s="34">
        <v>4301011565</v>
      </c>
      <c r="D54" s="597">
        <v>4680115882539</v>
      </c>
      <c r="E54" s="59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130</v>
      </c>
      <c r="L54" s="35"/>
      <c r="M54" s="36" t="s">
        <v>79</v>
      </c>
      <c r="N54" s="36"/>
      <c r="O54" s="35">
        <v>50</v>
      </c>
      <c r="P54" s="88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0"/>
      <c r="R54" s="600"/>
      <c r="S54" s="600"/>
      <c r="T54" s="601"/>
      <c r="U54" s="37"/>
      <c r="V54" s="37"/>
      <c r="W54" s="38" t="s">
        <v>68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123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21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22"/>
      <c r="P55" s="605" t="s">
        <v>73</v>
      </c>
      <c r="Q55" s="606"/>
      <c r="R55" s="606"/>
      <c r="S55" s="606"/>
      <c r="T55" s="606"/>
      <c r="U55" s="606"/>
      <c r="V55" s="607"/>
      <c r="W55" s="40" t="s">
        <v>74</v>
      </c>
      <c r="X55" s="41">
        <f>IFERROR(X51/H51,"0")+IFERROR(X52/H52,"0")+IFERROR(X53/H53,"0")+IFERROR(X54/H54,"0")</f>
        <v>2.7777777777777777</v>
      </c>
      <c r="Y55" s="41">
        <f>IFERROR(Y51/H51,"0")+IFERROR(Y52/H52,"0")+IFERROR(Y53/H53,"0")+IFERROR(Y54/H54,"0")</f>
        <v>3.0000000000000004</v>
      </c>
      <c r="Z55" s="41">
        <f>IFERROR(IF(Z51="",0,Z51),"0")+IFERROR(IF(Z52="",0,Z52),"0")+IFERROR(IF(Z53="",0,Z53),"0")+IFERROR(IF(Z54="",0,Z54),"0")</f>
        <v>5.6940000000000004E-2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22"/>
      <c r="P56" s="605" t="s">
        <v>73</v>
      </c>
      <c r="Q56" s="606"/>
      <c r="R56" s="606"/>
      <c r="S56" s="606"/>
      <c r="T56" s="606"/>
      <c r="U56" s="606"/>
      <c r="V56" s="607"/>
      <c r="W56" s="40" t="s">
        <v>68</v>
      </c>
      <c r="X56" s="41">
        <f>IFERROR(SUM(X51:X54),"0")</f>
        <v>30</v>
      </c>
      <c r="Y56" s="41">
        <f>IFERROR(SUM(Y51:Y54),"0")</f>
        <v>32.400000000000006</v>
      </c>
      <c r="Z56" s="40"/>
      <c r="AA56" s="64"/>
      <c r="AB56" s="64"/>
      <c r="AC56" s="64"/>
    </row>
    <row r="57" spans="1:68" ht="16.5" customHeight="1" x14ac:dyDescent="0.25">
      <c r="A57" s="614" t="s">
        <v>133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62"/>
      <c r="AB57" s="62"/>
      <c r="AC57" s="62"/>
    </row>
    <row r="58" spans="1:68" ht="14.25" customHeight="1" x14ac:dyDescent="0.25">
      <c r="A58" s="608" t="s">
        <v>118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63"/>
      <c r="AB58" s="63"/>
      <c r="AC58" s="63"/>
    </row>
    <row r="59" spans="1:68" ht="27" customHeight="1" x14ac:dyDescent="0.25">
      <c r="A59" s="60" t="s">
        <v>134</v>
      </c>
      <c r="B59" s="60" t="s">
        <v>135</v>
      </c>
      <c r="C59" s="34">
        <v>4301012030</v>
      </c>
      <c r="D59" s="597">
        <v>4680115885882</v>
      </c>
      <c r="E59" s="59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121</v>
      </c>
      <c r="L59" s="35"/>
      <c r="M59" s="36" t="s">
        <v>79</v>
      </c>
      <c r="N59" s="36"/>
      <c r="O59" s="35">
        <v>50</v>
      </c>
      <c r="P59" s="8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0"/>
      <c r="R59" s="600"/>
      <c r="S59" s="600"/>
      <c r="T59" s="601"/>
      <c r="U59" s="37"/>
      <c r="V59" s="37"/>
      <c r="W59" s="38" t="s">
        <v>68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136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134</v>
      </c>
      <c r="B60" s="60" t="s">
        <v>137</v>
      </c>
      <c r="C60" s="34">
        <v>4301012161</v>
      </c>
      <c r="D60" s="597">
        <v>4680115885882</v>
      </c>
      <c r="E60" s="59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121</v>
      </c>
      <c r="L60" s="35"/>
      <c r="M60" s="36" t="s">
        <v>122</v>
      </c>
      <c r="N60" s="36"/>
      <c r="O60" s="35">
        <v>50</v>
      </c>
      <c r="P60" s="9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0"/>
      <c r="R60" s="600"/>
      <c r="S60" s="600"/>
      <c r="T60" s="601"/>
      <c r="U60" s="37"/>
      <c r="V60" s="37"/>
      <c r="W60" s="38" t="s">
        <v>68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138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139</v>
      </c>
      <c r="B61" s="60" t="s">
        <v>140</v>
      </c>
      <c r="C61" s="34">
        <v>4301011816</v>
      </c>
      <c r="D61" s="597">
        <v>4680115881426</v>
      </c>
      <c r="E61" s="59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121</v>
      </c>
      <c r="L61" s="35"/>
      <c r="M61" s="36" t="s">
        <v>122</v>
      </c>
      <c r="N61" s="36"/>
      <c r="O61" s="35">
        <v>50</v>
      </c>
      <c r="P61" s="8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0"/>
      <c r="R61" s="600"/>
      <c r="S61" s="600"/>
      <c r="T61" s="601"/>
      <c r="U61" s="37"/>
      <c r="V61" s="37"/>
      <c r="W61" s="38" t="s">
        <v>68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/>
      <c r="AB61" s="66"/>
      <c r="AC61" s="119" t="s">
        <v>141</v>
      </c>
      <c r="AG61" s="75"/>
      <c r="AJ61" s="79"/>
      <c r="AK61" s="79">
        <v>0</v>
      </c>
      <c r="BB61" s="120" t="s">
        <v>1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142</v>
      </c>
      <c r="B62" s="60" t="s">
        <v>143</v>
      </c>
      <c r="C62" s="34">
        <v>4301011386</v>
      </c>
      <c r="D62" s="597">
        <v>4680115880283</v>
      </c>
      <c r="E62" s="59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130</v>
      </c>
      <c r="L62" s="35"/>
      <c r="M62" s="36" t="s">
        <v>122</v>
      </c>
      <c r="N62" s="36"/>
      <c r="O62" s="35">
        <v>45</v>
      </c>
      <c r="P62" s="8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0"/>
      <c r="R62" s="600"/>
      <c r="S62" s="600"/>
      <c r="T62" s="601"/>
      <c r="U62" s="37"/>
      <c r="V62" s="37"/>
      <c r="W62" s="38" t="s">
        <v>68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144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145</v>
      </c>
      <c r="B63" s="60" t="s">
        <v>146</v>
      </c>
      <c r="C63" s="34">
        <v>4301011806</v>
      </c>
      <c r="D63" s="597">
        <v>4680115881525</v>
      </c>
      <c r="E63" s="59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130</v>
      </c>
      <c r="L63" s="35"/>
      <c r="M63" s="36" t="s">
        <v>122</v>
      </c>
      <c r="N63" s="36"/>
      <c r="O63" s="35">
        <v>50</v>
      </c>
      <c r="P63" s="7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0"/>
      <c r="R63" s="600"/>
      <c r="S63" s="600"/>
      <c r="T63" s="601"/>
      <c r="U63" s="37"/>
      <c r="V63" s="37"/>
      <c r="W63" s="38" t="s">
        <v>68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147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148</v>
      </c>
      <c r="B64" s="60" t="s">
        <v>149</v>
      </c>
      <c r="C64" s="34">
        <v>4301012165</v>
      </c>
      <c r="D64" s="597">
        <v>4680115885899</v>
      </c>
      <c r="E64" s="59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78</v>
      </c>
      <c r="L64" s="35"/>
      <c r="M64" s="36" t="s">
        <v>122</v>
      </c>
      <c r="N64" s="36"/>
      <c r="O64" s="35">
        <v>50</v>
      </c>
      <c r="P64" s="89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0"/>
      <c r="R64" s="600"/>
      <c r="S64" s="600"/>
      <c r="T64" s="601"/>
      <c r="U64" s="37"/>
      <c r="V64" s="37"/>
      <c r="W64" s="38" t="s">
        <v>68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138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150</v>
      </c>
      <c r="B65" s="60" t="s">
        <v>151</v>
      </c>
      <c r="C65" s="34">
        <v>4301011801</v>
      </c>
      <c r="D65" s="597">
        <v>4680115881419</v>
      </c>
      <c r="E65" s="59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130</v>
      </c>
      <c r="L65" s="35"/>
      <c r="M65" s="36" t="s">
        <v>122</v>
      </c>
      <c r="N65" s="36"/>
      <c r="O65" s="35">
        <v>50</v>
      </c>
      <c r="P65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0"/>
      <c r="R65" s="600"/>
      <c r="S65" s="600"/>
      <c r="T65" s="601"/>
      <c r="U65" s="37"/>
      <c r="V65" s="37"/>
      <c r="W65" s="38" t="s">
        <v>68</v>
      </c>
      <c r="X65" s="56">
        <v>45</v>
      </c>
      <c r="Y65" s="53">
        <f t="shared" si="6"/>
        <v>45</v>
      </c>
      <c r="Z65" s="39">
        <f>IFERROR(IF(Y65=0,"",ROUNDUP(Y65/H65,0)*0.00902),"")</f>
        <v>9.0200000000000002E-2</v>
      </c>
      <c r="AA65" s="65"/>
      <c r="AB65" s="66"/>
      <c r="AC65" s="127" t="s">
        <v>152</v>
      </c>
      <c r="AG65" s="75"/>
      <c r="AJ65" s="79"/>
      <c r="AK65" s="79">
        <v>0</v>
      </c>
      <c r="BB65" s="128" t="s">
        <v>1</v>
      </c>
      <c r="BM65" s="75">
        <f t="shared" si="7"/>
        <v>46.900000000000006</v>
      </c>
      <c r="BN65" s="75">
        <f t="shared" si="8"/>
        <v>46.900000000000006</v>
      </c>
      <c r="BO65" s="75">
        <f t="shared" si="9"/>
        <v>7.575757575757576E-2</v>
      </c>
      <c r="BP65" s="75">
        <f t="shared" si="10"/>
        <v>7.575757575757576E-2</v>
      </c>
    </row>
    <row r="66" spans="1:68" x14ac:dyDescent="0.2">
      <c r="A66" s="621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22"/>
      <c r="P66" s="605" t="s">
        <v>73</v>
      </c>
      <c r="Q66" s="606"/>
      <c r="R66" s="606"/>
      <c r="S66" s="606"/>
      <c r="T66" s="606"/>
      <c r="U66" s="606"/>
      <c r="V66" s="607"/>
      <c r="W66" s="40" t="s">
        <v>74</v>
      </c>
      <c r="X66" s="41">
        <f>IFERROR(X59/H59,"0")+IFERROR(X60/H60,"0")+IFERROR(X61/H61,"0")+IFERROR(X62/H62,"0")+IFERROR(X63/H63,"0")+IFERROR(X64/H64,"0")+IFERROR(X65/H65,"0")</f>
        <v>10</v>
      </c>
      <c r="Y66" s="41">
        <f>IFERROR(Y59/H59,"0")+IFERROR(Y60/H60,"0")+IFERROR(Y61/H61,"0")+IFERROR(Y62/H62,"0")+IFERROR(Y63/H63,"0")+IFERROR(Y64/H64,"0")+IFERROR(Y65/H65,"0")</f>
        <v>10</v>
      </c>
      <c r="Z66" s="41">
        <f>IFERROR(IF(Z59="",0,Z59),"0")+IFERROR(IF(Z60="",0,Z60),"0")+IFERROR(IF(Z61="",0,Z61),"0")+IFERROR(IF(Z62="",0,Z62),"0")+IFERROR(IF(Z63="",0,Z63),"0")+IFERROR(IF(Z64="",0,Z64),"0")+IFERROR(IF(Z65="",0,Z65),"0")</f>
        <v>9.0200000000000002E-2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22"/>
      <c r="P67" s="605" t="s">
        <v>73</v>
      </c>
      <c r="Q67" s="606"/>
      <c r="R67" s="606"/>
      <c r="S67" s="606"/>
      <c r="T67" s="606"/>
      <c r="U67" s="606"/>
      <c r="V67" s="607"/>
      <c r="W67" s="40" t="s">
        <v>68</v>
      </c>
      <c r="X67" s="41">
        <f>IFERROR(SUM(X59:X65),"0")</f>
        <v>45</v>
      </c>
      <c r="Y67" s="41">
        <f>IFERROR(SUM(Y59:Y65),"0")</f>
        <v>45</v>
      </c>
      <c r="Z67" s="40"/>
      <c r="AA67" s="64"/>
      <c r="AB67" s="64"/>
      <c r="AC67" s="64"/>
    </row>
    <row r="68" spans="1:68" ht="14.25" customHeight="1" x14ac:dyDescent="0.25">
      <c r="A68" s="608" t="s">
        <v>153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63"/>
      <c r="AB68" s="63"/>
      <c r="AC68" s="63"/>
    </row>
    <row r="69" spans="1:68" ht="16.5" customHeight="1" x14ac:dyDescent="0.25">
      <c r="A69" s="60" t="s">
        <v>154</v>
      </c>
      <c r="B69" s="60" t="s">
        <v>155</v>
      </c>
      <c r="C69" s="34">
        <v>4301020298</v>
      </c>
      <c r="D69" s="597">
        <v>4680115881440</v>
      </c>
      <c r="E69" s="59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121</v>
      </c>
      <c r="L69" s="35"/>
      <c r="M69" s="36" t="s">
        <v>122</v>
      </c>
      <c r="N69" s="36"/>
      <c r="O69" s="35">
        <v>50</v>
      </c>
      <c r="P69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0"/>
      <c r="R69" s="600"/>
      <c r="S69" s="600"/>
      <c r="T69" s="601"/>
      <c r="U69" s="37"/>
      <c r="V69" s="37"/>
      <c r="W69" s="38" t="s">
        <v>68</v>
      </c>
      <c r="X69" s="56">
        <v>50</v>
      </c>
      <c r="Y69" s="53">
        <f>IFERROR(IF(X69="",0,CEILING((X69/$H69),1)*$H69),"")</f>
        <v>54</v>
      </c>
      <c r="Z69" s="39">
        <f>IFERROR(IF(Y69=0,"",ROUNDUP(Y69/H69,0)*0.01898),"")</f>
        <v>9.4899999999999998E-2</v>
      </c>
      <c r="AA69" s="65"/>
      <c r="AB69" s="66"/>
      <c r="AC69" s="129" t="s">
        <v>156</v>
      </c>
      <c r="AG69" s="75"/>
      <c r="AJ69" s="79"/>
      <c r="AK69" s="79">
        <v>0</v>
      </c>
      <c r="BB69" s="130" t="s">
        <v>1</v>
      </c>
      <c r="BM69" s="75">
        <f>IFERROR(X69*I69/H69,"0")</f>
        <v>51.898148148148145</v>
      </c>
      <c r="BN69" s="75">
        <f>IFERROR(Y69*I69/H69,"0")</f>
        <v>56.05</v>
      </c>
      <c r="BO69" s="75">
        <f>IFERROR(1/J69*(X69/H69),"0")</f>
        <v>7.2337962962962965E-2</v>
      </c>
      <c r="BP69" s="75">
        <f>IFERROR(1/J69*(Y69/H69),"0")</f>
        <v>7.8125E-2</v>
      </c>
    </row>
    <row r="70" spans="1:68" ht="16.5" customHeight="1" x14ac:dyDescent="0.25">
      <c r="A70" s="60" t="s">
        <v>157</v>
      </c>
      <c r="B70" s="60" t="s">
        <v>158</v>
      </c>
      <c r="C70" s="34">
        <v>4301020358</v>
      </c>
      <c r="D70" s="597">
        <v>4680115885950</v>
      </c>
      <c r="E70" s="59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78</v>
      </c>
      <c r="L70" s="35"/>
      <c r="M70" s="36" t="s">
        <v>79</v>
      </c>
      <c r="N70" s="36"/>
      <c r="O70" s="35">
        <v>50</v>
      </c>
      <c r="P70" s="91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0"/>
      <c r="R70" s="600"/>
      <c r="S70" s="600"/>
      <c r="T70" s="601"/>
      <c r="U70" s="37"/>
      <c r="V70" s="37"/>
      <c r="W70" s="38" t="s">
        <v>68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156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159</v>
      </c>
      <c r="B71" s="60" t="s">
        <v>160</v>
      </c>
      <c r="C71" s="34">
        <v>4301020371</v>
      </c>
      <c r="D71" s="597">
        <v>4680115887688</v>
      </c>
      <c r="E71" s="59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126</v>
      </c>
      <c r="L71" s="35"/>
      <c r="M71" s="36" t="s">
        <v>67</v>
      </c>
      <c r="N71" s="36"/>
      <c r="O71" s="35">
        <v>30</v>
      </c>
      <c r="P71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0"/>
      <c r="R71" s="600"/>
      <c r="S71" s="600"/>
      <c r="T71" s="601"/>
      <c r="U71" s="37"/>
      <c r="V71" s="37"/>
      <c r="W71" s="38" t="s">
        <v>68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161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162</v>
      </c>
      <c r="B72" s="60" t="s">
        <v>163</v>
      </c>
      <c r="C72" s="34">
        <v>4301020296</v>
      </c>
      <c r="D72" s="597">
        <v>4680115881433</v>
      </c>
      <c r="E72" s="59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78</v>
      </c>
      <c r="L72" s="35"/>
      <c r="M72" s="36" t="s">
        <v>122</v>
      </c>
      <c r="N72" s="36"/>
      <c r="O72" s="35">
        <v>50</v>
      </c>
      <c r="P72" s="9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0"/>
      <c r="R72" s="600"/>
      <c r="S72" s="600"/>
      <c r="T72" s="601"/>
      <c r="U72" s="37"/>
      <c r="V72" s="37"/>
      <c r="W72" s="38" t="s">
        <v>68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156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21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22"/>
      <c r="P73" s="605" t="s">
        <v>73</v>
      </c>
      <c r="Q73" s="606"/>
      <c r="R73" s="606"/>
      <c r="S73" s="606"/>
      <c r="T73" s="606"/>
      <c r="U73" s="606"/>
      <c r="V73" s="607"/>
      <c r="W73" s="40" t="s">
        <v>74</v>
      </c>
      <c r="X73" s="41">
        <f>IFERROR(X69/H69,"0")+IFERROR(X70/H70,"0")+IFERROR(X71/H71,"0")+IFERROR(X72/H72,"0")</f>
        <v>4.6296296296296298</v>
      </c>
      <c r="Y73" s="41">
        <f>IFERROR(Y69/H69,"0")+IFERROR(Y70/H70,"0")+IFERROR(Y71/H71,"0")+IFERROR(Y72/H72,"0")</f>
        <v>5</v>
      </c>
      <c r="Z73" s="41">
        <f>IFERROR(IF(Z69="",0,Z69),"0")+IFERROR(IF(Z70="",0,Z70),"0")+IFERROR(IF(Z71="",0,Z71),"0")+IFERROR(IF(Z72="",0,Z72),"0")</f>
        <v>9.4899999999999998E-2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22"/>
      <c r="P74" s="605" t="s">
        <v>73</v>
      </c>
      <c r="Q74" s="606"/>
      <c r="R74" s="606"/>
      <c r="S74" s="606"/>
      <c r="T74" s="606"/>
      <c r="U74" s="606"/>
      <c r="V74" s="607"/>
      <c r="W74" s="40" t="s">
        <v>68</v>
      </c>
      <c r="X74" s="41">
        <f>IFERROR(SUM(X69:X72),"0")</f>
        <v>50</v>
      </c>
      <c r="Y74" s="41">
        <f>IFERROR(SUM(Y69:Y72),"0")</f>
        <v>54</v>
      </c>
      <c r="Z74" s="40"/>
      <c r="AA74" s="64"/>
      <c r="AB74" s="64"/>
      <c r="AC74" s="64"/>
    </row>
    <row r="75" spans="1:68" ht="14.25" customHeight="1" x14ac:dyDescent="0.25">
      <c r="A75" s="608" t="s">
        <v>75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63"/>
      <c r="AB75" s="63"/>
      <c r="AC75" s="63"/>
    </row>
    <row r="76" spans="1:68" ht="16.5" customHeight="1" x14ac:dyDescent="0.25">
      <c r="A76" s="60" t="s">
        <v>164</v>
      </c>
      <c r="B76" s="60" t="s">
        <v>165</v>
      </c>
      <c r="C76" s="34">
        <v>4301051837</v>
      </c>
      <c r="D76" s="597">
        <v>4680115884311</v>
      </c>
      <c r="E76" s="59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78</v>
      </c>
      <c r="L76" s="35"/>
      <c r="M76" s="36" t="s">
        <v>79</v>
      </c>
      <c r="N76" s="36"/>
      <c r="O76" s="35">
        <v>40</v>
      </c>
      <c r="P76" s="7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0"/>
      <c r="R76" s="600"/>
      <c r="S76" s="600"/>
      <c r="T76" s="601"/>
      <c r="U76" s="37"/>
      <c r="V76" s="37"/>
      <c r="W76" s="38" t="s">
        <v>68</v>
      </c>
      <c r="X76" s="56">
        <v>4.5</v>
      </c>
      <c r="Y76" s="53">
        <f>IFERROR(IF(X76="",0,CEILING((X76/$H76),1)*$H76),"")</f>
        <v>5.4</v>
      </c>
      <c r="Z76" s="39">
        <f>IFERROR(IF(Y76=0,"",ROUNDUP(Y76/H76,0)*0.00651),"")</f>
        <v>1.9529999999999999E-2</v>
      </c>
      <c r="AA76" s="65"/>
      <c r="AB76" s="66"/>
      <c r="AC76" s="137" t="s">
        <v>166</v>
      </c>
      <c r="AG76" s="75"/>
      <c r="AJ76" s="79"/>
      <c r="AK76" s="79">
        <v>0</v>
      </c>
      <c r="BB76" s="138" t="s">
        <v>1</v>
      </c>
      <c r="BM76" s="75">
        <f>IFERROR(X76*I76/H76,"0")</f>
        <v>5.1149999999999993</v>
      </c>
      <c r="BN76" s="75">
        <f>IFERROR(Y76*I76/H76,"0")</f>
        <v>6.137999999999999</v>
      </c>
      <c r="BO76" s="75">
        <f>IFERROR(1/J76*(X76/H76),"0")</f>
        <v>1.3736263736263738E-2</v>
      </c>
      <c r="BP76" s="75">
        <f>IFERROR(1/J76*(Y76/H76),"0")</f>
        <v>1.6483516483516484E-2</v>
      </c>
    </row>
    <row r="77" spans="1:68" ht="27" customHeight="1" x14ac:dyDescent="0.25">
      <c r="A77" s="60" t="s">
        <v>167</v>
      </c>
      <c r="B77" s="60" t="s">
        <v>168</v>
      </c>
      <c r="C77" s="34">
        <v>4301051929</v>
      </c>
      <c r="D77" s="597">
        <v>4680115884403</v>
      </c>
      <c r="E77" s="59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78</v>
      </c>
      <c r="L77" s="35"/>
      <c r="M77" s="36" t="s">
        <v>79</v>
      </c>
      <c r="N77" s="36"/>
      <c r="O77" s="35">
        <v>40</v>
      </c>
      <c r="P77" s="80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0"/>
      <c r="R77" s="600"/>
      <c r="S77" s="600"/>
      <c r="T77" s="601"/>
      <c r="U77" s="37"/>
      <c r="V77" s="37"/>
      <c r="W77" s="38" t="s">
        <v>68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169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21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22"/>
      <c r="P78" s="605" t="s">
        <v>73</v>
      </c>
      <c r="Q78" s="606"/>
      <c r="R78" s="606"/>
      <c r="S78" s="606"/>
      <c r="T78" s="606"/>
      <c r="U78" s="606"/>
      <c r="V78" s="607"/>
      <c r="W78" s="40" t="s">
        <v>74</v>
      </c>
      <c r="X78" s="41">
        <f>IFERROR(X76/H76,"0")+IFERROR(X77/H77,"0")</f>
        <v>2.5</v>
      </c>
      <c r="Y78" s="41">
        <f>IFERROR(Y76/H76,"0")+IFERROR(Y77/H77,"0")</f>
        <v>3</v>
      </c>
      <c r="Z78" s="41">
        <f>IFERROR(IF(Z76="",0,Z76),"0")+IFERROR(IF(Z77="",0,Z77),"0")</f>
        <v>1.9529999999999999E-2</v>
      </c>
      <c r="AA78" s="64"/>
      <c r="AB78" s="64"/>
      <c r="AC78" s="64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22"/>
      <c r="P79" s="605" t="s">
        <v>73</v>
      </c>
      <c r="Q79" s="606"/>
      <c r="R79" s="606"/>
      <c r="S79" s="606"/>
      <c r="T79" s="606"/>
      <c r="U79" s="606"/>
      <c r="V79" s="607"/>
      <c r="W79" s="40" t="s">
        <v>68</v>
      </c>
      <c r="X79" s="41">
        <f>IFERROR(SUM(X76:X77),"0")</f>
        <v>4.5</v>
      </c>
      <c r="Y79" s="41">
        <f>IFERROR(SUM(Y76:Y77),"0")</f>
        <v>5.4</v>
      </c>
      <c r="Z79" s="40"/>
      <c r="AA79" s="64"/>
      <c r="AB79" s="64"/>
      <c r="AC79" s="64"/>
    </row>
    <row r="80" spans="1:68" ht="14.25" customHeight="1" x14ac:dyDescent="0.25">
      <c r="A80" s="608" t="s">
        <v>170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63"/>
      <c r="AB80" s="63"/>
      <c r="AC80" s="63"/>
    </row>
    <row r="81" spans="1:68" ht="27" customHeight="1" x14ac:dyDescent="0.25">
      <c r="A81" s="60" t="s">
        <v>171</v>
      </c>
      <c r="B81" s="60" t="s">
        <v>172</v>
      </c>
      <c r="C81" s="34">
        <v>4301060455</v>
      </c>
      <c r="D81" s="597">
        <v>4680115881532</v>
      </c>
      <c r="E81" s="59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121</v>
      </c>
      <c r="L81" s="35"/>
      <c r="M81" s="36" t="s">
        <v>85</v>
      </c>
      <c r="N81" s="36"/>
      <c r="O81" s="35">
        <v>30</v>
      </c>
      <c r="P81" s="6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0"/>
      <c r="R81" s="600"/>
      <c r="S81" s="600"/>
      <c r="T81" s="601"/>
      <c r="U81" s="37"/>
      <c r="V81" s="37"/>
      <c r="W81" s="38" t="s">
        <v>68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173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174</v>
      </c>
      <c r="B82" s="60" t="s">
        <v>175</v>
      </c>
      <c r="C82" s="34">
        <v>4301060351</v>
      </c>
      <c r="D82" s="597">
        <v>4680115881464</v>
      </c>
      <c r="E82" s="59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130</v>
      </c>
      <c r="L82" s="35"/>
      <c r="M82" s="36" t="s">
        <v>79</v>
      </c>
      <c r="N82" s="36"/>
      <c r="O82" s="35">
        <v>30</v>
      </c>
      <c r="P82" s="9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0"/>
      <c r="R82" s="600"/>
      <c r="S82" s="600"/>
      <c r="T82" s="601"/>
      <c r="U82" s="37"/>
      <c r="V82" s="37"/>
      <c r="W82" s="38" t="s">
        <v>68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176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21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22"/>
      <c r="P83" s="605" t="s">
        <v>73</v>
      </c>
      <c r="Q83" s="606"/>
      <c r="R83" s="606"/>
      <c r="S83" s="606"/>
      <c r="T83" s="606"/>
      <c r="U83" s="606"/>
      <c r="V83" s="607"/>
      <c r="W83" s="40" t="s">
        <v>74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22"/>
      <c r="P84" s="605" t="s">
        <v>73</v>
      </c>
      <c r="Q84" s="606"/>
      <c r="R84" s="606"/>
      <c r="S84" s="606"/>
      <c r="T84" s="606"/>
      <c r="U84" s="606"/>
      <c r="V84" s="607"/>
      <c r="W84" s="40" t="s">
        <v>68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4" t="s">
        <v>177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62"/>
      <c r="AB85" s="62"/>
      <c r="AC85" s="62"/>
    </row>
    <row r="86" spans="1:68" ht="14.25" customHeight="1" x14ac:dyDescent="0.25">
      <c r="A86" s="608" t="s">
        <v>118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63"/>
      <c r="AB86" s="63"/>
      <c r="AC86" s="63"/>
    </row>
    <row r="87" spans="1:68" ht="27" customHeight="1" x14ac:dyDescent="0.25">
      <c r="A87" s="60" t="s">
        <v>178</v>
      </c>
      <c r="B87" s="60" t="s">
        <v>179</v>
      </c>
      <c r="C87" s="34">
        <v>4301011468</v>
      </c>
      <c r="D87" s="597">
        <v>4680115881327</v>
      </c>
      <c r="E87" s="59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121</v>
      </c>
      <c r="L87" s="35"/>
      <c r="M87" s="36" t="s">
        <v>85</v>
      </c>
      <c r="N87" s="36"/>
      <c r="O87" s="35">
        <v>50</v>
      </c>
      <c r="P87" s="7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0"/>
      <c r="R87" s="600"/>
      <c r="S87" s="600"/>
      <c r="T87" s="601"/>
      <c r="U87" s="37"/>
      <c r="V87" s="37"/>
      <c r="W87" s="38" t="s">
        <v>68</v>
      </c>
      <c r="X87" s="56">
        <v>20</v>
      </c>
      <c r="Y87" s="53">
        <f>IFERROR(IF(X87="",0,CEILING((X87/$H87),1)*$H87),"")</f>
        <v>21.6</v>
      </c>
      <c r="Z87" s="39">
        <f>IFERROR(IF(Y87=0,"",ROUNDUP(Y87/H87,0)*0.01898),"")</f>
        <v>3.7960000000000001E-2</v>
      </c>
      <c r="AA87" s="65"/>
      <c r="AB87" s="66"/>
      <c r="AC87" s="145" t="s">
        <v>180</v>
      </c>
      <c r="AG87" s="75"/>
      <c r="AJ87" s="79"/>
      <c r="AK87" s="79">
        <v>0</v>
      </c>
      <c r="BB87" s="146" t="s">
        <v>1</v>
      </c>
      <c r="BM87" s="75">
        <f>IFERROR(X87*I87/H87,"0")</f>
        <v>20.75925925925926</v>
      </c>
      <c r="BN87" s="75">
        <f>IFERROR(Y87*I87/H87,"0")</f>
        <v>22.42</v>
      </c>
      <c r="BO87" s="75">
        <f>IFERROR(1/J87*(X87/H87),"0")</f>
        <v>2.8935185185185182E-2</v>
      </c>
      <c r="BP87" s="75">
        <f>IFERROR(1/J87*(Y87/H87),"0")</f>
        <v>3.125E-2</v>
      </c>
    </row>
    <row r="88" spans="1:68" ht="27" customHeight="1" x14ac:dyDescent="0.25">
      <c r="A88" s="60" t="s">
        <v>181</v>
      </c>
      <c r="B88" s="60" t="s">
        <v>182</v>
      </c>
      <c r="C88" s="34">
        <v>4301011261</v>
      </c>
      <c r="D88" s="597">
        <v>4680115887732</v>
      </c>
      <c r="E88" s="59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126</v>
      </c>
      <c r="L88" s="35"/>
      <c r="M88" s="36" t="s">
        <v>67</v>
      </c>
      <c r="N88" s="36"/>
      <c r="O88" s="35">
        <v>30</v>
      </c>
      <c r="P88" s="79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0"/>
      <c r="R88" s="600"/>
      <c r="S88" s="600"/>
      <c r="T88" s="601"/>
      <c r="U88" s="37"/>
      <c r="V88" s="37"/>
      <c r="W88" s="38" t="s">
        <v>68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183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184</v>
      </c>
      <c r="B89" s="60" t="s">
        <v>185</v>
      </c>
      <c r="C89" s="34">
        <v>4301011476</v>
      </c>
      <c r="D89" s="597">
        <v>4680115881518</v>
      </c>
      <c r="E89" s="59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130</v>
      </c>
      <c r="L89" s="35"/>
      <c r="M89" s="36" t="s">
        <v>79</v>
      </c>
      <c r="N89" s="36"/>
      <c r="O89" s="35">
        <v>50</v>
      </c>
      <c r="P89" s="79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0"/>
      <c r="R89" s="600"/>
      <c r="S89" s="600"/>
      <c r="T89" s="601"/>
      <c r="U89" s="37"/>
      <c r="V89" s="37"/>
      <c r="W89" s="38" t="s">
        <v>68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180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186</v>
      </c>
      <c r="B90" s="60" t="s">
        <v>187</v>
      </c>
      <c r="C90" s="34">
        <v>4301011443</v>
      </c>
      <c r="D90" s="597">
        <v>4680115881303</v>
      </c>
      <c r="E90" s="59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130</v>
      </c>
      <c r="L90" s="35"/>
      <c r="M90" s="36" t="s">
        <v>85</v>
      </c>
      <c r="N90" s="36"/>
      <c r="O90" s="35">
        <v>50</v>
      </c>
      <c r="P90" s="8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0"/>
      <c r="R90" s="600"/>
      <c r="S90" s="600"/>
      <c r="T90" s="601"/>
      <c r="U90" s="37"/>
      <c r="V90" s="37"/>
      <c r="W90" s="38" t="s">
        <v>68</v>
      </c>
      <c r="X90" s="56">
        <v>13.5</v>
      </c>
      <c r="Y90" s="53">
        <f>IFERROR(IF(X90="",0,CEILING((X90/$H90),1)*$H90),"")</f>
        <v>13.5</v>
      </c>
      <c r="Z90" s="39">
        <f>IFERROR(IF(Y90=0,"",ROUNDUP(Y90/H90,0)*0.00902),"")</f>
        <v>2.7060000000000001E-2</v>
      </c>
      <c r="AA90" s="65"/>
      <c r="AB90" s="66"/>
      <c r="AC90" s="151" t="s">
        <v>180</v>
      </c>
      <c r="AG90" s="75"/>
      <c r="AJ90" s="79"/>
      <c r="AK90" s="79">
        <v>0</v>
      </c>
      <c r="BB90" s="152" t="s">
        <v>1</v>
      </c>
      <c r="BM90" s="75">
        <f>IFERROR(X90*I90/H90,"0")</f>
        <v>14.07</v>
      </c>
      <c r="BN90" s="75">
        <f>IFERROR(Y90*I90/H90,"0")</f>
        <v>14.07</v>
      </c>
      <c r="BO90" s="75">
        <f>IFERROR(1/J90*(X90/H90),"0")</f>
        <v>2.2727272727272728E-2</v>
      </c>
      <c r="BP90" s="75">
        <f>IFERROR(1/J90*(Y90/H90),"0")</f>
        <v>2.2727272727272728E-2</v>
      </c>
    </row>
    <row r="91" spans="1:68" x14ac:dyDescent="0.2">
      <c r="A91" s="621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22"/>
      <c r="P91" s="605" t="s">
        <v>73</v>
      </c>
      <c r="Q91" s="606"/>
      <c r="R91" s="606"/>
      <c r="S91" s="606"/>
      <c r="T91" s="606"/>
      <c r="U91" s="606"/>
      <c r="V91" s="607"/>
      <c r="W91" s="40" t="s">
        <v>74</v>
      </c>
      <c r="X91" s="41">
        <f>IFERROR(X87/H87,"0")+IFERROR(X88/H88,"0")+IFERROR(X89/H89,"0")+IFERROR(X90/H90,"0")</f>
        <v>4.8518518518518512</v>
      </c>
      <c r="Y91" s="41">
        <f>IFERROR(Y87/H87,"0")+IFERROR(Y88/H88,"0")+IFERROR(Y89/H89,"0")+IFERROR(Y90/H90,"0")</f>
        <v>5</v>
      </c>
      <c r="Z91" s="41">
        <f>IFERROR(IF(Z87="",0,Z87),"0")+IFERROR(IF(Z88="",0,Z88),"0")+IFERROR(IF(Z89="",0,Z89),"0")+IFERROR(IF(Z90="",0,Z90),"0")</f>
        <v>6.5019999999999994E-2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22"/>
      <c r="P92" s="605" t="s">
        <v>73</v>
      </c>
      <c r="Q92" s="606"/>
      <c r="R92" s="606"/>
      <c r="S92" s="606"/>
      <c r="T92" s="606"/>
      <c r="U92" s="606"/>
      <c r="V92" s="607"/>
      <c r="W92" s="40" t="s">
        <v>68</v>
      </c>
      <c r="X92" s="41">
        <f>IFERROR(SUM(X87:X90),"0")</f>
        <v>33.5</v>
      </c>
      <c r="Y92" s="41">
        <f>IFERROR(SUM(Y87:Y90),"0")</f>
        <v>35.1</v>
      </c>
      <c r="Z92" s="40"/>
      <c r="AA92" s="64"/>
      <c r="AB92" s="64"/>
      <c r="AC92" s="64"/>
    </row>
    <row r="93" spans="1:68" ht="14.25" customHeight="1" x14ac:dyDescent="0.25">
      <c r="A93" s="608" t="s">
        <v>75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63"/>
      <c r="AB93" s="63"/>
      <c r="AC93" s="63"/>
    </row>
    <row r="94" spans="1:68" ht="27" customHeight="1" x14ac:dyDescent="0.25">
      <c r="A94" s="60" t="s">
        <v>188</v>
      </c>
      <c r="B94" s="60" t="s">
        <v>189</v>
      </c>
      <c r="C94" s="34">
        <v>4301051712</v>
      </c>
      <c r="D94" s="597">
        <v>4607091386967</v>
      </c>
      <c r="E94" s="59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121</v>
      </c>
      <c r="L94" s="35"/>
      <c r="M94" s="36" t="s">
        <v>85</v>
      </c>
      <c r="N94" s="36"/>
      <c r="O94" s="35">
        <v>45</v>
      </c>
      <c r="P94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0"/>
      <c r="R94" s="600"/>
      <c r="S94" s="600"/>
      <c r="T94" s="601"/>
      <c r="U94" s="37"/>
      <c r="V94" s="37"/>
      <c r="W94" s="38" t="s">
        <v>68</v>
      </c>
      <c r="X94" s="56">
        <v>10</v>
      </c>
      <c r="Y94" s="53">
        <f>IFERROR(IF(X94="",0,CEILING((X94/$H94),1)*$H94),"")</f>
        <v>16.2</v>
      </c>
      <c r="Z94" s="39">
        <f>IFERROR(IF(Y94=0,"",ROUNDUP(Y94/H94,0)*0.01898),"")</f>
        <v>3.7960000000000001E-2</v>
      </c>
      <c r="AA94" s="65"/>
      <c r="AB94" s="66"/>
      <c r="AC94" s="153" t="s">
        <v>190</v>
      </c>
      <c r="AG94" s="75"/>
      <c r="AJ94" s="79"/>
      <c r="AK94" s="79">
        <v>0</v>
      </c>
      <c r="BB94" s="154" t="s">
        <v>1</v>
      </c>
      <c r="BM94" s="75">
        <f>IFERROR(X94*I94/H94,"0")</f>
        <v>10.609876543209877</v>
      </c>
      <c r="BN94" s="75">
        <f>IFERROR(Y94*I94/H94,"0")</f>
        <v>17.187999999999999</v>
      </c>
      <c r="BO94" s="75">
        <f>IFERROR(1/J94*(X94/H94),"0")</f>
        <v>1.9290123456790126E-2</v>
      </c>
      <c r="BP94" s="75">
        <f>IFERROR(1/J94*(Y94/H94),"0")</f>
        <v>3.125E-2</v>
      </c>
    </row>
    <row r="95" spans="1:68" ht="27" customHeight="1" x14ac:dyDescent="0.25">
      <c r="A95" s="60" t="s">
        <v>191</v>
      </c>
      <c r="B95" s="60" t="s">
        <v>192</v>
      </c>
      <c r="C95" s="34">
        <v>4301051788</v>
      </c>
      <c r="D95" s="597">
        <v>4680115884953</v>
      </c>
      <c r="E95" s="59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78</v>
      </c>
      <c r="L95" s="35"/>
      <c r="M95" s="36" t="s">
        <v>79</v>
      </c>
      <c r="N95" s="36"/>
      <c r="O95" s="35">
        <v>45</v>
      </c>
      <c r="P95" s="6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0"/>
      <c r="R95" s="600"/>
      <c r="S95" s="600"/>
      <c r="T95" s="601"/>
      <c r="U95" s="37"/>
      <c r="V95" s="37"/>
      <c r="W95" s="38" t="s">
        <v>68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190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193</v>
      </c>
      <c r="B96" s="60" t="s">
        <v>194</v>
      </c>
      <c r="C96" s="34">
        <v>4301051718</v>
      </c>
      <c r="D96" s="597">
        <v>4607091385731</v>
      </c>
      <c r="E96" s="59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78</v>
      </c>
      <c r="L96" s="35"/>
      <c r="M96" s="36" t="s">
        <v>85</v>
      </c>
      <c r="N96" s="36"/>
      <c r="O96" s="35">
        <v>45</v>
      </c>
      <c r="P96" s="81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0"/>
      <c r="R96" s="600"/>
      <c r="S96" s="600"/>
      <c r="T96" s="601"/>
      <c r="U96" s="37"/>
      <c r="V96" s="37"/>
      <c r="W96" s="38" t="s">
        <v>68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190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195</v>
      </c>
      <c r="B97" s="60" t="s">
        <v>196</v>
      </c>
      <c r="C97" s="34">
        <v>4301052092</v>
      </c>
      <c r="D97" s="597">
        <v>4680115880894</v>
      </c>
      <c r="E97" s="59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78</v>
      </c>
      <c r="L97" s="35"/>
      <c r="M97" s="36" t="s">
        <v>79</v>
      </c>
      <c r="N97" s="36"/>
      <c r="O97" s="35">
        <v>45</v>
      </c>
      <c r="P97" s="7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0"/>
      <c r="R97" s="600"/>
      <c r="S97" s="600"/>
      <c r="T97" s="601"/>
      <c r="U97" s="37"/>
      <c r="V97" s="37"/>
      <c r="W97" s="38" t="s">
        <v>68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197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21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22"/>
      <c r="P98" s="605" t="s">
        <v>73</v>
      </c>
      <c r="Q98" s="606"/>
      <c r="R98" s="606"/>
      <c r="S98" s="606"/>
      <c r="T98" s="606"/>
      <c r="U98" s="606"/>
      <c r="V98" s="607"/>
      <c r="W98" s="40" t="s">
        <v>74</v>
      </c>
      <c r="X98" s="41">
        <f>IFERROR(X94/H94,"0")+IFERROR(X95/H95,"0")+IFERROR(X96/H96,"0")+IFERROR(X97/H97,"0")</f>
        <v>1.2345679012345681</v>
      </c>
      <c r="Y98" s="41">
        <f>IFERROR(Y94/H94,"0")+IFERROR(Y95/H95,"0")+IFERROR(Y96/H96,"0")+IFERROR(Y97/H97,"0")</f>
        <v>2</v>
      </c>
      <c r="Z98" s="41">
        <f>IFERROR(IF(Z94="",0,Z94),"0")+IFERROR(IF(Z95="",0,Z95),"0")+IFERROR(IF(Z96="",0,Z96),"0")+IFERROR(IF(Z97="",0,Z97),"0")</f>
        <v>3.7960000000000001E-2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22"/>
      <c r="P99" s="605" t="s">
        <v>73</v>
      </c>
      <c r="Q99" s="606"/>
      <c r="R99" s="606"/>
      <c r="S99" s="606"/>
      <c r="T99" s="606"/>
      <c r="U99" s="606"/>
      <c r="V99" s="607"/>
      <c r="W99" s="40" t="s">
        <v>68</v>
      </c>
      <c r="X99" s="41">
        <f>IFERROR(SUM(X94:X97),"0")</f>
        <v>10</v>
      </c>
      <c r="Y99" s="41">
        <f>IFERROR(SUM(Y94:Y97),"0")</f>
        <v>16.2</v>
      </c>
      <c r="Z99" s="40"/>
      <c r="AA99" s="64"/>
      <c r="AB99" s="64"/>
      <c r="AC99" s="64"/>
    </row>
    <row r="100" spans="1:68" ht="16.5" customHeight="1" x14ac:dyDescent="0.25">
      <c r="A100" s="614" t="s">
        <v>198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62"/>
      <c r="AB100" s="62"/>
      <c r="AC100" s="62"/>
    </row>
    <row r="101" spans="1:68" ht="14.25" customHeight="1" x14ac:dyDescent="0.25">
      <c r="A101" s="608" t="s">
        <v>118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63"/>
      <c r="AB101" s="63"/>
      <c r="AC101" s="63"/>
    </row>
    <row r="102" spans="1:68" ht="37.5" customHeight="1" x14ac:dyDescent="0.25">
      <c r="A102" s="60" t="s">
        <v>199</v>
      </c>
      <c r="B102" s="60" t="s">
        <v>200</v>
      </c>
      <c r="C102" s="34">
        <v>4301011514</v>
      </c>
      <c r="D102" s="597">
        <v>4680115882133</v>
      </c>
      <c r="E102" s="59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121</v>
      </c>
      <c r="L102" s="35"/>
      <c r="M102" s="36" t="s">
        <v>122</v>
      </c>
      <c r="N102" s="36"/>
      <c r="O102" s="35">
        <v>50</v>
      </c>
      <c r="P102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0"/>
      <c r="R102" s="600"/>
      <c r="S102" s="600"/>
      <c r="T102" s="601"/>
      <c r="U102" s="37"/>
      <c r="V102" s="37"/>
      <c r="W102" s="38" t="s">
        <v>68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/>
      <c r="AB102" s="66"/>
      <c r="AC102" s="161" t="s">
        <v>201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202</v>
      </c>
      <c r="B103" s="60" t="s">
        <v>203</v>
      </c>
      <c r="C103" s="34">
        <v>4301012051</v>
      </c>
      <c r="D103" s="597">
        <v>4680115887718</v>
      </c>
      <c r="E103" s="59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126</v>
      </c>
      <c r="L103" s="35"/>
      <c r="M103" s="36" t="s">
        <v>67</v>
      </c>
      <c r="N103" s="36"/>
      <c r="O103" s="35">
        <v>30</v>
      </c>
      <c r="P103" s="69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0"/>
      <c r="R103" s="600"/>
      <c r="S103" s="600"/>
      <c r="T103" s="601"/>
      <c r="U103" s="37"/>
      <c r="V103" s="37"/>
      <c r="W103" s="38" t="s">
        <v>68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204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202</v>
      </c>
      <c r="B104" s="60" t="s">
        <v>205</v>
      </c>
      <c r="C104" s="34">
        <v>4301012334</v>
      </c>
      <c r="D104" s="597">
        <v>4680115887718</v>
      </c>
      <c r="E104" s="59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126</v>
      </c>
      <c r="L104" s="35"/>
      <c r="M104" s="36" t="s">
        <v>67</v>
      </c>
      <c r="N104" s="36"/>
      <c r="O104" s="35">
        <v>30</v>
      </c>
      <c r="P104" s="6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0"/>
      <c r="R104" s="600"/>
      <c r="S104" s="600"/>
      <c r="T104" s="601"/>
      <c r="U104" s="37"/>
      <c r="V104" s="37"/>
      <c r="W104" s="38" t="s">
        <v>68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204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206</v>
      </c>
      <c r="B105" s="60" t="s">
        <v>207</v>
      </c>
      <c r="C105" s="34">
        <v>4301012226</v>
      </c>
      <c r="D105" s="597">
        <v>4680115887749</v>
      </c>
      <c r="E105" s="59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126</v>
      </c>
      <c r="L105" s="35"/>
      <c r="M105" s="36" t="s">
        <v>67</v>
      </c>
      <c r="N105" s="36"/>
      <c r="O105" s="35">
        <v>30</v>
      </c>
      <c r="P105" s="86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0"/>
      <c r="R105" s="600"/>
      <c r="S105" s="600"/>
      <c r="T105" s="601"/>
      <c r="U105" s="37"/>
      <c r="V105" s="37"/>
      <c r="W105" s="38" t="s">
        <v>68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204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208</v>
      </c>
      <c r="B106" s="60" t="s">
        <v>209</v>
      </c>
      <c r="C106" s="34">
        <v>4301011417</v>
      </c>
      <c r="D106" s="597">
        <v>4680115880269</v>
      </c>
      <c r="E106" s="59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130</v>
      </c>
      <c r="L106" s="35"/>
      <c r="M106" s="36" t="s">
        <v>79</v>
      </c>
      <c r="N106" s="36"/>
      <c r="O106" s="35">
        <v>50</v>
      </c>
      <c r="P106" s="84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0"/>
      <c r="R106" s="600"/>
      <c r="S106" s="600"/>
      <c r="T106" s="601"/>
      <c r="U106" s="37"/>
      <c r="V106" s="37"/>
      <c r="W106" s="38" t="s">
        <v>68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201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210</v>
      </c>
      <c r="B107" s="60" t="s">
        <v>211</v>
      </c>
      <c r="C107" s="34">
        <v>4301011415</v>
      </c>
      <c r="D107" s="597">
        <v>4680115880429</v>
      </c>
      <c r="E107" s="59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130</v>
      </c>
      <c r="L107" s="35"/>
      <c r="M107" s="36" t="s">
        <v>79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0"/>
      <c r="R107" s="600"/>
      <c r="S107" s="600"/>
      <c r="T107" s="601"/>
      <c r="U107" s="37"/>
      <c r="V107" s="37"/>
      <c r="W107" s="38" t="s">
        <v>68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201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212</v>
      </c>
      <c r="B108" s="60" t="s">
        <v>213</v>
      </c>
      <c r="C108" s="34">
        <v>4301011462</v>
      </c>
      <c r="D108" s="597">
        <v>4680115881457</v>
      </c>
      <c r="E108" s="59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130</v>
      </c>
      <c r="L108" s="35"/>
      <c r="M108" s="36" t="s">
        <v>79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0"/>
      <c r="R108" s="600"/>
      <c r="S108" s="600"/>
      <c r="T108" s="601"/>
      <c r="U108" s="37"/>
      <c r="V108" s="37"/>
      <c r="W108" s="38" t="s">
        <v>68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201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21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22"/>
      <c r="P109" s="605" t="s">
        <v>73</v>
      </c>
      <c r="Q109" s="606"/>
      <c r="R109" s="606"/>
      <c r="S109" s="606"/>
      <c r="T109" s="606"/>
      <c r="U109" s="606"/>
      <c r="V109" s="607"/>
      <c r="W109" s="40" t="s">
        <v>74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22"/>
      <c r="P110" s="605" t="s">
        <v>73</v>
      </c>
      <c r="Q110" s="606"/>
      <c r="R110" s="606"/>
      <c r="S110" s="606"/>
      <c r="T110" s="606"/>
      <c r="U110" s="606"/>
      <c r="V110" s="607"/>
      <c r="W110" s="40" t="s">
        <v>68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customHeight="1" x14ac:dyDescent="0.25">
      <c r="A111" s="608" t="s">
        <v>153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63"/>
      <c r="AB111" s="63"/>
      <c r="AC111" s="63"/>
    </row>
    <row r="112" spans="1:68" ht="16.5" customHeight="1" x14ac:dyDescent="0.25">
      <c r="A112" s="60" t="s">
        <v>214</v>
      </c>
      <c r="B112" s="60" t="s">
        <v>215</v>
      </c>
      <c r="C112" s="34">
        <v>4301020345</v>
      </c>
      <c r="D112" s="597">
        <v>4680115881488</v>
      </c>
      <c r="E112" s="59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121</v>
      </c>
      <c r="L112" s="35"/>
      <c r="M112" s="36" t="s">
        <v>122</v>
      </c>
      <c r="N112" s="36"/>
      <c r="O112" s="35">
        <v>55</v>
      </c>
      <c r="P112" s="8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0"/>
      <c r="R112" s="600"/>
      <c r="S112" s="600"/>
      <c r="T112" s="601"/>
      <c r="U112" s="37"/>
      <c r="V112" s="37"/>
      <c r="W112" s="38" t="s">
        <v>68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216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214</v>
      </c>
      <c r="B113" s="60" t="s">
        <v>217</v>
      </c>
      <c r="C113" s="34">
        <v>4301020391</v>
      </c>
      <c r="D113" s="597">
        <v>4680115881488</v>
      </c>
      <c r="E113" s="59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121</v>
      </c>
      <c r="L113" s="35"/>
      <c r="M113" s="36" t="s">
        <v>122</v>
      </c>
      <c r="N113" s="36"/>
      <c r="O113" s="35">
        <v>55</v>
      </c>
      <c r="P113" s="71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0"/>
      <c r="R113" s="600"/>
      <c r="S113" s="600"/>
      <c r="T113" s="601"/>
      <c r="U113" s="37"/>
      <c r="V113" s="37"/>
      <c r="W113" s="38" t="s">
        <v>68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218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219</v>
      </c>
      <c r="B114" s="60" t="s">
        <v>220</v>
      </c>
      <c r="C114" s="34">
        <v>4301020186</v>
      </c>
      <c r="D114" s="597">
        <v>4680115887664</v>
      </c>
      <c r="E114" s="59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221</v>
      </c>
      <c r="L114" s="35"/>
      <c r="M114" s="36" t="s">
        <v>67</v>
      </c>
      <c r="N114" s="36"/>
      <c r="O114" s="35">
        <v>30</v>
      </c>
      <c r="P114" s="8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0"/>
      <c r="R114" s="600"/>
      <c r="S114" s="600"/>
      <c r="T114" s="601"/>
      <c r="U114" s="37"/>
      <c r="V114" s="37"/>
      <c r="W114" s="38" t="s">
        <v>68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222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219</v>
      </c>
      <c r="B115" s="60" t="s">
        <v>223</v>
      </c>
      <c r="C115" s="34">
        <v>4301020430</v>
      </c>
      <c r="D115" s="597">
        <v>4680115887664</v>
      </c>
      <c r="E115" s="59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221</v>
      </c>
      <c r="L115" s="35"/>
      <c r="M115" s="36" t="s">
        <v>67</v>
      </c>
      <c r="N115" s="36"/>
      <c r="O115" s="35">
        <v>30</v>
      </c>
      <c r="P115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0"/>
      <c r="R115" s="600"/>
      <c r="S115" s="600"/>
      <c r="T115" s="601"/>
      <c r="U115" s="37"/>
      <c r="V115" s="37"/>
      <c r="W115" s="38" t="s">
        <v>68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222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224</v>
      </c>
      <c r="B116" s="60" t="s">
        <v>225</v>
      </c>
      <c r="C116" s="34">
        <v>4301020393</v>
      </c>
      <c r="D116" s="597">
        <v>4680115882775</v>
      </c>
      <c r="E116" s="59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66</v>
      </c>
      <c r="L116" s="35"/>
      <c r="M116" s="36" t="s">
        <v>122</v>
      </c>
      <c r="N116" s="36"/>
      <c r="O116" s="35">
        <v>55</v>
      </c>
      <c r="P116" s="6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0"/>
      <c r="R116" s="600"/>
      <c r="S116" s="600"/>
      <c r="T116" s="601"/>
      <c r="U116" s="37"/>
      <c r="V116" s="37"/>
      <c r="W116" s="38" t="s">
        <v>68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218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226</v>
      </c>
      <c r="B117" s="60" t="s">
        <v>227</v>
      </c>
      <c r="C117" s="34">
        <v>4301020344</v>
      </c>
      <c r="D117" s="597">
        <v>4680115880658</v>
      </c>
      <c r="E117" s="59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78</v>
      </c>
      <c r="L117" s="35"/>
      <c r="M117" s="36" t="s">
        <v>122</v>
      </c>
      <c r="N117" s="36"/>
      <c r="O117" s="35">
        <v>55</v>
      </c>
      <c r="P117" s="73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0"/>
      <c r="R117" s="600"/>
      <c r="S117" s="600"/>
      <c r="T117" s="601"/>
      <c r="U117" s="37"/>
      <c r="V117" s="37"/>
      <c r="W117" s="38" t="s">
        <v>68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216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21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22"/>
      <c r="P118" s="605" t="s">
        <v>73</v>
      </c>
      <c r="Q118" s="606"/>
      <c r="R118" s="606"/>
      <c r="S118" s="606"/>
      <c r="T118" s="606"/>
      <c r="U118" s="606"/>
      <c r="V118" s="607"/>
      <c r="W118" s="40" t="s">
        <v>74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22"/>
      <c r="P119" s="605" t="s">
        <v>73</v>
      </c>
      <c r="Q119" s="606"/>
      <c r="R119" s="606"/>
      <c r="S119" s="606"/>
      <c r="T119" s="606"/>
      <c r="U119" s="606"/>
      <c r="V119" s="607"/>
      <c r="W119" s="40" t="s">
        <v>68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608" t="s">
        <v>75</v>
      </c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  <c r="Z120" s="609"/>
      <c r="AA120" s="63"/>
      <c r="AB120" s="63"/>
      <c r="AC120" s="63"/>
    </row>
    <row r="121" spans="1:68" ht="27" customHeight="1" x14ac:dyDescent="0.25">
      <c r="A121" s="60" t="s">
        <v>228</v>
      </c>
      <c r="B121" s="60" t="s">
        <v>229</v>
      </c>
      <c r="C121" s="34">
        <v>4301051724</v>
      </c>
      <c r="D121" s="597">
        <v>4607091385168</v>
      </c>
      <c r="E121" s="59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121</v>
      </c>
      <c r="L121" s="35"/>
      <c r="M121" s="36" t="s">
        <v>85</v>
      </c>
      <c r="N121" s="36"/>
      <c r="O121" s="35">
        <v>45</v>
      </c>
      <c r="P121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0"/>
      <c r="R121" s="600"/>
      <c r="S121" s="600"/>
      <c r="T121" s="601"/>
      <c r="U121" s="37"/>
      <c r="V121" s="37"/>
      <c r="W121" s="38" t="s">
        <v>68</v>
      </c>
      <c r="X121" s="56">
        <v>15</v>
      </c>
      <c r="Y121" s="53">
        <f>IFERROR(IF(X121="",0,CEILING((X121/$H121),1)*$H121),"")</f>
        <v>16.2</v>
      </c>
      <c r="Z121" s="39">
        <f>IFERROR(IF(Y121=0,"",ROUNDUP(Y121/H121,0)*0.01898),"")</f>
        <v>3.7960000000000001E-2</v>
      </c>
      <c r="AA121" s="65"/>
      <c r="AB121" s="66"/>
      <c r="AC121" s="187" t="s">
        <v>230</v>
      </c>
      <c r="AG121" s="75"/>
      <c r="AJ121" s="79"/>
      <c r="AK121" s="79">
        <v>0</v>
      </c>
      <c r="BB121" s="188" t="s">
        <v>1</v>
      </c>
      <c r="BM121" s="75">
        <f>IFERROR(X121*I121/H121,"0")</f>
        <v>15.903703703703703</v>
      </c>
      <c r="BN121" s="75">
        <f>IFERROR(Y121*I121/H121,"0")</f>
        <v>17.175999999999998</v>
      </c>
      <c r="BO121" s="75">
        <f>IFERROR(1/J121*(X121/H121),"0")</f>
        <v>2.8935185185185185E-2</v>
      </c>
      <c r="BP121" s="75">
        <f>IFERROR(1/J121*(Y121/H121),"0")</f>
        <v>3.125E-2</v>
      </c>
    </row>
    <row r="122" spans="1:68" ht="27" customHeight="1" x14ac:dyDescent="0.25">
      <c r="A122" s="60" t="s">
        <v>231</v>
      </c>
      <c r="B122" s="60" t="s">
        <v>232</v>
      </c>
      <c r="C122" s="34">
        <v>4301051730</v>
      </c>
      <c r="D122" s="597">
        <v>4607091383256</v>
      </c>
      <c r="E122" s="59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78</v>
      </c>
      <c r="L122" s="35"/>
      <c r="M122" s="36" t="s">
        <v>85</v>
      </c>
      <c r="N122" s="36"/>
      <c r="O122" s="35">
        <v>45</v>
      </c>
      <c r="P122" s="76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0"/>
      <c r="R122" s="600"/>
      <c r="S122" s="600"/>
      <c r="T122" s="601"/>
      <c r="U122" s="37"/>
      <c r="V122" s="37"/>
      <c r="W122" s="38" t="s">
        <v>68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230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233</v>
      </c>
      <c r="B123" s="60" t="s">
        <v>234</v>
      </c>
      <c r="C123" s="34">
        <v>4301051721</v>
      </c>
      <c r="D123" s="597">
        <v>4607091385748</v>
      </c>
      <c r="E123" s="59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78</v>
      </c>
      <c r="L123" s="35"/>
      <c r="M123" s="36" t="s">
        <v>85</v>
      </c>
      <c r="N123" s="36"/>
      <c r="O123" s="35">
        <v>45</v>
      </c>
      <c r="P123" s="9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0"/>
      <c r="R123" s="600"/>
      <c r="S123" s="600"/>
      <c r="T123" s="601"/>
      <c r="U123" s="37"/>
      <c r="V123" s="37"/>
      <c r="W123" s="38" t="s">
        <v>68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230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235</v>
      </c>
      <c r="B124" s="60" t="s">
        <v>236</v>
      </c>
      <c r="C124" s="34">
        <v>4301051740</v>
      </c>
      <c r="D124" s="597">
        <v>4680115884533</v>
      </c>
      <c r="E124" s="59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78</v>
      </c>
      <c r="L124" s="35"/>
      <c r="M124" s="36" t="s">
        <v>79</v>
      </c>
      <c r="N124" s="36"/>
      <c r="O124" s="35">
        <v>45</v>
      </c>
      <c r="P124" s="9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0"/>
      <c r="R124" s="600"/>
      <c r="S124" s="600"/>
      <c r="T124" s="601"/>
      <c r="U124" s="37"/>
      <c r="V124" s="37"/>
      <c r="W124" s="38" t="s">
        <v>68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237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21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22"/>
      <c r="P125" s="605" t="s">
        <v>73</v>
      </c>
      <c r="Q125" s="606"/>
      <c r="R125" s="606"/>
      <c r="S125" s="606"/>
      <c r="T125" s="606"/>
      <c r="U125" s="606"/>
      <c r="V125" s="607"/>
      <c r="W125" s="40" t="s">
        <v>74</v>
      </c>
      <c r="X125" s="41">
        <f>IFERROR(X121/H121,"0")+IFERROR(X122/H122,"0")+IFERROR(X123/H123,"0")+IFERROR(X124/H124,"0")</f>
        <v>1.8518518518518519</v>
      </c>
      <c r="Y125" s="41">
        <f>IFERROR(Y121/H121,"0")+IFERROR(Y122/H122,"0")+IFERROR(Y123/H123,"0")+IFERROR(Y124/H124,"0")</f>
        <v>2</v>
      </c>
      <c r="Z125" s="41">
        <f>IFERROR(IF(Z121="",0,Z121),"0")+IFERROR(IF(Z122="",0,Z122),"0")+IFERROR(IF(Z123="",0,Z123),"0")+IFERROR(IF(Z124="",0,Z124),"0")</f>
        <v>3.7960000000000001E-2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22"/>
      <c r="P126" s="605" t="s">
        <v>73</v>
      </c>
      <c r="Q126" s="606"/>
      <c r="R126" s="606"/>
      <c r="S126" s="606"/>
      <c r="T126" s="606"/>
      <c r="U126" s="606"/>
      <c r="V126" s="607"/>
      <c r="W126" s="40" t="s">
        <v>68</v>
      </c>
      <c r="X126" s="41">
        <f>IFERROR(SUM(X121:X124),"0")</f>
        <v>15</v>
      </c>
      <c r="Y126" s="41">
        <f>IFERROR(SUM(Y121:Y124),"0")</f>
        <v>16.2</v>
      </c>
      <c r="Z126" s="40"/>
      <c r="AA126" s="64"/>
      <c r="AB126" s="64"/>
      <c r="AC126" s="64"/>
    </row>
    <row r="127" spans="1:68" ht="14.25" customHeight="1" x14ac:dyDescent="0.25">
      <c r="A127" s="608" t="s">
        <v>170</v>
      </c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  <c r="Z127" s="609"/>
      <c r="AA127" s="63"/>
      <c r="AB127" s="63"/>
      <c r="AC127" s="63"/>
    </row>
    <row r="128" spans="1:68" ht="16.5" customHeight="1" x14ac:dyDescent="0.25">
      <c r="A128" s="60" t="s">
        <v>238</v>
      </c>
      <c r="B128" s="60" t="s">
        <v>239</v>
      </c>
      <c r="C128" s="34">
        <v>4301060317</v>
      </c>
      <c r="D128" s="597">
        <v>4680115880238</v>
      </c>
      <c r="E128" s="59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78</v>
      </c>
      <c r="L128" s="35"/>
      <c r="M128" s="36" t="s">
        <v>79</v>
      </c>
      <c r="N128" s="36"/>
      <c r="O128" s="35">
        <v>40</v>
      </c>
      <c r="P128" s="8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0"/>
      <c r="R128" s="600"/>
      <c r="S128" s="600"/>
      <c r="T128" s="601"/>
      <c r="U128" s="37"/>
      <c r="V128" s="37"/>
      <c r="W128" s="38" t="s">
        <v>68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240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21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22"/>
      <c r="P129" s="605" t="s">
        <v>73</v>
      </c>
      <c r="Q129" s="606"/>
      <c r="R129" s="606"/>
      <c r="S129" s="606"/>
      <c r="T129" s="606"/>
      <c r="U129" s="606"/>
      <c r="V129" s="607"/>
      <c r="W129" s="40" t="s">
        <v>74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22"/>
      <c r="P130" s="605" t="s">
        <v>73</v>
      </c>
      <c r="Q130" s="606"/>
      <c r="R130" s="606"/>
      <c r="S130" s="606"/>
      <c r="T130" s="606"/>
      <c r="U130" s="606"/>
      <c r="V130" s="607"/>
      <c r="W130" s="40" t="s">
        <v>68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4" t="s">
        <v>241</v>
      </c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  <c r="Z131" s="609"/>
      <c r="AA131" s="62"/>
      <c r="AB131" s="62"/>
      <c r="AC131" s="62"/>
    </row>
    <row r="132" spans="1:68" ht="14.25" customHeight="1" x14ac:dyDescent="0.25">
      <c r="A132" s="608" t="s">
        <v>118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63"/>
      <c r="AB132" s="63"/>
      <c r="AC132" s="63"/>
    </row>
    <row r="133" spans="1:68" ht="27" customHeight="1" x14ac:dyDescent="0.25">
      <c r="A133" s="60" t="s">
        <v>242</v>
      </c>
      <c r="B133" s="60" t="s">
        <v>243</v>
      </c>
      <c r="C133" s="34">
        <v>4301011562</v>
      </c>
      <c r="D133" s="597">
        <v>4680115882577</v>
      </c>
      <c r="E133" s="59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78</v>
      </c>
      <c r="L133" s="35"/>
      <c r="M133" s="36" t="s">
        <v>99</v>
      </c>
      <c r="N133" s="36"/>
      <c r="O133" s="35">
        <v>90</v>
      </c>
      <c r="P133" s="8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0"/>
      <c r="R133" s="600"/>
      <c r="S133" s="600"/>
      <c r="T133" s="601"/>
      <c r="U133" s="37"/>
      <c r="V133" s="37"/>
      <c r="W133" s="38" t="s">
        <v>68</v>
      </c>
      <c r="X133" s="56">
        <v>6.4</v>
      </c>
      <c r="Y133" s="53">
        <f>IFERROR(IF(X133="",0,CEILING((X133/$H133),1)*$H133),"")</f>
        <v>6.4</v>
      </c>
      <c r="Z133" s="39">
        <f>IFERROR(IF(Y133=0,"",ROUNDUP(Y133/H133,0)*0.00651),"")</f>
        <v>1.302E-2</v>
      </c>
      <c r="AA133" s="65"/>
      <c r="AB133" s="66"/>
      <c r="AC133" s="197" t="s">
        <v>244</v>
      </c>
      <c r="AG133" s="75"/>
      <c r="AJ133" s="79"/>
      <c r="AK133" s="79">
        <v>0</v>
      </c>
      <c r="BB133" s="198" t="s">
        <v>1</v>
      </c>
      <c r="BM133" s="75">
        <f>IFERROR(X133*I133/H133,"0")</f>
        <v>6.76</v>
      </c>
      <c r="BN133" s="75">
        <f>IFERROR(Y133*I133/H133,"0")</f>
        <v>6.76</v>
      </c>
      <c r="BO133" s="75">
        <f>IFERROR(1/J133*(X133/H133),"0")</f>
        <v>1.098901098901099E-2</v>
      </c>
      <c r="BP133" s="75">
        <f>IFERROR(1/J133*(Y133/H133),"0")</f>
        <v>1.098901098901099E-2</v>
      </c>
    </row>
    <row r="134" spans="1:68" ht="27" customHeight="1" x14ac:dyDescent="0.25">
      <c r="A134" s="60" t="s">
        <v>242</v>
      </c>
      <c r="B134" s="60" t="s">
        <v>245</v>
      </c>
      <c r="C134" s="34">
        <v>4301011564</v>
      </c>
      <c r="D134" s="597">
        <v>4680115882577</v>
      </c>
      <c r="E134" s="59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78</v>
      </c>
      <c r="L134" s="35"/>
      <c r="M134" s="36" t="s">
        <v>99</v>
      </c>
      <c r="N134" s="36"/>
      <c r="O134" s="35">
        <v>90</v>
      </c>
      <c r="P134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0"/>
      <c r="R134" s="600"/>
      <c r="S134" s="600"/>
      <c r="T134" s="601"/>
      <c r="U134" s="37"/>
      <c r="V134" s="37"/>
      <c r="W134" s="38" t="s">
        <v>68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244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1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22"/>
      <c r="P135" s="605" t="s">
        <v>73</v>
      </c>
      <c r="Q135" s="606"/>
      <c r="R135" s="606"/>
      <c r="S135" s="606"/>
      <c r="T135" s="606"/>
      <c r="U135" s="606"/>
      <c r="V135" s="607"/>
      <c r="W135" s="40" t="s">
        <v>74</v>
      </c>
      <c r="X135" s="41">
        <f>IFERROR(X133/H133,"0")+IFERROR(X134/H134,"0")</f>
        <v>2</v>
      </c>
      <c r="Y135" s="41">
        <f>IFERROR(Y133/H133,"0")+IFERROR(Y134/H134,"0")</f>
        <v>2</v>
      </c>
      <c r="Z135" s="41">
        <f>IFERROR(IF(Z133="",0,Z133),"0")+IFERROR(IF(Z134="",0,Z134),"0")</f>
        <v>1.302E-2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22"/>
      <c r="P136" s="605" t="s">
        <v>73</v>
      </c>
      <c r="Q136" s="606"/>
      <c r="R136" s="606"/>
      <c r="S136" s="606"/>
      <c r="T136" s="606"/>
      <c r="U136" s="606"/>
      <c r="V136" s="607"/>
      <c r="W136" s="40" t="s">
        <v>68</v>
      </c>
      <c r="X136" s="41">
        <f>IFERROR(SUM(X133:X134),"0")</f>
        <v>6.4</v>
      </c>
      <c r="Y136" s="41">
        <f>IFERROR(SUM(Y133:Y134),"0")</f>
        <v>6.4</v>
      </c>
      <c r="Z136" s="40"/>
      <c r="AA136" s="64"/>
      <c r="AB136" s="64"/>
      <c r="AC136" s="64"/>
    </row>
    <row r="137" spans="1:68" ht="14.25" customHeight="1" x14ac:dyDescent="0.25">
      <c r="A137" s="608" t="s">
        <v>63</v>
      </c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  <c r="Z137" s="609"/>
      <c r="AA137" s="63"/>
      <c r="AB137" s="63"/>
      <c r="AC137" s="63"/>
    </row>
    <row r="138" spans="1:68" ht="27" customHeight="1" x14ac:dyDescent="0.25">
      <c r="A138" s="60" t="s">
        <v>246</v>
      </c>
      <c r="B138" s="60" t="s">
        <v>247</v>
      </c>
      <c r="C138" s="34">
        <v>4301031234</v>
      </c>
      <c r="D138" s="597">
        <v>4680115883444</v>
      </c>
      <c r="E138" s="59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78</v>
      </c>
      <c r="L138" s="35"/>
      <c r="M138" s="36" t="s">
        <v>99</v>
      </c>
      <c r="N138" s="36"/>
      <c r="O138" s="35">
        <v>90</v>
      </c>
      <c r="P138" s="7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0"/>
      <c r="R138" s="600"/>
      <c r="S138" s="600"/>
      <c r="T138" s="601"/>
      <c r="U138" s="37"/>
      <c r="V138" s="37"/>
      <c r="W138" s="38" t="s">
        <v>68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248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246</v>
      </c>
      <c r="B139" s="60" t="s">
        <v>249</v>
      </c>
      <c r="C139" s="34">
        <v>4301031235</v>
      </c>
      <c r="D139" s="597">
        <v>4680115883444</v>
      </c>
      <c r="E139" s="59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78</v>
      </c>
      <c r="L139" s="35"/>
      <c r="M139" s="36" t="s">
        <v>99</v>
      </c>
      <c r="N139" s="36"/>
      <c r="O139" s="35">
        <v>90</v>
      </c>
      <c r="P139" s="86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0"/>
      <c r="R139" s="600"/>
      <c r="S139" s="600"/>
      <c r="T139" s="601"/>
      <c r="U139" s="37"/>
      <c r="V139" s="37"/>
      <c r="W139" s="38" t="s">
        <v>68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248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1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22"/>
      <c r="P140" s="605" t="s">
        <v>73</v>
      </c>
      <c r="Q140" s="606"/>
      <c r="R140" s="606"/>
      <c r="S140" s="606"/>
      <c r="T140" s="606"/>
      <c r="U140" s="606"/>
      <c r="V140" s="607"/>
      <c r="W140" s="40" t="s">
        <v>74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22"/>
      <c r="P141" s="605" t="s">
        <v>73</v>
      </c>
      <c r="Q141" s="606"/>
      <c r="R141" s="606"/>
      <c r="S141" s="606"/>
      <c r="T141" s="606"/>
      <c r="U141" s="606"/>
      <c r="V141" s="607"/>
      <c r="W141" s="40" t="s">
        <v>68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08" t="s">
        <v>75</v>
      </c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  <c r="Z142" s="609"/>
      <c r="AA142" s="63"/>
      <c r="AB142" s="63"/>
      <c r="AC142" s="63"/>
    </row>
    <row r="143" spans="1:68" ht="16.5" customHeight="1" x14ac:dyDescent="0.25">
      <c r="A143" s="60" t="s">
        <v>250</v>
      </c>
      <c r="B143" s="60" t="s">
        <v>251</v>
      </c>
      <c r="C143" s="34">
        <v>4301051476</v>
      </c>
      <c r="D143" s="597">
        <v>4680115882584</v>
      </c>
      <c r="E143" s="59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78</v>
      </c>
      <c r="L143" s="35"/>
      <c r="M143" s="36" t="s">
        <v>99</v>
      </c>
      <c r="N143" s="36"/>
      <c r="O143" s="35">
        <v>60</v>
      </c>
      <c r="P143" s="8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0"/>
      <c r="R143" s="600"/>
      <c r="S143" s="600"/>
      <c r="T143" s="601"/>
      <c r="U143" s="37"/>
      <c r="V143" s="37"/>
      <c r="W143" s="38" t="s">
        <v>68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244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250</v>
      </c>
      <c r="B144" s="60" t="s">
        <v>252</v>
      </c>
      <c r="C144" s="34">
        <v>4301051477</v>
      </c>
      <c r="D144" s="597">
        <v>4680115882584</v>
      </c>
      <c r="E144" s="59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78</v>
      </c>
      <c r="L144" s="35"/>
      <c r="M144" s="36" t="s">
        <v>99</v>
      </c>
      <c r="N144" s="36"/>
      <c r="O144" s="35">
        <v>60</v>
      </c>
      <c r="P144" s="6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0"/>
      <c r="R144" s="600"/>
      <c r="S144" s="600"/>
      <c r="T144" s="601"/>
      <c r="U144" s="37"/>
      <c r="V144" s="37"/>
      <c r="W144" s="38" t="s">
        <v>68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244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21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22"/>
      <c r="P145" s="605" t="s">
        <v>73</v>
      </c>
      <c r="Q145" s="606"/>
      <c r="R145" s="606"/>
      <c r="S145" s="606"/>
      <c r="T145" s="606"/>
      <c r="U145" s="606"/>
      <c r="V145" s="607"/>
      <c r="W145" s="40" t="s">
        <v>74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22"/>
      <c r="P146" s="605" t="s">
        <v>73</v>
      </c>
      <c r="Q146" s="606"/>
      <c r="R146" s="606"/>
      <c r="S146" s="606"/>
      <c r="T146" s="606"/>
      <c r="U146" s="606"/>
      <c r="V146" s="607"/>
      <c r="W146" s="40" t="s">
        <v>68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4" t="s">
        <v>253</v>
      </c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  <c r="Z147" s="609"/>
      <c r="AA147" s="62"/>
      <c r="AB147" s="62"/>
      <c r="AC147" s="62"/>
    </row>
    <row r="148" spans="1:68" ht="14.25" customHeight="1" x14ac:dyDescent="0.25">
      <c r="A148" s="608" t="s">
        <v>75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63"/>
      <c r="AB148" s="63"/>
      <c r="AC148" s="63"/>
    </row>
    <row r="149" spans="1:68" ht="27" customHeight="1" x14ac:dyDescent="0.25">
      <c r="A149" s="60" t="s">
        <v>254</v>
      </c>
      <c r="B149" s="60" t="s">
        <v>255</v>
      </c>
      <c r="C149" s="34">
        <v>4301052174</v>
      </c>
      <c r="D149" s="597">
        <v>4680115888203</v>
      </c>
      <c r="E149" s="59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78</v>
      </c>
      <c r="L149" s="35"/>
      <c r="M149" s="36" t="s">
        <v>85</v>
      </c>
      <c r="N149" s="36"/>
      <c r="O149" s="35">
        <v>40</v>
      </c>
      <c r="P149" s="9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0"/>
      <c r="R149" s="600"/>
      <c r="S149" s="600"/>
      <c r="T149" s="601"/>
      <c r="U149" s="37"/>
      <c r="V149" s="37"/>
      <c r="W149" s="38" t="s">
        <v>68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256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257</v>
      </c>
      <c r="B150" s="60" t="s">
        <v>258</v>
      </c>
      <c r="C150" s="34">
        <v>4301052172</v>
      </c>
      <c r="D150" s="597">
        <v>4680115888180</v>
      </c>
      <c r="E150" s="59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78</v>
      </c>
      <c r="L150" s="35"/>
      <c r="M150" s="36" t="s">
        <v>85</v>
      </c>
      <c r="N150" s="36"/>
      <c r="O150" s="35">
        <v>40</v>
      </c>
      <c r="P150" s="62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0"/>
      <c r="R150" s="600"/>
      <c r="S150" s="600"/>
      <c r="T150" s="601"/>
      <c r="U150" s="37"/>
      <c r="V150" s="37"/>
      <c r="W150" s="38" t="s">
        <v>68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259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260</v>
      </c>
      <c r="B151" s="60" t="s">
        <v>261</v>
      </c>
      <c r="C151" s="34">
        <v>4301052173</v>
      </c>
      <c r="D151" s="597">
        <v>4680115888197</v>
      </c>
      <c r="E151" s="59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78</v>
      </c>
      <c r="L151" s="35"/>
      <c r="M151" s="36" t="s">
        <v>85</v>
      </c>
      <c r="N151" s="36"/>
      <c r="O151" s="35">
        <v>40</v>
      </c>
      <c r="P151" s="93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0"/>
      <c r="R151" s="600"/>
      <c r="S151" s="600"/>
      <c r="T151" s="601"/>
      <c r="U151" s="37"/>
      <c r="V151" s="37"/>
      <c r="W151" s="38" t="s">
        <v>68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262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263</v>
      </c>
      <c r="B152" s="60" t="s">
        <v>264</v>
      </c>
      <c r="C152" s="34">
        <v>4301052175</v>
      </c>
      <c r="D152" s="597">
        <v>4680115888210</v>
      </c>
      <c r="E152" s="59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78</v>
      </c>
      <c r="L152" s="35"/>
      <c r="M152" s="36" t="s">
        <v>85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0"/>
      <c r="R152" s="600"/>
      <c r="S152" s="600"/>
      <c r="T152" s="601"/>
      <c r="U152" s="37"/>
      <c r="V152" s="37"/>
      <c r="W152" s="38" t="s">
        <v>68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265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21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22"/>
      <c r="P153" s="605" t="s">
        <v>73</v>
      </c>
      <c r="Q153" s="606"/>
      <c r="R153" s="606"/>
      <c r="S153" s="606"/>
      <c r="T153" s="606"/>
      <c r="U153" s="606"/>
      <c r="V153" s="607"/>
      <c r="W153" s="40" t="s">
        <v>74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22"/>
      <c r="P154" s="605" t="s">
        <v>73</v>
      </c>
      <c r="Q154" s="606"/>
      <c r="R154" s="606"/>
      <c r="S154" s="606"/>
      <c r="T154" s="606"/>
      <c r="U154" s="606"/>
      <c r="V154" s="607"/>
      <c r="W154" s="40" t="s">
        <v>68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4" t="s">
        <v>116</v>
      </c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  <c r="Z155" s="609"/>
      <c r="AA155" s="62"/>
      <c r="AB155" s="62"/>
      <c r="AC155" s="62"/>
    </row>
    <row r="156" spans="1:68" ht="14.25" customHeight="1" x14ac:dyDescent="0.25">
      <c r="A156" s="608" t="s">
        <v>118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63"/>
      <c r="AB156" s="63"/>
      <c r="AC156" s="63"/>
    </row>
    <row r="157" spans="1:68" ht="27" customHeight="1" x14ac:dyDescent="0.25">
      <c r="A157" s="60" t="s">
        <v>266</v>
      </c>
      <c r="B157" s="60" t="s">
        <v>267</v>
      </c>
      <c r="C157" s="34">
        <v>4301012244</v>
      </c>
      <c r="D157" s="597">
        <v>4680115887374</v>
      </c>
      <c r="E157" s="59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121</v>
      </c>
      <c r="L157" s="35"/>
      <c r="M157" s="36" t="s">
        <v>122</v>
      </c>
      <c r="N157" s="36"/>
      <c r="O157" s="35">
        <v>55</v>
      </c>
      <c r="P157" s="62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0"/>
      <c r="R157" s="600"/>
      <c r="S157" s="600"/>
      <c r="T157" s="601"/>
      <c r="U157" s="37"/>
      <c r="V157" s="37"/>
      <c r="W157" s="38" t="s">
        <v>68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268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269</v>
      </c>
      <c r="B158" s="60" t="s">
        <v>270</v>
      </c>
      <c r="C158" s="34">
        <v>4301011705</v>
      </c>
      <c r="D158" s="597">
        <v>4607091384604</v>
      </c>
      <c r="E158" s="59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130</v>
      </c>
      <c r="L158" s="35"/>
      <c r="M158" s="36" t="s">
        <v>122</v>
      </c>
      <c r="N158" s="36"/>
      <c r="O158" s="35">
        <v>50</v>
      </c>
      <c r="P158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0"/>
      <c r="R158" s="600"/>
      <c r="S158" s="600"/>
      <c r="T158" s="601"/>
      <c r="U158" s="37"/>
      <c r="V158" s="37"/>
      <c r="W158" s="38" t="s">
        <v>68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271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21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22"/>
      <c r="P159" s="605" t="s">
        <v>73</v>
      </c>
      <c r="Q159" s="606"/>
      <c r="R159" s="606"/>
      <c r="S159" s="606"/>
      <c r="T159" s="606"/>
      <c r="U159" s="606"/>
      <c r="V159" s="607"/>
      <c r="W159" s="40" t="s">
        <v>74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22"/>
      <c r="P160" s="605" t="s">
        <v>73</v>
      </c>
      <c r="Q160" s="606"/>
      <c r="R160" s="606"/>
      <c r="S160" s="606"/>
      <c r="T160" s="606"/>
      <c r="U160" s="606"/>
      <c r="V160" s="607"/>
      <c r="W160" s="40" t="s">
        <v>68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8" t="s">
        <v>153</v>
      </c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  <c r="Z161" s="609"/>
      <c r="AA161" s="63"/>
      <c r="AB161" s="63"/>
      <c r="AC161" s="63"/>
    </row>
    <row r="162" spans="1:68" ht="16.5" customHeight="1" x14ac:dyDescent="0.25">
      <c r="A162" s="60" t="s">
        <v>272</v>
      </c>
      <c r="B162" s="60" t="s">
        <v>273</v>
      </c>
      <c r="C162" s="34">
        <v>4301020410</v>
      </c>
      <c r="D162" s="597">
        <v>4680115887695</v>
      </c>
      <c r="E162" s="59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66</v>
      </c>
      <c r="L162" s="35"/>
      <c r="M162" s="36" t="s">
        <v>67</v>
      </c>
      <c r="N162" s="36"/>
      <c r="O162" s="35">
        <v>30</v>
      </c>
      <c r="P162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0"/>
      <c r="R162" s="600"/>
      <c r="S162" s="600"/>
      <c r="T162" s="601"/>
      <c r="U162" s="37"/>
      <c r="V162" s="37"/>
      <c r="W162" s="38" t="s">
        <v>68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274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21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22"/>
      <c r="P163" s="605" t="s">
        <v>73</v>
      </c>
      <c r="Q163" s="606"/>
      <c r="R163" s="606"/>
      <c r="S163" s="606"/>
      <c r="T163" s="606"/>
      <c r="U163" s="606"/>
      <c r="V163" s="607"/>
      <c r="W163" s="40" t="s">
        <v>74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22"/>
      <c r="P164" s="605" t="s">
        <v>73</v>
      </c>
      <c r="Q164" s="606"/>
      <c r="R164" s="606"/>
      <c r="S164" s="606"/>
      <c r="T164" s="606"/>
      <c r="U164" s="606"/>
      <c r="V164" s="607"/>
      <c r="W164" s="40" t="s">
        <v>68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8" t="s">
        <v>63</v>
      </c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  <c r="Z165" s="609"/>
      <c r="AA165" s="63"/>
      <c r="AB165" s="63"/>
      <c r="AC165" s="63"/>
    </row>
    <row r="166" spans="1:68" ht="27" customHeight="1" x14ac:dyDescent="0.25">
      <c r="A166" s="60" t="s">
        <v>275</v>
      </c>
      <c r="B166" s="60" t="s">
        <v>276</v>
      </c>
      <c r="C166" s="34">
        <v>4301031496</v>
      </c>
      <c r="D166" s="597">
        <v>4680115887428</v>
      </c>
      <c r="E166" s="59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130</v>
      </c>
      <c r="L166" s="35"/>
      <c r="M166" s="36" t="s">
        <v>67</v>
      </c>
      <c r="N166" s="36"/>
      <c r="O166" s="35">
        <v>40</v>
      </c>
      <c r="P166" s="8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0"/>
      <c r="R166" s="600"/>
      <c r="S166" s="600"/>
      <c r="T166" s="601"/>
      <c r="U166" s="37"/>
      <c r="V166" s="37"/>
      <c r="W166" s="38" t="s">
        <v>68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277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278</v>
      </c>
      <c r="B167" s="60" t="s">
        <v>279</v>
      </c>
      <c r="C167" s="34">
        <v>4301030963</v>
      </c>
      <c r="D167" s="597">
        <v>4607091382426</v>
      </c>
      <c r="E167" s="59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121</v>
      </c>
      <c r="L167" s="35"/>
      <c r="M167" s="36" t="s">
        <v>67</v>
      </c>
      <c r="N167" s="36"/>
      <c r="O167" s="35">
        <v>40</v>
      </c>
      <c r="P167" s="7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0"/>
      <c r="R167" s="600"/>
      <c r="S167" s="600"/>
      <c r="T167" s="601"/>
      <c r="U167" s="37"/>
      <c r="V167" s="37"/>
      <c r="W167" s="38" t="s">
        <v>68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280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281</v>
      </c>
      <c r="B168" s="60" t="s">
        <v>282</v>
      </c>
      <c r="C168" s="34">
        <v>4301031498</v>
      </c>
      <c r="D168" s="597">
        <v>4680115887398</v>
      </c>
      <c r="E168" s="59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130</v>
      </c>
      <c r="L168" s="35"/>
      <c r="M168" s="36" t="s">
        <v>67</v>
      </c>
      <c r="N168" s="36"/>
      <c r="O168" s="35">
        <v>40</v>
      </c>
      <c r="P168" s="70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0"/>
      <c r="R168" s="600"/>
      <c r="S168" s="600"/>
      <c r="T168" s="601"/>
      <c r="U168" s="37"/>
      <c r="V168" s="37"/>
      <c r="W168" s="38" t="s">
        <v>68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283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284</v>
      </c>
      <c r="B169" s="60" t="s">
        <v>285</v>
      </c>
      <c r="C169" s="34">
        <v>4301031497</v>
      </c>
      <c r="D169" s="597">
        <v>4680115887336</v>
      </c>
      <c r="E169" s="59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130</v>
      </c>
      <c r="L169" s="35"/>
      <c r="M169" s="36" t="s">
        <v>67</v>
      </c>
      <c r="N169" s="36"/>
      <c r="O169" s="35">
        <v>40</v>
      </c>
      <c r="P169" s="73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0"/>
      <c r="R169" s="600"/>
      <c r="S169" s="600"/>
      <c r="T169" s="601"/>
      <c r="U169" s="37"/>
      <c r="V169" s="37"/>
      <c r="W169" s="38" t="s">
        <v>68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286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287</v>
      </c>
      <c r="B170" s="60" t="s">
        <v>288</v>
      </c>
      <c r="C170" s="34">
        <v>4301032049</v>
      </c>
      <c r="D170" s="597">
        <v>4680115887787</v>
      </c>
      <c r="E170" s="59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126</v>
      </c>
      <c r="L170" s="35"/>
      <c r="M170" s="36" t="s">
        <v>67</v>
      </c>
      <c r="N170" s="36"/>
      <c r="O170" s="35">
        <v>45</v>
      </c>
      <c r="P170" s="6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0"/>
      <c r="R170" s="600"/>
      <c r="S170" s="600"/>
      <c r="T170" s="601"/>
      <c r="U170" s="37"/>
      <c r="V170" s="37"/>
      <c r="W170" s="38" t="s">
        <v>68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289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290</v>
      </c>
      <c r="B171" s="60" t="s">
        <v>291</v>
      </c>
      <c r="C171" s="34">
        <v>4301031448</v>
      </c>
      <c r="D171" s="597">
        <v>4680115887503</v>
      </c>
      <c r="E171" s="59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66</v>
      </c>
      <c r="L171" s="35"/>
      <c r="M171" s="36" t="s">
        <v>67</v>
      </c>
      <c r="N171" s="36"/>
      <c r="O171" s="35">
        <v>40</v>
      </c>
      <c r="P171" s="6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0"/>
      <c r="R171" s="600"/>
      <c r="S171" s="600"/>
      <c r="T171" s="601"/>
      <c r="U171" s="37"/>
      <c r="V171" s="37"/>
      <c r="W171" s="38" t="s">
        <v>68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/>
      <c r="AB171" s="66"/>
      <c r="AC171" s="233" t="s">
        <v>277</v>
      </c>
      <c r="AG171" s="75"/>
      <c r="AJ171" s="79"/>
      <c r="AK171" s="79">
        <v>0</v>
      </c>
      <c r="BB171" s="234" t="s">
        <v>1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292</v>
      </c>
      <c r="B172" s="60" t="s">
        <v>293</v>
      </c>
      <c r="C172" s="34">
        <v>4301031389</v>
      </c>
      <c r="D172" s="597">
        <v>4680115887763</v>
      </c>
      <c r="E172" s="59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126</v>
      </c>
      <c r="L172" s="35"/>
      <c r="M172" s="36" t="s">
        <v>67</v>
      </c>
      <c r="N172" s="36"/>
      <c r="O172" s="35">
        <v>45</v>
      </c>
      <c r="P172" s="6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0"/>
      <c r="R172" s="600"/>
      <c r="S172" s="600"/>
      <c r="T172" s="601"/>
      <c r="U172" s="37"/>
      <c r="V172" s="37"/>
      <c r="W172" s="38" t="s">
        <v>68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294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295</v>
      </c>
      <c r="B173" s="60" t="s">
        <v>296</v>
      </c>
      <c r="C173" s="34">
        <v>4301031454</v>
      </c>
      <c r="D173" s="597">
        <v>4680115887480</v>
      </c>
      <c r="E173" s="59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66</v>
      </c>
      <c r="L173" s="35"/>
      <c r="M173" s="36" t="s">
        <v>67</v>
      </c>
      <c r="N173" s="36"/>
      <c r="O173" s="35">
        <v>40</v>
      </c>
      <c r="P173" s="66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0"/>
      <c r="R173" s="600"/>
      <c r="S173" s="600"/>
      <c r="T173" s="601"/>
      <c r="U173" s="37"/>
      <c r="V173" s="37"/>
      <c r="W173" s="38" t="s">
        <v>68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283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297</v>
      </c>
      <c r="B174" s="60" t="s">
        <v>298</v>
      </c>
      <c r="C174" s="34">
        <v>4301031434</v>
      </c>
      <c r="D174" s="597">
        <v>4680115888067</v>
      </c>
      <c r="E174" s="59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126</v>
      </c>
      <c r="L174" s="35"/>
      <c r="M174" s="36" t="s">
        <v>67</v>
      </c>
      <c r="N174" s="36"/>
      <c r="O174" s="35">
        <v>45</v>
      </c>
      <c r="P174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0"/>
      <c r="R174" s="600"/>
      <c r="S174" s="600"/>
      <c r="T174" s="601"/>
      <c r="U174" s="37"/>
      <c r="V174" s="37"/>
      <c r="W174" s="38" t="s">
        <v>68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299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300</v>
      </c>
      <c r="B175" s="60" t="s">
        <v>301</v>
      </c>
      <c r="C175" s="34">
        <v>4301031451</v>
      </c>
      <c r="D175" s="597">
        <v>4680115887435</v>
      </c>
      <c r="E175" s="59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66</v>
      </c>
      <c r="L175" s="35"/>
      <c r="M175" s="36" t="s">
        <v>67</v>
      </c>
      <c r="N175" s="36"/>
      <c r="O175" s="35">
        <v>40</v>
      </c>
      <c r="P175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0"/>
      <c r="R175" s="600"/>
      <c r="S175" s="600"/>
      <c r="T175" s="601"/>
      <c r="U175" s="37"/>
      <c r="V175" s="37"/>
      <c r="W175" s="38" t="s">
        <v>68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/>
      <c r="AB175" s="66"/>
      <c r="AC175" s="241" t="s">
        <v>286</v>
      </c>
      <c r="AG175" s="75"/>
      <c r="AJ175" s="79"/>
      <c r="AK175" s="79">
        <v>0</v>
      </c>
      <c r="BB175" s="242" t="s">
        <v>1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21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22"/>
      <c r="P176" s="605" t="s">
        <v>73</v>
      </c>
      <c r="Q176" s="606"/>
      <c r="R176" s="606"/>
      <c r="S176" s="606"/>
      <c r="T176" s="606"/>
      <c r="U176" s="606"/>
      <c r="V176" s="607"/>
      <c r="W176" s="40" t="s">
        <v>74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22"/>
      <c r="P177" s="605" t="s">
        <v>73</v>
      </c>
      <c r="Q177" s="606"/>
      <c r="R177" s="606"/>
      <c r="S177" s="606"/>
      <c r="T177" s="606"/>
      <c r="U177" s="606"/>
      <c r="V177" s="607"/>
      <c r="W177" s="40" t="s">
        <v>68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08" t="s">
        <v>75</v>
      </c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  <c r="Y178" s="609"/>
      <c r="Z178" s="609"/>
      <c r="AA178" s="63"/>
      <c r="AB178" s="63"/>
      <c r="AC178" s="63"/>
    </row>
    <row r="179" spans="1:68" ht="16.5" customHeight="1" x14ac:dyDescent="0.25">
      <c r="A179" s="60" t="s">
        <v>302</v>
      </c>
      <c r="B179" s="60" t="s">
        <v>303</v>
      </c>
      <c r="C179" s="34">
        <v>4301052193</v>
      </c>
      <c r="D179" s="597">
        <v>4680115888395</v>
      </c>
      <c r="E179" s="59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78</v>
      </c>
      <c r="L179" s="35"/>
      <c r="M179" s="36" t="s">
        <v>85</v>
      </c>
      <c r="N179" s="36"/>
      <c r="O179" s="35">
        <v>40</v>
      </c>
      <c r="P179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0"/>
      <c r="R179" s="600"/>
      <c r="S179" s="600"/>
      <c r="T179" s="601"/>
      <c r="U179" s="37"/>
      <c r="V179" s="37"/>
      <c r="W179" s="38" t="s">
        <v>68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304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305</v>
      </c>
      <c r="B180" s="60" t="s">
        <v>306</v>
      </c>
      <c r="C180" s="34">
        <v>4301052191</v>
      </c>
      <c r="D180" s="597">
        <v>4680115888371</v>
      </c>
      <c r="E180" s="59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78</v>
      </c>
      <c r="L180" s="35"/>
      <c r="M180" s="36" t="s">
        <v>85</v>
      </c>
      <c r="N180" s="36"/>
      <c r="O180" s="35">
        <v>40</v>
      </c>
      <c r="P180" s="73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0"/>
      <c r="R180" s="600"/>
      <c r="S180" s="600"/>
      <c r="T180" s="601"/>
      <c r="U180" s="37"/>
      <c r="V180" s="37"/>
      <c r="W180" s="38" t="s">
        <v>68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307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308</v>
      </c>
      <c r="B181" s="60" t="s">
        <v>309</v>
      </c>
      <c r="C181" s="34">
        <v>4301052064</v>
      </c>
      <c r="D181" s="597">
        <v>4680115887459</v>
      </c>
      <c r="E181" s="59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78</v>
      </c>
      <c r="L181" s="35"/>
      <c r="M181" s="36" t="s">
        <v>79</v>
      </c>
      <c r="N181" s="36"/>
      <c r="O181" s="35">
        <v>45</v>
      </c>
      <c r="P181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0"/>
      <c r="R181" s="600"/>
      <c r="S181" s="600"/>
      <c r="T181" s="601"/>
      <c r="U181" s="37"/>
      <c r="V181" s="37"/>
      <c r="W181" s="38" t="s">
        <v>68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310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21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22"/>
      <c r="P182" s="605" t="s">
        <v>73</v>
      </c>
      <c r="Q182" s="606"/>
      <c r="R182" s="606"/>
      <c r="S182" s="606"/>
      <c r="T182" s="606"/>
      <c r="U182" s="606"/>
      <c r="V182" s="607"/>
      <c r="W182" s="40" t="s">
        <v>74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22"/>
      <c r="P183" s="605" t="s">
        <v>73</v>
      </c>
      <c r="Q183" s="606"/>
      <c r="R183" s="606"/>
      <c r="S183" s="606"/>
      <c r="T183" s="606"/>
      <c r="U183" s="606"/>
      <c r="V183" s="607"/>
      <c r="W183" s="40" t="s">
        <v>68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8" t="s">
        <v>96</v>
      </c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  <c r="Y184" s="609"/>
      <c r="Z184" s="609"/>
      <c r="AA184" s="63"/>
      <c r="AB184" s="63"/>
      <c r="AC184" s="63"/>
    </row>
    <row r="185" spans="1:68" ht="16.5" customHeight="1" x14ac:dyDescent="0.25">
      <c r="A185" s="60" t="s">
        <v>311</v>
      </c>
      <c r="B185" s="60" t="s">
        <v>312</v>
      </c>
      <c r="C185" s="34">
        <v>4301032058</v>
      </c>
      <c r="D185" s="597">
        <v>4680115889026</v>
      </c>
      <c r="E185" s="59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313</v>
      </c>
      <c r="L185" s="35"/>
      <c r="M185" s="36" t="s">
        <v>314</v>
      </c>
      <c r="N185" s="36"/>
      <c r="O185" s="35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0"/>
      <c r="R185" s="600"/>
      <c r="S185" s="600"/>
      <c r="T185" s="601"/>
      <c r="U185" s="37"/>
      <c r="V185" s="37"/>
      <c r="W185" s="38" t="s">
        <v>68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315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316</v>
      </c>
      <c r="B186" s="60" t="s">
        <v>317</v>
      </c>
      <c r="C186" s="34">
        <v>4301032057</v>
      </c>
      <c r="D186" s="597">
        <v>4680115889088</v>
      </c>
      <c r="E186" s="59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313</v>
      </c>
      <c r="L186" s="35"/>
      <c r="M186" s="36" t="s">
        <v>314</v>
      </c>
      <c r="N186" s="36"/>
      <c r="O186" s="35">
        <v>45</v>
      </c>
      <c r="P186" s="90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0"/>
      <c r="R186" s="600"/>
      <c r="S186" s="600"/>
      <c r="T186" s="601"/>
      <c r="U186" s="37"/>
      <c r="V186" s="37"/>
      <c r="W186" s="38" t="s">
        <v>68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318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21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22"/>
      <c r="P187" s="605" t="s">
        <v>73</v>
      </c>
      <c r="Q187" s="606"/>
      <c r="R187" s="606"/>
      <c r="S187" s="606"/>
      <c r="T187" s="606"/>
      <c r="U187" s="606"/>
      <c r="V187" s="607"/>
      <c r="W187" s="40" t="s">
        <v>74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22"/>
      <c r="P188" s="605" t="s">
        <v>73</v>
      </c>
      <c r="Q188" s="606"/>
      <c r="R188" s="606"/>
      <c r="S188" s="606"/>
      <c r="T188" s="606"/>
      <c r="U188" s="606"/>
      <c r="V188" s="607"/>
      <c r="W188" s="40" t="s">
        <v>68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8" t="s">
        <v>319</v>
      </c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  <c r="Y189" s="609"/>
      <c r="Z189" s="609"/>
      <c r="AA189" s="63"/>
      <c r="AB189" s="63"/>
      <c r="AC189" s="63"/>
    </row>
    <row r="190" spans="1:68" ht="27" customHeight="1" x14ac:dyDescent="0.25">
      <c r="A190" s="60" t="s">
        <v>320</v>
      </c>
      <c r="B190" s="60" t="s">
        <v>321</v>
      </c>
      <c r="C190" s="34">
        <v>4301041009</v>
      </c>
      <c r="D190" s="597">
        <v>4680115889033</v>
      </c>
      <c r="E190" s="59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313</v>
      </c>
      <c r="L190" s="35"/>
      <c r="M190" s="36" t="s">
        <v>314</v>
      </c>
      <c r="N190" s="36"/>
      <c r="O190" s="35">
        <v>60</v>
      </c>
      <c r="P190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0"/>
      <c r="R190" s="600"/>
      <c r="S190" s="600"/>
      <c r="T190" s="601"/>
      <c r="U190" s="37"/>
      <c r="V190" s="37"/>
      <c r="W190" s="38" t="s">
        <v>68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322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21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22"/>
      <c r="P191" s="605" t="s">
        <v>73</v>
      </c>
      <c r="Q191" s="606"/>
      <c r="R191" s="606"/>
      <c r="S191" s="606"/>
      <c r="T191" s="606"/>
      <c r="U191" s="606"/>
      <c r="V191" s="607"/>
      <c r="W191" s="40" t="s">
        <v>74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22"/>
      <c r="P192" s="605" t="s">
        <v>73</v>
      </c>
      <c r="Q192" s="606"/>
      <c r="R192" s="606"/>
      <c r="S192" s="606"/>
      <c r="T192" s="606"/>
      <c r="U192" s="606"/>
      <c r="V192" s="607"/>
      <c r="W192" s="40" t="s">
        <v>68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10" t="s">
        <v>323</v>
      </c>
      <c r="B193" s="611"/>
      <c r="C193" s="611"/>
      <c r="D193" s="611"/>
      <c r="E193" s="611"/>
      <c r="F193" s="611"/>
      <c r="G193" s="611"/>
      <c r="H193" s="611"/>
      <c r="I193" s="611"/>
      <c r="J193" s="611"/>
      <c r="K193" s="611"/>
      <c r="L193" s="611"/>
      <c r="M193" s="611"/>
      <c r="N193" s="611"/>
      <c r="O193" s="611"/>
      <c r="P193" s="611"/>
      <c r="Q193" s="611"/>
      <c r="R193" s="611"/>
      <c r="S193" s="611"/>
      <c r="T193" s="611"/>
      <c r="U193" s="611"/>
      <c r="V193" s="611"/>
      <c r="W193" s="611"/>
      <c r="X193" s="611"/>
      <c r="Y193" s="611"/>
      <c r="Z193" s="611"/>
      <c r="AA193" s="52"/>
      <c r="AB193" s="52"/>
      <c r="AC193" s="52"/>
    </row>
    <row r="194" spans="1:68" ht="16.5" customHeight="1" x14ac:dyDescent="0.25">
      <c r="A194" s="614" t="s">
        <v>324</v>
      </c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  <c r="Z194" s="609"/>
      <c r="AA194" s="62"/>
      <c r="AB194" s="62"/>
      <c r="AC194" s="62"/>
    </row>
    <row r="195" spans="1:68" ht="14.25" customHeight="1" x14ac:dyDescent="0.25">
      <c r="A195" s="608" t="s">
        <v>118</v>
      </c>
      <c r="B195" s="609"/>
      <c r="C195" s="609"/>
      <c r="D195" s="609"/>
      <c r="E195" s="609"/>
      <c r="F195" s="609"/>
      <c r="G195" s="609"/>
      <c r="H195" s="609"/>
      <c r="I195" s="609"/>
      <c r="J195" s="609"/>
      <c r="K195" s="609"/>
      <c r="L195" s="609"/>
      <c r="M195" s="609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  <c r="Y195" s="609"/>
      <c r="Z195" s="609"/>
      <c r="AA195" s="63"/>
      <c r="AB195" s="63"/>
      <c r="AC195" s="63"/>
    </row>
    <row r="196" spans="1:68" ht="27" customHeight="1" x14ac:dyDescent="0.25">
      <c r="A196" s="60" t="s">
        <v>325</v>
      </c>
      <c r="B196" s="60" t="s">
        <v>326</v>
      </c>
      <c r="C196" s="34">
        <v>4301011223</v>
      </c>
      <c r="D196" s="597">
        <v>4607091383423</v>
      </c>
      <c r="E196" s="59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121</v>
      </c>
      <c r="L196" s="35"/>
      <c r="M196" s="36" t="s">
        <v>79</v>
      </c>
      <c r="N196" s="36"/>
      <c r="O196" s="35">
        <v>35</v>
      </c>
      <c r="P196" s="88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0"/>
      <c r="R196" s="600"/>
      <c r="S196" s="600"/>
      <c r="T196" s="601"/>
      <c r="U196" s="37"/>
      <c r="V196" s="37"/>
      <c r="W196" s="38" t="s">
        <v>68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123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327</v>
      </c>
      <c r="B197" s="60" t="s">
        <v>328</v>
      </c>
      <c r="C197" s="34">
        <v>4301012199</v>
      </c>
      <c r="D197" s="597">
        <v>4680115886957</v>
      </c>
      <c r="E197" s="59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121</v>
      </c>
      <c r="L197" s="35"/>
      <c r="M197" s="36" t="s">
        <v>79</v>
      </c>
      <c r="N197" s="36"/>
      <c r="O197" s="35">
        <v>30</v>
      </c>
      <c r="P197" s="745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0"/>
      <c r="R197" s="600"/>
      <c r="S197" s="600"/>
      <c r="T197" s="601"/>
      <c r="U197" s="37"/>
      <c r="V197" s="37"/>
      <c r="W197" s="38" t="s">
        <v>68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329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330</v>
      </c>
      <c r="B198" s="60" t="s">
        <v>331</v>
      </c>
      <c r="C198" s="34">
        <v>4301012098</v>
      </c>
      <c r="D198" s="597">
        <v>4680115885660</v>
      </c>
      <c r="E198" s="59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121</v>
      </c>
      <c r="L198" s="35"/>
      <c r="M198" s="36" t="s">
        <v>79</v>
      </c>
      <c r="N198" s="36"/>
      <c r="O198" s="35">
        <v>35</v>
      </c>
      <c r="P198" s="88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0"/>
      <c r="R198" s="600"/>
      <c r="S198" s="600"/>
      <c r="T198" s="601"/>
      <c r="U198" s="37"/>
      <c r="V198" s="37"/>
      <c r="W198" s="38" t="s">
        <v>68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332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333</v>
      </c>
      <c r="B199" s="60" t="s">
        <v>334</v>
      </c>
      <c r="C199" s="34">
        <v>4301012176</v>
      </c>
      <c r="D199" s="597">
        <v>4680115886773</v>
      </c>
      <c r="E199" s="59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121</v>
      </c>
      <c r="L199" s="35"/>
      <c r="M199" s="36" t="s">
        <v>122</v>
      </c>
      <c r="N199" s="36"/>
      <c r="O199" s="35">
        <v>31</v>
      </c>
      <c r="P199" s="914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0"/>
      <c r="R199" s="600"/>
      <c r="S199" s="600"/>
      <c r="T199" s="601"/>
      <c r="U199" s="37"/>
      <c r="V199" s="37"/>
      <c r="W199" s="38" t="s">
        <v>68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335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21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22"/>
      <c r="P200" s="605" t="s">
        <v>73</v>
      </c>
      <c r="Q200" s="606"/>
      <c r="R200" s="606"/>
      <c r="S200" s="606"/>
      <c r="T200" s="606"/>
      <c r="U200" s="606"/>
      <c r="V200" s="607"/>
      <c r="W200" s="40" t="s">
        <v>74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22"/>
      <c r="P201" s="605" t="s">
        <v>73</v>
      </c>
      <c r="Q201" s="606"/>
      <c r="R201" s="606"/>
      <c r="S201" s="606"/>
      <c r="T201" s="606"/>
      <c r="U201" s="606"/>
      <c r="V201" s="607"/>
      <c r="W201" s="40" t="s">
        <v>68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4" t="s">
        <v>336</v>
      </c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  <c r="Y202" s="609"/>
      <c r="Z202" s="609"/>
      <c r="AA202" s="62"/>
      <c r="AB202" s="62"/>
      <c r="AC202" s="62"/>
    </row>
    <row r="203" spans="1:68" ht="14.25" customHeight="1" x14ac:dyDescent="0.25">
      <c r="A203" s="608" t="s">
        <v>153</v>
      </c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  <c r="Y203" s="609"/>
      <c r="Z203" s="609"/>
      <c r="AA203" s="63"/>
      <c r="AB203" s="63"/>
      <c r="AC203" s="63"/>
    </row>
    <row r="204" spans="1:68" ht="27" customHeight="1" x14ac:dyDescent="0.25">
      <c r="A204" s="60" t="s">
        <v>337</v>
      </c>
      <c r="B204" s="60" t="s">
        <v>338</v>
      </c>
      <c r="C204" s="34">
        <v>4301020323</v>
      </c>
      <c r="D204" s="597">
        <v>4680115886223</v>
      </c>
      <c r="E204" s="59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66</v>
      </c>
      <c r="L204" s="35"/>
      <c r="M204" s="36" t="s">
        <v>67</v>
      </c>
      <c r="N204" s="36"/>
      <c r="O204" s="35">
        <v>40</v>
      </c>
      <c r="P204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0"/>
      <c r="R204" s="600"/>
      <c r="S204" s="600"/>
      <c r="T204" s="601"/>
      <c r="U204" s="37"/>
      <c r="V204" s="37"/>
      <c r="W204" s="38" t="s">
        <v>68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339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21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22"/>
      <c r="P205" s="605" t="s">
        <v>73</v>
      </c>
      <c r="Q205" s="606"/>
      <c r="R205" s="606"/>
      <c r="S205" s="606"/>
      <c r="T205" s="606"/>
      <c r="U205" s="606"/>
      <c r="V205" s="607"/>
      <c r="W205" s="40" t="s">
        <v>74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22"/>
      <c r="P206" s="605" t="s">
        <v>73</v>
      </c>
      <c r="Q206" s="606"/>
      <c r="R206" s="606"/>
      <c r="S206" s="606"/>
      <c r="T206" s="606"/>
      <c r="U206" s="606"/>
      <c r="V206" s="607"/>
      <c r="W206" s="40" t="s">
        <v>68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8" t="s">
        <v>63</v>
      </c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  <c r="Z207" s="609"/>
      <c r="AA207" s="63"/>
      <c r="AB207" s="63"/>
      <c r="AC207" s="63"/>
    </row>
    <row r="208" spans="1:68" ht="27" customHeight="1" x14ac:dyDescent="0.25">
      <c r="A208" s="60" t="s">
        <v>340</v>
      </c>
      <c r="B208" s="60" t="s">
        <v>341</v>
      </c>
      <c r="C208" s="34">
        <v>4301031191</v>
      </c>
      <c r="D208" s="597">
        <v>4680115880993</v>
      </c>
      <c r="E208" s="59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130</v>
      </c>
      <c r="L208" s="35"/>
      <c r="M208" s="36" t="s">
        <v>67</v>
      </c>
      <c r="N208" s="36"/>
      <c r="O208" s="35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0"/>
      <c r="R208" s="600"/>
      <c r="S208" s="600"/>
      <c r="T208" s="601"/>
      <c r="U208" s="37"/>
      <c r="V208" s="37"/>
      <c r="W208" s="38" t="s">
        <v>68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342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343</v>
      </c>
      <c r="B209" s="60" t="s">
        <v>344</v>
      </c>
      <c r="C209" s="34">
        <v>4301031204</v>
      </c>
      <c r="D209" s="597">
        <v>4680115881761</v>
      </c>
      <c r="E209" s="59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130</v>
      </c>
      <c r="L209" s="35"/>
      <c r="M209" s="36" t="s">
        <v>67</v>
      </c>
      <c r="N209" s="36"/>
      <c r="O209" s="35">
        <v>40</v>
      </c>
      <c r="P209" s="6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0"/>
      <c r="R209" s="600"/>
      <c r="S209" s="600"/>
      <c r="T209" s="601"/>
      <c r="U209" s="37"/>
      <c r="V209" s="37"/>
      <c r="W209" s="38" t="s">
        <v>68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345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346</v>
      </c>
      <c r="B210" s="60" t="s">
        <v>347</v>
      </c>
      <c r="C210" s="34">
        <v>4301031201</v>
      </c>
      <c r="D210" s="597">
        <v>4680115881563</v>
      </c>
      <c r="E210" s="59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130</v>
      </c>
      <c r="L210" s="35"/>
      <c r="M210" s="36" t="s">
        <v>67</v>
      </c>
      <c r="N210" s="36"/>
      <c r="O210" s="35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0"/>
      <c r="R210" s="600"/>
      <c r="S210" s="600"/>
      <c r="T210" s="601"/>
      <c r="U210" s="37"/>
      <c r="V210" s="37"/>
      <c r="W210" s="38" t="s">
        <v>68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348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349</v>
      </c>
      <c r="B211" s="60" t="s">
        <v>350</v>
      </c>
      <c r="C211" s="34">
        <v>4301031447</v>
      </c>
      <c r="D211" s="597">
        <v>4680115887565</v>
      </c>
      <c r="E211" s="59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66</v>
      </c>
      <c r="L211" s="35"/>
      <c r="M211" s="36" t="s">
        <v>67</v>
      </c>
      <c r="N211" s="36"/>
      <c r="O211" s="35">
        <v>45</v>
      </c>
      <c r="P211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0"/>
      <c r="R211" s="600"/>
      <c r="S211" s="600"/>
      <c r="T211" s="601"/>
      <c r="U211" s="37"/>
      <c r="V211" s="37"/>
      <c r="W211" s="38" t="s">
        <v>68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/>
      <c r="AB211" s="66"/>
      <c r="AC211" s="271" t="s">
        <v>351</v>
      </c>
      <c r="AG211" s="75"/>
      <c r="AJ211" s="79"/>
      <c r="AK211" s="79">
        <v>0</v>
      </c>
      <c r="BB211" s="272" t="s">
        <v>1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352</v>
      </c>
      <c r="B212" s="60" t="s">
        <v>353</v>
      </c>
      <c r="C212" s="34">
        <v>4301031199</v>
      </c>
      <c r="D212" s="597">
        <v>4680115880986</v>
      </c>
      <c r="E212" s="59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66</v>
      </c>
      <c r="L212" s="35"/>
      <c r="M212" s="36" t="s">
        <v>67</v>
      </c>
      <c r="N212" s="36"/>
      <c r="O212" s="35">
        <v>40</v>
      </c>
      <c r="P212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0"/>
      <c r="R212" s="600"/>
      <c r="S212" s="600"/>
      <c r="T212" s="601"/>
      <c r="U212" s="37"/>
      <c r="V212" s="37"/>
      <c r="W212" s="38" t="s">
        <v>68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342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354</v>
      </c>
      <c r="B213" s="60" t="s">
        <v>355</v>
      </c>
      <c r="C213" s="34">
        <v>4301031443</v>
      </c>
      <c r="D213" s="597">
        <v>4680115887213</v>
      </c>
      <c r="E213" s="59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66</v>
      </c>
      <c r="L213" s="35"/>
      <c r="M213" s="36" t="s">
        <v>67</v>
      </c>
      <c r="N213" s="36"/>
      <c r="O213" s="35">
        <v>45</v>
      </c>
      <c r="P213" s="61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0"/>
      <c r="R213" s="600"/>
      <c r="S213" s="600"/>
      <c r="T213" s="601"/>
      <c r="U213" s="37"/>
      <c r="V213" s="37"/>
      <c r="W213" s="38" t="s">
        <v>68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356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357</v>
      </c>
      <c r="B214" s="60" t="s">
        <v>358</v>
      </c>
      <c r="C214" s="34">
        <v>4301031205</v>
      </c>
      <c r="D214" s="597">
        <v>4680115881785</v>
      </c>
      <c r="E214" s="59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66</v>
      </c>
      <c r="L214" s="35"/>
      <c r="M214" s="36" t="s">
        <v>67</v>
      </c>
      <c r="N214" s="36"/>
      <c r="O214" s="35">
        <v>40</v>
      </c>
      <c r="P214" s="8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0"/>
      <c r="R214" s="600"/>
      <c r="S214" s="600"/>
      <c r="T214" s="601"/>
      <c r="U214" s="37"/>
      <c r="V214" s="37"/>
      <c r="W214" s="38" t="s">
        <v>68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345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359</v>
      </c>
      <c r="B215" s="60" t="s">
        <v>360</v>
      </c>
      <c r="C215" s="34">
        <v>4301031499</v>
      </c>
      <c r="D215" s="597">
        <v>4680115888432</v>
      </c>
      <c r="E215" s="59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66</v>
      </c>
      <c r="L215" s="35"/>
      <c r="M215" s="36" t="s">
        <v>67</v>
      </c>
      <c r="N215" s="36"/>
      <c r="O215" s="35">
        <v>45</v>
      </c>
      <c r="P215" s="6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0"/>
      <c r="R215" s="600"/>
      <c r="S215" s="600"/>
      <c r="T215" s="601"/>
      <c r="U215" s="37"/>
      <c r="V215" s="37"/>
      <c r="W215" s="38" t="s">
        <v>68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361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362</v>
      </c>
      <c r="B216" s="60" t="s">
        <v>363</v>
      </c>
      <c r="C216" s="34">
        <v>4301031427</v>
      </c>
      <c r="D216" s="597">
        <v>4680115888104</v>
      </c>
      <c r="E216" s="59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66</v>
      </c>
      <c r="L216" s="35"/>
      <c r="M216" s="36" t="s">
        <v>67</v>
      </c>
      <c r="N216" s="36"/>
      <c r="O216" s="35">
        <v>45</v>
      </c>
      <c r="P216" s="79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0"/>
      <c r="R216" s="600"/>
      <c r="S216" s="600"/>
      <c r="T216" s="601"/>
      <c r="U216" s="37"/>
      <c r="V216" s="37"/>
      <c r="W216" s="38" t="s">
        <v>68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364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365</v>
      </c>
      <c r="B217" s="60" t="s">
        <v>366</v>
      </c>
      <c r="C217" s="34">
        <v>4301031399</v>
      </c>
      <c r="D217" s="597">
        <v>4680115886537</v>
      </c>
      <c r="E217" s="59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66</v>
      </c>
      <c r="L217" s="35"/>
      <c r="M217" s="36" t="s">
        <v>67</v>
      </c>
      <c r="N217" s="36"/>
      <c r="O217" s="35">
        <v>40</v>
      </c>
      <c r="P217" s="81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0"/>
      <c r="R217" s="600"/>
      <c r="S217" s="600"/>
      <c r="T217" s="601"/>
      <c r="U217" s="37"/>
      <c r="V217" s="37"/>
      <c r="W217" s="38" t="s">
        <v>68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367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4301031279</v>
      </c>
      <c r="D218" s="597">
        <v>4680115887596</v>
      </c>
      <c r="E218" s="59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126</v>
      </c>
      <c r="L218" s="35"/>
      <c r="M218" s="36" t="s">
        <v>67</v>
      </c>
      <c r="N218" s="36"/>
      <c r="O218" s="35">
        <v>45</v>
      </c>
      <c r="P218" s="9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0"/>
      <c r="R218" s="600"/>
      <c r="S218" s="600"/>
      <c r="T218" s="601"/>
      <c r="U218" s="37"/>
      <c r="V218" s="37"/>
      <c r="W218" s="38" t="s">
        <v>68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370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371</v>
      </c>
      <c r="B219" s="60" t="s">
        <v>372</v>
      </c>
      <c r="C219" s="34">
        <v>4301031202</v>
      </c>
      <c r="D219" s="597">
        <v>4680115881679</v>
      </c>
      <c r="E219" s="59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66</v>
      </c>
      <c r="L219" s="35"/>
      <c r="M219" s="36" t="s">
        <v>67</v>
      </c>
      <c r="N219" s="36"/>
      <c r="O219" s="35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0"/>
      <c r="R219" s="600"/>
      <c r="S219" s="600"/>
      <c r="T219" s="601"/>
      <c r="U219" s="37"/>
      <c r="V219" s="37"/>
      <c r="W219" s="38" t="s">
        <v>68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348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373</v>
      </c>
      <c r="B220" s="60" t="s">
        <v>374</v>
      </c>
      <c r="C220" s="34">
        <v>4301031158</v>
      </c>
      <c r="D220" s="597">
        <v>4680115880191</v>
      </c>
      <c r="E220" s="59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78</v>
      </c>
      <c r="L220" s="35"/>
      <c r="M220" s="36" t="s">
        <v>67</v>
      </c>
      <c r="N220" s="36"/>
      <c r="O220" s="35">
        <v>40</v>
      </c>
      <c r="P220" s="6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0"/>
      <c r="R220" s="600"/>
      <c r="S220" s="600"/>
      <c r="T220" s="601"/>
      <c r="U220" s="37"/>
      <c r="V220" s="37"/>
      <c r="W220" s="38" t="s">
        <v>68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348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375</v>
      </c>
      <c r="B221" s="60" t="s">
        <v>376</v>
      </c>
      <c r="C221" s="34">
        <v>4301031245</v>
      </c>
      <c r="D221" s="597">
        <v>4680115883963</v>
      </c>
      <c r="E221" s="59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66</v>
      </c>
      <c r="L221" s="35"/>
      <c r="M221" s="36" t="s">
        <v>67</v>
      </c>
      <c r="N221" s="36"/>
      <c r="O221" s="35">
        <v>40</v>
      </c>
      <c r="P221" s="6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0"/>
      <c r="R221" s="600"/>
      <c r="S221" s="600"/>
      <c r="T221" s="601"/>
      <c r="U221" s="37"/>
      <c r="V221" s="37"/>
      <c r="W221" s="38" t="s">
        <v>68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377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21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22"/>
      <c r="P222" s="605" t="s">
        <v>73</v>
      </c>
      <c r="Q222" s="606"/>
      <c r="R222" s="606"/>
      <c r="S222" s="606"/>
      <c r="T222" s="606"/>
      <c r="U222" s="606"/>
      <c r="V222" s="607"/>
      <c r="W222" s="40" t="s">
        <v>74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22"/>
      <c r="P223" s="605" t="s">
        <v>73</v>
      </c>
      <c r="Q223" s="606"/>
      <c r="R223" s="606"/>
      <c r="S223" s="606"/>
      <c r="T223" s="606"/>
      <c r="U223" s="606"/>
      <c r="V223" s="607"/>
      <c r="W223" s="40" t="s">
        <v>68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608" t="s">
        <v>75</v>
      </c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  <c r="Y224" s="609"/>
      <c r="Z224" s="609"/>
      <c r="AA224" s="63"/>
      <c r="AB224" s="63"/>
      <c r="AC224" s="63"/>
    </row>
    <row r="225" spans="1:68" ht="27" customHeight="1" x14ac:dyDescent="0.25">
      <c r="A225" s="60" t="s">
        <v>378</v>
      </c>
      <c r="B225" s="60" t="s">
        <v>379</v>
      </c>
      <c r="C225" s="34">
        <v>4301052177</v>
      </c>
      <c r="D225" s="597">
        <v>4680115888951</v>
      </c>
      <c r="E225" s="59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130</v>
      </c>
      <c r="L225" s="35"/>
      <c r="M225" s="36" t="s">
        <v>85</v>
      </c>
      <c r="N225" s="36"/>
      <c r="O225" s="35">
        <v>35</v>
      </c>
      <c r="P225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0"/>
      <c r="R225" s="600"/>
      <c r="S225" s="600"/>
      <c r="T225" s="601"/>
      <c r="U225" s="37"/>
      <c r="V225" s="37"/>
      <c r="W225" s="38" t="s">
        <v>68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380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381</v>
      </c>
      <c r="B226" s="60" t="s">
        <v>382</v>
      </c>
      <c r="C226" s="34">
        <v>4301052176</v>
      </c>
      <c r="D226" s="597">
        <v>4680115888982</v>
      </c>
      <c r="E226" s="59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130</v>
      </c>
      <c r="L226" s="35"/>
      <c r="M226" s="36" t="s">
        <v>85</v>
      </c>
      <c r="N226" s="36"/>
      <c r="O226" s="35">
        <v>35</v>
      </c>
      <c r="P226" s="85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0"/>
      <c r="R226" s="600"/>
      <c r="S226" s="600"/>
      <c r="T226" s="601"/>
      <c r="U226" s="37"/>
      <c r="V226" s="37"/>
      <c r="W226" s="38" t="s">
        <v>68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383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21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22"/>
      <c r="P227" s="605" t="s">
        <v>73</v>
      </c>
      <c r="Q227" s="606"/>
      <c r="R227" s="606"/>
      <c r="S227" s="606"/>
      <c r="T227" s="606"/>
      <c r="U227" s="606"/>
      <c r="V227" s="607"/>
      <c r="W227" s="40" t="s">
        <v>74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22"/>
      <c r="P228" s="605" t="s">
        <v>73</v>
      </c>
      <c r="Q228" s="606"/>
      <c r="R228" s="606"/>
      <c r="S228" s="606"/>
      <c r="T228" s="606"/>
      <c r="U228" s="606"/>
      <c r="V228" s="607"/>
      <c r="W228" s="40" t="s">
        <v>68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8" t="s">
        <v>96</v>
      </c>
      <c r="B229" s="609"/>
      <c r="C229" s="609"/>
      <c r="D229" s="609"/>
      <c r="E229" s="609"/>
      <c r="F229" s="609"/>
      <c r="G229" s="609"/>
      <c r="H229" s="609"/>
      <c r="I229" s="609"/>
      <c r="J229" s="609"/>
      <c r="K229" s="609"/>
      <c r="L229" s="609"/>
      <c r="M229" s="609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  <c r="Z229" s="609"/>
      <c r="AA229" s="63"/>
      <c r="AB229" s="63"/>
      <c r="AC229" s="63"/>
    </row>
    <row r="230" spans="1:68" ht="27" customHeight="1" x14ac:dyDescent="0.25">
      <c r="A230" s="60" t="s">
        <v>384</v>
      </c>
      <c r="B230" s="60" t="s">
        <v>385</v>
      </c>
      <c r="C230" s="34">
        <v>4301032053</v>
      </c>
      <c r="D230" s="597">
        <v>4680115886780</v>
      </c>
      <c r="E230" s="59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313</v>
      </c>
      <c r="L230" s="35"/>
      <c r="M230" s="36" t="s">
        <v>314</v>
      </c>
      <c r="N230" s="36"/>
      <c r="O230" s="35">
        <v>60</v>
      </c>
      <c r="P230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0"/>
      <c r="R230" s="600"/>
      <c r="S230" s="600"/>
      <c r="T230" s="601"/>
      <c r="U230" s="37"/>
      <c r="V230" s="37"/>
      <c r="W230" s="38" t="s">
        <v>68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386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387</v>
      </c>
      <c r="B231" s="60" t="s">
        <v>388</v>
      </c>
      <c r="C231" s="34">
        <v>4301032051</v>
      </c>
      <c r="D231" s="597">
        <v>4680115886742</v>
      </c>
      <c r="E231" s="59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313</v>
      </c>
      <c r="L231" s="35"/>
      <c r="M231" s="36" t="s">
        <v>314</v>
      </c>
      <c r="N231" s="36"/>
      <c r="O231" s="35">
        <v>90</v>
      </c>
      <c r="P231" s="6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0"/>
      <c r="R231" s="600"/>
      <c r="S231" s="600"/>
      <c r="T231" s="601"/>
      <c r="U231" s="37"/>
      <c r="V231" s="37"/>
      <c r="W231" s="38" t="s">
        <v>68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389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390</v>
      </c>
      <c r="B232" s="60" t="s">
        <v>391</v>
      </c>
      <c r="C232" s="34">
        <v>4301032052</v>
      </c>
      <c r="D232" s="597">
        <v>4680115886766</v>
      </c>
      <c r="E232" s="59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313</v>
      </c>
      <c r="L232" s="35"/>
      <c r="M232" s="36" t="s">
        <v>314</v>
      </c>
      <c r="N232" s="36"/>
      <c r="O232" s="35">
        <v>90</v>
      </c>
      <c r="P232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0"/>
      <c r="R232" s="600"/>
      <c r="S232" s="600"/>
      <c r="T232" s="601"/>
      <c r="U232" s="37"/>
      <c r="V232" s="37"/>
      <c r="W232" s="38" t="s">
        <v>68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389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21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22"/>
      <c r="P233" s="605" t="s">
        <v>73</v>
      </c>
      <c r="Q233" s="606"/>
      <c r="R233" s="606"/>
      <c r="S233" s="606"/>
      <c r="T233" s="606"/>
      <c r="U233" s="606"/>
      <c r="V233" s="607"/>
      <c r="W233" s="40" t="s">
        <v>74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22"/>
      <c r="P234" s="605" t="s">
        <v>73</v>
      </c>
      <c r="Q234" s="606"/>
      <c r="R234" s="606"/>
      <c r="S234" s="606"/>
      <c r="T234" s="606"/>
      <c r="U234" s="606"/>
      <c r="V234" s="607"/>
      <c r="W234" s="40" t="s">
        <v>68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08" t="s">
        <v>392</v>
      </c>
      <c r="B235" s="609"/>
      <c r="C235" s="609"/>
      <c r="D235" s="609"/>
      <c r="E235" s="609"/>
      <c r="F235" s="609"/>
      <c r="G235" s="609"/>
      <c r="H235" s="609"/>
      <c r="I235" s="609"/>
      <c r="J235" s="609"/>
      <c r="K235" s="609"/>
      <c r="L235" s="609"/>
      <c r="M235" s="609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  <c r="Y235" s="609"/>
      <c r="Z235" s="609"/>
      <c r="AA235" s="63"/>
      <c r="AB235" s="63"/>
      <c r="AC235" s="63"/>
    </row>
    <row r="236" spans="1:68" ht="27" customHeight="1" x14ac:dyDescent="0.25">
      <c r="A236" s="60" t="s">
        <v>393</v>
      </c>
      <c r="B236" s="60" t="s">
        <v>394</v>
      </c>
      <c r="C236" s="34">
        <v>4301170013</v>
      </c>
      <c r="D236" s="597">
        <v>4680115886797</v>
      </c>
      <c r="E236" s="59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313</v>
      </c>
      <c r="L236" s="35"/>
      <c r="M236" s="36" t="s">
        <v>314</v>
      </c>
      <c r="N236" s="36"/>
      <c r="O236" s="35">
        <v>90</v>
      </c>
      <c r="P236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0"/>
      <c r="R236" s="600"/>
      <c r="S236" s="600"/>
      <c r="T236" s="601"/>
      <c r="U236" s="37"/>
      <c r="V236" s="37"/>
      <c r="W236" s="38" t="s">
        <v>68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/>
      <c r="AB236" s="66"/>
      <c r="AC236" s="303" t="s">
        <v>389</v>
      </c>
      <c r="AG236" s="75"/>
      <c r="AJ236" s="79"/>
      <c r="AK236" s="79">
        <v>0</v>
      </c>
      <c r="BB236" s="304" t="s">
        <v>1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21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22"/>
      <c r="P237" s="605" t="s">
        <v>73</v>
      </c>
      <c r="Q237" s="606"/>
      <c r="R237" s="606"/>
      <c r="S237" s="606"/>
      <c r="T237" s="606"/>
      <c r="U237" s="606"/>
      <c r="V237" s="607"/>
      <c r="W237" s="40" t="s">
        <v>74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22"/>
      <c r="P238" s="605" t="s">
        <v>73</v>
      </c>
      <c r="Q238" s="606"/>
      <c r="R238" s="606"/>
      <c r="S238" s="606"/>
      <c r="T238" s="606"/>
      <c r="U238" s="606"/>
      <c r="V238" s="607"/>
      <c r="W238" s="40" t="s">
        <v>68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4" t="s">
        <v>395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62"/>
      <c r="AB239" s="62"/>
      <c r="AC239" s="62"/>
    </row>
    <row r="240" spans="1:68" ht="14.25" customHeight="1" x14ac:dyDescent="0.25">
      <c r="A240" s="608" t="s">
        <v>118</v>
      </c>
      <c r="B240" s="609"/>
      <c r="C240" s="609"/>
      <c r="D240" s="609"/>
      <c r="E240" s="609"/>
      <c r="F240" s="609"/>
      <c r="G240" s="609"/>
      <c r="H240" s="609"/>
      <c r="I240" s="609"/>
      <c r="J240" s="609"/>
      <c r="K240" s="609"/>
      <c r="L240" s="609"/>
      <c r="M240" s="609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  <c r="Y240" s="609"/>
      <c r="Z240" s="609"/>
      <c r="AA240" s="63"/>
      <c r="AB240" s="63"/>
      <c r="AC240" s="63"/>
    </row>
    <row r="241" spans="1:68" ht="27" customHeight="1" x14ac:dyDescent="0.25">
      <c r="A241" s="60" t="s">
        <v>396</v>
      </c>
      <c r="B241" s="60" t="s">
        <v>397</v>
      </c>
      <c r="C241" s="34">
        <v>4301011450</v>
      </c>
      <c r="D241" s="597">
        <v>4680115881402</v>
      </c>
      <c r="E241" s="59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121</v>
      </c>
      <c r="L241" s="35"/>
      <c r="M241" s="36" t="s">
        <v>122</v>
      </c>
      <c r="N241" s="36"/>
      <c r="O241" s="35">
        <v>55</v>
      </c>
      <c r="P241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0"/>
      <c r="R241" s="600"/>
      <c r="S241" s="600"/>
      <c r="T241" s="601"/>
      <c r="U241" s="37"/>
      <c r="V241" s="37"/>
      <c r="W241" s="38" t="s">
        <v>68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398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399</v>
      </c>
      <c r="B242" s="60" t="s">
        <v>400</v>
      </c>
      <c r="C242" s="34">
        <v>4301011768</v>
      </c>
      <c r="D242" s="597">
        <v>4680115881396</v>
      </c>
      <c r="E242" s="59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78</v>
      </c>
      <c r="L242" s="35"/>
      <c r="M242" s="36" t="s">
        <v>122</v>
      </c>
      <c r="N242" s="36"/>
      <c r="O242" s="35">
        <v>55</v>
      </c>
      <c r="P242" s="68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0"/>
      <c r="R242" s="600"/>
      <c r="S242" s="600"/>
      <c r="T242" s="601"/>
      <c r="U242" s="37"/>
      <c r="V242" s="37"/>
      <c r="W242" s="38" t="s">
        <v>68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398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21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22"/>
      <c r="P243" s="605" t="s">
        <v>73</v>
      </c>
      <c r="Q243" s="606"/>
      <c r="R243" s="606"/>
      <c r="S243" s="606"/>
      <c r="T243" s="606"/>
      <c r="U243" s="606"/>
      <c r="V243" s="607"/>
      <c r="W243" s="40" t="s">
        <v>74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22"/>
      <c r="P244" s="605" t="s">
        <v>73</v>
      </c>
      <c r="Q244" s="606"/>
      <c r="R244" s="606"/>
      <c r="S244" s="606"/>
      <c r="T244" s="606"/>
      <c r="U244" s="606"/>
      <c r="V244" s="607"/>
      <c r="W244" s="40" t="s">
        <v>68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8" t="s">
        <v>153</v>
      </c>
      <c r="B245" s="609"/>
      <c r="C245" s="609"/>
      <c r="D245" s="609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  <c r="Z245" s="609"/>
      <c r="AA245" s="63"/>
      <c r="AB245" s="63"/>
      <c r="AC245" s="63"/>
    </row>
    <row r="246" spans="1:68" ht="16.5" customHeight="1" x14ac:dyDescent="0.25">
      <c r="A246" s="60" t="s">
        <v>401</v>
      </c>
      <c r="B246" s="60" t="s">
        <v>402</v>
      </c>
      <c r="C246" s="34">
        <v>4301020261</v>
      </c>
      <c r="D246" s="597">
        <v>4680115882935</v>
      </c>
      <c r="E246" s="59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121</v>
      </c>
      <c r="L246" s="35"/>
      <c r="M246" s="36" t="s">
        <v>122</v>
      </c>
      <c r="N246" s="36"/>
      <c r="O246" s="35">
        <v>50</v>
      </c>
      <c r="P246" s="73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0"/>
      <c r="R246" s="600"/>
      <c r="S246" s="600"/>
      <c r="T246" s="601"/>
      <c r="U246" s="37"/>
      <c r="V246" s="37"/>
      <c r="W246" s="38" t="s">
        <v>68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403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404</v>
      </c>
      <c r="B247" s="60" t="s">
        <v>405</v>
      </c>
      <c r="C247" s="34">
        <v>4301020220</v>
      </c>
      <c r="D247" s="597">
        <v>4680115880764</v>
      </c>
      <c r="E247" s="59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78</v>
      </c>
      <c r="L247" s="35"/>
      <c r="M247" s="36" t="s">
        <v>122</v>
      </c>
      <c r="N247" s="36"/>
      <c r="O247" s="35">
        <v>50</v>
      </c>
      <c r="P247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0"/>
      <c r="R247" s="600"/>
      <c r="S247" s="600"/>
      <c r="T247" s="601"/>
      <c r="U247" s="37"/>
      <c r="V247" s="37"/>
      <c r="W247" s="38" t="s">
        <v>68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403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21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22"/>
      <c r="P248" s="605" t="s">
        <v>73</v>
      </c>
      <c r="Q248" s="606"/>
      <c r="R248" s="606"/>
      <c r="S248" s="606"/>
      <c r="T248" s="606"/>
      <c r="U248" s="606"/>
      <c r="V248" s="607"/>
      <c r="W248" s="40" t="s">
        <v>74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22"/>
      <c r="P249" s="605" t="s">
        <v>73</v>
      </c>
      <c r="Q249" s="606"/>
      <c r="R249" s="606"/>
      <c r="S249" s="606"/>
      <c r="T249" s="606"/>
      <c r="U249" s="606"/>
      <c r="V249" s="607"/>
      <c r="W249" s="40" t="s">
        <v>68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8" t="s">
        <v>63</v>
      </c>
      <c r="B250" s="609"/>
      <c r="C250" s="609"/>
      <c r="D250" s="609"/>
      <c r="E250" s="609"/>
      <c r="F250" s="609"/>
      <c r="G250" s="609"/>
      <c r="H250" s="609"/>
      <c r="I250" s="609"/>
      <c r="J250" s="609"/>
      <c r="K250" s="609"/>
      <c r="L250" s="609"/>
      <c r="M250" s="609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  <c r="Y250" s="609"/>
      <c r="Z250" s="609"/>
      <c r="AA250" s="63"/>
      <c r="AB250" s="63"/>
      <c r="AC250" s="63"/>
    </row>
    <row r="251" spans="1:68" ht="27" customHeight="1" x14ac:dyDescent="0.25">
      <c r="A251" s="60" t="s">
        <v>406</v>
      </c>
      <c r="B251" s="60" t="s">
        <v>407</v>
      </c>
      <c r="C251" s="34">
        <v>4301031224</v>
      </c>
      <c r="D251" s="597">
        <v>4680115882683</v>
      </c>
      <c r="E251" s="59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130</v>
      </c>
      <c r="L251" s="35"/>
      <c r="M251" s="36" t="s">
        <v>67</v>
      </c>
      <c r="N251" s="36"/>
      <c r="O251" s="35">
        <v>40</v>
      </c>
      <c r="P251" s="8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0"/>
      <c r="R251" s="600"/>
      <c r="S251" s="600"/>
      <c r="T251" s="601"/>
      <c r="U251" s="37"/>
      <c r="V251" s="37"/>
      <c r="W251" s="38" t="s">
        <v>68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408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409</v>
      </c>
      <c r="B252" s="60" t="s">
        <v>410</v>
      </c>
      <c r="C252" s="34">
        <v>4301031230</v>
      </c>
      <c r="D252" s="597">
        <v>4680115882690</v>
      </c>
      <c r="E252" s="59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130</v>
      </c>
      <c r="L252" s="35"/>
      <c r="M252" s="36" t="s">
        <v>67</v>
      </c>
      <c r="N252" s="36"/>
      <c r="O252" s="35">
        <v>40</v>
      </c>
      <c r="P252" s="6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0"/>
      <c r="R252" s="600"/>
      <c r="S252" s="600"/>
      <c r="T252" s="601"/>
      <c r="U252" s="37"/>
      <c r="V252" s="37"/>
      <c r="W252" s="38" t="s">
        <v>68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411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412</v>
      </c>
      <c r="B253" s="60" t="s">
        <v>413</v>
      </c>
      <c r="C253" s="34">
        <v>4301031220</v>
      </c>
      <c r="D253" s="597">
        <v>4680115882669</v>
      </c>
      <c r="E253" s="59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130</v>
      </c>
      <c r="L253" s="35"/>
      <c r="M253" s="36" t="s">
        <v>67</v>
      </c>
      <c r="N253" s="36"/>
      <c r="O253" s="35">
        <v>40</v>
      </c>
      <c r="P253" s="90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0"/>
      <c r="R253" s="600"/>
      <c r="S253" s="600"/>
      <c r="T253" s="601"/>
      <c r="U253" s="37"/>
      <c r="V253" s="37"/>
      <c r="W253" s="38" t="s">
        <v>68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414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415</v>
      </c>
      <c r="B254" s="60" t="s">
        <v>416</v>
      </c>
      <c r="C254" s="34">
        <v>4301031221</v>
      </c>
      <c r="D254" s="597">
        <v>4680115882676</v>
      </c>
      <c r="E254" s="59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130</v>
      </c>
      <c r="L254" s="35"/>
      <c r="M254" s="36" t="s">
        <v>67</v>
      </c>
      <c r="N254" s="36"/>
      <c r="O254" s="35">
        <v>40</v>
      </c>
      <c r="P254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0"/>
      <c r="R254" s="600"/>
      <c r="S254" s="600"/>
      <c r="T254" s="601"/>
      <c r="U254" s="37"/>
      <c r="V254" s="37"/>
      <c r="W254" s="38" t="s">
        <v>68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417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418</v>
      </c>
      <c r="B255" s="60" t="s">
        <v>419</v>
      </c>
      <c r="C255" s="34">
        <v>4301031223</v>
      </c>
      <c r="D255" s="597">
        <v>4680115884014</v>
      </c>
      <c r="E255" s="59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66</v>
      </c>
      <c r="L255" s="35"/>
      <c r="M255" s="36" t="s">
        <v>67</v>
      </c>
      <c r="N255" s="36"/>
      <c r="O255" s="35">
        <v>40</v>
      </c>
      <c r="P255" s="7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0"/>
      <c r="R255" s="600"/>
      <c r="S255" s="600"/>
      <c r="T255" s="601"/>
      <c r="U255" s="37"/>
      <c r="V255" s="37"/>
      <c r="W255" s="38" t="s">
        <v>68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408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420</v>
      </c>
      <c r="B256" s="60" t="s">
        <v>421</v>
      </c>
      <c r="C256" s="34">
        <v>4301031222</v>
      </c>
      <c r="D256" s="597">
        <v>4680115884007</v>
      </c>
      <c r="E256" s="59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66</v>
      </c>
      <c r="L256" s="35"/>
      <c r="M256" s="36" t="s">
        <v>67</v>
      </c>
      <c r="N256" s="36"/>
      <c r="O256" s="35">
        <v>40</v>
      </c>
      <c r="P256" s="8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0"/>
      <c r="R256" s="600"/>
      <c r="S256" s="600"/>
      <c r="T256" s="601"/>
      <c r="U256" s="37"/>
      <c r="V256" s="37"/>
      <c r="W256" s="38" t="s">
        <v>68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411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422</v>
      </c>
      <c r="B257" s="60" t="s">
        <v>423</v>
      </c>
      <c r="C257" s="34">
        <v>4301031229</v>
      </c>
      <c r="D257" s="597">
        <v>4680115884038</v>
      </c>
      <c r="E257" s="59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66</v>
      </c>
      <c r="L257" s="35"/>
      <c r="M257" s="36" t="s">
        <v>67</v>
      </c>
      <c r="N257" s="36"/>
      <c r="O257" s="35">
        <v>40</v>
      </c>
      <c r="P257" s="83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0"/>
      <c r="R257" s="600"/>
      <c r="S257" s="600"/>
      <c r="T257" s="601"/>
      <c r="U257" s="37"/>
      <c r="V257" s="37"/>
      <c r="W257" s="38" t="s">
        <v>68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414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424</v>
      </c>
      <c r="B258" s="60" t="s">
        <v>425</v>
      </c>
      <c r="C258" s="34">
        <v>4301031225</v>
      </c>
      <c r="D258" s="597">
        <v>4680115884021</v>
      </c>
      <c r="E258" s="59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66</v>
      </c>
      <c r="L258" s="35"/>
      <c r="M258" s="36" t="s">
        <v>67</v>
      </c>
      <c r="N258" s="36"/>
      <c r="O258" s="35">
        <v>40</v>
      </c>
      <c r="P258" s="71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0"/>
      <c r="R258" s="600"/>
      <c r="S258" s="600"/>
      <c r="T258" s="601"/>
      <c r="U258" s="37"/>
      <c r="V258" s="37"/>
      <c r="W258" s="38" t="s">
        <v>68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417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21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22"/>
      <c r="P259" s="605" t="s">
        <v>73</v>
      </c>
      <c r="Q259" s="606"/>
      <c r="R259" s="606"/>
      <c r="S259" s="606"/>
      <c r="T259" s="606"/>
      <c r="U259" s="606"/>
      <c r="V259" s="607"/>
      <c r="W259" s="40" t="s">
        <v>74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22"/>
      <c r="P260" s="605" t="s">
        <v>73</v>
      </c>
      <c r="Q260" s="606"/>
      <c r="R260" s="606"/>
      <c r="S260" s="606"/>
      <c r="T260" s="606"/>
      <c r="U260" s="606"/>
      <c r="V260" s="607"/>
      <c r="W260" s="40" t="s">
        <v>68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08" t="s">
        <v>75</v>
      </c>
      <c r="B261" s="609"/>
      <c r="C261" s="609"/>
      <c r="D261" s="609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  <c r="Z261" s="609"/>
      <c r="AA261" s="63"/>
      <c r="AB261" s="63"/>
      <c r="AC261" s="63"/>
    </row>
    <row r="262" spans="1:68" ht="37.5" customHeight="1" x14ac:dyDescent="0.25">
      <c r="A262" s="60" t="s">
        <v>426</v>
      </c>
      <c r="B262" s="60" t="s">
        <v>427</v>
      </c>
      <c r="C262" s="34">
        <v>4301051408</v>
      </c>
      <c r="D262" s="597">
        <v>4680115881594</v>
      </c>
      <c r="E262" s="59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121</v>
      </c>
      <c r="L262" s="35"/>
      <c r="M262" s="36" t="s">
        <v>79</v>
      </c>
      <c r="N262" s="36"/>
      <c r="O262" s="35">
        <v>40</v>
      </c>
      <c r="P262" s="9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0"/>
      <c r="R262" s="600"/>
      <c r="S262" s="600"/>
      <c r="T262" s="601"/>
      <c r="U262" s="37"/>
      <c r="V262" s="37"/>
      <c r="W262" s="38" t="s">
        <v>68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428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429</v>
      </c>
      <c r="B263" s="60" t="s">
        <v>430</v>
      </c>
      <c r="C263" s="34">
        <v>4301051411</v>
      </c>
      <c r="D263" s="597">
        <v>4680115881617</v>
      </c>
      <c r="E263" s="59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121</v>
      </c>
      <c r="L263" s="35"/>
      <c r="M263" s="36" t="s">
        <v>79</v>
      </c>
      <c r="N263" s="36"/>
      <c r="O263" s="35">
        <v>40</v>
      </c>
      <c r="P263" s="9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0"/>
      <c r="R263" s="600"/>
      <c r="S263" s="600"/>
      <c r="T263" s="601"/>
      <c r="U263" s="37"/>
      <c r="V263" s="37"/>
      <c r="W263" s="38" t="s">
        <v>68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/>
      <c r="AB263" s="66"/>
      <c r="AC263" s="331" t="s">
        <v>431</v>
      </c>
      <c r="AG263" s="75"/>
      <c r="AJ263" s="79"/>
      <c r="AK263" s="79">
        <v>0</v>
      </c>
      <c r="BB263" s="332" t="s">
        <v>1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432</v>
      </c>
      <c r="B264" s="60" t="s">
        <v>433</v>
      </c>
      <c r="C264" s="34">
        <v>4301051656</v>
      </c>
      <c r="D264" s="597">
        <v>4680115880573</v>
      </c>
      <c r="E264" s="59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121</v>
      </c>
      <c r="L264" s="35"/>
      <c r="M264" s="36" t="s">
        <v>79</v>
      </c>
      <c r="N264" s="36"/>
      <c r="O264" s="35">
        <v>45</v>
      </c>
      <c r="P264" s="7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0"/>
      <c r="R264" s="600"/>
      <c r="S264" s="600"/>
      <c r="T264" s="601"/>
      <c r="U264" s="37"/>
      <c r="V264" s="37"/>
      <c r="W264" s="38" t="s">
        <v>68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434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435</v>
      </c>
      <c r="B265" s="60" t="s">
        <v>436</v>
      </c>
      <c r="C265" s="34">
        <v>4301051407</v>
      </c>
      <c r="D265" s="597">
        <v>4680115882195</v>
      </c>
      <c r="E265" s="59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78</v>
      </c>
      <c r="L265" s="35"/>
      <c r="M265" s="36" t="s">
        <v>79</v>
      </c>
      <c r="N265" s="36"/>
      <c r="O265" s="35">
        <v>40</v>
      </c>
      <c r="P265" s="6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0"/>
      <c r="R265" s="600"/>
      <c r="S265" s="600"/>
      <c r="T265" s="601"/>
      <c r="U265" s="37"/>
      <c r="V265" s="37"/>
      <c r="W265" s="38" t="s">
        <v>68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428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437</v>
      </c>
      <c r="B266" s="60" t="s">
        <v>438</v>
      </c>
      <c r="C266" s="34">
        <v>4301051752</v>
      </c>
      <c r="D266" s="597">
        <v>4680115882607</v>
      </c>
      <c r="E266" s="59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78</v>
      </c>
      <c r="L266" s="35"/>
      <c r="M266" s="36" t="s">
        <v>85</v>
      </c>
      <c r="N266" s="36"/>
      <c r="O266" s="35">
        <v>45</v>
      </c>
      <c r="P266" s="6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0"/>
      <c r="R266" s="600"/>
      <c r="S266" s="600"/>
      <c r="T266" s="601"/>
      <c r="U266" s="37"/>
      <c r="V266" s="37"/>
      <c r="W266" s="38" t="s">
        <v>68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434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439</v>
      </c>
      <c r="B267" s="60" t="s">
        <v>440</v>
      </c>
      <c r="C267" s="34">
        <v>4301052143</v>
      </c>
      <c r="D267" s="597">
        <v>4680115882607</v>
      </c>
      <c r="E267" s="59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130</v>
      </c>
      <c r="L267" s="35"/>
      <c r="M267" s="36" t="s">
        <v>79</v>
      </c>
      <c r="N267" s="36"/>
      <c r="O267" s="35">
        <v>45</v>
      </c>
      <c r="P267" s="7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0"/>
      <c r="R267" s="600"/>
      <c r="S267" s="600"/>
      <c r="T267" s="601"/>
      <c r="U267" s="37"/>
      <c r="V267" s="37"/>
      <c r="W267" s="38" t="s">
        <v>68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441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442</v>
      </c>
      <c r="B268" s="60" t="s">
        <v>443</v>
      </c>
      <c r="C268" s="34">
        <v>4301051666</v>
      </c>
      <c r="D268" s="597">
        <v>4680115880092</v>
      </c>
      <c r="E268" s="59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78</v>
      </c>
      <c r="L268" s="35"/>
      <c r="M268" s="36" t="s">
        <v>79</v>
      </c>
      <c r="N268" s="36"/>
      <c r="O268" s="35">
        <v>45</v>
      </c>
      <c r="P268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0"/>
      <c r="R268" s="600"/>
      <c r="S268" s="600"/>
      <c r="T268" s="601"/>
      <c r="U268" s="37"/>
      <c r="V268" s="37"/>
      <c r="W268" s="38" t="s">
        <v>68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/>
      <c r="AB268" s="66"/>
      <c r="AC268" s="341" t="s">
        <v>434</v>
      </c>
      <c r="AG268" s="75"/>
      <c r="AJ268" s="79"/>
      <c r="AK268" s="79">
        <v>0</v>
      </c>
      <c r="BB268" s="342" t="s">
        <v>1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customHeight="1" x14ac:dyDescent="0.25">
      <c r="A269" s="60" t="s">
        <v>444</v>
      </c>
      <c r="B269" s="60" t="s">
        <v>445</v>
      </c>
      <c r="C269" s="34">
        <v>4301052214</v>
      </c>
      <c r="D269" s="597">
        <v>4680115889064</v>
      </c>
      <c r="E269" s="59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121</v>
      </c>
      <c r="L269" s="35"/>
      <c r="M269" s="36" t="s">
        <v>79</v>
      </c>
      <c r="N269" s="36"/>
      <c r="O269" s="35">
        <v>45</v>
      </c>
      <c r="P269" s="85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0"/>
      <c r="R269" s="600"/>
      <c r="S269" s="600"/>
      <c r="T269" s="601"/>
      <c r="U269" s="37"/>
      <c r="V269" s="37"/>
      <c r="W269" s="38" t="s">
        <v>68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441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446</v>
      </c>
      <c r="B270" s="60" t="s">
        <v>447</v>
      </c>
      <c r="C270" s="34">
        <v>4301051668</v>
      </c>
      <c r="D270" s="597">
        <v>4680115880221</v>
      </c>
      <c r="E270" s="59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78</v>
      </c>
      <c r="L270" s="35"/>
      <c r="M270" s="36" t="s">
        <v>79</v>
      </c>
      <c r="N270" s="36"/>
      <c r="O270" s="35">
        <v>45</v>
      </c>
      <c r="P270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0"/>
      <c r="R270" s="600"/>
      <c r="S270" s="600"/>
      <c r="T270" s="601"/>
      <c r="U270" s="37"/>
      <c r="V270" s="37"/>
      <c r="W270" s="38" t="s">
        <v>68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/>
      <c r="AB270" s="66"/>
      <c r="AC270" s="345" t="s">
        <v>434</v>
      </c>
      <c r="AG270" s="75"/>
      <c r="AJ270" s="79"/>
      <c r="AK270" s="79">
        <v>0</v>
      </c>
      <c r="BB270" s="346" t="s">
        <v>1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448</v>
      </c>
      <c r="B271" s="60" t="s">
        <v>449</v>
      </c>
      <c r="C271" s="34">
        <v>4301051945</v>
      </c>
      <c r="D271" s="597">
        <v>4680115880504</v>
      </c>
      <c r="E271" s="59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78</v>
      </c>
      <c r="L271" s="35"/>
      <c r="M271" s="36" t="s">
        <v>85</v>
      </c>
      <c r="N271" s="36"/>
      <c r="O271" s="35">
        <v>40</v>
      </c>
      <c r="P271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0"/>
      <c r="R271" s="600"/>
      <c r="S271" s="600"/>
      <c r="T271" s="601"/>
      <c r="U271" s="37"/>
      <c r="V271" s="37"/>
      <c r="W271" s="38" t="s">
        <v>68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/>
      <c r="AB271" s="66"/>
      <c r="AC271" s="347" t="s">
        <v>450</v>
      </c>
      <c r="AG271" s="75"/>
      <c r="AJ271" s="79"/>
      <c r="AK271" s="79">
        <v>0</v>
      </c>
      <c r="BB271" s="348" t="s">
        <v>1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451</v>
      </c>
      <c r="B272" s="60" t="s">
        <v>452</v>
      </c>
      <c r="C272" s="34">
        <v>4301051410</v>
      </c>
      <c r="D272" s="597">
        <v>4680115882164</v>
      </c>
      <c r="E272" s="59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78</v>
      </c>
      <c r="L272" s="35"/>
      <c r="M272" s="36" t="s">
        <v>79</v>
      </c>
      <c r="N272" s="36"/>
      <c r="O272" s="35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0"/>
      <c r="R272" s="600"/>
      <c r="S272" s="600"/>
      <c r="T272" s="601"/>
      <c r="U272" s="37"/>
      <c r="V272" s="37"/>
      <c r="W272" s="38" t="s">
        <v>68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/>
      <c r="AB272" s="66"/>
      <c r="AC272" s="349" t="s">
        <v>453</v>
      </c>
      <c r="AG272" s="75"/>
      <c r="AJ272" s="79"/>
      <c r="AK272" s="79">
        <v>0</v>
      </c>
      <c r="BB272" s="350" t="s">
        <v>1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4301052180</v>
      </c>
      <c r="D273" s="597">
        <v>4680115888340</v>
      </c>
      <c r="E273" s="59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78</v>
      </c>
      <c r="L273" s="35"/>
      <c r="M273" s="36" t="s">
        <v>79</v>
      </c>
      <c r="N273" s="36"/>
      <c r="O273" s="35">
        <v>45</v>
      </c>
      <c r="P273" s="6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0"/>
      <c r="R273" s="600"/>
      <c r="S273" s="600"/>
      <c r="T273" s="601"/>
      <c r="U273" s="37"/>
      <c r="V273" s="37"/>
      <c r="W273" s="38" t="s">
        <v>68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456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21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22"/>
      <c r="P274" s="605" t="s">
        <v>73</v>
      </c>
      <c r="Q274" s="606"/>
      <c r="R274" s="606"/>
      <c r="S274" s="606"/>
      <c r="T274" s="606"/>
      <c r="U274" s="606"/>
      <c r="V274" s="607"/>
      <c r="W274" s="40" t="s">
        <v>74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22"/>
      <c r="P275" s="605" t="s">
        <v>73</v>
      </c>
      <c r="Q275" s="606"/>
      <c r="R275" s="606"/>
      <c r="S275" s="606"/>
      <c r="T275" s="606"/>
      <c r="U275" s="606"/>
      <c r="V275" s="607"/>
      <c r="W275" s="40" t="s">
        <v>68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customHeight="1" x14ac:dyDescent="0.25">
      <c r="A276" s="608" t="s">
        <v>170</v>
      </c>
      <c r="B276" s="609"/>
      <c r="C276" s="609"/>
      <c r="D276" s="609"/>
      <c r="E276" s="609"/>
      <c r="F276" s="609"/>
      <c r="G276" s="609"/>
      <c r="H276" s="609"/>
      <c r="I276" s="609"/>
      <c r="J276" s="609"/>
      <c r="K276" s="609"/>
      <c r="L276" s="609"/>
      <c r="M276" s="609"/>
      <c r="N276" s="609"/>
      <c r="O276" s="609"/>
      <c r="P276" s="609"/>
      <c r="Q276" s="609"/>
      <c r="R276" s="609"/>
      <c r="S276" s="609"/>
      <c r="T276" s="609"/>
      <c r="U276" s="609"/>
      <c r="V276" s="609"/>
      <c r="W276" s="609"/>
      <c r="X276" s="609"/>
      <c r="Y276" s="609"/>
      <c r="Z276" s="609"/>
      <c r="AA276" s="63"/>
      <c r="AB276" s="63"/>
      <c r="AC276" s="63"/>
    </row>
    <row r="277" spans="1:68" ht="27" customHeight="1" x14ac:dyDescent="0.25">
      <c r="A277" s="60" t="s">
        <v>457</v>
      </c>
      <c r="B277" s="60" t="s">
        <v>458</v>
      </c>
      <c r="C277" s="34">
        <v>4301060463</v>
      </c>
      <c r="D277" s="597">
        <v>4680115880818</v>
      </c>
      <c r="E277" s="59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78</v>
      </c>
      <c r="L277" s="35"/>
      <c r="M277" s="36" t="s">
        <v>85</v>
      </c>
      <c r="N277" s="36"/>
      <c r="O277" s="35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0"/>
      <c r="R277" s="600"/>
      <c r="S277" s="600"/>
      <c r="T277" s="601"/>
      <c r="U277" s="37"/>
      <c r="V277" s="37"/>
      <c r="W277" s="38" t="s">
        <v>68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/>
      <c r="AB277" s="66"/>
      <c r="AC277" s="353" t="s">
        <v>459</v>
      </c>
      <c r="AG277" s="75"/>
      <c r="AJ277" s="79"/>
      <c r="AK277" s="79">
        <v>0</v>
      </c>
      <c r="BB277" s="354" t="s">
        <v>1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460</v>
      </c>
      <c r="B278" s="60" t="s">
        <v>461</v>
      </c>
      <c r="C278" s="34">
        <v>4301060389</v>
      </c>
      <c r="D278" s="597">
        <v>4680115880801</v>
      </c>
      <c r="E278" s="59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78</v>
      </c>
      <c r="L278" s="35"/>
      <c r="M278" s="36" t="s">
        <v>79</v>
      </c>
      <c r="N278" s="36"/>
      <c r="O278" s="35">
        <v>40</v>
      </c>
      <c r="P278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0"/>
      <c r="R278" s="600"/>
      <c r="S278" s="600"/>
      <c r="T278" s="601"/>
      <c r="U278" s="37"/>
      <c r="V278" s="37"/>
      <c r="W278" s="38" t="s">
        <v>68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462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21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22"/>
      <c r="P279" s="605" t="s">
        <v>73</v>
      </c>
      <c r="Q279" s="606"/>
      <c r="R279" s="606"/>
      <c r="S279" s="606"/>
      <c r="T279" s="606"/>
      <c r="U279" s="606"/>
      <c r="V279" s="607"/>
      <c r="W279" s="40" t="s">
        <v>74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22"/>
      <c r="P280" s="605" t="s">
        <v>73</v>
      </c>
      <c r="Q280" s="606"/>
      <c r="R280" s="606"/>
      <c r="S280" s="606"/>
      <c r="T280" s="606"/>
      <c r="U280" s="606"/>
      <c r="V280" s="607"/>
      <c r="W280" s="40" t="s">
        <v>68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14" t="s">
        <v>463</v>
      </c>
      <c r="B281" s="609"/>
      <c r="C281" s="609"/>
      <c r="D281" s="609"/>
      <c r="E281" s="609"/>
      <c r="F281" s="609"/>
      <c r="G281" s="609"/>
      <c r="H281" s="609"/>
      <c r="I281" s="609"/>
      <c r="J281" s="609"/>
      <c r="K281" s="609"/>
      <c r="L281" s="609"/>
      <c r="M281" s="609"/>
      <c r="N281" s="609"/>
      <c r="O281" s="609"/>
      <c r="P281" s="609"/>
      <c r="Q281" s="609"/>
      <c r="R281" s="609"/>
      <c r="S281" s="609"/>
      <c r="T281" s="609"/>
      <c r="U281" s="609"/>
      <c r="V281" s="609"/>
      <c r="W281" s="609"/>
      <c r="X281" s="609"/>
      <c r="Y281" s="609"/>
      <c r="Z281" s="609"/>
      <c r="AA281" s="62"/>
      <c r="AB281" s="62"/>
      <c r="AC281" s="62"/>
    </row>
    <row r="282" spans="1:68" ht="14.25" customHeight="1" x14ac:dyDescent="0.25">
      <c r="A282" s="608" t="s">
        <v>118</v>
      </c>
      <c r="B282" s="609"/>
      <c r="C282" s="609"/>
      <c r="D282" s="609"/>
      <c r="E282" s="609"/>
      <c r="F282" s="609"/>
      <c r="G282" s="609"/>
      <c r="H282" s="609"/>
      <c r="I282" s="609"/>
      <c r="J282" s="609"/>
      <c r="K282" s="609"/>
      <c r="L282" s="609"/>
      <c r="M282" s="609"/>
      <c r="N282" s="609"/>
      <c r="O282" s="609"/>
      <c r="P282" s="609"/>
      <c r="Q282" s="609"/>
      <c r="R282" s="609"/>
      <c r="S282" s="609"/>
      <c r="T282" s="609"/>
      <c r="U282" s="609"/>
      <c r="V282" s="609"/>
      <c r="W282" s="609"/>
      <c r="X282" s="609"/>
      <c r="Y282" s="609"/>
      <c r="Z282" s="609"/>
      <c r="AA282" s="63"/>
      <c r="AB282" s="63"/>
      <c r="AC282" s="63"/>
    </row>
    <row r="283" spans="1:68" ht="27" customHeight="1" x14ac:dyDescent="0.25">
      <c r="A283" s="60" t="s">
        <v>464</v>
      </c>
      <c r="B283" s="60" t="s">
        <v>465</v>
      </c>
      <c r="C283" s="34">
        <v>4301011826</v>
      </c>
      <c r="D283" s="597">
        <v>4680115884137</v>
      </c>
      <c r="E283" s="59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121</v>
      </c>
      <c r="L283" s="35"/>
      <c r="M283" s="36" t="s">
        <v>122</v>
      </c>
      <c r="N283" s="36"/>
      <c r="O283" s="35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0"/>
      <c r="R283" s="600"/>
      <c r="S283" s="600"/>
      <c r="T283" s="601"/>
      <c r="U283" s="37"/>
      <c r="V283" s="37"/>
      <c r="W283" s="38" t="s">
        <v>68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466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467</v>
      </c>
      <c r="B284" s="60" t="s">
        <v>468</v>
      </c>
      <c r="C284" s="34">
        <v>4301011724</v>
      </c>
      <c r="D284" s="597">
        <v>4680115884236</v>
      </c>
      <c r="E284" s="59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121</v>
      </c>
      <c r="L284" s="35"/>
      <c r="M284" s="36" t="s">
        <v>122</v>
      </c>
      <c r="N284" s="36"/>
      <c r="O284" s="35">
        <v>55</v>
      </c>
      <c r="P284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0"/>
      <c r="R284" s="600"/>
      <c r="S284" s="600"/>
      <c r="T284" s="601"/>
      <c r="U284" s="37"/>
      <c r="V284" s="37"/>
      <c r="W284" s="38" t="s">
        <v>68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469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470</v>
      </c>
      <c r="B285" s="60" t="s">
        <v>471</v>
      </c>
      <c r="C285" s="34">
        <v>4301011721</v>
      </c>
      <c r="D285" s="597">
        <v>4680115884175</v>
      </c>
      <c r="E285" s="59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121</v>
      </c>
      <c r="L285" s="35"/>
      <c r="M285" s="36" t="s">
        <v>122</v>
      </c>
      <c r="N285" s="36"/>
      <c r="O285" s="35">
        <v>55</v>
      </c>
      <c r="P285" s="76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0"/>
      <c r="R285" s="600"/>
      <c r="S285" s="600"/>
      <c r="T285" s="601"/>
      <c r="U285" s="37"/>
      <c r="V285" s="37"/>
      <c r="W285" s="38" t="s">
        <v>68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332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472</v>
      </c>
      <c r="B286" s="60" t="s">
        <v>473</v>
      </c>
      <c r="C286" s="34">
        <v>4301011824</v>
      </c>
      <c r="D286" s="597">
        <v>4680115884144</v>
      </c>
      <c r="E286" s="59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130</v>
      </c>
      <c r="L286" s="35"/>
      <c r="M286" s="36" t="s">
        <v>122</v>
      </c>
      <c r="N286" s="36"/>
      <c r="O286" s="35">
        <v>55</v>
      </c>
      <c r="P286" s="7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0"/>
      <c r="R286" s="600"/>
      <c r="S286" s="600"/>
      <c r="T286" s="601"/>
      <c r="U286" s="37"/>
      <c r="V286" s="37"/>
      <c r="W286" s="38" t="s">
        <v>68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466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474</v>
      </c>
      <c r="B287" s="60" t="s">
        <v>475</v>
      </c>
      <c r="C287" s="34">
        <v>4301012149</v>
      </c>
      <c r="D287" s="597">
        <v>4680115886551</v>
      </c>
      <c r="E287" s="59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130</v>
      </c>
      <c r="L287" s="35"/>
      <c r="M287" s="36" t="s">
        <v>122</v>
      </c>
      <c r="N287" s="36"/>
      <c r="O287" s="35">
        <v>55</v>
      </c>
      <c r="P287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0"/>
      <c r="R287" s="600"/>
      <c r="S287" s="600"/>
      <c r="T287" s="601"/>
      <c r="U287" s="37"/>
      <c r="V287" s="37"/>
      <c r="W287" s="38" t="s">
        <v>68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476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477</v>
      </c>
      <c r="B288" s="60" t="s">
        <v>478</v>
      </c>
      <c r="C288" s="34">
        <v>4301012228</v>
      </c>
      <c r="D288" s="597">
        <v>4680115887282</v>
      </c>
      <c r="E288" s="59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78</v>
      </c>
      <c r="L288" s="35"/>
      <c r="M288" s="36" t="s">
        <v>122</v>
      </c>
      <c r="N288" s="36"/>
      <c r="O288" s="35">
        <v>55</v>
      </c>
      <c r="P288" s="9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0"/>
      <c r="R288" s="600"/>
      <c r="S288" s="600"/>
      <c r="T288" s="601"/>
      <c r="U288" s="37"/>
      <c r="V288" s="37"/>
      <c r="W288" s="38" t="s">
        <v>68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479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480</v>
      </c>
      <c r="B289" s="60" t="s">
        <v>481</v>
      </c>
      <c r="C289" s="34">
        <v>4301011722</v>
      </c>
      <c r="D289" s="597">
        <v>4680115884205</v>
      </c>
      <c r="E289" s="59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130</v>
      </c>
      <c r="L289" s="35"/>
      <c r="M289" s="36" t="s">
        <v>122</v>
      </c>
      <c r="N289" s="36"/>
      <c r="O289" s="35">
        <v>55</v>
      </c>
      <c r="P289" s="7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0"/>
      <c r="R289" s="600"/>
      <c r="S289" s="600"/>
      <c r="T289" s="601"/>
      <c r="U289" s="37"/>
      <c r="V289" s="37"/>
      <c r="W289" s="38" t="s">
        <v>68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332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21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22"/>
      <c r="P290" s="605" t="s">
        <v>73</v>
      </c>
      <c r="Q290" s="606"/>
      <c r="R290" s="606"/>
      <c r="S290" s="606"/>
      <c r="T290" s="606"/>
      <c r="U290" s="606"/>
      <c r="V290" s="607"/>
      <c r="W290" s="40" t="s">
        <v>74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22"/>
      <c r="P291" s="605" t="s">
        <v>73</v>
      </c>
      <c r="Q291" s="606"/>
      <c r="R291" s="606"/>
      <c r="S291" s="606"/>
      <c r="T291" s="606"/>
      <c r="U291" s="606"/>
      <c r="V291" s="607"/>
      <c r="W291" s="40" t="s">
        <v>68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08" t="s">
        <v>153</v>
      </c>
      <c r="B292" s="609"/>
      <c r="C292" s="609"/>
      <c r="D292" s="609"/>
      <c r="E292" s="609"/>
      <c r="F292" s="609"/>
      <c r="G292" s="609"/>
      <c r="H292" s="609"/>
      <c r="I292" s="609"/>
      <c r="J292" s="609"/>
      <c r="K292" s="609"/>
      <c r="L292" s="609"/>
      <c r="M292" s="609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  <c r="Y292" s="609"/>
      <c r="Z292" s="609"/>
      <c r="AA292" s="63"/>
      <c r="AB292" s="63"/>
      <c r="AC292" s="63"/>
    </row>
    <row r="293" spans="1:68" ht="27" customHeight="1" x14ac:dyDescent="0.25">
      <c r="A293" s="60" t="s">
        <v>482</v>
      </c>
      <c r="B293" s="60" t="s">
        <v>483</v>
      </c>
      <c r="C293" s="34">
        <v>4301020377</v>
      </c>
      <c r="D293" s="597">
        <v>4680115885981</v>
      </c>
      <c r="E293" s="59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66</v>
      </c>
      <c r="L293" s="35"/>
      <c r="M293" s="36" t="s">
        <v>79</v>
      </c>
      <c r="N293" s="36"/>
      <c r="O293" s="35">
        <v>50</v>
      </c>
      <c r="P293" s="9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0"/>
      <c r="R293" s="600"/>
      <c r="S293" s="600"/>
      <c r="T293" s="601"/>
      <c r="U293" s="37"/>
      <c r="V293" s="37"/>
      <c r="W293" s="38" t="s">
        <v>68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484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21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22"/>
      <c r="P294" s="605" t="s">
        <v>73</v>
      </c>
      <c r="Q294" s="606"/>
      <c r="R294" s="606"/>
      <c r="S294" s="606"/>
      <c r="T294" s="606"/>
      <c r="U294" s="606"/>
      <c r="V294" s="607"/>
      <c r="W294" s="40" t="s">
        <v>74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22"/>
      <c r="P295" s="605" t="s">
        <v>73</v>
      </c>
      <c r="Q295" s="606"/>
      <c r="R295" s="606"/>
      <c r="S295" s="606"/>
      <c r="T295" s="606"/>
      <c r="U295" s="606"/>
      <c r="V295" s="607"/>
      <c r="W295" s="40" t="s">
        <v>68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8" t="s">
        <v>485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63"/>
      <c r="AB296" s="63"/>
      <c r="AC296" s="63"/>
    </row>
    <row r="297" spans="1:68" ht="27" customHeight="1" x14ac:dyDescent="0.25">
      <c r="A297" s="60" t="s">
        <v>486</v>
      </c>
      <c r="B297" s="60" t="s">
        <v>487</v>
      </c>
      <c r="C297" s="34">
        <v>4301040362</v>
      </c>
      <c r="D297" s="597">
        <v>4680115886803</v>
      </c>
      <c r="E297" s="59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313</v>
      </c>
      <c r="L297" s="35"/>
      <c r="M297" s="36" t="s">
        <v>314</v>
      </c>
      <c r="N297" s="36"/>
      <c r="O297" s="35">
        <v>45</v>
      </c>
      <c r="P297" s="91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0"/>
      <c r="R297" s="600"/>
      <c r="S297" s="600"/>
      <c r="T297" s="601"/>
      <c r="U297" s="37"/>
      <c r="V297" s="37"/>
      <c r="W297" s="38" t="s">
        <v>68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488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21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22"/>
      <c r="P298" s="605" t="s">
        <v>73</v>
      </c>
      <c r="Q298" s="606"/>
      <c r="R298" s="606"/>
      <c r="S298" s="606"/>
      <c r="T298" s="606"/>
      <c r="U298" s="606"/>
      <c r="V298" s="607"/>
      <c r="W298" s="40" t="s">
        <v>74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22"/>
      <c r="P299" s="605" t="s">
        <v>73</v>
      </c>
      <c r="Q299" s="606"/>
      <c r="R299" s="606"/>
      <c r="S299" s="606"/>
      <c r="T299" s="606"/>
      <c r="U299" s="606"/>
      <c r="V299" s="607"/>
      <c r="W299" s="40" t="s">
        <v>68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8" t="s">
        <v>319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63"/>
      <c r="AB300" s="63"/>
      <c r="AC300" s="63"/>
    </row>
    <row r="301" spans="1:68" ht="27" customHeight="1" x14ac:dyDescent="0.25">
      <c r="A301" s="60" t="s">
        <v>489</v>
      </c>
      <c r="B301" s="60" t="s">
        <v>490</v>
      </c>
      <c r="C301" s="34">
        <v>4301041004</v>
      </c>
      <c r="D301" s="597">
        <v>4680115886704</v>
      </c>
      <c r="E301" s="59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313</v>
      </c>
      <c r="L301" s="35"/>
      <c r="M301" s="36" t="s">
        <v>314</v>
      </c>
      <c r="N301" s="36"/>
      <c r="O301" s="35">
        <v>90</v>
      </c>
      <c r="P301" s="8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0"/>
      <c r="R301" s="600"/>
      <c r="S301" s="600"/>
      <c r="T301" s="601"/>
      <c r="U301" s="37"/>
      <c r="V301" s="37"/>
      <c r="W301" s="38" t="s">
        <v>68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491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492</v>
      </c>
      <c r="B302" s="60" t="s">
        <v>493</v>
      </c>
      <c r="C302" s="34">
        <v>4301041008</v>
      </c>
      <c r="D302" s="597">
        <v>4680115886681</v>
      </c>
      <c r="E302" s="59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313</v>
      </c>
      <c r="L302" s="35"/>
      <c r="M302" s="36" t="s">
        <v>314</v>
      </c>
      <c r="N302" s="36"/>
      <c r="O302" s="35">
        <v>90</v>
      </c>
      <c r="P302" s="6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0"/>
      <c r="R302" s="600"/>
      <c r="S302" s="600"/>
      <c r="T302" s="601"/>
      <c r="U302" s="37"/>
      <c r="V302" s="37"/>
      <c r="W302" s="38" t="s">
        <v>68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491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494</v>
      </c>
      <c r="B303" s="60" t="s">
        <v>495</v>
      </c>
      <c r="C303" s="34">
        <v>4301041007</v>
      </c>
      <c r="D303" s="597">
        <v>4680115886735</v>
      </c>
      <c r="E303" s="59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313</v>
      </c>
      <c r="L303" s="35"/>
      <c r="M303" s="36" t="s">
        <v>314</v>
      </c>
      <c r="N303" s="36"/>
      <c r="O303" s="35">
        <v>90</v>
      </c>
      <c r="P303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0"/>
      <c r="R303" s="600"/>
      <c r="S303" s="600"/>
      <c r="T303" s="601"/>
      <c r="U303" s="37"/>
      <c r="V303" s="37"/>
      <c r="W303" s="38" t="s">
        <v>68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491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496</v>
      </c>
      <c r="B304" s="60" t="s">
        <v>497</v>
      </c>
      <c r="C304" s="34">
        <v>4301041005</v>
      </c>
      <c r="D304" s="597">
        <v>4680115886711</v>
      </c>
      <c r="E304" s="59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313</v>
      </c>
      <c r="L304" s="35"/>
      <c r="M304" s="36" t="s">
        <v>314</v>
      </c>
      <c r="N304" s="36"/>
      <c r="O304" s="35">
        <v>90</v>
      </c>
      <c r="P304" s="8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0"/>
      <c r="R304" s="600"/>
      <c r="S304" s="600"/>
      <c r="T304" s="601"/>
      <c r="U304" s="37"/>
      <c r="V304" s="37" t="s">
        <v>498</v>
      </c>
      <c r="W304" s="38" t="s">
        <v>68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/>
      <c r="AB304" s="66"/>
      <c r="AC304" s="381" t="s">
        <v>491</v>
      </c>
      <c r="AG304" s="75"/>
      <c r="AJ304" s="79"/>
      <c r="AK304" s="79">
        <v>0</v>
      </c>
      <c r="BB304" s="382" t="s">
        <v>1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21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22"/>
      <c r="P305" s="605" t="s">
        <v>73</v>
      </c>
      <c r="Q305" s="606"/>
      <c r="R305" s="606"/>
      <c r="S305" s="606"/>
      <c r="T305" s="606"/>
      <c r="U305" s="606"/>
      <c r="V305" s="607"/>
      <c r="W305" s="40" t="s">
        <v>74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22"/>
      <c r="P306" s="605" t="s">
        <v>73</v>
      </c>
      <c r="Q306" s="606"/>
      <c r="R306" s="606"/>
      <c r="S306" s="606"/>
      <c r="T306" s="606"/>
      <c r="U306" s="606"/>
      <c r="V306" s="607"/>
      <c r="W306" s="40" t="s">
        <v>68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14" t="s">
        <v>499</v>
      </c>
      <c r="B307" s="609"/>
      <c r="C307" s="609"/>
      <c r="D307" s="609"/>
      <c r="E307" s="609"/>
      <c r="F307" s="609"/>
      <c r="G307" s="609"/>
      <c r="H307" s="609"/>
      <c r="I307" s="609"/>
      <c r="J307" s="609"/>
      <c r="K307" s="609"/>
      <c r="L307" s="609"/>
      <c r="M307" s="609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  <c r="Z307" s="609"/>
      <c r="AA307" s="62"/>
      <c r="AB307" s="62"/>
      <c r="AC307" s="62"/>
    </row>
    <row r="308" spans="1:68" ht="14.25" customHeight="1" x14ac:dyDescent="0.25">
      <c r="A308" s="608" t="s">
        <v>118</v>
      </c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  <c r="Z308" s="609"/>
      <c r="AA308" s="63"/>
      <c r="AB308" s="63"/>
      <c r="AC308" s="63"/>
    </row>
    <row r="309" spans="1:68" ht="27" customHeight="1" x14ac:dyDescent="0.25">
      <c r="A309" s="60" t="s">
        <v>500</v>
      </c>
      <c r="B309" s="60" t="s">
        <v>501</v>
      </c>
      <c r="C309" s="34">
        <v>4301011855</v>
      </c>
      <c r="D309" s="597">
        <v>4680115885837</v>
      </c>
      <c r="E309" s="59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121</v>
      </c>
      <c r="L309" s="35"/>
      <c r="M309" s="36" t="s">
        <v>122</v>
      </c>
      <c r="N309" s="36"/>
      <c r="O309" s="35">
        <v>55</v>
      </c>
      <c r="P309" s="7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0"/>
      <c r="R309" s="600"/>
      <c r="S309" s="600"/>
      <c r="T309" s="601"/>
      <c r="U309" s="37"/>
      <c r="V309" s="37"/>
      <c r="W309" s="38" t="s">
        <v>68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502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503</v>
      </c>
      <c r="B310" s="60" t="s">
        <v>504</v>
      </c>
      <c r="C310" s="34">
        <v>4301012234</v>
      </c>
      <c r="D310" s="597">
        <v>4680115887237</v>
      </c>
      <c r="E310" s="59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121</v>
      </c>
      <c r="L310" s="35"/>
      <c r="M310" s="36" t="s">
        <v>122</v>
      </c>
      <c r="N310" s="36"/>
      <c r="O310" s="35">
        <v>55</v>
      </c>
      <c r="P310" s="7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0"/>
      <c r="R310" s="600"/>
      <c r="S310" s="600"/>
      <c r="T310" s="601"/>
      <c r="U310" s="37"/>
      <c r="V310" s="37"/>
      <c r="W310" s="38" t="s">
        <v>68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505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506</v>
      </c>
      <c r="B311" s="60" t="s">
        <v>507</v>
      </c>
      <c r="C311" s="34">
        <v>4301011850</v>
      </c>
      <c r="D311" s="597">
        <v>4680115885806</v>
      </c>
      <c r="E311" s="59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121</v>
      </c>
      <c r="L311" s="35"/>
      <c r="M311" s="36" t="s">
        <v>122</v>
      </c>
      <c r="N311" s="36"/>
      <c r="O311" s="35">
        <v>55</v>
      </c>
      <c r="P311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0"/>
      <c r="R311" s="600"/>
      <c r="S311" s="600"/>
      <c r="T311" s="601"/>
      <c r="U311" s="37"/>
      <c r="V311" s="37"/>
      <c r="W311" s="38" t="s">
        <v>68</v>
      </c>
      <c r="X311" s="56">
        <v>30</v>
      </c>
      <c r="Y311" s="53">
        <f>IFERROR(IF(X311="",0,CEILING((X311/$H311),1)*$H311),"")</f>
        <v>32.400000000000006</v>
      </c>
      <c r="Z311" s="39">
        <f>IFERROR(IF(Y311=0,"",ROUNDUP(Y311/H311,0)*0.01898),"")</f>
        <v>5.6940000000000004E-2</v>
      </c>
      <c r="AA311" s="65"/>
      <c r="AB311" s="66"/>
      <c r="AC311" s="387" t="s">
        <v>508</v>
      </c>
      <c r="AG311" s="75"/>
      <c r="AJ311" s="79"/>
      <c r="AK311" s="79">
        <v>0</v>
      </c>
      <c r="BB311" s="388" t="s">
        <v>1</v>
      </c>
      <c r="BM311" s="75">
        <f>IFERROR(X311*I311/H311,"0")</f>
        <v>31.138888888888889</v>
      </c>
      <c r="BN311" s="75">
        <f>IFERROR(Y311*I311/H311,"0")</f>
        <v>33.630000000000003</v>
      </c>
      <c r="BO311" s="75">
        <f>IFERROR(1/J311*(X311/H311),"0")</f>
        <v>4.3402777777777776E-2</v>
      </c>
      <c r="BP311" s="75">
        <f>IFERROR(1/J311*(Y311/H311),"0")</f>
        <v>4.6875000000000007E-2</v>
      </c>
    </row>
    <row r="312" spans="1:68" ht="27" customHeight="1" x14ac:dyDescent="0.25">
      <c r="A312" s="60" t="s">
        <v>509</v>
      </c>
      <c r="B312" s="60" t="s">
        <v>510</v>
      </c>
      <c r="C312" s="34">
        <v>4301011852</v>
      </c>
      <c r="D312" s="597">
        <v>4680115885844</v>
      </c>
      <c r="E312" s="59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130</v>
      </c>
      <c r="L312" s="35"/>
      <c r="M312" s="36" t="s">
        <v>122</v>
      </c>
      <c r="N312" s="36"/>
      <c r="O312" s="35">
        <v>55</v>
      </c>
      <c r="P312" s="72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0"/>
      <c r="R312" s="600"/>
      <c r="S312" s="600"/>
      <c r="T312" s="601"/>
      <c r="U312" s="37"/>
      <c r="V312" s="37"/>
      <c r="W312" s="38" t="s">
        <v>68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511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512</v>
      </c>
      <c r="B313" s="60" t="s">
        <v>513</v>
      </c>
      <c r="C313" s="34">
        <v>4301011851</v>
      </c>
      <c r="D313" s="597">
        <v>4680115885820</v>
      </c>
      <c r="E313" s="59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130</v>
      </c>
      <c r="L313" s="35"/>
      <c r="M313" s="36" t="s">
        <v>122</v>
      </c>
      <c r="N313" s="36"/>
      <c r="O313" s="35">
        <v>55</v>
      </c>
      <c r="P313" s="9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0"/>
      <c r="R313" s="600"/>
      <c r="S313" s="600"/>
      <c r="T313" s="601"/>
      <c r="U313" s="37"/>
      <c r="V313" s="37"/>
      <c r="W313" s="38" t="s">
        <v>68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514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21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22"/>
      <c r="P314" s="605" t="s">
        <v>73</v>
      </c>
      <c r="Q314" s="606"/>
      <c r="R314" s="606"/>
      <c r="S314" s="606"/>
      <c r="T314" s="606"/>
      <c r="U314" s="606"/>
      <c r="V314" s="607"/>
      <c r="W314" s="40" t="s">
        <v>74</v>
      </c>
      <c r="X314" s="41">
        <f>IFERROR(X309/H309,"0")+IFERROR(X310/H310,"0")+IFERROR(X311/H311,"0")+IFERROR(X312/H312,"0")+IFERROR(X313/H313,"0")</f>
        <v>2.7777777777777777</v>
      </c>
      <c r="Y314" s="41">
        <f>IFERROR(Y309/H309,"0")+IFERROR(Y310/H310,"0")+IFERROR(Y311/H311,"0")+IFERROR(Y312/H312,"0")+IFERROR(Y313/H313,"0")</f>
        <v>3.0000000000000004</v>
      </c>
      <c r="Z314" s="41">
        <f>IFERROR(IF(Z309="",0,Z309),"0")+IFERROR(IF(Z310="",0,Z310),"0")+IFERROR(IF(Z311="",0,Z311),"0")+IFERROR(IF(Z312="",0,Z312),"0")+IFERROR(IF(Z313="",0,Z313),"0")</f>
        <v>5.6940000000000004E-2</v>
      </c>
      <c r="AA314" s="64"/>
      <c r="AB314" s="64"/>
      <c r="AC314" s="64"/>
    </row>
    <row r="315" spans="1:68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22"/>
      <c r="P315" s="605" t="s">
        <v>73</v>
      </c>
      <c r="Q315" s="606"/>
      <c r="R315" s="606"/>
      <c r="S315" s="606"/>
      <c r="T315" s="606"/>
      <c r="U315" s="606"/>
      <c r="V315" s="607"/>
      <c r="W315" s="40" t="s">
        <v>68</v>
      </c>
      <c r="X315" s="41">
        <f>IFERROR(SUM(X309:X313),"0")</f>
        <v>30</v>
      </c>
      <c r="Y315" s="41">
        <f>IFERROR(SUM(Y309:Y313),"0")</f>
        <v>32.400000000000006</v>
      </c>
      <c r="Z315" s="40"/>
      <c r="AA315" s="64"/>
      <c r="AB315" s="64"/>
      <c r="AC315" s="64"/>
    </row>
    <row r="316" spans="1:68" ht="16.5" customHeight="1" x14ac:dyDescent="0.25">
      <c r="A316" s="614" t="s">
        <v>515</v>
      </c>
      <c r="B316" s="609"/>
      <c r="C316" s="609"/>
      <c r="D316" s="609"/>
      <c r="E316" s="609"/>
      <c r="F316" s="609"/>
      <c r="G316" s="609"/>
      <c r="H316" s="609"/>
      <c r="I316" s="609"/>
      <c r="J316" s="609"/>
      <c r="K316" s="609"/>
      <c r="L316" s="609"/>
      <c r="M316" s="609"/>
      <c r="N316" s="609"/>
      <c r="O316" s="609"/>
      <c r="P316" s="609"/>
      <c r="Q316" s="609"/>
      <c r="R316" s="609"/>
      <c r="S316" s="609"/>
      <c r="T316" s="609"/>
      <c r="U316" s="609"/>
      <c r="V316" s="609"/>
      <c r="W316" s="609"/>
      <c r="X316" s="609"/>
      <c r="Y316" s="609"/>
      <c r="Z316" s="609"/>
      <c r="AA316" s="62"/>
      <c r="AB316" s="62"/>
      <c r="AC316" s="62"/>
    </row>
    <row r="317" spans="1:68" ht="14.25" customHeight="1" x14ac:dyDescent="0.25">
      <c r="A317" s="608" t="s">
        <v>75</v>
      </c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  <c r="Z317" s="609"/>
      <c r="AA317" s="63"/>
      <c r="AB317" s="63"/>
      <c r="AC317" s="63"/>
    </row>
    <row r="318" spans="1:68" ht="27" customHeight="1" x14ac:dyDescent="0.25">
      <c r="A318" s="60" t="s">
        <v>516</v>
      </c>
      <c r="B318" s="60" t="s">
        <v>517</v>
      </c>
      <c r="C318" s="34">
        <v>4301051893</v>
      </c>
      <c r="D318" s="597">
        <v>4680115886186</v>
      </c>
      <c r="E318" s="59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78</v>
      </c>
      <c r="L318" s="35"/>
      <c r="M318" s="36" t="s">
        <v>79</v>
      </c>
      <c r="N318" s="36"/>
      <c r="O318" s="35">
        <v>45</v>
      </c>
      <c r="P318" s="83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0"/>
      <c r="R318" s="600"/>
      <c r="S318" s="600"/>
      <c r="T318" s="601"/>
      <c r="U318" s="37"/>
      <c r="V318" s="37"/>
      <c r="W318" s="38" t="s">
        <v>68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518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519</v>
      </c>
      <c r="B319" s="60" t="s">
        <v>520</v>
      </c>
      <c r="C319" s="34">
        <v>4301051795</v>
      </c>
      <c r="D319" s="597">
        <v>4680115881228</v>
      </c>
      <c r="E319" s="59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78</v>
      </c>
      <c r="L319" s="35"/>
      <c r="M319" s="36" t="s">
        <v>85</v>
      </c>
      <c r="N319" s="36"/>
      <c r="O319" s="35">
        <v>40</v>
      </c>
      <c r="P319" s="92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0"/>
      <c r="R319" s="600"/>
      <c r="S319" s="600"/>
      <c r="T319" s="601"/>
      <c r="U319" s="37"/>
      <c r="V319" s="37"/>
      <c r="W319" s="38" t="s">
        <v>68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521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522</v>
      </c>
      <c r="B320" s="60" t="s">
        <v>523</v>
      </c>
      <c r="C320" s="34">
        <v>4301051388</v>
      </c>
      <c r="D320" s="597">
        <v>4680115881211</v>
      </c>
      <c r="E320" s="59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78</v>
      </c>
      <c r="L320" s="35"/>
      <c r="M320" s="36" t="s">
        <v>79</v>
      </c>
      <c r="N320" s="36"/>
      <c r="O320" s="35">
        <v>45</v>
      </c>
      <c r="P320" s="8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0"/>
      <c r="R320" s="600"/>
      <c r="S320" s="600"/>
      <c r="T320" s="601"/>
      <c r="U320" s="37"/>
      <c r="V320" s="37"/>
      <c r="W320" s="38" t="s">
        <v>68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518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21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22"/>
      <c r="P321" s="605" t="s">
        <v>73</v>
      </c>
      <c r="Q321" s="606"/>
      <c r="R321" s="606"/>
      <c r="S321" s="606"/>
      <c r="T321" s="606"/>
      <c r="U321" s="606"/>
      <c r="V321" s="607"/>
      <c r="W321" s="40" t="s">
        <v>74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22"/>
      <c r="P322" s="605" t="s">
        <v>73</v>
      </c>
      <c r="Q322" s="606"/>
      <c r="R322" s="606"/>
      <c r="S322" s="606"/>
      <c r="T322" s="606"/>
      <c r="U322" s="606"/>
      <c r="V322" s="607"/>
      <c r="W322" s="40" t="s">
        <v>68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4" t="s">
        <v>524</v>
      </c>
      <c r="B323" s="609"/>
      <c r="C323" s="609"/>
      <c r="D323" s="609"/>
      <c r="E323" s="609"/>
      <c r="F323" s="609"/>
      <c r="G323" s="609"/>
      <c r="H323" s="609"/>
      <c r="I323" s="609"/>
      <c r="J323" s="609"/>
      <c r="K323" s="609"/>
      <c r="L323" s="609"/>
      <c r="M323" s="609"/>
      <c r="N323" s="609"/>
      <c r="O323" s="609"/>
      <c r="P323" s="609"/>
      <c r="Q323" s="609"/>
      <c r="R323" s="609"/>
      <c r="S323" s="609"/>
      <c r="T323" s="609"/>
      <c r="U323" s="609"/>
      <c r="V323" s="609"/>
      <c r="W323" s="609"/>
      <c r="X323" s="609"/>
      <c r="Y323" s="609"/>
      <c r="Z323" s="609"/>
      <c r="AA323" s="62"/>
      <c r="AB323" s="62"/>
      <c r="AC323" s="62"/>
    </row>
    <row r="324" spans="1:68" ht="14.25" customHeight="1" x14ac:dyDescent="0.25">
      <c r="A324" s="608" t="s">
        <v>63</v>
      </c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  <c r="Z324" s="609"/>
      <c r="AA324" s="63"/>
      <c r="AB324" s="63"/>
      <c r="AC324" s="63"/>
    </row>
    <row r="325" spans="1:68" ht="27" customHeight="1" x14ac:dyDescent="0.25">
      <c r="A325" s="60" t="s">
        <v>525</v>
      </c>
      <c r="B325" s="60" t="s">
        <v>526</v>
      </c>
      <c r="C325" s="34">
        <v>4301031445</v>
      </c>
      <c r="D325" s="597">
        <v>4680115888319</v>
      </c>
      <c r="E325" s="59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66</v>
      </c>
      <c r="L325" s="35"/>
      <c r="M325" s="36" t="s">
        <v>67</v>
      </c>
      <c r="N325" s="36"/>
      <c r="O325" s="35">
        <v>45</v>
      </c>
      <c r="P325" s="81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0"/>
      <c r="R325" s="600"/>
      <c r="S325" s="600"/>
      <c r="T325" s="601"/>
      <c r="U325" s="37"/>
      <c r="V325" s="37"/>
      <c r="W325" s="38" t="s">
        <v>68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364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527</v>
      </c>
      <c r="B326" s="60" t="s">
        <v>528</v>
      </c>
      <c r="C326" s="34">
        <v>4301031502</v>
      </c>
      <c r="D326" s="597">
        <v>4680115884700</v>
      </c>
      <c r="E326" s="59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66</v>
      </c>
      <c r="L326" s="35"/>
      <c r="M326" s="36" t="s">
        <v>67</v>
      </c>
      <c r="N326" s="36"/>
      <c r="O326" s="35">
        <v>40</v>
      </c>
      <c r="P326" s="62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0"/>
      <c r="R326" s="600"/>
      <c r="S326" s="600"/>
      <c r="T326" s="601"/>
      <c r="U326" s="37"/>
      <c r="V326" s="37"/>
      <c r="W326" s="38" t="s">
        <v>68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529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530</v>
      </c>
      <c r="B327" s="60" t="s">
        <v>531</v>
      </c>
      <c r="C327" s="34">
        <v>4301031307</v>
      </c>
      <c r="D327" s="597">
        <v>4680115880344</v>
      </c>
      <c r="E327" s="59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66</v>
      </c>
      <c r="L327" s="35"/>
      <c r="M327" s="36" t="s">
        <v>67</v>
      </c>
      <c r="N327" s="36"/>
      <c r="O327" s="35">
        <v>40</v>
      </c>
      <c r="P327" s="8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0"/>
      <c r="R327" s="600"/>
      <c r="S327" s="600"/>
      <c r="T327" s="601"/>
      <c r="U327" s="37"/>
      <c r="V327" s="37"/>
      <c r="W327" s="38" t="s">
        <v>68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532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533</v>
      </c>
      <c r="B328" s="60" t="s">
        <v>534</v>
      </c>
      <c r="C328" s="34">
        <v>4301031501</v>
      </c>
      <c r="D328" s="597">
        <v>4680115886919</v>
      </c>
      <c r="E328" s="59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78</v>
      </c>
      <c r="L328" s="35"/>
      <c r="M328" s="36" t="s">
        <v>67</v>
      </c>
      <c r="N328" s="36"/>
      <c r="O328" s="35">
        <v>40</v>
      </c>
      <c r="P328" s="61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0"/>
      <c r="R328" s="600"/>
      <c r="S328" s="600"/>
      <c r="T328" s="601"/>
      <c r="U328" s="37"/>
      <c r="V328" s="37"/>
      <c r="W328" s="38" t="s">
        <v>68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535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536</v>
      </c>
      <c r="B329" s="60" t="s">
        <v>537</v>
      </c>
      <c r="C329" s="34">
        <v>4301031246</v>
      </c>
      <c r="D329" s="597">
        <v>4680115883970</v>
      </c>
      <c r="E329" s="59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66</v>
      </c>
      <c r="L329" s="35"/>
      <c r="M329" s="36" t="s">
        <v>67</v>
      </c>
      <c r="N329" s="36"/>
      <c r="O329" s="35">
        <v>40</v>
      </c>
      <c r="P329" s="67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0"/>
      <c r="R329" s="600"/>
      <c r="S329" s="600"/>
      <c r="T329" s="601"/>
      <c r="U329" s="37"/>
      <c r="V329" s="37"/>
      <c r="W329" s="38" t="s">
        <v>68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538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21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22"/>
      <c r="P330" s="605" t="s">
        <v>73</v>
      </c>
      <c r="Q330" s="606"/>
      <c r="R330" s="606"/>
      <c r="S330" s="606"/>
      <c r="T330" s="606"/>
      <c r="U330" s="606"/>
      <c r="V330" s="607"/>
      <c r="W330" s="40" t="s">
        <v>74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22"/>
      <c r="P331" s="605" t="s">
        <v>73</v>
      </c>
      <c r="Q331" s="606"/>
      <c r="R331" s="606"/>
      <c r="S331" s="606"/>
      <c r="T331" s="606"/>
      <c r="U331" s="606"/>
      <c r="V331" s="607"/>
      <c r="W331" s="40" t="s">
        <v>68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8" t="s">
        <v>75</v>
      </c>
      <c r="B332" s="609"/>
      <c r="C332" s="609"/>
      <c r="D332" s="609"/>
      <c r="E332" s="609"/>
      <c r="F332" s="609"/>
      <c r="G332" s="609"/>
      <c r="H332" s="609"/>
      <c r="I332" s="609"/>
      <c r="J332" s="609"/>
      <c r="K332" s="609"/>
      <c r="L332" s="609"/>
      <c r="M332" s="609"/>
      <c r="N332" s="609"/>
      <c r="O332" s="609"/>
      <c r="P332" s="609"/>
      <c r="Q332" s="609"/>
      <c r="R332" s="609"/>
      <c r="S332" s="609"/>
      <c r="T332" s="609"/>
      <c r="U332" s="609"/>
      <c r="V332" s="609"/>
      <c r="W332" s="609"/>
      <c r="X332" s="609"/>
      <c r="Y332" s="609"/>
      <c r="Z332" s="609"/>
      <c r="AA332" s="63"/>
      <c r="AB332" s="63"/>
      <c r="AC332" s="63"/>
    </row>
    <row r="333" spans="1:68" ht="37.5" customHeight="1" x14ac:dyDescent="0.25">
      <c r="A333" s="60" t="s">
        <v>539</v>
      </c>
      <c r="B333" s="60" t="s">
        <v>540</v>
      </c>
      <c r="C333" s="34">
        <v>4301051782</v>
      </c>
      <c r="D333" s="597">
        <v>4680115884618</v>
      </c>
      <c r="E333" s="59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130</v>
      </c>
      <c r="L333" s="35"/>
      <c r="M333" s="36" t="s">
        <v>79</v>
      </c>
      <c r="N333" s="36"/>
      <c r="O333" s="35">
        <v>45</v>
      </c>
      <c r="P333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0"/>
      <c r="R333" s="600"/>
      <c r="S333" s="600"/>
      <c r="T333" s="601"/>
      <c r="U333" s="37"/>
      <c r="V333" s="37"/>
      <c r="W333" s="38" t="s">
        <v>68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541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542</v>
      </c>
      <c r="B334" s="60" t="s">
        <v>543</v>
      </c>
      <c r="C334" s="34">
        <v>4301052057</v>
      </c>
      <c r="D334" s="597">
        <v>4680115887114</v>
      </c>
      <c r="E334" s="59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130</v>
      </c>
      <c r="L334" s="35"/>
      <c r="M334" s="36" t="s">
        <v>79</v>
      </c>
      <c r="N334" s="36"/>
      <c r="O334" s="35">
        <v>45</v>
      </c>
      <c r="P334" s="6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0"/>
      <c r="R334" s="600"/>
      <c r="S334" s="600"/>
      <c r="T334" s="601"/>
      <c r="U334" s="37"/>
      <c r="V334" s="37"/>
      <c r="W334" s="38" t="s">
        <v>68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544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21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22"/>
      <c r="P335" s="605" t="s">
        <v>73</v>
      </c>
      <c r="Q335" s="606"/>
      <c r="R335" s="606"/>
      <c r="S335" s="606"/>
      <c r="T335" s="606"/>
      <c r="U335" s="606"/>
      <c r="V335" s="607"/>
      <c r="W335" s="40" t="s">
        <v>74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22"/>
      <c r="P336" s="605" t="s">
        <v>73</v>
      </c>
      <c r="Q336" s="606"/>
      <c r="R336" s="606"/>
      <c r="S336" s="606"/>
      <c r="T336" s="606"/>
      <c r="U336" s="606"/>
      <c r="V336" s="607"/>
      <c r="W336" s="40" t="s">
        <v>68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4" t="s">
        <v>545</v>
      </c>
      <c r="B337" s="609"/>
      <c r="C337" s="609"/>
      <c r="D337" s="609"/>
      <c r="E337" s="609"/>
      <c r="F337" s="609"/>
      <c r="G337" s="609"/>
      <c r="H337" s="609"/>
      <c r="I337" s="609"/>
      <c r="J337" s="609"/>
      <c r="K337" s="609"/>
      <c r="L337" s="609"/>
      <c r="M337" s="609"/>
      <c r="N337" s="609"/>
      <c r="O337" s="609"/>
      <c r="P337" s="609"/>
      <c r="Q337" s="609"/>
      <c r="R337" s="609"/>
      <c r="S337" s="609"/>
      <c r="T337" s="609"/>
      <c r="U337" s="609"/>
      <c r="V337" s="609"/>
      <c r="W337" s="609"/>
      <c r="X337" s="609"/>
      <c r="Y337" s="609"/>
      <c r="Z337" s="609"/>
      <c r="AA337" s="62"/>
      <c r="AB337" s="62"/>
      <c r="AC337" s="62"/>
    </row>
    <row r="338" spans="1:68" ht="14.25" customHeight="1" x14ac:dyDescent="0.25">
      <c r="A338" s="608" t="s">
        <v>118</v>
      </c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  <c r="Z338" s="609"/>
      <c r="AA338" s="63"/>
      <c r="AB338" s="63"/>
      <c r="AC338" s="63"/>
    </row>
    <row r="339" spans="1:68" ht="27" customHeight="1" x14ac:dyDescent="0.25">
      <c r="A339" s="60" t="s">
        <v>546</v>
      </c>
      <c r="B339" s="60" t="s">
        <v>547</v>
      </c>
      <c r="C339" s="34">
        <v>4301012324</v>
      </c>
      <c r="D339" s="597">
        <v>4680115887947</v>
      </c>
      <c r="E339" s="59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121</v>
      </c>
      <c r="L339" s="35"/>
      <c r="M339" s="36" t="s">
        <v>79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0"/>
      <c r="R339" s="600"/>
      <c r="S339" s="600"/>
      <c r="T339" s="601"/>
      <c r="U339" s="37"/>
      <c r="V339" s="37"/>
      <c r="W339" s="38" t="s">
        <v>68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/>
      <c r="AB339" s="66"/>
      <c r="AC339" s="413" t="s">
        <v>548</v>
      </c>
      <c r="AG339" s="75"/>
      <c r="AJ339" s="79"/>
      <c r="AK339" s="79">
        <v>0</v>
      </c>
      <c r="BB339" s="414" t="s">
        <v>1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549</v>
      </c>
      <c r="B340" s="60" t="s">
        <v>550</v>
      </c>
      <c r="C340" s="34">
        <v>4301012325</v>
      </c>
      <c r="D340" s="597">
        <v>4680115887978</v>
      </c>
      <c r="E340" s="59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121</v>
      </c>
      <c r="L340" s="35"/>
      <c r="M340" s="36" t="s">
        <v>79</v>
      </c>
      <c r="N340" s="36"/>
      <c r="O340" s="35">
        <v>60</v>
      </c>
      <c r="P340" s="74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0"/>
      <c r="R340" s="600"/>
      <c r="S340" s="600"/>
      <c r="T340" s="601"/>
      <c r="U340" s="37"/>
      <c r="V340" s="37"/>
      <c r="W340" s="38" t="s">
        <v>68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551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552</v>
      </c>
      <c r="B341" s="60" t="s">
        <v>553</v>
      </c>
      <c r="C341" s="34">
        <v>4301012327</v>
      </c>
      <c r="D341" s="597">
        <v>4680115887992</v>
      </c>
      <c r="E341" s="59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121</v>
      </c>
      <c r="L341" s="35"/>
      <c r="M341" s="36" t="s">
        <v>79</v>
      </c>
      <c r="N341" s="36"/>
      <c r="O341" s="35">
        <v>60</v>
      </c>
      <c r="P341" s="8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0"/>
      <c r="R341" s="600"/>
      <c r="S341" s="600"/>
      <c r="T341" s="601"/>
      <c r="U341" s="37"/>
      <c r="V341" s="37"/>
      <c r="W341" s="38" t="s">
        <v>68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554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21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22"/>
      <c r="P342" s="605" t="s">
        <v>73</v>
      </c>
      <c r="Q342" s="606"/>
      <c r="R342" s="606"/>
      <c r="S342" s="606"/>
      <c r="T342" s="606"/>
      <c r="U342" s="606"/>
      <c r="V342" s="607"/>
      <c r="W342" s="40" t="s">
        <v>74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22"/>
      <c r="P343" s="605" t="s">
        <v>73</v>
      </c>
      <c r="Q343" s="606"/>
      <c r="R343" s="606"/>
      <c r="S343" s="606"/>
      <c r="T343" s="606"/>
      <c r="U343" s="606"/>
      <c r="V343" s="607"/>
      <c r="W343" s="40" t="s">
        <v>68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14" t="s">
        <v>555</v>
      </c>
      <c r="B344" s="609"/>
      <c r="C344" s="609"/>
      <c r="D344" s="609"/>
      <c r="E344" s="609"/>
      <c r="F344" s="609"/>
      <c r="G344" s="609"/>
      <c r="H344" s="609"/>
      <c r="I344" s="609"/>
      <c r="J344" s="609"/>
      <c r="K344" s="609"/>
      <c r="L344" s="609"/>
      <c r="M344" s="609"/>
      <c r="N344" s="609"/>
      <c r="O344" s="609"/>
      <c r="P344" s="609"/>
      <c r="Q344" s="609"/>
      <c r="R344" s="609"/>
      <c r="S344" s="609"/>
      <c r="T344" s="609"/>
      <c r="U344" s="609"/>
      <c r="V344" s="609"/>
      <c r="W344" s="609"/>
      <c r="X344" s="609"/>
      <c r="Y344" s="609"/>
      <c r="Z344" s="609"/>
      <c r="AA344" s="62"/>
      <c r="AB344" s="62"/>
      <c r="AC344" s="62"/>
    </row>
    <row r="345" spans="1:68" ht="14.25" customHeight="1" x14ac:dyDescent="0.25">
      <c r="A345" s="608" t="s">
        <v>118</v>
      </c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  <c r="Z345" s="609"/>
      <c r="AA345" s="63"/>
      <c r="AB345" s="63"/>
      <c r="AC345" s="63"/>
    </row>
    <row r="346" spans="1:68" ht="27" customHeight="1" x14ac:dyDescent="0.25">
      <c r="A346" s="60" t="s">
        <v>556</v>
      </c>
      <c r="B346" s="60" t="s">
        <v>557</v>
      </c>
      <c r="C346" s="34">
        <v>4301012126</v>
      </c>
      <c r="D346" s="597">
        <v>4607091386004</v>
      </c>
      <c r="E346" s="59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121</v>
      </c>
      <c r="L346" s="35"/>
      <c r="M346" s="36" t="s">
        <v>122</v>
      </c>
      <c r="N346" s="36"/>
      <c r="O346" s="35">
        <v>55</v>
      </c>
      <c r="P346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0"/>
      <c r="R346" s="600"/>
      <c r="S346" s="600"/>
      <c r="T346" s="601"/>
      <c r="U346" s="37"/>
      <c r="V346" s="37"/>
      <c r="W346" s="38" t="s">
        <v>68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558</v>
      </c>
      <c r="AG346" s="75"/>
      <c r="AJ346" s="79"/>
      <c r="AK346" s="79">
        <v>0</v>
      </c>
      <c r="BB346" s="420" t="s">
        <v>1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customHeight="1" x14ac:dyDescent="0.25">
      <c r="A347" s="60" t="s">
        <v>559</v>
      </c>
      <c r="B347" s="60" t="s">
        <v>560</v>
      </c>
      <c r="C347" s="34">
        <v>4301012235</v>
      </c>
      <c r="D347" s="597">
        <v>4680115887190</v>
      </c>
      <c r="E347" s="59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121</v>
      </c>
      <c r="L347" s="35"/>
      <c r="M347" s="36" t="s">
        <v>122</v>
      </c>
      <c r="N347" s="36"/>
      <c r="O347" s="35">
        <v>55</v>
      </c>
      <c r="P347" s="88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0"/>
      <c r="R347" s="600"/>
      <c r="S347" s="600"/>
      <c r="T347" s="601"/>
      <c r="U347" s="37"/>
      <c r="V347" s="37"/>
      <c r="W347" s="38" t="s">
        <v>68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/>
      <c r="AB347" s="66"/>
      <c r="AC347" s="421" t="s">
        <v>561</v>
      </c>
      <c r="AG347" s="75"/>
      <c r="AJ347" s="79"/>
      <c r="AK347" s="79">
        <v>0</v>
      </c>
      <c r="BB347" s="422" t="s">
        <v>1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customHeight="1" x14ac:dyDescent="0.25">
      <c r="A348" s="60" t="s">
        <v>562</v>
      </c>
      <c r="B348" s="60" t="s">
        <v>563</v>
      </c>
      <c r="C348" s="34">
        <v>4301012233</v>
      </c>
      <c r="D348" s="597">
        <v>4680115887138</v>
      </c>
      <c r="E348" s="59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121</v>
      </c>
      <c r="L348" s="35"/>
      <c r="M348" s="36" t="s">
        <v>122</v>
      </c>
      <c r="N348" s="36"/>
      <c r="O348" s="35">
        <v>55</v>
      </c>
      <c r="P348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0"/>
      <c r="R348" s="600"/>
      <c r="S348" s="600"/>
      <c r="T348" s="601"/>
      <c r="U348" s="37"/>
      <c r="V348" s="37"/>
      <c r="W348" s="38" t="s">
        <v>68</v>
      </c>
      <c r="X348" s="56">
        <v>30</v>
      </c>
      <c r="Y348" s="53">
        <f t="shared" si="47"/>
        <v>32.400000000000006</v>
      </c>
      <c r="Z348" s="39">
        <f>IFERROR(IF(Y348=0,"",ROUNDUP(Y348/H348,0)*0.01898),"")</f>
        <v>5.6940000000000004E-2</v>
      </c>
      <c r="AA348" s="65"/>
      <c r="AB348" s="66"/>
      <c r="AC348" s="423" t="s">
        <v>564</v>
      </c>
      <c r="AG348" s="75"/>
      <c r="AJ348" s="79"/>
      <c r="AK348" s="79">
        <v>0</v>
      </c>
      <c r="BB348" s="424" t="s">
        <v>1</v>
      </c>
      <c r="BM348" s="75">
        <f t="shared" si="48"/>
        <v>31.138888888888889</v>
      </c>
      <c r="BN348" s="75">
        <f t="shared" si="49"/>
        <v>33.630000000000003</v>
      </c>
      <c r="BO348" s="75">
        <f t="shared" si="50"/>
        <v>4.3402777777777776E-2</v>
      </c>
      <c r="BP348" s="75">
        <f t="shared" si="51"/>
        <v>4.6875000000000007E-2</v>
      </c>
    </row>
    <row r="349" spans="1:68" ht="27" customHeight="1" x14ac:dyDescent="0.25">
      <c r="A349" s="60" t="s">
        <v>565</v>
      </c>
      <c r="B349" s="60" t="s">
        <v>566</v>
      </c>
      <c r="C349" s="34">
        <v>4301012016</v>
      </c>
      <c r="D349" s="597">
        <v>4680115885554</v>
      </c>
      <c r="E349" s="59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121</v>
      </c>
      <c r="L349" s="35"/>
      <c r="M349" s="36" t="s">
        <v>79</v>
      </c>
      <c r="N349" s="36"/>
      <c r="O349" s="35">
        <v>55</v>
      </c>
      <c r="P349" s="8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0"/>
      <c r="R349" s="600"/>
      <c r="S349" s="600"/>
      <c r="T349" s="601"/>
      <c r="U349" s="37"/>
      <c r="V349" s="37"/>
      <c r="W349" s="38" t="s">
        <v>68</v>
      </c>
      <c r="X349" s="56">
        <v>60</v>
      </c>
      <c r="Y349" s="53">
        <f t="shared" si="47"/>
        <v>64.800000000000011</v>
      </c>
      <c r="Z349" s="39">
        <f>IFERROR(IF(Y349=0,"",ROUNDUP(Y349/H349,0)*0.01898),"")</f>
        <v>0.11388000000000001</v>
      </c>
      <c r="AA349" s="65"/>
      <c r="AB349" s="66"/>
      <c r="AC349" s="425" t="s">
        <v>567</v>
      </c>
      <c r="AG349" s="75"/>
      <c r="AJ349" s="79"/>
      <c r="AK349" s="79">
        <v>0</v>
      </c>
      <c r="BB349" s="426" t="s">
        <v>1</v>
      </c>
      <c r="BM349" s="75">
        <f t="shared" si="48"/>
        <v>62.277777777777779</v>
      </c>
      <c r="BN349" s="75">
        <f t="shared" si="49"/>
        <v>67.260000000000005</v>
      </c>
      <c r="BO349" s="75">
        <f t="shared" si="50"/>
        <v>8.6805555555555552E-2</v>
      </c>
      <c r="BP349" s="75">
        <f t="shared" si="51"/>
        <v>9.3750000000000014E-2</v>
      </c>
    </row>
    <row r="350" spans="1:68" ht="27" customHeight="1" x14ac:dyDescent="0.25">
      <c r="A350" s="60" t="s">
        <v>568</v>
      </c>
      <c r="B350" s="60" t="s">
        <v>569</v>
      </c>
      <c r="C350" s="34">
        <v>4301012236</v>
      </c>
      <c r="D350" s="597">
        <v>4680115887220</v>
      </c>
      <c r="E350" s="59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130</v>
      </c>
      <c r="L350" s="35"/>
      <c r="M350" s="36" t="s">
        <v>122</v>
      </c>
      <c r="N350" s="36"/>
      <c r="O350" s="35">
        <v>55</v>
      </c>
      <c r="P350" s="72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0"/>
      <c r="R350" s="600"/>
      <c r="S350" s="600"/>
      <c r="T350" s="601"/>
      <c r="U350" s="37"/>
      <c r="V350" s="37"/>
      <c r="W350" s="38" t="s">
        <v>68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/>
      <c r="AB350" s="66"/>
      <c r="AC350" s="427" t="s">
        <v>561</v>
      </c>
      <c r="AG350" s="75"/>
      <c r="AJ350" s="79"/>
      <c r="AK350" s="79">
        <v>0</v>
      </c>
      <c r="BB350" s="428" t="s">
        <v>1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570</v>
      </c>
      <c r="B351" s="60" t="s">
        <v>571</v>
      </c>
      <c r="C351" s="34">
        <v>4301011859</v>
      </c>
      <c r="D351" s="597">
        <v>4680115885608</v>
      </c>
      <c r="E351" s="59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130</v>
      </c>
      <c r="L351" s="35"/>
      <c r="M351" s="36" t="s">
        <v>122</v>
      </c>
      <c r="N351" s="36"/>
      <c r="O351" s="35">
        <v>55</v>
      </c>
      <c r="P351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0"/>
      <c r="R351" s="600"/>
      <c r="S351" s="600"/>
      <c r="T351" s="601"/>
      <c r="U351" s="37"/>
      <c r="V351" s="37"/>
      <c r="W351" s="38" t="s">
        <v>68</v>
      </c>
      <c r="X351" s="56">
        <v>20</v>
      </c>
      <c r="Y351" s="53">
        <f t="shared" si="47"/>
        <v>20</v>
      </c>
      <c r="Z351" s="39">
        <f>IFERROR(IF(Y351=0,"",ROUNDUP(Y351/H351,0)*0.00902),"")</f>
        <v>4.5100000000000001E-2</v>
      </c>
      <c r="AA351" s="65"/>
      <c r="AB351" s="66"/>
      <c r="AC351" s="429" t="s">
        <v>572</v>
      </c>
      <c r="AG351" s="75"/>
      <c r="AJ351" s="79"/>
      <c r="AK351" s="79">
        <v>0</v>
      </c>
      <c r="BB351" s="430" t="s">
        <v>1</v>
      </c>
      <c r="BM351" s="75">
        <f t="shared" si="48"/>
        <v>20.950000000000003</v>
      </c>
      <c r="BN351" s="75">
        <f t="shared" si="49"/>
        <v>20.950000000000003</v>
      </c>
      <c r="BO351" s="75">
        <f t="shared" si="50"/>
        <v>3.787878787878788E-2</v>
      </c>
      <c r="BP351" s="75">
        <f t="shared" si="51"/>
        <v>3.787878787878788E-2</v>
      </c>
    </row>
    <row r="352" spans="1:68" x14ac:dyDescent="0.2">
      <c r="A352" s="621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22"/>
      <c r="P352" s="605" t="s">
        <v>73</v>
      </c>
      <c r="Q352" s="606"/>
      <c r="R352" s="606"/>
      <c r="S352" s="606"/>
      <c r="T352" s="606"/>
      <c r="U352" s="606"/>
      <c r="V352" s="607"/>
      <c r="W352" s="40" t="s">
        <v>74</v>
      </c>
      <c r="X352" s="41">
        <f>IFERROR(X346/H346,"0")+IFERROR(X347/H347,"0")+IFERROR(X348/H348,"0")+IFERROR(X349/H349,"0")+IFERROR(X350/H350,"0")+IFERROR(X351/H351,"0")</f>
        <v>13.333333333333332</v>
      </c>
      <c r="Y352" s="41">
        <f>IFERROR(Y346/H346,"0")+IFERROR(Y347/H347,"0")+IFERROR(Y348/H348,"0")+IFERROR(Y349/H349,"0")+IFERROR(Y350/H350,"0")+IFERROR(Y351/H351,"0")</f>
        <v>14.000000000000002</v>
      </c>
      <c r="Z352" s="41">
        <f>IFERROR(IF(Z346="",0,Z346),"0")+IFERROR(IF(Z347="",0,Z347),"0")+IFERROR(IF(Z348="",0,Z348),"0")+IFERROR(IF(Z349="",0,Z349),"0")+IFERROR(IF(Z350="",0,Z350),"0")+IFERROR(IF(Z351="",0,Z351),"0")</f>
        <v>0.21592000000000003</v>
      </c>
      <c r="AA352" s="64"/>
      <c r="AB352" s="64"/>
      <c r="AC352" s="64"/>
    </row>
    <row r="353" spans="1:68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22"/>
      <c r="P353" s="605" t="s">
        <v>73</v>
      </c>
      <c r="Q353" s="606"/>
      <c r="R353" s="606"/>
      <c r="S353" s="606"/>
      <c r="T353" s="606"/>
      <c r="U353" s="606"/>
      <c r="V353" s="607"/>
      <c r="W353" s="40" t="s">
        <v>68</v>
      </c>
      <c r="X353" s="41">
        <f>IFERROR(SUM(X346:X351),"0")</f>
        <v>110</v>
      </c>
      <c r="Y353" s="41">
        <f>IFERROR(SUM(Y346:Y351),"0")</f>
        <v>117.20000000000002</v>
      </c>
      <c r="Z353" s="40"/>
      <c r="AA353" s="64"/>
      <c r="AB353" s="64"/>
      <c r="AC353" s="64"/>
    </row>
    <row r="354" spans="1:68" ht="14.25" customHeight="1" x14ac:dyDescent="0.25">
      <c r="A354" s="608" t="s">
        <v>63</v>
      </c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09"/>
      <c r="P354" s="609"/>
      <c r="Q354" s="609"/>
      <c r="R354" s="609"/>
      <c r="S354" s="609"/>
      <c r="T354" s="609"/>
      <c r="U354" s="609"/>
      <c r="V354" s="609"/>
      <c r="W354" s="609"/>
      <c r="X354" s="609"/>
      <c r="Y354" s="609"/>
      <c r="Z354" s="609"/>
      <c r="AA354" s="63"/>
      <c r="AB354" s="63"/>
      <c r="AC354" s="63"/>
    </row>
    <row r="355" spans="1:68" ht="27" customHeight="1" x14ac:dyDescent="0.25">
      <c r="A355" s="60" t="s">
        <v>573</v>
      </c>
      <c r="B355" s="60" t="s">
        <v>574</v>
      </c>
      <c r="C355" s="34">
        <v>4301030878</v>
      </c>
      <c r="D355" s="597">
        <v>4607091387193</v>
      </c>
      <c r="E355" s="59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130</v>
      </c>
      <c r="L355" s="35"/>
      <c r="M355" s="36" t="s">
        <v>67</v>
      </c>
      <c r="N355" s="36"/>
      <c r="O355" s="35">
        <v>35</v>
      </c>
      <c r="P355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0"/>
      <c r="R355" s="600"/>
      <c r="S355" s="600"/>
      <c r="T355" s="601"/>
      <c r="U355" s="37"/>
      <c r="V355" s="37"/>
      <c r="W355" s="38" t="s">
        <v>68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/>
      <c r="AB355" s="66"/>
      <c r="AC355" s="431" t="s">
        <v>575</v>
      </c>
      <c r="AG355" s="75"/>
      <c r="AJ355" s="79"/>
      <c r="AK355" s="79">
        <v>0</v>
      </c>
      <c r="BB355" s="432" t="s">
        <v>1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576</v>
      </c>
      <c r="B356" s="60" t="s">
        <v>577</v>
      </c>
      <c r="C356" s="34">
        <v>4301031153</v>
      </c>
      <c r="D356" s="597">
        <v>4607091387230</v>
      </c>
      <c r="E356" s="59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130</v>
      </c>
      <c r="L356" s="35"/>
      <c r="M356" s="36" t="s">
        <v>67</v>
      </c>
      <c r="N356" s="36"/>
      <c r="O356" s="35">
        <v>40</v>
      </c>
      <c r="P356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0"/>
      <c r="R356" s="600"/>
      <c r="S356" s="600"/>
      <c r="T356" s="601"/>
      <c r="U356" s="37"/>
      <c r="V356" s="37"/>
      <c r="W356" s="38" t="s">
        <v>68</v>
      </c>
      <c r="X356" s="56">
        <v>40</v>
      </c>
      <c r="Y356" s="53">
        <f t="shared" si="52"/>
        <v>42</v>
      </c>
      <c r="Z356" s="39">
        <f>IFERROR(IF(Y356=0,"",ROUNDUP(Y356/H356,0)*0.00902),"")</f>
        <v>9.0200000000000002E-2</v>
      </c>
      <c r="AA356" s="65"/>
      <c r="AB356" s="66"/>
      <c r="AC356" s="433" t="s">
        <v>578</v>
      </c>
      <c r="AG356" s="75"/>
      <c r="AJ356" s="79"/>
      <c r="AK356" s="79">
        <v>0</v>
      </c>
      <c r="BB356" s="434" t="s">
        <v>1</v>
      </c>
      <c r="BM356" s="75">
        <f t="shared" si="53"/>
        <v>42.38095238095238</v>
      </c>
      <c r="BN356" s="75">
        <f t="shared" si="54"/>
        <v>44.5</v>
      </c>
      <c r="BO356" s="75">
        <f t="shared" si="55"/>
        <v>7.2150072150072145E-2</v>
      </c>
      <c r="BP356" s="75">
        <f t="shared" si="56"/>
        <v>7.575757575757576E-2</v>
      </c>
    </row>
    <row r="357" spans="1:68" ht="27" customHeight="1" x14ac:dyDescent="0.25">
      <c r="A357" s="60" t="s">
        <v>579</v>
      </c>
      <c r="B357" s="60" t="s">
        <v>580</v>
      </c>
      <c r="C357" s="34">
        <v>4301031154</v>
      </c>
      <c r="D357" s="597">
        <v>4607091387292</v>
      </c>
      <c r="E357" s="59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130</v>
      </c>
      <c r="L357" s="35"/>
      <c r="M357" s="36" t="s">
        <v>67</v>
      </c>
      <c r="N357" s="36"/>
      <c r="O357" s="35">
        <v>45</v>
      </c>
      <c r="P357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0"/>
      <c r="R357" s="600"/>
      <c r="S357" s="600"/>
      <c r="T357" s="601"/>
      <c r="U357" s="37"/>
      <c r="V357" s="37"/>
      <c r="W357" s="38" t="s">
        <v>68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/>
      <c r="AB357" s="66"/>
      <c r="AC357" s="435" t="s">
        <v>581</v>
      </c>
      <c r="AG357" s="75"/>
      <c r="AJ357" s="79"/>
      <c r="AK357" s="79">
        <v>0</v>
      </c>
      <c r="BB357" s="436" t="s">
        <v>1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582</v>
      </c>
      <c r="B358" s="60" t="s">
        <v>583</v>
      </c>
      <c r="C358" s="34">
        <v>4301031152</v>
      </c>
      <c r="D358" s="597">
        <v>4607091387285</v>
      </c>
      <c r="E358" s="59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66</v>
      </c>
      <c r="L358" s="35"/>
      <c r="M358" s="36" t="s">
        <v>67</v>
      </c>
      <c r="N358" s="36"/>
      <c r="O358" s="35">
        <v>40</v>
      </c>
      <c r="P358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0"/>
      <c r="R358" s="600"/>
      <c r="S358" s="600"/>
      <c r="T358" s="601"/>
      <c r="U358" s="37"/>
      <c r="V358" s="37"/>
      <c r="W358" s="38" t="s">
        <v>68</v>
      </c>
      <c r="X358" s="56">
        <v>6.3</v>
      </c>
      <c r="Y358" s="53">
        <f t="shared" si="52"/>
        <v>6.3000000000000007</v>
      </c>
      <c r="Z358" s="39">
        <f>IFERROR(IF(Y358=0,"",ROUNDUP(Y358/H358,0)*0.00502),"")</f>
        <v>1.506E-2</v>
      </c>
      <c r="AA358" s="65"/>
      <c r="AB358" s="66"/>
      <c r="AC358" s="437" t="s">
        <v>578</v>
      </c>
      <c r="AG358" s="75"/>
      <c r="AJ358" s="79"/>
      <c r="AK358" s="79">
        <v>0</v>
      </c>
      <c r="BB358" s="438" t="s">
        <v>1</v>
      </c>
      <c r="BM358" s="75">
        <f t="shared" si="53"/>
        <v>6.6899999999999995</v>
      </c>
      <c r="BN358" s="75">
        <f t="shared" si="54"/>
        <v>6.69</v>
      </c>
      <c r="BO358" s="75">
        <f t="shared" si="55"/>
        <v>1.2820512820512822E-2</v>
      </c>
      <c r="BP358" s="75">
        <f t="shared" si="56"/>
        <v>1.2820512820512822E-2</v>
      </c>
    </row>
    <row r="359" spans="1:68" ht="27" customHeight="1" x14ac:dyDescent="0.25">
      <c r="A359" s="60" t="s">
        <v>584</v>
      </c>
      <c r="B359" s="60" t="s">
        <v>585</v>
      </c>
      <c r="C359" s="34">
        <v>4301031305</v>
      </c>
      <c r="D359" s="597">
        <v>4607091389845</v>
      </c>
      <c r="E359" s="59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66</v>
      </c>
      <c r="L359" s="35"/>
      <c r="M359" s="36" t="s">
        <v>67</v>
      </c>
      <c r="N359" s="36"/>
      <c r="O359" s="35">
        <v>40</v>
      </c>
      <c r="P359" s="8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0"/>
      <c r="R359" s="600"/>
      <c r="S359" s="600"/>
      <c r="T359" s="601"/>
      <c r="U359" s="37"/>
      <c r="V359" s="37"/>
      <c r="W359" s="38" t="s">
        <v>68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/>
      <c r="AB359" s="66"/>
      <c r="AC359" s="439" t="s">
        <v>586</v>
      </c>
      <c r="AG359" s="75"/>
      <c r="AJ359" s="79"/>
      <c r="AK359" s="79">
        <v>0</v>
      </c>
      <c r="BB359" s="440" t="s">
        <v>1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customHeight="1" x14ac:dyDescent="0.25">
      <c r="A360" s="60" t="s">
        <v>587</v>
      </c>
      <c r="B360" s="60" t="s">
        <v>588</v>
      </c>
      <c r="C360" s="34">
        <v>4301031460</v>
      </c>
      <c r="D360" s="597">
        <v>4680115887442</v>
      </c>
      <c r="E360" s="59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130</v>
      </c>
      <c r="L360" s="35"/>
      <c r="M360" s="36" t="s">
        <v>67</v>
      </c>
      <c r="N360" s="36"/>
      <c r="O360" s="35">
        <v>45</v>
      </c>
      <c r="P360" s="93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0"/>
      <c r="R360" s="600"/>
      <c r="S360" s="600"/>
      <c r="T360" s="601"/>
      <c r="U360" s="37"/>
      <c r="V360" s="37"/>
      <c r="W360" s="38" t="s">
        <v>68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/>
      <c r="AB360" s="66"/>
      <c r="AC360" s="441" t="s">
        <v>581</v>
      </c>
      <c r="AG360" s="75"/>
      <c r="AJ360" s="79"/>
      <c r="AK360" s="79">
        <v>0</v>
      </c>
      <c r="BB360" s="442" t="s">
        <v>1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589</v>
      </c>
      <c r="B361" s="60" t="s">
        <v>590</v>
      </c>
      <c r="C361" s="34">
        <v>4301031066</v>
      </c>
      <c r="D361" s="597">
        <v>4607091383836</v>
      </c>
      <c r="E361" s="59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78</v>
      </c>
      <c r="L361" s="35"/>
      <c r="M361" s="36" t="s">
        <v>67</v>
      </c>
      <c r="N361" s="36"/>
      <c r="O361" s="35">
        <v>40</v>
      </c>
      <c r="P361" s="7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0"/>
      <c r="R361" s="600"/>
      <c r="S361" s="600"/>
      <c r="T361" s="601"/>
      <c r="U361" s="37"/>
      <c r="V361" s="37"/>
      <c r="W361" s="38" t="s">
        <v>68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/>
      <c r="AB361" s="66"/>
      <c r="AC361" s="443" t="s">
        <v>591</v>
      </c>
      <c r="AG361" s="75"/>
      <c r="AJ361" s="79"/>
      <c r="AK361" s="79">
        <v>0</v>
      </c>
      <c r="BB361" s="444" t="s">
        <v>1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21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22"/>
      <c r="P362" s="605" t="s">
        <v>73</v>
      </c>
      <c r="Q362" s="606"/>
      <c r="R362" s="606"/>
      <c r="S362" s="606"/>
      <c r="T362" s="606"/>
      <c r="U362" s="606"/>
      <c r="V362" s="607"/>
      <c r="W362" s="40" t="s">
        <v>74</v>
      </c>
      <c r="X362" s="41">
        <f>IFERROR(X355/H355,"0")+IFERROR(X356/H356,"0")+IFERROR(X357/H357,"0")+IFERROR(X358/H358,"0")+IFERROR(X359/H359,"0")+IFERROR(X360/H360,"0")+IFERROR(X361/H361,"0")</f>
        <v>12.523809523809524</v>
      </c>
      <c r="Y362" s="41">
        <f>IFERROR(Y355/H355,"0")+IFERROR(Y356/H356,"0")+IFERROR(Y357/H357,"0")+IFERROR(Y358/H358,"0")+IFERROR(Y359/H359,"0")+IFERROR(Y360/H360,"0")+IFERROR(Y361/H361,"0")</f>
        <v>13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0.10526000000000001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22"/>
      <c r="P363" s="605" t="s">
        <v>73</v>
      </c>
      <c r="Q363" s="606"/>
      <c r="R363" s="606"/>
      <c r="S363" s="606"/>
      <c r="T363" s="606"/>
      <c r="U363" s="606"/>
      <c r="V363" s="607"/>
      <c r="W363" s="40" t="s">
        <v>68</v>
      </c>
      <c r="X363" s="41">
        <f>IFERROR(SUM(X355:X361),"0")</f>
        <v>46.3</v>
      </c>
      <c r="Y363" s="41">
        <f>IFERROR(SUM(Y355:Y361),"0")</f>
        <v>48.3</v>
      </c>
      <c r="Z363" s="40"/>
      <c r="AA363" s="64"/>
      <c r="AB363" s="64"/>
      <c r="AC363" s="64"/>
    </row>
    <row r="364" spans="1:68" ht="14.25" customHeight="1" x14ac:dyDescent="0.25">
      <c r="A364" s="608" t="s">
        <v>75</v>
      </c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  <c r="Z364" s="609"/>
      <c r="AA364" s="63"/>
      <c r="AB364" s="63"/>
      <c r="AC364" s="63"/>
    </row>
    <row r="365" spans="1:68" ht="27" customHeight="1" x14ac:dyDescent="0.25">
      <c r="A365" s="60" t="s">
        <v>592</v>
      </c>
      <c r="B365" s="60" t="s">
        <v>593</v>
      </c>
      <c r="C365" s="34">
        <v>4301051100</v>
      </c>
      <c r="D365" s="597">
        <v>4607091387766</v>
      </c>
      <c r="E365" s="59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121</v>
      </c>
      <c r="L365" s="35"/>
      <c r="M365" s="36" t="s">
        <v>79</v>
      </c>
      <c r="N365" s="36"/>
      <c r="O365" s="35">
        <v>40</v>
      </c>
      <c r="P365" s="88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0"/>
      <c r="R365" s="600"/>
      <c r="S365" s="600"/>
      <c r="T365" s="601"/>
      <c r="U365" s="37"/>
      <c r="V365" s="37"/>
      <c r="W365" s="38" t="s">
        <v>68</v>
      </c>
      <c r="X365" s="56">
        <v>150</v>
      </c>
      <c r="Y365" s="53">
        <f>IFERROR(IF(X365="",0,CEILING((X365/$H365),1)*$H365),"")</f>
        <v>156</v>
      </c>
      <c r="Z365" s="39">
        <f>IFERROR(IF(Y365=0,"",ROUNDUP(Y365/H365,0)*0.01898),"")</f>
        <v>0.37959999999999999</v>
      </c>
      <c r="AA365" s="65"/>
      <c r="AB365" s="66"/>
      <c r="AC365" s="445" t="s">
        <v>594</v>
      </c>
      <c r="AG365" s="75"/>
      <c r="AJ365" s="79"/>
      <c r="AK365" s="79">
        <v>0</v>
      </c>
      <c r="BB365" s="446" t="s">
        <v>1</v>
      </c>
      <c r="BM365" s="75">
        <f>IFERROR(X365*I365/H365,"0")</f>
        <v>159.38461538461539</v>
      </c>
      <c r="BN365" s="75">
        <f>IFERROR(Y365*I365/H365,"0")</f>
        <v>165.76000000000002</v>
      </c>
      <c r="BO365" s="75">
        <f>IFERROR(1/J365*(X365/H365),"0")</f>
        <v>0.30048076923076922</v>
      </c>
      <c r="BP365" s="75">
        <f>IFERROR(1/J365*(Y365/H365),"0")</f>
        <v>0.3125</v>
      </c>
    </row>
    <row r="366" spans="1:68" ht="27" customHeight="1" x14ac:dyDescent="0.25">
      <c r="A366" s="60" t="s">
        <v>595</v>
      </c>
      <c r="B366" s="60" t="s">
        <v>596</v>
      </c>
      <c r="C366" s="34">
        <v>4301051818</v>
      </c>
      <c r="D366" s="597">
        <v>4607091387957</v>
      </c>
      <c r="E366" s="59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121</v>
      </c>
      <c r="L366" s="35"/>
      <c r="M366" s="36" t="s">
        <v>79</v>
      </c>
      <c r="N366" s="36"/>
      <c r="O366" s="35">
        <v>40</v>
      </c>
      <c r="P366" s="6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0"/>
      <c r="R366" s="600"/>
      <c r="S366" s="600"/>
      <c r="T366" s="601"/>
      <c r="U366" s="37"/>
      <c r="V366" s="37"/>
      <c r="W366" s="38" t="s">
        <v>68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597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customHeight="1" x14ac:dyDescent="0.25">
      <c r="A367" s="60" t="s">
        <v>598</v>
      </c>
      <c r="B367" s="60" t="s">
        <v>599</v>
      </c>
      <c r="C367" s="34">
        <v>4301051819</v>
      </c>
      <c r="D367" s="597">
        <v>4607091387964</v>
      </c>
      <c r="E367" s="59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121</v>
      </c>
      <c r="L367" s="35"/>
      <c r="M367" s="36" t="s">
        <v>79</v>
      </c>
      <c r="N367" s="36"/>
      <c r="O367" s="35">
        <v>40</v>
      </c>
      <c r="P36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0"/>
      <c r="R367" s="600"/>
      <c r="S367" s="600"/>
      <c r="T367" s="601"/>
      <c r="U367" s="37"/>
      <c r="V367" s="37"/>
      <c r="W367" s="38" t="s">
        <v>68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/>
      <c r="AB367" s="66"/>
      <c r="AC367" s="449" t="s">
        <v>600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601</v>
      </c>
      <c r="B368" s="60" t="s">
        <v>602</v>
      </c>
      <c r="C368" s="34">
        <v>4301051734</v>
      </c>
      <c r="D368" s="597">
        <v>4680115884588</v>
      </c>
      <c r="E368" s="59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78</v>
      </c>
      <c r="L368" s="35"/>
      <c r="M368" s="36" t="s">
        <v>79</v>
      </c>
      <c r="N368" s="36"/>
      <c r="O368" s="35">
        <v>40</v>
      </c>
      <c r="P368" s="92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0"/>
      <c r="R368" s="600"/>
      <c r="S368" s="600"/>
      <c r="T368" s="601"/>
      <c r="U368" s="37"/>
      <c r="V368" s="37"/>
      <c r="W368" s="38" t="s">
        <v>68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/>
      <c r="AB368" s="66"/>
      <c r="AC368" s="451" t="s">
        <v>594</v>
      </c>
      <c r="AG368" s="75"/>
      <c r="AJ368" s="79"/>
      <c r="AK368" s="79">
        <v>0</v>
      </c>
      <c r="BB368" s="452" t="s">
        <v>1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21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22"/>
      <c r="P369" s="605" t="s">
        <v>73</v>
      </c>
      <c r="Q369" s="606"/>
      <c r="R369" s="606"/>
      <c r="S369" s="606"/>
      <c r="T369" s="606"/>
      <c r="U369" s="606"/>
      <c r="V369" s="607"/>
      <c r="W369" s="40" t="s">
        <v>74</v>
      </c>
      <c r="X369" s="41">
        <f>IFERROR(X365/H365,"0")+IFERROR(X366/H366,"0")+IFERROR(X367/H367,"0")+IFERROR(X368/H368,"0")</f>
        <v>19.23076923076923</v>
      </c>
      <c r="Y369" s="41">
        <f>IFERROR(Y365/H365,"0")+IFERROR(Y366/H366,"0")+IFERROR(Y367/H367,"0")+IFERROR(Y368/H368,"0")</f>
        <v>20</v>
      </c>
      <c r="Z369" s="41">
        <f>IFERROR(IF(Z365="",0,Z365),"0")+IFERROR(IF(Z366="",0,Z366),"0")+IFERROR(IF(Z367="",0,Z367),"0")+IFERROR(IF(Z368="",0,Z368),"0")</f>
        <v>0.37959999999999999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22"/>
      <c r="P370" s="605" t="s">
        <v>73</v>
      </c>
      <c r="Q370" s="606"/>
      <c r="R370" s="606"/>
      <c r="S370" s="606"/>
      <c r="T370" s="606"/>
      <c r="U370" s="606"/>
      <c r="V370" s="607"/>
      <c r="W370" s="40" t="s">
        <v>68</v>
      </c>
      <c r="X370" s="41">
        <f>IFERROR(SUM(X365:X368),"0")</f>
        <v>150</v>
      </c>
      <c r="Y370" s="41">
        <f>IFERROR(SUM(Y365:Y368),"0")</f>
        <v>156</v>
      </c>
      <c r="Z370" s="40"/>
      <c r="AA370" s="64"/>
      <c r="AB370" s="64"/>
      <c r="AC370" s="64"/>
    </row>
    <row r="371" spans="1:68" ht="14.25" customHeight="1" x14ac:dyDescent="0.25">
      <c r="A371" s="608" t="s">
        <v>170</v>
      </c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  <c r="Z371" s="609"/>
      <c r="AA371" s="63"/>
      <c r="AB371" s="63"/>
      <c r="AC371" s="63"/>
    </row>
    <row r="372" spans="1:68" ht="27" customHeight="1" x14ac:dyDescent="0.25">
      <c r="A372" s="60" t="s">
        <v>603</v>
      </c>
      <c r="B372" s="60" t="s">
        <v>604</v>
      </c>
      <c r="C372" s="34">
        <v>4301060387</v>
      </c>
      <c r="D372" s="597">
        <v>4607091380880</v>
      </c>
      <c r="E372" s="59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121</v>
      </c>
      <c r="L372" s="35"/>
      <c r="M372" s="36" t="s">
        <v>79</v>
      </c>
      <c r="N372" s="36"/>
      <c r="O372" s="35">
        <v>30</v>
      </c>
      <c r="P372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0"/>
      <c r="R372" s="600"/>
      <c r="S372" s="600"/>
      <c r="T372" s="601"/>
      <c r="U372" s="37"/>
      <c r="V372" s="37"/>
      <c r="W372" s="38" t="s">
        <v>68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3" t="s">
        <v>605</v>
      </c>
      <c r="AG372" s="75"/>
      <c r="AJ372" s="79"/>
      <c r="AK372" s="79">
        <v>0</v>
      </c>
      <c r="BB372" s="454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606</v>
      </c>
      <c r="B373" s="60" t="s">
        <v>607</v>
      </c>
      <c r="C373" s="34">
        <v>4301060406</v>
      </c>
      <c r="D373" s="597">
        <v>4607091384482</v>
      </c>
      <c r="E373" s="59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121</v>
      </c>
      <c r="L373" s="35"/>
      <c r="M373" s="36" t="s">
        <v>79</v>
      </c>
      <c r="N373" s="36"/>
      <c r="O373" s="35">
        <v>30</v>
      </c>
      <c r="P373" s="9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0"/>
      <c r="R373" s="600"/>
      <c r="S373" s="600"/>
      <c r="T373" s="601"/>
      <c r="U373" s="37"/>
      <c r="V373" s="37"/>
      <c r="W373" s="38" t="s">
        <v>68</v>
      </c>
      <c r="X373" s="56">
        <v>25</v>
      </c>
      <c r="Y373" s="53">
        <f>IFERROR(IF(X373="",0,CEILING((X373/$H373),1)*$H373),"")</f>
        <v>31.2</v>
      </c>
      <c r="Z373" s="39">
        <f>IFERROR(IF(Y373=0,"",ROUNDUP(Y373/H373,0)*0.01898),"")</f>
        <v>7.5920000000000001E-2</v>
      </c>
      <c r="AA373" s="65"/>
      <c r="AB373" s="66"/>
      <c r="AC373" s="455" t="s">
        <v>608</v>
      </c>
      <c r="AG373" s="75"/>
      <c r="AJ373" s="79"/>
      <c r="AK373" s="79">
        <v>0</v>
      </c>
      <c r="BB373" s="456" t="s">
        <v>1</v>
      </c>
      <c r="BM373" s="75">
        <f>IFERROR(X373*I373/H373,"0")</f>
        <v>26.583333333333336</v>
      </c>
      <c r="BN373" s="75">
        <f>IFERROR(Y373*I373/H373,"0")</f>
        <v>33.176000000000002</v>
      </c>
      <c r="BO373" s="75">
        <f>IFERROR(1/J373*(X373/H373),"0")</f>
        <v>5.0080128205128208E-2</v>
      </c>
      <c r="BP373" s="75">
        <f>IFERROR(1/J373*(Y373/H373),"0")</f>
        <v>6.25E-2</v>
      </c>
    </row>
    <row r="374" spans="1:68" ht="16.5" customHeight="1" x14ac:dyDescent="0.25">
      <c r="A374" s="60" t="s">
        <v>609</v>
      </c>
      <c r="B374" s="60" t="s">
        <v>610</v>
      </c>
      <c r="C374" s="34">
        <v>4301060484</v>
      </c>
      <c r="D374" s="597">
        <v>4607091380897</v>
      </c>
      <c r="E374" s="59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121</v>
      </c>
      <c r="L374" s="35"/>
      <c r="M374" s="36" t="s">
        <v>85</v>
      </c>
      <c r="N374" s="36"/>
      <c r="O374" s="35">
        <v>30</v>
      </c>
      <c r="P374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0"/>
      <c r="R374" s="600"/>
      <c r="S374" s="600"/>
      <c r="T374" s="601"/>
      <c r="U374" s="37"/>
      <c r="V374" s="37"/>
      <c r="W374" s="38" t="s">
        <v>68</v>
      </c>
      <c r="X374" s="56">
        <v>15</v>
      </c>
      <c r="Y374" s="53">
        <f>IFERROR(IF(X374="",0,CEILING((X374/$H374),1)*$H374),"")</f>
        <v>16.8</v>
      </c>
      <c r="Z374" s="39">
        <f>IFERROR(IF(Y374=0,"",ROUNDUP(Y374/H374,0)*0.01898),"")</f>
        <v>3.7960000000000001E-2</v>
      </c>
      <c r="AA374" s="65"/>
      <c r="AB374" s="66"/>
      <c r="AC374" s="457" t="s">
        <v>611</v>
      </c>
      <c r="AG374" s="75"/>
      <c r="AJ374" s="79"/>
      <c r="AK374" s="79">
        <v>0</v>
      </c>
      <c r="BB374" s="458" t="s">
        <v>1</v>
      </c>
      <c r="BM374" s="75">
        <f>IFERROR(X374*I374/H374,"0")</f>
        <v>15.882142857142856</v>
      </c>
      <c r="BN374" s="75">
        <f>IFERROR(Y374*I374/H374,"0")</f>
        <v>17.788</v>
      </c>
      <c r="BO374" s="75">
        <f>IFERROR(1/J374*(X374/H374),"0")</f>
        <v>2.7901785714285712E-2</v>
      </c>
      <c r="BP374" s="75">
        <f>IFERROR(1/J374*(Y374/H374),"0")</f>
        <v>3.125E-2</v>
      </c>
    </row>
    <row r="375" spans="1:68" x14ac:dyDescent="0.2">
      <c r="A375" s="621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22"/>
      <c r="P375" s="605" t="s">
        <v>73</v>
      </c>
      <c r="Q375" s="606"/>
      <c r="R375" s="606"/>
      <c r="S375" s="606"/>
      <c r="T375" s="606"/>
      <c r="U375" s="606"/>
      <c r="V375" s="607"/>
      <c r="W375" s="40" t="s">
        <v>74</v>
      </c>
      <c r="X375" s="41">
        <f>IFERROR(X372/H372,"0")+IFERROR(X373/H373,"0")+IFERROR(X374/H374,"0")</f>
        <v>4.9908424908424909</v>
      </c>
      <c r="Y375" s="41">
        <f>IFERROR(Y372/H372,"0")+IFERROR(Y373/H373,"0")+IFERROR(Y374/H374,"0")</f>
        <v>6</v>
      </c>
      <c r="Z375" s="41">
        <f>IFERROR(IF(Z372="",0,Z372),"0")+IFERROR(IF(Z373="",0,Z373),"0")+IFERROR(IF(Z374="",0,Z374),"0")</f>
        <v>0.11388000000000001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22"/>
      <c r="P376" s="605" t="s">
        <v>73</v>
      </c>
      <c r="Q376" s="606"/>
      <c r="R376" s="606"/>
      <c r="S376" s="606"/>
      <c r="T376" s="606"/>
      <c r="U376" s="606"/>
      <c r="V376" s="607"/>
      <c r="W376" s="40" t="s">
        <v>68</v>
      </c>
      <c r="X376" s="41">
        <f>IFERROR(SUM(X372:X374),"0")</f>
        <v>40</v>
      </c>
      <c r="Y376" s="41">
        <f>IFERROR(SUM(Y372:Y374),"0")</f>
        <v>48</v>
      </c>
      <c r="Z376" s="40"/>
      <c r="AA376" s="64"/>
      <c r="AB376" s="64"/>
      <c r="AC376" s="64"/>
    </row>
    <row r="377" spans="1:68" ht="14.25" customHeight="1" x14ac:dyDescent="0.25">
      <c r="A377" s="608" t="s">
        <v>96</v>
      </c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09"/>
      <c r="P377" s="609"/>
      <c r="Q377" s="609"/>
      <c r="R377" s="609"/>
      <c r="S377" s="609"/>
      <c r="T377" s="609"/>
      <c r="U377" s="609"/>
      <c r="V377" s="609"/>
      <c r="W377" s="609"/>
      <c r="X377" s="609"/>
      <c r="Y377" s="609"/>
      <c r="Z377" s="609"/>
      <c r="AA377" s="63"/>
      <c r="AB377" s="63"/>
      <c r="AC377" s="63"/>
    </row>
    <row r="378" spans="1:68" ht="27" customHeight="1" x14ac:dyDescent="0.25">
      <c r="A378" s="60" t="s">
        <v>612</v>
      </c>
      <c r="B378" s="60" t="s">
        <v>613</v>
      </c>
      <c r="C378" s="34">
        <v>4301030235</v>
      </c>
      <c r="D378" s="597">
        <v>4607091388381</v>
      </c>
      <c r="E378" s="59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130</v>
      </c>
      <c r="L378" s="35"/>
      <c r="M378" s="36" t="s">
        <v>99</v>
      </c>
      <c r="N378" s="36"/>
      <c r="O378" s="35">
        <v>180</v>
      </c>
      <c r="P378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0"/>
      <c r="R378" s="600"/>
      <c r="S378" s="600"/>
      <c r="T378" s="601"/>
      <c r="U378" s="37"/>
      <c r="V378" s="37"/>
      <c r="W378" s="38" t="s">
        <v>68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614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615</v>
      </c>
      <c r="B379" s="60" t="s">
        <v>616</v>
      </c>
      <c r="C379" s="34">
        <v>4301030232</v>
      </c>
      <c r="D379" s="597">
        <v>4607091388374</v>
      </c>
      <c r="E379" s="59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130</v>
      </c>
      <c r="L379" s="35"/>
      <c r="M379" s="36" t="s">
        <v>99</v>
      </c>
      <c r="N379" s="36"/>
      <c r="O379" s="35">
        <v>180</v>
      </c>
      <c r="P379" s="6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0"/>
      <c r="R379" s="600"/>
      <c r="S379" s="600"/>
      <c r="T379" s="601"/>
      <c r="U379" s="37"/>
      <c r="V379" s="37"/>
      <c r="W379" s="38" t="s">
        <v>68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/>
      <c r="AB379" s="66"/>
      <c r="AC379" s="461" t="s">
        <v>614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617</v>
      </c>
      <c r="B380" s="60" t="s">
        <v>618</v>
      </c>
      <c r="C380" s="34">
        <v>4301032015</v>
      </c>
      <c r="D380" s="597">
        <v>4607091383102</v>
      </c>
      <c r="E380" s="59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78</v>
      </c>
      <c r="L380" s="35"/>
      <c r="M380" s="36" t="s">
        <v>99</v>
      </c>
      <c r="N380" s="36"/>
      <c r="O380" s="35">
        <v>180</v>
      </c>
      <c r="P380" s="80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0"/>
      <c r="R380" s="600"/>
      <c r="S380" s="600"/>
      <c r="T380" s="601"/>
      <c r="U380" s="37"/>
      <c r="V380" s="37"/>
      <c r="W380" s="38" t="s">
        <v>68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614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619</v>
      </c>
      <c r="B381" s="60" t="s">
        <v>620</v>
      </c>
      <c r="C381" s="34">
        <v>4301030233</v>
      </c>
      <c r="D381" s="597">
        <v>4607091388404</v>
      </c>
      <c r="E381" s="59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78</v>
      </c>
      <c r="L381" s="35"/>
      <c r="M381" s="36" t="s">
        <v>99</v>
      </c>
      <c r="N381" s="36"/>
      <c r="O381" s="35">
        <v>180</v>
      </c>
      <c r="P381" s="6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0"/>
      <c r="R381" s="600"/>
      <c r="S381" s="600"/>
      <c r="T381" s="601"/>
      <c r="U381" s="37"/>
      <c r="V381" s="37"/>
      <c r="W381" s="38" t="s">
        <v>68</v>
      </c>
      <c r="X381" s="56">
        <v>2.5499999999999998</v>
      </c>
      <c r="Y381" s="53">
        <f>IFERROR(IF(X381="",0,CEILING((X381/$H381),1)*$H381),"")</f>
        <v>2.5499999999999998</v>
      </c>
      <c r="Z381" s="39">
        <f>IFERROR(IF(Y381=0,"",ROUNDUP(Y381/H381,0)*0.00651),"")</f>
        <v>6.5100000000000002E-3</v>
      </c>
      <c r="AA381" s="65"/>
      <c r="AB381" s="66"/>
      <c r="AC381" s="465" t="s">
        <v>614</v>
      </c>
      <c r="AG381" s="75"/>
      <c r="AJ381" s="79"/>
      <c r="AK381" s="79">
        <v>0</v>
      </c>
      <c r="BB381" s="466" t="s">
        <v>1</v>
      </c>
      <c r="BM381" s="75">
        <f>IFERROR(X381*I381/H381,"0")</f>
        <v>2.88</v>
      </c>
      <c r="BN381" s="75">
        <f>IFERROR(Y381*I381/H381,"0")</f>
        <v>2.88</v>
      </c>
      <c r="BO381" s="75">
        <f>IFERROR(1/J381*(X381/H381),"0")</f>
        <v>5.4945054945054949E-3</v>
      </c>
      <c r="BP381" s="75">
        <f>IFERROR(1/J381*(Y381/H381),"0")</f>
        <v>5.4945054945054949E-3</v>
      </c>
    </row>
    <row r="382" spans="1:68" x14ac:dyDescent="0.2">
      <c r="A382" s="621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22"/>
      <c r="P382" s="605" t="s">
        <v>73</v>
      </c>
      <c r="Q382" s="606"/>
      <c r="R382" s="606"/>
      <c r="S382" s="606"/>
      <c r="T382" s="606"/>
      <c r="U382" s="606"/>
      <c r="V382" s="607"/>
      <c r="W382" s="40" t="s">
        <v>74</v>
      </c>
      <c r="X382" s="41">
        <f>IFERROR(X378/H378,"0")+IFERROR(X379/H379,"0")+IFERROR(X380/H380,"0")+IFERROR(X381/H381,"0")</f>
        <v>1</v>
      </c>
      <c r="Y382" s="41">
        <f>IFERROR(Y378/H378,"0")+IFERROR(Y379/H379,"0")+IFERROR(Y380/H380,"0")+IFERROR(Y381/H381,"0")</f>
        <v>1</v>
      </c>
      <c r="Z382" s="41">
        <f>IFERROR(IF(Z378="",0,Z378),"0")+IFERROR(IF(Z379="",0,Z379),"0")+IFERROR(IF(Z380="",0,Z380),"0")+IFERROR(IF(Z381="",0,Z381),"0")</f>
        <v>6.5100000000000002E-3</v>
      </c>
      <c r="AA382" s="64"/>
      <c r="AB382" s="64"/>
      <c r="AC382" s="64"/>
    </row>
    <row r="383" spans="1:68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22"/>
      <c r="P383" s="605" t="s">
        <v>73</v>
      </c>
      <c r="Q383" s="606"/>
      <c r="R383" s="606"/>
      <c r="S383" s="606"/>
      <c r="T383" s="606"/>
      <c r="U383" s="606"/>
      <c r="V383" s="607"/>
      <c r="W383" s="40" t="s">
        <v>68</v>
      </c>
      <c r="X383" s="41">
        <f>IFERROR(SUM(X378:X381),"0")</f>
        <v>2.5499999999999998</v>
      </c>
      <c r="Y383" s="41">
        <f>IFERROR(SUM(Y378:Y381),"0")</f>
        <v>2.5499999999999998</v>
      </c>
      <c r="Z383" s="40"/>
      <c r="AA383" s="64"/>
      <c r="AB383" s="64"/>
      <c r="AC383" s="64"/>
    </row>
    <row r="384" spans="1:68" ht="14.25" customHeight="1" x14ac:dyDescent="0.25">
      <c r="A384" s="608" t="s">
        <v>621</v>
      </c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  <c r="Z384" s="609"/>
      <c r="AA384" s="63"/>
      <c r="AB384" s="63"/>
      <c r="AC384" s="63"/>
    </row>
    <row r="385" spans="1:68" ht="16.5" customHeight="1" x14ac:dyDescent="0.25">
      <c r="A385" s="60" t="s">
        <v>622</v>
      </c>
      <c r="B385" s="60" t="s">
        <v>623</v>
      </c>
      <c r="C385" s="34">
        <v>4301180007</v>
      </c>
      <c r="D385" s="597">
        <v>4680115881808</v>
      </c>
      <c r="E385" s="59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78</v>
      </c>
      <c r="L385" s="35"/>
      <c r="M385" s="36" t="s">
        <v>624</v>
      </c>
      <c r="N385" s="36"/>
      <c r="O385" s="35">
        <v>731</v>
      </c>
      <c r="P385" s="9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0"/>
      <c r="R385" s="600"/>
      <c r="S385" s="600"/>
      <c r="T385" s="601"/>
      <c r="U385" s="37"/>
      <c r="V385" s="37"/>
      <c r="W385" s="38" t="s">
        <v>68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625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626</v>
      </c>
      <c r="B386" s="60" t="s">
        <v>627</v>
      </c>
      <c r="C386" s="34">
        <v>4301180006</v>
      </c>
      <c r="D386" s="597">
        <v>4680115881822</v>
      </c>
      <c r="E386" s="59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78</v>
      </c>
      <c r="L386" s="35"/>
      <c r="M386" s="36" t="s">
        <v>624</v>
      </c>
      <c r="N386" s="36"/>
      <c r="O386" s="35">
        <v>731</v>
      </c>
      <c r="P386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0"/>
      <c r="R386" s="600"/>
      <c r="S386" s="600"/>
      <c r="T386" s="601"/>
      <c r="U386" s="37"/>
      <c r="V386" s="37"/>
      <c r="W386" s="38" t="s">
        <v>68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625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628</v>
      </c>
      <c r="B387" s="60" t="s">
        <v>629</v>
      </c>
      <c r="C387" s="34">
        <v>4301180001</v>
      </c>
      <c r="D387" s="597">
        <v>4680115880016</v>
      </c>
      <c r="E387" s="59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78</v>
      </c>
      <c r="L387" s="35"/>
      <c r="M387" s="36" t="s">
        <v>624</v>
      </c>
      <c r="N387" s="36"/>
      <c r="O387" s="35">
        <v>731</v>
      </c>
      <c r="P387" s="7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0"/>
      <c r="R387" s="600"/>
      <c r="S387" s="600"/>
      <c r="T387" s="601"/>
      <c r="U387" s="37"/>
      <c r="V387" s="37"/>
      <c r="W387" s="38" t="s">
        <v>68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/>
      <c r="AB387" s="66"/>
      <c r="AC387" s="471" t="s">
        <v>625</v>
      </c>
      <c r="AG387" s="75"/>
      <c r="AJ387" s="79"/>
      <c r="AK387" s="79">
        <v>0</v>
      </c>
      <c r="BB387" s="472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21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22"/>
      <c r="P388" s="605" t="s">
        <v>73</v>
      </c>
      <c r="Q388" s="606"/>
      <c r="R388" s="606"/>
      <c r="S388" s="606"/>
      <c r="T388" s="606"/>
      <c r="U388" s="606"/>
      <c r="V388" s="607"/>
      <c r="W388" s="40" t="s">
        <v>74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22"/>
      <c r="P389" s="605" t="s">
        <v>73</v>
      </c>
      <c r="Q389" s="606"/>
      <c r="R389" s="606"/>
      <c r="S389" s="606"/>
      <c r="T389" s="606"/>
      <c r="U389" s="606"/>
      <c r="V389" s="607"/>
      <c r="W389" s="40" t="s">
        <v>68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customHeight="1" x14ac:dyDescent="0.25">
      <c r="A390" s="614" t="s">
        <v>630</v>
      </c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09"/>
      <c r="P390" s="609"/>
      <c r="Q390" s="609"/>
      <c r="R390" s="609"/>
      <c r="S390" s="609"/>
      <c r="T390" s="609"/>
      <c r="U390" s="609"/>
      <c r="V390" s="609"/>
      <c r="W390" s="609"/>
      <c r="X390" s="609"/>
      <c r="Y390" s="609"/>
      <c r="Z390" s="609"/>
      <c r="AA390" s="62"/>
      <c r="AB390" s="62"/>
      <c r="AC390" s="62"/>
    </row>
    <row r="391" spans="1:68" ht="14.25" customHeight="1" x14ac:dyDescent="0.25">
      <c r="A391" s="608" t="s">
        <v>75</v>
      </c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09"/>
      <c r="P391" s="609"/>
      <c r="Q391" s="609"/>
      <c r="R391" s="609"/>
      <c r="S391" s="609"/>
      <c r="T391" s="609"/>
      <c r="U391" s="609"/>
      <c r="V391" s="609"/>
      <c r="W391" s="609"/>
      <c r="X391" s="609"/>
      <c r="Y391" s="609"/>
      <c r="Z391" s="609"/>
      <c r="AA391" s="63"/>
      <c r="AB391" s="63"/>
      <c r="AC391" s="63"/>
    </row>
    <row r="392" spans="1:68" ht="37.5" customHeight="1" x14ac:dyDescent="0.25">
      <c r="A392" s="60" t="s">
        <v>631</v>
      </c>
      <c r="B392" s="60" t="s">
        <v>632</v>
      </c>
      <c r="C392" s="34">
        <v>4301051489</v>
      </c>
      <c r="D392" s="597">
        <v>4607091387919</v>
      </c>
      <c r="E392" s="59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121</v>
      </c>
      <c r="L392" s="35"/>
      <c r="M392" s="36" t="s">
        <v>85</v>
      </c>
      <c r="N392" s="36"/>
      <c r="O392" s="35">
        <v>45</v>
      </c>
      <c r="P392" s="6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0"/>
      <c r="R392" s="600"/>
      <c r="S392" s="600"/>
      <c r="T392" s="601"/>
      <c r="U392" s="37"/>
      <c r="V392" s="37"/>
      <c r="W392" s="38" t="s">
        <v>68</v>
      </c>
      <c r="X392" s="56">
        <v>25</v>
      </c>
      <c r="Y392" s="53">
        <f>IFERROR(IF(X392="",0,CEILING((X392/$H392),1)*$H392),"")</f>
        <v>32.4</v>
      </c>
      <c r="Z392" s="39">
        <f>IFERROR(IF(Y392=0,"",ROUNDUP(Y392/H392,0)*0.01898),"")</f>
        <v>7.5920000000000001E-2</v>
      </c>
      <c r="AA392" s="65"/>
      <c r="AB392" s="66"/>
      <c r="AC392" s="473" t="s">
        <v>633</v>
      </c>
      <c r="AG392" s="75"/>
      <c r="AJ392" s="79"/>
      <c r="AK392" s="79">
        <v>0</v>
      </c>
      <c r="BB392" s="474" t="s">
        <v>1</v>
      </c>
      <c r="BM392" s="75">
        <f>IFERROR(X392*I392/H392,"0")</f>
        <v>26.524691358024693</v>
      </c>
      <c r="BN392" s="75">
        <f>IFERROR(Y392*I392/H392,"0")</f>
        <v>34.375999999999998</v>
      </c>
      <c r="BO392" s="75">
        <f>IFERROR(1/J392*(X392/H392),"0")</f>
        <v>4.8225308641975308E-2</v>
      </c>
      <c r="BP392" s="75">
        <f>IFERROR(1/J392*(Y392/H392),"0")</f>
        <v>6.25E-2</v>
      </c>
    </row>
    <row r="393" spans="1:68" ht="37.5" customHeight="1" x14ac:dyDescent="0.25">
      <c r="A393" s="60" t="s">
        <v>634</v>
      </c>
      <c r="B393" s="60" t="s">
        <v>635</v>
      </c>
      <c r="C393" s="34">
        <v>4301051461</v>
      </c>
      <c r="D393" s="597">
        <v>4680115883604</v>
      </c>
      <c r="E393" s="59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78</v>
      </c>
      <c r="L393" s="35"/>
      <c r="M393" s="36" t="s">
        <v>79</v>
      </c>
      <c r="N393" s="36"/>
      <c r="O393" s="35">
        <v>45</v>
      </c>
      <c r="P393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0"/>
      <c r="R393" s="600"/>
      <c r="S393" s="600"/>
      <c r="T393" s="601"/>
      <c r="U393" s="37"/>
      <c r="V393" s="37"/>
      <c r="W393" s="38" t="s">
        <v>68</v>
      </c>
      <c r="X393" s="56">
        <v>4.1999999999999993</v>
      </c>
      <c r="Y393" s="53">
        <f>IFERROR(IF(X393="",0,CEILING((X393/$H393),1)*$H393),"")</f>
        <v>4.2</v>
      </c>
      <c r="Z393" s="39">
        <f>IFERROR(IF(Y393=0,"",ROUNDUP(Y393/H393,0)*0.00651),"")</f>
        <v>1.302E-2</v>
      </c>
      <c r="AA393" s="65"/>
      <c r="AB393" s="66"/>
      <c r="AC393" s="475" t="s">
        <v>636</v>
      </c>
      <c r="AG393" s="75"/>
      <c r="AJ393" s="79"/>
      <c r="AK393" s="79">
        <v>0</v>
      </c>
      <c r="BB393" s="476" t="s">
        <v>1</v>
      </c>
      <c r="BM393" s="75">
        <f>IFERROR(X393*I393/H393,"0")</f>
        <v>4.7039999999999988</v>
      </c>
      <c r="BN393" s="75">
        <f>IFERROR(Y393*I393/H393,"0")</f>
        <v>4.7039999999999997</v>
      </c>
      <c r="BO393" s="75">
        <f>IFERROR(1/J393*(X393/H393),"0")</f>
        <v>1.0989010989010988E-2</v>
      </c>
      <c r="BP393" s="75">
        <f>IFERROR(1/J393*(Y393/H393),"0")</f>
        <v>1.098901098901099E-2</v>
      </c>
    </row>
    <row r="394" spans="1:68" ht="27" customHeight="1" x14ac:dyDescent="0.25">
      <c r="A394" s="60" t="s">
        <v>637</v>
      </c>
      <c r="B394" s="60" t="s">
        <v>638</v>
      </c>
      <c r="C394" s="34">
        <v>4301051864</v>
      </c>
      <c r="D394" s="597">
        <v>4680115883567</v>
      </c>
      <c r="E394" s="59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78</v>
      </c>
      <c r="L394" s="35"/>
      <c r="M394" s="36" t="s">
        <v>85</v>
      </c>
      <c r="N394" s="36"/>
      <c r="O394" s="35">
        <v>40</v>
      </c>
      <c r="P394" s="6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0"/>
      <c r="R394" s="600"/>
      <c r="S394" s="600"/>
      <c r="T394" s="601"/>
      <c r="U394" s="37"/>
      <c r="V394" s="37"/>
      <c r="W394" s="38" t="s">
        <v>68</v>
      </c>
      <c r="X394" s="56">
        <v>2.1</v>
      </c>
      <c r="Y394" s="53">
        <f>IFERROR(IF(X394="",0,CEILING((X394/$H394),1)*$H394),"")</f>
        <v>2.1</v>
      </c>
      <c r="Z394" s="39">
        <f>IFERROR(IF(Y394=0,"",ROUNDUP(Y394/H394,0)*0.00651),"")</f>
        <v>6.5100000000000002E-3</v>
      </c>
      <c r="AA394" s="65"/>
      <c r="AB394" s="66"/>
      <c r="AC394" s="477" t="s">
        <v>639</v>
      </c>
      <c r="AG394" s="75"/>
      <c r="AJ394" s="79"/>
      <c r="AK394" s="79">
        <v>0</v>
      </c>
      <c r="BB394" s="478" t="s">
        <v>1</v>
      </c>
      <c r="BM394" s="75">
        <f>IFERROR(X394*I394/H394,"0")</f>
        <v>2.34</v>
      </c>
      <c r="BN394" s="75">
        <f>IFERROR(Y394*I394/H394,"0")</f>
        <v>2.34</v>
      </c>
      <c r="BO394" s="75">
        <f>IFERROR(1/J394*(X394/H394),"0")</f>
        <v>5.4945054945054949E-3</v>
      </c>
      <c r="BP394" s="75">
        <f>IFERROR(1/J394*(Y394/H394),"0")</f>
        <v>5.4945054945054949E-3</v>
      </c>
    </row>
    <row r="395" spans="1:68" x14ac:dyDescent="0.2">
      <c r="A395" s="621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22"/>
      <c r="P395" s="605" t="s">
        <v>73</v>
      </c>
      <c r="Q395" s="606"/>
      <c r="R395" s="606"/>
      <c r="S395" s="606"/>
      <c r="T395" s="606"/>
      <c r="U395" s="606"/>
      <c r="V395" s="607"/>
      <c r="W395" s="40" t="s">
        <v>74</v>
      </c>
      <c r="X395" s="41">
        <f>IFERROR(X392/H392,"0")+IFERROR(X393/H393,"0")+IFERROR(X394/H394,"0")</f>
        <v>6.0864197530864192</v>
      </c>
      <c r="Y395" s="41">
        <f>IFERROR(Y392/H392,"0")+IFERROR(Y393/H393,"0")+IFERROR(Y394/H394,"0")</f>
        <v>7</v>
      </c>
      <c r="Z395" s="41">
        <f>IFERROR(IF(Z392="",0,Z392),"0")+IFERROR(IF(Z393="",0,Z393),"0")+IFERROR(IF(Z394="",0,Z394),"0")</f>
        <v>9.5450000000000007E-2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22"/>
      <c r="P396" s="605" t="s">
        <v>73</v>
      </c>
      <c r="Q396" s="606"/>
      <c r="R396" s="606"/>
      <c r="S396" s="606"/>
      <c r="T396" s="606"/>
      <c r="U396" s="606"/>
      <c r="V396" s="607"/>
      <c r="W396" s="40" t="s">
        <v>68</v>
      </c>
      <c r="X396" s="41">
        <f>IFERROR(SUM(X392:X394),"0")</f>
        <v>31.3</v>
      </c>
      <c r="Y396" s="41">
        <f>IFERROR(SUM(Y392:Y394),"0")</f>
        <v>38.700000000000003</v>
      </c>
      <c r="Z396" s="40"/>
      <c r="AA396" s="64"/>
      <c r="AB396" s="64"/>
      <c r="AC396" s="64"/>
    </row>
    <row r="397" spans="1:68" ht="27.75" customHeight="1" x14ac:dyDescent="0.2">
      <c r="A397" s="610" t="s">
        <v>640</v>
      </c>
      <c r="B397" s="611"/>
      <c r="C397" s="611"/>
      <c r="D397" s="611"/>
      <c r="E397" s="611"/>
      <c r="F397" s="611"/>
      <c r="G397" s="611"/>
      <c r="H397" s="611"/>
      <c r="I397" s="611"/>
      <c r="J397" s="611"/>
      <c r="K397" s="611"/>
      <c r="L397" s="611"/>
      <c r="M397" s="611"/>
      <c r="N397" s="611"/>
      <c r="O397" s="611"/>
      <c r="P397" s="611"/>
      <c r="Q397" s="611"/>
      <c r="R397" s="611"/>
      <c r="S397" s="611"/>
      <c r="T397" s="611"/>
      <c r="U397" s="611"/>
      <c r="V397" s="611"/>
      <c r="W397" s="611"/>
      <c r="X397" s="611"/>
      <c r="Y397" s="611"/>
      <c r="Z397" s="611"/>
      <c r="AA397" s="52"/>
      <c r="AB397" s="52"/>
      <c r="AC397" s="52"/>
    </row>
    <row r="398" spans="1:68" ht="16.5" customHeight="1" x14ac:dyDescent="0.25">
      <c r="A398" s="614" t="s">
        <v>641</v>
      </c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  <c r="Z398" s="609"/>
      <c r="AA398" s="62"/>
      <c r="AB398" s="62"/>
      <c r="AC398" s="62"/>
    </row>
    <row r="399" spans="1:68" ht="14.25" customHeight="1" x14ac:dyDescent="0.25">
      <c r="A399" s="608" t="s">
        <v>118</v>
      </c>
      <c r="B399" s="609"/>
      <c r="C399" s="609"/>
      <c r="D399" s="609"/>
      <c r="E399" s="609"/>
      <c r="F399" s="609"/>
      <c r="G399" s="609"/>
      <c r="H399" s="609"/>
      <c r="I399" s="609"/>
      <c r="J399" s="609"/>
      <c r="K399" s="609"/>
      <c r="L399" s="609"/>
      <c r="M399" s="609"/>
      <c r="N399" s="609"/>
      <c r="O399" s="609"/>
      <c r="P399" s="609"/>
      <c r="Q399" s="609"/>
      <c r="R399" s="609"/>
      <c r="S399" s="609"/>
      <c r="T399" s="609"/>
      <c r="U399" s="609"/>
      <c r="V399" s="609"/>
      <c r="W399" s="609"/>
      <c r="X399" s="609"/>
      <c r="Y399" s="609"/>
      <c r="Z399" s="609"/>
      <c r="AA399" s="63"/>
      <c r="AB399" s="63"/>
      <c r="AC399" s="63"/>
    </row>
    <row r="400" spans="1:68" ht="27" customHeight="1" x14ac:dyDescent="0.25">
      <c r="A400" s="60" t="s">
        <v>642</v>
      </c>
      <c r="B400" s="60" t="s">
        <v>643</v>
      </c>
      <c r="C400" s="34">
        <v>4301012332</v>
      </c>
      <c r="D400" s="597">
        <v>4680115888401</v>
      </c>
      <c r="E400" s="59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121</v>
      </c>
      <c r="L400" s="35"/>
      <c r="M400" s="36" t="s">
        <v>85</v>
      </c>
      <c r="N400" s="36"/>
      <c r="O400" s="35">
        <v>60</v>
      </c>
      <c r="P400" s="69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0"/>
      <c r="R400" s="600"/>
      <c r="S400" s="600"/>
      <c r="T400" s="601"/>
      <c r="U400" s="37"/>
      <c r="V400" s="37"/>
      <c r="W400" s="38" t="s">
        <v>68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/>
      <c r="AB400" s="66"/>
      <c r="AC400" s="479" t="s">
        <v>644</v>
      </c>
      <c r="AG400" s="75"/>
      <c r="AJ400" s="79"/>
      <c r="AK400" s="79">
        <v>0</v>
      </c>
      <c r="BB400" s="480" t="s">
        <v>1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645</v>
      </c>
      <c r="B401" s="60" t="s">
        <v>646</v>
      </c>
      <c r="C401" s="34">
        <v>4301011869</v>
      </c>
      <c r="D401" s="597">
        <v>4680115884847</v>
      </c>
      <c r="E401" s="59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121</v>
      </c>
      <c r="L401" s="35"/>
      <c r="M401" s="36" t="s">
        <v>67</v>
      </c>
      <c r="N401" s="36"/>
      <c r="O401" s="35">
        <v>60</v>
      </c>
      <c r="P401" s="7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0"/>
      <c r="R401" s="600"/>
      <c r="S401" s="600"/>
      <c r="T401" s="601"/>
      <c r="U401" s="37"/>
      <c r="V401" s="37"/>
      <c r="W401" s="38" t="s">
        <v>68</v>
      </c>
      <c r="X401" s="56">
        <v>30</v>
      </c>
      <c r="Y401" s="53">
        <f t="shared" si="57"/>
        <v>30</v>
      </c>
      <c r="Z401" s="39">
        <f>IFERROR(IF(Y401=0,"",ROUNDUP(Y401/H401,0)*0.02175),"")</f>
        <v>4.3499999999999997E-2</v>
      </c>
      <c r="AA401" s="65"/>
      <c r="AB401" s="66"/>
      <c r="AC401" s="481" t="s">
        <v>647</v>
      </c>
      <c r="AG401" s="75"/>
      <c r="AJ401" s="79"/>
      <c r="AK401" s="79">
        <v>0</v>
      </c>
      <c r="BB401" s="482" t="s">
        <v>1</v>
      </c>
      <c r="BM401" s="75">
        <f t="shared" si="58"/>
        <v>30.94</v>
      </c>
      <c r="BN401" s="75">
        <f t="shared" si="59"/>
        <v>30.94</v>
      </c>
      <c r="BO401" s="75">
        <f t="shared" si="60"/>
        <v>4.1666666666666664E-2</v>
      </c>
      <c r="BP401" s="75">
        <f t="shared" si="61"/>
        <v>4.1666666666666664E-2</v>
      </c>
    </row>
    <row r="402" spans="1:68" ht="27" customHeight="1" x14ac:dyDescent="0.25">
      <c r="A402" s="60" t="s">
        <v>648</v>
      </c>
      <c r="B402" s="60" t="s">
        <v>649</v>
      </c>
      <c r="C402" s="34">
        <v>4301012083</v>
      </c>
      <c r="D402" s="597">
        <v>4680115884854</v>
      </c>
      <c r="E402" s="59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121</v>
      </c>
      <c r="L402" s="35"/>
      <c r="M402" s="36" t="s">
        <v>122</v>
      </c>
      <c r="N402" s="36"/>
      <c r="O402" s="35">
        <v>60</v>
      </c>
      <c r="P402" s="6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0"/>
      <c r="R402" s="600"/>
      <c r="S402" s="600"/>
      <c r="T402" s="601"/>
      <c r="U402" s="37"/>
      <c r="V402" s="37"/>
      <c r="W402" s="38" t="s">
        <v>68</v>
      </c>
      <c r="X402" s="56">
        <v>80</v>
      </c>
      <c r="Y402" s="53">
        <f t="shared" si="57"/>
        <v>90</v>
      </c>
      <c r="Z402" s="39">
        <f>IFERROR(IF(Y402=0,"",ROUNDUP(Y402/H402,0)*0.02175),"")</f>
        <v>0.1305</v>
      </c>
      <c r="AA402" s="65"/>
      <c r="AB402" s="66"/>
      <c r="AC402" s="483" t="s">
        <v>650</v>
      </c>
      <c r="AG402" s="75"/>
      <c r="AJ402" s="79"/>
      <c r="AK402" s="79">
        <v>0</v>
      </c>
      <c r="BB402" s="484" t="s">
        <v>1</v>
      </c>
      <c r="BM402" s="75">
        <f t="shared" si="58"/>
        <v>82.506666666666675</v>
      </c>
      <c r="BN402" s="75">
        <f t="shared" si="59"/>
        <v>92.82</v>
      </c>
      <c r="BO402" s="75">
        <f t="shared" si="60"/>
        <v>0.1111111111111111</v>
      </c>
      <c r="BP402" s="75">
        <f t="shared" si="61"/>
        <v>0.125</v>
      </c>
    </row>
    <row r="403" spans="1:68" ht="27" customHeight="1" x14ac:dyDescent="0.25">
      <c r="A403" s="60" t="s">
        <v>651</v>
      </c>
      <c r="B403" s="60" t="s">
        <v>652</v>
      </c>
      <c r="C403" s="34">
        <v>4301011867</v>
      </c>
      <c r="D403" s="597">
        <v>4680115884830</v>
      </c>
      <c r="E403" s="59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121</v>
      </c>
      <c r="L403" s="35"/>
      <c r="M403" s="36" t="s">
        <v>67</v>
      </c>
      <c r="N403" s="36"/>
      <c r="O403" s="35">
        <v>60</v>
      </c>
      <c r="P403" s="7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0"/>
      <c r="R403" s="600"/>
      <c r="S403" s="600"/>
      <c r="T403" s="601"/>
      <c r="U403" s="37"/>
      <c r="V403" s="37"/>
      <c r="W403" s="38" t="s">
        <v>68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/>
      <c r="AB403" s="66"/>
      <c r="AC403" s="485" t="s">
        <v>653</v>
      </c>
      <c r="AG403" s="75"/>
      <c r="AJ403" s="79"/>
      <c r="AK403" s="79">
        <v>0</v>
      </c>
      <c r="BB403" s="486" t="s">
        <v>1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654</v>
      </c>
      <c r="B404" s="60" t="s">
        <v>655</v>
      </c>
      <c r="C404" s="34">
        <v>4301012356</v>
      </c>
      <c r="D404" s="597">
        <v>4680115889231</v>
      </c>
      <c r="E404" s="59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121</v>
      </c>
      <c r="L404" s="35"/>
      <c r="M404" s="36" t="s">
        <v>85</v>
      </c>
      <c r="N404" s="36"/>
      <c r="O404" s="35">
        <v>60</v>
      </c>
      <c r="P404" s="63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0"/>
      <c r="R404" s="600"/>
      <c r="S404" s="600"/>
      <c r="T404" s="601"/>
      <c r="U404" s="37"/>
      <c r="V404" s="37"/>
      <c r="W404" s="38" t="s">
        <v>68</v>
      </c>
      <c r="X404" s="56">
        <v>100</v>
      </c>
      <c r="Y404" s="53">
        <f t="shared" si="57"/>
        <v>105</v>
      </c>
      <c r="Z404" s="39">
        <f>IFERROR(IF(Y404=0,"",ROUNDUP(Y404/H404,0)*0.02175),"")</f>
        <v>0.15225</v>
      </c>
      <c r="AA404" s="65"/>
      <c r="AB404" s="66"/>
      <c r="AC404" s="487" t="s">
        <v>656</v>
      </c>
      <c r="AG404" s="75"/>
      <c r="AJ404" s="79"/>
      <c r="AK404" s="79">
        <v>0</v>
      </c>
      <c r="BB404" s="488" t="s">
        <v>1</v>
      </c>
      <c r="BM404" s="75">
        <f t="shared" si="58"/>
        <v>103.13333333333334</v>
      </c>
      <c r="BN404" s="75">
        <f t="shared" si="59"/>
        <v>108.29</v>
      </c>
      <c r="BO404" s="75">
        <f t="shared" si="60"/>
        <v>0.1388888888888889</v>
      </c>
      <c r="BP404" s="75">
        <f t="shared" si="61"/>
        <v>0.14583333333333331</v>
      </c>
    </row>
    <row r="405" spans="1:68" ht="27" customHeight="1" x14ac:dyDescent="0.25">
      <c r="A405" s="60" t="s">
        <v>657</v>
      </c>
      <c r="B405" s="60" t="s">
        <v>658</v>
      </c>
      <c r="C405" s="34">
        <v>4301011433</v>
      </c>
      <c r="D405" s="597">
        <v>4680115882638</v>
      </c>
      <c r="E405" s="59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130</v>
      </c>
      <c r="L405" s="35"/>
      <c r="M405" s="36" t="s">
        <v>122</v>
      </c>
      <c r="N405" s="36"/>
      <c r="O405" s="35">
        <v>90</v>
      </c>
      <c r="P405" s="6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0"/>
      <c r="R405" s="600"/>
      <c r="S405" s="600"/>
      <c r="T405" s="601"/>
      <c r="U405" s="37"/>
      <c r="V405" s="37"/>
      <c r="W405" s="38" t="s">
        <v>68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/>
      <c r="AB405" s="66"/>
      <c r="AC405" s="489" t="s">
        <v>659</v>
      </c>
      <c r="AG405" s="75"/>
      <c r="AJ405" s="79"/>
      <c r="AK405" s="79">
        <v>0</v>
      </c>
      <c r="BB405" s="490" t="s">
        <v>1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660</v>
      </c>
      <c r="B406" s="60" t="s">
        <v>661</v>
      </c>
      <c r="C406" s="34">
        <v>4301011952</v>
      </c>
      <c r="D406" s="597">
        <v>4680115884922</v>
      </c>
      <c r="E406" s="59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130</v>
      </c>
      <c r="L406" s="35"/>
      <c r="M406" s="36" t="s">
        <v>67</v>
      </c>
      <c r="N406" s="36"/>
      <c r="O406" s="35">
        <v>60</v>
      </c>
      <c r="P406" s="7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0"/>
      <c r="R406" s="600"/>
      <c r="S406" s="600"/>
      <c r="T406" s="601"/>
      <c r="U406" s="37"/>
      <c r="V406" s="37"/>
      <c r="W406" s="38" t="s">
        <v>68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/>
      <c r="AB406" s="66"/>
      <c r="AC406" s="491" t="s">
        <v>662</v>
      </c>
      <c r="AG406" s="75"/>
      <c r="AJ406" s="79"/>
      <c r="AK406" s="79">
        <v>0</v>
      </c>
      <c r="BB406" s="492" t="s">
        <v>1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663</v>
      </c>
      <c r="B407" s="60" t="s">
        <v>664</v>
      </c>
      <c r="C407" s="34">
        <v>4301011868</v>
      </c>
      <c r="D407" s="597">
        <v>4680115884861</v>
      </c>
      <c r="E407" s="59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130</v>
      </c>
      <c r="L407" s="35"/>
      <c r="M407" s="36" t="s">
        <v>67</v>
      </c>
      <c r="N407" s="36"/>
      <c r="O407" s="35">
        <v>60</v>
      </c>
      <c r="P407" s="6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0"/>
      <c r="R407" s="600"/>
      <c r="S407" s="600"/>
      <c r="T407" s="601"/>
      <c r="U407" s="37"/>
      <c r="V407" s="37"/>
      <c r="W407" s="38" t="s">
        <v>68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/>
      <c r="AB407" s="66"/>
      <c r="AC407" s="493" t="s">
        <v>665</v>
      </c>
      <c r="AG407" s="75"/>
      <c r="AJ407" s="79"/>
      <c r="AK407" s="79">
        <v>0</v>
      </c>
      <c r="BB407" s="494" t="s">
        <v>1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21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22"/>
      <c r="P408" s="605" t="s">
        <v>73</v>
      </c>
      <c r="Q408" s="606"/>
      <c r="R408" s="606"/>
      <c r="S408" s="606"/>
      <c r="T408" s="606"/>
      <c r="U408" s="606"/>
      <c r="V408" s="607"/>
      <c r="W408" s="40" t="s">
        <v>74</v>
      </c>
      <c r="X408" s="41">
        <f>IFERROR(X400/H400,"0")+IFERROR(X401/H401,"0")+IFERROR(X402/H402,"0")+IFERROR(X403/H403,"0")+IFERROR(X404/H404,"0")+IFERROR(X405/H405,"0")+IFERROR(X406/H406,"0")+IFERROR(X407/H407,"0")</f>
        <v>14</v>
      </c>
      <c r="Y408" s="41">
        <f>IFERROR(Y400/H400,"0")+IFERROR(Y401/H401,"0")+IFERROR(Y402/H402,"0")+IFERROR(Y403/H403,"0")+IFERROR(Y404/H404,"0")+IFERROR(Y405/H405,"0")+IFERROR(Y406/H406,"0")+IFERROR(Y407/H407,"0")</f>
        <v>15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0.32624999999999998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22"/>
      <c r="P409" s="605" t="s">
        <v>73</v>
      </c>
      <c r="Q409" s="606"/>
      <c r="R409" s="606"/>
      <c r="S409" s="606"/>
      <c r="T409" s="606"/>
      <c r="U409" s="606"/>
      <c r="V409" s="607"/>
      <c r="W409" s="40" t="s">
        <v>68</v>
      </c>
      <c r="X409" s="41">
        <f>IFERROR(SUM(X400:X407),"0")</f>
        <v>210</v>
      </c>
      <c r="Y409" s="41">
        <f>IFERROR(SUM(Y400:Y407),"0")</f>
        <v>225</v>
      </c>
      <c r="Z409" s="40"/>
      <c r="AA409" s="64"/>
      <c r="AB409" s="64"/>
      <c r="AC409" s="64"/>
    </row>
    <row r="410" spans="1:68" ht="14.25" customHeight="1" x14ac:dyDescent="0.25">
      <c r="A410" s="608" t="s">
        <v>153</v>
      </c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  <c r="Z410" s="609"/>
      <c r="AA410" s="63"/>
      <c r="AB410" s="63"/>
      <c r="AC410" s="63"/>
    </row>
    <row r="411" spans="1:68" ht="27" customHeight="1" x14ac:dyDescent="0.25">
      <c r="A411" s="60" t="s">
        <v>666</v>
      </c>
      <c r="B411" s="60" t="s">
        <v>667</v>
      </c>
      <c r="C411" s="34">
        <v>4301020178</v>
      </c>
      <c r="D411" s="597">
        <v>4607091383980</v>
      </c>
      <c r="E411" s="59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121</v>
      </c>
      <c r="L411" s="35"/>
      <c r="M411" s="36" t="s">
        <v>122</v>
      </c>
      <c r="N411" s="36"/>
      <c r="O411" s="35">
        <v>50</v>
      </c>
      <c r="P411" s="7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0"/>
      <c r="R411" s="600"/>
      <c r="S411" s="600"/>
      <c r="T411" s="601"/>
      <c r="U411" s="37"/>
      <c r="V411" s="37"/>
      <c r="W411" s="38" t="s">
        <v>68</v>
      </c>
      <c r="X411" s="56">
        <v>300</v>
      </c>
      <c r="Y411" s="53">
        <f>IFERROR(IF(X411="",0,CEILING((X411/$H411),1)*$H411),"")</f>
        <v>300</v>
      </c>
      <c r="Z411" s="39">
        <f>IFERROR(IF(Y411=0,"",ROUNDUP(Y411/H411,0)*0.02175),"")</f>
        <v>0.43499999999999994</v>
      </c>
      <c r="AA411" s="65"/>
      <c r="AB411" s="66"/>
      <c r="AC411" s="495" t="s">
        <v>668</v>
      </c>
      <c r="AG411" s="75"/>
      <c r="AJ411" s="79"/>
      <c r="AK411" s="79">
        <v>0</v>
      </c>
      <c r="BB411" s="496" t="s">
        <v>1</v>
      </c>
      <c r="BM411" s="75">
        <f>IFERROR(X411*I411/H411,"0")</f>
        <v>309.39999999999998</v>
      </c>
      <c r="BN411" s="75">
        <f>IFERROR(Y411*I411/H411,"0")</f>
        <v>309.39999999999998</v>
      </c>
      <c r="BO411" s="75">
        <f>IFERROR(1/J411*(X411/H411),"0")</f>
        <v>0.41666666666666663</v>
      </c>
      <c r="BP411" s="75">
        <f>IFERROR(1/J411*(Y411/H411),"0")</f>
        <v>0.41666666666666663</v>
      </c>
    </row>
    <row r="412" spans="1:68" ht="27" customHeight="1" x14ac:dyDescent="0.25">
      <c r="A412" s="60" t="s">
        <v>669</v>
      </c>
      <c r="B412" s="60" t="s">
        <v>670</v>
      </c>
      <c r="C412" s="34">
        <v>4301020355</v>
      </c>
      <c r="D412" s="597">
        <v>4680115888425</v>
      </c>
      <c r="E412" s="59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121</v>
      </c>
      <c r="L412" s="35"/>
      <c r="M412" s="36" t="s">
        <v>122</v>
      </c>
      <c r="N412" s="36"/>
      <c r="O412" s="35">
        <v>50</v>
      </c>
      <c r="P412" s="8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0"/>
      <c r="R412" s="600"/>
      <c r="S412" s="600"/>
      <c r="T412" s="601"/>
      <c r="U412" s="37"/>
      <c r="V412" s="37"/>
      <c r="W412" s="38" t="s">
        <v>68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/>
      <c r="AB412" s="66"/>
      <c r="AC412" s="497" t="s">
        <v>671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672</v>
      </c>
      <c r="B413" s="60" t="s">
        <v>673</v>
      </c>
      <c r="C413" s="34">
        <v>4301020179</v>
      </c>
      <c r="D413" s="597">
        <v>4607091384178</v>
      </c>
      <c r="E413" s="59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130</v>
      </c>
      <c r="L413" s="35"/>
      <c r="M413" s="36" t="s">
        <v>122</v>
      </c>
      <c r="N413" s="36"/>
      <c r="O413" s="35">
        <v>50</v>
      </c>
      <c r="P41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0"/>
      <c r="R413" s="600"/>
      <c r="S413" s="600"/>
      <c r="T413" s="601"/>
      <c r="U413" s="37"/>
      <c r="V413" s="37"/>
      <c r="W413" s="38" t="s">
        <v>68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/>
      <c r="AB413" s="66"/>
      <c r="AC413" s="499" t="s">
        <v>674</v>
      </c>
      <c r="AG413" s="75"/>
      <c r="AJ413" s="79"/>
      <c r="AK413" s="79">
        <v>0</v>
      </c>
      <c r="BB413" s="50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21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22"/>
      <c r="P414" s="605" t="s">
        <v>73</v>
      </c>
      <c r="Q414" s="606"/>
      <c r="R414" s="606"/>
      <c r="S414" s="606"/>
      <c r="T414" s="606"/>
      <c r="U414" s="606"/>
      <c r="V414" s="607"/>
      <c r="W414" s="40" t="s">
        <v>74</v>
      </c>
      <c r="X414" s="41">
        <f>IFERROR(X411/H411,"0")+IFERROR(X412/H412,"0")+IFERROR(X413/H413,"0")</f>
        <v>20</v>
      </c>
      <c r="Y414" s="41">
        <f>IFERROR(Y411/H411,"0")+IFERROR(Y412/H412,"0")+IFERROR(Y413/H413,"0")</f>
        <v>20</v>
      </c>
      <c r="Z414" s="41">
        <f>IFERROR(IF(Z411="",0,Z411),"0")+IFERROR(IF(Z412="",0,Z412),"0")+IFERROR(IF(Z413="",0,Z413),"0")</f>
        <v>0.43499999999999994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22"/>
      <c r="P415" s="605" t="s">
        <v>73</v>
      </c>
      <c r="Q415" s="606"/>
      <c r="R415" s="606"/>
      <c r="S415" s="606"/>
      <c r="T415" s="606"/>
      <c r="U415" s="606"/>
      <c r="V415" s="607"/>
      <c r="W415" s="40" t="s">
        <v>68</v>
      </c>
      <c r="X415" s="41">
        <f>IFERROR(SUM(X411:X413),"0")</f>
        <v>300</v>
      </c>
      <c r="Y415" s="41">
        <f>IFERROR(SUM(Y411:Y413),"0")</f>
        <v>300</v>
      </c>
      <c r="Z415" s="40"/>
      <c r="AA415" s="64"/>
      <c r="AB415" s="64"/>
      <c r="AC415" s="64"/>
    </row>
    <row r="416" spans="1:68" ht="14.25" customHeight="1" x14ac:dyDescent="0.25">
      <c r="A416" s="608" t="s">
        <v>75</v>
      </c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09"/>
      <c r="P416" s="609"/>
      <c r="Q416" s="609"/>
      <c r="R416" s="609"/>
      <c r="S416" s="609"/>
      <c r="T416" s="609"/>
      <c r="U416" s="609"/>
      <c r="V416" s="609"/>
      <c r="W416" s="609"/>
      <c r="X416" s="609"/>
      <c r="Y416" s="609"/>
      <c r="Z416" s="609"/>
      <c r="AA416" s="63"/>
      <c r="AB416" s="63"/>
      <c r="AC416" s="63"/>
    </row>
    <row r="417" spans="1:68" ht="27" customHeight="1" x14ac:dyDescent="0.25">
      <c r="A417" s="60" t="s">
        <v>675</v>
      </c>
      <c r="B417" s="60" t="s">
        <v>676</v>
      </c>
      <c r="C417" s="34">
        <v>4301051903</v>
      </c>
      <c r="D417" s="597">
        <v>4607091383928</v>
      </c>
      <c r="E417" s="59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121</v>
      </c>
      <c r="L417" s="35"/>
      <c r="M417" s="36" t="s">
        <v>79</v>
      </c>
      <c r="N417" s="36"/>
      <c r="O417" s="35">
        <v>40</v>
      </c>
      <c r="P417" s="87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0"/>
      <c r="R417" s="600"/>
      <c r="S417" s="600"/>
      <c r="T417" s="601"/>
      <c r="U417" s="37"/>
      <c r="V417" s="37"/>
      <c r="W417" s="38" t="s">
        <v>68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677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678</v>
      </c>
      <c r="B418" s="60" t="s">
        <v>679</v>
      </c>
      <c r="C418" s="34">
        <v>4301051897</v>
      </c>
      <c r="D418" s="597">
        <v>4607091384260</v>
      </c>
      <c r="E418" s="59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121</v>
      </c>
      <c r="L418" s="35"/>
      <c r="M418" s="36" t="s">
        <v>79</v>
      </c>
      <c r="N418" s="36"/>
      <c r="O418" s="35">
        <v>40</v>
      </c>
      <c r="P418" s="8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0"/>
      <c r="R418" s="600"/>
      <c r="S418" s="600"/>
      <c r="T418" s="601"/>
      <c r="U418" s="37"/>
      <c r="V418" s="37"/>
      <c r="W418" s="38" t="s">
        <v>68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03" t="s">
        <v>680</v>
      </c>
      <c r="AG418" s="75"/>
      <c r="AJ418" s="79"/>
      <c r="AK418" s="79">
        <v>0</v>
      </c>
      <c r="BB418" s="504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21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22"/>
      <c r="P419" s="605" t="s">
        <v>73</v>
      </c>
      <c r="Q419" s="606"/>
      <c r="R419" s="606"/>
      <c r="S419" s="606"/>
      <c r="T419" s="606"/>
      <c r="U419" s="606"/>
      <c r="V419" s="607"/>
      <c r="W419" s="40" t="s">
        <v>74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22"/>
      <c r="P420" s="605" t="s">
        <v>73</v>
      </c>
      <c r="Q420" s="606"/>
      <c r="R420" s="606"/>
      <c r="S420" s="606"/>
      <c r="T420" s="606"/>
      <c r="U420" s="606"/>
      <c r="V420" s="607"/>
      <c r="W420" s="40" t="s">
        <v>68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customHeight="1" x14ac:dyDescent="0.25">
      <c r="A421" s="608" t="s">
        <v>170</v>
      </c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09"/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  <c r="Z421" s="609"/>
      <c r="AA421" s="63"/>
      <c r="AB421" s="63"/>
      <c r="AC421" s="63"/>
    </row>
    <row r="422" spans="1:68" ht="16.5" customHeight="1" x14ac:dyDescent="0.25">
      <c r="A422" s="60" t="s">
        <v>681</v>
      </c>
      <c r="B422" s="60" t="s">
        <v>682</v>
      </c>
      <c r="C422" s="34">
        <v>4301060524</v>
      </c>
      <c r="D422" s="597">
        <v>4607091384673</v>
      </c>
      <c r="E422" s="59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121</v>
      </c>
      <c r="L422" s="35"/>
      <c r="M422" s="36" t="s">
        <v>79</v>
      </c>
      <c r="N422" s="36"/>
      <c r="O422" s="35">
        <v>40</v>
      </c>
      <c r="P422" s="7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0"/>
      <c r="R422" s="600"/>
      <c r="S422" s="600"/>
      <c r="T422" s="601"/>
      <c r="U422" s="37"/>
      <c r="V422" s="37"/>
      <c r="W422" s="38" t="s">
        <v>68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/>
      <c r="AB422" s="66"/>
      <c r="AC422" s="505" t="s">
        <v>683</v>
      </c>
      <c r="AG422" s="75"/>
      <c r="AJ422" s="79"/>
      <c r="AK422" s="79">
        <v>0</v>
      </c>
      <c r="BB422" s="506" t="s">
        <v>1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621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22"/>
      <c r="P423" s="605" t="s">
        <v>73</v>
      </c>
      <c r="Q423" s="606"/>
      <c r="R423" s="606"/>
      <c r="S423" s="606"/>
      <c r="T423" s="606"/>
      <c r="U423" s="606"/>
      <c r="V423" s="607"/>
      <c r="W423" s="40" t="s">
        <v>74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22"/>
      <c r="P424" s="605" t="s">
        <v>73</v>
      </c>
      <c r="Q424" s="606"/>
      <c r="R424" s="606"/>
      <c r="S424" s="606"/>
      <c r="T424" s="606"/>
      <c r="U424" s="606"/>
      <c r="V424" s="607"/>
      <c r="W424" s="40" t="s">
        <v>68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customHeight="1" x14ac:dyDescent="0.25">
      <c r="A425" s="614" t="s">
        <v>684</v>
      </c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09"/>
      <c r="P425" s="609"/>
      <c r="Q425" s="609"/>
      <c r="R425" s="609"/>
      <c r="S425" s="609"/>
      <c r="T425" s="609"/>
      <c r="U425" s="609"/>
      <c r="V425" s="609"/>
      <c r="W425" s="609"/>
      <c r="X425" s="609"/>
      <c r="Y425" s="609"/>
      <c r="Z425" s="609"/>
      <c r="AA425" s="62"/>
      <c r="AB425" s="62"/>
      <c r="AC425" s="62"/>
    </row>
    <row r="426" spans="1:68" ht="14.25" customHeight="1" x14ac:dyDescent="0.25">
      <c r="A426" s="608" t="s">
        <v>118</v>
      </c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  <c r="Z426" s="609"/>
      <c r="AA426" s="63"/>
      <c r="AB426" s="63"/>
      <c r="AC426" s="63"/>
    </row>
    <row r="427" spans="1:68" ht="27" customHeight="1" x14ac:dyDescent="0.25">
      <c r="A427" s="60" t="s">
        <v>685</v>
      </c>
      <c r="B427" s="60" t="s">
        <v>686</v>
      </c>
      <c r="C427" s="34">
        <v>4301011875</v>
      </c>
      <c r="D427" s="597">
        <v>4680115884885</v>
      </c>
      <c r="E427" s="59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121</v>
      </c>
      <c r="L427" s="35"/>
      <c r="M427" s="36" t="s">
        <v>67</v>
      </c>
      <c r="N427" s="36"/>
      <c r="O427" s="35">
        <v>60</v>
      </c>
      <c r="P427" s="7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0"/>
      <c r="R427" s="600"/>
      <c r="S427" s="600"/>
      <c r="T427" s="601"/>
      <c r="U427" s="37"/>
      <c r="V427" s="37"/>
      <c r="W427" s="38" t="s">
        <v>68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/>
      <c r="AB427" s="66"/>
      <c r="AC427" s="507" t="s">
        <v>687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customHeight="1" x14ac:dyDescent="0.25">
      <c r="A428" s="60" t="s">
        <v>688</v>
      </c>
      <c r="B428" s="60" t="s">
        <v>689</v>
      </c>
      <c r="C428" s="34">
        <v>4301011871</v>
      </c>
      <c r="D428" s="597">
        <v>4680115884908</v>
      </c>
      <c r="E428" s="59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130</v>
      </c>
      <c r="L428" s="35"/>
      <c r="M428" s="36" t="s">
        <v>67</v>
      </c>
      <c r="N428" s="36"/>
      <c r="O428" s="35">
        <v>60</v>
      </c>
      <c r="P428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0"/>
      <c r="R428" s="600"/>
      <c r="S428" s="600"/>
      <c r="T428" s="601"/>
      <c r="U428" s="37"/>
      <c r="V428" s="37"/>
      <c r="W428" s="38" t="s">
        <v>68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/>
      <c r="AB428" s="66"/>
      <c r="AC428" s="509" t="s">
        <v>687</v>
      </c>
      <c r="AG428" s="75"/>
      <c r="AJ428" s="79"/>
      <c r="AK428" s="79">
        <v>0</v>
      </c>
      <c r="BB428" s="510" t="s">
        <v>1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21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22"/>
      <c r="P429" s="605" t="s">
        <v>73</v>
      </c>
      <c r="Q429" s="606"/>
      <c r="R429" s="606"/>
      <c r="S429" s="606"/>
      <c r="T429" s="606"/>
      <c r="U429" s="606"/>
      <c r="V429" s="607"/>
      <c r="W429" s="40" t="s">
        <v>74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22"/>
      <c r="P430" s="605" t="s">
        <v>73</v>
      </c>
      <c r="Q430" s="606"/>
      <c r="R430" s="606"/>
      <c r="S430" s="606"/>
      <c r="T430" s="606"/>
      <c r="U430" s="606"/>
      <c r="V430" s="607"/>
      <c r="W430" s="40" t="s">
        <v>68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customHeight="1" x14ac:dyDescent="0.25">
      <c r="A431" s="608" t="s">
        <v>63</v>
      </c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09"/>
      <c r="P431" s="609"/>
      <c r="Q431" s="609"/>
      <c r="R431" s="609"/>
      <c r="S431" s="609"/>
      <c r="T431" s="609"/>
      <c r="U431" s="609"/>
      <c r="V431" s="609"/>
      <c r="W431" s="609"/>
      <c r="X431" s="609"/>
      <c r="Y431" s="609"/>
      <c r="Z431" s="609"/>
      <c r="AA431" s="63"/>
      <c r="AB431" s="63"/>
      <c r="AC431" s="63"/>
    </row>
    <row r="432" spans="1:68" ht="27" customHeight="1" x14ac:dyDescent="0.25">
      <c r="A432" s="60" t="s">
        <v>690</v>
      </c>
      <c r="B432" s="60" t="s">
        <v>691</v>
      </c>
      <c r="C432" s="34">
        <v>4301031457</v>
      </c>
      <c r="D432" s="597">
        <v>4607091384802</v>
      </c>
      <c r="E432" s="59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130</v>
      </c>
      <c r="L432" s="35"/>
      <c r="M432" s="36" t="s">
        <v>67</v>
      </c>
      <c r="N432" s="36"/>
      <c r="O432" s="35">
        <v>50</v>
      </c>
      <c r="P432" s="6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0"/>
      <c r="R432" s="600"/>
      <c r="S432" s="600"/>
      <c r="T432" s="601"/>
      <c r="U432" s="37"/>
      <c r="V432" s="37"/>
      <c r="W432" s="38" t="s">
        <v>68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/>
      <c r="AB432" s="66"/>
      <c r="AC432" s="511" t="s">
        <v>692</v>
      </c>
      <c r="AG432" s="75"/>
      <c r="AJ432" s="79"/>
      <c r="AK432" s="79">
        <v>0</v>
      </c>
      <c r="BB432" s="512" t="s">
        <v>1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x14ac:dyDescent="0.2">
      <c r="A433" s="621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22"/>
      <c r="P433" s="605" t="s">
        <v>73</v>
      </c>
      <c r="Q433" s="606"/>
      <c r="R433" s="606"/>
      <c r="S433" s="606"/>
      <c r="T433" s="606"/>
      <c r="U433" s="606"/>
      <c r="V433" s="607"/>
      <c r="W433" s="40" t="s">
        <v>74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22"/>
      <c r="P434" s="605" t="s">
        <v>73</v>
      </c>
      <c r="Q434" s="606"/>
      <c r="R434" s="606"/>
      <c r="S434" s="606"/>
      <c r="T434" s="606"/>
      <c r="U434" s="606"/>
      <c r="V434" s="607"/>
      <c r="W434" s="40" t="s">
        <v>68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customHeight="1" x14ac:dyDescent="0.25">
      <c r="A435" s="608" t="s">
        <v>75</v>
      </c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09"/>
      <c r="P435" s="609"/>
      <c r="Q435" s="609"/>
      <c r="R435" s="609"/>
      <c r="S435" s="609"/>
      <c r="T435" s="609"/>
      <c r="U435" s="609"/>
      <c r="V435" s="609"/>
      <c r="W435" s="609"/>
      <c r="X435" s="609"/>
      <c r="Y435" s="609"/>
      <c r="Z435" s="609"/>
      <c r="AA435" s="63"/>
      <c r="AB435" s="63"/>
      <c r="AC435" s="63"/>
    </row>
    <row r="436" spans="1:68" ht="27" customHeight="1" x14ac:dyDescent="0.25">
      <c r="A436" s="60" t="s">
        <v>693</v>
      </c>
      <c r="B436" s="60" t="s">
        <v>694</v>
      </c>
      <c r="C436" s="34">
        <v>4301051899</v>
      </c>
      <c r="D436" s="597">
        <v>4607091384246</v>
      </c>
      <c r="E436" s="59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121</v>
      </c>
      <c r="L436" s="35"/>
      <c r="M436" s="36" t="s">
        <v>79</v>
      </c>
      <c r="N436" s="36"/>
      <c r="O436" s="35">
        <v>40</v>
      </c>
      <c r="P436" s="9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0"/>
      <c r="R436" s="600"/>
      <c r="S436" s="600"/>
      <c r="T436" s="601"/>
      <c r="U436" s="37"/>
      <c r="V436" s="37"/>
      <c r="W436" s="38" t="s">
        <v>68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/>
      <c r="AB436" s="66"/>
      <c r="AC436" s="513" t="s">
        <v>695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696</v>
      </c>
      <c r="B437" s="60" t="s">
        <v>697</v>
      </c>
      <c r="C437" s="34">
        <v>4301051660</v>
      </c>
      <c r="D437" s="597">
        <v>4607091384253</v>
      </c>
      <c r="E437" s="59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78</v>
      </c>
      <c r="L437" s="35"/>
      <c r="M437" s="36" t="s">
        <v>79</v>
      </c>
      <c r="N437" s="36"/>
      <c r="O437" s="35">
        <v>40</v>
      </c>
      <c r="P437" s="5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0"/>
      <c r="R437" s="600"/>
      <c r="S437" s="600"/>
      <c r="T437" s="601"/>
      <c r="U437" s="37"/>
      <c r="V437" s="37"/>
      <c r="W437" s="38" t="s">
        <v>68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696</v>
      </c>
      <c r="B438" s="60" t="s">
        <v>698</v>
      </c>
      <c r="C438" s="34">
        <v>4301052069</v>
      </c>
      <c r="D438" s="597">
        <v>4607091384253</v>
      </c>
      <c r="E438" s="59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78</v>
      </c>
      <c r="L438" s="35"/>
      <c r="M438" s="36" t="s">
        <v>79</v>
      </c>
      <c r="N438" s="36"/>
      <c r="O438" s="35">
        <v>40</v>
      </c>
      <c r="P438" s="7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0"/>
      <c r="R438" s="600"/>
      <c r="S438" s="600"/>
      <c r="T438" s="601"/>
      <c r="U438" s="37"/>
      <c r="V438" s="37"/>
      <c r="W438" s="38" t="s">
        <v>68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/>
      <c r="AB438" s="66"/>
      <c r="AC438" s="517" t="s">
        <v>699</v>
      </c>
      <c r="AG438" s="75"/>
      <c r="AJ438" s="79"/>
      <c r="AK438" s="79">
        <v>0</v>
      </c>
      <c r="BB438" s="518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21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22"/>
      <c r="P439" s="605" t="s">
        <v>73</v>
      </c>
      <c r="Q439" s="606"/>
      <c r="R439" s="606"/>
      <c r="S439" s="606"/>
      <c r="T439" s="606"/>
      <c r="U439" s="606"/>
      <c r="V439" s="607"/>
      <c r="W439" s="40" t="s">
        <v>74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22"/>
      <c r="P440" s="605" t="s">
        <v>73</v>
      </c>
      <c r="Q440" s="606"/>
      <c r="R440" s="606"/>
      <c r="S440" s="606"/>
      <c r="T440" s="606"/>
      <c r="U440" s="606"/>
      <c r="V440" s="607"/>
      <c r="W440" s="40" t="s">
        <v>68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customHeight="1" x14ac:dyDescent="0.2">
      <c r="A441" s="610" t="s">
        <v>700</v>
      </c>
      <c r="B441" s="611"/>
      <c r="C441" s="611"/>
      <c r="D441" s="611"/>
      <c r="E441" s="611"/>
      <c r="F441" s="611"/>
      <c r="G441" s="611"/>
      <c r="H441" s="611"/>
      <c r="I441" s="611"/>
      <c r="J441" s="611"/>
      <c r="K441" s="611"/>
      <c r="L441" s="611"/>
      <c r="M441" s="611"/>
      <c r="N441" s="611"/>
      <c r="O441" s="611"/>
      <c r="P441" s="611"/>
      <c r="Q441" s="611"/>
      <c r="R441" s="611"/>
      <c r="S441" s="611"/>
      <c r="T441" s="611"/>
      <c r="U441" s="611"/>
      <c r="V441" s="611"/>
      <c r="W441" s="611"/>
      <c r="X441" s="611"/>
      <c r="Y441" s="611"/>
      <c r="Z441" s="611"/>
      <c r="AA441" s="52"/>
      <c r="AB441" s="52"/>
      <c r="AC441" s="52"/>
    </row>
    <row r="442" spans="1:68" ht="16.5" customHeight="1" x14ac:dyDescent="0.25">
      <c r="A442" s="614" t="s">
        <v>701</v>
      </c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09"/>
      <c r="P442" s="609"/>
      <c r="Q442" s="609"/>
      <c r="R442" s="609"/>
      <c r="S442" s="609"/>
      <c r="T442" s="609"/>
      <c r="U442" s="609"/>
      <c r="V442" s="609"/>
      <c r="W442" s="609"/>
      <c r="X442" s="609"/>
      <c r="Y442" s="609"/>
      <c r="Z442" s="609"/>
      <c r="AA442" s="62"/>
      <c r="AB442" s="62"/>
      <c r="AC442" s="62"/>
    </row>
    <row r="443" spans="1:68" ht="14.25" customHeight="1" x14ac:dyDescent="0.25">
      <c r="A443" s="608" t="s">
        <v>63</v>
      </c>
      <c r="B443" s="609"/>
      <c r="C443" s="609"/>
      <c r="D443" s="609"/>
      <c r="E443" s="609"/>
      <c r="F443" s="609"/>
      <c r="G443" s="609"/>
      <c r="H443" s="609"/>
      <c r="I443" s="609"/>
      <c r="J443" s="609"/>
      <c r="K443" s="609"/>
      <c r="L443" s="609"/>
      <c r="M443" s="609"/>
      <c r="N443" s="609"/>
      <c r="O443" s="609"/>
      <c r="P443" s="609"/>
      <c r="Q443" s="609"/>
      <c r="R443" s="609"/>
      <c r="S443" s="609"/>
      <c r="T443" s="609"/>
      <c r="U443" s="609"/>
      <c r="V443" s="609"/>
      <c r="W443" s="609"/>
      <c r="X443" s="609"/>
      <c r="Y443" s="609"/>
      <c r="Z443" s="609"/>
      <c r="AA443" s="63"/>
      <c r="AB443" s="63"/>
      <c r="AC443" s="63"/>
    </row>
    <row r="444" spans="1:68" ht="27" customHeight="1" x14ac:dyDescent="0.25">
      <c r="A444" s="60" t="s">
        <v>702</v>
      </c>
      <c r="B444" s="60" t="s">
        <v>703</v>
      </c>
      <c r="C444" s="34">
        <v>4301031405</v>
      </c>
      <c r="D444" s="597">
        <v>4680115886100</v>
      </c>
      <c r="E444" s="59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130</v>
      </c>
      <c r="L444" s="35"/>
      <c r="M444" s="36" t="s">
        <v>67</v>
      </c>
      <c r="N444" s="36"/>
      <c r="O444" s="35">
        <v>50</v>
      </c>
      <c r="P444" s="94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0"/>
      <c r="R444" s="600"/>
      <c r="S444" s="600"/>
      <c r="T444" s="601"/>
      <c r="U444" s="37"/>
      <c r="V444" s="37"/>
      <c r="W444" s="38" t="s">
        <v>68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/>
      <c r="AB444" s="66"/>
      <c r="AC444" s="519" t="s">
        <v>704</v>
      </c>
      <c r="AG444" s="75"/>
      <c r="AJ444" s="79"/>
      <c r="AK444" s="79">
        <v>0</v>
      </c>
      <c r="BB444" s="520" t="s">
        <v>1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customHeight="1" x14ac:dyDescent="0.25">
      <c r="A445" s="60" t="s">
        <v>705</v>
      </c>
      <c r="B445" s="60" t="s">
        <v>706</v>
      </c>
      <c r="C445" s="34">
        <v>4301031402</v>
      </c>
      <c r="D445" s="597">
        <v>4680115886124</v>
      </c>
      <c r="E445" s="59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130</v>
      </c>
      <c r="L445" s="35"/>
      <c r="M445" s="36" t="s">
        <v>67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0"/>
      <c r="R445" s="600"/>
      <c r="S445" s="600"/>
      <c r="T445" s="601"/>
      <c r="U445" s="37"/>
      <c r="V445" s="37"/>
      <c r="W445" s="38" t="s">
        <v>68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/>
      <c r="AB445" s="66"/>
      <c r="AC445" s="521" t="s">
        <v>707</v>
      </c>
      <c r="AG445" s="75"/>
      <c r="AJ445" s="79"/>
      <c r="AK445" s="79">
        <v>0</v>
      </c>
      <c r="BB445" s="522" t="s">
        <v>1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708</v>
      </c>
      <c r="B446" s="60" t="s">
        <v>709</v>
      </c>
      <c r="C446" s="34">
        <v>4301031362</v>
      </c>
      <c r="D446" s="597">
        <v>4607091384338</v>
      </c>
      <c r="E446" s="59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66</v>
      </c>
      <c r="L446" s="35"/>
      <c r="M446" s="36" t="s">
        <v>67</v>
      </c>
      <c r="N446" s="36"/>
      <c r="O446" s="35">
        <v>50</v>
      </c>
      <c r="P446" s="8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0"/>
      <c r="R446" s="600"/>
      <c r="S446" s="600"/>
      <c r="T446" s="601"/>
      <c r="U446" s="37"/>
      <c r="V446" s="37"/>
      <c r="W446" s="38" t="s">
        <v>68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/>
      <c r="AB446" s="66"/>
      <c r="AC446" s="523" t="s">
        <v>704</v>
      </c>
      <c r="AG446" s="75"/>
      <c r="AJ446" s="79"/>
      <c r="AK446" s="79">
        <v>0</v>
      </c>
      <c r="BB446" s="524" t="s">
        <v>1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customHeight="1" x14ac:dyDescent="0.25">
      <c r="A447" s="60" t="s">
        <v>710</v>
      </c>
      <c r="B447" s="60" t="s">
        <v>711</v>
      </c>
      <c r="C447" s="34">
        <v>4301031364</v>
      </c>
      <c r="D447" s="597">
        <v>4680115883161</v>
      </c>
      <c r="E447" s="59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66</v>
      </c>
      <c r="L447" s="35"/>
      <c r="M447" s="36" t="s">
        <v>67</v>
      </c>
      <c r="N447" s="36"/>
      <c r="O447" s="35">
        <v>50</v>
      </c>
      <c r="P447" s="9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0"/>
      <c r="R447" s="600"/>
      <c r="S447" s="600"/>
      <c r="T447" s="601"/>
      <c r="U447" s="37"/>
      <c r="V447" s="37"/>
      <c r="W447" s="38" t="s">
        <v>68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/>
      <c r="AB447" s="66"/>
      <c r="AC447" s="525" t="s">
        <v>712</v>
      </c>
      <c r="AG447" s="75"/>
      <c r="AJ447" s="79"/>
      <c r="AK447" s="79">
        <v>0</v>
      </c>
      <c r="BB447" s="526" t="s">
        <v>1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713</v>
      </c>
      <c r="B448" s="60" t="s">
        <v>714</v>
      </c>
      <c r="C448" s="34">
        <v>4301031358</v>
      </c>
      <c r="D448" s="597">
        <v>4607091389531</v>
      </c>
      <c r="E448" s="59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66</v>
      </c>
      <c r="L448" s="35"/>
      <c r="M448" s="36" t="s">
        <v>67</v>
      </c>
      <c r="N448" s="36"/>
      <c r="O448" s="35">
        <v>50</v>
      </c>
      <c r="P448" s="80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0"/>
      <c r="R448" s="600"/>
      <c r="S448" s="600"/>
      <c r="T448" s="601"/>
      <c r="U448" s="37"/>
      <c r="V448" s="37"/>
      <c r="W448" s="38" t="s">
        <v>68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/>
      <c r="AB448" s="66"/>
      <c r="AC448" s="527" t="s">
        <v>715</v>
      </c>
      <c r="AG448" s="75"/>
      <c r="AJ448" s="79"/>
      <c r="AK448" s="79">
        <v>0</v>
      </c>
      <c r="BB448" s="528" t="s">
        <v>1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customHeight="1" x14ac:dyDescent="0.25">
      <c r="A449" s="60" t="s">
        <v>716</v>
      </c>
      <c r="B449" s="60" t="s">
        <v>717</v>
      </c>
      <c r="C449" s="34">
        <v>4301031360</v>
      </c>
      <c r="D449" s="597">
        <v>4607091384345</v>
      </c>
      <c r="E449" s="59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66</v>
      </c>
      <c r="L449" s="35"/>
      <c r="M449" s="36" t="s">
        <v>67</v>
      </c>
      <c r="N449" s="36"/>
      <c r="O449" s="35">
        <v>50</v>
      </c>
      <c r="P449" s="9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0"/>
      <c r="R449" s="600"/>
      <c r="S449" s="600"/>
      <c r="T449" s="601"/>
      <c r="U449" s="37"/>
      <c r="V449" s="37"/>
      <c r="W449" s="38" t="s">
        <v>68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/>
      <c r="AB449" s="66"/>
      <c r="AC449" s="529" t="s">
        <v>712</v>
      </c>
      <c r="AG449" s="75"/>
      <c r="AJ449" s="79"/>
      <c r="AK449" s="79">
        <v>0</v>
      </c>
      <c r="BB449" s="530" t="s">
        <v>1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21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22"/>
      <c r="P450" s="605" t="s">
        <v>73</v>
      </c>
      <c r="Q450" s="606"/>
      <c r="R450" s="606"/>
      <c r="S450" s="606"/>
      <c r="T450" s="606"/>
      <c r="U450" s="606"/>
      <c r="V450" s="607"/>
      <c r="W450" s="40" t="s">
        <v>74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22"/>
      <c r="P451" s="605" t="s">
        <v>73</v>
      </c>
      <c r="Q451" s="606"/>
      <c r="R451" s="606"/>
      <c r="S451" s="606"/>
      <c r="T451" s="606"/>
      <c r="U451" s="606"/>
      <c r="V451" s="607"/>
      <c r="W451" s="40" t="s">
        <v>68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customHeight="1" x14ac:dyDescent="0.25">
      <c r="A452" s="608" t="s">
        <v>75</v>
      </c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09"/>
      <c r="P452" s="609"/>
      <c r="Q452" s="609"/>
      <c r="R452" s="609"/>
      <c r="S452" s="609"/>
      <c r="T452" s="609"/>
      <c r="U452" s="609"/>
      <c r="V452" s="609"/>
      <c r="W452" s="609"/>
      <c r="X452" s="609"/>
      <c r="Y452" s="609"/>
      <c r="Z452" s="609"/>
      <c r="AA452" s="63"/>
      <c r="AB452" s="63"/>
      <c r="AC452" s="63"/>
    </row>
    <row r="453" spans="1:68" ht="27" customHeight="1" x14ac:dyDescent="0.25">
      <c r="A453" s="60" t="s">
        <v>718</v>
      </c>
      <c r="B453" s="60" t="s">
        <v>719</v>
      </c>
      <c r="C453" s="34">
        <v>4301051284</v>
      </c>
      <c r="D453" s="597">
        <v>4607091384352</v>
      </c>
      <c r="E453" s="59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130</v>
      </c>
      <c r="L453" s="35"/>
      <c r="M453" s="36" t="s">
        <v>79</v>
      </c>
      <c r="N453" s="36"/>
      <c r="O453" s="35">
        <v>45</v>
      </c>
      <c r="P45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0"/>
      <c r="R453" s="600"/>
      <c r="S453" s="600"/>
      <c r="T453" s="601"/>
      <c r="U453" s="37"/>
      <c r="V453" s="37"/>
      <c r="W453" s="38" t="s">
        <v>68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/>
      <c r="AB453" s="66"/>
      <c r="AC453" s="531" t="s">
        <v>720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customHeight="1" x14ac:dyDescent="0.25">
      <c r="A454" s="60" t="s">
        <v>721</v>
      </c>
      <c r="B454" s="60" t="s">
        <v>722</v>
      </c>
      <c r="C454" s="34">
        <v>4301051431</v>
      </c>
      <c r="D454" s="597">
        <v>4607091389654</v>
      </c>
      <c r="E454" s="59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78</v>
      </c>
      <c r="L454" s="35"/>
      <c r="M454" s="36" t="s">
        <v>79</v>
      </c>
      <c r="N454" s="36"/>
      <c r="O454" s="35">
        <v>45</v>
      </c>
      <c r="P454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0"/>
      <c r="R454" s="600"/>
      <c r="S454" s="600"/>
      <c r="T454" s="601"/>
      <c r="U454" s="37"/>
      <c r="V454" s="37"/>
      <c r="W454" s="38" t="s">
        <v>68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/>
      <c r="AB454" s="66"/>
      <c r="AC454" s="533" t="s">
        <v>723</v>
      </c>
      <c r="AG454" s="75"/>
      <c r="AJ454" s="79"/>
      <c r="AK454" s="79">
        <v>0</v>
      </c>
      <c r="BB454" s="534" t="s">
        <v>1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621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22"/>
      <c r="P455" s="605" t="s">
        <v>73</v>
      </c>
      <c r="Q455" s="606"/>
      <c r="R455" s="606"/>
      <c r="S455" s="606"/>
      <c r="T455" s="606"/>
      <c r="U455" s="606"/>
      <c r="V455" s="607"/>
      <c r="W455" s="40" t="s">
        <v>74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22"/>
      <c r="P456" s="605" t="s">
        <v>73</v>
      </c>
      <c r="Q456" s="606"/>
      <c r="R456" s="606"/>
      <c r="S456" s="606"/>
      <c r="T456" s="606"/>
      <c r="U456" s="606"/>
      <c r="V456" s="607"/>
      <c r="W456" s="40" t="s">
        <v>68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customHeight="1" x14ac:dyDescent="0.25">
      <c r="A457" s="614" t="s">
        <v>724</v>
      </c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  <c r="Z457" s="609"/>
      <c r="AA457" s="62"/>
      <c r="AB457" s="62"/>
      <c r="AC457" s="62"/>
    </row>
    <row r="458" spans="1:68" ht="14.25" customHeight="1" x14ac:dyDescent="0.25">
      <c r="A458" s="608" t="s">
        <v>153</v>
      </c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  <c r="Z458" s="609"/>
      <c r="AA458" s="63"/>
      <c r="AB458" s="63"/>
      <c r="AC458" s="63"/>
    </row>
    <row r="459" spans="1:68" ht="27" customHeight="1" x14ac:dyDescent="0.25">
      <c r="A459" s="60" t="s">
        <v>725</v>
      </c>
      <c r="B459" s="60" t="s">
        <v>726</v>
      </c>
      <c r="C459" s="34">
        <v>4301020416</v>
      </c>
      <c r="D459" s="597">
        <v>4680115885240</v>
      </c>
      <c r="E459" s="59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78</v>
      </c>
      <c r="L459" s="35"/>
      <c r="M459" s="36" t="s">
        <v>67</v>
      </c>
      <c r="N459" s="36"/>
      <c r="O459" s="35">
        <v>40</v>
      </c>
      <c r="P459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0"/>
      <c r="R459" s="600"/>
      <c r="S459" s="600"/>
      <c r="T459" s="601"/>
      <c r="U459" s="37"/>
      <c r="V459" s="37"/>
      <c r="W459" s="38" t="s">
        <v>68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/>
      <c r="AB459" s="66"/>
      <c r="AC459" s="535" t="s">
        <v>727</v>
      </c>
      <c r="AG459" s="75"/>
      <c r="AJ459" s="79"/>
      <c r="AK459" s="79">
        <v>0</v>
      </c>
      <c r="BB459" s="536" t="s">
        <v>1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21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22"/>
      <c r="P460" s="605" t="s">
        <v>73</v>
      </c>
      <c r="Q460" s="606"/>
      <c r="R460" s="606"/>
      <c r="S460" s="606"/>
      <c r="T460" s="606"/>
      <c r="U460" s="606"/>
      <c r="V460" s="607"/>
      <c r="W460" s="40" t="s">
        <v>74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22"/>
      <c r="P461" s="605" t="s">
        <v>73</v>
      </c>
      <c r="Q461" s="606"/>
      <c r="R461" s="606"/>
      <c r="S461" s="606"/>
      <c r="T461" s="606"/>
      <c r="U461" s="606"/>
      <c r="V461" s="607"/>
      <c r="W461" s="40" t="s">
        <v>68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customHeight="1" x14ac:dyDescent="0.25">
      <c r="A462" s="608" t="s">
        <v>63</v>
      </c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09"/>
      <c r="P462" s="609"/>
      <c r="Q462" s="609"/>
      <c r="R462" s="609"/>
      <c r="S462" s="609"/>
      <c r="T462" s="609"/>
      <c r="U462" s="609"/>
      <c r="V462" s="609"/>
      <c r="W462" s="609"/>
      <c r="X462" s="609"/>
      <c r="Y462" s="609"/>
      <c r="Z462" s="609"/>
      <c r="AA462" s="63"/>
      <c r="AB462" s="63"/>
      <c r="AC462" s="63"/>
    </row>
    <row r="463" spans="1:68" ht="27" customHeight="1" x14ac:dyDescent="0.25">
      <c r="A463" s="60" t="s">
        <v>728</v>
      </c>
      <c r="B463" s="60" t="s">
        <v>729</v>
      </c>
      <c r="C463" s="34">
        <v>4301031407</v>
      </c>
      <c r="D463" s="597">
        <v>4680115886094</v>
      </c>
      <c r="E463" s="59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130</v>
      </c>
      <c r="L463" s="35"/>
      <c r="M463" s="36" t="s">
        <v>67</v>
      </c>
      <c r="N463" s="36"/>
      <c r="O463" s="35">
        <v>50</v>
      </c>
      <c r="P463" s="8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0"/>
      <c r="R463" s="600"/>
      <c r="S463" s="600"/>
      <c r="T463" s="601"/>
      <c r="U463" s="37"/>
      <c r="V463" s="37"/>
      <c r="W463" s="38" t="s">
        <v>68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/>
      <c r="AB463" s="66"/>
      <c r="AC463" s="537" t="s">
        <v>730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731</v>
      </c>
      <c r="B464" s="60" t="s">
        <v>732</v>
      </c>
      <c r="C464" s="34">
        <v>4301031373</v>
      </c>
      <c r="D464" s="597">
        <v>4680115880771</v>
      </c>
      <c r="E464" s="59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66</v>
      </c>
      <c r="L464" s="35"/>
      <c r="M464" s="36" t="s">
        <v>67</v>
      </c>
      <c r="N464" s="36"/>
      <c r="O464" s="35">
        <v>50</v>
      </c>
      <c r="P464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0"/>
      <c r="R464" s="600"/>
      <c r="S464" s="600"/>
      <c r="T464" s="601"/>
      <c r="U464" s="37"/>
      <c r="V464" s="37"/>
      <c r="W464" s="38" t="s">
        <v>68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733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734</v>
      </c>
      <c r="B465" s="60" t="s">
        <v>735</v>
      </c>
      <c r="C465" s="34">
        <v>4301031359</v>
      </c>
      <c r="D465" s="597">
        <v>4607091389500</v>
      </c>
      <c r="E465" s="59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66</v>
      </c>
      <c r="L465" s="35"/>
      <c r="M465" s="36" t="s">
        <v>67</v>
      </c>
      <c r="N465" s="36"/>
      <c r="O465" s="35">
        <v>50</v>
      </c>
      <c r="P465" s="8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0"/>
      <c r="R465" s="600"/>
      <c r="S465" s="600"/>
      <c r="T465" s="601"/>
      <c r="U465" s="37"/>
      <c r="V465" s="37"/>
      <c r="W465" s="38" t="s">
        <v>68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/>
      <c r="AB465" s="66"/>
      <c r="AC465" s="541" t="s">
        <v>733</v>
      </c>
      <c r="AG465" s="75"/>
      <c r="AJ465" s="79"/>
      <c r="AK465" s="79">
        <v>0</v>
      </c>
      <c r="BB465" s="542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21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22"/>
      <c r="P466" s="605" t="s">
        <v>73</v>
      </c>
      <c r="Q466" s="606"/>
      <c r="R466" s="606"/>
      <c r="S466" s="606"/>
      <c r="T466" s="606"/>
      <c r="U466" s="606"/>
      <c r="V466" s="607"/>
      <c r="W466" s="40" t="s">
        <v>74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22"/>
      <c r="P467" s="605" t="s">
        <v>73</v>
      </c>
      <c r="Q467" s="606"/>
      <c r="R467" s="606"/>
      <c r="S467" s="606"/>
      <c r="T467" s="606"/>
      <c r="U467" s="606"/>
      <c r="V467" s="607"/>
      <c r="W467" s="40" t="s">
        <v>68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customHeight="1" x14ac:dyDescent="0.2">
      <c r="A468" s="610" t="s">
        <v>736</v>
      </c>
      <c r="B468" s="611"/>
      <c r="C468" s="611"/>
      <c r="D468" s="611"/>
      <c r="E468" s="611"/>
      <c r="F468" s="611"/>
      <c r="G468" s="611"/>
      <c r="H468" s="611"/>
      <c r="I468" s="611"/>
      <c r="J468" s="611"/>
      <c r="K468" s="611"/>
      <c r="L468" s="611"/>
      <c r="M468" s="611"/>
      <c r="N468" s="611"/>
      <c r="O468" s="611"/>
      <c r="P468" s="611"/>
      <c r="Q468" s="611"/>
      <c r="R468" s="611"/>
      <c r="S468" s="611"/>
      <c r="T468" s="611"/>
      <c r="U468" s="611"/>
      <c r="V468" s="611"/>
      <c r="W468" s="611"/>
      <c r="X468" s="611"/>
      <c r="Y468" s="611"/>
      <c r="Z468" s="611"/>
      <c r="AA468" s="52"/>
      <c r="AB468" s="52"/>
      <c r="AC468" s="52"/>
    </row>
    <row r="469" spans="1:68" ht="16.5" customHeight="1" x14ac:dyDescent="0.25">
      <c r="A469" s="614" t="s">
        <v>736</v>
      </c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  <c r="Z469" s="609"/>
      <c r="AA469" s="62"/>
      <c r="AB469" s="62"/>
      <c r="AC469" s="62"/>
    </row>
    <row r="470" spans="1:68" ht="14.25" customHeight="1" x14ac:dyDescent="0.25">
      <c r="A470" s="608" t="s">
        <v>118</v>
      </c>
      <c r="B470" s="609"/>
      <c r="C470" s="609"/>
      <c r="D470" s="609"/>
      <c r="E470" s="609"/>
      <c r="F470" s="609"/>
      <c r="G470" s="609"/>
      <c r="H470" s="609"/>
      <c r="I470" s="609"/>
      <c r="J470" s="609"/>
      <c r="K470" s="609"/>
      <c r="L470" s="609"/>
      <c r="M470" s="609"/>
      <c r="N470" s="609"/>
      <c r="O470" s="609"/>
      <c r="P470" s="609"/>
      <c r="Q470" s="609"/>
      <c r="R470" s="609"/>
      <c r="S470" s="609"/>
      <c r="T470" s="609"/>
      <c r="U470" s="609"/>
      <c r="V470" s="609"/>
      <c r="W470" s="609"/>
      <c r="X470" s="609"/>
      <c r="Y470" s="609"/>
      <c r="Z470" s="609"/>
      <c r="AA470" s="63"/>
      <c r="AB470" s="63"/>
      <c r="AC470" s="63"/>
    </row>
    <row r="471" spans="1:68" ht="27" customHeight="1" x14ac:dyDescent="0.25">
      <c r="A471" s="60" t="s">
        <v>737</v>
      </c>
      <c r="B471" s="60" t="s">
        <v>738</v>
      </c>
      <c r="C471" s="34">
        <v>4301011769</v>
      </c>
      <c r="D471" s="597">
        <v>4607091389067</v>
      </c>
      <c r="E471" s="59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121</v>
      </c>
      <c r="L471" s="35"/>
      <c r="M471" s="36" t="s">
        <v>79</v>
      </c>
      <c r="N471" s="36"/>
      <c r="O471" s="35">
        <v>60</v>
      </c>
      <c r="P471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0"/>
      <c r="R471" s="600"/>
      <c r="S471" s="600"/>
      <c r="T471" s="601"/>
      <c r="U471" s="37"/>
      <c r="V471" s="37"/>
      <c r="W471" s="38" t="s">
        <v>68</v>
      </c>
      <c r="X471" s="56">
        <v>10</v>
      </c>
      <c r="Y471" s="53">
        <f t="shared" ref="Y471:Y479" si="67">IFERROR(IF(X471="",0,CEILING((X471/$H471),1)*$H471),"")</f>
        <v>10.56</v>
      </c>
      <c r="Z471" s="39">
        <f t="shared" ref="Z471:Z476" si="68">IFERROR(IF(Y471=0,"",ROUNDUP(Y471/H471,0)*0.01196),"")</f>
        <v>2.392E-2</v>
      </c>
      <c r="AA471" s="65"/>
      <c r="AB471" s="66"/>
      <c r="AC471" s="543" t="s">
        <v>123</v>
      </c>
      <c r="AG471" s="75"/>
      <c r="AJ471" s="79"/>
      <c r="AK471" s="79">
        <v>0</v>
      </c>
      <c r="BB471" s="544" t="s">
        <v>1</v>
      </c>
      <c r="BM471" s="75">
        <f t="shared" ref="BM471:BM479" si="69">IFERROR(X471*I471/H471,"0")</f>
        <v>10.662878787878787</v>
      </c>
      <c r="BN471" s="75">
        <f t="shared" ref="BN471:BN479" si="70">IFERROR(Y471*I471/H471,"0")</f>
        <v>11.26</v>
      </c>
      <c r="BO471" s="75">
        <f t="shared" ref="BO471:BO479" si="71">IFERROR(1/J471*(X471/H471),"0")</f>
        <v>1.8210955710955712E-2</v>
      </c>
      <c r="BP471" s="75">
        <f t="shared" ref="BP471:BP479" si="72">IFERROR(1/J471*(Y471/H471),"0")</f>
        <v>1.9230769230769232E-2</v>
      </c>
    </row>
    <row r="472" spans="1:68" ht="27" customHeight="1" x14ac:dyDescent="0.25">
      <c r="A472" s="60" t="s">
        <v>739</v>
      </c>
      <c r="B472" s="60" t="s">
        <v>740</v>
      </c>
      <c r="C472" s="34">
        <v>4301012210</v>
      </c>
      <c r="D472" s="597">
        <v>4607091383522</v>
      </c>
      <c r="E472" s="59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121</v>
      </c>
      <c r="L472" s="35"/>
      <c r="M472" s="36" t="s">
        <v>122</v>
      </c>
      <c r="N472" s="36"/>
      <c r="O472" s="35">
        <v>60</v>
      </c>
      <c r="P472" s="82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0"/>
      <c r="R472" s="600"/>
      <c r="S472" s="600"/>
      <c r="T472" s="601"/>
      <c r="U472" s="37"/>
      <c r="V472" s="37"/>
      <c r="W472" s="38" t="s">
        <v>68</v>
      </c>
      <c r="X472" s="56">
        <v>0</v>
      </c>
      <c r="Y472" s="53">
        <f t="shared" si="67"/>
        <v>0</v>
      </c>
      <c r="Z472" s="39" t="str">
        <f t="shared" si="68"/>
        <v/>
      </c>
      <c r="AA472" s="65"/>
      <c r="AB472" s="66"/>
      <c r="AC472" s="545" t="s">
        <v>741</v>
      </c>
      <c r="AG472" s="75"/>
      <c r="AJ472" s="79"/>
      <c r="AK472" s="79">
        <v>0</v>
      </c>
      <c r="BB472" s="546" t="s">
        <v>1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customHeight="1" x14ac:dyDescent="0.25">
      <c r="A473" s="60" t="s">
        <v>742</v>
      </c>
      <c r="B473" s="60" t="s">
        <v>743</v>
      </c>
      <c r="C473" s="34">
        <v>4301011961</v>
      </c>
      <c r="D473" s="597">
        <v>4680115885271</v>
      </c>
      <c r="E473" s="59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121</v>
      </c>
      <c r="L473" s="35"/>
      <c r="M473" s="36" t="s">
        <v>122</v>
      </c>
      <c r="N473" s="36"/>
      <c r="O473" s="35">
        <v>60</v>
      </c>
      <c r="P473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0"/>
      <c r="R473" s="600"/>
      <c r="S473" s="600"/>
      <c r="T473" s="601"/>
      <c r="U473" s="37"/>
      <c r="V473" s="37"/>
      <c r="W473" s="38" t="s">
        <v>68</v>
      </c>
      <c r="X473" s="56">
        <v>0</v>
      </c>
      <c r="Y473" s="53">
        <f t="shared" si="67"/>
        <v>0</v>
      </c>
      <c r="Z473" s="39" t="str">
        <f t="shared" si="68"/>
        <v/>
      </c>
      <c r="AA473" s="65"/>
      <c r="AB473" s="66"/>
      <c r="AC473" s="547" t="s">
        <v>744</v>
      </c>
      <c r="AG473" s="75"/>
      <c r="AJ473" s="79"/>
      <c r="AK473" s="79">
        <v>0</v>
      </c>
      <c r="BB473" s="548" t="s">
        <v>1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745</v>
      </c>
      <c r="B474" s="60" t="s">
        <v>746</v>
      </c>
      <c r="C474" s="34">
        <v>4301011369</v>
      </c>
      <c r="D474" s="597">
        <v>4680115885226</v>
      </c>
      <c r="E474" s="59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121</v>
      </c>
      <c r="L474" s="35"/>
      <c r="M474" s="36" t="s">
        <v>122</v>
      </c>
      <c r="N474" s="36"/>
      <c r="O474" s="35">
        <v>60</v>
      </c>
      <c r="P47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0"/>
      <c r="R474" s="600"/>
      <c r="S474" s="600"/>
      <c r="T474" s="601"/>
      <c r="U474" s="37"/>
      <c r="V474" s="37"/>
      <c r="W474" s="38" t="s">
        <v>68</v>
      </c>
      <c r="X474" s="56">
        <v>0</v>
      </c>
      <c r="Y474" s="53">
        <f t="shared" si="67"/>
        <v>0</v>
      </c>
      <c r="Z474" s="39" t="str">
        <f t="shared" si="68"/>
        <v/>
      </c>
      <c r="AA474" s="65"/>
      <c r="AB474" s="66"/>
      <c r="AC474" s="549" t="s">
        <v>747</v>
      </c>
      <c r="AG474" s="75"/>
      <c r="AJ474" s="79"/>
      <c r="AK474" s="79">
        <v>0</v>
      </c>
      <c r="BB474" s="550" t="s">
        <v>1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customHeight="1" x14ac:dyDescent="0.25">
      <c r="A475" s="60" t="s">
        <v>748</v>
      </c>
      <c r="B475" s="60" t="s">
        <v>749</v>
      </c>
      <c r="C475" s="34">
        <v>4301011797</v>
      </c>
      <c r="D475" s="597">
        <v>4680115884502</v>
      </c>
      <c r="E475" s="59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121</v>
      </c>
      <c r="L475" s="35"/>
      <c r="M475" s="36" t="s">
        <v>79</v>
      </c>
      <c r="N475" s="36"/>
      <c r="O475" s="35">
        <v>60</v>
      </c>
      <c r="P475" s="84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0"/>
      <c r="R475" s="600"/>
      <c r="S475" s="600"/>
      <c r="T475" s="601"/>
      <c r="U475" s="37"/>
      <c r="V475" s="37"/>
      <c r="W475" s="38" t="s">
        <v>68</v>
      </c>
      <c r="X475" s="56">
        <v>0</v>
      </c>
      <c r="Y475" s="53">
        <f t="shared" si="67"/>
        <v>0</v>
      </c>
      <c r="Z475" s="39" t="str">
        <f t="shared" si="68"/>
        <v/>
      </c>
      <c r="AA475" s="65"/>
      <c r="AB475" s="66"/>
      <c r="AC475" s="551" t="s">
        <v>750</v>
      </c>
      <c r="AG475" s="75"/>
      <c r="AJ475" s="79"/>
      <c r="AK475" s="79">
        <v>0</v>
      </c>
      <c r="BB475" s="552" t="s">
        <v>1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751</v>
      </c>
      <c r="B476" s="60" t="s">
        <v>752</v>
      </c>
      <c r="C476" s="34">
        <v>4301011771</v>
      </c>
      <c r="D476" s="597">
        <v>4607091389104</v>
      </c>
      <c r="E476" s="59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121</v>
      </c>
      <c r="L476" s="35"/>
      <c r="M476" s="36" t="s">
        <v>122</v>
      </c>
      <c r="N476" s="36"/>
      <c r="O476" s="35">
        <v>60</v>
      </c>
      <c r="P476" s="68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0"/>
      <c r="R476" s="600"/>
      <c r="S476" s="600"/>
      <c r="T476" s="601"/>
      <c r="U476" s="37"/>
      <c r="V476" s="37"/>
      <c r="W476" s="38" t="s">
        <v>68</v>
      </c>
      <c r="X476" s="56">
        <v>5</v>
      </c>
      <c r="Y476" s="53">
        <f t="shared" si="67"/>
        <v>5.28</v>
      </c>
      <c r="Z476" s="39">
        <f t="shared" si="68"/>
        <v>1.196E-2</v>
      </c>
      <c r="AA476" s="65"/>
      <c r="AB476" s="66"/>
      <c r="AC476" s="553" t="s">
        <v>753</v>
      </c>
      <c r="AG476" s="75"/>
      <c r="AJ476" s="79"/>
      <c r="AK476" s="79">
        <v>0</v>
      </c>
      <c r="BB476" s="554" t="s">
        <v>1</v>
      </c>
      <c r="BM476" s="75">
        <f t="shared" si="69"/>
        <v>5.3314393939393936</v>
      </c>
      <c r="BN476" s="75">
        <f t="shared" si="70"/>
        <v>5.63</v>
      </c>
      <c r="BO476" s="75">
        <f t="shared" si="71"/>
        <v>9.1054778554778559E-3</v>
      </c>
      <c r="BP476" s="75">
        <f t="shared" si="72"/>
        <v>9.6153846153846159E-3</v>
      </c>
    </row>
    <row r="477" spans="1:68" ht="27" customHeight="1" x14ac:dyDescent="0.25">
      <c r="A477" s="60" t="s">
        <v>754</v>
      </c>
      <c r="B477" s="60" t="s">
        <v>755</v>
      </c>
      <c r="C477" s="34">
        <v>4301012125</v>
      </c>
      <c r="D477" s="597">
        <v>4680115886391</v>
      </c>
      <c r="E477" s="59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78</v>
      </c>
      <c r="L477" s="35"/>
      <c r="M477" s="36" t="s">
        <v>79</v>
      </c>
      <c r="N477" s="36"/>
      <c r="O477" s="35">
        <v>60</v>
      </c>
      <c r="P477" s="8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0"/>
      <c r="R477" s="600"/>
      <c r="S477" s="600"/>
      <c r="T477" s="601"/>
      <c r="U477" s="37"/>
      <c r="V477" s="37"/>
      <c r="W477" s="38" t="s">
        <v>68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/>
      <c r="AB477" s="66"/>
      <c r="AC477" s="555" t="s">
        <v>123</v>
      </c>
      <c r="AG477" s="75"/>
      <c r="AJ477" s="79"/>
      <c r="AK477" s="79">
        <v>0</v>
      </c>
      <c r="BB477" s="556" t="s">
        <v>1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756</v>
      </c>
      <c r="B478" s="60" t="s">
        <v>757</v>
      </c>
      <c r="C478" s="34">
        <v>4301012048</v>
      </c>
      <c r="D478" s="597">
        <v>4680115880603</v>
      </c>
      <c r="E478" s="59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130</v>
      </c>
      <c r="L478" s="35"/>
      <c r="M478" s="36" t="s">
        <v>79</v>
      </c>
      <c r="N478" s="36"/>
      <c r="O478" s="35">
        <v>60</v>
      </c>
      <c r="P478" s="8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0"/>
      <c r="R478" s="600"/>
      <c r="S478" s="600"/>
      <c r="T478" s="601"/>
      <c r="U478" s="37"/>
      <c r="V478" s="37"/>
      <c r="W478" s="38" t="s">
        <v>68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/>
      <c r="AB478" s="66"/>
      <c r="AC478" s="557" t="s">
        <v>123</v>
      </c>
      <c r="AG478" s="75"/>
      <c r="AJ478" s="79"/>
      <c r="AK478" s="79">
        <v>0</v>
      </c>
      <c r="BB478" s="558" t="s">
        <v>1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758</v>
      </c>
      <c r="B479" s="60" t="s">
        <v>759</v>
      </c>
      <c r="C479" s="34">
        <v>4301012034</v>
      </c>
      <c r="D479" s="597">
        <v>4607091389982</v>
      </c>
      <c r="E479" s="59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130</v>
      </c>
      <c r="L479" s="35"/>
      <c r="M479" s="36" t="s">
        <v>122</v>
      </c>
      <c r="N479" s="36"/>
      <c r="O479" s="35">
        <v>60</v>
      </c>
      <c r="P479" s="71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0"/>
      <c r="R479" s="600"/>
      <c r="S479" s="600"/>
      <c r="T479" s="601"/>
      <c r="U479" s="37"/>
      <c r="V479" s="37"/>
      <c r="W479" s="38" t="s">
        <v>68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/>
      <c r="AB479" s="66"/>
      <c r="AC479" s="559" t="s">
        <v>753</v>
      </c>
      <c r="AG479" s="75"/>
      <c r="AJ479" s="79"/>
      <c r="AK479" s="79">
        <v>0</v>
      </c>
      <c r="BB479" s="560" t="s">
        <v>1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21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22"/>
      <c r="P480" s="605" t="s">
        <v>73</v>
      </c>
      <c r="Q480" s="606"/>
      <c r="R480" s="606"/>
      <c r="S480" s="606"/>
      <c r="T480" s="606"/>
      <c r="U480" s="606"/>
      <c r="V480" s="607"/>
      <c r="W480" s="40" t="s">
        <v>74</v>
      </c>
      <c r="X480" s="41">
        <f>IFERROR(X471/H471,"0")+IFERROR(X472/H472,"0")+IFERROR(X473/H473,"0")+IFERROR(X474/H474,"0")+IFERROR(X475/H475,"0")+IFERROR(X476/H476,"0")+IFERROR(X477/H477,"0")+IFERROR(X478/H478,"0")+IFERROR(X479/H479,"0")</f>
        <v>2.8409090909090908</v>
      </c>
      <c r="Y480" s="41">
        <f>IFERROR(Y471/H471,"0")+IFERROR(Y472/H472,"0")+IFERROR(Y473/H473,"0")+IFERROR(Y474/H474,"0")+IFERROR(Y475/H475,"0")+IFERROR(Y476/H476,"0")+IFERROR(Y477/H477,"0")+IFERROR(Y478/H478,"0")+IFERROR(Y479/H479,"0")</f>
        <v>3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3.5880000000000002E-2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22"/>
      <c r="P481" s="605" t="s">
        <v>73</v>
      </c>
      <c r="Q481" s="606"/>
      <c r="R481" s="606"/>
      <c r="S481" s="606"/>
      <c r="T481" s="606"/>
      <c r="U481" s="606"/>
      <c r="V481" s="607"/>
      <c r="W481" s="40" t="s">
        <v>68</v>
      </c>
      <c r="X481" s="41">
        <f>IFERROR(SUM(X471:X479),"0")</f>
        <v>15</v>
      </c>
      <c r="Y481" s="41">
        <f>IFERROR(SUM(Y471:Y479),"0")</f>
        <v>15.84</v>
      </c>
      <c r="Z481" s="40"/>
      <c r="AA481" s="64"/>
      <c r="AB481" s="64"/>
      <c r="AC481" s="64"/>
    </row>
    <row r="482" spans="1:68" ht="14.25" customHeight="1" x14ac:dyDescent="0.25">
      <c r="A482" s="608" t="s">
        <v>153</v>
      </c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09"/>
      <c r="P482" s="609"/>
      <c r="Q482" s="609"/>
      <c r="R482" s="609"/>
      <c r="S482" s="609"/>
      <c r="T482" s="609"/>
      <c r="U482" s="609"/>
      <c r="V482" s="609"/>
      <c r="W482" s="609"/>
      <c r="X482" s="609"/>
      <c r="Y482" s="609"/>
      <c r="Z482" s="609"/>
      <c r="AA482" s="63"/>
      <c r="AB482" s="63"/>
      <c r="AC482" s="63"/>
    </row>
    <row r="483" spans="1:68" ht="16.5" customHeight="1" x14ac:dyDescent="0.25">
      <c r="A483" s="60" t="s">
        <v>760</v>
      </c>
      <c r="B483" s="60" t="s">
        <v>761</v>
      </c>
      <c r="C483" s="34">
        <v>4301020334</v>
      </c>
      <c r="D483" s="597">
        <v>4607091388930</v>
      </c>
      <c r="E483" s="59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121</v>
      </c>
      <c r="L483" s="35"/>
      <c r="M483" s="36" t="s">
        <v>79</v>
      </c>
      <c r="N483" s="36"/>
      <c r="O483" s="35">
        <v>70</v>
      </c>
      <c r="P483" s="8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0"/>
      <c r="R483" s="600"/>
      <c r="S483" s="600"/>
      <c r="T483" s="601"/>
      <c r="U483" s="37"/>
      <c r="V483" s="37"/>
      <c r="W483" s="38" t="s">
        <v>68</v>
      </c>
      <c r="X483" s="56">
        <v>15</v>
      </c>
      <c r="Y483" s="53">
        <f>IFERROR(IF(X483="",0,CEILING((X483/$H483),1)*$H483),"")</f>
        <v>15.84</v>
      </c>
      <c r="Z483" s="39">
        <f>IFERROR(IF(Y483=0,"",ROUNDUP(Y483/H483,0)*0.01196),"")</f>
        <v>3.5880000000000002E-2</v>
      </c>
      <c r="AA483" s="65"/>
      <c r="AB483" s="66"/>
      <c r="AC483" s="561" t="s">
        <v>762</v>
      </c>
      <c r="AG483" s="75"/>
      <c r="AJ483" s="79"/>
      <c r="AK483" s="79">
        <v>0</v>
      </c>
      <c r="BB483" s="562" t="s">
        <v>1</v>
      </c>
      <c r="BM483" s="75">
        <f>IFERROR(X483*I483/H483,"0")</f>
        <v>15.994318181818182</v>
      </c>
      <c r="BN483" s="75">
        <f>IFERROR(Y483*I483/H483,"0")</f>
        <v>16.889999999999997</v>
      </c>
      <c r="BO483" s="75">
        <f>IFERROR(1/J483*(X483/H483),"0")</f>
        <v>2.7316433566433568E-2</v>
      </c>
      <c r="BP483" s="75">
        <f>IFERROR(1/J483*(Y483/H483),"0")</f>
        <v>2.8846153846153848E-2</v>
      </c>
    </row>
    <row r="484" spans="1:68" ht="16.5" customHeight="1" x14ac:dyDescent="0.25">
      <c r="A484" s="60" t="s">
        <v>763</v>
      </c>
      <c r="B484" s="60" t="s">
        <v>764</v>
      </c>
      <c r="C484" s="34">
        <v>4301020374</v>
      </c>
      <c r="D484" s="597">
        <v>4680115886407</v>
      </c>
      <c r="E484" s="59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78</v>
      </c>
      <c r="L484" s="35"/>
      <c r="M484" s="36" t="s">
        <v>122</v>
      </c>
      <c r="N484" s="36"/>
      <c r="O484" s="35">
        <v>70</v>
      </c>
      <c r="P484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0"/>
      <c r="R484" s="600"/>
      <c r="S484" s="600"/>
      <c r="T484" s="601"/>
      <c r="U484" s="37"/>
      <c r="V484" s="37"/>
      <c r="W484" s="38" t="s">
        <v>68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/>
      <c r="AB484" s="66"/>
      <c r="AC484" s="563" t="s">
        <v>762</v>
      </c>
      <c r="AG484" s="75"/>
      <c r="AJ484" s="79"/>
      <c r="AK484" s="79">
        <v>0</v>
      </c>
      <c r="BB484" s="564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765</v>
      </c>
      <c r="B485" s="60" t="s">
        <v>766</v>
      </c>
      <c r="C485" s="34">
        <v>4301020385</v>
      </c>
      <c r="D485" s="597">
        <v>4680115880054</v>
      </c>
      <c r="E485" s="59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130</v>
      </c>
      <c r="L485" s="35"/>
      <c r="M485" s="36" t="s">
        <v>122</v>
      </c>
      <c r="N485" s="36"/>
      <c r="O485" s="35">
        <v>70</v>
      </c>
      <c r="P485" s="8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0"/>
      <c r="R485" s="600"/>
      <c r="S485" s="600"/>
      <c r="T485" s="601"/>
      <c r="U485" s="37"/>
      <c r="V485" s="37"/>
      <c r="W485" s="38" t="s">
        <v>68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/>
      <c r="AB485" s="66"/>
      <c r="AC485" s="565" t="s">
        <v>762</v>
      </c>
      <c r="AG485" s="75"/>
      <c r="AJ485" s="79"/>
      <c r="AK485" s="79">
        <v>0</v>
      </c>
      <c r="BB485" s="566" t="s">
        <v>1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1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22"/>
      <c r="P486" s="605" t="s">
        <v>73</v>
      </c>
      <c r="Q486" s="606"/>
      <c r="R486" s="606"/>
      <c r="S486" s="606"/>
      <c r="T486" s="606"/>
      <c r="U486" s="606"/>
      <c r="V486" s="607"/>
      <c r="W486" s="40" t="s">
        <v>74</v>
      </c>
      <c r="X486" s="41">
        <f>IFERROR(X483/H483,"0")+IFERROR(X484/H484,"0")+IFERROR(X485/H485,"0")</f>
        <v>2.8409090909090908</v>
      </c>
      <c r="Y486" s="41">
        <f>IFERROR(Y483/H483,"0")+IFERROR(Y484/H484,"0")+IFERROR(Y485/H485,"0")</f>
        <v>3</v>
      </c>
      <c r="Z486" s="41">
        <f>IFERROR(IF(Z483="",0,Z483),"0")+IFERROR(IF(Z484="",0,Z484),"0")+IFERROR(IF(Z485="",0,Z485),"0")</f>
        <v>3.5880000000000002E-2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22"/>
      <c r="P487" s="605" t="s">
        <v>73</v>
      </c>
      <c r="Q487" s="606"/>
      <c r="R487" s="606"/>
      <c r="S487" s="606"/>
      <c r="T487" s="606"/>
      <c r="U487" s="606"/>
      <c r="V487" s="607"/>
      <c r="W487" s="40" t="s">
        <v>68</v>
      </c>
      <c r="X487" s="41">
        <f>IFERROR(SUM(X483:X485),"0")</f>
        <v>15</v>
      </c>
      <c r="Y487" s="41">
        <f>IFERROR(SUM(Y483:Y485),"0")</f>
        <v>15.84</v>
      </c>
      <c r="Z487" s="40"/>
      <c r="AA487" s="64"/>
      <c r="AB487" s="64"/>
      <c r="AC487" s="64"/>
    </row>
    <row r="488" spans="1:68" ht="14.25" customHeight="1" x14ac:dyDescent="0.25">
      <c r="A488" s="608" t="s">
        <v>63</v>
      </c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09"/>
      <c r="P488" s="609"/>
      <c r="Q488" s="609"/>
      <c r="R488" s="609"/>
      <c r="S488" s="609"/>
      <c r="T488" s="609"/>
      <c r="U488" s="609"/>
      <c r="V488" s="609"/>
      <c r="W488" s="609"/>
      <c r="X488" s="609"/>
      <c r="Y488" s="609"/>
      <c r="Z488" s="609"/>
      <c r="AA488" s="63"/>
      <c r="AB488" s="63"/>
      <c r="AC488" s="63"/>
    </row>
    <row r="489" spans="1:68" ht="27" customHeight="1" x14ac:dyDescent="0.25">
      <c r="A489" s="60" t="s">
        <v>767</v>
      </c>
      <c r="B489" s="60" t="s">
        <v>768</v>
      </c>
      <c r="C489" s="34">
        <v>4301031349</v>
      </c>
      <c r="D489" s="597">
        <v>4680115883116</v>
      </c>
      <c r="E489" s="59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121</v>
      </c>
      <c r="L489" s="35"/>
      <c r="M489" s="36" t="s">
        <v>122</v>
      </c>
      <c r="N489" s="36"/>
      <c r="O489" s="35">
        <v>70</v>
      </c>
      <c r="P489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0"/>
      <c r="R489" s="600"/>
      <c r="S489" s="600"/>
      <c r="T489" s="601"/>
      <c r="U489" s="37"/>
      <c r="V489" s="37"/>
      <c r="W489" s="38" t="s">
        <v>68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/>
      <c r="AB489" s="66"/>
      <c r="AC489" s="567" t="s">
        <v>769</v>
      </c>
      <c r="AG489" s="75"/>
      <c r="AJ489" s="79"/>
      <c r="AK489" s="79">
        <v>0</v>
      </c>
      <c r="BB489" s="568" t="s">
        <v>1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4301031350</v>
      </c>
      <c r="D490" s="597">
        <v>4680115883093</v>
      </c>
      <c r="E490" s="59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121</v>
      </c>
      <c r="L490" s="35"/>
      <c r="M490" s="36" t="s">
        <v>67</v>
      </c>
      <c r="N490" s="36"/>
      <c r="O490" s="35">
        <v>70</v>
      </c>
      <c r="P490" s="8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0"/>
      <c r="R490" s="600"/>
      <c r="S490" s="600"/>
      <c r="T490" s="601"/>
      <c r="U490" s="37"/>
      <c r="V490" s="37"/>
      <c r="W490" s="38" t="s">
        <v>68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/>
      <c r="AB490" s="66"/>
      <c r="AC490" s="569" t="s">
        <v>772</v>
      </c>
      <c r="AG490" s="75"/>
      <c r="AJ490" s="79"/>
      <c r="AK490" s="79">
        <v>0</v>
      </c>
      <c r="BB490" s="570" t="s">
        <v>1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4301031353</v>
      </c>
      <c r="D491" s="597">
        <v>4680115883109</v>
      </c>
      <c r="E491" s="59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121</v>
      </c>
      <c r="L491" s="35"/>
      <c r="M491" s="36" t="s">
        <v>67</v>
      </c>
      <c r="N491" s="36"/>
      <c r="O491" s="35">
        <v>70</v>
      </c>
      <c r="P491" s="7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0"/>
      <c r="R491" s="600"/>
      <c r="S491" s="600"/>
      <c r="T491" s="601"/>
      <c r="U491" s="37"/>
      <c r="V491" s="37"/>
      <c r="W491" s="38" t="s">
        <v>68</v>
      </c>
      <c r="X491" s="56">
        <v>5</v>
      </c>
      <c r="Y491" s="53">
        <f t="shared" si="73"/>
        <v>5.28</v>
      </c>
      <c r="Z491" s="39">
        <f>IFERROR(IF(Y491=0,"",ROUNDUP(Y491/H491,0)*0.01196),"")</f>
        <v>1.196E-2</v>
      </c>
      <c r="AA491" s="65"/>
      <c r="AB491" s="66"/>
      <c r="AC491" s="571" t="s">
        <v>775</v>
      </c>
      <c r="AG491" s="75"/>
      <c r="AJ491" s="79"/>
      <c r="AK491" s="79">
        <v>0</v>
      </c>
      <c r="BB491" s="572" t="s">
        <v>1</v>
      </c>
      <c r="BM491" s="75">
        <f t="shared" si="74"/>
        <v>5.3314393939393936</v>
      </c>
      <c r="BN491" s="75">
        <f t="shared" si="75"/>
        <v>5.63</v>
      </c>
      <c r="BO491" s="75">
        <f t="shared" si="76"/>
        <v>9.1054778554778559E-3</v>
      </c>
      <c r="BP491" s="75">
        <f t="shared" si="77"/>
        <v>9.6153846153846159E-3</v>
      </c>
    </row>
    <row r="492" spans="1:68" ht="27" customHeight="1" x14ac:dyDescent="0.25">
      <c r="A492" s="60" t="s">
        <v>776</v>
      </c>
      <c r="B492" s="60" t="s">
        <v>777</v>
      </c>
      <c r="C492" s="34">
        <v>4301031419</v>
      </c>
      <c r="D492" s="597">
        <v>4680115882072</v>
      </c>
      <c r="E492" s="59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130</v>
      </c>
      <c r="L492" s="35"/>
      <c r="M492" s="36" t="s">
        <v>122</v>
      </c>
      <c r="N492" s="36"/>
      <c r="O492" s="35">
        <v>70</v>
      </c>
      <c r="P492" s="71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0"/>
      <c r="R492" s="600"/>
      <c r="S492" s="600"/>
      <c r="T492" s="601"/>
      <c r="U492" s="37"/>
      <c r="V492" s="37"/>
      <c r="W492" s="38" t="s">
        <v>68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/>
      <c r="AB492" s="66"/>
      <c r="AC492" s="573" t="s">
        <v>769</v>
      </c>
      <c r="AG492" s="75"/>
      <c r="AJ492" s="79"/>
      <c r="AK492" s="79">
        <v>0</v>
      </c>
      <c r="BB492" s="574" t="s">
        <v>1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customHeight="1" x14ac:dyDescent="0.25">
      <c r="A493" s="60" t="s">
        <v>778</v>
      </c>
      <c r="B493" s="60" t="s">
        <v>779</v>
      </c>
      <c r="C493" s="34">
        <v>4301031352</v>
      </c>
      <c r="D493" s="597">
        <v>4680115882102</v>
      </c>
      <c r="E493" s="59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130</v>
      </c>
      <c r="L493" s="35"/>
      <c r="M493" s="36" t="s">
        <v>67</v>
      </c>
      <c r="N493" s="36"/>
      <c r="O493" s="35">
        <v>70</v>
      </c>
      <c r="P493" s="74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0"/>
      <c r="R493" s="600"/>
      <c r="S493" s="600"/>
      <c r="T493" s="601"/>
      <c r="U493" s="37"/>
      <c r="V493" s="37"/>
      <c r="W493" s="38" t="s">
        <v>68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/>
      <c r="AB493" s="66"/>
      <c r="AC493" s="575" t="s">
        <v>772</v>
      </c>
      <c r="AG493" s="75"/>
      <c r="AJ493" s="79"/>
      <c r="AK493" s="79">
        <v>0</v>
      </c>
      <c r="BB493" s="576" t="s">
        <v>1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778</v>
      </c>
      <c r="B494" s="60" t="s">
        <v>780</v>
      </c>
      <c r="C494" s="34">
        <v>4301031418</v>
      </c>
      <c r="D494" s="597">
        <v>4680115882102</v>
      </c>
      <c r="E494" s="59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130</v>
      </c>
      <c r="L494" s="35"/>
      <c r="M494" s="36" t="s">
        <v>67</v>
      </c>
      <c r="N494" s="36"/>
      <c r="O494" s="35">
        <v>70</v>
      </c>
      <c r="P494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0"/>
      <c r="R494" s="600"/>
      <c r="S494" s="600"/>
      <c r="T494" s="601"/>
      <c r="U494" s="37"/>
      <c r="V494" s="37"/>
      <c r="W494" s="38" t="s">
        <v>68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/>
      <c r="AB494" s="66"/>
      <c r="AC494" s="577" t="s">
        <v>772</v>
      </c>
      <c r="AG494" s="75"/>
      <c r="AJ494" s="79"/>
      <c r="AK494" s="79">
        <v>0</v>
      </c>
      <c r="BB494" s="578" t="s">
        <v>1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781</v>
      </c>
      <c r="B495" s="60" t="s">
        <v>782</v>
      </c>
      <c r="C495" s="34">
        <v>4301031417</v>
      </c>
      <c r="D495" s="597">
        <v>4680115882096</v>
      </c>
      <c r="E495" s="59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130</v>
      </c>
      <c r="L495" s="35"/>
      <c r="M495" s="36" t="s">
        <v>67</v>
      </c>
      <c r="N495" s="36"/>
      <c r="O495" s="35">
        <v>70</v>
      </c>
      <c r="P495" s="74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0"/>
      <c r="R495" s="600"/>
      <c r="S495" s="600"/>
      <c r="T495" s="601"/>
      <c r="U495" s="37"/>
      <c r="V495" s="37"/>
      <c r="W495" s="38" t="s">
        <v>68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/>
      <c r="AB495" s="66"/>
      <c r="AC495" s="579" t="s">
        <v>775</v>
      </c>
      <c r="AG495" s="75"/>
      <c r="AJ495" s="79"/>
      <c r="AK495" s="79">
        <v>0</v>
      </c>
      <c r="BB495" s="580" t="s">
        <v>1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21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22"/>
      <c r="P496" s="605" t="s">
        <v>73</v>
      </c>
      <c r="Q496" s="606"/>
      <c r="R496" s="606"/>
      <c r="S496" s="606"/>
      <c r="T496" s="606"/>
      <c r="U496" s="606"/>
      <c r="V496" s="607"/>
      <c r="W496" s="40" t="s">
        <v>74</v>
      </c>
      <c r="X496" s="41">
        <f>IFERROR(X489/H489,"0")+IFERROR(X490/H490,"0")+IFERROR(X491/H491,"0")+IFERROR(X492/H492,"0")+IFERROR(X493/H493,"0")+IFERROR(X494/H494,"0")+IFERROR(X495/H495,"0")</f>
        <v>0.94696969696969691</v>
      </c>
      <c r="Y496" s="41">
        <f>IFERROR(Y489/H489,"0")+IFERROR(Y490/H490,"0")+IFERROR(Y491/H491,"0")+IFERROR(Y492/H492,"0")+IFERROR(Y493/H493,"0")+IFERROR(Y494/H494,"0")+IFERROR(Y495/H495,"0")</f>
        <v>1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1.196E-2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22"/>
      <c r="P497" s="605" t="s">
        <v>73</v>
      </c>
      <c r="Q497" s="606"/>
      <c r="R497" s="606"/>
      <c r="S497" s="606"/>
      <c r="T497" s="606"/>
      <c r="U497" s="606"/>
      <c r="V497" s="607"/>
      <c r="W497" s="40" t="s">
        <v>68</v>
      </c>
      <c r="X497" s="41">
        <f>IFERROR(SUM(X489:X495),"0")</f>
        <v>5</v>
      </c>
      <c r="Y497" s="41">
        <f>IFERROR(SUM(Y489:Y495),"0")</f>
        <v>5.28</v>
      </c>
      <c r="Z497" s="40"/>
      <c r="AA497" s="64"/>
      <c r="AB497" s="64"/>
      <c r="AC497" s="64"/>
    </row>
    <row r="498" spans="1:68" ht="27.75" customHeight="1" x14ac:dyDescent="0.2">
      <c r="A498" s="610" t="s">
        <v>783</v>
      </c>
      <c r="B498" s="611"/>
      <c r="C498" s="611"/>
      <c r="D498" s="611"/>
      <c r="E498" s="611"/>
      <c r="F498" s="611"/>
      <c r="G498" s="611"/>
      <c r="H498" s="611"/>
      <c r="I498" s="611"/>
      <c r="J498" s="611"/>
      <c r="K498" s="611"/>
      <c r="L498" s="611"/>
      <c r="M498" s="611"/>
      <c r="N498" s="611"/>
      <c r="O498" s="611"/>
      <c r="P498" s="611"/>
      <c r="Q498" s="611"/>
      <c r="R498" s="611"/>
      <c r="S498" s="611"/>
      <c r="T498" s="611"/>
      <c r="U498" s="611"/>
      <c r="V498" s="611"/>
      <c r="W498" s="611"/>
      <c r="X498" s="611"/>
      <c r="Y498" s="611"/>
      <c r="Z498" s="611"/>
      <c r="AA498" s="52"/>
      <c r="AB498" s="52"/>
      <c r="AC498" s="52"/>
    </row>
    <row r="499" spans="1:68" ht="16.5" customHeight="1" x14ac:dyDescent="0.25">
      <c r="A499" s="614" t="s">
        <v>783</v>
      </c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09"/>
      <c r="P499" s="609"/>
      <c r="Q499" s="609"/>
      <c r="R499" s="609"/>
      <c r="S499" s="609"/>
      <c r="T499" s="609"/>
      <c r="U499" s="609"/>
      <c r="V499" s="609"/>
      <c r="W499" s="609"/>
      <c r="X499" s="609"/>
      <c r="Y499" s="609"/>
      <c r="Z499" s="609"/>
      <c r="AA499" s="62"/>
      <c r="AB499" s="62"/>
      <c r="AC499" s="62"/>
    </row>
    <row r="500" spans="1:68" ht="14.25" customHeight="1" x14ac:dyDescent="0.25">
      <c r="A500" s="608" t="s">
        <v>118</v>
      </c>
      <c r="B500" s="609"/>
      <c r="C500" s="609"/>
      <c r="D500" s="609"/>
      <c r="E500" s="609"/>
      <c r="F500" s="609"/>
      <c r="G500" s="609"/>
      <c r="H500" s="609"/>
      <c r="I500" s="609"/>
      <c r="J500" s="609"/>
      <c r="K500" s="609"/>
      <c r="L500" s="609"/>
      <c r="M500" s="609"/>
      <c r="N500" s="609"/>
      <c r="O500" s="609"/>
      <c r="P500" s="609"/>
      <c r="Q500" s="609"/>
      <c r="R500" s="609"/>
      <c r="S500" s="609"/>
      <c r="T500" s="609"/>
      <c r="U500" s="609"/>
      <c r="V500" s="609"/>
      <c r="W500" s="609"/>
      <c r="X500" s="609"/>
      <c r="Y500" s="609"/>
      <c r="Z500" s="609"/>
      <c r="AA500" s="63"/>
      <c r="AB500" s="63"/>
      <c r="AC500" s="63"/>
    </row>
    <row r="501" spans="1:68" ht="27" customHeight="1" x14ac:dyDescent="0.25">
      <c r="A501" s="60" t="s">
        <v>784</v>
      </c>
      <c r="B501" s="60" t="s">
        <v>785</v>
      </c>
      <c r="C501" s="34">
        <v>4301011584</v>
      </c>
      <c r="D501" s="597">
        <v>4640242180564</v>
      </c>
      <c r="E501" s="59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121</v>
      </c>
      <c r="L501" s="35"/>
      <c r="M501" s="36" t="s">
        <v>122</v>
      </c>
      <c r="N501" s="36"/>
      <c r="O501" s="35">
        <v>50</v>
      </c>
      <c r="P501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0"/>
      <c r="R501" s="600"/>
      <c r="S501" s="600"/>
      <c r="T501" s="601"/>
      <c r="U501" s="37"/>
      <c r="V501" s="37"/>
      <c r="W501" s="38" t="s">
        <v>68</v>
      </c>
      <c r="X501" s="56">
        <v>60</v>
      </c>
      <c r="Y501" s="53">
        <f>IFERROR(IF(X501="",0,CEILING((X501/$H501),1)*$H501),"")</f>
        <v>60</v>
      </c>
      <c r="Z501" s="39">
        <f>IFERROR(IF(Y501=0,"",ROUNDUP(Y501/H501,0)*0.01898),"")</f>
        <v>9.4899999999999998E-2</v>
      </c>
      <c r="AA501" s="65"/>
      <c r="AB501" s="66"/>
      <c r="AC501" s="581" t="s">
        <v>786</v>
      </c>
      <c r="AG501" s="75"/>
      <c r="AJ501" s="79"/>
      <c r="AK501" s="79">
        <v>0</v>
      </c>
      <c r="BB501" s="582" t="s">
        <v>1</v>
      </c>
      <c r="BM501" s="75">
        <f>IFERROR(X501*I501/H501,"0")</f>
        <v>62.050000000000004</v>
      </c>
      <c r="BN501" s="75">
        <f>IFERROR(Y501*I501/H501,"0")</f>
        <v>62.050000000000004</v>
      </c>
      <c r="BO501" s="75">
        <f>IFERROR(1/J501*(X501/H501),"0")</f>
        <v>7.8125E-2</v>
      </c>
      <c r="BP501" s="75">
        <f>IFERROR(1/J501*(Y501/H501),"0")</f>
        <v>7.8125E-2</v>
      </c>
    </row>
    <row r="502" spans="1:68" x14ac:dyDescent="0.2">
      <c r="A502" s="621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22"/>
      <c r="P502" s="605" t="s">
        <v>73</v>
      </c>
      <c r="Q502" s="606"/>
      <c r="R502" s="606"/>
      <c r="S502" s="606"/>
      <c r="T502" s="606"/>
      <c r="U502" s="606"/>
      <c r="V502" s="607"/>
      <c r="W502" s="40" t="s">
        <v>74</v>
      </c>
      <c r="X502" s="41">
        <f>IFERROR(X501/H501,"0")</f>
        <v>5</v>
      </c>
      <c r="Y502" s="41">
        <f>IFERROR(Y501/H501,"0")</f>
        <v>5</v>
      </c>
      <c r="Z502" s="41">
        <f>IFERROR(IF(Z501="",0,Z501),"0")</f>
        <v>9.4899999999999998E-2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22"/>
      <c r="P503" s="605" t="s">
        <v>73</v>
      </c>
      <c r="Q503" s="606"/>
      <c r="R503" s="606"/>
      <c r="S503" s="606"/>
      <c r="T503" s="606"/>
      <c r="U503" s="606"/>
      <c r="V503" s="607"/>
      <c r="W503" s="40" t="s">
        <v>68</v>
      </c>
      <c r="X503" s="41">
        <f>IFERROR(SUM(X501:X501),"0")</f>
        <v>60</v>
      </c>
      <c r="Y503" s="41">
        <f>IFERROR(SUM(Y501:Y501),"0")</f>
        <v>60</v>
      </c>
      <c r="Z503" s="40"/>
      <c r="AA503" s="64"/>
      <c r="AB503" s="64"/>
      <c r="AC503" s="64"/>
    </row>
    <row r="504" spans="1:68" ht="14.25" customHeight="1" x14ac:dyDescent="0.25">
      <c r="A504" s="608" t="s">
        <v>153</v>
      </c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09"/>
      <c r="P504" s="609"/>
      <c r="Q504" s="609"/>
      <c r="R504" s="609"/>
      <c r="S504" s="609"/>
      <c r="T504" s="609"/>
      <c r="U504" s="609"/>
      <c r="V504" s="609"/>
      <c r="W504" s="609"/>
      <c r="X504" s="609"/>
      <c r="Y504" s="609"/>
      <c r="Z504" s="609"/>
      <c r="AA504" s="63"/>
      <c r="AB504" s="63"/>
      <c r="AC504" s="63"/>
    </row>
    <row r="505" spans="1:68" ht="27" customHeight="1" x14ac:dyDescent="0.25">
      <c r="A505" s="60" t="s">
        <v>787</v>
      </c>
      <c r="B505" s="60" t="s">
        <v>788</v>
      </c>
      <c r="C505" s="34">
        <v>4301020400</v>
      </c>
      <c r="D505" s="597">
        <v>4640242180519</v>
      </c>
      <c r="E505" s="59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121</v>
      </c>
      <c r="L505" s="35"/>
      <c r="M505" s="36" t="s">
        <v>122</v>
      </c>
      <c r="N505" s="36"/>
      <c r="O505" s="35">
        <v>50</v>
      </c>
      <c r="P505" s="9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0"/>
      <c r="R505" s="600"/>
      <c r="S505" s="600"/>
      <c r="T505" s="601"/>
      <c r="U505" s="37"/>
      <c r="V505" s="37"/>
      <c r="W505" s="38" t="s">
        <v>68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/>
      <c r="AB505" s="66"/>
      <c r="AC505" s="583" t="s">
        <v>789</v>
      </c>
      <c r="AG505" s="75"/>
      <c r="AJ505" s="79"/>
      <c r="AK505" s="79">
        <v>0</v>
      </c>
      <c r="BB505" s="584" t="s">
        <v>1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1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22"/>
      <c r="P506" s="605" t="s">
        <v>73</v>
      </c>
      <c r="Q506" s="606"/>
      <c r="R506" s="606"/>
      <c r="S506" s="606"/>
      <c r="T506" s="606"/>
      <c r="U506" s="606"/>
      <c r="V506" s="607"/>
      <c r="W506" s="40" t="s">
        <v>74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22"/>
      <c r="P507" s="605" t="s">
        <v>73</v>
      </c>
      <c r="Q507" s="606"/>
      <c r="R507" s="606"/>
      <c r="S507" s="606"/>
      <c r="T507" s="606"/>
      <c r="U507" s="606"/>
      <c r="V507" s="607"/>
      <c r="W507" s="40" t="s">
        <v>68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customHeight="1" x14ac:dyDescent="0.25">
      <c r="A508" s="608" t="s">
        <v>63</v>
      </c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  <c r="Z508" s="609"/>
      <c r="AA508" s="63"/>
      <c r="AB508" s="63"/>
      <c r="AC508" s="63"/>
    </row>
    <row r="509" spans="1:68" ht="27" customHeight="1" x14ac:dyDescent="0.25">
      <c r="A509" s="60" t="s">
        <v>790</v>
      </c>
      <c r="B509" s="60" t="s">
        <v>791</v>
      </c>
      <c r="C509" s="34">
        <v>4301031467</v>
      </c>
      <c r="D509" s="597">
        <v>4640242180595</v>
      </c>
      <c r="E509" s="59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130</v>
      </c>
      <c r="L509" s="35"/>
      <c r="M509" s="36" t="s">
        <v>67</v>
      </c>
      <c r="N509" s="36"/>
      <c r="O509" s="35">
        <v>40</v>
      </c>
      <c r="P509" s="90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0"/>
      <c r="R509" s="600"/>
      <c r="S509" s="600"/>
      <c r="T509" s="601"/>
      <c r="U509" s="37"/>
      <c r="V509" s="37"/>
      <c r="W509" s="38" t="s">
        <v>68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792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customHeight="1" x14ac:dyDescent="0.25">
      <c r="A510" s="60" t="s">
        <v>790</v>
      </c>
      <c r="B510" s="60" t="s">
        <v>793</v>
      </c>
      <c r="C510" s="34">
        <v>4301031500</v>
      </c>
      <c r="D510" s="597">
        <v>4640242180595</v>
      </c>
      <c r="E510" s="59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130</v>
      </c>
      <c r="L510" s="35"/>
      <c r="M510" s="36" t="s">
        <v>67</v>
      </c>
      <c r="N510" s="36"/>
      <c r="O510" s="35">
        <v>40</v>
      </c>
      <c r="P510" s="92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0"/>
      <c r="R510" s="600"/>
      <c r="S510" s="600"/>
      <c r="T510" s="601"/>
      <c r="U510" s="37"/>
      <c r="V510" s="37"/>
      <c r="W510" s="38" t="s">
        <v>68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/>
      <c r="AB510" s="66"/>
      <c r="AC510" s="587" t="s">
        <v>794</v>
      </c>
      <c r="AG510" s="75"/>
      <c r="AJ510" s="79"/>
      <c r="AK510" s="79">
        <v>0</v>
      </c>
      <c r="BB510" s="588" t="s">
        <v>1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21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22"/>
      <c r="P511" s="605" t="s">
        <v>73</v>
      </c>
      <c r="Q511" s="606"/>
      <c r="R511" s="606"/>
      <c r="S511" s="606"/>
      <c r="T511" s="606"/>
      <c r="U511" s="606"/>
      <c r="V511" s="607"/>
      <c r="W511" s="40" t="s">
        <v>74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22"/>
      <c r="P512" s="605" t="s">
        <v>73</v>
      </c>
      <c r="Q512" s="606"/>
      <c r="R512" s="606"/>
      <c r="S512" s="606"/>
      <c r="T512" s="606"/>
      <c r="U512" s="606"/>
      <c r="V512" s="607"/>
      <c r="W512" s="40" t="s">
        <v>68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customHeight="1" x14ac:dyDescent="0.25">
      <c r="A513" s="608" t="s">
        <v>75</v>
      </c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09"/>
      <c r="P513" s="609"/>
      <c r="Q513" s="609"/>
      <c r="R513" s="609"/>
      <c r="S513" s="609"/>
      <c r="T513" s="609"/>
      <c r="U513" s="609"/>
      <c r="V513" s="609"/>
      <c r="W513" s="609"/>
      <c r="X513" s="609"/>
      <c r="Y513" s="609"/>
      <c r="Z513" s="609"/>
      <c r="AA513" s="63"/>
      <c r="AB513" s="63"/>
      <c r="AC513" s="63"/>
    </row>
    <row r="514" spans="1:68" ht="27" customHeight="1" x14ac:dyDescent="0.25">
      <c r="A514" s="60" t="s">
        <v>795</v>
      </c>
      <c r="B514" s="60" t="s">
        <v>796</v>
      </c>
      <c r="C514" s="34">
        <v>4301052046</v>
      </c>
      <c r="D514" s="597">
        <v>4640242180533</v>
      </c>
      <c r="E514" s="59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121</v>
      </c>
      <c r="L514" s="35"/>
      <c r="M514" s="36" t="s">
        <v>85</v>
      </c>
      <c r="N514" s="36"/>
      <c r="O514" s="35">
        <v>45</v>
      </c>
      <c r="P514" s="79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0"/>
      <c r="R514" s="600"/>
      <c r="S514" s="600"/>
      <c r="T514" s="601"/>
      <c r="U514" s="37"/>
      <c r="V514" s="37"/>
      <c r="W514" s="38" t="s">
        <v>68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/>
      <c r="AB514" s="66"/>
      <c r="AC514" s="589" t="s">
        <v>797</v>
      </c>
      <c r="AG514" s="75"/>
      <c r="AJ514" s="79"/>
      <c r="AK514" s="79">
        <v>0</v>
      </c>
      <c r="BB514" s="590" t="s">
        <v>1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x14ac:dyDescent="0.2">
      <c r="A515" s="621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22"/>
      <c r="P515" s="605" t="s">
        <v>73</v>
      </c>
      <c r="Q515" s="606"/>
      <c r="R515" s="606"/>
      <c r="S515" s="606"/>
      <c r="T515" s="606"/>
      <c r="U515" s="606"/>
      <c r="V515" s="607"/>
      <c r="W515" s="40" t="s">
        <v>74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22"/>
      <c r="P516" s="605" t="s">
        <v>73</v>
      </c>
      <c r="Q516" s="606"/>
      <c r="R516" s="606"/>
      <c r="S516" s="606"/>
      <c r="T516" s="606"/>
      <c r="U516" s="606"/>
      <c r="V516" s="607"/>
      <c r="W516" s="40" t="s">
        <v>68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customHeight="1" x14ac:dyDescent="0.25">
      <c r="A517" s="608" t="s">
        <v>170</v>
      </c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09"/>
      <c r="P517" s="609"/>
      <c r="Q517" s="609"/>
      <c r="R517" s="609"/>
      <c r="S517" s="609"/>
      <c r="T517" s="609"/>
      <c r="U517" s="609"/>
      <c r="V517" s="609"/>
      <c r="W517" s="609"/>
      <c r="X517" s="609"/>
      <c r="Y517" s="609"/>
      <c r="Z517" s="609"/>
      <c r="AA517" s="63"/>
      <c r="AB517" s="63"/>
      <c r="AC517" s="63"/>
    </row>
    <row r="518" spans="1:68" ht="27" customHeight="1" x14ac:dyDescent="0.25">
      <c r="A518" s="60" t="s">
        <v>798</v>
      </c>
      <c r="B518" s="60" t="s">
        <v>799</v>
      </c>
      <c r="C518" s="34">
        <v>4301060535</v>
      </c>
      <c r="D518" s="597">
        <v>4640242180120</v>
      </c>
      <c r="E518" s="59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121</v>
      </c>
      <c r="L518" s="35"/>
      <c r="M518" s="36" t="s">
        <v>79</v>
      </c>
      <c r="N518" s="36"/>
      <c r="O518" s="35">
        <v>40</v>
      </c>
      <c r="P518" s="6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0"/>
      <c r="R518" s="600"/>
      <c r="S518" s="600"/>
      <c r="T518" s="601"/>
      <c r="U518" s="37"/>
      <c r="V518" s="37"/>
      <c r="W518" s="38" t="s">
        <v>68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800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customHeight="1" x14ac:dyDescent="0.25">
      <c r="A519" s="60" t="s">
        <v>801</v>
      </c>
      <c r="B519" s="60" t="s">
        <v>802</v>
      </c>
      <c r="C519" s="34">
        <v>4301060536</v>
      </c>
      <c r="D519" s="597">
        <v>4640242180137</v>
      </c>
      <c r="E519" s="59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121</v>
      </c>
      <c r="L519" s="35"/>
      <c r="M519" s="36" t="s">
        <v>79</v>
      </c>
      <c r="N519" s="36"/>
      <c r="O519" s="35">
        <v>40</v>
      </c>
      <c r="P519" s="7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0"/>
      <c r="R519" s="600"/>
      <c r="S519" s="600"/>
      <c r="T519" s="601"/>
      <c r="U519" s="37"/>
      <c r="V519" s="37"/>
      <c r="W519" s="38" t="s">
        <v>68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/>
      <c r="AB519" s="66"/>
      <c r="AC519" s="593" t="s">
        <v>803</v>
      </c>
      <c r="AG519" s="75"/>
      <c r="AJ519" s="79"/>
      <c r="AK519" s="79">
        <v>0</v>
      </c>
      <c r="BB519" s="594" t="s">
        <v>1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21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22"/>
      <c r="P520" s="605" t="s">
        <v>73</v>
      </c>
      <c r="Q520" s="606"/>
      <c r="R520" s="606"/>
      <c r="S520" s="606"/>
      <c r="T520" s="606"/>
      <c r="U520" s="606"/>
      <c r="V520" s="607"/>
      <c r="W520" s="40" t="s">
        <v>74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22"/>
      <c r="P521" s="605" t="s">
        <v>73</v>
      </c>
      <c r="Q521" s="606"/>
      <c r="R521" s="606"/>
      <c r="S521" s="606"/>
      <c r="T521" s="606"/>
      <c r="U521" s="606"/>
      <c r="V521" s="607"/>
      <c r="W521" s="40" t="s">
        <v>68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customHeight="1" x14ac:dyDescent="0.25">
      <c r="A522" s="614" t="s">
        <v>804</v>
      </c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09"/>
      <c r="P522" s="609"/>
      <c r="Q522" s="609"/>
      <c r="R522" s="609"/>
      <c r="S522" s="609"/>
      <c r="T522" s="609"/>
      <c r="U522" s="609"/>
      <c r="V522" s="609"/>
      <c r="W522" s="609"/>
      <c r="X522" s="609"/>
      <c r="Y522" s="609"/>
      <c r="Z522" s="609"/>
      <c r="AA522" s="62"/>
      <c r="AB522" s="62"/>
      <c r="AC522" s="62"/>
    </row>
    <row r="523" spans="1:68" ht="14.25" customHeight="1" x14ac:dyDescent="0.25">
      <c r="A523" s="608" t="s">
        <v>153</v>
      </c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09"/>
      <c r="P523" s="609"/>
      <c r="Q523" s="609"/>
      <c r="R523" s="609"/>
      <c r="S523" s="609"/>
      <c r="T523" s="609"/>
      <c r="U523" s="609"/>
      <c r="V523" s="609"/>
      <c r="W523" s="609"/>
      <c r="X523" s="609"/>
      <c r="Y523" s="609"/>
      <c r="Z523" s="609"/>
      <c r="AA523" s="63"/>
      <c r="AB523" s="63"/>
      <c r="AC523" s="63"/>
    </row>
    <row r="524" spans="1:68" ht="27" customHeight="1" x14ac:dyDescent="0.25">
      <c r="A524" s="60" t="s">
        <v>805</v>
      </c>
      <c r="B524" s="60" t="s">
        <v>806</v>
      </c>
      <c r="C524" s="34">
        <v>4301020428</v>
      </c>
      <c r="D524" s="597">
        <v>4640242180090</v>
      </c>
      <c r="E524" s="59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121</v>
      </c>
      <c r="L524" s="35"/>
      <c r="M524" s="36" t="s">
        <v>122</v>
      </c>
      <c r="N524" s="36"/>
      <c r="O524" s="35">
        <v>50</v>
      </c>
      <c r="P524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0"/>
      <c r="R524" s="600"/>
      <c r="S524" s="600"/>
      <c r="T524" s="601"/>
      <c r="U524" s="37"/>
      <c r="V524" s="37"/>
      <c r="W524" s="38" t="s">
        <v>68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/>
      <c r="AB524" s="66"/>
      <c r="AC524" s="595" t="s">
        <v>807</v>
      </c>
      <c r="AG524" s="75"/>
      <c r="AJ524" s="79"/>
      <c r="AK524" s="79">
        <v>0</v>
      </c>
      <c r="BB524" s="596" t="s">
        <v>1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21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22"/>
      <c r="P525" s="605" t="s">
        <v>73</v>
      </c>
      <c r="Q525" s="606"/>
      <c r="R525" s="606"/>
      <c r="S525" s="606"/>
      <c r="T525" s="606"/>
      <c r="U525" s="606"/>
      <c r="V525" s="607"/>
      <c r="W525" s="40" t="s">
        <v>74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22"/>
      <c r="P526" s="605" t="s">
        <v>73</v>
      </c>
      <c r="Q526" s="606"/>
      <c r="R526" s="606"/>
      <c r="S526" s="606"/>
      <c r="T526" s="606"/>
      <c r="U526" s="606"/>
      <c r="V526" s="607"/>
      <c r="W526" s="40" t="s">
        <v>68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85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776"/>
      <c r="P527" s="654" t="s">
        <v>808</v>
      </c>
      <c r="Q527" s="655"/>
      <c r="R527" s="655"/>
      <c r="S527" s="655"/>
      <c r="T527" s="655"/>
      <c r="U527" s="655"/>
      <c r="V527" s="656"/>
      <c r="W527" s="40" t="s">
        <v>68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1209.55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1275.8099999999997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776"/>
      <c r="P528" s="654" t="s">
        <v>809</v>
      </c>
      <c r="Q528" s="655"/>
      <c r="R528" s="655"/>
      <c r="S528" s="655"/>
      <c r="T528" s="655"/>
      <c r="U528" s="655"/>
      <c r="V528" s="656"/>
      <c r="W528" s="40" t="s">
        <v>68</v>
      </c>
      <c r="X528" s="41">
        <f>IFERROR(SUM(BM22:BM524),"0")</f>
        <v>1261.38024317041</v>
      </c>
      <c r="Y528" s="41">
        <f>IFERROR(SUM(BN22:BN524),"0")</f>
        <v>1330.9260000000002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76"/>
      <c r="P529" s="654" t="s">
        <v>810</v>
      </c>
      <c r="Q529" s="655"/>
      <c r="R529" s="655"/>
      <c r="S529" s="655"/>
      <c r="T529" s="655"/>
      <c r="U529" s="655"/>
      <c r="V529" s="656"/>
      <c r="W529" s="40" t="s">
        <v>811</v>
      </c>
      <c r="X529" s="42">
        <f>ROUNDUP(SUM(BO22:BO524),0)</f>
        <v>2</v>
      </c>
      <c r="Y529" s="42">
        <f>ROUNDUP(SUM(BP22:BP524),0)</f>
        <v>3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76"/>
      <c r="P530" s="654" t="s">
        <v>812</v>
      </c>
      <c r="Q530" s="655"/>
      <c r="R530" s="655"/>
      <c r="S530" s="655"/>
      <c r="T530" s="655"/>
      <c r="U530" s="655"/>
      <c r="V530" s="656"/>
      <c r="W530" s="40" t="s">
        <v>68</v>
      </c>
      <c r="X530" s="41">
        <f>GrossWeightTotal+PalletQtyTotal*25</f>
        <v>1311.38024317041</v>
      </c>
      <c r="Y530" s="41">
        <f>GrossWeightTotalR+PalletQtyTotalR*25</f>
        <v>1405.9260000000002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76"/>
      <c r="P531" s="654" t="s">
        <v>813</v>
      </c>
      <c r="Q531" s="655"/>
      <c r="R531" s="655"/>
      <c r="S531" s="655"/>
      <c r="T531" s="655"/>
      <c r="U531" s="655"/>
      <c r="V531" s="656"/>
      <c r="W531" s="40" t="s">
        <v>811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135.41741900075232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143</v>
      </c>
      <c r="Z531" s="40"/>
      <c r="AA531" s="64"/>
      <c r="AB531" s="64"/>
      <c r="AC531" s="64"/>
    </row>
    <row r="532" spans="1:32" ht="14.25" customHeight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76"/>
      <c r="P532" s="654" t="s">
        <v>814</v>
      </c>
      <c r="Q532" s="655"/>
      <c r="R532" s="655"/>
      <c r="S532" s="655"/>
      <c r="T532" s="655"/>
      <c r="U532" s="655"/>
      <c r="V532" s="656"/>
      <c r="W532" s="43" t="s">
        <v>815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2.3289600000000004</v>
      </c>
      <c r="AA532" s="64"/>
      <c r="AB532" s="64"/>
      <c r="AC532" s="64"/>
    </row>
    <row r="533" spans="1:32" ht="13.5" customHeight="1" thickBot="1" x14ac:dyDescent="0.25"/>
    <row r="534" spans="1:32" ht="27" customHeight="1" thickTop="1" thickBot="1" x14ac:dyDescent="0.25">
      <c r="A534" s="44" t="s">
        <v>816</v>
      </c>
      <c r="B534" s="80" t="s">
        <v>62</v>
      </c>
      <c r="C534" s="80" t="s">
        <v>102</v>
      </c>
      <c r="D534" s="648" t="s">
        <v>116</v>
      </c>
      <c r="E534" s="651"/>
      <c r="F534" s="651"/>
      <c r="G534" s="651"/>
      <c r="H534" s="651"/>
      <c r="I534" s="651"/>
      <c r="J534" s="652"/>
      <c r="K534" s="648" t="s">
        <v>323</v>
      </c>
      <c r="L534" s="651"/>
      <c r="M534" s="651"/>
      <c r="N534" s="651"/>
      <c r="O534" s="651"/>
      <c r="P534" s="651"/>
      <c r="Q534" s="651"/>
      <c r="R534" s="651"/>
      <c r="S534" s="651"/>
      <c r="T534" s="651"/>
      <c r="U534" s="652"/>
      <c r="V534" s="648" t="s">
        <v>640</v>
      </c>
      <c r="W534" s="652"/>
      <c r="X534" s="648" t="s">
        <v>700</v>
      </c>
      <c r="Y534" s="652"/>
      <c r="Z534" s="80" t="s">
        <v>736</v>
      </c>
      <c r="AA534" s="648" t="s">
        <v>783</v>
      </c>
      <c r="AB534" s="652"/>
      <c r="AC534" s="9"/>
      <c r="AF534" s="1"/>
    </row>
    <row r="535" spans="1:32" ht="14.25" customHeight="1" thickTop="1" x14ac:dyDescent="0.2">
      <c r="A535" s="690" t="s">
        <v>817</v>
      </c>
      <c r="B535" s="648" t="s">
        <v>62</v>
      </c>
      <c r="C535" s="648" t="s">
        <v>103</v>
      </c>
      <c r="D535" s="648" t="s">
        <v>117</v>
      </c>
      <c r="E535" s="648" t="s">
        <v>133</v>
      </c>
      <c r="F535" s="648" t="s">
        <v>177</v>
      </c>
      <c r="G535" s="648" t="s">
        <v>198</v>
      </c>
      <c r="H535" s="648" t="s">
        <v>241</v>
      </c>
      <c r="I535" s="648" t="s">
        <v>253</v>
      </c>
      <c r="J535" s="648" t="s">
        <v>116</v>
      </c>
      <c r="K535" s="648" t="s">
        <v>324</v>
      </c>
      <c r="L535" s="648" t="s">
        <v>336</v>
      </c>
      <c r="M535" s="648" t="s">
        <v>395</v>
      </c>
      <c r="N535" s="1"/>
      <c r="O535" s="648" t="s">
        <v>463</v>
      </c>
      <c r="P535" s="648" t="s">
        <v>499</v>
      </c>
      <c r="Q535" s="648" t="s">
        <v>515</v>
      </c>
      <c r="R535" s="648" t="s">
        <v>524</v>
      </c>
      <c r="S535" s="648" t="s">
        <v>545</v>
      </c>
      <c r="T535" s="648" t="s">
        <v>555</v>
      </c>
      <c r="U535" s="648" t="s">
        <v>630</v>
      </c>
      <c r="V535" s="648" t="s">
        <v>641</v>
      </c>
      <c r="W535" s="648" t="s">
        <v>684</v>
      </c>
      <c r="X535" s="648" t="s">
        <v>701</v>
      </c>
      <c r="Y535" s="648" t="s">
        <v>724</v>
      </c>
      <c r="Z535" s="648" t="s">
        <v>736</v>
      </c>
      <c r="AA535" s="648" t="s">
        <v>783</v>
      </c>
      <c r="AB535" s="648" t="s">
        <v>804</v>
      </c>
      <c r="AC535" s="9"/>
      <c r="AF535" s="1"/>
    </row>
    <row r="536" spans="1:32" ht="13.5" customHeight="1" thickBot="1" x14ac:dyDescent="0.25">
      <c r="A536" s="691"/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1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49"/>
      <c r="AB536" s="649"/>
      <c r="AC536" s="9"/>
      <c r="AF536" s="1"/>
    </row>
    <row r="537" spans="1:32" ht="18" customHeight="1" thickTop="1" thickBot="1" x14ac:dyDescent="0.25">
      <c r="A537" s="44" t="s">
        <v>818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32.400000000000006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104.4</v>
      </c>
      <c r="F537" s="50">
        <f>IFERROR(Y87*1,"0")+IFERROR(Y88*1,"0")+IFERROR(Y89*1,"0")+IFERROR(Y90*1,"0")+IFERROR(Y94*1,"0")+IFERROR(Y95*1,"0")+IFERROR(Y96*1,"0")+IFERROR(Y97*1,"0")</f>
        <v>51.3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16.2</v>
      </c>
      <c r="H537" s="50">
        <f>IFERROR(Y133*1,"0")+IFERROR(Y134*1,"0")+IFERROR(Y138*1,"0")+IFERROR(Y139*1,"0")+IFERROR(Y143*1,"0")+IFERROR(Y144*1,"0")</f>
        <v>6.4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32.400000000000006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372.05</v>
      </c>
      <c r="U537" s="50">
        <f>IFERROR(Y392*1,"0")+IFERROR(Y393*1,"0")+IFERROR(Y394*1,"0")</f>
        <v>38.700000000000003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525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36.96</v>
      </c>
      <c r="AA537" s="50">
        <f>IFERROR(Y501*1,"0")+IFERROR(Y505*1,"0")+IFERROR(Y509*1,"0")+IFERROR(Y510*1,"0")+IFERROR(Y514*1,"0")+IFERROR(Y518*1,"0")+IFERROR(Y519*1,"0")</f>
        <v>60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3">
    <mergeCell ref="X17:X18"/>
    <mergeCell ref="D44:E44"/>
    <mergeCell ref="D286:E286"/>
    <mergeCell ref="M535:M536"/>
    <mergeCell ref="P385:T385"/>
    <mergeCell ref="O535:O536"/>
    <mergeCell ref="P124:T124"/>
    <mergeCell ref="D355:E355"/>
    <mergeCell ref="A502:O503"/>
    <mergeCell ref="D293:E293"/>
    <mergeCell ref="P163:V163"/>
    <mergeCell ref="P360:T360"/>
    <mergeCell ref="D268:E268"/>
    <mergeCell ref="P151:T151"/>
    <mergeCell ref="P449:T449"/>
    <mergeCell ref="P496:V496"/>
    <mergeCell ref="A426:Z426"/>
    <mergeCell ref="A364:Z364"/>
    <mergeCell ref="P218:T218"/>
    <mergeCell ref="P140:V140"/>
    <mergeCell ref="A335:O336"/>
    <mergeCell ref="P505:T505"/>
    <mergeCell ref="A499:Z499"/>
    <mergeCell ref="A194:Z194"/>
    <mergeCell ref="P527:V527"/>
    <mergeCell ref="D173:E173"/>
    <mergeCell ref="D471:E471"/>
    <mergeCell ref="P510:T510"/>
    <mergeCell ref="A504:Z504"/>
    <mergeCell ref="D54:E54"/>
    <mergeCell ref="P160:V160"/>
    <mergeCell ref="D483:E483"/>
    <mergeCell ref="D271:E271"/>
    <mergeCell ref="V12:W12"/>
    <mergeCell ref="P319:T319"/>
    <mergeCell ref="A200:O201"/>
    <mergeCell ref="D262:E262"/>
    <mergeCell ref="P368:T368"/>
    <mergeCell ref="A245:Z245"/>
    <mergeCell ref="A39:Z39"/>
    <mergeCell ref="A337:Z337"/>
    <mergeCell ref="P60:T60"/>
    <mergeCell ref="A279:O280"/>
    <mergeCell ref="D266:E266"/>
    <mergeCell ref="P74:V74"/>
    <mergeCell ref="P174:T174"/>
    <mergeCell ref="A73:O74"/>
    <mergeCell ref="Y17:Y18"/>
    <mergeCell ref="U17:V17"/>
    <mergeCell ref="P149:T149"/>
    <mergeCell ref="P447:T447"/>
    <mergeCell ref="Q6:R6"/>
    <mergeCell ref="P134:T134"/>
    <mergeCell ref="P436:T436"/>
    <mergeCell ref="A425:Z425"/>
    <mergeCell ref="A118:O119"/>
    <mergeCell ref="D102:E102"/>
    <mergeCell ref="P450:V450"/>
    <mergeCell ref="D196:E196"/>
    <mergeCell ref="A55:O56"/>
    <mergeCell ref="P419:V419"/>
    <mergeCell ref="P145:V145"/>
    <mergeCell ref="D133:E133"/>
    <mergeCell ref="A35:Z35"/>
    <mergeCell ref="D32:E32"/>
    <mergeCell ref="D97:E97"/>
    <mergeCell ref="A10:C10"/>
    <mergeCell ref="A21:Z21"/>
    <mergeCell ref="A57:Z57"/>
    <mergeCell ref="D121:E121"/>
    <mergeCell ref="D42:E42"/>
    <mergeCell ref="D17:E18"/>
    <mergeCell ref="P71:T71"/>
    <mergeCell ref="A131:Z131"/>
    <mergeCell ref="P313:T313"/>
    <mergeCell ref="A525:O526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D278:E278"/>
    <mergeCell ref="D107:E107"/>
    <mergeCell ref="P484:T484"/>
    <mergeCell ref="D405:E405"/>
    <mergeCell ref="P288:T288"/>
    <mergeCell ref="A408:O409"/>
    <mergeCell ref="P65:T65"/>
    <mergeCell ref="A24:O25"/>
    <mergeCell ref="P70:T70"/>
    <mergeCell ref="P305:V305"/>
    <mergeCell ref="P263:T263"/>
    <mergeCell ref="A429:O430"/>
    <mergeCell ref="P509:T509"/>
    <mergeCell ref="P119:V119"/>
    <mergeCell ref="D175:E175"/>
    <mergeCell ref="P186:T186"/>
    <mergeCell ref="V535:V536"/>
    <mergeCell ref="X535:X536"/>
    <mergeCell ref="D392:E392"/>
    <mergeCell ref="P253:T253"/>
    <mergeCell ref="P535:P536"/>
    <mergeCell ref="D221:E221"/>
    <mergeCell ref="P367:T367"/>
    <mergeCell ref="D475:E475"/>
    <mergeCell ref="A205:O206"/>
    <mergeCell ref="D152:E152"/>
    <mergeCell ref="D394:E394"/>
    <mergeCell ref="G535:G536"/>
    <mergeCell ref="P121:T121"/>
    <mergeCell ref="P181:T181"/>
    <mergeCell ref="P357:T357"/>
    <mergeCell ref="D265:E265"/>
    <mergeCell ref="D216:E216"/>
    <mergeCell ref="D252:E252"/>
    <mergeCell ref="P123:T123"/>
    <mergeCell ref="P529:V529"/>
    <mergeCell ref="AD17:AF18"/>
    <mergeCell ref="P166:T166"/>
    <mergeCell ref="A399:Z399"/>
    <mergeCell ref="A132:Z132"/>
    <mergeCell ref="D76:E76"/>
    <mergeCell ref="F5:G5"/>
    <mergeCell ref="P55:V55"/>
    <mergeCell ref="A488:Z488"/>
    <mergeCell ref="A352:O353"/>
    <mergeCell ref="P467:V467"/>
    <mergeCell ref="P82:T82"/>
    <mergeCell ref="V11:W11"/>
    <mergeCell ref="D29:E29"/>
    <mergeCell ref="D23:E23"/>
    <mergeCell ref="A20:Z20"/>
    <mergeCell ref="P66:V66"/>
    <mergeCell ref="D218:E218"/>
    <mergeCell ref="D247:E247"/>
    <mergeCell ref="A127:Z127"/>
    <mergeCell ref="A8:C8"/>
    <mergeCell ref="P262:T262"/>
    <mergeCell ref="D105:E105"/>
    <mergeCell ref="P353:V353"/>
    <mergeCell ref="A178:Z178"/>
    <mergeCell ref="P2:W3"/>
    <mergeCell ref="P133:T133"/>
    <mergeCell ref="A323:Z323"/>
    <mergeCell ref="D437:E437"/>
    <mergeCell ref="D241:E241"/>
    <mergeCell ref="P198:T198"/>
    <mergeCell ref="P347:T347"/>
    <mergeCell ref="P54:T54"/>
    <mergeCell ref="P418:T418"/>
    <mergeCell ref="P412:T412"/>
    <mergeCell ref="A342:O343"/>
    <mergeCell ref="D404:E404"/>
    <mergeCell ref="D333:E333"/>
    <mergeCell ref="D10:E10"/>
    <mergeCell ref="P64:T64"/>
    <mergeCell ref="F10:G10"/>
    <mergeCell ref="P349:T349"/>
    <mergeCell ref="D270:E270"/>
    <mergeCell ref="P78:V78"/>
    <mergeCell ref="P376:V376"/>
    <mergeCell ref="P205:V205"/>
    <mergeCell ref="P128:T128"/>
    <mergeCell ref="P363:V363"/>
    <mergeCell ref="D310:E310"/>
    <mergeCell ref="U535:U536"/>
    <mergeCell ref="D231:E231"/>
    <mergeCell ref="D358:E358"/>
    <mergeCell ref="A156:Z156"/>
    <mergeCell ref="A155:Z155"/>
    <mergeCell ref="D535:D536"/>
    <mergeCell ref="A93:Z93"/>
    <mergeCell ref="D318:E318"/>
    <mergeCell ref="F535:F536"/>
    <mergeCell ref="A391:Z391"/>
    <mergeCell ref="P139:T139"/>
    <mergeCell ref="A125:O126"/>
    <mergeCell ref="P247:T247"/>
    <mergeCell ref="P114:T114"/>
    <mergeCell ref="P241:T241"/>
    <mergeCell ref="P483:T483"/>
    <mergeCell ref="D320:E320"/>
    <mergeCell ref="D149:E149"/>
    <mergeCell ref="D447:E447"/>
    <mergeCell ref="D385:E385"/>
    <mergeCell ref="P301:T301"/>
    <mergeCell ref="P105:T105"/>
    <mergeCell ref="D257:E257"/>
    <mergeCell ref="P270:T270"/>
    <mergeCell ref="AB535:AB536"/>
    <mergeCell ref="A515:O516"/>
    <mergeCell ref="P106:T106"/>
    <mergeCell ref="P475:T475"/>
    <mergeCell ref="P226:T226"/>
    <mergeCell ref="A294:O295"/>
    <mergeCell ref="D256:E256"/>
    <mergeCell ref="A321:O322"/>
    <mergeCell ref="P269:T269"/>
    <mergeCell ref="D534:J534"/>
    <mergeCell ref="P333:T333"/>
    <mergeCell ref="A450:O451"/>
    <mergeCell ref="P382:V382"/>
    <mergeCell ref="A207:Z207"/>
    <mergeCell ref="A296:Z296"/>
    <mergeCell ref="D459:E459"/>
    <mergeCell ref="D288:E288"/>
    <mergeCell ref="P190:T190"/>
    <mergeCell ref="A176:O177"/>
    <mergeCell ref="D225:E225"/>
    <mergeCell ref="P359:T359"/>
    <mergeCell ref="D436:E436"/>
    <mergeCell ref="P490:T490"/>
    <mergeCell ref="A305:O306"/>
    <mergeCell ref="H5:M5"/>
    <mergeCell ref="D212:E212"/>
    <mergeCell ref="P225:T225"/>
    <mergeCell ref="D510:E510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D368:E368"/>
    <mergeCell ref="G17:G18"/>
    <mergeCell ref="P59:T59"/>
    <mergeCell ref="P61:T61"/>
    <mergeCell ref="P346:T346"/>
    <mergeCell ref="A243:O244"/>
    <mergeCell ref="A9:C9"/>
    <mergeCell ref="D373:E373"/>
    <mergeCell ref="P112:T112"/>
    <mergeCell ref="P348:T348"/>
    <mergeCell ref="V534:W534"/>
    <mergeCell ref="A455:O456"/>
    <mergeCell ref="X534:Y534"/>
    <mergeCell ref="P257:T257"/>
    <mergeCell ref="P521:V521"/>
    <mergeCell ref="A517:Z517"/>
    <mergeCell ref="Z17:Z18"/>
    <mergeCell ref="AB17:AB18"/>
    <mergeCell ref="A41:Z41"/>
    <mergeCell ref="D446:E446"/>
    <mergeCell ref="P237:V237"/>
    <mergeCell ref="D367:E367"/>
    <mergeCell ref="A527:O532"/>
    <mergeCell ref="A33:O34"/>
    <mergeCell ref="P47:V47"/>
    <mergeCell ref="D22:E22"/>
    <mergeCell ref="P214:T214"/>
    <mergeCell ref="P463:T463"/>
    <mergeCell ref="P341:T341"/>
    <mergeCell ref="A457:Z457"/>
    <mergeCell ref="D213:E213"/>
    <mergeCell ref="A362:O363"/>
    <mergeCell ref="D449:E449"/>
    <mergeCell ref="A191:O192"/>
    <mergeCell ref="V6:W9"/>
    <mergeCell ref="P234:V234"/>
    <mergeCell ref="D186:E186"/>
    <mergeCell ref="D413:E413"/>
    <mergeCell ref="D217:E217"/>
    <mergeCell ref="D484:E484"/>
    <mergeCell ref="D65:E65"/>
    <mergeCell ref="P22:T22"/>
    <mergeCell ref="P320:T320"/>
    <mergeCell ref="D428:E428"/>
    <mergeCell ref="P92:V92"/>
    <mergeCell ref="Q13:R13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P465:T465"/>
    <mergeCell ref="D386:E386"/>
    <mergeCell ref="D215:E215"/>
    <mergeCell ref="A75:Z75"/>
    <mergeCell ref="AA17:AA18"/>
    <mergeCell ref="A377:Z377"/>
    <mergeCell ref="AC17:AC18"/>
    <mergeCell ref="P485:T485"/>
    <mergeCell ref="H10:M10"/>
    <mergeCell ref="P108:T108"/>
    <mergeCell ref="D418:E418"/>
    <mergeCell ref="P472:T472"/>
    <mergeCell ref="D393:E393"/>
    <mergeCell ref="A224:Z224"/>
    <mergeCell ref="D89:E89"/>
    <mergeCell ref="P254:T254"/>
    <mergeCell ref="P251:T251"/>
    <mergeCell ref="A435:Z435"/>
    <mergeCell ref="P45:T45"/>
    <mergeCell ref="A460:O461"/>
    <mergeCell ref="P430:V430"/>
    <mergeCell ref="P318:T318"/>
    <mergeCell ref="P256:T256"/>
    <mergeCell ref="D128:E128"/>
    <mergeCell ref="D199:E199"/>
    <mergeCell ref="A317:Z317"/>
    <mergeCell ref="M17:M18"/>
    <mergeCell ref="A469:Z469"/>
    <mergeCell ref="P531:V531"/>
    <mergeCell ref="H17:H18"/>
    <mergeCell ref="P90:T90"/>
    <mergeCell ref="D204:E204"/>
    <mergeCell ref="P217:T217"/>
    <mergeCell ref="P459:T459"/>
    <mergeCell ref="D465:E465"/>
    <mergeCell ref="D269:E269"/>
    <mergeCell ref="D198:E198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A520:O521"/>
    <mergeCell ref="D181:E181"/>
    <mergeCell ref="D273:E273"/>
    <mergeCell ref="P327:T327"/>
    <mergeCell ref="P56:V56"/>
    <mergeCell ref="P99:V99"/>
    <mergeCell ref="P212:T212"/>
    <mergeCell ref="P520:V520"/>
    <mergeCell ref="D138:E138"/>
    <mergeCell ref="A40:Z40"/>
    <mergeCell ref="P393:T393"/>
    <mergeCell ref="D374:E374"/>
    <mergeCell ref="A338:Z338"/>
    <mergeCell ref="P232:T232"/>
    <mergeCell ref="D438:E438"/>
    <mergeCell ref="D267:E267"/>
    <mergeCell ref="D509:E509"/>
    <mergeCell ref="D359:E359"/>
    <mergeCell ref="P96:T96"/>
    <mergeCell ref="P187:V187"/>
    <mergeCell ref="P429:V429"/>
    <mergeCell ref="P423:V423"/>
    <mergeCell ref="P223:V223"/>
    <mergeCell ref="A235:Z235"/>
    <mergeCell ref="P481:V481"/>
    <mergeCell ref="P417:T417"/>
    <mergeCell ref="P102:T102"/>
    <mergeCell ref="P456:V456"/>
    <mergeCell ref="P196:T196"/>
    <mergeCell ref="A508:Z508"/>
    <mergeCell ref="P414:V414"/>
    <mergeCell ref="J9:M9"/>
    <mergeCell ref="D283:E283"/>
    <mergeCell ref="D112:E112"/>
    <mergeCell ref="D519:E519"/>
    <mergeCell ref="P389:V389"/>
    <mergeCell ref="A388:O389"/>
    <mergeCell ref="D348:E348"/>
    <mergeCell ref="D62:E62"/>
    <mergeCell ref="D491:E491"/>
    <mergeCell ref="P448:T448"/>
    <mergeCell ref="D347:E347"/>
    <mergeCell ref="P304:T304"/>
    <mergeCell ref="A298:O299"/>
    <mergeCell ref="D285:E285"/>
    <mergeCell ref="D114:E114"/>
    <mergeCell ref="D412:E412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Z535:Z536"/>
    <mergeCell ref="D463:E463"/>
    <mergeCell ref="A261:Z261"/>
    <mergeCell ref="P507:V507"/>
    <mergeCell ref="A506:O507"/>
    <mergeCell ref="P227:V227"/>
    <mergeCell ref="D36:E36"/>
    <mergeCell ref="P525:V525"/>
    <mergeCell ref="P380:T380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498:Z498"/>
    <mergeCell ref="A354:Z354"/>
    <mergeCell ref="D490:E490"/>
    <mergeCell ref="D346:E346"/>
    <mergeCell ref="D477:E477"/>
    <mergeCell ref="A153:O154"/>
    <mergeCell ref="P77:T77"/>
    <mergeCell ref="AA535:AA536"/>
    <mergeCell ref="P383:V383"/>
    <mergeCell ref="A137:Z137"/>
    <mergeCell ref="E535:E536"/>
    <mergeCell ref="P84:V84"/>
    <mergeCell ref="D43:E43"/>
    <mergeCell ref="D485:E485"/>
    <mergeCell ref="P314:V314"/>
    <mergeCell ref="A443:Z443"/>
    <mergeCell ref="P387:T387"/>
    <mergeCell ref="P216:T216"/>
    <mergeCell ref="P514:T514"/>
    <mergeCell ref="D422:E422"/>
    <mergeCell ref="P489:T489"/>
    <mergeCell ref="P87:T87"/>
    <mergeCell ref="D372:E372"/>
    <mergeCell ref="A470:Z470"/>
    <mergeCell ref="A203:Z203"/>
    <mergeCell ref="A375:O376"/>
    <mergeCell ref="P126:V126"/>
    <mergeCell ref="P491:T491"/>
    <mergeCell ref="P211:T211"/>
    <mergeCell ref="P89:T89"/>
    <mergeCell ref="A439:O440"/>
    <mergeCell ref="P512:V512"/>
    <mergeCell ref="Q10:R10"/>
    <mergeCell ref="A442:Z442"/>
    <mergeCell ref="D95:E95"/>
    <mergeCell ref="D185:E185"/>
    <mergeCell ref="A486:O487"/>
    <mergeCell ref="P356:T356"/>
    <mergeCell ref="D277:E277"/>
    <mergeCell ref="P25:V25"/>
    <mergeCell ref="P309:T309"/>
    <mergeCell ref="D59:E59"/>
    <mergeCell ref="D172:E172"/>
    <mergeCell ref="P88:T88"/>
    <mergeCell ref="P51:T51"/>
    <mergeCell ref="P461:V461"/>
    <mergeCell ref="A13:M13"/>
    <mergeCell ref="A15:M15"/>
    <mergeCell ref="A193:Z193"/>
    <mergeCell ref="P204:T204"/>
    <mergeCell ref="P179:T179"/>
    <mergeCell ref="P446:T446"/>
    <mergeCell ref="A147:Z147"/>
    <mergeCell ref="P249:V249"/>
    <mergeCell ref="O17:O18"/>
    <mergeCell ref="P528:V528"/>
    <mergeCell ref="P138:T138"/>
    <mergeCell ref="T5:U5"/>
    <mergeCell ref="P76:T76"/>
    <mergeCell ref="D190:E190"/>
    <mergeCell ref="P374:T374"/>
    <mergeCell ref="D246:E246"/>
    <mergeCell ref="P294:V294"/>
    <mergeCell ref="A48:Z48"/>
    <mergeCell ref="V5:W5"/>
    <mergeCell ref="A466:O467"/>
    <mergeCell ref="P361:T361"/>
    <mergeCell ref="A142:Z142"/>
    <mergeCell ref="Q8:R8"/>
    <mergeCell ref="P69:T69"/>
    <mergeCell ref="P311:T311"/>
    <mergeCell ref="P438:T438"/>
    <mergeCell ref="D444:E444"/>
    <mergeCell ref="P267:T267"/>
    <mergeCell ref="D219:E219"/>
    <mergeCell ref="D104:E104"/>
    <mergeCell ref="P83:V83"/>
    <mergeCell ref="D340:E340"/>
    <mergeCell ref="T6:U9"/>
    <mergeCell ref="A12:M12"/>
    <mergeCell ref="A240:Z240"/>
    <mergeCell ref="A482:Z482"/>
    <mergeCell ref="A416:Z416"/>
    <mergeCell ref="P200:V200"/>
    <mergeCell ref="P243:V243"/>
    <mergeCell ref="A68:Z68"/>
    <mergeCell ref="P372:T372"/>
    <mergeCell ref="A19:Z19"/>
    <mergeCell ref="P310:T310"/>
    <mergeCell ref="A14:M14"/>
    <mergeCell ref="A111:Z111"/>
    <mergeCell ref="D226:E226"/>
    <mergeCell ref="P352:V352"/>
    <mergeCell ref="P365:T365"/>
    <mergeCell ref="P62:T62"/>
    <mergeCell ref="A83:O84"/>
    <mergeCell ref="D171:E171"/>
    <mergeCell ref="P355:T355"/>
    <mergeCell ref="P293:T293"/>
    <mergeCell ref="D407:E407"/>
    <mergeCell ref="P373:T373"/>
    <mergeCell ref="D123:E123"/>
    <mergeCell ref="P444:T444"/>
    <mergeCell ref="P43:T43"/>
    <mergeCell ref="D328:E328"/>
    <mergeCell ref="P285:T285"/>
    <mergeCell ref="D157:E157"/>
    <mergeCell ref="P136:V136"/>
    <mergeCell ref="A135:O136"/>
    <mergeCell ref="P434:V434"/>
    <mergeCell ref="A433:O434"/>
    <mergeCell ref="P501:T501"/>
    <mergeCell ref="D251:E251"/>
    <mergeCell ref="A324:Z324"/>
    <mergeCell ref="P228:V228"/>
    <mergeCell ref="A163:O164"/>
    <mergeCell ref="Y535:Y536"/>
    <mergeCell ref="P110:V110"/>
    <mergeCell ref="D27:E27"/>
    <mergeCell ref="P408:V408"/>
    <mergeCell ref="D325:E325"/>
    <mergeCell ref="P208:T208"/>
    <mergeCell ref="A398:Z398"/>
    <mergeCell ref="P15:T16"/>
    <mergeCell ref="A496:O497"/>
    <mergeCell ref="D116:E116"/>
    <mergeCell ref="P219:T219"/>
    <mergeCell ref="P23:T23"/>
    <mergeCell ref="D162:E162"/>
    <mergeCell ref="P272:T272"/>
    <mergeCell ref="H535:H536"/>
    <mergeCell ref="D327:E327"/>
    <mergeCell ref="P439:V439"/>
    <mergeCell ref="J535:J536"/>
    <mergeCell ref="D454:E454"/>
    <mergeCell ref="P433:V433"/>
    <mergeCell ref="L535:L536"/>
    <mergeCell ref="P210:T210"/>
    <mergeCell ref="P185:T185"/>
    <mergeCell ref="D106:E106"/>
    <mergeCell ref="P524:T524"/>
    <mergeCell ref="P440:V440"/>
    <mergeCell ref="P303:T303"/>
    <mergeCell ref="P486:V486"/>
    <mergeCell ref="P342:V342"/>
    <mergeCell ref="A314:O315"/>
    <mergeCell ref="P146:V146"/>
    <mergeCell ref="D63:E63"/>
    <mergeCell ref="D492:E492"/>
    <mergeCell ref="A421:Z421"/>
    <mergeCell ref="D96:E96"/>
    <mergeCell ref="P515:V515"/>
    <mergeCell ref="P306:V306"/>
    <mergeCell ref="D350:E350"/>
    <mergeCell ref="P427:T427"/>
    <mergeCell ref="P283:T283"/>
    <mergeCell ref="D264:E264"/>
    <mergeCell ref="P277:T277"/>
    <mergeCell ref="P519:T519"/>
    <mergeCell ref="D220:E220"/>
    <mergeCell ref="P370:V370"/>
    <mergeCell ref="A195:Z195"/>
    <mergeCell ref="A369:O370"/>
    <mergeCell ref="P497:V497"/>
    <mergeCell ref="A5:C5"/>
    <mergeCell ref="P406:T406"/>
    <mergeCell ref="P340:T340"/>
    <mergeCell ref="P135:V135"/>
    <mergeCell ref="P362:V362"/>
    <mergeCell ref="P191:V191"/>
    <mergeCell ref="D179:E179"/>
    <mergeCell ref="P420:V420"/>
    <mergeCell ref="D166:E166"/>
    <mergeCell ref="A410:Z410"/>
    <mergeCell ref="D402:E402"/>
    <mergeCell ref="A17:A18"/>
    <mergeCell ref="K17:K18"/>
    <mergeCell ref="A189:Z189"/>
    <mergeCell ref="C17:C18"/>
    <mergeCell ref="D103:E103"/>
    <mergeCell ref="D401:E401"/>
    <mergeCell ref="P358:T358"/>
    <mergeCell ref="D339:E339"/>
    <mergeCell ref="D230:E230"/>
    <mergeCell ref="D168:E168"/>
    <mergeCell ref="D180:E180"/>
    <mergeCell ref="D9:E9"/>
    <mergeCell ref="P197:T197"/>
    <mergeCell ref="Q535:Q536"/>
    <mergeCell ref="A37:O38"/>
    <mergeCell ref="S535:S536"/>
    <mergeCell ref="I535:I536"/>
    <mergeCell ref="Q11:R11"/>
    <mergeCell ref="K535:K536"/>
    <mergeCell ref="D453:E453"/>
    <mergeCell ref="A6:C6"/>
    <mergeCell ref="D309:E309"/>
    <mergeCell ref="D113:E113"/>
    <mergeCell ref="P415:V415"/>
    <mergeCell ref="P180:T180"/>
    <mergeCell ref="P167:T167"/>
    <mergeCell ref="P336:V336"/>
    <mergeCell ref="A332:Z332"/>
    <mergeCell ref="A161:Z161"/>
    <mergeCell ref="D88:E88"/>
    <mergeCell ref="P403:T403"/>
    <mergeCell ref="P378:T378"/>
    <mergeCell ref="A259:O260"/>
    <mergeCell ref="P117:T117"/>
    <mergeCell ref="D311:E311"/>
    <mergeCell ref="D115:E115"/>
    <mergeCell ref="Q12:R12"/>
    <mergeCell ref="A522:Z522"/>
    <mergeCell ref="D72:E72"/>
    <mergeCell ref="P295:V295"/>
    <mergeCell ref="A120:Z120"/>
    <mergeCell ref="P34:V34"/>
    <mergeCell ref="A239:Z239"/>
    <mergeCell ref="Q9:R9"/>
    <mergeCell ref="P312:T312"/>
    <mergeCell ref="D255:E255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D464:E464"/>
    <mergeCell ref="P493:T493"/>
    <mergeCell ref="F9:G9"/>
    <mergeCell ref="P53:T53"/>
    <mergeCell ref="P495:T495"/>
    <mergeCell ref="P52:T52"/>
    <mergeCell ref="P494:T494"/>
    <mergeCell ref="A480:O481"/>
    <mergeCell ref="P350:T350"/>
    <mergeCell ref="P201:V201"/>
    <mergeCell ref="I17:I18"/>
    <mergeCell ref="P176:V176"/>
    <mergeCell ref="P424:V424"/>
    <mergeCell ref="P287:T287"/>
    <mergeCell ref="D167:E167"/>
    <mergeCell ref="P351:T351"/>
    <mergeCell ref="A419:O420"/>
    <mergeCell ref="P422:T422"/>
    <mergeCell ref="P289:T289"/>
    <mergeCell ref="D403:E403"/>
    <mergeCell ref="A248:O249"/>
    <mergeCell ref="D232:E232"/>
    <mergeCell ref="P238:V238"/>
    <mergeCell ref="P67:V67"/>
    <mergeCell ref="P264:T264"/>
    <mergeCell ref="D169:E169"/>
    <mergeCell ref="D52:E52"/>
    <mergeCell ref="P122:T122"/>
    <mergeCell ref="P291:V291"/>
    <mergeCell ref="D1:F1"/>
    <mergeCell ref="A307:Z307"/>
    <mergeCell ref="P409:V409"/>
    <mergeCell ref="J17:J18"/>
    <mergeCell ref="A91:O92"/>
    <mergeCell ref="D82:E82"/>
    <mergeCell ref="L17:L18"/>
    <mergeCell ref="A184:Z184"/>
    <mergeCell ref="P255:T255"/>
    <mergeCell ref="A100:Z100"/>
    <mergeCell ref="A371:Z371"/>
    <mergeCell ref="A165:Z165"/>
    <mergeCell ref="D334:E334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A148:Z148"/>
    <mergeCell ref="P63:T63"/>
    <mergeCell ref="D31:E31"/>
    <mergeCell ref="P32:T32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P428:T428"/>
    <mergeCell ref="A414:O415"/>
    <mergeCell ref="D329:E329"/>
    <mergeCell ref="P286:T286"/>
    <mergeCell ref="D400:E400"/>
    <mergeCell ref="D158:E158"/>
    <mergeCell ref="D77:E77"/>
    <mergeCell ref="D108:E108"/>
    <mergeCell ref="P258:T258"/>
    <mergeCell ref="AA534:AB534"/>
    <mergeCell ref="P460:V460"/>
    <mergeCell ref="P177:V177"/>
    <mergeCell ref="P33:V33"/>
    <mergeCell ref="D356:E356"/>
    <mergeCell ref="A300:Z300"/>
    <mergeCell ref="P335:V335"/>
    <mergeCell ref="A535:A536"/>
    <mergeCell ref="P164:V164"/>
    <mergeCell ref="C535:C536"/>
    <mergeCell ref="A458:Z458"/>
    <mergeCell ref="A452:Z452"/>
    <mergeCell ref="A281:Z281"/>
    <mergeCell ref="A523:Z523"/>
    <mergeCell ref="P273:T273"/>
    <mergeCell ref="P526:V526"/>
    <mergeCell ref="D387:E387"/>
    <mergeCell ref="P400:T400"/>
    <mergeCell ref="D272:E272"/>
    <mergeCell ref="D514:E514"/>
    <mergeCell ref="D381:E381"/>
    <mergeCell ref="A345:Z345"/>
    <mergeCell ref="A316:Z316"/>
    <mergeCell ref="D210:E210"/>
    <mergeCell ref="D30:E30"/>
    <mergeCell ref="D5:E5"/>
    <mergeCell ref="D303:E303"/>
    <mergeCell ref="P453:T453"/>
    <mergeCell ref="P42:T42"/>
    <mergeCell ref="D94:E94"/>
    <mergeCell ref="D361:E361"/>
    <mergeCell ref="D417:E417"/>
    <mergeCell ref="P471:T471"/>
    <mergeCell ref="P396:V396"/>
    <mergeCell ref="P98:V98"/>
    <mergeCell ref="A395:O396"/>
    <mergeCell ref="D69:E69"/>
    <mergeCell ref="A109:O110"/>
    <mergeCell ref="D380:E380"/>
    <mergeCell ref="D209:E209"/>
    <mergeCell ref="A282:Z282"/>
    <mergeCell ref="P464:T464"/>
    <mergeCell ref="A187:O188"/>
    <mergeCell ref="D445:E445"/>
    <mergeCell ref="P402:T402"/>
    <mergeCell ref="D301:E301"/>
    <mergeCell ref="P188:V188"/>
    <mergeCell ref="A423:O424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237:O238"/>
    <mergeCell ref="A66:O67"/>
    <mergeCell ref="A101:Z101"/>
    <mergeCell ref="P405:T405"/>
    <mergeCell ref="D326:E326"/>
    <mergeCell ref="P476:T476"/>
    <mergeCell ref="D28:E28"/>
    <mergeCell ref="D313:E313"/>
    <mergeCell ref="D432:E432"/>
    <mergeCell ref="D236:E236"/>
    <mergeCell ref="D117:E117"/>
    <mergeCell ref="P171:T171"/>
    <mergeCell ref="P413:T413"/>
    <mergeCell ref="D7:M7"/>
    <mergeCell ref="D365:E365"/>
    <mergeCell ref="P91:V91"/>
    <mergeCell ref="P236:T236"/>
    <mergeCell ref="P334:T334"/>
    <mergeCell ref="P394:T394"/>
    <mergeCell ref="D144:E144"/>
    <mergeCell ref="W535:W536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79:E379"/>
    <mergeCell ref="D208:E208"/>
    <mergeCell ref="D8:M8"/>
    <mergeCell ref="A382:O383"/>
    <mergeCell ref="D366:E366"/>
    <mergeCell ref="P44:T44"/>
    <mergeCell ref="P279:V279"/>
    <mergeCell ref="A50:Z50"/>
    <mergeCell ref="W17:W18"/>
    <mergeCell ref="P532:V532"/>
    <mergeCell ref="P503:V503"/>
    <mergeCell ref="P388:V388"/>
    <mergeCell ref="A384:Z384"/>
    <mergeCell ref="A86:Z86"/>
    <mergeCell ref="P154:V154"/>
    <mergeCell ref="A513:Z513"/>
    <mergeCell ref="D378:E378"/>
    <mergeCell ref="P31:T31"/>
    <mergeCell ref="P473:T473"/>
    <mergeCell ref="A462:Z462"/>
    <mergeCell ref="P329:T329"/>
    <mergeCell ref="P158:T158"/>
    <mergeCell ref="D139:E139"/>
    <mergeCell ref="D406:E406"/>
    <mergeCell ref="P118:V118"/>
    <mergeCell ref="P487:V487"/>
    <mergeCell ref="A511:O512"/>
    <mergeCell ref="P343:V343"/>
    <mergeCell ref="A98:O99"/>
    <mergeCell ref="P266:T266"/>
    <mergeCell ref="P530:V530"/>
    <mergeCell ref="D53:E53"/>
    <mergeCell ref="D351:E351"/>
    <mergeCell ref="B535:B536"/>
    <mergeCell ref="D411:E411"/>
    <mergeCell ref="P330:V330"/>
    <mergeCell ref="D289:E289"/>
    <mergeCell ref="P159:V159"/>
    <mergeCell ref="P395:V395"/>
    <mergeCell ref="P209:T209"/>
    <mergeCell ref="K534:U534"/>
    <mergeCell ref="P445:T445"/>
    <mergeCell ref="P95:T95"/>
    <mergeCell ref="P182:V182"/>
    <mergeCell ref="D501:E501"/>
    <mergeCell ref="D495:E495"/>
    <mergeCell ref="P242:T242"/>
    <mergeCell ref="D524:E524"/>
    <mergeCell ref="P407:T407"/>
    <mergeCell ref="R535:R536"/>
    <mergeCell ref="T535:T536"/>
    <mergeCell ref="D122:E122"/>
    <mergeCell ref="P116:T116"/>
    <mergeCell ref="P492:T492"/>
    <mergeCell ref="P479:T479"/>
    <mergeCell ref="R1:T1"/>
    <mergeCell ref="P150:T150"/>
    <mergeCell ref="D71:E71"/>
    <mergeCell ref="P392:T392"/>
    <mergeCell ref="P326:T326"/>
    <mergeCell ref="P221:T221"/>
    <mergeCell ref="P386:T386"/>
    <mergeCell ref="P215:T215"/>
    <mergeCell ref="A145:O146"/>
    <mergeCell ref="P28:T28"/>
    <mergeCell ref="A46:O47"/>
    <mergeCell ref="P152:T152"/>
    <mergeCell ref="P30:T30"/>
    <mergeCell ref="P375:V375"/>
    <mergeCell ref="P141:V141"/>
    <mergeCell ref="A140:O141"/>
    <mergeCell ref="P206:V206"/>
    <mergeCell ref="A202:Z202"/>
    <mergeCell ref="P233:V233"/>
    <mergeCell ref="A58:Z58"/>
    <mergeCell ref="P37:V37"/>
    <mergeCell ref="P104:T104"/>
    <mergeCell ref="B17:B18"/>
    <mergeCell ref="P248:V248"/>
    <mergeCell ref="P518:T518"/>
    <mergeCell ref="D263:E263"/>
    <mergeCell ref="P220:T220"/>
    <mergeCell ref="P328:T328"/>
    <mergeCell ref="P213:T213"/>
    <mergeCell ref="P157:T157"/>
    <mergeCell ref="D134:E134"/>
    <mergeCell ref="A80:Z80"/>
    <mergeCell ref="A330:O331"/>
    <mergeCell ref="D357:E357"/>
    <mergeCell ref="P172:T172"/>
    <mergeCell ref="P432:T432"/>
    <mergeCell ref="A500:Z500"/>
    <mergeCell ref="P466:V466"/>
    <mergeCell ref="D479:E479"/>
    <mergeCell ref="A431:Z431"/>
    <mergeCell ref="P506:V506"/>
    <mergeCell ref="D258:E258"/>
    <mergeCell ref="D494:E494"/>
    <mergeCell ref="P404:T404"/>
    <mergeCell ref="D518:E518"/>
    <mergeCell ref="P252:T252"/>
    <mergeCell ref="D124:E124"/>
    <mergeCell ref="P81:T81"/>
    <mergeCell ref="P516:V516"/>
    <mergeCell ref="H9:I9"/>
    <mergeCell ref="D45:E45"/>
    <mergeCell ref="P24:V24"/>
    <mergeCell ref="A49:Z49"/>
    <mergeCell ref="P322:V322"/>
    <mergeCell ref="P260:V260"/>
    <mergeCell ref="P454:T454"/>
    <mergeCell ref="D297:E297"/>
    <mergeCell ref="P259:V259"/>
    <mergeCell ref="P153:V153"/>
    <mergeCell ref="D70:E70"/>
    <mergeCell ref="D312:E312"/>
    <mergeCell ref="P511:V511"/>
    <mergeCell ref="D505:E505"/>
    <mergeCell ref="P379:T379"/>
    <mergeCell ref="V10:W10"/>
    <mergeCell ref="D493:E493"/>
    <mergeCell ref="D360:E360"/>
    <mergeCell ref="P299:V299"/>
    <mergeCell ref="P366:T366"/>
    <mergeCell ref="D287:E287"/>
    <mergeCell ref="P170:T170"/>
    <mergeCell ref="D474:E474"/>
    <mergeCell ref="D473:E473"/>
    <mergeCell ref="D60:E60"/>
    <mergeCell ref="P437:T437"/>
    <mergeCell ref="P144:T144"/>
    <mergeCell ref="P231:T231"/>
    <mergeCell ref="P302:T302"/>
    <mergeCell ref="D174:E174"/>
    <mergeCell ref="D472:E472"/>
    <mergeCell ref="P451:V451"/>
    <mergeCell ref="A276:Z276"/>
    <mergeCell ref="A441:Z441"/>
    <mergeCell ref="D197:E197"/>
    <mergeCell ref="P381:T381"/>
    <mergeCell ref="D253:E253"/>
    <mergeCell ref="A182:O18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819</v>
      </c>
      <c r="H1" s="9"/>
    </row>
    <row r="3" spans="2:8" x14ac:dyDescent="0.2">
      <c r="B3" s="51" t="s">
        <v>820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821</v>
      </c>
      <c r="C6" s="51" t="s">
        <v>822</v>
      </c>
      <c r="D6" s="51" t="s">
        <v>823</v>
      </c>
      <c r="E6" s="51"/>
    </row>
    <row r="7" spans="2:8" x14ac:dyDescent="0.2">
      <c r="B7" s="51" t="s">
        <v>824</v>
      </c>
      <c r="C7" s="51" t="s">
        <v>825</v>
      </c>
      <c r="D7" s="51" t="s">
        <v>826</v>
      </c>
      <c r="E7" s="51"/>
    </row>
    <row r="8" spans="2:8" x14ac:dyDescent="0.2">
      <c r="B8" s="51" t="s">
        <v>14</v>
      </c>
      <c r="C8" s="51" t="s">
        <v>827</v>
      </c>
      <c r="D8" s="51" t="s">
        <v>828</v>
      </c>
      <c r="E8" s="51"/>
    </row>
    <row r="10" spans="2:8" x14ac:dyDescent="0.2">
      <c r="B10" s="51" t="s">
        <v>829</v>
      </c>
      <c r="C10" s="51" t="s">
        <v>822</v>
      </c>
      <c r="D10" s="51"/>
      <c r="E10" s="51"/>
    </row>
    <row r="12" spans="2:8" x14ac:dyDescent="0.2">
      <c r="B12" s="51" t="s">
        <v>830</v>
      </c>
      <c r="C12" s="51" t="s">
        <v>825</v>
      </c>
      <c r="D12" s="51"/>
      <c r="E12" s="51"/>
    </row>
    <row r="14" spans="2:8" x14ac:dyDescent="0.2">
      <c r="B14" s="51" t="s">
        <v>831</v>
      </c>
      <c r="C14" s="51" t="s">
        <v>827</v>
      </c>
      <c r="D14" s="51"/>
      <c r="E14" s="51"/>
    </row>
    <row r="16" spans="2:8" x14ac:dyDescent="0.2">
      <c r="B16" s="51" t="s">
        <v>832</v>
      </c>
      <c r="C16" s="51"/>
      <c r="D16" s="51"/>
      <c r="E16" s="51"/>
    </row>
    <row r="17" spans="2:5" x14ac:dyDescent="0.2">
      <c r="B17" s="51" t="s">
        <v>833</v>
      </c>
      <c r="C17" s="51"/>
      <c r="D17" s="51"/>
      <c r="E17" s="51"/>
    </row>
    <row r="18" spans="2:5" x14ac:dyDescent="0.2">
      <c r="B18" s="51" t="s">
        <v>834</v>
      </c>
      <c r="C18" s="51"/>
      <c r="D18" s="51"/>
      <c r="E18" s="51"/>
    </row>
    <row r="19" spans="2:5" x14ac:dyDescent="0.2">
      <c r="B19" s="51" t="s">
        <v>835</v>
      </c>
      <c r="C19" s="51"/>
      <c r="D19" s="51"/>
      <c r="E19" s="51"/>
    </row>
    <row r="20" spans="2:5" x14ac:dyDescent="0.2">
      <c r="B20" s="51" t="s">
        <v>836</v>
      </c>
      <c r="C20" s="51"/>
      <c r="D20" s="51"/>
      <c r="E20" s="51"/>
    </row>
    <row r="21" spans="2:5" x14ac:dyDescent="0.2">
      <c r="B21" s="51" t="s">
        <v>837</v>
      </c>
      <c r="C21" s="51"/>
      <c r="D21" s="51"/>
      <c r="E21" s="51"/>
    </row>
    <row r="22" spans="2:5" x14ac:dyDescent="0.2">
      <c r="B22" s="51" t="s">
        <v>838</v>
      </c>
      <c r="C22" s="51"/>
      <c r="D22" s="51"/>
      <c r="E22" s="51"/>
    </row>
    <row r="23" spans="2:5" x14ac:dyDescent="0.2">
      <c r="B23" s="51" t="s">
        <v>839</v>
      </c>
      <c r="C23" s="51"/>
      <c r="D23" s="51"/>
      <c r="E23" s="51"/>
    </row>
    <row r="24" spans="2:5" x14ac:dyDescent="0.2">
      <c r="B24" s="51" t="s">
        <v>840</v>
      </c>
      <c r="C24" s="51"/>
      <c r="D24" s="51"/>
      <c r="E24" s="51"/>
    </row>
    <row r="25" spans="2:5" x14ac:dyDescent="0.2">
      <c r="B25" s="51" t="s">
        <v>841</v>
      </c>
      <c r="C25" s="51"/>
      <c r="D25" s="51"/>
      <c r="E25" s="51"/>
    </row>
    <row r="26" spans="2:5" x14ac:dyDescent="0.2">
      <c r="B26" s="51" t="s">
        <v>842</v>
      </c>
      <c r="C26" s="51"/>
      <c r="D26" s="51"/>
      <c r="E26" s="51"/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2026-06-29T10:35:15Z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