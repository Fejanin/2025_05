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CC35876C-D076-4D04-A495-0CFA4A3B28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Рабочий лист_Бычков" sheetId="3" r:id="rId2"/>
  </sheets>
  <definedNames>
    <definedName name="_xlnm._FilterDatabase" localSheetId="0" hidden="1">Лист2!$B$1:$J$229</definedName>
    <definedName name="_xlnm._FilterDatabase" localSheetId="1" hidden="1">'Рабочий лист_Бычков'!$A$1:$J$82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2" i="3" l="1"/>
  <c r="L80" i="3"/>
  <c r="L79" i="3"/>
  <c r="L78" i="3"/>
  <c r="L74" i="3"/>
  <c r="L72" i="3"/>
  <c r="L67" i="3"/>
  <c r="L62" i="3"/>
  <c r="L59" i="3"/>
  <c r="L56" i="3"/>
  <c r="L47" i="3"/>
  <c r="L45" i="3"/>
  <c r="L42" i="3"/>
  <c r="L40" i="3"/>
  <c r="L38" i="3"/>
  <c r="L37" i="3"/>
  <c r="L33" i="3"/>
  <c r="L32" i="3"/>
  <c r="L29" i="3"/>
  <c r="L28" i="3"/>
  <c r="L27" i="3"/>
  <c r="L24" i="3"/>
  <c r="L21" i="3"/>
  <c r="L18" i="3"/>
  <c r="L17" i="3"/>
  <c r="L16" i="3"/>
  <c r="L15" i="3"/>
  <c r="L14" i="3"/>
  <c r="L12" i="3"/>
  <c r="L9" i="3"/>
  <c r="L5" i="3"/>
  <c r="L4" i="3"/>
  <c r="L3" i="3"/>
  <c r="I82" i="3" l="1"/>
  <c r="H82" i="3"/>
  <c r="G82" i="3"/>
  <c r="F82" i="3"/>
  <c r="E82" i="3"/>
  <c r="D82" i="3"/>
  <c r="C82" i="3"/>
  <c r="J81" i="3"/>
  <c r="H161" i="2" s="1"/>
  <c r="J80" i="3"/>
  <c r="H159" i="2" s="1"/>
  <c r="J79" i="3"/>
  <c r="H79" i="2" s="1"/>
  <c r="J78" i="3"/>
  <c r="H78" i="2" s="1"/>
  <c r="J77" i="3"/>
  <c r="H77" i="2" s="1"/>
  <c r="J76" i="3"/>
  <c r="H76" i="2" s="1"/>
  <c r="J75" i="3"/>
  <c r="H75" i="2" s="1"/>
  <c r="J74" i="3"/>
  <c r="H74" i="2" s="1"/>
  <c r="J73" i="3"/>
  <c r="H73" i="2" s="1"/>
  <c r="J72" i="3"/>
  <c r="H72" i="2" s="1"/>
  <c r="J71" i="3"/>
  <c r="H71" i="2" s="1"/>
  <c r="J70" i="3"/>
  <c r="H70" i="2" s="1"/>
  <c r="J69" i="3"/>
  <c r="H69" i="2" s="1"/>
  <c r="J68" i="3"/>
  <c r="H68" i="2" s="1"/>
  <c r="J67" i="3"/>
  <c r="H67" i="2" s="1"/>
  <c r="J66" i="3"/>
  <c r="H66" i="2" s="1"/>
  <c r="J65" i="3"/>
  <c r="H65" i="2" s="1"/>
  <c r="J64" i="3"/>
  <c r="H64" i="2" s="1"/>
  <c r="J63" i="3"/>
  <c r="H63" i="2" s="1"/>
  <c r="J62" i="3"/>
  <c r="H62" i="2" s="1"/>
  <c r="J61" i="3"/>
  <c r="H61" i="2" s="1"/>
  <c r="J60" i="3"/>
  <c r="H60" i="2" s="1"/>
  <c r="J59" i="3"/>
  <c r="H59" i="2" s="1"/>
  <c r="J58" i="3"/>
  <c r="H58" i="2" s="1"/>
  <c r="J57" i="3"/>
  <c r="H57" i="2" s="1"/>
  <c r="J56" i="3"/>
  <c r="H56" i="2" s="1"/>
  <c r="J55" i="3"/>
  <c r="H55" i="2" s="1"/>
  <c r="J54" i="3"/>
  <c r="H54" i="2" s="1"/>
  <c r="J53" i="3"/>
  <c r="H53" i="2" s="1"/>
  <c r="J52" i="3"/>
  <c r="H52" i="2" s="1"/>
  <c r="J51" i="3"/>
  <c r="H51" i="2" s="1"/>
  <c r="J50" i="3"/>
  <c r="H50" i="2" s="1"/>
  <c r="J49" i="3"/>
  <c r="H49" i="2" s="1"/>
  <c r="J48" i="3"/>
  <c r="H48" i="2" s="1"/>
  <c r="J47" i="3"/>
  <c r="H47" i="2" s="1"/>
  <c r="J46" i="3"/>
  <c r="H46" i="2" s="1"/>
  <c r="J45" i="3"/>
  <c r="H45" i="2" s="1"/>
  <c r="J44" i="3"/>
  <c r="H44" i="2" s="1"/>
  <c r="J43" i="3"/>
  <c r="H43" i="2" s="1"/>
  <c r="J42" i="3"/>
  <c r="H42" i="2" s="1"/>
  <c r="J41" i="3"/>
  <c r="H41" i="2" s="1"/>
  <c r="J40" i="3"/>
  <c r="H40" i="2" s="1"/>
  <c r="J39" i="3"/>
  <c r="H39" i="2" s="1"/>
  <c r="J38" i="3"/>
  <c r="H38" i="2" s="1"/>
  <c r="J37" i="3"/>
  <c r="H37" i="2" s="1"/>
  <c r="J36" i="3"/>
  <c r="H36" i="2" s="1"/>
  <c r="J35" i="3"/>
  <c r="H35" i="2" s="1"/>
  <c r="J34" i="3"/>
  <c r="H34" i="2" s="1"/>
  <c r="J33" i="3"/>
  <c r="H33" i="2" s="1"/>
  <c r="J32" i="3"/>
  <c r="H32" i="2" s="1"/>
  <c r="J31" i="3"/>
  <c r="H31" i="2" s="1"/>
  <c r="J30" i="3"/>
  <c r="H30" i="2" s="1"/>
  <c r="J29" i="3"/>
  <c r="H29" i="2" s="1"/>
  <c r="J28" i="3"/>
  <c r="H28" i="2" s="1"/>
  <c r="J27" i="3"/>
  <c r="H27" i="2" s="1"/>
  <c r="J26" i="3"/>
  <c r="H26" i="2" s="1"/>
  <c r="J25" i="3"/>
  <c r="H25" i="2" s="1"/>
  <c r="J24" i="3"/>
  <c r="H24" i="2" s="1"/>
  <c r="J23" i="3"/>
  <c r="H23" i="2" s="1"/>
  <c r="J22" i="3"/>
  <c r="H22" i="2" s="1"/>
  <c r="J21" i="3"/>
  <c r="H21" i="2" s="1"/>
  <c r="J20" i="3"/>
  <c r="H20" i="2" s="1"/>
  <c r="J19" i="3"/>
  <c r="H19" i="2" s="1"/>
  <c r="J18" i="3"/>
  <c r="H18" i="2" s="1"/>
  <c r="J17" i="3"/>
  <c r="H17" i="2" s="1"/>
  <c r="J16" i="3"/>
  <c r="H16" i="2" s="1"/>
  <c r="J15" i="3"/>
  <c r="H15" i="2" s="1"/>
  <c r="J14" i="3"/>
  <c r="H14" i="2" s="1"/>
  <c r="J13" i="3"/>
  <c r="H13" i="2" s="1"/>
  <c r="J12" i="3"/>
  <c r="H12" i="2" s="1"/>
  <c r="J11" i="3"/>
  <c r="H11" i="2" s="1"/>
  <c r="J10" i="3"/>
  <c r="H10" i="2" s="1"/>
  <c r="J9" i="3"/>
  <c r="H9" i="2" s="1"/>
  <c r="J8" i="3"/>
  <c r="H8" i="2" s="1"/>
  <c r="J7" i="3"/>
  <c r="H7" i="2" s="1"/>
  <c r="J6" i="3"/>
  <c r="H6" i="2" s="1"/>
  <c r="J5" i="3"/>
  <c r="H5" i="2" s="1"/>
  <c r="J4" i="3"/>
  <c r="H4" i="2" s="1"/>
  <c r="J3" i="3"/>
  <c r="H3" i="2" s="1"/>
  <c r="J2" i="3"/>
  <c r="H2" i="2" s="1"/>
  <c r="J82" i="3" l="1"/>
  <c r="H229" i="2"/>
  <c r="I81" i="2"/>
  <c r="I82" i="2"/>
  <c r="I7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67" i="2"/>
  <c r="I121" i="2"/>
  <c r="I122" i="2"/>
  <c r="I123" i="2"/>
  <c r="I124" i="2"/>
  <c r="I125" i="2"/>
  <c r="I126" i="2"/>
  <c r="I10" i="2"/>
  <c r="I127" i="2"/>
  <c r="I25" i="2"/>
  <c r="I31" i="2"/>
  <c r="I34" i="2"/>
  <c r="I73" i="2"/>
  <c r="I41" i="2"/>
  <c r="I30" i="2"/>
  <c r="I39" i="2"/>
  <c r="I128" i="2"/>
  <c r="I74" i="2"/>
  <c r="I27" i="2"/>
  <c r="I75" i="2"/>
  <c r="I129" i="2"/>
  <c r="I57" i="2"/>
  <c r="I130" i="2"/>
  <c r="I72" i="2"/>
  <c r="I33" i="2"/>
  <c r="I28" i="2"/>
  <c r="I131" i="2"/>
  <c r="I132" i="2"/>
  <c r="I42" i="2"/>
  <c r="I38" i="2"/>
  <c r="I22" i="2"/>
  <c r="I133" i="2"/>
  <c r="I134" i="2"/>
  <c r="I135" i="2"/>
  <c r="I136" i="2"/>
  <c r="I137" i="2"/>
  <c r="I138" i="2"/>
  <c r="I139" i="2"/>
  <c r="I140" i="2"/>
  <c r="I141" i="2"/>
  <c r="I12" i="2"/>
  <c r="I11" i="2"/>
  <c r="I32" i="2"/>
  <c r="I142" i="2"/>
  <c r="I47" i="2"/>
  <c r="I13" i="2"/>
  <c r="I143" i="2"/>
  <c r="I14" i="2"/>
  <c r="I144" i="2"/>
  <c r="I145" i="2"/>
  <c r="I44" i="2"/>
  <c r="I46" i="2"/>
  <c r="I77" i="2"/>
  <c r="I54" i="2"/>
  <c r="I69" i="2"/>
  <c r="I70" i="2"/>
  <c r="I68" i="2"/>
  <c r="I71" i="2"/>
  <c r="I146" i="2"/>
  <c r="I147" i="2"/>
  <c r="I148" i="2"/>
  <c r="I5" i="2"/>
  <c r="I62" i="2"/>
  <c r="I149" i="2"/>
  <c r="I150" i="2"/>
  <c r="I151" i="2"/>
  <c r="I16" i="2"/>
  <c r="I152" i="2"/>
  <c r="I23" i="2"/>
  <c r="I153" i="2"/>
  <c r="I40" i="2"/>
  <c r="I59" i="2"/>
  <c r="I154" i="2"/>
  <c r="I155" i="2"/>
  <c r="I156" i="2"/>
  <c r="I9" i="2"/>
  <c r="I8" i="2"/>
  <c r="I157" i="2"/>
  <c r="I158" i="2"/>
  <c r="I6" i="2"/>
  <c r="I159" i="2"/>
  <c r="I160" i="2"/>
  <c r="I15" i="2"/>
  <c r="I17" i="2"/>
  <c r="I26" i="2"/>
  <c r="I161" i="2"/>
  <c r="I162" i="2"/>
  <c r="I163" i="2"/>
  <c r="I18" i="2"/>
  <c r="I35" i="2"/>
  <c r="I36" i="2"/>
  <c r="I37" i="2"/>
  <c r="I19" i="2"/>
  <c r="I20" i="2"/>
  <c r="I164" i="2"/>
  <c r="I165" i="2"/>
  <c r="I2" i="2"/>
  <c r="I43" i="2"/>
  <c r="I166" i="2"/>
  <c r="I21" i="2"/>
  <c r="I29" i="2"/>
  <c r="I167" i="2"/>
  <c r="I168" i="2"/>
  <c r="I169" i="2"/>
  <c r="I48" i="2"/>
  <c r="I49" i="2"/>
  <c r="I50" i="2"/>
  <c r="I51" i="2"/>
  <c r="I52" i="2"/>
  <c r="I53" i="2"/>
  <c r="I170" i="2"/>
  <c r="I171" i="2"/>
  <c r="I55" i="2"/>
  <c r="I76" i="2"/>
  <c r="I78" i="2"/>
  <c r="I172" i="2"/>
  <c r="I173" i="2"/>
  <c r="I174" i="2"/>
  <c r="I45" i="2"/>
  <c r="I60" i="2"/>
  <c r="I61" i="2"/>
  <c r="I56" i="2"/>
  <c r="I58" i="2"/>
  <c r="I175" i="2"/>
  <c r="I176" i="2"/>
  <c r="I177" i="2"/>
  <c r="I178" i="2"/>
  <c r="I66" i="2"/>
  <c r="I179" i="2"/>
  <c r="I63" i="2"/>
  <c r="I180" i="2"/>
  <c r="I181" i="2"/>
  <c r="I64" i="2"/>
  <c r="I65" i="2"/>
  <c r="I182" i="2"/>
  <c r="I183" i="2"/>
  <c r="I184" i="2"/>
  <c r="I185" i="2"/>
  <c r="I79" i="2"/>
  <c r="I24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4" i="2"/>
  <c r="I3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80" i="2"/>
  <c r="I229" i="2" l="1"/>
</calcChain>
</file>

<file path=xl/sharedStrings.xml><?xml version="1.0" encoding="utf-8"?>
<sst xmlns="http://schemas.openxmlformats.org/spreadsheetml/2006/main" count="416" uniqueCount="333">
  <si>
    <t>Ветчина Дугушка ТМ Стародворье, вектор в/у    ПОКОМ</t>
  </si>
  <si>
    <t>Ветчина Нежная ТМ Особый рецепт, п/а, 0,4кг    ПОКОМ</t>
  </si>
  <si>
    <t>Колбаса Докторская Дугушка, ВЕС, НЕ ГОСТ, ТМ Стародворье ПОКОМ</t>
  </si>
  <si>
    <t>Колбаса Княжеская, белковой обол в термоусад. пакете, ВЕС, ТМ Стародворье</t>
  </si>
  <si>
    <t>Колбаса Кракушка пряная с сальцем, 0.3кг в/у п/к, БАВАРУШКА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</si>
  <si>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</si>
  <si>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</si>
  <si>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</si>
  <si>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Салями Филейбургская зернистая, в/у 0,35 кг срез, БАВАРУШКА ПОКОМ</t>
  </si>
  <si>
    <t>Колбаса Салями Финская, Вязанка фиброуз в/у, ПОКОМ</t>
  </si>
  <si>
    <t>Колбаса Сервелат ЗАПЕЧ.Дугушка ТМ Стародворье, вектор, в/к     ПОКОМ</t>
  </si>
  <si>
    <t>Колбаса Сервелат Кремлевский,  0.35 кг, ПОКОМ</t>
  </si>
  <si>
    <t>Колбаса Сервелат Левантский ТМ Особый Рецепт, ВЕС. ПОКОМ</t>
  </si>
  <si>
    <t>Колбаса Сервелат Столичный, Вязанка фиброуз в/у, ПОКОМ</t>
  </si>
  <si>
    <t>Колбаса Сервелат Филедворский, фиброуз, в/у 0,35 кг срез,  ПОКОМ</t>
  </si>
  <si>
    <t>Колбаса Сервелатная по-стародворски, Фирм. фиброуз в/у ВЕС, ТМ Стародворье</t>
  </si>
  <si>
    <t>Колбаса Швейцарская 0,17 кг., ШТ., сырокопченая   ПОКОМ</t>
  </si>
  <si>
    <t>Сардельки Нежные, ВЕС.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</si>
  <si>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</si>
  <si>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</si>
  <si>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</si>
  <si>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</si>
  <si>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Сервелат Филейбургский с ароматными пряностями, в/у 0,35 кг срез, БАВАРУШКА ПОКОМ</t>
  </si>
  <si>
    <t>Колбаса Сервелат Филейбургский с филе сочного окорока, в/у 0,35 кг срез, БАВАРУШКА ПОКОМ</t>
  </si>
  <si>
    <t>Шпикачки Стародворские, ВЕС.  ПОКОМ</t>
  </si>
  <si>
    <t>Колбаса Салями охотничья, ВЕС. ПОКОМ</t>
  </si>
  <si>
    <t>Колбаса Дугушка со шпиком, ВЕС, ТМ Стародворье   ПОКОМ</t>
  </si>
  <si>
    <t>Сосиски Молочные оригинальные ТМ Славница ТС Особая амицел мгс вес СК</t>
  </si>
  <si>
    <t>Колбаса варено-копченая Балыкбургская ТМ Баварушка фиброуз в/у вес СК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</si>
  <si>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</si>
  <si>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</si>
  <si>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Сосиски Ганноверские   ПОКОМ, кг</t>
  </si>
  <si>
    <t>Колбаса варено-копченая Сервелат Кремлевский ТМ Стародворье фиброуз в/у вес СК2</t>
  </si>
  <si>
    <t>Код УТ</t>
  </si>
  <si>
    <t>Сосиски Вязанка Сливочные, Вязанка амицел МГС, 0.45кг, ПОКОМ, шт</t>
  </si>
  <si>
    <t>Сардельки Сочные ТМ Особый рецепт,   ПОКОМ, кг</t>
  </si>
  <si>
    <t>Сосиски Сливочные по-стародворски, ВЕС.  ПОКОМ, кг</t>
  </si>
  <si>
    <t>Колбаса Докторская ГОСТ, Вязанка вектор,ВЕС. ПОКОМ, кг</t>
  </si>
  <si>
    <t>Колбаса Филейбургская с сочным окороком, ВЕС, ТМ Баварушка  ПОКОМ, кг</t>
  </si>
  <si>
    <t>Колбаса Сервелат Зернистый, ВЕС.  ПОКОМ, кг</t>
  </si>
  <si>
    <t>Колбаса Докторская ГОСТ, Вязанка вектор, 0,4 кг, ПОКОМ, шт</t>
  </si>
  <si>
    <t>Колбаса Докторская Особая ТМ Особый рецепт, ВЕС 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</si>
  <si>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</si>
  <si>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</si>
  <si>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Сосиски Молочные По-стародворски Бордо Весовые П/а Стародворье</t>
  </si>
  <si>
    <t>Вес, кг</t>
  </si>
  <si>
    <t>ИТОГО:</t>
  </si>
  <si>
    <t>ЗАКАЗ</t>
  </si>
  <si>
    <t>Сосиски Сочинки с сочным окороком, МГС 0.4кг,   ПОКОМ</t>
  </si>
  <si>
    <t>Сосиски Сочинки с сочной грудинкой, МГС 0.4кг,   ПОКОМ</t>
  </si>
  <si>
    <t>Сосиски Баварские Бавария Весовые п/а  Стародворье</t>
  </si>
  <si>
    <t>Колбаса Сервелат Филейбургский с копченой грудинкой,в/у 0,35кг срез,</t>
  </si>
  <si>
    <t>Колбаса Филейбургская с душистым чесноком,ВЕС, ТМ Баварушка ПОКОМ</t>
  </si>
  <si>
    <t>Ветчина Филейская ВЕС ТМ  Вязанка ТС Столичная  ПОКОМ</t>
  </si>
  <si>
    <t>Колбаса Мясорубская с рубленой грудинкой 0,35кг срез ТМ Стародворье  ПОКОМ</t>
  </si>
  <si>
    <t>Колбаса Салями Мясорубская с рубленным шпиком ВЕС ТМ Стародворье  ПОКОМ</t>
  </si>
  <si>
    <t>Колбаса Сервелат Мясорубский с мелкорубленным окороком в/у  ТМ Стародворье ВЕС   ПОКОМ</t>
  </si>
  <si>
    <t>Колбаса Салями Мясорубская с рубленым шпиком 0,35 кг срез ТМ Стародворье   Поком</t>
  </si>
  <si>
    <t>Колбаса Сервелат Мясорубский с мелкорубленным окороком 0,35 кг срез ТМ Стародворье   Поком</t>
  </si>
  <si>
    <t>Колбаса Сливушка ТМ Вязанка в оболочке полиамид 0,45 кг  ПОКОМ</t>
  </si>
  <si>
    <t>Колбаса Сливушка ТМ Вязанка, 0,375кг,  ПОКОМ</t>
  </si>
  <si>
    <t>Сосиски Сочинки, ВЕС, ТМ Стародворье ПОКОМ</t>
  </si>
  <si>
    <t>Сосиски Сочинки по-баварски с сыром,  0.4кг, ТМ Стародворье  ПОКОМ</t>
  </si>
  <si>
    <t>Сосиски Сочинки по-баварски,  0.4кг, ТМ Стародворье  ПОКОМ</t>
  </si>
  <si>
    <t>Сосиски Сочинки с сыром 0,4 кг ТМ Стародворье  ПОКОМ</t>
  </si>
  <si>
    <t>Колбаса вареная Сочинка ТМ Стародворье,  0,45 кг. ПОКОМ</t>
  </si>
  <si>
    <t>Сардельки Сочинки Стародворье ТМ  0,4 кг ПОКОМ</t>
  </si>
  <si>
    <t>Сардельки Сочинки с сыром Стародворье ТМ, 0,4 кг. ПОКОМ</t>
  </si>
  <si>
    <t>Колбаса вареная Филейская ТМ Вязанка ТС Классическая ВЕС  ПОКОМ</t>
  </si>
  <si>
    <t>Ветчина Филейская ТМ Вязанка Столичная 0,45 кг ПОКОМ</t>
  </si>
  <si>
    <t>Колбаса вареная Филейская ТМ Вязанка ТС Классическая, 0,45 кг. ПОКОМ</t>
  </si>
  <si>
    <t>Колбаса вареная Молокуша 0,45кг ТМ Вязанка  ПОКОМ</t>
  </si>
  <si>
    <t>Ветчина Нежная ТМ Зареченские,большой батон, ВЕС ПОКОМ</t>
  </si>
  <si>
    <t>Колбаса Сервелат Рижский ТМ Зареченские, ВЕС  ПОКОМ</t>
  </si>
  <si>
    <t>Колбаса Нежная ТМ Зареченские ВЕС  ПОКОМ</t>
  </si>
  <si>
    <t>Сосиски Датские ТМ Зареченские, ВЕС  ПОКОМ</t>
  </si>
  <si>
    <t>Колбаса вареная Молокуша ТМ Вязанка ВЕС, ПОКОМ</t>
  </si>
  <si>
    <t>Сосиски Классические, 0.42кг,ядрена копотьПОКОМ</t>
  </si>
  <si>
    <t>Колбаса Балыкбургская рубленая, в/у 0,35 кг срез, БАВАРУШКА ПОКОМ</t>
  </si>
  <si>
    <t>Колбаса Балыкбурская с копченым балыком, в/у 0,35 кг срез, БАВАРУШКА ПОКОМ</t>
  </si>
  <si>
    <t>Кол Баварская, белков.обол. в термоусад. пакете 0.17 кг, ТМ Стародворье  ПОКОМ</t>
  </si>
  <si>
    <t>Колбаса Салями Филейбургская зернистая, оболочка фиброуз, ВЕС, ТМ Баварушка  ПОКОМ</t>
  </si>
  <si>
    <t>код 
завода</t>
  </si>
  <si>
    <t>Ветчина Сливушка с индейкой ТМ Вязанка, 0,4кг  ПОКОМ</t>
  </si>
  <si>
    <t>Колбаса Докторская стародворская, ВЕС, ВсхЗв   ПОКОМ, кг</t>
  </si>
  <si>
    <t>Колбаса Мясорубская с рубленой грудинкой ВЕС ТМ Стародворье  ПОКОМ, кг</t>
  </si>
  <si>
    <t>Колбаса Сливушка ТМ Вязанка. ВЕС.  ПОКОМ</t>
  </si>
  <si>
    <t>Колбаса Сочинка по-европейски с сочной грудинкой ТМ Стародворье, ВЕС ПОКОМ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</si>
  <si>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</si>
  <si>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</si>
  <si>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Колбаса Сочинка рубленая с сочным окороком ТМ Стародворье ВЕС ПОКОМ</t>
  </si>
  <si>
    <t>Сардельки Филейские Вязанка ВЕС NDX ТМ Вязанка  ПОКОМ</t>
  </si>
  <si>
    <t>Сосиски Молокуши миникушай ТМ Вязанка, 0.33кг, ПОКОМ</t>
  </si>
  <si>
    <t>Ветчина Сливушка с индейкой ТМ Вязанка. ВЕС  ПОКОМ</t>
  </si>
  <si>
    <t>Сосиски Сочинки Молочные ТМ Стародворье 0,4 кг ПОКОМ</t>
  </si>
  <si>
    <t>Сосиски Сочинки Молочные ТМ Стародворье, ВЕС ПОКОМ</t>
  </si>
  <si>
    <t xml:space="preserve"> Сосиски Сочинки Сливочные ТМ Стародворье ВЕС ПОКОМ</t>
  </si>
  <si>
    <t>Сосиски Сочинки Сливочные ТМ Стародворье  0,4 кг</t>
  </si>
  <si>
    <t>Паштет Любительский ТМ Стародворье ламистер 0,1 кг  ПОКОМ</t>
  </si>
  <si>
    <t>Сосиски Вязанка Сливочные, Вязанка амицел МГС, 0.33кг, ТМ Стародворские колбасы</t>
  </si>
  <si>
    <t xml:space="preserve"> 394 Колбаса полукопченая Аль-Ислами халяль ТМ Вязанка оболочка фиброуз в в/у 0,35 кг  ПОКОМ</t>
  </si>
  <si>
    <t>Колбаса Молочная Дугушка 0,6кг ТМ Стародворье  ПОКОМ</t>
  </si>
  <si>
    <t>Колбаса вареная Мусульманская Халяль ТМ Вязанка, 0,4 кг ПОКОМ</t>
  </si>
  <si>
    <t>Колбаса вареная Сочинка ТМ Стародворье ВЕС ПОКОМ</t>
  </si>
  <si>
    <t>Ветчина Сочинка ТМ Стародворье. ВЕС ПОКОМ</t>
  </si>
  <si>
    <t>Колбаса Рубленая запеченная ТМ Стародворье,ТС Дугушка  0,6 кг ПОКОМ</t>
  </si>
  <si>
    <t>Колбаса Сервелат запеченный ТМ Стародворье ТС Дугушка. 0,6 кг. ПОКОМ</t>
  </si>
  <si>
    <t>Вязанка Сардельки Сливушки 330г (Стародвор)</t>
  </si>
  <si>
    <t>Ветчина Дугушка ТМ Стародворье ТС Дугушка в полиамидной оболочке 0,6 кг. ПОКОМ</t>
  </si>
  <si>
    <t>Колбаса Мясорубская 0,28 кг ТМ Стародворье в оболочке черева  ПОКОМ</t>
  </si>
  <si>
    <t>Колбаса Стародворская с окороком в оболочке полиамид ТМ Стародворье ВЕС ПОКОМ</t>
  </si>
  <si>
    <t>Колбаса Стародворская со шпиком  в оболочке полиамид. ТМ Стародворье ВЕС ПОКОМ</t>
  </si>
  <si>
    <t>Колбаса Молочная стародворская с молоком, ВЕС, ТМ Стародворье  ПОКОМ</t>
  </si>
  <si>
    <t>Колбаса Докторская ГОСТ ТМ Вязанка в оболочке полиамид 0,37 кг. ПОКОМ</t>
  </si>
  <si>
    <t>Колбаса Молочная Стародворская  с молоком в оболочке полиамид 0,4 кг.ТМ Стародворье ПОКОМ</t>
  </si>
  <si>
    <t>Сосиски Сочинки ТМ Стародворье с сочной грудиной в оболочке полиамид в мо  0,3 кг.  Поком</t>
  </si>
  <si>
    <t>Колбаса Стародворская с окороком 0,4 кг. ТМ Стародворье в оболочке полиамид  ПОКОМ</t>
  </si>
  <si>
    <t>Колбаса Со шпиком ВЕС большой батон ТМ Особый рецепт  ПОКОМ</t>
  </si>
  <si>
    <t>Колбаса Дугушка Стародворская ВЕС ТС Дугушка ПОКОМ</t>
  </si>
  <si>
    <t>Колбаса Филейная ТМ Особый рецепт ВЕС большой батон  ПОКОМ</t>
  </si>
  <si>
    <t>Колбаса Молочная с нежным филе ТМ Особый рецепт в оболочке полиамид 0,4 кг. ПОКОМ</t>
  </si>
  <si>
    <t>Колбаса Стародворская Традиционная ВЕС ТМ Стародворье в оболочке полиамид. ПОКОМ</t>
  </si>
  <si>
    <t>Колбаса Молочная Традиционнаяв оболочке полиамид.ТМ Стародворье. ВЕС ПОКОМ</t>
  </si>
  <si>
    <t>Колбаса Филейная оригинальная ТМ Особый рецепт в оболочке полиамид. ВЕС. ПОКОМ</t>
  </si>
  <si>
    <t>Сосиски Ганноверские в оболочке амицел в модиф. газовой среде 0,5 кг ТМ Стародворье. ПОКОМ</t>
  </si>
  <si>
    <t>Колбаса Филедворская по-стародворски ТМ Стародворье в оболочке полиамид. ПОКОМ</t>
  </si>
  <si>
    <t>Колбаса Стародворская Традиционная ТМ Стародворье в оболочке полиамид 0,4 кг. ПОКОМ</t>
  </si>
  <si>
    <t>Сосиски Венские ТМ Стародворье в оболочке полиамид в м.г среде 0,6 кг. ПОКОМ</t>
  </si>
  <si>
    <t>Колбаса Филейная оригинальная ТМ Особый рецепт в оболочке полиамид 0,4 кг. ПОКОМ</t>
  </si>
  <si>
    <t>Колбаса Молочная по-стародворски ТМ Стародворье в оболочке полиамид 0,4 кг. ПОКОМ</t>
  </si>
  <si>
    <t>Колбаса Молочная Традиционная ТМ Стародворье в оболочке полиамид 0,4 кг. ПОКОМ</t>
  </si>
  <si>
    <t>Колбаса Филедворская по-стародворски ТМ Стародворье в оболочке полиамид 0,4 кг. ПОКОМ</t>
  </si>
  <si>
    <t>Колбаса Филейная 0,5кг ТМ Особый рецепт  ПОКОМ</t>
  </si>
  <si>
    <t>Колбаса Молочная по-стародворски ТМ Стародворье в оболочке полиамид. ВЕС ПОКОМ</t>
  </si>
  <si>
    <t>Колбаса Со шпиком ТМ Особый рецепт в оболочке полиамид 0,5 кг. ПОКОМ</t>
  </si>
  <si>
    <t>Колбаса Молочная ТМ Особый рецепт ВЕС большой батон  ПОКОМ</t>
  </si>
  <si>
    <t>Паштет печеночный с морковью ТМ Стародворье ламистер 0,1 кг.  ПОКОМ</t>
  </si>
  <si>
    <t>Мини-салями со вкусом бекона,  0.05кг, ядрена копоть   ПОКОМ</t>
  </si>
  <si>
    <t>Колбаса Филейская со шпиком ТМ Вязанка в оболочке полиамид.ПОКОМ</t>
  </si>
  <si>
    <t>Сосиски Сливушки по-венски ТМ Вязанка. 0,3 кг ПОКОМ</t>
  </si>
  <si>
    <t>Ветчина Нежная ВЕС ТМ Зареченские  ПОКОМ</t>
  </si>
  <si>
    <t>Колбаса Филейская со шпиком ТМ Вязанка 0,35 кг ПОКОМ</t>
  </si>
  <si>
    <t>Сосиски Филейские по-ганноверски ТМ Вязанка.в оболочке амицел в м.г.с ВЕС. ПОКОМ</t>
  </si>
  <si>
    <t>Колбаса вареная Молокуша ТМ Вязанка 0,4 кг ПОКОМ</t>
  </si>
  <si>
    <t>Колбаса Сочинка по-европейски с сочной грудинкой 0,3кг ТМ Стародворье  ПОКОМ</t>
  </si>
  <si>
    <t>Колбаса Сочинка зернистая с сочной грудинкой 0,3кг ТМ Стародворье  ПОКОМ</t>
  </si>
  <si>
    <t>Колбаса Докторская Дугушка 0,6кг ГОСТ ТМ Стародворье  ПОКОМ</t>
  </si>
  <si>
    <t>Сосиски Филейские Рубленые 0,3кг ТМ Вязанка  ПОКОМ</t>
  </si>
  <si>
    <t>Колбаса Филейская Рубленая ТМ Вязанка  0,3 кг. срез.  ПОКОМ</t>
  </si>
  <si>
    <t>Сосиски Молочные ТМ Вязанка в оболочке целлофан в модифицированной газовой среде 0,3 кг  ПОКОМ</t>
  </si>
  <si>
    <t>Колбаса Классическая ТМ Вязанка в оболочке полиамид 0,6 кг  ПОКОМ</t>
  </si>
  <si>
    <t>Колбаса Салями Филейская 0,3кг ТМ Вязанка  ПОКОМ</t>
  </si>
  <si>
    <t>Колбаса Сочинка рубленая с сочным окороком 0,3кг ТМ Стародворье  ПОКОМ</t>
  </si>
  <si>
    <t>Колбаса Сочинка по-фински с сочным окроком 0,3кг ТМ Стародворье  ПОКОМ</t>
  </si>
  <si>
    <t>Сосиски Филейские по-ганноверски 0,42кг ТМ Вязанка  ПОКОМ</t>
  </si>
  <si>
    <t>Ветчина Сливушка с индейкой ТМ Вязанка  0,3 кг. ПОКОМ</t>
  </si>
  <si>
    <t>Ветчина Мясорубская с окороком 0,33кг срез ТМ Стародворье  ПОКОМ</t>
  </si>
  <si>
    <t>Колбаса Сервелат Мясорубский Делюкс 0,3кг ТМ Стародворье  ПОКОМ</t>
  </si>
  <si>
    <t>Ветчина Стародворская ТМ Стародворье брикет 0,33 кг.  ПОКОМ</t>
  </si>
  <si>
    <t>Колбаса Сервелат Стародворский ТМ Стародворье в оболочке фиброуз в вак.упаковке 0,28 кг ПОКОМ</t>
  </si>
  <si>
    <t>Ветчина Балыкбургская ТМ Баварушка в оболочке айцел в вакуумной упаковке 0,35 кг срез.  ПОКОМ</t>
  </si>
  <si>
    <t>Колбаса Докторская ТМ Стародворье ТС Дугушка в оболочке полиамид 0,4 кг  ПОКОМ</t>
  </si>
  <si>
    <t>Сардельки Филейские Вязанка ТМ Вязанка в оболочке NDX  0,4 кг. ПОКОМ</t>
  </si>
  <si>
    <t>Колбаса Сливушка ТМ Вязанка в оболочке полиамид 0,75 кг  ПОКОМ</t>
  </si>
  <si>
    <t>Колбаса Сервелат Филейбургский с копченой грудинкой, 0,28 кг срез ТМ Баварушка ПОКОМ</t>
  </si>
  <si>
    <t>Сардельки Зареченские ВЕС ТМ Зареченские  ПОКОМ</t>
  </si>
  <si>
    <t>524</t>
  </si>
  <si>
    <t>447</t>
  </si>
  <si>
    <t>523</t>
  </si>
  <si>
    <t>526</t>
  </si>
  <si>
    <t>525</t>
  </si>
  <si>
    <t>527</t>
  </si>
  <si>
    <t>356</t>
  </si>
  <si>
    <t>Сосиски Баварушки, 0.6кг, БАВАРУШКА ПОКОМ, шт (с маслом)</t>
  </si>
  <si>
    <t>Сосиски Баварские с сыром ТМ Стародворье 0,35 кг. ПОКОМ</t>
  </si>
  <si>
    <t>Сосиски Баварские ТМ Стародворье 0,35 кг ПОКОМ</t>
  </si>
  <si>
    <t>Сосиски Датские ТМ Особый рецепт, ВЕС  ПОКОМ</t>
  </si>
  <si>
    <t>Окорок Хамон выдержанный нарезка 0,055кг ТМ Стародворье  ПОКОМ</t>
  </si>
  <si>
    <t>Грудинка 0,12 кг нарезка ТМ Стародворье  ПОКОМ</t>
  </si>
  <si>
    <t>Сосиски Филейские ТМ Вязанка в оболочке целлофан 0,3 кг. ПОКОМ</t>
  </si>
  <si>
    <t>Колбаса Рубленая ТС Ядрена копоть 0,19 кг срез  ПОКОМ</t>
  </si>
  <si>
    <t>Сосиски Мясные для гриля ТС Ядрена копоть 0,3 кг  ПОКОМ</t>
  </si>
  <si>
    <t>Колбаса Дугушка со шпиком 0,6 кг ТМ Стародворье ТС Дугушка  ПОКОМ</t>
  </si>
  <si>
    <t>Колбаса Салями Филейбургская зернистая, 0,28 кг срез ТМ Баварушка ПОКОМ</t>
  </si>
  <si>
    <t>Сосиски Восточные Халяль ТМ Вязанка 0,33 кг АК. ПОКОМ</t>
  </si>
  <si>
    <t>Колбаса Салями запеченная ТМ Стародворье ТС Дугушка. 0,6 кг ПОКОМ</t>
  </si>
  <si>
    <t>Колбаса Докторский гарант, Вязанка вектор, 0,4 кг.  ПОКОМ, шт</t>
  </si>
  <si>
    <t>Колбаса вареная Филейская ТМ Вязанка ТС Классическая, 0,40 кг.  ПОКОМ, шт</t>
  </si>
  <si>
    <t>Паштет печеночный со слив.маслом ТМ Стародворье ламистер 0,1 кг  ПОКОМ, шт</t>
  </si>
  <si>
    <t>Ветчина Сочинка ТМ Стародворье, 0,35 кг. ПОКОМ, шт</t>
  </si>
  <si>
    <t>Колбаса Балыкбургская с копченым балыком ТМ Баварушка 0,28 кг срез ПОКОМ, шт</t>
  </si>
  <si>
    <t>Колбаса Сервелат Ореховый нарезка 0,07кг ТМ Стародворье  ПОКОМ, шт</t>
  </si>
  <si>
    <t>Колбаски Краковюрст ТМ Баварушка с изысканными пряностями в оболочке NDX в в.у 0,2 кг. ПОКОМ , шт</t>
  </si>
  <si>
    <t>Колбаса Сальчичон нарезка 0,07кг ТМ Стародворье  ПОКОМ , шт</t>
  </si>
  <si>
    <t>Корейка вяленая выдержанная нарезка 0,05кг ТМ Стародворье  ПОКОМ, шт</t>
  </si>
  <si>
    <t>Колбаса Фуэт нарезка 0,07кг ТМ Стародворье  ПОКОМ, шт</t>
  </si>
  <si>
    <t>Окорок Прошутто выдержанный нарезка 0,055кг ТМ Стародворье  ПОКОМ, шт</t>
  </si>
  <si>
    <t>Сосиски Филейбургские с грудкой ТМ Баварушка 0,33 кг. ПОКОМ, шт</t>
  </si>
  <si>
    <t>Сосиски Классические ТМ Ядрена копоть 0,3кг  ПОКОМ</t>
  </si>
  <si>
    <t>Сосиски С сыром ТМ Ядрена копоть 0,3кг  ПОКОМ</t>
  </si>
  <si>
    <t>Колбаса Мраморная ТМ Стародворье в вакуумной упаковке 0,07 кг нарезка  ПОКОМ</t>
  </si>
  <si>
    <t>Бекон выдержанный нарезка 0,055кг ТМ Стародворье  ПОКОМ</t>
  </si>
  <si>
    <t>Бекон ТМ Стародворье в вакуумной упаковке 0,12кг нарезка  ПОКОМ</t>
  </si>
  <si>
    <t>Шпикачки Зареченские ВЕС ТМ Зареченские  ПОКОМ</t>
  </si>
  <si>
    <t>Колбаса Молокуша ТМ Вязанка в модифицированной газовой среде 0,17 кг нарезка  ПОКОМ</t>
  </si>
  <si>
    <t>Колбаса Молочная Дугушка ТМ Стародворье ТС Дугушка в оболочке полиамид 0,4 кг  ПОКОМ</t>
  </si>
  <si>
    <t>Колбаса Мясная Классическая ТМ Вязанка в оболочке полиамид. ВЕС  ПОКОМ</t>
  </si>
  <si>
    <t>Колбаса Мясорубская с чесноком ТМ Стародворье в обол. фиброуз в вак. упак. 0,3 кг срез  ПОКОМ</t>
  </si>
  <si>
    <t>Колбаса Балыковая НОВАЯ ВЕС Вязанка фиброуз в/у ПОКОМ</t>
  </si>
  <si>
    <t>Колбаса Сервелат Ореховый ТМ Вязанка в оболочке фиброуз в вакуумной упаковке, ВЕС  ПОКОМ</t>
  </si>
  <si>
    <t>Колбаса Сервелат Финский ТМ Вязанка в оболочке фиброуз в вакуумной упаковке, ВЕС  ПОКОМ</t>
  </si>
  <si>
    <t>Колбаса Сервелат Вяленый ТМ Стародворье в оболочке фиброуз в вакуумной упаковке 0,3 кг  ПОКОМ</t>
  </si>
  <si>
    <t>Ассорти колбас Мясорубская коллекция: Сервелат Делюкс, С балыком 0,08 кг нарезка  ПОКОМ</t>
  </si>
  <si>
    <t>Колбаса Сервелат Мясорубский ТМ Стародворье в упаковке скин 0,08 кг нарезка  ПОКОМ</t>
  </si>
  <si>
    <t>Сосиски Сочинки по-баварски ТМ Стародворье в оболочке полиамид в мод. газ. среде 0,3 кг  ПОКОМ</t>
  </si>
  <si>
    <t>Наименование у Бычкова</t>
  </si>
  <si>
    <t>Наименование 1С  ЛП</t>
  </si>
  <si>
    <t>Ветчина нежная ОСОБАЯ Зареченские колбасы 2.6кг БАТОН</t>
  </si>
  <si>
    <t>Сервелат Кремлевский в/к Стародворские колбасы</t>
  </si>
  <si>
    <t>Филейская Вязанка Классическая 0,45кг Стародворские колбасы</t>
  </si>
  <si>
    <t>Колбаса Стародворская Традиционная п/а 400 г ТМ Стародворье</t>
  </si>
  <si>
    <t>ДУГУШКА Докторская вар. ГОСТ Стародворские колбасы</t>
  </si>
  <si>
    <t>Филедворская по-стародворски п/а (Стародвор)</t>
  </si>
  <si>
    <t>ДУГУШКА  Ветчина Стародворские колбасы</t>
  </si>
  <si>
    <t>Молочная Традиционная  Стародворские колбасы</t>
  </si>
  <si>
    <t>Вязанка  Молокуша 0,45кг Стародворские колбасы</t>
  </si>
  <si>
    <t>Стародворская традиционная со шпиком п/а(Стародворские колбасы)</t>
  </si>
  <si>
    <t>Сервелат Зернистый п/к  Стародворские колбасы</t>
  </si>
  <si>
    <t>Мини Сервелат Кремлевский 0,35 Стародворские колбасы</t>
  </si>
  <si>
    <t>Сосиски Баварские Стародворские колбасы</t>
  </si>
  <si>
    <t>Ветчина Нежная Особая Зареченские колбасы малый батон</t>
  </si>
  <si>
    <t>Сосиски Сливочные вязанка Стародворские колбасы</t>
  </si>
  <si>
    <t>Балыковая в/к фиброуз в/у термо Стародворские колбасы</t>
  </si>
  <si>
    <t>ДУГУШКА Молочная вар. Стародворские колбасы</t>
  </si>
  <si>
    <t>Балыкбургская с копченым балыком 0,35кг</t>
  </si>
  <si>
    <t>Ветчина Нежная Особая 0,4кг Стародворские колбасы</t>
  </si>
  <si>
    <t>ГОСТ Докторская вязанка Стародворские колбасы</t>
  </si>
  <si>
    <t>ОСОБАЯ ДОКТОРСКАЯ вар. 0.5кг Стародворские колбасы</t>
  </si>
  <si>
    <t>Молочная Традиционная п/а 400г  Стародворские колбасы</t>
  </si>
  <si>
    <t>Молочная по-стародворски вар п/а Стародворские колбасы</t>
  </si>
  <si>
    <t>Колбаса вареная Мусульманская халяль 0,4 кг (СТМ Вязанка) KZ Стародворские колбасы</t>
  </si>
  <si>
    <t>Филедворская со шпиком по-стародворски п/а(Старод)</t>
  </si>
  <si>
    <t>Сервелат Филедворский 0,35кг Стародворские колбасы</t>
  </si>
  <si>
    <t>Сливушка Вязанка вар. Стародворские колбасы</t>
  </si>
  <si>
    <t>Дугушка со шпиком</t>
  </si>
  <si>
    <t>Ганноверские сосиски 0,6кг Стародворье</t>
  </si>
  <si>
    <t>Сосиски Молочные Вязанка 0,45 кг Стародворские колбасы</t>
  </si>
  <si>
    <t>Сосиски Сочинки Молочные 0,4кг Стародворские колбасы</t>
  </si>
  <si>
    <t>Шпикачки Стародворские н/о</t>
  </si>
  <si>
    <t>Сервелат Столичный вязанка в/к в/у термо Стародворские колбасы</t>
  </si>
  <si>
    <t>Сосиски Датские Стародворские колбасы</t>
  </si>
  <si>
    <t>Сосиски Сочинки Сливочные 0,4кг Стародворские колбасы</t>
  </si>
  <si>
    <t>Салями Охотничья б/о с/к Стародворские колбасы</t>
  </si>
  <si>
    <t>Копченые колбасы «Колбаски Мини-колбаски со вкусом Мясо на углях» Фикс.вес 0,2 б/о ТМ «Ядрена копоть»</t>
  </si>
  <si>
    <t>Ветчины «Филейская» ф/в 0,37 п/а ТМ «Вязанка»</t>
  </si>
  <si>
    <t>Сосиски «Вязанка Молочные» Фикс.вес 0,37 п/а ТМ «Вязанка»</t>
  </si>
  <si>
    <t>Вареные колбасы «Сливушка» Фикс.вес 0,11 нарезка ТМ «Вязанка»</t>
  </si>
  <si>
    <t>Ветчины «Сливушка с индейкой» Фикс.вес 0,1 нарезка ТМ «Вязанка»</t>
  </si>
  <si>
    <t>Сосиски «Сочные» Фикс.вес 0,3 П/а мгс ТМ «Вязанка»</t>
  </si>
  <si>
    <t>Копченые колбасы «Сервелат Вяленый» Фикс.вес 0,15 фиброуз ТМ «Стародворье»</t>
  </si>
  <si>
    <t>В/к колбасы Сервелат Мясорубский с мелкорубленным окороком срез Бордо Фикс.вес 0,4 фиброуз Стародворье</t>
  </si>
  <si>
    <t>Вареные колбасы «Стародворская Мясная» Фикс.вес 0,4 п/а ТМ «Стародворье»</t>
  </si>
  <si>
    <t>Вареные колбасы «Стародворская со шпиком» Фикс.вес 0,4 п/а ТМ «Стародворье»</t>
  </si>
  <si>
    <t>Вареные колбасы Докторская ГОСТ Золоченная в печи Весовые ц/о в/у Стародворье</t>
  </si>
  <si>
    <t>Вареные колбасы «со шпиком» Весовой фиброуз ТМ «Стародворье»</t>
  </si>
  <si>
    <t>Вареные колбасы «Стародворская» Весовой фиброуз ТМ «Стародворье»</t>
  </si>
  <si>
    <t>Вареные колбасы «Стародворская» Весовой б/о ТМ «Стародворье»</t>
  </si>
  <si>
    <t>Копченые колбасы «Чесночная» Фикс.вес 0,4 фиброуз ТМ «Стародворье»</t>
  </si>
  <si>
    <t>Сосиски «Сливочные» Фикс.вес 0,55 п/а ТМ «Стародворье»</t>
  </si>
  <si>
    <t>Вареные колбасы «Молочная ГОСТ» Весовой п/а ТМ «Дугушка»</t>
  </si>
  <si>
    <t>Ветчины «Дугушка» Фикс.вес 0,4 полиамид ТМ «Стародворье»</t>
  </si>
  <si>
    <t>Вареные колбасы «Молочная» Весовой п/а ТМ «Зареченские»</t>
  </si>
  <si>
    <t>Вареные колбасы «Муромская» Весовой п/а ТМ «Зареченские»</t>
  </si>
  <si>
    <t>Вареные колбасы «Молочная» Фикс.вес 0,4 п/а ТМ «Зареченские»</t>
  </si>
  <si>
    <t>Ветчины «Рубленая» Весовой п/а ТМ «Зареченские» НТУ HR</t>
  </si>
  <si>
    <t>Колбаса п/к Аль-Ислами халяль вак/уп 0,35 кг (СТМ Вязанка) К</t>
  </si>
  <si>
    <t>Салями Филейбургская зернистая в/у Стародворские колбасы</t>
  </si>
  <si>
    <t>Филейбургская с душистым чесноком в/к в/у Стародворские колбасы</t>
  </si>
  <si>
    <t>Филейбургская с сочным окороком в/к в/у Стародворские колбасы</t>
  </si>
  <si>
    <t>Ветчина Столичная вязанка 0,45кг Стародворские колбасы</t>
  </si>
  <si>
    <t>Ветчина Филейская Столичная  Стародворские колбасы</t>
  </si>
  <si>
    <t>ГОСТ Докторская вязанка МИНИ 0,4кг Стародворские колбасы</t>
  </si>
  <si>
    <t>ДУГУШКА Рубленная п/к. Стародворские колбасы</t>
  </si>
  <si>
    <t>ДУГУШКА Салями запеченная Стародворские колбасы</t>
  </si>
  <si>
    <t>ДУГУШКА Сервелат п/к Стародворские колбасы</t>
  </si>
  <si>
    <t>Колбаса вареная Вязанка Филейская Стародворские колбасы</t>
  </si>
  <si>
    <t>Колбаса Вязанка со шпиком вар Стародворские колбасы</t>
  </si>
  <si>
    <t>Колбаса Стародворская Традиционная ТМ Стародворье</t>
  </si>
  <si>
    <t>Молочная по-стародворски вар. 0,4кг Стародворские колбасы</t>
  </si>
  <si>
    <t>Молочная ручная вязка Стародворские колбасы</t>
  </si>
  <si>
    <t>Мясорубская с рубленной грудинкой в/к 0,35кг Стародворские колбасы</t>
  </si>
  <si>
    <t>Мясорубская с рубленной грудинкой в/к Стародворские колбасы</t>
  </si>
  <si>
    <t>Нежная вар. Стародворские колбасы</t>
  </si>
  <si>
    <t>Особая вар сетка Зареченские колбасы</t>
  </si>
  <si>
    <t>Особая Докторская 2,65кг сетка Зареченские колбасы Стародворские колбасы</t>
  </si>
  <si>
    <t>Особая МОЛОЧНАЯ вар. Зареченские колбасы Стародворские колбасы</t>
  </si>
  <si>
    <t>Салями Филейбургская зернистая в/к 0,35кг Стародворские колбасы</t>
  </si>
  <si>
    <t>Сардельки Мясные Говяжьи  Н/О Стародворские колбасы</t>
  </si>
  <si>
    <t>Сервелат Рижский п/к Стародворские колбасы</t>
  </si>
  <si>
    <t>Сервелат Филейбургский с ароматными пряностями 0,35кг Стародворские колбасы</t>
  </si>
  <si>
    <t>Сервелат Филейбургский с копченой грудинкой 0,35кг Стародворские колбасы</t>
  </si>
  <si>
    <t>Сервелат Филейбургский с филе сочного окорока в/к 0,35кг Стародворские колбасы</t>
  </si>
  <si>
    <t>Сливушка Вязанка п/а 375г Стародворские колбасы</t>
  </si>
  <si>
    <t>Сосиски Ганноверские по-Стародворски Стародворские колбасы</t>
  </si>
  <si>
    <t>Сосиски Молочные Вязанка  Стародворские колбасы</t>
  </si>
  <si>
    <t>Сосиски Сливочные вязанка 0,45 кг Стародворье</t>
  </si>
  <si>
    <t>Сосиски Сочинки с сочной грудинкой 0,4 кг Стародворские колбасы</t>
  </si>
  <si>
    <t>Сосиски Сочинки с сочным окороком в/к в/у 0,4 кг Стародворские колбасы</t>
  </si>
  <si>
    <t>Сосиски Филейские Рубленые 0.3кг Стародворские колбасы</t>
  </si>
  <si>
    <t>Сочинка зернистая с сочной грудинкой Стародворские колбасы</t>
  </si>
  <si>
    <t xml:space="preserve">Сочинка по-европейски с соч. груд. в/к Стародворские колбасы </t>
  </si>
  <si>
    <t>Сочинка по-фински с сочным окороком.в/к Стародворские колбасы</t>
  </si>
  <si>
    <t>Сочинка рубленная с сочным окороком в/к Стародворские колбасы</t>
  </si>
  <si>
    <t>Филедворская по-стародворски 0,5кг ТМ Стародворские колбасы</t>
  </si>
  <si>
    <t>Швейцарская с/к 0,170 кг Стародворские колбасы</t>
  </si>
  <si>
    <t>Итого:</t>
  </si>
  <si>
    <t>Колбаса Со шпиком по-стародворски ТМ Стародворье в оболочке полиамид.ВЕС  ПОКОМ</t>
  </si>
  <si>
    <t>Колбаса Со шпиком Стародворская ТМ Стародворье в оболочке полиамид ВЕС  ПОКОМ</t>
  </si>
  <si>
    <t>№</t>
  </si>
  <si>
    <t>Сосиски БАВАРСКИЕ 0,35кг Стародворье</t>
  </si>
  <si>
    <t>Сосиски Баварские с сыром 0,35кг Стародворские колбасы</t>
  </si>
  <si>
    <t>Дугушка Стародворская вар. ТУ Стародворские колбасы</t>
  </si>
  <si>
    <t>ОСОБАЯ вар. 0,5кг Стародворские колбасы</t>
  </si>
  <si>
    <t>Резерв 1</t>
  </si>
  <si>
    <t>Резерв 2</t>
  </si>
  <si>
    <t>Резерв 3</t>
  </si>
  <si>
    <t>Резерв 4</t>
  </si>
  <si>
    <t>Резерв 5</t>
  </si>
  <si>
    <t>Резерв 6</t>
  </si>
  <si>
    <t>Резерв 7</t>
  </si>
  <si>
    <t>Итого заказ</t>
  </si>
  <si>
    <t>кооф</t>
  </si>
  <si>
    <t>ЗАКАЗ,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</si>
</sst>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0"/>
    <numFmt numFmtId="168" formatCode="[$-419]General"/>
    <numFmt numFmtId="169" formatCode="#,##0.000_ ;\-#,##0.000\ 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2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6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956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  <xf numFmtId="168" fontId="49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0" fillId="24" borderId="0" xfId="0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/>
    <xf numFmtId="0" fontId="44" fillId="0" borderId="10" xfId="1952" applyFont="1" applyBorder="1" applyAlignment="1">
      <alignment horizontal="left" vertical="top" wrapText="1"/>
    </xf>
    <xf numFmtId="0" fontId="44" fillId="0" borderId="10" xfId="0" applyFont="1" applyBorder="1" applyAlignment="1">
      <alignment vertical="top" wrapText="1"/>
    </xf>
    <xf numFmtId="0" fontId="44" fillId="0" borderId="10" xfId="0" applyFont="1" applyBorder="1" applyAlignment="1">
      <alignment horizontal="left" vertical="top"/>
    </xf>
    <xf numFmtId="4" fontId="44" fillId="0" borderId="10" xfId="0" applyNumberFormat="1" applyFont="1" applyBorder="1" applyAlignment="1">
      <alignment horizontal="left" vertical="top"/>
    </xf>
    <xf numFmtId="0" fontId="32" fillId="29" borderId="10" xfId="0" applyFont="1" applyFill="1" applyBorder="1" applyAlignment="1">
      <alignment horizontal="center" vertical="center"/>
    </xf>
    <xf numFmtId="0" fontId="32" fillId="29" borderId="10" xfId="0" applyFont="1" applyFill="1" applyBorder="1" applyAlignment="1">
      <alignment horizontal="center" vertical="center" wrapText="1"/>
    </xf>
    <xf numFmtId="49" fontId="32" fillId="29" borderId="10" xfId="0" applyNumberFormat="1" applyFont="1" applyFill="1" applyBorder="1" applyAlignment="1">
      <alignment horizontal="center" vertical="center"/>
    </xf>
    <xf numFmtId="4" fontId="45" fillId="0" borderId="10" xfId="1952" applyNumberFormat="1" applyFont="1" applyBorder="1" applyAlignment="1">
      <alignment horizontal="center" vertical="center"/>
    </xf>
    <xf numFmtId="4" fontId="46" fillId="0" borderId="10" xfId="1952" applyNumberFormat="1" applyFont="1" applyBorder="1" applyAlignment="1">
      <alignment horizontal="center" vertical="center"/>
    </xf>
    <xf numFmtId="4" fontId="44" fillId="0" borderId="10" xfId="0" applyNumberFormat="1" applyFont="1" applyBorder="1" applyAlignment="1">
      <alignment horizontal="center" vertical="top"/>
    </xf>
    <xf numFmtId="167" fontId="45" fillId="0" borderId="10" xfId="1952" applyNumberFormat="1" applyFont="1" applyBorder="1" applyAlignment="1">
      <alignment horizontal="center" vertical="center"/>
    </xf>
    <xf numFmtId="167" fontId="46" fillId="0" borderId="10" xfId="1952" applyNumberFormat="1" applyFont="1" applyBorder="1" applyAlignment="1">
      <alignment horizontal="center" vertical="center"/>
    </xf>
    <xf numFmtId="167" fontId="36" fillId="25" borderId="10" xfId="0" applyNumberFormat="1" applyFont="1" applyFill="1" applyBorder="1" applyAlignment="1">
      <alignment horizontal="center" vertical="center"/>
    </xf>
    <xf numFmtId="0" fontId="43" fillId="27" borderId="10" xfId="0" applyFont="1" applyFill="1" applyBorder="1" applyAlignment="1">
      <alignment horizontal="center" vertical="center" wrapText="1"/>
    </xf>
    <xf numFmtId="0" fontId="38" fillId="27" borderId="10" xfId="0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33" fillId="27" borderId="10" xfId="0" applyFont="1" applyFill="1" applyBorder="1" applyAlignment="1">
      <alignment horizontal="center" vertical="center" wrapText="1"/>
    </xf>
    <xf numFmtId="2" fontId="41" fillId="27" borderId="10" xfId="0" applyNumberFormat="1" applyFont="1" applyFill="1" applyBorder="1" applyAlignment="1">
      <alignment horizontal="center" vertical="center" wrapText="1"/>
    </xf>
    <xf numFmtId="0" fontId="35" fillId="28" borderId="10" xfId="1953" applyFont="1" applyFill="1" applyBorder="1" applyAlignment="1">
      <alignment horizontal="right" vertical="center" wrapText="1"/>
    </xf>
    <xf numFmtId="167" fontId="39" fillId="28" borderId="10" xfId="0" applyNumberFormat="1" applyFont="1" applyFill="1" applyBorder="1" applyAlignment="1">
      <alignment horizontal="center" vertical="center"/>
    </xf>
    <xf numFmtId="167" fontId="42" fillId="28" borderId="10" xfId="0" applyNumberFormat="1" applyFont="1" applyFill="1" applyBorder="1" applyAlignment="1">
      <alignment horizontal="center" vertical="center"/>
    </xf>
    <xf numFmtId="0" fontId="32" fillId="0" borderId="10" xfId="0" applyFont="1" applyBorder="1" applyAlignment="1">
      <alignment horizontal="left" vertical="top" wrapText="1"/>
    </xf>
    <xf numFmtId="0" fontId="32" fillId="0" borderId="10" xfId="0" applyFont="1" applyBorder="1"/>
    <xf numFmtId="167" fontId="47" fillId="26" borderId="10" xfId="0" applyNumberFormat="1" applyFont="1" applyFill="1" applyBorder="1" applyAlignment="1">
      <alignment horizontal="center" vertical="center"/>
    </xf>
    <xf numFmtId="0" fontId="48" fillId="27" borderId="10" xfId="0" applyFont="1" applyFill="1" applyBorder="1" applyAlignment="1">
      <alignment horizontal="center" vertical="center" wrapText="1"/>
    </xf>
    <xf numFmtId="0" fontId="44" fillId="30" borderId="10" xfId="1953" applyFont="1" applyFill="1" applyBorder="1" applyAlignment="1">
      <alignment horizontal="center" vertical="center" wrapText="1"/>
    </xf>
    <xf numFmtId="0" fontId="41" fillId="28" borderId="10" xfId="1953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4" fillId="0" borderId="10" xfId="0" applyFont="1" applyBorder="1"/>
    <xf numFmtId="168" fontId="34" fillId="0" borderId="10" xfId="1954" applyFont="1" applyBorder="1" applyAlignment="1">
      <alignment vertical="top" wrapText="1"/>
    </xf>
    <xf numFmtId="0" fontId="34" fillId="0" borderId="10" xfId="0" applyFont="1" applyBorder="1" applyAlignment="1">
      <alignment vertical="top" wrapText="1"/>
    </xf>
    <xf numFmtId="4" fontId="34" fillId="0" borderId="10" xfId="0" applyNumberFormat="1" applyFont="1" applyBorder="1" applyAlignment="1">
      <alignment horizontal="center" vertical="center" wrapText="1"/>
    </xf>
    <xf numFmtId="4" fontId="34" fillId="0" borderId="10" xfId="1954" applyNumberFormat="1" applyFont="1" applyBorder="1" applyAlignment="1">
      <alignment horizontal="center" vertical="center" wrapText="1"/>
    </xf>
    <xf numFmtId="0" fontId="34" fillId="30" borderId="10" xfId="0" applyFont="1" applyFill="1" applyBorder="1" applyAlignment="1">
      <alignment horizontal="center" vertical="center"/>
    </xf>
    <xf numFmtId="0" fontId="34" fillId="30" borderId="10" xfId="1954" applyNumberFormat="1" applyFont="1" applyFill="1" applyBorder="1" applyAlignment="1">
      <alignment horizontal="center" vertical="center"/>
    </xf>
    <xf numFmtId="49" fontId="34" fillId="29" borderId="10" xfId="0" applyNumberFormat="1" applyFont="1" applyFill="1" applyBorder="1"/>
    <xf numFmtId="168" fontId="34" fillId="29" borderId="10" xfId="1954" applyFont="1" applyFill="1" applyBorder="1" applyAlignment="1">
      <alignment vertical="center" wrapText="1"/>
    </xf>
    <xf numFmtId="0" fontId="35" fillId="28" borderId="10" xfId="1953" applyFont="1" applyFill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/>
    </xf>
    <xf numFmtId="0" fontId="44" fillId="0" borderId="10" xfId="1952" applyFont="1" applyBorder="1" applyAlignment="1">
      <alignment horizontal="left" wrapText="1"/>
    </xf>
    <xf numFmtId="0" fontId="48" fillId="31" borderId="10" xfId="0" applyFont="1" applyFill="1" applyBorder="1" applyAlignment="1" applyProtection="1">
      <alignment horizontal="center" vertical="center" wrapText="1"/>
      <protection locked="0"/>
    </xf>
    <xf numFmtId="169" fontId="44" fillId="0" borderId="10" xfId="1955" applyNumberFormat="1" applyFont="1" applyFill="1" applyBorder="1" applyAlignment="1" applyProtection="1">
      <alignment horizontal="center" vertical="top" wrapText="1"/>
      <protection locked="0"/>
    </xf>
    <xf numFmtId="169" fontId="44" fillId="32" borderId="10" xfId="1955" applyNumberFormat="1" applyFont="1" applyFill="1" applyBorder="1" applyAlignment="1" applyProtection="1">
      <alignment horizontal="center" vertical="top" wrapText="1"/>
    </xf>
    <xf numFmtId="169" fontId="50" fillId="32" borderId="10" xfId="1955" applyNumberFormat="1" applyFont="1" applyFill="1" applyBorder="1" applyAlignment="1" applyProtection="1">
      <alignment horizontal="center" vertical="top" wrapText="1"/>
      <protection locked="0"/>
    </xf>
    <xf numFmtId="0" fontId="48" fillId="31" borderId="11" xfId="0" applyFont="1" applyFill="1" applyBorder="1" applyAlignment="1" applyProtection="1">
      <alignment horizontal="center" vertical="center" wrapText="1"/>
      <protection locked="0"/>
    </xf>
    <xf numFmtId="0" fontId="48" fillId="27" borderId="10" xfId="0" applyFont="1" applyFill="1" applyBorder="1" applyAlignment="1">
      <alignment horizontal="center" vertical="center"/>
    </xf>
    <xf numFmtId="0" fontId="32" fillId="0" borderId="0" xfId="0" applyFont="1"/>
    <xf numFmtId="0" fontId="41" fillId="28" borderId="10" xfId="1953" applyFont="1" applyFill="1" applyBorder="1" applyAlignment="1" applyProtection="1">
      <alignment horizontal="center" vertical="center"/>
      <protection locked="0"/>
    </xf>
    <xf numFmtId="169" fontId="41" fillId="32" borderId="10" xfId="1955" applyNumberFormat="1" applyFont="1" applyFill="1" applyBorder="1" applyAlignment="1" applyProtection="1">
      <alignment horizontal="center" vertical="top" wrapText="1"/>
      <protection locked="0"/>
    </xf>
  </cellXfs>
  <cellStyles count="1956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Excel Built-in Normal" xfId="1954" xr:uid="{00000000-0005-0000-0000-000074000000}"/>
    <cellStyle name="Legal 8? x 14 in" xfId="39" xr:uid="{00000000-0005-0000-0000-000075000000}"/>
    <cellStyle name="Legal 8½ x 14 in" xfId="40" xr:uid="{00000000-0005-0000-0000-000076000000}"/>
    <cellStyle name="Normal 2" xfId="41" xr:uid="{00000000-0005-0000-0000-000077000000}"/>
    <cellStyle name="Normal 2 2" xfId="42" xr:uid="{00000000-0005-0000-0000-000078000000}"/>
    <cellStyle name="Normal 2 3" xfId="43" xr:uid="{00000000-0005-0000-0000-000079000000}"/>
    <cellStyle name="Normal 2 4" xfId="44" xr:uid="{00000000-0005-0000-0000-00007A000000}"/>
    <cellStyle name="Normal 3" xfId="45" xr:uid="{00000000-0005-0000-0000-00007B000000}"/>
    <cellStyle name="Normal 4" xfId="46" xr:uid="{00000000-0005-0000-0000-00007C000000}"/>
    <cellStyle name="Normal 4 10" xfId="1428" xr:uid="{00000000-0005-0000-0000-00007D000000}"/>
    <cellStyle name="Normal 4 11" xfId="1605" xr:uid="{00000000-0005-0000-0000-00007E000000}"/>
    <cellStyle name="Normal 4 12" xfId="1786" xr:uid="{00000000-0005-0000-0000-00007F000000}"/>
    <cellStyle name="Normal 4 2" xfId="47" xr:uid="{00000000-0005-0000-0000-000080000000}"/>
    <cellStyle name="Normal 4 2 2" xfId="542" xr:uid="{00000000-0005-0000-0000-000081000000}"/>
    <cellStyle name="Normal 4 2 3" xfId="719" xr:uid="{00000000-0005-0000-0000-000082000000}"/>
    <cellStyle name="Normal 4 2 4" xfId="896" xr:uid="{00000000-0005-0000-0000-000083000000}"/>
    <cellStyle name="Normal 4 2 5" xfId="1075" xr:uid="{00000000-0005-0000-0000-000084000000}"/>
    <cellStyle name="Normal 4 2 6" xfId="1252" xr:uid="{00000000-0005-0000-0000-000085000000}"/>
    <cellStyle name="Normal 4 2 7" xfId="1429" xr:uid="{00000000-0005-0000-0000-000086000000}"/>
    <cellStyle name="Normal 4 2 8" xfId="1606" xr:uid="{00000000-0005-0000-0000-000087000000}"/>
    <cellStyle name="Normal 4 2 9" xfId="1787" xr:uid="{00000000-0005-0000-0000-000088000000}"/>
    <cellStyle name="Normal 4 3" xfId="48" xr:uid="{00000000-0005-0000-0000-000089000000}"/>
    <cellStyle name="Normal 4 3 2" xfId="543" xr:uid="{00000000-0005-0000-0000-00008A000000}"/>
    <cellStyle name="Normal 4 3 3" xfId="720" xr:uid="{00000000-0005-0000-0000-00008B000000}"/>
    <cellStyle name="Normal 4 3 4" xfId="897" xr:uid="{00000000-0005-0000-0000-00008C000000}"/>
    <cellStyle name="Normal 4 3 5" xfId="1076" xr:uid="{00000000-0005-0000-0000-00008D000000}"/>
    <cellStyle name="Normal 4 3 6" xfId="1253" xr:uid="{00000000-0005-0000-0000-00008E000000}"/>
    <cellStyle name="Normal 4 3 7" xfId="1430" xr:uid="{00000000-0005-0000-0000-00008F000000}"/>
    <cellStyle name="Normal 4 3 8" xfId="1607" xr:uid="{00000000-0005-0000-0000-000090000000}"/>
    <cellStyle name="Normal 4 3 9" xfId="1788" xr:uid="{00000000-0005-0000-0000-000091000000}"/>
    <cellStyle name="Normal 4 4" xfId="49" xr:uid="{00000000-0005-0000-0000-000092000000}"/>
    <cellStyle name="Normal 4 4 2" xfId="544" xr:uid="{00000000-0005-0000-0000-000093000000}"/>
    <cellStyle name="Normal 4 4 3" xfId="721" xr:uid="{00000000-0005-0000-0000-000094000000}"/>
    <cellStyle name="Normal 4 4 4" xfId="898" xr:uid="{00000000-0005-0000-0000-000095000000}"/>
    <cellStyle name="Normal 4 4 5" xfId="1077" xr:uid="{00000000-0005-0000-0000-000096000000}"/>
    <cellStyle name="Normal 4 4 6" xfId="1254" xr:uid="{00000000-0005-0000-0000-000097000000}"/>
    <cellStyle name="Normal 4 4 7" xfId="1431" xr:uid="{00000000-0005-0000-0000-000098000000}"/>
    <cellStyle name="Normal 4 4 8" xfId="1608" xr:uid="{00000000-0005-0000-0000-000099000000}"/>
    <cellStyle name="Normal 4 4 9" xfId="1789" xr:uid="{00000000-0005-0000-0000-00009A000000}"/>
    <cellStyle name="Normal 4 5" xfId="541" xr:uid="{00000000-0005-0000-0000-00009B000000}"/>
    <cellStyle name="Normal 4 6" xfId="718" xr:uid="{00000000-0005-0000-0000-00009C000000}"/>
    <cellStyle name="Normal 4 7" xfId="895" xr:uid="{00000000-0005-0000-0000-00009D000000}"/>
    <cellStyle name="Normal 4 8" xfId="1074" xr:uid="{00000000-0005-0000-0000-00009E000000}"/>
    <cellStyle name="Normal 4 9" xfId="1251" xr:uid="{00000000-0005-0000-0000-00009F000000}"/>
    <cellStyle name="Normal 5" xfId="50" xr:uid="{00000000-0005-0000-0000-0000A0000000}"/>
    <cellStyle name="Normal 6" xfId="51" xr:uid="{00000000-0005-0000-0000-0000A1000000}"/>
    <cellStyle name="Normal 6 2" xfId="52" xr:uid="{00000000-0005-0000-0000-0000A2000000}"/>
    <cellStyle name="Normal 6 3" xfId="53" xr:uid="{00000000-0005-0000-0000-0000A3000000}"/>
    <cellStyle name="Normal 7" xfId="54" xr:uid="{00000000-0005-0000-0000-0000A4000000}"/>
    <cellStyle name="Normal 8" xfId="55" xr:uid="{00000000-0005-0000-0000-0000A5000000}"/>
    <cellStyle name="Normal 8 2" xfId="56" xr:uid="{00000000-0005-0000-0000-0000A6000000}"/>
    <cellStyle name="Normal 8 3" xfId="57" xr:uid="{00000000-0005-0000-0000-0000A7000000}"/>
    <cellStyle name="Normal 9" xfId="58" xr:uid="{00000000-0005-0000-0000-0000A8000000}"/>
    <cellStyle name="Percent 2" xfId="59" xr:uid="{00000000-0005-0000-0000-0000A9000000}"/>
    <cellStyle name="Percent 3" xfId="60" xr:uid="{00000000-0005-0000-0000-0000AA000000}"/>
    <cellStyle name="Percent 4" xfId="61" xr:uid="{00000000-0005-0000-0000-0000AB000000}"/>
    <cellStyle name="Акцент1 2" xfId="62" xr:uid="{00000000-0005-0000-0000-0000AC000000}"/>
    <cellStyle name="Акцент2 2" xfId="63" xr:uid="{00000000-0005-0000-0000-0000AD000000}"/>
    <cellStyle name="Акцент3 2" xfId="64" xr:uid="{00000000-0005-0000-0000-0000AE000000}"/>
    <cellStyle name="Акцент4 2" xfId="65" xr:uid="{00000000-0005-0000-0000-0000AF000000}"/>
    <cellStyle name="Акцент5 2" xfId="66" xr:uid="{00000000-0005-0000-0000-0000B0000000}"/>
    <cellStyle name="Акцент6 2" xfId="67" xr:uid="{00000000-0005-0000-0000-0000B1000000}"/>
    <cellStyle name="Ввод  2" xfId="68" xr:uid="{00000000-0005-0000-0000-0000B2000000}"/>
    <cellStyle name="Вывод 2" xfId="69" xr:uid="{00000000-0005-0000-0000-0000B3000000}"/>
    <cellStyle name="Вычисление 2" xfId="70" xr:uid="{00000000-0005-0000-0000-0000B4000000}"/>
    <cellStyle name="Денежный 2" xfId="71" xr:uid="{00000000-0005-0000-0000-0000B5000000}"/>
    <cellStyle name="Денежный 2 2" xfId="72" xr:uid="{00000000-0005-0000-0000-0000B6000000}"/>
    <cellStyle name="Денежный 2 3" xfId="73" xr:uid="{00000000-0005-0000-0000-0000B7000000}"/>
    <cellStyle name="Денежный 2 4" xfId="74" xr:uid="{00000000-0005-0000-0000-0000B8000000}"/>
    <cellStyle name="Заголовок 1 2" xfId="75" xr:uid="{00000000-0005-0000-0000-0000B9000000}"/>
    <cellStyle name="Заголовок 2 2" xfId="76" xr:uid="{00000000-0005-0000-0000-0000BA000000}"/>
    <cellStyle name="Заголовок 3 2" xfId="77" xr:uid="{00000000-0005-0000-0000-0000BB000000}"/>
    <cellStyle name="Заголовок 4 2" xfId="78" xr:uid="{00000000-0005-0000-0000-0000BC000000}"/>
    <cellStyle name="Итог 2" xfId="79" xr:uid="{00000000-0005-0000-0000-0000BD000000}"/>
    <cellStyle name="Контрольная ячейка 2" xfId="80" xr:uid="{00000000-0005-0000-0000-0000BE000000}"/>
    <cellStyle name="Название 2" xfId="81" xr:uid="{00000000-0005-0000-0000-0000BF000000}"/>
    <cellStyle name="Название 2 2" xfId="82" xr:uid="{00000000-0005-0000-0000-0000C0000000}"/>
    <cellStyle name="Название 2_Лист1" xfId="83" xr:uid="{00000000-0005-0000-0000-0000C1000000}"/>
    <cellStyle name="Нейтральный 2" xfId="84" xr:uid="{00000000-0005-0000-0000-0000C2000000}"/>
    <cellStyle name="Обычный" xfId="0" builtinId="0"/>
    <cellStyle name="Обычный 10" xfId="85" xr:uid="{00000000-0005-0000-0000-0000C4000000}"/>
    <cellStyle name="Обычный 100" xfId="86" xr:uid="{00000000-0005-0000-0000-0000C5000000}"/>
    <cellStyle name="Обычный 101" xfId="87" xr:uid="{00000000-0005-0000-0000-0000C6000000}"/>
    <cellStyle name="Обычный 102" xfId="88" xr:uid="{00000000-0005-0000-0000-0000C7000000}"/>
    <cellStyle name="Обычный 103" xfId="89" xr:uid="{00000000-0005-0000-0000-0000C8000000}"/>
    <cellStyle name="Обычный 104" xfId="90" xr:uid="{00000000-0005-0000-0000-0000C9000000}"/>
    <cellStyle name="Обычный 105" xfId="91" xr:uid="{00000000-0005-0000-0000-0000CA000000}"/>
    <cellStyle name="Обычный 106" xfId="92" xr:uid="{00000000-0005-0000-0000-0000CB000000}"/>
    <cellStyle name="Обычный 107" xfId="93" xr:uid="{00000000-0005-0000-0000-0000CC000000}"/>
    <cellStyle name="Обычный 108" xfId="94" xr:uid="{00000000-0005-0000-0000-0000CD000000}"/>
    <cellStyle name="Обычный 109" xfId="95" xr:uid="{00000000-0005-0000-0000-0000CE000000}"/>
    <cellStyle name="Обычный 11" xfId="96" xr:uid="{00000000-0005-0000-0000-0000CF000000}"/>
    <cellStyle name="Обычный 11 2" xfId="545" xr:uid="{00000000-0005-0000-0000-0000D0000000}"/>
    <cellStyle name="Обычный 11 3" xfId="722" xr:uid="{00000000-0005-0000-0000-0000D1000000}"/>
    <cellStyle name="Обычный 11 4" xfId="899" xr:uid="{00000000-0005-0000-0000-0000D2000000}"/>
    <cellStyle name="Обычный 11 5" xfId="1078" xr:uid="{00000000-0005-0000-0000-0000D3000000}"/>
    <cellStyle name="Обычный 11 6" xfId="1255" xr:uid="{00000000-0005-0000-0000-0000D4000000}"/>
    <cellStyle name="Обычный 11 7" xfId="1432" xr:uid="{00000000-0005-0000-0000-0000D5000000}"/>
    <cellStyle name="Обычный 11 8" xfId="1609" xr:uid="{00000000-0005-0000-0000-0000D6000000}"/>
    <cellStyle name="Обычный 11 9" xfId="1790" xr:uid="{00000000-0005-0000-0000-0000D7000000}"/>
    <cellStyle name="Обычный 110" xfId="97" xr:uid="{00000000-0005-0000-0000-0000D8000000}"/>
    <cellStyle name="Обычный 111" xfId="98" xr:uid="{00000000-0005-0000-0000-0000D9000000}"/>
    <cellStyle name="Обычный 112" xfId="99" xr:uid="{00000000-0005-0000-0000-0000DA000000}"/>
    <cellStyle name="Обычный 113" xfId="100" xr:uid="{00000000-0005-0000-0000-0000DB000000}"/>
    <cellStyle name="Обычный 114" xfId="101" xr:uid="{00000000-0005-0000-0000-0000DC000000}"/>
    <cellStyle name="Обычный 115" xfId="102" xr:uid="{00000000-0005-0000-0000-0000DD000000}"/>
    <cellStyle name="Обычный 116" xfId="103" xr:uid="{00000000-0005-0000-0000-0000DE000000}"/>
    <cellStyle name="Обычный 117" xfId="104" xr:uid="{00000000-0005-0000-0000-0000DF000000}"/>
    <cellStyle name="Обычный 118" xfId="105" xr:uid="{00000000-0005-0000-0000-0000E0000000}"/>
    <cellStyle name="Обычный 119" xfId="106" xr:uid="{00000000-0005-0000-0000-0000E1000000}"/>
    <cellStyle name="Обычный 12" xfId="107" xr:uid="{00000000-0005-0000-0000-0000E2000000}"/>
    <cellStyle name="Обычный 12 2" xfId="546" xr:uid="{00000000-0005-0000-0000-0000E3000000}"/>
    <cellStyle name="Обычный 12 3" xfId="723" xr:uid="{00000000-0005-0000-0000-0000E4000000}"/>
    <cellStyle name="Обычный 12 4" xfId="900" xr:uid="{00000000-0005-0000-0000-0000E5000000}"/>
    <cellStyle name="Обычный 12 5" xfId="1079" xr:uid="{00000000-0005-0000-0000-0000E6000000}"/>
    <cellStyle name="Обычный 12 6" xfId="1256" xr:uid="{00000000-0005-0000-0000-0000E7000000}"/>
    <cellStyle name="Обычный 12 7" xfId="1433" xr:uid="{00000000-0005-0000-0000-0000E8000000}"/>
    <cellStyle name="Обычный 12 8" xfId="1610" xr:uid="{00000000-0005-0000-0000-0000E9000000}"/>
    <cellStyle name="Обычный 12 9" xfId="1791" xr:uid="{00000000-0005-0000-0000-0000EA000000}"/>
    <cellStyle name="Обычный 120" xfId="108" xr:uid="{00000000-0005-0000-0000-0000EB000000}"/>
    <cellStyle name="Обычный 121" xfId="109" xr:uid="{00000000-0005-0000-0000-0000EC000000}"/>
    <cellStyle name="Обычный 122" xfId="110" xr:uid="{00000000-0005-0000-0000-0000ED000000}"/>
    <cellStyle name="Обычный 123" xfId="111" xr:uid="{00000000-0005-0000-0000-0000EE000000}"/>
    <cellStyle name="Обычный 124" xfId="112" xr:uid="{00000000-0005-0000-0000-0000EF000000}"/>
    <cellStyle name="Обычный 125" xfId="113" xr:uid="{00000000-0005-0000-0000-0000F0000000}"/>
    <cellStyle name="Обычный 126" xfId="114" xr:uid="{00000000-0005-0000-0000-0000F1000000}"/>
    <cellStyle name="Обычный 127" xfId="115" xr:uid="{00000000-0005-0000-0000-0000F2000000}"/>
    <cellStyle name="Обычный 128" xfId="116" xr:uid="{00000000-0005-0000-0000-0000F3000000}"/>
    <cellStyle name="Обычный 129" xfId="117" xr:uid="{00000000-0005-0000-0000-0000F4000000}"/>
    <cellStyle name="Обычный 13" xfId="118" xr:uid="{00000000-0005-0000-0000-0000F5000000}"/>
    <cellStyle name="Обычный 13 2" xfId="547" xr:uid="{00000000-0005-0000-0000-0000F6000000}"/>
    <cellStyle name="Обычный 13 3" xfId="724" xr:uid="{00000000-0005-0000-0000-0000F7000000}"/>
    <cellStyle name="Обычный 13 4" xfId="901" xr:uid="{00000000-0005-0000-0000-0000F8000000}"/>
    <cellStyle name="Обычный 13 5" xfId="1080" xr:uid="{00000000-0005-0000-0000-0000F9000000}"/>
    <cellStyle name="Обычный 13 6" xfId="1257" xr:uid="{00000000-0005-0000-0000-0000FA000000}"/>
    <cellStyle name="Обычный 13 7" xfId="1434" xr:uid="{00000000-0005-0000-0000-0000FB000000}"/>
    <cellStyle name="Обычный 13 8" xfId="1611" xr:uid="{00000000-0005-0000-0000-0000FC000000}"/>
    <cellStyle name="Обычный 13 9" xfId="1792" xr:uid="{00000000-0005-0000-0000-0000FD000000}"/>
    <cellStyle name="Обычный 130" xfId="119" xr:uid="{00000000-0005-0000-0000-0000FE000000}"/>
    <cellStyle name="Обычный 131" xfId="120" xr:uid="{00000000-0005-0000-0000-0000FF000000}"/>
    <cellStyle name="Обычный 132" xfId="121" xr:uid="{00000000-0005-0000-0000-000000010000}"/>
    <cellStyle name="Обычный 133" xfId="122" xr:uid="{00000000-0005-0000-0000-000001010000}"/>
    <cellStyle name="Обычный 134" xfId="123" xr:uid="{00000000-0005-0000-0000-000002010000}"/>
    <cellStyle name="Обычный 135" xfId="124" xr:uid="{00000000-0005-0000-0000-000003010000}"/>
    <cellStyle name="Обычный 136" xfId="125" xr:uid="{00000000-0005-0000-0000-000004010000}"/>
    <cellStyle name="Обычный 137" xfId="126" xr:uid="{00000000-0005-0000-0000-000005010000}"/>
    <cellStyle name="Обычный 138" xfId="127" xr:uid="{00000000-0005-0000-0000-000006010000}"/>
    <cellStyle name="Обычный 139" xfId="128" xr:uid="{00000000-0005-0000-0000-000007010000}"/>
    <cellStyle name="Обычный 14" xfId="129" xr:uid="{00000000-0005-0000-0000-000008010000}"/>
    <cellStyle name="Обычный 140" xfId="130" xr:uid="{00000000-0005-0000-0000-000009010000}"/>
    <cellStyle name="Обычный 141" xfId="131" xr:uid="{00000000-0005-0000-0000-00000A010000}"/>
    <cellStyle name="Обычный 142" xfId="132" xr:uid="{00000000-0005-0000-0000-00000B010000}"/>
    <cellStyle name="Обычный 143" xfId="133" xr:uid="{00000000-0005-0000-0000-00000C010000}"/>
    <cellStyle name="Обычный 144" xfId="134" xr:uid="{00000000-0005-0000-0000-00000D010000}"/>
    <cellStyle name="Обычный 145" xfId="135" xr:uid="{00000000-0005-0000-0000-00000E010000}"/>
    <cellStyle name="Обычный 146" xfId="136" xr:uid="{00000000-0005-0000-0000-00000F010000}"/>
    <cellStyle name="Обычный 147" xfId="137" xr:uid="{00000000-0005-0000-0000-000010010000}"/>
    <cellStyle name="Обычный 148" xfId="138" xr:uid="{00000000-0005-0000-0000-000011010000}"/>
    <cellStyle name="Обычный 149" xfId="139" xr:uid="{00000000-0005-0000-0000-000012010000}"/>
    <cellStyle name="Обычный 15" xfId="140" xr:uid="{00000000-0005-0000-0000-000013010000}"/>
    <cellStyle name="Обычный 150" xfId="141" xr:uid="{00000000-0005-0000-0000-000014010000}"/>
    <cellStyle name="Обычный 151" xfId="142" xr:uid="{00000000-0005-0000-0000-000015010000}"/>
    <cellStyle name="Обычный 152" xfId="143" xr:uid="{00000000-0005-0000-0000-000016010000}"/>
    <cellStyle name="Обычный 153" xfId="144" xr:uid="{00000000-0005-0000-0000-000017010000}"/>
    <cellStyle name="Обычный 154" xfId="145" xr:uid="{00000000-0005-0000-0000-000018010000}"/>
    <cellStyle name="Обычный 155" xfId="146" xr:uid="{00000000-0005-0000-0000-000019010000}"/>
    <cellStyle name="Обычный 156" xfId="147" xr:uid="{00000000-0005-0000-0000-00001A010000}"/>
    <cellStyle name="Обычный 157" xfId="148" xr:uid="{00000000-0005-0000-0000-00001B010000}"/>
    <cellStyle name="Обычный 158" xfId="149" xr:uid="{00000000-0005-0000-0000-00001C010000}"/>
    <cellStyle name="Обычный 159" xfId="150" xr:uid="{00000000-0005-0000-0000-00001D010000}"/>
    <cellStyle name="Обычный 16" xfId="151" xr:uid="{00000000-0005-0000-0000-00001E010000}"/>
    <cellStyle name="Обычный 160" xfId="152" xr:uid="{00000000-0005-0000-0000-00001F010000}"/>
    <cellStyle name="Обычный 161" xfId="153" xr:uid="{00000000-0005-0000-0000-000020010000}"/>
    <cellStyle name="Обычный 162" xfId="154" xr:uid="{00000000-0005-0000-0000-000021010000}"/>
    <cellStyle name="Обычный 163" xfId="155" xr:uid="{00000000-0005-0000-0000-000022010000}"/>
    <cellStyle name="Обычный 164" xfId="156" xr:uid="{00000000-0005-0000-0000-000023010000}"/>
    <cellStyle name="Обычный 165" xfId="157" xr:uid="{00000000-0005-0000-0000-000024010000}"/>
    <cellStyle name="Обычный 166" xfId="158" xr:uid="{00000000-0005-0000-0000-000025010000}"/>
    <cellStyle name="Обычный 167" xfId="159" xr:uid="{00000000-0005-0000-0000-000026010000}"/>
    <cellStyle name="Обычный 168" xfId="160" xr:uid="{00000000-0005-0000-0000-000027010000}"/>
    <cellStyle name="Обычный 169" xfId="161" xr:uid="{00000000-0005-0000-0000-000028010000}"/>
    <cellStyle name="Обычный 17" xfId="162" xr:uid="{00000000-0005-0000-0000-000029010000}"/>
    <cellStyle name="Обычный 170" xfId="163" xr:uid="{00000000-0005-0000-0000-00002A010000}"/>
    <cellStyle name="Обычный 171" xfId="164" xr:uid="{00000000-0005-0000-0000-00002B010000}"/>
    <cellStyle name="Обычный 172" xfId="165" xr:uid="{00000000-0005-0000-0000-00002C010000}"/>
    <cellStyle name="Обычный 173" xfId="166" xr:uid="{00000000-0005-0000-0000-00002D010000}"/>
    <cellStyle name="Обычный 174" xfId="167" xr:uid="{00000000-0005-0000-0000-00002E010000}"/>
    <cellStyle name="Обычный 175" xfId="168" xr:uid="{00000000-0005-0000-0000-00002F010000}"/>
    <cellStyle name="Обычный 176" xfId="169" xr:uid="{00000000-0005-0000-0000-000030010000}"/>
    <cellStyle name="Обычный 177" xfId="170" xr:uid="{00000000-0005-0000-0000-000031010000}"/>
    <cellStyle name="Обычный 178" xfId="171" xr:uid="{00000000-0005-0000-0000-000032010000}"/>
    <cellStyle name="Обычный 179" xfId="172" xr:uid="{00000000-0005-0000-0000-000033010000}"/>
    <cellStyle name="Обычный 18" xfId="173" xr:uid="{00000000-0005-0000-0000-000034010000}"/>
    <cellStyle name="Обычный 180" xfId="174" xr:uid="{00000000-0005-0000-0000-000035010000}"/>
    <cellStyle name="Обычный 181" xfId="175" xr:uid="{00000000-0005-0000-0000-000036010000}"/>
    <cellStyle name="Обычный 182" xfId="176" xr:uid="{00000000-0005-0000-0000-000037010000}"/>
    <cellStyle name="Обычный 183" xfId="177" xr:uid="{00000000-0005-0000-0000-000038010000}"/>
    <cellStyle name="Обычный 184" xfId="178" xr:uid="{00000000-0005-0000-0000-000039010000}"/>
    <cellStyle name="Обычный 185" xfId="179" xr:uid="{00000000-0005-0000-0000-00003A010000}"/>
    <cellStyle name="Обычный 186" xfId="180" xr:uid="{00000000-0005-0000-0000-00003B010000}"/>
    <cellStyle name="Обычный 187" xfId="181" xr:uid="{00000000-0005-0000-0000-00003C010000}"/>
    <cellStyle name="Обычный 188" xfId="182" xr:uid="{00000000-0005-0000-0000-00003D010000}"/>
    <cellStyle name="Обычный 189" xfId="183" xr:uid="{00000000-0005-0000-0000-00003E010000}"/>
    <cellStyle name="Обычный 19" xfId="184" xr:uid="{00000000-0005-0000-0000-00003F010000}"/>
    <cellStyle name="Обычный 190" xfId="185" xr:uid="{00000000-0005-0000-0000-000040010000}"/>
    <cellStyle name="Обычный 191" xfId="186" xr:uid="{00000000-0005-0000-0000-000041010000}"/>
    <cellStyle name="Обычный 192" xfId="187" xr:uid="{00000000-0005-0000-0000-000042010000}"/>
    <cellStyle name="Обычный 193" xfId="188" xr:uid="{00000000-0005-0000-0000-000043010000}"/>
    <cellStyle name="Обычный 194" xfId="189" xr:uid="{00000000-0005-0000-0000-000044010000}"/>
    <cellStyle name="Обычный 195" xfId="190" xr:uid="{00000000-0005-0000-0000-000045010000}"/>
    <cellStyle name="Обычный 196" xfId="191" xr:uid="{00000000-0005-0000-0000-000046010000}"/>
    <cellStyle name="Обычный 197" xfId="192" xr:uid="{00000000-0005-0000-0000-000047010000}"/>
    <cellStyle name="Обычный 198" xfId="193" xr:uid="{00000000-0005-0000-0000-000048010000}"/>
    <cellStyle name="Обычный 199" xfId="194" xr:uid="{00000000-0005-0000-0000-000049010000}"/>
    <cellStyle name="Обычный 2" xfId="2" xr:uid="{00000000-0005-0000-0000-00004A010000}"/>
    <cellStyle name="Обычный 2 10" xfId="195" xr:uid="{00000000-0005-0000-0000-00004B010000}"/>
    <cellStyle name="Обычный 2 10 10" xfId="1793" xr:uid="{00000000-0005-0000-0000-00004C010000}"/>
    <cellStyle name="Обычный 2 10 2" xfId="196" xr:uid="{00000000-0005-0000-0000-00004D010000}"/>
    <cellStyle name="Обычный 2 10 2 10" xfId="1436" xr:uid="{00000000-0005-0000-0000-00004E010000}"/>
    <cellStyle name="Обычный 2 10 2 11" xfId="1613" xr:uid="{00000000-0005-0000-0000-00004F010000}"/>
    <cellStyle name="Обычный 2 10 2 12" xfId="1794" xr:uid="{00000000-0005-0000-0000-000050010000}"/>
    <cellStyle name="Обычный 2 10 2 2" xfId="197" xr:uid="{00000000-0005-0000-0000-000051010000}"/>
    <cellStyle name="Обычный 2 10 2 2 2" xfId="550" xr:uid="{00000000-0005-0000-0000-000052010000}"/>
    <cellStyle name="Обычный 2 10 2 2 3" xfId="727" xr:uid="{00000000-0005-0000-0000-000053010000}"/>
    <cellStyle name="Обычный 2 10 2 2 4" xfId="904" xr:uid="{00000000-0005-0000-0000-000054010000}"/>
    <cellStyle name="Обычный 2 10 2 2 5" xfId="1083" xr:uid="{00000000-0005-0000-0000-000055010000}"/>
    <cellStyle name="Обычный 2 10 2 2 6" xfId="1260" xr:uid="{00000000-0005-0000-0000-000056010000}"/>
    <cellStyle name="Обычный 2 10 2 2 7" xfId="1437" xr:uid="{00000000-0005-0000-0000-000057010000}"/>
    <cellStyle name="Обычный 2 10 2 2 8" xfId="1614" xr:uid="{00000000-0005-0000-0000-000058010000}"/>
    <cellStyle name="Обычный 2 10 2 2 9" xfId="1795" xr:uid="{00000000-0005-0000-0000-000059010000}"/>
    <cellStyle name="Обычный 2 10 2 3" xfId="198" xr:uid="{00000000-0005-0000-0000-00005A010000}"/>
    <cellStyle name="Обычный 2 10 2 3 10" xfId="1796" xr:uid="{00000000-0005-0000-0000-00005B010000}"/>
    <cellStyle name="Обычный 2 10 2 3 2" xfId="199" xr:uid="{00000000-0005-0000-0000-00005C010000}"/>
    <cellStyle name="Обычный 2 10 2 3 2 2" xfId="552" xr:uid="{00000000-0005-0000-0000-00005D010000}"/>
    <cellStyle name="Обычный 2 10 2 3 2 3" xfId="729" xr:uid="{00000000-0005-0000-0000-00005E010000}"/>
    <cellStyle name="Обычный 2 10 2 3 2 4" xfId="906" xr:uid="{00000000-0005-0000-0000-00005F010000}"/>
    <cellStyle name="Обычный 2 10 2 3 2 5" xfId="1085" xr:uid="{00000000-0005-0000-0000-000060010000}"/>
    <cellStyle name="Обычный 2 10 2 3 2 6" xfId="1262" xr:uid="{00000000-0005-0000-0000-000061010000}"/>
    <cellStyle name="Обычный 2 10 2 3 2 7" xfId="1439" xr:uid="{00000000-0005-0000-0000-000062010000}"/>
    <cellStyle name="Обычный 2 10 2 3 2 8" xfId="1616" xr:uid="{00000000-0005-0000-0000-000063010000}"/>
    <cellStyle name="Обычный 2 10 2 3 2 9" xfId="1797" xr:uid="{00000000-0005-0000-0000-000064010000}"/>
    <cellStyle name="Обычный 2 10 2 3 3" xfId="551" xr:uid="{00000000-0005-0000-0000-000065010000}"/>
    <cellStyle name="Обычный 2 10 2 3 4" xfId="728" xr:uid="{00000000-0005-0000-0000-000066010000}"/>
    <cellStyle name="Обычный 2 10 2 3 5" xfId="905" xr:uid="{00000000-0005-0000-0000-000067010000}"/>
    <cellStyle name="Обычный 2 10 2 3 6" xfId="1084" xr:uid="{00000000-0005-0000-0000-000068010000}"/>
    <cellStyle name="Обычный 2 10 2 3 7" xfId="1261" xr:uid="{00000000-0005-0000-0000-000069010000}"/>
    <cellStyle name="Обычный 2 10 2 3 8" xfId="1438" xr:uid="{00000000-0005-0000-0000-00006A010000}"/>
    <cellStyle name="Обычный 2 10 2 3 9" xfId="1615" xr:uid="{00000000-0005-0000-0000-00006B010000}"/>
    <cellStyle name="Обычный 2 10 2 4" xfId="200" xr:uid="{00000000-0005-0000-0000-00006C010000}"/>
    <cellStyle name="Обычный 2 10 2 4 2" xfId="553" xr:uid="{00000000-0005-0000-0000-00006D010000}"/>
    <cellStyle name="Обычный 2 10 2 4 3" xfId="730" xr:uid="{00000000-0005-0000-0000-00006E010000}"/>
    <cellStyle name="Обычный 2 10 2 4 4" xfId="907" xr:uid="{00000000-0005-0000-0000-00006F010000}"/>
    <cellStyle name="Обычный 2 10 2 4 5" xfId="1086" xr:uid="{00000000-0005-0000-0000-000070010000}"/>
    <cellStyle name="Обычный 2 10 2 4 6" xfId="1263" xr:uid="{00000000-0005-0000-0000-000071010000}"/>
    <cellStyle name="Обычный 2 10 2 4 7" xfId="1440" xr:uid="{00000000-0005-0000-0000-000072010000}"/>
    <cellStyle name="Обычный 2 10 2 4 8" xfId="1617" xr:uid="{00000000-0005-0000-0000-000073010000}"/>
    <cellStyle name="Обычный 2 10 2 4 9" xfId="1798" xr:uid="{00000000-0005-0000-0000-000074010000}"/>
    <cellStyle name="Обычный 2 10 2 5" xfId="549" xr:uid="{00000000-0005-0000-0000-000075010000}"/>
    <cellStyle name="Обычный 2 10 2 6" xfId="726" xr:uid="{00000000-0005-0000-0000-000076010000}"/>
    <cellStyle name="Обычный 2 10 2 7" xfId="903" xr:uid="{00000000-0005-0000-0000-000077010000}"/>
    <cellStyle name="Обычный 2 10 2 8" xfId="1082" xr:uid="{00000000-0005-0000-0000-000078010000}"/>
    <cellStyle name="Обычный 2 10 2 9" xfId="1259" xr:uid="{00000000-0005-0000-0000-000079010000}"/>
    <cellStyle name="Обычный 2 10 3" xfId="548" xr:uid="{00000000-0005-0000-0000-00007A010000}"/>
    <cellStyle name="Обычный 2 10 4" xfId="725" xr:uid="{00000000-0005-0000-0000-00007B010000}"/>
    <cellStyle name="Обычный 2 10 5" xfId="902" xr:uid="{00000000-0005-0000-0000-00007C010000}"/>
    <cellStyle name="Обычный 2 10 6" xfId="1081" xr:uid="{00000000-0005-0000-0000-00007D010000}"/>
    <cellStyle name="Обычный 2 10 7" xfId="1258" xr:uid="{00000000-0005-0000-0000-00007E010000}"/>
    <cellStyle name="Обычный 2 10 8" xfId="1435" xr:uid="{00000000-0005-0000-0000-00007F010000}"/>
    <cellStyle name="Обычный 2 10 9" xfId="1612" xr:uid="{00000000-0005-0000-0000-000080010000}"/>
    <cellStyle name="Обычный 2 11" xfId="201" xr:uid="{00000000-0005-0000-0000-000081010000}"/>
    <cellStyle name="Обычный 2 11 10" xfId="1799" xr:uid="{00000000-0005-0000-0000-000082010000}"/>
    <cellStyle name="Обычный 2 11 2" xfId="202" xr:uid="{00000000-0005-0000-0000-000083010000}"/>
    <cellStyle name="Обычный 2 11 2 2" xfId="555" xr:uid="{00000000-0005-0000-0000-000084010000}"/>
    <cellStyle name="Обычный 2 11 2 3" xfId="732" xr:uid="{00000000-0005-0000-0000-000085010000}"/>
    <cellStyle name="Обычный 2 11 2 4" xfId="909" xr:uid="{00000000-0005-0000-0000-000086010000}"/>
    <cellStyle name="Обычный 2 11 2 5" xfId="1088" xr:uid="{00000000-0005-0000-0000-000087010000}"/>
    <cellStyle name="Обычный 2 11 2 6" xfId="1265" xr:uid="{00000000-0005-0000-0000-000088010000}"/>
    <cellStyle name="Обычный 2 11 2 7" xfId="1442" xr:uid="{00000000-0005-0000-0000-000089010000}"/>
    <cellStyle name="Обычный 2 11 2 8" xfId="1619" xr:uid="{00000000-0005-0000-0000-00008A010000}"/>
    <cellStyle name="Обычный 2 11 2 9" xfId="1800" xr:uid="{00000000-0005-0000-0000-00008B010000}"/>
    <cellStyle name="Обычный 2 11 3" xfId="554" xr:uid="{00000000-0005-0000-0000-00008C010000}"/>
    <cellStyle name="Обычный 2 11 4" xfId="731" xr:uid="{00000000-0005-0000-0000-00008D010000}"/>
    <cellStyle name="Обычный 2 11 5" xfId="908" xr:uid="{00000000-0005-0000-0000-00008E010000}"/>
    <cellStyle name="Обычный 2 11 6" xfId="1087" xr:uid="{00000000-0005-0000-0000-00008F010000}"/>
    <cellStyle name="Обычный 2 11 7" xfId="1264" xr:uid="{00000000-0005-0000-0000-000090010000}"/>
    <cellStyle name="Обычный 2 11 8" xfId="1441" xr:uid="{00000000-0005-0000-0000-000091010000}"/>
    <cellStyle name="Обычный 2 11 9" xfId="1618" xr:uid="{00000000-0005-0000-0000-000092010000}"/>
    <cellStyle name="Обычный 2 12" xfId="203" xr:uid="{00000000-0005-0000-0000-000093010000}"/>
    <cellStyle name="Обычный 2 13" xfId="204" xr:uid="{00000000-0005-0000-0000-000094010000}"/>
    <cellStyle name="Обычный 2 13 2" xfId="556" xr:uid="{00000000-0005-0000-0000-000095010000}"/>
    <cellStyle name="Обычный 2 13 3" xfId="733" xr:uid="{00000000-0005-0000-0000-000096010000}"/>
    <cellStyle name="Обычный 2 13 4" xfId="910" xr:uid="{00000000-0005-0000-0000-000097010000}"/>
    <cellStyle name="Обычный 2 13 5" xfId="1089" xr:uid="{00000000-0005-0000-0000-000098010000}"/>
    <cellStyle name="Обычный 2 13 6" xfId="1266" xr:uid="{00000000-0005-0000-0000-000099010000}"/>
    <cellStyle name="Обычный 2 13 7" xfId="1443" xr:uid="{00000000-0005-0000-0000-00009A010000}"/>
    <cellStyle name="Обычный 2 13 8" xfId="1620" xr:uid="{00000000-0005-0000-0000-00009B010000}"/>
    <cellStyle name="Обычный 2 13 9" xfId="1801" xr:uid="{00000000-0005-0000-0000-00009C010000}"/>
    <cellStyle name="Обычный 2 2" xfId="205" xr:uid="{00000000-0005-0000-0000-00009D010000}"/>
    <cellStyle name="Обычный 2 2 2" xfId="206" xr:uid="{00000000-0005-0000-0000-00009E010000}"/>
    <cellStyle name="Обычный 2 2 3" xfId="207" xr:uid="{00000000-0005-0000-0000-00009F010000}"/>
    <cellStyle name="Обычный 2 2 3 2" xfId="208" xr:uid="{00000000-0005-0000-0000-0000A0010000}"/>
    <cellStyle name="Обычный 2 2 3 3" xfId="209" xr:uid="{00000000-0005-0000-0000-0000A1010000}"/>
    <cellStyle name="Обычный 2 2 4" xfId="210" xr:uid="{00000000-0005-0000-0000-0000A2010000}"/>
    <cellStyle name="Обычный 2 2 5" xfId="211" xr:uid="{00000000-0005-0000-0000-0000A3010000}"/>
    <cellStyle name="Обычный 2 2 5 2" xfId="557" xr:uid="{00000000-0005-0000-0000-0000A4010000}"/>
    <cellStyle name="Обычный 2 2 5 3" xfId="734" xr:uid="{00000000-0005-0000-0000-0000A5010000}"/>
    <cellStyle name="Обычный 2 2 5 4" xfId="911" xr:uid="{00000000-0005-0000-0000-0000A6010000}"/>
    <cellStyle name="Обычный 2 2 5 5" xfId="1090" xr:uid="{00000000-0005-0000-0000-0000A7010000}"/>
    <cellStyle name="Обычный 2 2 5 6" xfId="1267" xr:uid="{00000000-0005-0000-0000-0000A8010000}"/>
    <cellStyle name="Обычный 2 2 5 7" xfId="1444" xr:uid="{00000000-0005-0000-0000-0000A9010000}"/>
    <cellStyle name="Обычный 2 2 5 8" xfId="1621" xr:uid="{00000000-0005-0000-0000-0000AA010000}"/>
    <cellStyle name="Обычный 2 2 5 9" xfId="1802" xr:uid="{00000000-0005-0000-0000-0000AB010000}"/>
    <cellStyle name="Обычный 2 3" xfId="212" xr:uid="{00000000-0005-0000-0000-0000AC010000}"/>
    <cellStyle name="Обычный 2 3 2" xfId="213" xr:uid="{00000000-0005-0000-0000-0000AD010000}"/>
    <cellStyle name="Обычный 2 3 2 10" xfId="1803" xr:uid="{00000000-0005-0000-0000-0000AE010000}"/>
    <cellStyle name="Обычный 2 3 2 2" xfId="214" xr:uid="{00000000-0005-0000-0000-0000AF010000}"/>
    <cellStyle name="Обычный 2 3 2 2 2" xfId="559" xr:uid="{00000000-0005-0000-0000-0000B0010000}"/>
    <cellStyle name="Обычный 2 3 2 2 3" xfId="736" xr:uid="{00000000-0005-0000-0000-0000B1010000}"/>
    <cellStyle name="Обычный 2 3 2 2 4" xfId="913" xr:uid="{00000000-0005-0000-0000-0000B2010000}"/>
    <cellStyle name="Обычный 2 3 2 2 5" xfId="1092" xr:uid="{00000000-0005-0000-0000-0000B3010000}"/>
    <cellStyle name="Обычный 2 3 2 2 6" xfId="1269" xr:uid="{00000000-0005-0000-0000-0000B4010000}"/>
    <cellStyle name="Обычный 2 3 2 2 7" xfId="1446" xr:uid="{00000000-0005-0000-0000-0000B5010000}"/>
    <cellStyle name="Обычный 2 3 2 2 8" xfId="1623" xr:uid="{00000000-0005-0000-0000-0000B6010000}"/>
    <cellStyle name="Обычный 2 3 2 2 9" xfId="1804" xr:uid="{00000000-0005-0000-0000-0000B7010000}"/>
    <cellStyle name="Обычный 2 3 2 3" xfId="558" xr:uid="{00000000-0005-0000-0000-0000B8010000}"/>
    <cellStyle name="Обычный 2 3 2 4" xfId="735" xr:uid="{00000000-0005-0000-0000-0000B9010000}"/>
    <cellStyle name="Обычный 2 3 2 5" xfId="912" xr:uid="{00000000-0005-0000-0000-0000BA010000}"/>
    <cellStyle name="Обычный 2 3 2 6" xfId="1091" xr:uid="{00000000-0005-0000-0000-0000BB010000}"/>
    <cellStyle name="Обычный 2 3 2 7" xfId="1268" xr:uid="{00000000-0005-0000-0000-0000BC010000}"/>
    <cellStyle name="Обычный 2 3 2 8" xfId="1445" xr:uid="{00000000-0005-0000-0000-0000BD010000}"/>
    <cellStyle name="Обычный 2 3 2 9" xfId="1622" xr:uid="{00000000-0005-0000-0000-0000BE010000}"/>
    <cellStyle name="Обычный 2 3 3" xfId="215" xr:uid="{00000000-0005-0000-0000-0000BF010000}"/>
    <cellStyle name="Обычный 2 3 3 2" xfId="560" xr:uid="{00000000-0005-0000-0000-0000C0010000}"/>
    <cellStyle name="Обычный 2 3 3 3" xfId="737" xr:uid="{00000000-0005-0000-0000-0000C1010000}"/>
    <cellStyle name="Обычный 2 3 3 4" xfId="914" xr:uid="{00000000-0005-0000-0000-0000C2010000}"/>
    <cellStyle name="Обычный 2 3 3 5" xfId="1093" xr:uid="{00000000-0005-0000-0000-0000C3010000}"/>
    <cellStyle name="Обычный 2 3 3 6" xfId="1270" xr:uid="{00000000-0005-0000-0000-0000C4010000}"/>
    <cellStyle name="Обычный 2 3 3 7" xfId="1447" xr:uid="{00000000-0005-0000-0000-0000C5010000}"/>
    <cellStyle name="Обычный 2 3 3 8" xfId="1624" xr:uid="{00000000-0005-0000-0000-0000C6010000}"/>
    <cellStyle name="Обычный 2 3 3 9" xfId="1805" xr:uid="{00000000-0005-0000-0000-0000C7010000}"/>
    <cellStyle name="Обычный 2 3 4" xfId="216" xr:uid="{00000000-0005-0000-0000-0000C8010000}"/>
    <cellStyle name="Обычный 2 3 5" xfId="217" xr:uid="{00000000-0005-0000-0000-0000C9010000}"/>
    <cellStyle name="Обычный 2 3 6" xfId="218" xr:uid="{00000000-0005-0000-0000-0000CA010000}"/>
    <cellStyle name="Обычный 2 3 6 2" xfId="561" xr:uid="{00000000-0005-0000-0000-0000CB010000}"/>
    <cellStyle name="Обычный 2 3 6 3" xfId="738" xr:uid="{00000000-0005-0000-0000-0000CC010000}"/>
    <cellStyle name="Обычный 2 3 6 4" xfId="915" xr:uid="{00000000-0005-0000-0000-0000CD010000}"/>
    <cellStyle name="Обычный 2 3 6 5" xfId="1094" xr:uid="{00000000-0005-0000-0000-0000CE010000}"/>
    <cellStyle name="Обычный 2 3 6 6" xfId="1271" xr:uid="{00000000-0005-0000-0000-0000CF010000}"/>
    <cellStyle name="Обычный 2 3 6 7" xfId="1448" xr:uid="{00000000-0005-0000-0000-0000D0010000}"/>
    <cellStyle name="Обычный 2 3 6 8" xfId="1625" xr:uid="{00000000-0005-0000-0000-0000D1010000}"/>
    <cellStyle name="Обычный 2 3 6 9" xfId="1806" xr:uid="{00000000-0005-0000-0000-0000D2010000}"/>
    <cellStyle name="Обычный 2 4" xfId="219" xr:uid="{00000000-0005-0000-0000-0000D3010000}"/>
    <cellStyle name="Обычный 2 4 10" xfId="1449" xr:uid="{00000000-0005-0000-0000-0000D4010000}"/>
    <cellStyle name="Обычный 2 4 11" xfId="1626" xr:uid="{00000000-0005-0000-0000-0000D5010000}"/>
    <cellStyle name="Обычный 2 4 12" xfId="1807" xr:uid="{00000000-0005-0000-0000-0000D6010000}"/>
    <cellStyle name="Обычный 2 4 2" xfId="220" xr:uid="{00000000-0005-0000-0000-0000D7010000}"/>
    <cellStyle name="Обычный 2 4 2 10" xfId="1808" xr:uid="{00000000-0005-0000-0000-0000D8010000}"/>
    <cellStyle name="Обычный 2 4 2 2" xfId="221" xr:uid="{00000000-0005-0000-0000-0000D9010000}"/>
    <cellStyle name="Обычный 2 4 2 2 2" xfId="564" xr:uid="{00000000-0005-0000-0000-0000DA010000}"/>
    <cellStyle name="Обычный 2 4 2 2 3" xfId="741" xr:uid="{00000000-0005-0000-0000-0000DB010000}"/>
    <cellStyle name="Обычный 2 4 2 2 4" xfId="918" xr:uid="{00000000-0005-0000-0000-0000DC010000}"/>
    <cellStyle name="Обычный 2 4 2 2 5" xfId="1097" xr:uid="{00000000-0005-0000-0000-0000DD010000}"/>
    <cellStyle name="Обычный 2 4 2 2 6" xfId="1274" xr:uid="{00000000-0005-0000-0000-0000DE010000}"/>
    <cellStyle name="Обычный 2 4 2 2 7" xfId="1451" xr:uid="{00000000-0005-0000-0000-0000DF010000}"/>
    <cellStyle name="Обычный 2 4 2 2 8" xfId="1628" xr:uid="{00000000-0005-0000-0000-0000E0010000}"/>
    <cellStyle name="Обычный 2 4 2 2 9" xfId="1809" xr:uid="{00000000-0005-0000-0000-0000E1010000}"/>
    <cellStyle name="Обычный 2 4 2 3" xfId="563" xr:uid="{00000000-0005-0000-0000-0000E2010000}"/>
    <cellStyle name="Обычный 2 4 2 4" xfId="740" xr:uid="{00000000-0005-0000-0000-0000E3010000}"/>
    <cellStyle name="Обычный 2 4 2 5" xfId="917" xr:uid="{00000000-0005-0000-0000-0000E4010000}"/>
    <cellStyle name="Обычный 2 4 2 6" xfId="1096" xr:uid="{00000000-0005-0000-0000-0000E5010000}"/>
    <cellStyle name="Обычный 2 4 2 7" xfId="1273" xr:uid="{00000000-0005-0000-0000-0000E6010000}"/>
    <cellStyle name="Обычный 2 4 2 8" xfId="1450" xr:uid="{00000000-0005-0000-0000-0000E7010000}"/>
    <cellStyle name="Обычный 2 4 2 9" xfId="1627" xr:uid="{00000000-0005-0000-0000-0000E8010000}"/>
    <cellStyle name="Обычный 2 4 3" xfId="222" xr:uid="{00000000-0005-0000-0000-0000E9010000}"/>
    <cellStyle name="Обычный 2 4 3 2" xfId="565" xr:uid="{00000000-0005-0000-0000-0000EA010000}"/>
    <cellStyle name="Обычный 2 4 3 3" xfId="742" xr:uid="{00000000-0005-0000-0000-0000EB010000}"/>
    <cellStyle name="Обычный 2 4 3 4" xfId="919" xr:uid="{00000000-0005-0000-0000-0000EC010000}"/>
    <cellStyle name="Обычный 2 4 3 5" xfId="1098" xr:uid="{00000000-0005-0000-0000-0000ED010000}"/>
    <cellStyle name="Обычный 2 4 3 6" xfId="1275" xr:uid="{00000000-0005-0000-0000-0000EE010000}"/>
    <cellStyle name="Обычный 2 4 3 7" xfId="1452" xr:uid="{00000000-0005-0000-0000-0000EF010000}"/>
    <cellStyle name="Обычный 2 4 3 8" xfId="1629" xr:uid="{00000000-0005-0000-0000-0000F0010000}"/>
    <cellStyle name="Обычный 2 4 3 9" xfId="1810" xr:uid="{00000000-0005-0000-0000-0000F1010000}"/>
    <cellStyle name="Обычный 2 4 4" xfId="223" xr:uid="{00000000-0005-0000-0000-0000F2010000}"/>
    <cellStyle name="Обычный 2 4 5" xfId="562" xr:uid="{00000000-0005-0000-0000-0000F3010000}"/>
    <cellStyle name="Обычный 2 4 6" xfId="739" xr:uid="{00000000-0005-0000-0000-0000F4010000}"/>
    <cellStyle name="Обычный 2 4 7" xfId="916" xr:uid="{00000000-0005-0000-0000-0000F5010000}"/>
    <cellStyle name="Обычный 2 4 8" xfId="1095" xr:uid="{00000000-0005-0000-0000-0000F6010000}"/>
    <cellStyle name="Обычный 2 4 9" xfId="1272" xr:uid="{00000000-0005-0000-0000-0000F7010000}"/>
    <cellStyle name="Обычный 2 5" xfId="224" xr:uid="{00000000-0005-0000-0000-0000F8010000}"/>
    <cellStyle name="Обычный 2 5 10" xfId="1630" xr:uid="{00000000-0005-0000-0000-0000F9010000}"/>
    <cellStyle name="Обычный 2 5 11" xfId="1811" xr:uid="{00000000-0005-0000-0000-0000FA010000}"/>
    <cellStyle name="Обычный 2 5 2" xfId="225" xr:uid="{00000000-0005-0000-0000-0000FB010000}"/>
    <cellStyle name="Обычный 2 5 2 10" xfId="1812" xr:uid="{00000000-0005-0000-0000-0000FC010000}"/>
    <cellStyle name="Обычный 2 5 2 2" xfId="226" xr:uid="{00000000-0005-0000-0000-0000FD010000}"/>
    <cellStyle name="Обычный 2 5 2 2 2" xfId="568" xr:uid="{00000000-0005-0000-0000-0000FE010000}"/>
    <cellStyle name="Обычный 2 5 2 2 3" xfId="745" xr:uid="{00000000-0005-0000-0000-0000FF010000}"/>
    <cellStyle name="Обычный 2 5 2 2 4" xfId="922" xr:uid="{00000000-0005-0000-0000-000000020000}"/>
    <cellStyle name="Обычный 2 5 2 2 5" xfId="1101" xr:uid="{00000000-0005-0000-0000-000001020000}"/>
    <cellStyle name="Обычный 2 5 2 2 6" xfId="1278" xr:uid="{00000000-0005-0000-0000-000002020000}"/>
    <cellStyle name="Обычный 2 5 2 2 7" xfId="1455" xr:uid="{00000000-0005-0000-0000-000003020000}"/>
    <cellStyle name="Обычный 2 5 2 2 8" xfId="1632" xr:uid="{00000000-0005-0000-0000-000004020000}"/>
    <cellStyle name="Обычный 2 5 2 2 9" xfId="1813" xr:uid="{00000000-0005-0000-0000-000005020000}"/>
    <cellStyle name="Обычный 2 5 2 3" xfId="567" xr:uid="{00000000-0005-0000-0000-000006020000}"/>
    <cellStyle name="Обычный 2 5 2 4" xfId="744" xr:uid="{00000000-0005-0000-0000-000007020000}"/>
    <cellStyle name="Обычный 2 5 2 5" xfId="921" xr:uid="{00000000-0005-0000-0000-000008020000}"/>
    <cellStyle name="Обычный 2 5 2 6" xfId="1100" xr:uid="{00000000-0005-0000-0000-000009020000}"/>
    <cellStyle name="Обычный 2 5 2 7" xfId="1277" xr:uid="{00000000-0005-0000-0000-00000A020000}"/>
    <cellStyle name="Обычный 2 5 2 8" xfId="1454" xr:uid="{00000000-0005-0000-0000-00000B020000}"/>
    <cellStyle name="Обычный 2 5 2 9" xfId="1631" xr:uid="{00000000-0005-0000-0000-00000C020000}"/>
    <cellStyle name="Обычный 2 5 3" xfId="227" xr:uid="{00000000-0005-0000-0000-00000D020000}"/>
    <cellStyle name="Обычный 2 5 3 2" xfId="569" xr:uid="{00000000-0005-0000-0000-00000E020000}"/>
    <cellStyle name="Обычный 2 5 3 3" xfId="746" xr:uid="{00000000-0005-0000-0000-00000F020000}"/>
    <cellStyle name="Обычный 2 5 3 4" xfId="923" xr:uid="{00000000-0005-0000-0000-000010020000}"/>
    <cellStyle name="Обычный 2 5 3 5" xfId="1102" xr:uid="{00000000-0005-0000-0000-000011020000}"/>
    <cellStyle name="Обычный 2 5 3 6" xfId="1279" xr:uid="{00000000-0005-0000-0000-000012020000}"/>
    <cellStyle name="Обычный 2 5 3 7" xfId="1456" xr:uid="{00000000-0005-0000-0000-000013020000}"/>
    <cellStyle name="Обычный 2 5 3 8" xfId="1633" xr:uid="{00000000-0005-0000-0000-000014020000}"/>
    <cellStyle name="Обычный 2 5 3 9" xfId="1814" xr:uid="{00000000-0005-0000-0000-000015020000}"/>
    <cellStyle name="Обычный 2 5 4" xfId="566" xr:uid="{00000000-0005-0000-0000-000016020000}"/>
    <cellStyle name="Обычный 2 5 5" xfId="743" xr:uid="{00000000-0005-0000-0000-000017020000}"/>
    <cellStyle name="Обычный 2 5 6" xfId="920" xr:uid="{00000000-0005-0000-0000-000018020000}"/>
    <cellStyle name="Обычный 2 5 7" xfId="1099" xr:uid="{00000000-0005-0000-0000-000019020000}"/>
    <cellStyle name="Обычный 2 5 8" xfId="1276" xr:uid="{00000000-0005-0000-0000-00001A020000}"/>
    <cellStyle name="Обычный 2 5 9" xfId="1453" xr:uid="{00000000-0005-0000-0000-00001B020000}"/>
    <cellStyle name="Обычный 2 6" xfId="228" xr:uid="{00000000-0005-0000-0000-00001C020000}"/>
    <cellStyle name="Обычный 2 6 10" xfId="1457" xr:uid="{00000000-0005-0000-0000-00001D020000}"/>
    <cellStyle name="Обычный 2 6 11" xfId="1634" xr:uid="{00000000-0005-0000-0000-00001E020000}"/>
    <cellStyle name="Обычный 2 6 12" xfId="1815" xr:uid="{00000000-0005-0000-0000-00001F020000}"/>
    <cellStyle name="Обычный 2 6 2" xfId="229" xr:uid="{00000000-0005-0000-0000-000020020000}"/>
    <cellStyle name="Обычный 2 6 2 10" xfId="1816" xr:uid="{00000000-0005-0000-0000-000021020000}"/>
    <cellStyle name="Обычный 2 6 2 2" xfId="230" xr:uid="{00000000-0005-0000-0000-000022020000}"/>
    <cellStyle name="Обычный 2 6 2 2 2" xfId="572" xr:uid="{00000000-0005-0000-0000-000023020000}"/>
    <cellStyle name="Обычный 2 6 2 2 3" xfId="749" xr:uid="{00000000-0005-0000-0000-000024020000}"/>
    <cellStyle name="Обычный 2 6 2 2 4" xfId="926" xr:uid="{00000000-0005-0000-0000-000025020000}"/>
    <cellStyle name="Обычный 2 6 2 2 5" xfId="1105" xr:uid="{00000000-0005-0000-0000-000026020000}"/>
    <cellStyle name="Обычный 2 6 2 2 6" xfId="1282" xr:uid="{00000000-0005-0000-0000-000027020000}"/>
    <cellStyle name="Обычный 2 6 2 2 7" xfId="1459" xr:uid="{00000000-0005-0000-0000-000028020000}"/>
    <cellStyle name="Обычный 2 6 2 2 8" xfId="1636" xr:uid="{00000000-0005-0000-0000-000029020000}"/>
    <cellStyle name="Обычный 2 6 2 2 9" xfId="1817" xr:uid="{00000000-0005-0000-0000-00002A020000}"/>
    <cellStyle name="Обычный 2 6 2 3" xfId="571" xr:uid="{00000000-0005-0000-0000-00002B020000}"/>
    <cellStyle name="Обычный 2 6 2 4" xfId="748" xr:uid="{00000000-0005-0000-0000-00002C020000}"/>
    <cellStyle name="Обычный 2 6 2 5" xfId="925" xr:uid="{00000000-0005-0000-0000-00002D020000}"/>
    <cellStyle name="Обычный 2 6 2 6" xfId="1104" xr:uid="{00000000-0005-0000-0000-00002E020000}"/>
    <cellStyle name="Обычный 2 6 2 7" xfId="1281" xr:uid="{00000000-0005-0000-0000-00002F020000}"/>
    <cellStyle name="Обычный 2 6 2 8" xfId="1458" xr:uid="{00000000-0005-0000-0000-000030020000}"/>
    <cellStyle name="Обычный 2 6 2 9" xfId="1635" xr:uid="{00000000-0005-0000-0000-000031020000}"/>
    <cellStyle name="Обычный 2 6 3" xfId="231" xr:uid="{00000000-0005-0000-0000-000032020000}"/>
    <cellStyle name="Обычный 2 6 3 2" xfId="573" xr:uid="{00000000-0005-0000-0000-000033020000}"/>
    <cellStyle name="Обычный 2 6 3 3" xfId="750" xr:uid="{00000000-0005-0000-0000-000034020000}"/>
    <cellStyle name="Обычный 2 6 3 4" xfId="927" xr:uid="{00000000-0005-0000-0000-000035020000}"/>
    <cellStyle name="Обычный 2 6 3 5" xfId="1106" xr:uid="{00000000-0005-0000-0000-000036020000}"/>
    <cellStyle name="Обычный 2 6 3 6" xfId="1283" xr:uid="{00000000-0005-0000-0000-000037020000}"/>
    <cellStyle name="Обычный 2 6 3 7" xfId="1460" xr:uid="{00000000-0005-0000-0000-000038020000}"/>
    <cellStyle name="Обычный 2 6 3 8" xfId="1637" xr:uid="{00000000-0005-0000-0000-000039020000}"/>
    <cellStyle name="Обычный 2 6 3 9" xfId="1818" xr:uid="{00000000-0005-0000-0000-00003A020000}"/>
    <cellStyle name="Обычный 2 6 4" xfId="232" xr:uid="{00000000-0005-0000-0000-00003B020000}"/>
    <cellStyle name="Обычный 2 6 5" xfId="570" xr:uid="{00000000-0005-0000-0000-00003C020000}"/>
    <cellStyle name="Обычный 2 6 6" xfId="747" xr:uid="{00000000-0005-0000-0000-00003D020000}"/>
    <cellStyle name="Обычный 2 6 7" xfId="924" xr:uid="{00000000-0005-0000-0000-00003E020000}"/>
    <cellStyle name="Обычный 2 6 8" xfId="1103" xr:uid="{00000000-0005-0000-0000-00003F020000}"/>
    <cellStyle name="Обычный 2 6 9" xfId="1280" xr:uid="{00000000-0005-0000-0000-000040020000}"/>
    <cellStyle name="Обычный 2 7" xfId="233" xr:uid="{00000000-0005-0000-0000-000041020000}"/>
    <cellStyle name="Обычный 2 7 10" xfId="1638" xr:uid="{00000000-0005-0000-0000-000042020000}"/>
    <cellStyle name="Обычный 2 7 11" xfId="1819" xr:uid="{00000000-0005-0000-0000-000043020000}"/>
    <cellStyle name="Обычный 2 7 2" xfId="234" xr:uid="{00000000-0005-0000-0000-000044020000}"/>
    <cellStyle name="Обычный 2 7 2 10" xfId="1820" xr:uid="{00000000-0005-0000-0000-000045020000}"/>
    <cellStyle name="Обычный 2 7 2 2" xfId="235" xr:uid="{00000000-0005-0000-0000-000046020000}"/>
    <cellStyle name="Обычный 2 7 2 2 2" xfId="576" xr:uid="{00000000-0005-0000-0000-000047020000}"/>
    <cellStyle name="Обычный 2 7 2 2 3" xfId="753" xr:uid="{00000000-0005-0000-0000-000048020000}"/>
    <cellStyle name="Обычный 2 7 2 2 4" xfId="930" xr:uid="{00000000-0005-0000-0000-000049020000}"/>
    <cellStyle name="Обычный 2 7 2 2 5" xfId="1109" xr:uid="{00000000-0005-0000-0000-00004A020000}"/>
    <cellStyle name="Обычный 2 7 2 2 6" xfId="1286" xr:uid="{00000000-0005-0000-0000-00004B020000}"/>
    <cellStyle name="Обычный 2 7 2 2 7" xfId="1463" xr:uid="{00000000-0005-0000-0000-00004C020000}"/>
    <cellStyle name="Обычный 2 7 2 2 8" xfId="1640" xr:uid="{00000000-0005-0000-0000-00004D020000}"/>
    <cellStyle name="Обычный 2 7 2 2 9" xfId="1821" xr:uid="{00000000-0005-0000-0000-00004E020000}"/>
    <cellStyle name="Обычный 2 7 2 3" xfId="575" xr:uid="{00000000-0005-0000-0000-00004F020000}"/>
    <cellStyle name="Обычный 2 7 2 4" xfId="752" xr:uid="{00000000-0005-0000-0000-000050020000}"/>
    <cellStyle name="Обычный 2 7 2 5" xfId="929" xr:uid="{00000000-0005-0000-0000-000051020000}"/>
    <cellStyle name="Обычный 2 7 2 6" xfId="1108" xr:uid="{00000000-0005-0000-0000-000052020000}"/>
    <cellStyle name="Обычный 2 7 2 7" xfId="1285" xr:uid="{00000000-0005-0000-0000-000053020000}"/>
    <cellStyle name="Обычный 2 7 2 8" xfId="1462" xr:uid="{00000000-0005-0000-0000-000054020000}"/>
    <cellStyle name="Обычный 2 7 2 9" xfId="1639" xr:uid="{00000000-0005-0000-0000-000055020000}"/>
    <cellStyle name="Обычный 2 7 3" xfId="236" xr:uid="{00000000-0005-0000-0000-000056020000}"/>
    <cellStyle name="Обычный 2 7 3 2" xfId="577" xr:uid="{00000000-0005-0000-0000-000057020000}"/>
    <cellStyle name="Обычный 2 7 3 3" xfId="754" xr:uid="{00000000-0005-0000-0000-000058020000}"/>
    <cellStyle name="Обычный 2 7 3 4" xfId="931" xr:uid="{00000000-0005-0000-0000-000059020000}"/>
    <cellStyle name="Обычный 2 7 3 5" xfId="1110" xr:uid="{00000000-0005-0000-0000-00005A020000}"/>
    <cellStyle name="Обычный 2 7 3 6" xfId="1287" xr:uid="{00000000-0005-0000-0000-00005B020000}"/>
    <cellStyle name="Обычный 2 7 3 7" xfId="1464" xr:uid="{00000000-0005-0000-0000-00005C020000}"/>
    <cellStyle name="Обычный 2 7 3 8" xfId="1641" xr:uid="{00000000-0005-0000-0000-00005D020000}"/>
    <cellStyle name="Обычный 2 7 3 9" xfId="1822" xr:uid="{00000000-0005-0000-0000-00005E020000}"/>
    <cellStyle name="Обычный 2 7 4" xfId="574" xr:uid="{00000000-0005-0000-0000-00005F020000}"/>
    <cellStyle name="Обычный 2 7 5" xfId="751" xr:uid="{00000000-0005-0000-0000-000060020000}"/>
    <cellStyle name="Обычный 2 7 6" xfId="928" xr:uid="{00000000-0005-0000-0000-000061020000}"/>
    <cellStyle name="Обычный 2 7 7" xfId="1107" xr:uid="{00000000-0005-0000-0000-000062020000}"/>
    <cellStyle name="Обычный 2 7 8" xfId="1284" xr:uid="{00000000-0005-0000-0000-000063020000}"/>
    <cellStyle name="Обычный 2 7 9" xfId="1461" xr:uid="{00000000-0005-0000-0000-000064020000}"/>
    <cellStyle name="Обычный 2 8" xfId="237" xr:uid="{00000000-0005-0000-0000-000065020000}"/>
    <cellStyle name="Обычный 2 8 10" xfId="1642" xr:uid="{00000000-0005-0000-0000-000066020000}"/>
    <cellStyle name="Обычный 2 8 11" xfId="1823" xr:uid="{00000000-0005-0000-0000-000067020000}"/>
    <cellStyle name="Обычный 2 8 2" xfId="238" xr:uid="{00000000-0005-0000-0000-000068020000}"/>
    <cellStyle name="Обычный 2 8 2 10" xfId="1643" xr:uid="{00000000-0005-0000-0000-000069020000}"/>
    <cellStyle name="Обычный 2 8 2 11" xfId="1824" xr:uid="{00000000-0005-0000-0000-00006A020000}"/>
    <cellStyle name="Обычный 2 8 2 2" xfId="239" xr:uid="{00000000-0005-0000-0000-00006B020000}"/>
    <cellStyle name="Обычный 2 8 2 2 10" xfId="1825" xr:uid="{00000000-0005-0000-0000-00006C020000}"/>
    <cellStyle name="Обычный 2 8 2 2 2" xfId="240" xr:uid="{00000000-0005-0000-0000-00006D020000}"/>
    <cellStyle name="Обычный 2 8 2 2 2 2" xfId="581" xr:uid="{00000000-0005-0000-0000-00006E020000}"/>
    <cellStyle name="Обычный 2 8 2 2 2 3" xfId="758" xr:uid="{00000000-0005-0000-0000-00006F020000}"/>
    <cellStyle name="Обычный 2 8 2 2 2 4" xfId="935" xr:uid="{00000000-0005-0000-0000-000070020000}"/>
    <cellStyle name="Обычный 2 8 2 2 2 5" xfId="1114" xr:uid="{00000000-0005-0000-0000-000071020000}"/>
    <cellStyle name="Обычный 2 8 2 2 2 6" xfId="1291" xr:uid="{00000000-0005-0000-0000-000072020000}"/>
    <cellStyle name="Обычный 2 8 2 2 2 7" xfId="1468" xr:uid="{00000000-0005-0000-0000-000073020000}"/>
    <cellStyle name="Обычный 2 8 2 2 2 8" xfId="1645" xr:uid="{00000000-0005-0000-0000-000074020000}"/>
    <cellStyle name="Обычный 2 8 2 2 2 9" xfId="1826" xr:uid="{00000000-0005-0000-0000-000075020000}"/>
    <cellStyle name="Обычный 2 8 2 2 3" xfId="580" xr:uid="{00000000-0005-0000-0000-000076020000}"/>
    <cellStyle name="Обычный 2 8 2 2 4" xfId="757" xr:uid="{00000000-0005-0000-0000-000077020000}"/>
    <cellStyle name="Обычный 2 8 2 2 5" xfId="934" xr:uid="{00000000-0005-0000-0000-000078020000}"/>
    <cellStyle name="Обычный 2 8 2 2 6" xfId="1113" xr:uid="{00000000-0005-0000-0000-000079020000}"/>
    <cellStyle name="Обычный 2 8 2 2 7" xfId="1290" xr:uid="{00000000-0005-0000-0000-00007A020000}"/>
    <cellStyle name="Обычный 2 8 2 2 8" xfId="1467" xr:uid="{00000000-0005-0000-0000-00007B020000}"/>
    <cellStyle name="Обычный 2 8 2 2 9" xfId="1644" xr:uid="{00000000-0005-0000-0000-00007C020000}"/>
    <cellStyle name="Обычный 2 8 2 3" xfId="241" xr:uid="{00000000-0005-0000-0000-00007D020000}"/>
    <cellStyle name="Обычный 2 8 2 3 2" xfId="582" xr:uid="{00000000-0005-0000-0000-00007E020000}"/>
    <cellStyle name="Обычный 2 8 2 3 3" xfId="759" xr:uid="{00000000-0005-0000-0000-00007F020000}"/>
    <cellStyle name="Обычный 2 8 2 3 4" xfId="936" xr:uid="{00000000-0005-0000-0000-000080020000}"/>
    <cellStyle name="Обычный 2 8 2 3 5" xfId="1115" xr:uid="{00000000-0005-0000-0000-000081020000}"/>
    <cellStyle name="Обычный 2 8 2 3 6" xfId="1292" xr:uid="{00000000-0005-0000-0000-000082020000}"/>
    <cellStyle name="Обычный 2 8 2 3 7" xfId="1469" xr:uid="{00000000-0005-0000-0000-000083020000}"/>
    <cellStyle name="Обычный 2 8 2 3 8" xfId="1646" xr:uid="{00000000-0005-0000-0000-000084020000}"/>
    <cellStyle name="Обычный 2 8 2 3 9" xfId="1827" xr:uid="{00000000-0005-0000-0000-000085020000}"/>
    <cellStyle name="Обычный 2 8 2 4" xfId="579" xr:uid="{00000000-0005-0000-0000-000086020000}"/>
    <cellStyle name="Обычный 2 8 2 5" xfId="756" xr:uid="{00000000-0005-0000-0000-000087020000}"/>
    <cellStyle name="Обычный 2 8 2 6" xfId="933" xr:uid="{00000000-0005-0000-0000-000088020000}"/>
    <cellStyle name="Обычный 2 8 2 7" xfId="1112" xr:uid="{00000000-0005-0000-0000-000089020000}"/>
    <cellStyle name="Обычный 2 8 2 8" xfId="1289" xr:uid="{00000000-0005-0000-0000-00008A020000}"/>
    <cellStyle name="Обычный 2 8 2 9" xfId="1466" xr:uid="{00000000-0005-0000-0000-00008B020000}"/>
    <cellStyle name="Обычный 2 8 3" xfId="242" xr:uid="{00000000-0005-0000-0000-00008C020000}"/>
    <cellStyle name="Обычный 2 8 3 2" xfId="583" xr:uid="{00000000-0005-0000-0000-00008D020000}"/>
    <cellStyle name="Обычный 2 8 3 3" xfId="760" xr:uid="{00000000-0005-0000-0000-00008E020000}"/>
    <cellStyle name="Обычный 2 8 3 4" xfId="937" xr:uid="{00000000-0005-0000-0000-00008F020000}"/>
    <cellStyle name="Обычный 2 8 3 5" xfId="1116" xr:uid="{00000000-0005-0000-0000-000090020000}"/>
    <cellStyle name="Обычный 2 8 3 6" xfId="1293" xr:uid="{00000000-0005-0000-0000-000091020000}"/>
    <cellStyle name="Обычный 2 8 3 7" xfId="1470" xr:uid="{00000000-0005-0000-0000-000092020000}"/>
    <cellStyle name="Обычный 2 8 3 8" xfId="1647" xr:uid="{00000000-0005-0000-0000-000093020000}"/>
    <cellStyle name="Обычный 2 8 3 9" xfId="1828" xr:uid="{00000000-0005-0000-0000-000094020000}"/>
    <cellStyle name="Обычный 2 8 4" xfId="578" xr:uid="{00000000-0005-0000-0000-000095020000}"/>
    <cellStyle name="Обычный 2 8 5" xfId="755" xr:uid="{00000000-0005-0000-0000-000096020000}"/>
    <cellStyle name="Обычный 2 8 6" xfId="932" xr:uid="{00000000-0005-0000-0000-000097020000}"/>
    <cellStyle name="Обычный 2 8 7" xfId="1111" xr:uid="{00000000-0005-0000-0000-000098020000}"/>
    <cellStyle name="Обычный 2 8 8" xfId="1288" xr:uid="{00000000-0005-0000-0000-000099020000}"/>
    <cellStyle name="Обычный 2 8 9" xfId="1465" xr:uid="{00000000-0005-0000-0000-00009A020000}"/>
    <cellStyle name="Обычный 2 9" xfId="243" xr:uid="{00000000-0005-0000-0000-00009B020000}"/>
    <cellStyle name="Обычный 2 9 10" xfId="1471" xr:uid="{00000000-0005-0000-0000-00009C020000}"/>
    <cellStyle name="Обычный 2 9 11" xfId="1648" xr:uid="{00000000-0005-0000-0000-00009D020000}"/>
    <cellStyle name="Обычный 2 9 12" xfId="1829" xr:uid="{00000000-0005-0000-0000-00009E020000}"/>
    <cellStyle name="Обычный 2 9 2" xfId="244" xr:uid="{00000000-0005-0000-0000-00009F020000}"/>
    <cellStyle name="Обычный 2 9 2 2" xfId="585" xr:uid="{00000000-0005-0000-0000-0000A0020000}"/>
    <cellStyle name="Обычный 2 9 2 3" xfId="762" xr:uid="{00000000-0005-0000-0000-0000A1020000}"/>
    <cellStyle name="Обычный 2 9 2 4" xfId="939" xr:uid="{00000000-0005-0000-0000-0000A2020000}"/>
    <cellStyle name="Обычный 2 9 2 5" xfId="1118" xr:uid="{00000000-0005-0000-0000-0000A3020000}"/>
    <cellStyle name="Обычный 2 9 2 6" xfId="1295" xr:uid="{00000000-0005-0000-0000-0000A4020000}"/>
    <cellStyle name="Обычный 2 9 2 7" xfId="1472" xr:uid="{00000000-0005-0000-0000-0000A5020000}"/>
    <cellStyle name="Обычный 2 9 2 8" xfId="1649" xr:uid="{00000000-0005-0000-0000-0000A6020000}"/>
    <cellStyle name="Обычный 2 9 2 9" xfId="1830" xr:uid="{00000000-0005-0000-0000-0000A7020000}"/>
    <cellStyle name="Обычный 2 9 3" xfId="245" xr:uid="{00000000-0005-0000-0000-0000A8020000}"/>
    <cellStyle name="Обычный 2 9 3 10" xfId="1650" xr:uid="{00000000-0005-0000-0000-0000A9020000}"/>
    <cellStyle name="Обычный 2 9 3 11" xfId="1831" xr:uid="{00000000-0005-0000-0000-0000AA020000}"/>
    <cellStyle name="Обычный 2 9 3 2" xfId="246" xr:uid="{00000000-0005-0000-0000-0000AB020000}"/>
    <cellStyle name="Обычный 2 9 3 2 2" xfId="587" xr:uid="{00000000-0005-0000-0000-0000AC020000}"/>
    <cellStyle name="Обычный 2 9 3 2 3" xfId="764" xr:uid="{00000000-0005-0000-0000-0000AD020000}"/>
    <cellStyle name="Обычный 2 9 3 2 4" xfId="941" xr:uid="{00000000-0005-0000-0000-0000AE020000}"/>
    <cellStyle name="Обычный 2 9 3 2 5" xfId="1120" xr:uid="{00000000-0005-0000-0000-0000AF020000}"/>
    <cellStyle name="Обычный 2 9 3 2 6" xfId="1297" xr:uid="{00000000-0005-0000-0000-0000B0020000}"/>
    <cellStyle name="Обычный 2 9 3 2 7" xfId="1474" xr:uid="{00000000-0005-0000-0000-0000B1020000}"/>
    <cellStyle name="Обычный 2 9 3 2 8" xfId="1651" xr:uid="{00000000-0005-0000-0000-0000B2020000}"/>
    <cellStyle name="Обычный 2 9 3 2 9" xfId="1832" xr:uid="{00000000-0005-0000-0000-0000B3020000}"/>
    <cellStyle name="Обычный 2 9 3 3" xfId="247" xr:uid="{00000000-0005-0000-0000-0000B4020000}"/>
    <cellStyle name="Обычный 2 9 3 3 2" xfId="588" xr:uid="{00000000-0005-0000-0000-0000B5020000}"/>
    <cellStyle name="Обычный 2 9 3 3 3" xfId="765" xr:uid="{00000000-0005-0000-0000-0000B6020000}"/>
    <cellStyle name="Обычный 2 9 3 3 4" xfId="942" xr:uid="{00000000-0005-0000-0000-0000B7020000}"/>
    <cellStyle name="Обычный 2 9 3 3 5" xfId="1121" xr:uid="{00000000-0005-0000-0000-0000B8020000}"/>
    <cellStyle name="Обычный 2 9 3 3 6" xfId="1298" xr:uid="{00000000-0005-0000-0000-0000B9020000}"/>
    <cellStyle name="Обычный 2 9 3 3 7" xfId="1475" xr:uid="{00000000-0005-0000-0000-0000BA020000}"/>
    <cellStyle name="Обычный 2 9 3 3 8" xfId="1652" xr:uid="{00000000-0005-0000-0000-0000BB020000}"/>
    <cellStyle name="Обычный 2 9 3 3 9" xfId="1833" xr:uid="{00000000-0005-0000-0000-0000BC020000}"/>
    <cellStyle name="Обычный 2 9 3 4" xfId="586" xr:uid="{00000000-0005-0000-0000-0000BD020000}"/>
    <cellStyle name="Обычный 2 9 3 5" xfId="763" xr:uid="{00000000-0005-0000-0000-0000BE020000}"/>
    <cellStyle name="Обычный 2 9 3 6" xfId="940" xr:uid="{00000000-0005-0000-0000-0000BF020000}"/>
    <cellStyle name="Обычный 2 9 3 7" xfId="1119" xr:uid="{00000000-0005-0000-0000-0000C0020000}"/>
    <cellStyle name="Обычный 2 9 3 8" xfId="1296" xr:uid="{00000000-0005-0000-0000-0000C1020000}"/>
    <cellStyle name="Обычный 2 9 3 9" xfId="1473" xr:uid="{00000000-0005-0000-0000-0000C2020000}"/>
    <cellStyle name="Обычный 2 9 4" xfId="248" xr:uid="{00000000-0005-0000-0000-0000C3020000}"/>
    <cellStyle name="Обычный 2 9 5" xfId="584" xr:uid="{00000000-0005-0000-0000-0000C4020000}"/>
    <cellStyle name="Обычный 2 9 6" xfId="761" xr:uid="{00000000-0005-0000-0000-0000C5020000}"/>
    <cellStyle name="Обычный 2 9 7" xfId="938" xr:uid="{00000000-0005-0000-0000-0000C6020000}"/>
    <cellStyle name="Обычный 2 9 8" xfId="1117" xr:uid="{00000000-0005-0000-0000-0000C7020000}"/>
    <cellStyle name="Обычный 2 9 9" xfId="1294" xr:uid="{00000000-0005-0000-0000-0000C8020000}"/>
    <cellStyle name="Обычный 20" xfId="249" xr:uid="{00000000-0005-0000-0000-0000C9020000}"/>
    <cellStyle name="Обычный 200" xfId="250" xr:uid="{00000000-0005-0000-0000-0000CA020000}"/>
    <cellStyle name="Обычный 201" xfId="251" xr:uid="{00000000-0005-0000-0000-0000CB020000}"/>
    <cellStyle name="Обычный 202" xfId="252" xr:uid="{00000000-0005-0000-0000-0000CC020000}"/>
    <cellStyle name="Обычный 203" xfId="253" xr:uid="{00000000-0005-0000-0000-0000CD020000}"/>
    <cellStyle name="Обычный 204" xfId="254" xr:uid="{00000000-0005-0000-0000-0000CE020000}"/>
    <cellStyle name="Обычный 205" xfId="255" xr:uid="{00000000-0005-0000-0000-0000CF020000}"/>
    <cellStyle name="Обычный 206" xfId="256" xr:uid="{00000000-0005-0000-0000-0000D0020000}"/>
    <cellStyle name="Обычный 207" xfId="257" xr:uid="{00000000-0005-0000-0000-0000D1020000}"/>
    <cellStyle name="Обычный 208" xfId="258" xr:uid="{00000000-0005-0000-0000-0000D2020000}"/>
    <cellStyle name="Обычный 209" xfId="259" xr:uid="{00000000-0005-0000-0000-0000D3020000}"/>
    <cellStyle name="Обычный 21" xfId="260" xr:uid="{00000000-0005-0000-0000-0000D4020000}"/>
    <cellStyle name="Обычный 210" xfId="261" xr:uid="{00000000-0005-0000-0000-0000D5020000}"/>
    <cellStyle name="Обычный 211" xfId="262" xr:uid="{00000000-0005-0000-0000-0000D6020000}"/>
    <cellStyle name="Обычный 212" xfId="263" xr:uid="{00000000-0005-0000-0000-0000D7020000}"/>
    <cellStyle name="Обычный 213" xfId="264" xr:uid="{00000000-0005-0000-0000-0000D8020000}"/>
    <cellStyle name="Обычный 214" xfId="265" xr:uid="{00000000-0005-0000-0000-0000D9020000}"/>
    <cellStyle name="Обычный 215" xfId="266" xr:uid="{00000000-0005-0000-0000-0000DA020000}"/>
    <cellStyle name="Обычный 216" xfId="267" xr:uid="{00000000-0005-0000-0000-0000DB020000}"/>
    <cellStyle name="Обычный 217" xfId="268" xr:uid="{00000000-0005-0000-0000-0000DC020000}"/>
    <cellStyle name="Обычный 218" xfId="269" xr:uid="{00000000-0005-0000-0000-0000DD020000}"/>
    <cellStyle name="Обычный 219" xfId="270" xr:uid="{00000000-0005-0000-0000-0000DE020000}"/>
    <cellStyle name="Обычный 22" xfId="271" xr:uid="{00000000-0005-0000-0000-0000DF020000}"/>
    <cellStyle name="Обычный 220" xfId="272" xr:uid="{00000000-0005-0000-0000-0000E0020000}"/>
    <cellStyle name="Обычный 221" xfId="273" xr:uid="{00000000-0005-0000-0000-0000E1020000}"/>
    <cellStyle name="Обычный 222" xfId="274" xr:uid="{00000000-0005-0000-0000-0000E2020000}"/>
    <cellStyle name="Обычный 223" xfId="275" xr:uid="{00000000-0005-0000-0000-0000E3020000}"/>
    <cellStyle name="Обычный 224" xfId="276" xr:uid="{00000000-0005-0000-0000-0000E4020000}"/>
    <cellStyle name="Обычный 225" xfId="277" xr:uid="{00000000-0005-0000-0000-0000E5020000}"/>
    <cellStyle name="Обычный 226" xfId="278" xr:uid="{00000000-0005-0000-0000-0000E6020000}"/>
    <cellStyle name="Обычный 227" xfId="279" xr:uid="{00000000-0005-0000-0000-0000E7020000}"/>
    <cellStyle name="Обычный 228" xfId="280" xr:uid="{00000000-0005-0000-0000-0000E8020000}"/>
    <cellStyle name="Обычный 229" xfId="281" xr:uid="{00000000-0005-0000-0000-0000E9020000}"/>
    <cellStyle name="Обычный 23" xfId="282" xr:uid="{00000000-0005-0000-0000-0000EA020000}"/>
    <cellStyle name="Обычный 230" xfId="283" xr:uid="{00000000-0005-0000-0000-0000EB020000}"/>
    <cellStyle name="Обычный 231" xfId="284" xr:uid="{00000000-0005-0000-0000-0000EC020000}"/>
    <cellStyle name="Обычный 232" xfId="285" xr:uid="{00000000-0005-0000-0000-0000ED020000}"/>
    <cellStyle name="Обычный 233" xfId="286" xr:uid="{00000000-0005-0000-0000-0000EE020000}"/>
    <cellStyle name="Обычный 234" xfId="287" xr:uid="{00000000-0005-0000-0000-0000EF020000}"/>
    <cellStyle name="Обычный 235" xfId="288" xr:uid="{00000000-0005-0000-0000-0000F0020000}"/>
    <cellStyle name="Обычный 236" xfId="289" xr:uid="{00000000-0005-0000-0000-0000F1020000}"/>
    <cellStyle name="Обычный 237" xfId="290" xr:uid="{00000000-0005-0000-0000-0000F2020000}"/>
    <cellStyle name="Обычный 238" xfId="291" xr:uid="{00000000-0005-0000-0000-0000F3020000}"/>
    <cellStyle name="Обычный 239" xfId="292" xr:uid="{00000000-0005-0000-0000-0000F4020000}"/>
    <cellStyle name="Обычный 24" xfId="293" xr:uid="{00000000-0005-0000-0000-0000F5020000}"/>
    <cellStyle name="Обычный 240" xfId="294" xr:uid="{00000000-0005-0000-0000-0000F6020000}"/>
    <cellStyle name="Обычный 241" xfId="295" xr:uid="{00000000-0005-0000-0000-0000F7020000}"/>
    <cellStyle name="Обычный 242" xfId="296" xr:uid="{00000000-0005-0000-0000-0000F8020000}"/>
    <cellStyle name="Обычный 243" xfId="297" xr:uid="{00000000-0005-0000-0000-0000F9020000}"/>
    <cellStyle name="Обычный 244" xfId="298" xr:uid="{00000000-0005-0000-0000-0000FA020000}"/>
    <cellStyle name="Обычный 245" xfId="299" xr:uid="{00000000-0005-0000-0000-0000FB020000}"/>
    <cellStyle name="Обычный 245 2" xfId="589" xr:uid="{00000000-0005-0000-0000-0000FC020000}"/>
    <cellStyle name="Обычный 245 3" xfId="766" xr:uid="{00000000-0005-0000-0000-0000FD020000}"/>
    <cellStyle name="Обычный 245 4" xfId="943" xr:uid="{00000000-0005-0000-0000-0000FE020000}"/>
    <cellStyle name="Обычный 245 5" xfId="1122" xr:uid="{00000000-0005-0000-0000-0000FF020000}"/>
    <cellStyle name="Обычный 245 6" xfId="1299" xr:uid="{00000000-0005-0000-0000-000000030000}"/>
    <cellStyle name="Обычный 245 7" xfId="1476" xr:uid="{00000000-0005-0000-0000-000001030000}"/>
    <cellStyle name="Обычный 245 8" xfId="1653" xr:uid="{00000000-0005-0000-0000-000002030000}"/>
    <cellStyle name="Обычный 245 9" xfId="1834" xr:uid="{00000000-0005-0000-0000-000003030000}"/>
    <cellStyle name="Обычный 246" xfId="1" xr:uid="{00000000-0005-0000-0000-000004030000}"/>
    <cellStyle name="Обычный 247" xfId="530" xr:uid="{00000000-0005-0000-0000-000005030000}"/>
    <cellStyle name="Обычный 248" xfId="707" xr:uid="{00000000-0005-0000-0000-000006030000}"/>
    <cellStyle name="Обычный 249" xfId="884" xr:uid="{00000000-0005-0000-0000-000007030000}"/>
    <cellStyle name="Обычный 25" xfId="300" xr:uid="{00000000-0005-0000-0000-000008030000}"/>
    <cellStyle name="Обычный 250" xfId="1063" xr:uid="{00000000-0005-0000-0000-000009030000}"/>
    <cellStyle name="Обычный 251" xfId="1240" xr:uid="{00000000-0005-0000-0000-00000A030000}"/>
    <cellStyle name="Обычный 252" xfId="1417" xr:uid="{00000000-0005-0000-0000-00000B030000}"/>
    <cellStyle name="Обычный 253" xfId="1594" xr:uid="{00000000-0005-0000-0000-00000C030000}"/>
    <cellStyle name="Обычный 254" xfId="1772" xr:uid="{00000000-0005-0000-0000-00000D030000}"/>
    <cellStyle name="Обычный 255" xfId="1775" xr:uid="{00000000-0005-0000-0000-00000E030000}"/>
    <cellStyle name="Обычный 26" xfId="301" xr:uid="{00000000-0005-0000-0000-00000F030000}"/>
    <cellStyle name="Обычный 27" xfId="302" xr:uid="{00000000-0005-0000-0000-000010030000}"/>
    <cellStyle name="Обычный 28" xfId="303" xr:uid="{00000000-0005-0000-0000-000011030000}"/>
    <cellStyle name="Обычный 29" xfId="304" xr:uid="{00000000-0005-0000-0000-000012030000}"/>
    <cellStyle name="Обычный 3" xfId="305" xr:uid="{00000000-0005-0000-0000-000013030000}"/>
    <cellStyle name="Обычный 3 2" xfId="306" xr:uid="{00000000-0005-0000-0000-000014030000}"/>
    <cellStyle name="Обычный 3 2 2" xfId="307" xr:uid="{00000000-0005-0000-0000-000015030000}"/>
    <cellStyle name="Обычный 3 2 2 10" xfId="1654" xr:uid="{00000000-0005-0000-0000-000016030000}"/>
    <cellStyle name="Обычный 3 2 2 11" xfId="1835" xr:uid="{00000000-0005-0000-0000-000017030000}"/>
    <cellStyle name="Обычный 3 2 2 2" xfId="308" xr:uid="{00000000-0005-0000-0000-000018030000}"/>
    <cellStyle name="Обычный 3 2 2 2 10" xfId="1836" xr:uid="{00000000-0005-0000-0000-000019030000}"/>
    <cellStyle name="Обычный 3 2 2 2 2" xfId="309" xr:uid="{00000000-0005-0000-0000-00001A030000}"/>
    <cellStyle name="Обычный 3 2 2 2 2 2" xfId="592" xr:uid="{00000000-0005-0000-0000-00001B030000}"/>
    <cellStyle name="Обычный 3 2 2 2 2 3" xfId="769" xr:uid="{00000000-0005-0000-0000-00001C030000}"/>
    <cellStyle name="Обычный 3 2 2 2 2 4" xfId="946" xr:uid="{00000000-0005-0000-0000-00001D030000}"/>
    <cellStyle name="Обычный 3 2 2 2 2 5" xfId="1125" xr:uid="{00000000-0005-0000-0000-00001E030000}"/>
    <cellStyle name="Обычный 3 2 2 2 2 6" xfId="1302" xr:uid="{00000000-0005-0000-0000-00001F030000}"/>
    <cellStyle name="Обычный 3 2 2 2 2 7" xfId="1479" xr:uid="{00000000-0005-0000-0000-000020030000}"/>
    <cellStyle name="Обычный 3 2 2 2 2 8" xfId="1656" xr:uid="{00000000-0005-0000-0000-000021030000}"/>
    <cellStyle name="Обычный 3 2 2 2 2 9" xfId="1837" xr:uid="{00000000-0005-0000-0000-000022030000}"/>
    <cellStyle name="Обычный 3 2 2 2 3" xfId="591" xr:uid="{00000000-0005-0000-0000-000023030000}"/>
    <cellStyle name="Обычный 3 2 2 2 4" xfId="768" xr:uid="{00000000-0005-0000-0000-000024030000}"/>
    <cellStyle name="Обычный 3 2 2 2 5" xfId="945" xr:uid="{00000000-0005-0000-0000-000025030000}"/>
    <cellStyle name="Обычный 3 2 2 2 6" xfId="1124" xr:uid="{00000000-0005-0000-0000-000026030000}"/>
    <cellStyle name="Обычный 3 2 2 2 7" xfId="1301" xr:uid="{00000000-0005-0000-0000-000027030000}"/>
    <cellStyle name="Обычный 3 2 2 2 8" xfId="1478" xr:uid="{00000000-0005-0000-0000-000028030000}"/>
    <cellStyle name="Обычный 3 2 2 2 9" xfId="1655" xr:uid="{00000000-0005-0000-0000-000029030000}"/>
    <cellStyle name="Обычный 3 2 2 3" xfId="310" xr:uid="{00000000-0005-0000-0000-00002A030000}"/>
    <cellStyle name="Обычный 3 2 2 3 2" xfId="593" xr:uid="{00000000-0005-0000-0000-00002B030000}"/>
    <cellStyle name="Обычный 3 2 2 3 3" xfId="770" xr:uid="{00000000-0005-0000-0000-00002C030000}"/>
    <cellStyle name="Обычный 3 2 2 3 4" xfId="947" xr:uid="{00000000-0005-0000-0000-00002D030000}"/>
    <cellStyle name="Обычный 3 2 2 3 5" xfId="1126" xr:uid="{00000000-0005-0000-0000-00002E030000}"/>
    <cellStyle name="Обычный 3 2 2 3 6" xfId="1303" xr:uid="{00000000-0005-0000-0000-00002F030000}"/>
    <cellStyle name="Обычный 3 2 2 3 7" xfId="1480" xr:uid="{00000000-0005-0000-0000-000030030000}"/>
    <cellStyle name="Обычный 3 2 2 3 8" xfId="1657" xr:uid="{00000000-0005-0000-0000-000031030000}"/>
    <cellStyle name="Обычный 3 2 2 3 9" xfId="1838" xr:uid="{00000000-0005-0000-0000-000032030000}"/>
    <cellStyle name="Обычный 3 2 2 4" xfId="590" xr:uid="{00000000-0005-0000-0000-000033030000}"/>
    <cellStyle name="Обычный 3 2 2 5" xfId="767" xr:uid="{00000000-0005-0000-0000-000034030000}"/>
    <cellStyle name="Обычный 3 2 2 6" xfId="944" xr:uid="{00000000-0005-0000-0000-000035030000}"/>
    <cellStyle name="Обычный 3 2 2 7" xfId="1123" xr:uid="{00000000-0005-0000-0000-000036030000}"/>
    <cellStyle name="Обычный 3 2 2 8" xfId="1300" xr:uid="{00000000-0005-0000-0000-000037030000}"/>
    <cellStyle name="Обычный 3 2 2 9" xfId="1477" xr:uid="{00000000-0005-0000-0000-000038030000}"/>
    <cellStyle name="Обычный 3 2 3" xfId="311" xr:uid="{00000000-0005-0000-0000-000039030000}"/>
    <cellStyle name="Обычный 3 2 3 10" xfId="1658" xr:uid="{00000000-0005-0000-0000-00003A030000}"/>
    <cellStyle name="Обычный 3 2 3 11" xfId="1839" xr:uid="{00000000-0005-0000-0000-00003B030000}"/>
    <cellStyle name="Обычный 3 2 3 2" xfId="312" xr:uid="{00000000-0005-0000-0000-00003C030000}"/>
    <cellStyle name="Обычный 3 2 3 2 2" xfId="595" xr:uid="{00000000-0005-0000-0000-00003D030000}"/>
    <cellStyle name="Обычный 3 2 3 2 3" xfId="772" xr:uid="{00000000-0005-0000-0000-00003E030000}"/>
    <cellStyle name="Обычный 3 2 3 2 4" xfId="949" xr:uid="{00000000-0005-0000-0000-00003F030000}"/>
    <cellStyle name="Обычный 3 2 3 2 5" xfId="1128" xr:uid="{00000000-0005-0000-0000-000040030000}"/>
    <cellStyle name="Обычный 3 2 3 2 6" xfId="1305" xr:uid="{00000000-0005-0000-0000-000041030000}"/>
    <cellStyle name="Обычный 3 2 3 2 7" xfId="1482" xr:uid="{00000000-0005-0000-0000-000042030000}"/>
    <cellStyle name="Обычный 3 2 3 2 8" xfId="1659" xr:uid="{00000000-0005-0000-0000-000043030000}"/>
    <cellStyle name="Обычный 3 2 3 2 9" xfId="1840" xr:uid="{00000000-0005-0000-0000-000044030000}"/>
    <cellStyle name="Обычный 3 2 3 3" xfId="313" xr:uid="{00000000-0005-0000-0000-000045030000}"/>
    <cellStyle name="Обычный 3 2 3 4" xfId="594" xr:uid="{00000000-0005-0000-0000-000046030000}"/>
    <cellStyle name="Обычный 3 2 3 5" xfId="771" xr:uid="{00000000-0005-0000-0000-000047030000}"/>
    <cellStyle name="Обычный 3 2 3 6" xfId="948" xr:uid="{00000000-0005-0000-0000-000048030000}"/>
    <cellStyle name="Обычный 3 2 3 7" xfId="1127" xr:uid="{00000000-0005-0000-0000-000049030000}"/>
    <cellStyle name="Обычный 3 2 3 8" xfId="1304" xr:uid="{00000000-0005-0000-0000-00004A030000}"/>
    <cellStyle name="Обычный 3 2 3 9" xfId="1481" xr:uid="{00000000-0005-0000-0000-00004B030000}"/>
    <cellStyle name="Обычный 3 2 4" xfId="314" xr:uid="{00000000-0005-0000-0000-00004C030000}"/>
    <cellStyle name="Обычный 3 2 4 2" xfId="596" xr:uid="{00000000-0005-0000-0000-00004D030000}"/>
    <cellStyle name="Обычный 3 2 4 3" xfId="773" xr:uid="{00000000-0005-0000-0000-00004E030000}"/>
    <cellStyle name="Обычный 3 2 4 4" xfId="950" xr:uid="{00000000-0005-0000-0000-00004F030000}"/>
    <cellStyle name="Обычный 3 2 4 5" xfId="1129" xr:uid="{00000000-0005-0000-0000-000050030000}"/>
    <cellStyle name="Обычный 3 2 4 6" xfId="1306" xr:uid="{00000000-0005-0000-0000-000051030000}"/>
    <cellStyle name="Обычный 3 2 4 7" xfId="1483" xr:uid="{00000000-0005-0000-0000-000052030000}"/>
    <cellStyle name="Обычный 3 2 4 8" xfId="1660" xr:uid="{00000000-0005-0000-0000-000053030000}"/>
    <cellStyle name="Обычный 3 2 4 9" xfId="1841" xr:uid="{00000000-0005-0000-0000-000054030000}"/>
    <cellStyle name="Обычный 3 2 5" xfId="315" xr:uid="{00000000-0005-0000-0000-000055030000}"/>
    <cellStyle name="Обычный 3 2 5 2" xfId="597" xr:uid="{00000000-0005-0000-0000-000056030000}"/>
    <cellStyle name="Обычный 3 2 5 3" xfId="774" xr:uid="{00000000-0005-0000-0000-000057030000}"/>
    <cellStyle name="Обычный 3 2 5 4" xfId="951" xr:uid="{00000000-0005-0000-0000-000058030000}"/>
    <cellStyle name="Обычный 3 2 5 5" xfId="1130" xr:uid="{00000000-0005-0000-0000-000059030000}"/>
    <cellStyle name="Обычный 3 2 5 6" xfId="1307" xr:uid="{00000000-0005-0000-0000-00005A030000}"/>
    <cellStyle name="Обычный 3 2 5 7" xfId="1484" xr:uid="{00000000-0005-0000-0000-00005B030000}"/>
    <cellStyle name="Обычный 3 2 5 8" xfId="1661" xr:uid="{00000000-0005-0000-0000-00005C030000}"/>
    <cellStyle name="Обычный 3 2 5 9" xfId="1842" xr:uid="{00000000-0005-0000-0000-00005D030000}"/>
    <cellStyle name="Обычный 3 2 6" xfId="1774" xr:uid="{00000000-0005-0000-0000-00005E030000}"/>
    <cellStyle name="Обычный 3 3" xfId="316" xr:uid="{00000000-0005-0000-0000-00005F030000}"/>
    <cellStyle name="Обычный 3 3 2" xfId="317" xr:uid="{00000000-0005-0000-0000-000060030000}"/>
    <cellStyle name="Обычный 3 3 2 2" xfId="598" xr:uid="{00000000-0005-0000-0000-000061030000}"/>
    <cellStyle name="Обычный 3 3 2 3" xfId="775" xr:uid="{00000000-0005-0000-0000-000062030000}"/>
    <cellStyle name="Обычный 3 3 2 4" xfId="952" xr:uid="{00000000-0005-0000-0000-000063030000}"/>
    <cellStyle name="Обычный 3 3 2 5" xfId="1131" xr:uid="{00000000-0005-0000-0000-000064030000}"/>
    <cellStyle name="Обычный 3 3 2 6" xfId="1308" xr:uid="{00000000-0005-0000-0000-000065030000}"/>
    <cellStyle name="Обычный 3 3 2 7" xfId="1485" xr:uid="{00000000-0005-0000-0000-000066030000}"/>
    <cellStyle name="Обычный 3 3 2 8" xfId="1662" xr:uid="{00000000-0005-0000-0000-000067030000}"/>
    <cellStyle name="Обычный 3 3 2 9" xfId="1843" xr:uid="{00000000-0005-0000-0000-000068030000}"/>
    <cellStyle name="Обычный 3 4" xfId="318" xr:uid="{00000000-0005-0000-0000-000069030000}"/>
    <cellStyle name="Обычный 3 5" xfId="319" xr:uid="{00000000-0005-0000-0000-00006A030000}"/>
    <cellStyle name="Обычный 3 5 2" xfId="320" xr:uid="{00000000-0005-0000-0000-00006B030000}"/>
    <cellStyle name="Обычный 3 5 3" xfId="321" xr:uid="{00000000-0005-0000-0000-00006C030000}"/>
    <cellStyle name="Обычный 3 6" xfId="322" xr:uid="{00000000-0005-0000-0000-00006D030000}"/>
    <cellStyle name="Обычный 3 6 10" xfId="1663" xr:uid="{00000000-0005-0000-0000-00006E030000}"/>
    <cellStyle name="Обычный 3 6 11" xfId="1844" xr:uid="{00000000-0005-0000-0000-00006F030000}"/>
    <cellStyle name="Обычный 3 6 2" xfId="323" xr:uid="{00000000-0005-0000-0000-000070030000}"/>
    <cellStyle name="Обычный 3 6 2 2" xfId="600" xr:uid="{00000000-0005-0000-0000-000071030000}"/>
    <cellStyle name="Обычный 3 6 2 3" xfId="777" xr:uid="{00000000-0005-0000-0000-000072030000}"/>
    <cellStyle name="Обычный 3 6 2 4" xfId="954" xr:uid="{00000000-0005-0000-0000-000073030000}"/>
    <cellStyle name="Обычный 3 6 2 5" xfId="1133" xr:uid="{00000000-0005-0000-0000-000074030000}"/>
    <cellStyle name="Обычный 3 6 2 6" xfId="1310" xr:uid="{00000000-0005-0000-0000-000075030000}"/>
    <cellStyle name="Обычный 3 6 2 7" xfId="1487" xr:uid="{00000000-0005-0000-0000-000076030000}"/>
    <cellStyle name="Обычный 3 6 2 8" xfId="1664" xr:uid="{00000000-0005-0000-0000-000077030000}"/>
    <cellStyle name="Обычный 3 6 2 9" xfId="1845" xr:uid="{00000000-0005-0000-0000-000078030000}"/>
    <cellStyle name="Обычный 3 6 3" xfId="324" xr:uid="{00000000-0005-0000-0000-000079030000}"/>
    <cellStyle name="Обычный 3 6 4" xfId="599" xr:uid="{00000000-0005-0000-0000-00007A030000}"/>
    <cellStyle name="Обычный 3 6 5" xfId="776" xr:uid="{00000000-0005-0000-0000-00007B030000}"/>
    <cellStyle name="Обычный 3 6 6" xfId="953" xr:uid="{00000000-0005-0000-0000-00007C030000}"/>
    <cellStyle name="Обычный 3 6 7" xfId="1132" xr:uid="{00000000-0005-0000-0000-00007D030000}"/>
    <cellStyle name="Обычный 3 6 8" xfId="1309" xr:uid="{00000000-0005-0000-0000-00007E030000}"/>
    <cellStyle name="Обычный 3 6 9" xfId="1486" xr:uid="{00000000-0005-0000-0000-00007F030000}"/>
    <cellStyle name="Обычный 3 7" xfId="325" xr:uid="{00000000-0005-0000-0000-000080030000}"/>
    <cellStyle name="Обычный 3 7 10" xfId="1846" xr:uid="{00000000-0005-0000-0000-000081030000}"/>
    <cellStyle name="Обычный 3 7 2" xfId="326" xr:uid="{00000000-0005-0000-0000-000082030000}"/>
    <cellStyle name="Обычный 3 7 2 2" xfId="602" xr:uid="{00000000-0005-0000-0000-000083030000}"/>
    <cellStyle name="Обычный 3 7 2 3" xfId="779" xr:uid="{00000000-0005-0000-0000-000084030000}"/>
    <cellStyle name="Обычный 3 7 2 4" xfId="956" xr:uid="{00000000-0005-0000-0000-000085030000}"/>
    <cellStyle name="Обычный 3 7 2 5" xfId="1135" xr:uid="{00000000-0005-0000-0000-000086030000}"/>
    <cellStyle name="Обычный 3 7 2 6" xfId="1312" xr:uid="{00000000-0005-0000-0000-000087030000}"/>
    <cellStyle name="Обычный 3 7 2 7" xfId="1489" xr:uid="{00000000-0005-0000-0000-000088030000}"/>
    <cellStyle name="Обычный 3 7 2 8" xfId="1666" xr:uid="{00000000-0005-0000-0000-000089030000}"/>
    <cellStyle name="Обычный 3 7 2 9" xfId="1847" xr:uid="{00000000-0005-0000-0000-00008A030000}"/>
    <cellStyle name="Обычный 3 7 3" xfId="601" xr:uid="{00000000-0005-0000-0000-00008B030000}"/>
    <cellStyle name="Обычный 3 7 4" xfId="778" xr:uid="{00000000-0005-0000-0000-00008C030000}"/>
    <cellStyle name="Обычный 3 7 5" xfId="955" xr:uid="{00000000-0005-0000-0000-00008D030000}"/>
    <cellStyle name="Обычный 3 7 6" xfId="1134" xr:uid="{00000000-0005-0000-0000-00008E030000}"/>
    <cellStyle name="Обычный 3 7 7" xfId="1311" xr:uid="{00000000-0005-0000-0000-00008F030000}"/>
    <cellStyle name="Обычный 3 7 8" xfId="1488" xr:uid="{00000000-0005-0000-0000-000090030000}"/>
    <cellStyle name="Обычный 3 7 9" xfId="1665" xr:uid="{00000000-0005-0000-0000-000091030000}"/>
    <cellStyle name="Обычный 3 8" xfId="327" xr:uid="{00000000-0005-0000-0000-000092030000}"/>
    <cellStyle name="Обычный 3 8 2" xfId="603" xr:uid="{00000000-0005-0000-0000-000093030000}"/>
    <cellStyle name="Обычный 3 8 3" xfId="780" xr:uid="{00000000-0005-0000-0000-000094030000}"/>
    <cellStyle name="Обычный 3 8 4" xfId="957" xr:uid="{00000000-0005-0000-0000-000095030000}"/>
    <cellStyle name="Обычный 3 8 5" xfId="1136" xr:uid="{00000000-0005-0000-0000-000096030000}"/>
    <cellStyle name="Обычный 3 8 6" xfId="1313" xr:uid="{00000000-0005-0000-0000-000097030000}"/>
    <cellStyle name="Обычный 3 8 7" xfId="1490" xr:uid="{00000000-0005-0000-0000-000098030000}"/>
    <cellStyle name="Обычный 3 8 8" xfId="1667" xr:uid="{00000000-0005-0000-0000-000099030000}"/>
    <cellStyle name="Обычный 3 8 9" xfId="1848" xr:uid="{00000000-0005-0000-0000-00009A030000}"/>
    <cellStyle name="Обычный 3 9" xfId="1062" xr:uid="{00000000-0005-0000-0000-00009B030000}"/>
    <cellStyle name="Обычный 30" xfId="328" xr:uid="{00000000-0005-0000-0000-00009C030000}"/>
    <cellStyle name="Обычный 31" xfId="329" xr:uid="{00000000-0005-0000-0000-00009D030000}"/>
    <cellStyle name="Обычный 32" xfId="330" xr:uid="{00000000-0005-0000-0000-00009E030000}"/>
    <cellStyle name="Обычный 33" xfId="331" xr:uid="{00000000-0005-0000-0000-00009F030000}"/>
    <cellStyle name="Обычный 34" xfId="332" xr:uid="{00000000-0005-0000-0000-0000A0030000}"/>
    <cellStyle name="Обычный 35" xfId="333" xr:uid="{00000000-0005-0000-0000-0000A1030000}"/>
    <cellStyle name="Обычный 36" xfId="334" xr:uid="{00000000-0005-0000-0000-0000A2030000}"/>
    <cellStyle name="Обычный 37" xfId="335" xr:uid="{00000000-0005-0000-0000-0000A3030000}"/>
    <cellStyle name="Обычный 38" xfId="336" xr:uid="{00000000-0005-0000-0000-0000A4030000}"/>
    <cellStyle name="Обычный 39" xfId="337" xr:uid="{00000000-0005-0000-0000-0000A5030000}"/>
    <cellStyle name="Обычный 4" xfId="338" xr:uid="{00000000-0005-0000-0000-0000A6030000}"/>
    <cellStyle name="Обычный 4 10" xfId="1491" xr:uid="{00000000-0005-0000-0000-0000A7030000}"/>
    <cellStyle name="Обычный 4 11" xfId="1668" xr:uid="{00000000-0005-0000-0000-0000A8030000}"/>
    <cellStyle name="Обычный 4 12" xfId="1849" xr:uid="{00000000-0005-0000-0000-0000A9030000}"/>
    <cellStyle name="Обычный 4 2" xfId="339" xr:uid="{00000000-0005-0000-0000-0000AA030000}"/>
    <cellStyle name="Обычный 4 2 10" xfId="1850" xr:uid="{00000000-0005-0000-0000-0000AB030000}"/>
    <cellStyle name="Обычный 4 2 2" xfId="340" xr:uid="{00000000-0005-0000-0000-0000AC030000}"/>
    <cellStyle name="Обычный 4 2 2 2" xfId="606" xr:uid="{00000000-0005-0000-0000-0000AD030000}"/>
    <cellStyle name="Обычный 4 2 2 3" xfId="783" xr:uid="{00000000-0005-0000-0000-0000AE030000}"/>
    <cellStyle name="Обычный 4 2 2 4" xfId="960" xr:uid="{00000000-0005-0000-0000-0000AF030000}"/>
    <cellStyle name="Обычный 4 2 2 5" xfId="1139" xr:uid="{00000000-0005-0000-0000-0000B0030000}"/>
    <cellStyle name="Обычный 4 2 2 6" xfId="1316" xr:uid="{00000000-0005-0000-0000-0000B1030000}"/>
    <cellStyle name="Обычный 4 2 2 7" xfId="1493" xr:uid="{00000000-0005-0000-0000-0000B2030000}"/>
    <cellStyle name="Обычный 4 2 2 8" xfId="1670" xr:uid="{00000000-0005-0000-0000-0000B3030000}"/>
    <cellStyle name="Обычный 4 2 2 9" xfId="1851" xr:uid="{00000000-0005-0000-0000-0000B4030000}"/>
    <cellStyle name="Обычный 4 2 3" xfId="605" xr:uid="{00000000-0005-0000-0000-0000B5030000}"/>
    <cellStyle name="Обычный 4 2 4" xfId="782" xr:uid="{00000000-0005-0000-0000-0000B6030000}"/>
    <cellStyle name="Обычный 4 2 5" xfId="959" xr:uid="{00000000-0005-0000-0000-0000B7030000}"/>
    <cellStyle name="Обычный 4 2 6" xfId="1138" xr:uid="{00000000-0005-0000-0000-0000B8030000}"/>
    <cellStyle name="Обычный 4 2 7" xfId="1315" xr:uid="{00000000-0005-0000-0000-0000B9030000}"/>
    <cellStyle name="Обычный 4 2 8" xfId="1492" xr:uid="{00000000-0005-0000-0000-0000BA030000}"/>
    <cellStyle name="Обычный 4 2 9" xfId="1669" xr:uid="{00000000-0005-0000-0000-0000BB030000}"/>
    <cellStyle name="Обычный 4 3" xfId="341" xr:uid="{00000000-0005-0000-0000-0000BC030000}"/>
    <cellStyle name="Обычный 4 3 2" xfId="607" xr:uid="{00000000-0005-0000-0000-0000BD030000}"/>
    <cellStyle name="Обычный 4 3 3" xfId="784" xr:uid="{00000000-0005-0000-0000-0000BE030000}"/>
    <cellStyle name="Обычный 4 3 4" xfId="961" xr:uid="{00000000-0005-0000-0000-0000BF030000}"/>
    <cellStyle name="Обычный 4 3 5" xfId="1140" xr:uid="{00000000-0005-0000-0000-0000C0030000}"/>
    <cellStyle name="Обычный 4 3 6" xfId="1317" xr:uid="{00000000-0005-0000-0000-0000C1030000}"/>
    <cellStyle name="Обычный 4 3 7" xfId="1494" xr:uid="{00000000-0005-0000-0000-0000C2030000}"/>
    <cellStyle name="Обычный 4 3 8" xfId="1671" xr:uid="{00000000-0005-0000-0000-0000C3030000}"/>
    <cellStyle name="Обычный 4 3 9" xfId="1852" xr:uid="{00000000-0005-0000-0000-0000C4030000}"/>
    <cellStyle name="Обычный 4 4" xfId="604" xr:uid="{00000000-0005-0000-0000-0000C5030000}"/>
    <cellStyle name="Обычный 4 5" xfId="781" xr:uid="{00000000-0005-0000-0000-0000C6030000}"/>
    <cellStyle name="Обычный 4 6" xfId="958" xr:uid="{00000000-0005-0000-0000-0000C7030000}"/>
    <cellStyle name="Обычный 4 7" xfId="1061" xr:uid="{00000000-0005-0000-0000-0000C8030000}"/>
    <cellStyle name="Обычный 4 8" xfId="1137" xr:uid="{00000000-0005-0000-0000-0000C9030000}"/>
    <cellStyle name="Обычный 4 9" xfId="1314" xr:uid="{00000000-0005-0000-0000-0000CA030000}"/>
    <cellStyle name="Обычный 40" xfId="342" xr:uid="{00000000-0005-0000-0000-0000CB030000}"/>
    <cellStyle name="Обычный 41" xfId="343" xr:uid="{00000000-0005-0000-0000-0000CC030000}"/>
    <cellStyle name="Обычный 42" xfId="344" xr:uid="{00000000-0005-0000-0000-0000CD030000}"/>
    <cellStyle name="Обычный 43" xfId="345" xr:uid="{00000000-0005-0000-0000-0000CE030000}"/>
    <cellStyle name="Обычный 44" xfId="346" xr:uid="{00000000-0005-0000-0000-0000CF030000}"/>
    <cellStyle name="Обычный 45" xfId="347" xr:uid="{00000000-0005-0000-0000-0000D0030000}"/>
    <cellStyle name="Обычный 46" xfId="348" xr:uid="{00000000-0005-0000-0000-0000D1030000}"/>
    <cellStyle name="Обычный 47" xfId="349" xr:uid="{00000000-0005-0000-0000-0000D2030000}"/>
    <cellStyle name="Обычный 48" xfId="350" xr:uid="{00000000-0005-0000-0000-0000D3030000}"/>
    <cellStyle name="Обычный 49" xfId="351" xr:uid="{00000000-0005-0000-0000-0000D4030000}"/>
    <cellStyle name="Обычный 5" xfId="352" xr:uid="{00000000-0005-0000-0000-0000D5030000}"/>
    <cellStyle name="Обычный 5 2" xfId="353" xr:uid="{00000000-0005-0000-0000-0000D6030000}"/>
    <cellStyle name="Обычный 5 2 10" xfId="1853" xr:uid="{00000000-0005-0000-0000-0000D7030000}"/>
    <cellStyle name="Обычный 5 2 2" xfId="354" xr:uid="{00000000-0005-0000-0000-0000D8030000}"/>
    <cellStyle name="Обычный 5 2 3" xfId="608" xr:uid="{00000000-0005-0000-0000-0000D9030000}"/>
    <cellStyle name="Обычный 5 2 4" xfId="785" xr:uid="{00000000-0005-0000-0000-0000DA030000}"/>
    <cellStyle name="Обычный 5 2 5" xfId="962" xr:uid="{00000000-0005-0000-0000-0000DB030000}"/>
    <cellStyle name="Обычный 5 2 6" xfId="1141" xr:uid="{00000000-0005-0000-0000-0000DC030000}"/>
    <cellStyle name="Обычный 5 2 7" xfId="1318" xr:uid="{00000000-0005-0000-0000-0000DD030000}"/>
    <cellStyle name="Обычный 5 2 8" xfId="1495" xr:uid="{00000000-0005-0000-0000-0000DE030000}"/>
    <cellStyle name="Обычный 5 2 9" xfId="1672" xr:uid="{00000000-0005-0000-0000-0000DF030000}"/>
    <cellStyle name="Обычный 5 3" xfId="355" xr:uid="{00000000-0005-0000-0000-0000E0030000}"/>
    <cellStyle name="Обычный 5 4" xfId="356" xr:uid="{00000000-0005-0000-0000-0000E1030000}"/>
    <cellStyle name="Обычный 5 4 2" xfId="609" xr:uid="{00000000-0005-0000-0000-0000E2030000}"/>
    <cellStyle name="Обычный 5 4 3" xfId="786" xr:uid="{00000000-0005-0000-0000-0000E3030000}"/>
    <cellStyle name="Обычный 5 4 4" xfId="963" xr:uid="{00000000-0005-0000-0000-0000E4030000}"/>
    <cellStyle name="Обычный 5 4 5" xfId="1142" xr:uid="{00000000-0005-0000-0000-0000E5030000}"/>
    <cellStyle name="Обычный 5 4 6" xfId="1319" xr:uid="{00000000-0005-0000-0000-0000E6030000}"/>
    <cellStyle name="Обычный 5 4 7" xfId="1496" xr:uid="{00000000-0005-0000-0000-0000E7030000}"/>
    <cellStyle name="Обычный 5 4 8" xfId="1673" xr:uid="{00000000-0005-0000-0000-0000E8030000}"/>
    <cellStyle name="Обычный 5 4 9" xfId="1854" xr:uid="{00000000-0005-0000-0000-0000E9030000}"/>
    <cellStyle name="Обычный 5 5" xfId="357" xr:uid="{00000000-0005-0000-0000-0000EA030000}"/>
    <cellStyle name="Обычный 50" xfId="358" xr:uid="{00000000-0005-0000-0000-0000EB030000}"/>
    <cellStyle name="Обычный 51" xfId="359" xr:uid="{00000000-0005-0000-0000-0000EC030000}"/>
    <cellStyle name="Обычный 52" xfId="360" xr:uid="{00000000-0005-0000-0000-0000ED030000}"/>
    <cellStyle name="Обычный 53" xfId="361" xr:uid="{00000000-0005-0000-0000-0000EE030000}"/>
    <cellStyle name="Обычный 54" xfId="362" xr:uid="{00000000-0005-0000-0000-0000EF030000}"/>
    <cellStyle name="Обычный 55" xfId="363" xr:uid="{00000000-0005-0000-0000-0000F0030000}"/>
    <cellStyle name="Обычный 56" xfId="364" xr:uid="{00000000-0005-0000-0000-0000F1030000}"/>
    <cellStyle name="Обычный 57" xfId="365" xr:uid="{00000000-0005-0000-0000-0000F2030000}"/>
    <cellStyle name="Обычный 58" xfId="366" xr:uid="{00000000-0005-0000-0000-0000F3030000}"/>
    <cellStyle name="Обычный 59" xfId="367" xr:uid="{00000000-0005-0000-0000-0000F4030000}"/>
    <cellStyle name="Обычный 6" xfId="368" xr:uid="{00000000-0005-0000-0000-0000F5030000}"/>
    <cellStyle name="Обычный 6 10" xfId="1497" xr:uid="{00000000-0005-0000-0000-0000F6030000}"/>
    <cellStyle name="Обычный 6 11" xfId="1674" xr:uid="{00000000-0005-0000-0000-0000F7030000}"/>
    <cellStyle name="Обычный 6 12" xfId="1855" xr:uid="{00000000-0005-0000-0000-0000F8030000}"/>
    <cellStyle name="Обычный 6 2" xfId="369" xr:uid="{00000000-0005-0000-0000-0000F9030000}"/>
    <cellStyle name="Обычный 6 2 10" xfId="1856" xr:uid="{00000000-0005-0000-0000-0000FA030000}"/>
    <cellStyle name="Обычный 6 2 2" xfId="370" xr:uid="{00000000-0005-0000-0000-0000FB030000}"/>
    <cellStyle name="Обычный 6 2 3" xfId="611" xr:uid="{00000000-0005-0000-0000-0000FC030000}"/>
    <cellStyle name="Обычный 6 2 4" xfId="788" xr:uid="{00000000-0005-0000-0000-0000FD030000}"/>
    <cellStyle name="Обычный 6 2 5" xfId="965" xr:uid="{00000000-0005-0000-0000-0000FE030000}"/>
    <cellStyle name="Обычный 6 2 6" xfId="1144" xr:uid="{00000000-0005-0000-0000-0000FF030000}"/>
    <cellStyle name="Обычный 6 2 7" xfId="1321" xr:uid="{00000000-0005-0000-0000-000000040000}"/>
    <cellStyle name="Обычный 6 2 8" xfId="1498" xr:uid="{00000000-0005-0000-0000-000001040000}"/>
    <cellStyle name="Обычный 6 2 9" xfId="1675" xr:uid="{00000000-0005-0000-0000-000002040000}"/>
    <cellStyle name="Обычный 6 3" xfId="371" xr:uid="{00000000-0005-0000-0000-000003040000}"/>
    <cellStyle name="Обычный 6 3 2" xfId="612" xr:uid="{00000000-0005-0000-0000-000004040000}"/>
    <cellStyle name="Обычный 6 3 3" xfId="789" xr:uid="{00000000-0005-0000-0000-000005040000}"/>
    <cellStyle name="Обычный 6 3 4" xfId="966" xr:uid="{00000000-0005-0000-0000-000006040000}"/>
    <cellStyle name="Обычный 6 3 5" xfId="1145" xr:uid="{00000000-0005-0000-0000-000007040000}"/>
    <cellStyle name="Обычный 6 3 6" xfId="1322" xr:uid="{00000000-0005-0000-0000-000008040000}"/>
    <cellStyle name="Обычный 6 3 7" xfId="1499" xr:uid="{00000000-0005-0000-0000-000009040000}"/>
    <cellStyle name="Обычный 6 3 8" xfId="1676" xr:uid="{00000000-0005-0000-0000-00000A040000}"/>
    <cellStyle name="Обычный 6 3 9" xfId="1857" xr:uid="{00000000-0005-0000-0000-00000B040000}"/>
    <cellStyle name="Обычный 6 4" xfId="372" xr:uid="{00000000-0005-0000-0000-00000C040000}"/>
    <cellStyle name="Обычный 6 5" xfId="610" xr:uid="{00000000-0005-0000-0000-00000D040000}"/>
    <cellStyle name="Обычный 6 6" xfId="787" xr:uid="{00000000-0005-0000-0000-00000E040000}"/>
    <cellStyle name="Обычный 6 7" xfId="964" xr:uid="{00000000-0005-0000-0000-00000F040000}"/>
    <cellStyle name="Обычный 6 8" xfId="1143" xr:uid="{00000000-0005-0000-0000-000010040000}"/>
    <cellStyle name="Обычный 6 9" xfId="1320" xr:uid="{00000000-0005-0000-0000-000011040000}"/>
    <cellStyle name="Обычный 60" xfId="373" xr:uid="{00000000-0005-0000-0000-000012040000}"/>
    <cellStyle name="Обычный 61" xfId="374" xr:uid="{00000000-0005-0000-0000-000013040000}"/>
    <cellStyle name="Обычный 62" xfId="375" xr:uid="{00000000-0005-0000-0000-000014040000}"/>
    <cellStyle name="Обычный 63" xfId="376" xr:uid="{00000000-0005-0000-0000-000015040000}"/>
    <cellStyle name="Обычный 64" xfId="377" xr:uid="{00000000-0005-0000-0000-000016040000}"/>
    <cellStyle name="Обычный 65" xfId="378" xr:uid="{00000000-0005-0000-0000-000017040000}"/>
    <cellStyle name="Обычный 66" xfId="379" xr:uid="{00000000-0005-0000-0000-000018040000}"/>
    <cellStyle name="Обычный 67" xfId="380" xr:uid="{00000000-0005-0000-0000-000019040000}"/>
    <cellStyle name="Обычный 68" xfId="381" xr:uid="{00000000-0005-0000-0000-00001A040000}"/>
    <cellStyle name="Обычный 69" xfId="382" xr:uid="{00000000-0005-0000-0000-00001B040000}"/>
    <cellStyle name="Обычный 7" xfId="383" xr:uid="{00000000-0005-0000-0000-00001C040000}"/>
    <cellStyle name="Обычный 7 2" xfId="384" xr:uid="{00000000-0005-0000-0000-00001D040000}"/>
    <cellStyle name="Обычный 7 4" xfId="385" xr:uid="{00000000-0005-0000-0000-00001E040000}"/>
    <cellStyle name="Обычный 70" xfId="386" xr:uid="{00000000-0005-0000-0000-00001F040000}"/>
    <cellStyle name="Обычный 71" xfId="387" xr:uid="{00000000-0005-0000-0000-000020040000}"/>
    <cellStyle name="Обычный 72" xfId="388" xr:uid="{00000000-0005-0000-0000-000021040000}"/>
    <cellStyle name="Обычный 73" xfId="389" xr:uid="{00000000-0005-0000-0000-000022040000}"/>
    <cellStyle name="Обычный 74" xfId="390" xr:uid="{00000000-0005-0000-0000-000023040000}"/>
    <cellStyle name="Обычный 75" xfId="391" xr:uid="{00000000-0005-0000-0000-000024040000}"/>
    <cellStyle name="Обычный 76" xfId="392" xr:uid="{00000000-0005-0000-0000-000025040000}"/>
    <cellStyle name="Обычный 77" xfId="393" xr:uid="{00000000-0005-0000-0000-000026040000}"/>
    <cellStyle name="Обычный 78" xfId="394" xr:uid="{00000000-0005-0000-0000-000027040000}"/>
    <cellStyle name="Обычный 79" xfId="395" xr:uid="{00000000-0005-0000-0000-000028040000}"/>
    <cellStyle name="Обычный 8" xfId="396" xr:uid="{00000000-0005-0000-0000-000029040000}"/>
    <cellStyle name="Обычный 8 2" xfId="613" xr:uid="{00000000-0005-0000-0000-00002A040000}"/>
    <cellStyle name="Обычный 8 3" xfId="790" xr:uid="{00000000-0005-0000-0000-00002B040000}"/>
    <cellStyle name="Обычный 8 4" xfId="967" xr:uid="{00000000-0005-0000-0000-00002C040000}"/>
    <cellStyle name="Обычный 8 5" xfId="1146" xr:uid="{00000000-0005-0000-0000-00002D040000}"/>
    <cellStyle name="Обычный 8 6" xfId="1323" xr:uid="{00000000-0005-0000-0000-00002E040000}"/>
    <cellStyle name="Обычный 8 7" xfId="1500" xr:uid="{00000000-0005-0000-0000-00002F040000}"/>
    <cellStyle name="Обычный 8 8" xfId="1677" xr:uid="{00000000-0005-0000-0000-000030040000}"/>
    <cellStyle name="Обычный 8 9" xfId="1858" xr:uid="{00000000-0005-0000-0000-000031040000}"/>
    <cellStyle name="Обычный 80" xfId="397" xr:uid="{00000000-0005-0000-0000-000032040000}"/>
    <cellStyle name="Обычный 81" xfId="398" xr:uid="{00000000-0005-0000-0000-000033040000}"/>
    <cellStyle name="Обычный 82" xfId="399" xr:uid="{00000000-0005-0000-0000-000034040000}"/>
    <cellStyle name="Обычный 83" xfId="400" xr:uid="{00000000-0005-0000-0000-000035040000}"/>
    <cellStyle name="Обычный 84" xfId="401" xr:uid="{00000000-0005-0000-0000-000036040000}"/>
    <cellStyle name="Обычный 85" xfId="402" xr:uid="{00000000-0005-0000-0000-000037040000}"/>
    <cellStyle name="Обычный 86" xfId="403" xr:uid="{00000000-0005-0000-0000-000038040000}"/>
    <cellStyle name="Обычный 87" xfId="404" xr:uid="{00000000-0005-0000-0000-000039040000}"/>
    <cellStyle name="Обычный 88" xfId="405" xr:uid="{00000000-0005-0000-0000-00003A040000}"/>
    <cellStyle name="Обычный 89" xfId="406" xr:uid="{00000000-0005-0000-0000-00003B040000}"/>
    <cellStyle name="Обычный 9" xfId="407" xr:uid="{00000000-0005-0000-0000-00003C040000}"/>
    <cellStyle name="Обычный 9 2" xfId="614" xr:uid="{00000000-0005-0000-0000-00003D040000}"/>
    <cellStyle name="Обычный 9 3" xfId="791" xr:uid="{00000000-0005-0000-0000-00003E040000}"/>
    <cellStyle name="Обычный 9 4" xfId="968" xr:uid="{00000000-0005-0000-0000-00003F040000}"/>
    <cellStyle name="Обычный 9 5" xfId="1147" xr:uid="{00000000-0005-0000-0000-000040040000}"/>
    <cellStyle name="Обычный 9 6" xfId="1324" xr:uid="{00000000-0005-0000-0000-000041040000}"/>
    <cellStyle name="Обычный 9 7" xfId="1501" xr:uid="{00000000-0005-0000-0000-000042040000}"/>
    <cellStyle name="Обычный 9 8" xfId="1678" xr:uid="{00000000-0005-0000-0000-000043040000}"/>
    <cellStyle name="Обычный 9 9" xfId="1859" xr:uid="{00000000-0005-0000-0000-000044040000}"/>
    <cellStyle name="Обычный 90" xfId="408" xr:uid="{00000000-0005-0000-0000-000045040000}"/>
    <cellStyle name="Обычный 91" xfId="409" xr:uid="{00000000-0005-0000-0000-000046040000}"/>
    <cellStyle name="Обычный 92" xfId="410" xr:uid="{00000000-0005-0000-0000-000047040000}"/>
    <cellStyle name="Обычный 93" xfId="411" xr:uid="{00000000-0005-0000-0000-000048040000}"/>
    <cellStyle name="Обычный 94" xfId="412" xr:uid="{00000000-0005-0000-0000-000049040000}"/>
    <cellStyle name="Обычный 95" xfId="413" xr:uid="{00000000-0005-0000-0000-00004A040000}"/>
    <cellStyle name="Обычный 96" xfId="414" xr:uid="{00000000-0005-0000-0000-00004B040000}"/>
    <cellStyle name="Обычный 97" xfId="415" xr:uid="{00000000-0005-0000-0000-00004C040000}"/>
    <cellStyle name="Обычный 98" xfId="416" xr:uid="{00000000-0005-0000-0000-00004D040000}"/>
    <cellStyle name="Обычный 99" xfId="417" xr:uid="{00000000-0005-0000-0000-00004E040000}"/>
    <cellStyle name="Обычный_Загрузчик ЛКК" xfId="1952" xr:uid="{00000000-0005-0000-0000-00004F040000}"/>
    <cellStyle name="Обычный_Лист1" xfId="1953" xr:uid="{00000000-0005-0000-0000-000050040000}"/>
    <cellStyle name="Плохой 2" xfId="418" xr:uid="{00000000-0005-0000-0000-000051040000}"/>
    <cellStyle name="Пояснение 2" xfId="419" xr:uid="{00000000-0005-0000-0000-000052040000}"/>
    <cellStyle name="Примечание 2" xfId="420" xr:uid="{00000000-0005-0000-0000-000053040000}"/>
    <cellStyle name="Процентный 2" xfId="421" xr:uid="{00000000-0005-0000-0000-000054040000}"/>
    <cellStyle name="Процентный 2 10" xfId="1325" xr:uid="{00000000-0005-0000-0000-000055040000}"/>
    <cellStyle name="Процентный 2 11" xfId="1502" xr:uid="{00000000-0005-0000-0000-000056040000}"/>
    <cellStyle name="Процентный 2 12" xfId="1679" xr:uid="{00000000-0005-0000-0000-000057040000}"/>
    <cellStyle name="Процентный 2 13" xfId="1860" xr:uid="{00000000-0005-0000-0000-000058040000}"/>
    <cellStyle name="Процентный 2 2" xfId="422" xr:uid="{00000000-0005-0000-0000-000059040000}"/>
    <cellStyle name="Процентный 2 2 10" xfId="1680" xr:uid="{00000000-0005-0000-0000-00005A040000}"/>
    <cellStyle name="Процентный 2 2 11" xfId="1861" xr:uid="{00000000-0005-0000-0000-00005B040000}"/>
    <cellStyle name="Процентный 2 2 2" xfId="423" xr:uid="{00000000-0005-0000-0000-00005C040000}"/>
    <cellStyle name="Процентный 2 2 2 10" xfId="1862" xr:uid="{00000000-0005-0000-0000-00005D040000}"/>
    <cellStyle name="Процентный 2 2 2 2" xfId="424" xr:uid="{00000000-0005-0000-0000-00005E040000}"/>
    <cellStyle name="Процентный 2 2 2 2 2" xfId="618" xr:uid="{00000000-0005-0000-0000-00005F040000}"/>
    <cellStyle name="Процентный 2 2 2 2 3" xfId="795" xr:uid="{00000000-0005-0000-0000-000060040000}"/>
    <cellStyle name="Процентный 2 2 2 2 4" xfId="972" xr:uid="{00000000-0005-0000-0000-000061040000}"/>
    <cellStyle name="Процентный 2 2 2 2 5" xfId="1151" xr:uid="{00000000-0005-0000-0000-000062040000}"/>
    <cellStyle name="Процентный 2 2 2 2 6" xfId="1328" xr:uid="{00000000-0005-0000-0000-000063040000}"/>
    <cellStyle name="Процентный 2 2 2 2 7" xfId="1505" xr:uid="{00000000-0005-0000-0000-000064040000}"/>
    <cellStyle name="Процентный 2 2 2 2 8" xfId="1682" xr:uid="{00000000-0005-0000-0000-000065040000}"/>
    <cellStyle name="Процентный 2 2 2 2 9" xfId="1863" xr:uid="{00000000-0005-0000-0000-000066040000}"/>
    <cellStyle name="Процентный 2 2 2 3" xfId="617" xr:uid="{00000000-0005-0000-0000-000067040000}"/>
    <cellStyle name="Процентный 2 2 2 4" xfId="794" xr:uid="{00000000-0005-0000-0000-000068040000}"/>
    <cellStyle name="Процентный 2 2 2 5" xfId="971" xr:uid="{00000000-0005-0000-0000-000069040000}"/>
    <cellStyle name="Процентный 2 2 2 6" xfId="1150" xr:uid="{00000000-0005-0000-0000-00006A040000}"/>
    <cellStyle name="Процентный 2 2 2 7" xfId="1327" xr:uid="{00000000-0005-0000-0000-00006B040000}"/>
    <cellStyle name="Процентный 2 2 2 8" xfId="1504" xr:uid="{00000000-0005-0000-0000-00006C040000}"/>
    <cellStyle name="Процентный 2 2 2 9" xfId="1681" xr:uid="{00000000-0005-0000-0000-00006D040000}"/>
    <cellStyle name="Процентный 2 2 3" xfId="425" xr:uid="{00000000-0005-0000-0000-00006E040000}"/>
    <cellStyle name="Процентный 2 2 3 10" xfId="1864" xr:uid="{00000000-0005-0000-0000-00006F040000}"/>
    <cellStyle name="Процентный 2 2 3 2" xfId="426" xr:uid="{00000000-0005-0000-0000-000070040000}"/>
    <cellStyle name="Процентный 2 2 3 3" xfId="619" xr:uid="{00000000-0005-0000-0000-000071040000}"/>
    <cellStyle name="Процентный 2 2 3 4" xfId="796" xr:uid="{00000000-0005-0000-0000-000072040000}"/>
    <cellStyle name="Процентный 2 2 3 5" xfId="973" xr:uid="{00000000-0005-0000-0000-000073040000}"/>
    <cellStyle name="Процентный 2 2 3 6" xfId="1152" xr:uid="{00000000-0005-0000-0000-000074040000}"/>
    <cellStyle name="Процентный 2 2 3 7" xfId="1329" xr:uid="{00000000-0005-0000-0000-000075040000}"/>
    <cellStyle name="Процентный 2 2 3 8" xfId="1506" xr:uid="{00000000-0005-0000-0000-000076040000}"/>
    <cellStyle name="Процентный 2 2 3 9" xfId="1683" xr:uid="{00000000-0005-0000-0000-000077040000}"/>
    <cellStyle name="Процентный 2 2 4" xfId="616" xr:uid="{00000000-0005-0000-0000-000078040000}"/>
    <cellStyle name="Процентный 2 2 5" xfId="793" xr:uid="{00000000-0005-0000-0000-000079040000}"/>
    <cellStyle name="Процентный 2 2 6" xfId="970" xr:uid="{00000000-0005-0000-0000-00007A040000}"/>
    <cellStyle name="Процентный 2 2 7" xfId="1149" xr:uid="{00000000-0005-0000-0000-00007B040000}"/>
    <cellStyle name="Процентный 2 2 8" xfId="1326" xr:uid="{00000000-0005-0000-0000-00007C040000}"/>
    <cellStyle name="Процентный 2 2 9" xfId="1503" xr:uid="{00000000-0005-0000-0000-00007D040000}"/>
    <cellStyle name="Процентный 2 3" xfId="427" xr:uid="{00000000-0005-0000-0000-00007E040000}"/>
    <cellStyle name="Процентный 2 3 10" xfId="1865" xr:uid="{00000000-0005-0000-0000-00007F040000}"/>
    <cellStyle name="Процентный 2 3 2" xfId="428" xr:uid="{00000000-0005-0000-0000-000080040000}"/>
    <cellStyle name="Процентный 2 3 2 2" xfId="621" xr:uid="{00000000-0005-0000-0000-000081040000}"/>
    <cellStyle name="Процентный 2 3 2 3" xfId="798" xr:uid="{00000000-0005-0000-0000-000082040000}"/>
    <cellStyle name="Процентный 2 3 2 4" xfId="975" xr:uid="{00000000-0005-0000-0000-000083040000}"/>
    <cellStyle name="Процентный 2 3 2 5" xfId="1154" xr:uid="{00000000-0005-0000-0000-000084040000}"/>
    <cellStyle name="Процентный 2 3 2 6" xfId="1331" xr:uid="{00000000-0005-0000-0000-000085040000}"/>
    <cellStyle name="Процентный 2 3 2 7" xfId="1508" xr:uid="{00000000-0005-0000-0000-000086040000}"/>
    <cellStyle name="Процентный 2 3 2 8" xfId="1685" xr:uid="{00000000-0005-0000-0000-000087040000}"/>
    <cellStyle name="Процентный 2 3 2 9" xfId="1866" xr:uid="{00000000-0005-0000-0000-000088040000}"/>
    <cellStyle name="Процентный 2 3 3" xfId="620" xr:uid="{00000000-0005-0000-0000-000089040000}"/>
    <cellStyle name="Процентный 2 3 4" xfId="797" xr:uid="{00000000-0005-0000-0000-00008A040000}"/>
    <cellStyle name="Процентный 2 3 5" xfId="974" xr:uid="{00000000-0005-0000-0000-00008B040000}"/>
    <cellStyle name="Процентный 2 3 6" xfId="1153" xr:uid="{00000000-0005-0000-0000-00008C040000}"/>
    <cellStyle name="Процентный 2 3 7" xfId="1330" xr:uid="{00000000-0005-0000-0000-00008D040000}"/>
    <cellStyle name="Процентный 2 3 8" xfId="1507" xr:uid="{00000000-0005-0000-0000-00008E040000}"/>
    <cellStyle name="Процентный 2 3 9" xfId="1684" xr:uid="{00000000-0005-0000-0000-00008F040000}"/>
    <cellStyle name="Процентный 2 4" xfId="429" xr:uid="{00000000-0005-0000-0000-000090040000}"/>
    <cellStyle name="Процентный 2 4 10" xfId="1867" xr:uid="{00000000-0005-0000-0000-000091040000}"/>
    <cellStyle name="Процентный 2 4 2" xfId="430" xr:uid="{00000000-0005-0000-0000-000092040000}"/>
    <cellStyle name="Процентный 2 4 3" xfId="622" xr:uid="{00000000-0005-0000-0000-000093040000}"/>
    <cellStyle name="Процентный 2 4 4" xfId="799" xr:uid="{00000000-0005-0000-0000-000094040000}"/>
    <cellStyle name="Процентный 2 4 5" xfId="976" xr:uid="{00000000-0005-0000-0000-000095040000}"/>
    <cellStyle name="Процентный 2 4 6" xfId="1155" xr:uid="{00000000-0005-0000-0000-000096040000}"/>
    <cellStyle name="Процентный 2 4 7" xfId="1332" xr:uid="{00000000-0005-0000-0000-000097040000}"/>
    <cellStyle name="Процентный 2 4 8" xfId="1509" xr:uid="{00000000-0005-0000-0000-000098040000}"/>
    <cellStyle name="Процентный 2 4 9" xfId="1686" xr:uid="{00000000-0005-0000-0000-000099040000}"/>
    <cellStyle name="Процентный 2 5" xfId="431" xr:uid="{00000000-0005-0000-0000-00009A040000}"/>
    <cellStyle name="Процентный 2 5 2" xfId="623" xr:uid="{00000000-0005-0000-0000-00009B040000}"/>
    <cellStyle name="Процентный 2 5 3" xfId="800" xr:uid="{00000000-0005-0000-0000-00009C040000}"/>
    <cellStyle name="Процентный 2 5 4" xfId="977" xr:uid="{00000000-0005-0000-0000-00009D040000}"/>
    <cellStyle name="Процентный 2 5 5" xfId="1156" xr:uid="{00000000-0005-0000-0000-00009E040000}"/>
    <cellStyle name="Процентный 2 5 6" xfId="1333" xr:uid="{00000000-0005-0000-0000-00009F040000}"/>
    <cellStyle name="Процентный 2 5 7" xfId="1510" xr:uid="{00000000-0005-0000-0000-0000A0040000}"/>
    <cellStyle name="Процентный 2 5 8" xfId="1687" xr:uid="{00000000-0005-0000-0000-0000A1040000}"/>
    <cellStyle name="Процентный 2 5 9" xfId="1868" xr:uid="{00000000-0005-0000-0000-0000A2040000}"/>
    <cellStyle name="Процентный 2 6" xfId="615" xr:uid="{00000000-0005-0000-0000-0000A3040000}"/>
    <cellStyle name="Процентный 2 7" xfId="792" xr:uid="{00000000-0005-0000-0000-0000A4040000}"/>
    <cellStyle name="Процентный 2 8" xfId="969" xr:uid="{00000000-0005-0000-0000-0000A5040000}"/>
    <cellStyle name="Процентный 2 9" xfId="1148" xr:uid="{00000000-0005-0000-0000-0000A6040000}"/>
    <cellStyle name="Процентный 3" xfId="432" xr:uid="{00000000-0005-0000-0000-0000A7040000}"/>
    <cellStyle name="Процентный 4" xfId="433" xr:uid="{00000000-0005-0000-0000-0000A8040000}"/>
    <cellStyle name="Процентный 4 10" xfId="1869" xr:uid="{00000000-0005-0000-0000-0000A9040000}"/>
    <cellStyle name="Процентный 4 2" xfId="434" xr:uid="{00000000-0005-0000-0000-0000AA040000}"/>
    <cellStyle name="Процентный 4 2 2" xfId="625" xr:uid="{00000000-0005-0000-0000-0000AB040000}"/>
    <cellStyle name="Процентный 4 2 3" xfId="802" xr:uid="{00000000-0005-0000-0000-0000AC040000}"/>
    <cellStyle name="Процентный 4 2 4" xfId="979" xr:uid="{00000000-0005-0000-0000-0000AD040000}"/>
    <cellStyle name="Процентный 4 2 5" xfId="1158" xr:uid="{00000000-0005-0000-0000-0000AE040000}"/>
    <cellStyle name="Процентный 4 2 6" xfId="1335" xr:uid="{00000000-0005-0000-0000-0000AF040000}"/>
    <cellStyle name="Процентный 4 2 7" xfId="1512" xr:uid="{00000000-0005-0000-0000-0000B0040000}"/>
    <cellStyle name="Процентный 4 2 8" xfId="1689" xr:uid="{00000000-0005-0000-0000-0000B1040000}"/>
    <cellStyle name="Процентный 4 2 9" xfId="1870" xr:uid="{00000000-0005-0000-0000-0000B2040000}"/>
    <cellStyle name="Процентный 4 3" xfId="624" xr:uid="{00000000-0005-0000-0000-0000B3040000}"/>
    <cellStyle name="Процентный 4 4" xfId="801" xr:uid="{00000000-0005-0000-0000-0000B4040000}"/>
    <cellStyle name="Процентный 4 5" xfId="978" xr:uid="{00000000-0005-0000-0000-0000B5040000}"/>
    <cellStyle name="Процентный 4 6" xfId="1157" xr:uid="{00000000-0005-0000-0000-0000B6040000}"/>
    <cellStyle name="Процентный 4 7" xfId="1334" xr:uid="{00000000-0005-0000-0000-0000B7040000}"/>
    <cellStyle name="Процентный 4 8" xfId="1511" xr:uid="{00000000-0005-0000-0000-0000B8040000}"/>
    <cellStyle name="Процентный 4 9" xfId="1688" xr:uid="{00000000-0005-0000-0000-0000B9040000}"/>
    <cellStyle name="Процентный 5" xfId="435" xr:uid="{00000000-0005-0000-0000-0000BA040000}"/>
    <cellStyle name="Процентный 6" xfId="436" xr:uid="{00000000-0005-0000-0000-0000BB040000}"/>
    <cellStyle name="Процентный 6 2" xfId="626" xr:uid="{00000000-0005-0000-0000-0000BC040000}"/>
    <cellStyle name="Процентный 6 3" xfId="803" xr:uid="{00000000-0005-0000-0000-0000BD040000}"/>
    <cellStyle name="Процентный 6 4" xfId="980" xr:uid="{00000000-0005-0000-0000-0000BE040000}"/>
    <cellStyle name="Процентный 6 5" xfId="1159" xr:uid="{00000000-0005-0000-0000-0000BF040000}"/>
    <cellStyle name="Процентный 6 6" xfId="1336" xr:uid="{00000000-0005-0000-0000-0000C0040000}"/>
    <cellStyle name="Процентный 6 7" xfId="1513" xr:uid="{00000000-0005-0000-0000-0000C1040000}"/>
    <cellStyle name="Процентный 6 8" xfId="1690" xr:uid="{00000000-0005-0000-0000-0000C2040000}"/>
    <cellStyle name="Процентный 6 9" xfId="1871" xr:uid="{00000000-0005-0000-0000-0000C3040000}"/>
    <cellStyle name="Процентный 7" xfId="437" xr:uid="{00000000-0005-0000-0000-0000C4040000}"/>
    <cellStyle name="Процентный 8" xfId="438" xr:uid="{00000000-0005-0000-0000-0000C5040000}"/>
    <cellStyle name="Процентный 9" xfId="1773" xr:uid="{00000000-0005-0000-0000-0000C6040000}"/>
    <cellStyle name="Связанная ячейка 2" xfId="439" xr:uid="{00000000-0005-0000-0000-0000C7040000}"/>
    <cellStyle name="Текст предупреждения 2" xfId="440" xr:uid="{00000000-0005-0000-0000-0000C8040000}"/>
    <cellStyle name="Финансовый" xfId="1955" builtinId="3"/>
    <cellStyle name="Финансовый 2" xfId="441" xr:uid="{00000000-0005-0000-0000-0000CA040000}"/>
    <cellStyle name="Финансовый 2 2" xfId="442" xr:uid="{00000000-0005-0000-0000-0000CB040000}"/>
    <cellStyle name="Финансовый 2 2 2" xfId="443" xr:uid="{00000000-0005-0000-0000-0000CC040000}"/>
    <cellStyle name="Финансовый 2 2 2 10" xfId="1514" xr:uid="{00000000-0005-0000-0000-0000CD040000}"/>
    <cellStyle name="Финансовый 2 2 2 11" xfId="1691" xr:uid="{00000000-0005-0000-0000-0000CE040000}"/>
    <cellStyle name="Финансовый 2 2 2 12" xfId="1872" xr:uid="{00000000-0005-0000-0000-0000CF040000}"/>
    <cellStyle name="Финансовый 2 2 2 2" xfId="444" xr:uid="{00000000-0005-0000-0000-0000D0040000}"/>
    <cellStyle name="Финансовый 2 2 2 2 2" xfId="628" xr:uid="{00000000-0005-0000-0000-0000D1040000}"/>
    <cellStyle name="Финансовый 2 2 2 2 3" xfId="805" xr:uid="{00000000-0005-0000-0000-0000D2040000}"/>
    <cellStyle name="Финансовый 2 2 2 2 4" xfId="982" xr:uid="{00000000-0005-0000-0000-0000D3040000}"/>
    <cellStyle name="Финансовый 2 2 2 2 5" xfId="1161" xr:uid="{00000000-0005-0000-0000-0000D4040000}"/>
    <cellStyle name="Финансовый 2 2 2 2 6" xfId="1338" xr:uid="{00000000-0005-0000-0000-0000D5040000}"/>
    <cellStyle name="Финансовый 2 2 2 2 7" xfId="1515" xr:uid="{00000000-0005-0000-0000-0000D6040000}"/>
    <cellStyle name="Финансовый 2 2 2 2 8" xfId="1692" xr:uid="{00000000-0005-0000-0000-0000D7040000}"/>
    <cellStyle name="Финансовый 2 2 2 2 9" xfId="1873" xr:uid="{00000000-0005-0000-0000-0000D8040000}"/>
    <cellStyle name="Финансовый 2 2 2 3" xfId="445" xr:uid="{00000000-0005-0000-0000-0000D9040000}"/>
    <cellStyle name="Финансовый 2 2 2 3 2" xfId="629" xr:uid="{00000000-0005-0000-0000-0000DA040000}"/>
    <cellStyle name="Финансовый 2 2 2 3 3" xfId="806" xr:uid="{00000000-0005-0000-0000-0000DB040000}"/>
    <cellStyle name="Финансовый 2 2 2 3 4" xfId="983" xr:uid="{00000000-0005-0000-0000-0000DC040000}"/>
    <cellStyle name="Финансовый 2 2 2 3 5" xfId="1162" xr:uid="{00000000-0005-0000-0000-0000DD040000}"/>
    <cellStyle name="Финансовый 2 2 2 3 6" xfId="1339" xr:uid="{00000000-0005-0000-0000-0000DE040000}"/>
    <cellStyle name="Финансовый 2 2 2 3 7" xfId="1516" xr:uid="{00000000-0005-0000-0000-0000DF040000}"/>
    <cellStyle name="Финансовый 2 2 2 3 8" xfId="1693" xr:uid="{00000000-0005-0000-0000-0000E0040000}"/>
    <cellStyle name="Финансовый 2 2 2 3 9" xfId="1874" xr:uid="{00000000-0005-0000-0000-0000E1040000}"/>
    <cellStyle name="Финансовый 2 2 2 4" xfId="446" xr:uid="{00000000-0005-0000-0000-0000E2040000}"/>
    <cellStyle name="Финансовый 2 2 2 4 2" xfId="630" xr:uid="{00000000-0005-0000-0000-0000E3040000}"/>
    <cellStyle name="Финансовый 2 2 2 4 3" xfId="807" xr:uid="{00000000-0005-0000-0000-0000E4040000}"/>
    <cellStyle name="Финансовый 2 2 2 4 4" xfId="984" xr:uid="{00000000-0005-0000-0000-0000E5040000}"/>
    <cellStyle name="Финансовый 2 2 2 4 5" xfId="1163" xr:uid="{00000000-0005-0000-0000-0000E6040000}"/>
    <cellStyle name="Финансовый 2 2 2 4 6" xfId="1340" xr:uid="{00000000-0005-0000-0000-0000E7040000}"/>
    <cellStyle name="Финансовый 2 2 2 4 7" xfId="1517" xr:uid="{00000000-0005-0000-0000-0000E8040000}"/>
    <cellStyle name="Финансовый 2 2 2 4 8" xfId="1694" xr:uid="{00000000-0005-0000-0000-0000E9040000}"/>
    <cellStyle name="Финансовый 2 2 2 4 9" xfId="1875" xr:uid="{00000000-0005-0000-0000-0000EA040000}"/>
    <cellStyle name="Финансовый 2 2 2 5" xfId="627" xr:uid="{00000000-0005-0000-0000-0000EB040000}"/>
    <cellStyle name="Финансовый 2 2 2 6" xfId="804" xr:uid="{00000000-0005-0000-0000-0000EC040000}"/>
    <cellStyle name="Финансовый 2 2 2 7" xfId="981" xr:uid="{00000000-0005-0000-0000-0000ED040000}"/>
    <cellStyle name="Финансовый 2 2 2 8" xfId="1160" xr:uid="{00000000-0005-0000-0000-0000EE040000}"/>
    <cellStyle name="Финансовый 2 2 2 9" xfId="1337" xr:uid="{00000000-0005-0000-0000-0000EF040000}"/>
    <cellStyle name="Финансовый 2 2 3" xfId="447" xr:uid="{00000000-0005-0000-0000-0000F0040000}"/>
    <cellStyle name="Финансовый 2 2 3 2" xfId="631" xr:uid="{00000000-0005-0000-0000-0000F1040000}"/>
    <cellStyle name="Финансовый 2 2 3 3" xfId="808" xr:uid="{00000000-0005-0000-0000-0000F2040000}"/>
    <cellStyle name="Финансовый 2 2 3 4" xfId="985" xr:uid="{00000000-0005-0000-0000-0000F3040000}"/>
    <cellStyle name="Финансовый 2 2 3 5" xfId="1164" xr:uid="{00000000-0005-0000-0000-0000F4040000}"/>
    <cellStyle name="Финансовый 2 2 3 6" xfId="1341" xr:uid="{00000000-0005-0000-0000-0000F5040000}"/>
    <cellStyle name="Финансовый 2 2 3 7" xfId="1518" xr:uid="{00000000-0005-0000-0000-0000F6040000}"/>
    <cellStyle name="Финансовый 2 2 3 8" xfId="1695" xr:uid="{00000000-0005-0000-0000-0000F7040000}"/>
    <cellStyle name="Финансовый 2 2 3 9" xfId="1876" xr:uid="{00000000-0005-0000-0000-0000F8040000}"/>
    <cellStyle name="Финансовый 2 2 4" xfId="448" xr:uid="{00000000-0005-0000-0000-0000F9040000}"/>
    <cellStyle name="Финансовый 2 2 4 2" xfId="632" xr:uid="{00000000-0005-0000-0000-0000FA040000}"/>
    <cellStyle name="Финансовый 2 2 4 3" xfId="809" xr:uid="{00000000-0005-0000-0000-0000FB040000}"/>
    <cellStyle name="Финансовый 2 2 4 4" xfId="986" xr:uid="{00000000-0005-0000-0000-0000FC040000}"/>
    <cellStyle name="Финансовый 2 2 4 5" xfId="1165" xr:uid="{00000000-0005-0000-0000-0000FD040000}"/>
    <cellStyle name="Финансовый 2 2 4 6" xfId="1342" xr:uid="{00000000-0005-0000-0000-0000FE040000}"/>
    <cellStyle name="Финансовый 2 2 4 7" xfId="1519" xr:uid="{00000000-0005-0000-0000-0000FF040000}"/>
    <cellStyle name="Финансовый 2 2 4 8" xfId="1696" xr:uid="{00000000-0005-0000-0000-000000050000}"/>
    <cellStyle name="Финансовый 2 2 4 9" xfId="1877" xr:uid="{00000000-0005-0000-0000-000001050000}"/>
    <cellStyle name="Финансовый 2 2 5" xfId="449" xr:uid="{00000000-0005-0000-0000-000002050000}"/>
    <cellStyle name="Финансовый 2 2 5 2" xfId="633" xr:uid="{00000000-0005-0000-0000-000003050000}"/>
    <cellStyle name="Финансовый 2 2 5 3" xfId="810" xr:uid="{00000000-0005-0000-0000-000004050000}"/>
    <cellStyle name="Финансовый 2 2 5 4" xfId="987" xr:uid="{00000000-0005-0000-0000-000005050000}"/>
    <cellStyle name="Финансовый 2 2 5 5" xfId="1166" xr:uid="{00000000-0005-0000-0000-000006050000}"/>
    <cellStyle name="Финансовый 2 2 5 6" xfId="1343" xr:uid="{00000000-0005-0000-0000-000007050000}"/>
    <cellStyle name="Финансовый 2 2 5 7" xfId="1520" xr:uid="{00000000-0005-0000-0000-000008050000}"/>
    <cellStyle name="Финансовый 2 2 5 8" xfId="1697" xr:uid="{00000000-0005-0000-0000-000009050000}"/>
    <cellStyle name="Финансовый 2 2 5 9" xfId="1878" xr:uid="{00000000-0005-0000-0000-00000A050000}"/>
    <cellStyle name="Финансовый 2 2 6" xfId="450" xr:uid="{00000000-0005-0000-0000-00000B050000}"/>
    <cellStyle name="Финансовый 2 2 6 2" xfId="634" xr:uid="{00000000-0005-0000-0000-00000C050000}"/>
    <cellStyle name="Финансовый 2 2 6 3" xfId="811" xr:uid="{00000000-0005-0000-0000-00000D050000}"/>
    <cellStyle name="Финансовый 2 2 6 4" xfId="988" xr:uid="{00000000-0005-0000-0000-00000E050000}"/>
    <cellStyle name="Финансовый 2 2 6 5" xfId="1167" xr:uid="{00000000-0005-0000-0000-00000F050000}"/>
    <cellStyle name="Финансовый 2 2 6 6" xfId="1344" xr:uid="{00000000-0005-0000-0000-000010050000}"/>
    <cellStyle name="Финансовый 2 2 6 7" xfId="1521" xr:uid="{00000000-0005-0000-0000-000011050000}"/>
    <cellStyle name="Финансовый 2 2 6 8" xfId="1698" xr:uid="{00000000-0005-0000-0000-000012050000}"/>
    <cellStyle name="Финансовый 2 2 6 9" xfId="1879" xr:uid="{00000000-0005-0000-0000-000013050000}"/>
    <cellStyle name="Финансовый 2 3" xfId="451" xr:uid="{00000000-0005-0000-0000-000014050000}"/>
    <cellStyle name="Финансовый 2 3 10" xfId="989" xr:uid="{00000000-0005-0000-0000-000015050000}"/>
    <cellStyle name="Финансовый 2 3 11" xfId="1168" xr:uid="{00000000-0005-0000-0000-000016050000}"/>
    <cellStyle name="Финансовый 2 3 12" xfId="1345" xr:uid="{00000000-0005-0000-0000-000017050000}"/>
    <cellStyle name="Финансовый 2 3 13" xfId="1522" xr:uid="{00000000-0005-0000-0000-000018050000}"/>
    <cellStyle name="Финансовый 2 3 14" xfId="1699" xr:uid="{00000000-0005-0000-0000-000019050000}"/>
    <cellStyle name="Финансовый 2 3 15" xfId="1880" xr:uid="{00000000-0005-0000-0000-00001A050000}"/>
    <cellStyle name="Финансовый 2 3 2" xfId="452" xr:uid="{00000000-0005-0000-0000-00001B050000}"/>
    <cellStyle name="Финансовый 2 3 2 2" xfId="453" xr:uid="{00000000-0005-0000-0000-00001C050000}"/>
    <cellStyle name="Финансовый 2 3 2 3" xfId="454" xr:uid="{00000000-0005-0000-0000-00001D050000}"/>
    <cellStyle name="Финансовый 2 3 2 4" xfId="455" xr:uid="{00000000-0005-0000-0000-00001E050000}"/>
    <cellStyle name="Финансовый 2 3 3" xfId="456" xr:uid="{00000000-0005-0000-0000-00001F050000}"/>
    <cellStyle name="Финансовый 2 3 3 10" xfId="1881" xr:uid="{00000000-0005-0000-0000-000020050000}"/>
    <cellStyle name="Финансовый 2 3 3 2" xfId="457" xr:uid="{00000000-0005-0000-0000-000021050000}"/>
    <cellStyle name="Финансовый 2 3 3 2 2" xfId="637" xr:uid="{00000000-0005-0000-0000-000022050000}"/>
    <cellStyle name="Финансовый 2 3 3 2 3" xfId="814" xr:uid="{00000000-0005-0000-0000-000023050000}"/>
    <cellStyle name="Финансовый 2 3 3 2 4" xfId="991" xr:uid="{00000000-0005-0000-0000-000024050000}"/>
    <cellStyle name="Финансовый 2 3 3 2 5" xfId="1170" xr:uid="{00000000-0005-0000-0000-000025050000}"/>
    <cellStyle name="Финансовый 2 3 3 2 6" xfId="1347" xr:uid="{00000000-0005-0000-0000-000026050000}"/>
    <cellStyle name="Финансовый 2 3 3 2 7" xfId="1524" xr:uid="{00000000-0005-0000-0000-000027050000}"/>
    <cellStyle name="Финансовый 2 3 3 2 8" xfId="1701" xr:uid="{00000000-0005-0000-0000-000028050000}"/>
    <cellStyle name="Финансовый 2 3 3 2 9" xfId="1882" xr:uid="{00000000-0005-0000-0000-000029050000}"/>
    <cellStyle name="Финансовый 2 3 3 3" xfId="636" xr:uid="{00000000-0005-0000-0000-00002A050000}"/>
    <cellStyle name="Финансовый 2 3 3 4" xfId="813" xr:uid="{00000000-0005-0000-0000-00002B050000}"/>
    <cellStyle name="Финансовый 2 3 3 5" xfId="990" xr:uid="{00000000-0005-0000-0000-00002C050000}"/>
    <cellStyle name="Финансовый 2 3 3 6" xfId="1169" xr:uid="{00000000-0005-0000-0000-00002D050000}"/>
    <cellStyle name="Финансовый 2 3 3 7" xfId="1346" xr:uid="{00000000-0005-0000-0000-00002E050000}"/>
    <cellStyle name="Финансовый 2 3 3 8" xfId="1523" xr:uid="{00000000-0005-0000-0000-00002F050000}"/>
    <cellStyle name="Финансовый 2 3 3 9" xfId="1700" xr:uid="{00000000-0005-0000-0000-000030050000}"/>
    <cellStyle name="Финансовый 2 3 4" xfId="458" xr:uid="{00000000-0005-0000-0000-000031050000}"/>
    <cellStyle name="Финансовый 2 3 4 10" xfId="1525" xr:uid="{00000000-0005-0000-0000-000032050000}"/>
    <cellStyle name="Финансовый 2 3 4 11" xfId="1702" xr:uid="{00000000-0005-0000-0000-000033050000}"/>
    <cellStyle name="Финансовый 2 3 4 12" xfId="1883" xr:uid="{00000000-0005-0000-0000-000034050000}"/>
    <cellStyle name="Финансовый 2 3 4 2" xfId="459" xr:uid="{00000000-0005-0000-0000-000035050000}"/>
    <cellStyle name="Финансовый 2 3 4 2 2" xfId="639" xr:uid="{00000000-0005-0000-0000-000036050000}"/>
    <cellStyle name="Финансовый 2 3 4 2 3" xfId="816" xr:uid="{00000000-0005-0000-0000-000037050000}"/>
    <cellStyle name="Финансовый 2 3 4 2 4" xfId="993" xr:uid="{00000000-0005-0000-0000-000038050000}"/>
    <cellStyle name="Финансовый 2 3 4 2 5" xfId="1172" xr:uid="{00000000-0005-0000-0000-000039050000}"/>
    <cellStyle name="Финансовый 2 3 4 2 6" xfId="1349" xr:uid="{00000000-0005-0000-0000-00003A050000}"/>
    <cellStyle name="Финансовый 2 3 4 2 7" xfId="1526" xr:uid="{00000000-0005-0000-0000-00003B050000}"/>
    <cellStyle name="Финансовый 2 3 4 2 8" xfId="1703" xr:uid="{00000000-0005-0000-0000-00003C050000}"/>
    <cellStyle name="Финансовый 2 3 4 2 9" xfId="1884" xr:uid="{00000000-0005-0000-0000-00003D050000}"/>
    <cellStyle name="Финансовый 2 3 4 3" xfId="460" xr:uid="{00000000-0005-0000-0000-00003E050000}"/>
    <cellStyle name="Финансовый 2 3 4 3 2" xfId="640" xr:uid="{00000000-0005-0000-0000-00003F050000}"/>
    <cellStyle name="Финансовый 2 3 4 3 3" xfId="817" xr:uid="{00000000-0005-0000-0000-000040050000}"/>
    <cellStyle name="Финансовый 2 3 4 3 4" xfId="994" xr:uid="{00000000-0005-0000-0000-000041050000}"/>
    <cellStyle name="Финансовый 2 3 4 3 5" xfId="1173" xr:uid="{00000000-0005-0000-0000-000042050000}"/>
    <cellStyle name="Финансовый 2 3 4 3 6" xfId="1350" xr:uid="{00000000-0005-0000-0000-000043050000}"/>
    <cellStyle name="Финансовый 2 3 4 3 7" xfId="1527" xr:uid="{00000000-0005-0000-0000-000044050000}"/>
    <cellStyle name="Финансовый 2 3 4 3 8" xfId="1704" xr:uid="{00000000-0005-0000-0000-000045050000}"/>
    <cellStyle name="Финансовый 2 3 4 3 9" xfId="1885" xr:uid="{00000000-0005-0000-0000-000046050000}"/>
    <cellStyle name="Финансовый 2 3 4 4" xfId="461" xr:uid="{00000000-0005-0000-0000-000047050000}"/>
    <cellStyle name="Финансовый 2 3 4 4 2" xfId="641" xr:uid="{00000000-0005-0000-0000-000048050000}"/>
    <cellStyle name="Финансовый 2 3 4 4 3" xfId="818" xr:uid="{00000000-0005-0000-0000-000049050000}"/>
    <cellStyle name="Финансовый 2 3 4 4 4" xfId="995" xr:uid="{00000000-0005-0000-0000-00004A050000}"/>
    <cellStyle name="Финансовый 2 3 4 4 5" xfId="1174" xr:uid="{00000000-0005-0000-0000-00004B050000}"/>
    <cellStyle name="Финансовый 2 3 4 4 6" xfId="1351" xr:uid="{00000000-0005-0000-0000-00004C050000}"/>
    <cellStyle name="Финансовый 2 3 4 4 7" xfId="1528" xr:uid="{00000000-0005-0000-0000-00004D050000}"/>
    <cellStyle name="Финансовый 2 3 4 4 8" xfId="1705" xr:uid="{00000000-0005-0000-0000-00004E050000}"/>
    <cellStyle name="Финансовый 2 3 4 4 9" xfId="1886" xr:uid="{00000000-0005-0000-0000-00004F050000}"/>
    <cellStyle name="Финансовый 2 3 4 5" xfId="638" xr:uid="{00000000-0005-0000-0000-000050050000}"/>
    <cellStyle name="Финансовый 2 3 4 6" xfId="815" xr:uid="{00000000-0005-0000-0000-000051050000}"/>
    <cellStyle name="Финансовый 2 3 4 7" xfId="992" xr:uid="{00000000-0005-0000-0000-000052050000}"/>
    <cellStyle name="Финансовый 2 3 4 8" xfId="1171" xr:uid="{00000000-0005-0000-0000-000053050000}"/>
    <cellStyle name="Финансовый 2 3 4 9" xfId="1348" xr:uid="{00000000-0005-0000-0000-000054050000}"/>
    <cellStyle name="Финансовый 2 3 5" xfId="462" xr:uid="{00000000-0005-0000-0000-000055050000}"/>
    <cellStyle name="Финансовый 2 3 5 2" xfId="642" xr:uid="{00000000-0005-0000-0000-000056050000}"/>
    <cellStyle name="Финансовый 2 3 5 3" xfId="819" xr:uid="{00000000-0005-0000-0000-000057050000}"/>
    <cellStyle name="Финансовый 2 3 5 4" xfId="996" xr:uid="{00000000-0005-0000-0000-000058050000}"/>
    <cellStyle name="Финансовый 2 3 5 5" xfId="1175" xr:uid="{00000000-0005-0000-0000-000059050000}"/>
    <cellStyle name="Финансовый 2 3 5 6" xfId="1352" xr:uid="{00000000-0005-0000-0000-00005A050000}"/>
    <cellStyle name="Финансовый 2 3 5 7" xfId="1529" xr:uid="{00000000-0005-0000-0000-00005B050000}"/>
    <cellStyle name="Финансовый 2 3 5 8" xfId="1706" xr:uid="{00000000-0005-0000-0000-00005C050000}"/>
    <cellStyle name="Финансовый 2 3 5 9" xfId="1887" xr:uid="{00000000-0005-0000-0000-00005D050000}"/>
    <cellStyle name="Финансовый 2 3 6" xfId="463" xr:uid="{00000000-0005-0000-0000-00005E050000}"/>
    <cellStyle name="Финансовый 2 3 6 2" xfId="643" xr:uid="{00000000-0005-0000-0000-00005F050000}"/>
    <cellStyle name="Финансовый 2 3 6 3" xfId="820" xr:uid="{00000000-0005-0000-0000-000060050000}"/>
    <cellStyle name="Финансовый 2 3 6 4" xfId="997" xr:uid="{00000000-0005-0000-0000-000061050000}"/>
    <cellStyle name="Финансовый 2 3 6 5" xfId="1176" xr:uid="{00000000-0005-0000-0000-000062050000}"/>
    <cellStyle name="Финансовый 2 3 6 6" xfId="1353" xr:uid="{00000000-0005-0000-0000-000063050000}"/>
    <cellStyle name="Финансовый 2 3 6 7" xfId="1530" xr:uid="{00000000-0005-0000-0000-000064050000}"/>
    <cellStyle name="Финансовый 2 3 6 8" xfId="1707" xr:uid="{00000000-0005-0000-0000-000065050000}"/>
    <cellStyle name="Финансовый 2 3 6 9" xfId="1888" xr:uid="{00000000-0005-0000-0000-000066050000}"/>
    <cellStyle name="Финансовый 2 3 7" xfId="464" xr:uid="{00000000-0005-0000-0000-000067050000}"/>
    <cellStyle name="Финансовый 2 3 7 2" xfId="644" xr:uid="{00000000-0005-0000-0000-000068050000}"/>
    <cellStyle name="Финансовый 2 3 7 3" xfId="821" xr:uid="{00000000-0005-0000-0000-000069050000}"/>
    <cellStyle name="Финансовый 2 3 7 4" xfId="998" xr:uid="{00000000-0005-0000-0000-00006A050000}"/>
    <cellStyle name="Финансовый 2 3 7 5" xfId="1177" xr:uid="{00000000-0005-0000-0000-00006B050000}"/>
    <cellStyle name="Финансовый 2 3 7 6" xfId="1354" xr:uid="{00000000-0005-0000-0000-00006C050000}"/>
    <cellStyle name="Финансовый 2 3 7 7" xfId="1531" xr:uid="{00000000-0005-0000-0000-00006D050000}"/>
    <cellStyle name="Финансовый 2 3 7 8" xfId="1708" xr:uid="{00000000-0005-0000-0000-00006E050000}"/>
    <cellStyle name="Финансовый 2 3 7 9" xfId="1889" xr:uid="{00000000-0005-0000-0000-00006F050000}"/>
    <cellStyle name="Финансовый 2 3 8" xfId="635" xr:uid="{00000000-0005-0000-0000-000070050000}"/>
    <cellStyle name="Финансовый 2 3 9" xfId="812" xr:uid="{00000000-0005-0000-0000-000071050000}"/>
    <cellStyle name="Финансовый 2 4" xfId="465" xr:uid="{00000000-0005-0000-0000-000072050000}"/>
    <cellStyle name="Финансовый 2 4 10" xfId="1532" xr:uid="{00000000-0005-0000-0000-000073050000}"/>
    <cellStyle name="Финансовый 2 4 11" xfId="1709" xr:uid="{00000000-0005-0000-0000-000074050000}"/>
    <cellStyle name="Финансовый 2 4 12" xfId="1890" xr:uid="{00000000-0005-0000-0000-000075050000}"/>
    <cellStyle name="Финансовый 2 4 2" xfId="466" xr:uid="{00000000-0005-0000-0000-000076050000}"/>
    <cellStyle name="Финансовый 2 4 2 2" xfId="646" xr:uid="{00000000-0005-0000-0000-000077050000}"/>
    <cellStyle name="Финансовый 2 4 2 3" xfId="823" xr:uid="{00000000-0005-0000-0000-000078050000}"/>
    <cellStyle name="Финансовый 2 4 2 4" xfId="1000" xr:uid="{00000000-0005-0000-0000-000079050000}"/>
    <cellStyle name="Финансовый 2 4 2 5" xfId="1179" xr:uid="{00000000-0005-0000-0000-00007A050000}"/>
    <cellStyle name="Финансовый 2 4 2 6" xfId="1356" xr:uid="{00000000-0005-0000-0000-00007B050000}"/>
    <cellStyle name="Финансовый 2 4 2 7" xfId="1533" xr:uid="{00000000-0005-0000-0000-00007C050000}"/>
    <cellStyle name="Финансовый 2 4 2 8" xfId="1710" xr:uid="{00000000-0005-0000-0000-00007D050000}"/>
    <cellStyle name="Финансовый 2 4 2 9" xfId="1891" xr:uid="{00000000-0005-0000-0000-00007E050000}"/>
    <cellStyle name="Финансовый 2 4 3" xfId="467" xr:uid="{00000000-0005-0000-0000-00007F050000}"/>
    <cellStyle name="Финансовый 2 4 3 2" xfId="647" xr:uid="{00000000-0005-0000-0000-000080050000}"/>
    <cellStyle name="Финансовый 2 4 3 3" xfId="824" xr:uid="{00000000-0005-0000-0000-000081050000}"/>
    <cellStyle name="Финансовый 2 4 3 4" xfId="1001" xr:uid="{00000000-0005-0000-0000-000082050000}"/>
    <cellStyle name="Финансовый 2 4 3 5" xfId="1180" xr:uid="{00000000-0005-0000-0000-000083050000}"/>
    <cellStyle name="Финансовый 2 4 3 6" xfId="1357" xr:uid="{00000000-0005-0000-0000-000084050000}"/>
    <cellStyle name="Финансовый 2 4 3 7" xfId="1534" xr:uid="{00000000-0005-0000-0000-000085050000}"/>
    <cellStyle name="Финансовый 2 4 3 8" xfId="1711" xr:uid="{00000000-0005-0000-0000-000086050000}"/>
    <cellStyle name="Финансовый 2 4 3 9" xfId="1892" xr:uid="{00000000-0005-0000-0000-000087050000}"/>
    <cellStyle name="Финансовый 2 4 4" xfId="468" xr:uid="{00000000-0005-0000-0000-000088050000}"/>
    <cellStyle name="Финансовый 2 4 4 2" xfId="648" xr:uid="{00000000-0005-0000-0000-000089050000}"/>
    <cellStyle name="Финансовый 2 4 4 3" xfId="825" xr:uid="{00000000-0005-0000-0000-00008A050000}"/>
    <cellStyle name="Финансовый 2 4 4 4" xfId="1002" xr:uid="{00000000-0005-0000-0000-00008B050000}"/>
    <cellStyle name="Финансовый 2 4 4 5" xfId="1181" xr:uid="{00000000-0005-0000-0000-00008C050000}"/>
    <cellStyle name="Финансовый 2 4 4 6" xfId="1358" xr:uid="{00000000-0005-0000-0000-00008D050000}"/>
    <cellStyle name="Финансовый 2 4 4 7" xfId="1535" xr:uid="{00000000-0005-0000-0000-00008E050000}"/>
    <cellStyle name="Финансовый 2 4 4 8" xfId="1712" xr:uid="{00000000-0005-0000-0000-00008F050000}"/>
    <cellStyle name="Финансовый 2 4 4 9" xfId="1893" xr:uid="{00000000-0005-0000-0000-000090050000}"/>
    <cellStyle name="Финансовый 2 4 5" xfId="645" xr:uid="{00000000-0005-0000-0000-000091050000}"/>
    <cellStyle name="Финансовый 2 4 6" xfId="822" xr:uid="{00000000-0005-0000-0000-000092050000}"/>
    <cellStyle name="Финансовый 2 4 7" xfId="999" xr:uid="{00000000-0005-0000-0000-000093050000}"/>
    <cellStyle name="Финансовый 2 4 8" xfId="1178" xr:uid="{00000000-0005-0000-0000-000094050000}"/>
    <cellStyle name="Финансовый 2 4 9" xfId="1355" xr:uid="{00000000-0005-0000-0000-000095050000}"/>
    <cellStyle name="Финансовый 2 5" xfId="469" xr:uid="{00000000-0005-0000-0000-000096050000}"/>
    <cellStyle name="Финансовый 2 5 2" xfId="649" xr:uid="{00000000-0005-0000-0000-000097050000}"/>
    <cellStyle name="Финансовый 2 5 3" xfId="826" xr:uid="{00000000-0005-0000-0000-000098050000}"/>
    <cellStyle name="Финансовый 2 5 4" xfId="1003" xr:uid="{00000000-0005-0000-0000-000099050000}"/>
    <cellStyle name="Финансовый 2 5 5" xfId="1182" xr:uid="{00000000-0005-0000-0000-00009A050000}"/>
    <cellStyle name="Финансовый 2 5 6" xfId="1359" xr:uid="{00000000-0005-0000-0000-00009B050000}"/>
    <cellStyle name="Финансовый 2 5 7" xfId="1536" xr:uid="{00000000-0005-0000-0000-00009C050000}"/>
    <cellStyle name="Финансовый 2 5 8" xfId="1713" xr:uid="{00000000-0005-0000-0000-00009D050000}"/>
    <cellStyle name="Финансовый 2 5 9" xfId="1894" xr:uid="{00000000-0005-0000-0000-00009E050000}"/>
    <cellStyle name="Финансовый 2 6" xfId="470" xr:uid="{00000000-0005-0000-0000-00009F050000}"/>
    <cellStyle name="Финансовый 2 6 2" xfId="650" xr:uid="{00000000-0005-0000-0000-0000A0050000}"/>
    <cellStyle name="Финансовый 2 6 3" xfId="827" xr:uid="{00000000-0005-0000-0000-0000A1050000}"/>
    <cellStyle name="Финансовый 2 6 4" xfId="1004" xr:uid="{00000000-0005-0000-0000-0000A2050000}"/>
    <cellStyle name="Финансовый 2 6 5" xfId="1183" xr:uid="{00000000-0005-0000-0000-0000A3050000}"/>
    <cellStyle name="Финансовый 2 6 6" xfId="1360" xr:uid="{00000000-0005-0000-0000-0000A4050000}"/>
    <cellStyle name="Финансовый 2 6 7" xfId="1537" xr:uid="{00000000-0005-0000-0000-0000A5050000}"/>
    <cellStyle name="Финансовый 2 6 8" xfId="1714" xr:uid="{00000000-0005-0000-0000-0000A6050000}"/>
    <cellStyle name="Финансовый 2 6 9" xfId="1895" xr:uid="{00000000-0005-0000-0000-0000A7050000}"/>
    <cellStyle name="Финансовый 2 7" xfId="471" xr:uid="{00000000-0005-0000-0000-0000A8050000}"/>
    <cellStyle name="Финансовый 2 7 2" xfId="651" xr:uid="{00000000-0005-0000-0000-0000A9050000}"/>
    <cellStyle name="Финансовый 2 7 3" xfId="828" xr:uid="{00000000-0005-0000-0000-0000AA050000}"/>
    <cellStyle name="Финансовый 2 7 4" xfId="1005" xr:uid="{00000000-0005-0000-0000-0000AB050000}"/>
    <cellStyle name="Финансовый 2 7 5" xfId="1184" xr:uid="{00000000-0005-0000-0000-0000AC050000}"/>
    <cellStyle name="Финансовый 2 7 6" xfId="1361" xr:uid="{00000000-0005-0000-0000-0000AD050000}"/>
    <cellStyle name="Финансовый 2 7 7" xfId="1538" xr:uid="{00000000-0005-0000-0000-0000AE050000}"/>
    <cellStyle name="Финансовый 2 7 8" xfId="1715" xr:uid="{00000000-0005-0000-0000-0000AF050000}"/>
    <cellStyle name="Финансовый 2 7 9" xfId="1896" xr:uid="{00000000-0005-0000-0000-0000B0050000}"/>
    <cellStyle name="Финансовый 2 8" xfId="472" xr:uid="{00000000-0005-0000-0000-0000B1050000}"/>
    <cellStyle name="Финансовый 2 8 2" xfId="652" xr:uid="{00000000-0005-0000-0000-0000B2050000}"/>
    <cellStyle name="Финансовый 2 8 3" xfId="829" xr:uid="{00000000-0005-0000-0000-0000B3050000}"/>
    <cellStyle name="Финансовый 2 8 4" xfId="1006" xr:uid="{00000000-0005-0000-0000-0000B4050000}"/>
    <cellStyle name="Финансовый 2 8 5" xfId="1185" xr:uid="{00000000-0005-0000-0000-0000B5050000}"/>
    <cellStyle name="Финансовый 2 8 6" xfId="1362" xr:uid="{00000000-0005-0000-0000-0000B6050000}"/>
    <cellStyle name="Финансовый 2 8 7" xfId="1539" xr:uid="{00000000-0005-0000-0000-0000B7050000}"/>
    <cellStyle name="Финансовый 2 8 8" xfId="1716" xr:uid="{00000000-0005-0000-0000-0000B8050000}"/>
    <cellStyle name="Финансовый 2 8 9" xfId="1897" xr:uid="{00000000-0005-0000-0000-0000B9050000}"/>
    <cellStyle name="Финансовый 3" xfId="473" xr:uid="{00000000-0005-0000-0000-0000BA050000}"/>
    <cellStyle name="Финансовый 3 10" xfId="830" xr:uid="{00000000-0005-0000-0000-0000BB050000}"/>
    <cellStyle name="Финансовый 3 11" xfId="1007" xr:uid="{00000000-0005-0000-0000-0000BC050000}"/>
    <cellStyle name="Финансовый 3 12" xfId="1186" xr:uid="{00000000-0005-0000-0000-0000BD050000}"/>
    <cellStyle name="Финансовый 3 13" xfId="1363" xr:uid="{00000000-0005-0000-0000-0000BE050000}"/>
    <cellStyle name="Финансовый 3 14" xfId="1540" xr:uid="{00000000-0005-0000-0000-0000BF050000}"/>
    <cellStyle name="Финансовый 3 15" xfId="1717" xr:uid="{00000000-0005-0000-0000-0000C0050000}"/>
    <cellStyle name="Финансовый 3 16" xfId="1898" xr:uid="{00000000-0005-0000-0000-0000C1050000}"/>
    <cellStyle name="Финансовый 3 2" xfId="474" xr:uid="{00000000-0005-0000-0000-0000C2050000}"/>
    <cellStyle name="Финансовый 3 2 10" xfId="1008" xr:uid="{00000000-0005-0000-0000-0000C3050000}"/>
    <cellStyle name="Финансовый 3 2 11" xfId="1187" xr:uid="{00000000-0005-0000-0000-0000C4050000}"/>
    <cellStyle name="Финансовый 3 2 12" xfId="1364" xr:uid="{00000000-0005-0000-0000-0000C5050000}"/>
    <cellStyle name="Финансовый 3 2 13" xfId="1541" xr:uid="{00000000-0005-0000-0000-0000C6050000}"/>
    <cellStyle name="Финансовый 3 2 14" xfId="1718" xr:uid="{00000000-0005-0000-0000-0000C7050000}"/>
    <cellStyle name="Финансовый 3 2 15" xfId="1899" xr:uid="{00000000-0005-0000-0000-0000C8050000}"/>
    <cellStyle name="Финансовый 3 2 2" xfId="475" xr:uid="{00000000-0005-0000-0000-0000C9050000}"/>
    <cellStyle name="Финансовый 3 2 2 10" xfId="1365" xr:uid="{00000000-0005-0000-0000-0000CA050000}"/>
    <cellStyle name="Финансовый 3 2 2 11" xfId="1542" xr:uid="{00000000-0005-0000-0000-0000CB050000}"/>
    <cellStyle name="Финансовый 3 2 2 12" xfId="1719" xr:uid="{00000000-0005-0000-0000-0000CC050000}"/>
    <cellStyle name="Финансовый 3 2 2 13" xfId="1900" xr:uid="{00000000-0005-0000-0000-0000CD050000}"/>
    <cellStyle name="Финансовый 3 2 2 2" xfId="476" xr:uid="{00000000-0005-0000-0000-0000CE050000}"/>
    <cellStyle name="Финансовый 3 2 2 2 10" xfId="1543" xr:uid="{00000000-0005-0000-0000-0000CF050000}"/>
    <cellStyle name="Финансовый 3 2 2 2 11" xfId="1720" xr:uid="{00000000-0005-0000-0000-0000D0050000}"/>
    <cellStyle name="Финансовый 3 2 2 2 12" xfId="1901" xr:uid="{00000000-0005-0000-0000-0000D1050000}"/>
    <cellStyle name="Финансовый 3 2 2 2 2" xfId="477" xr:uid="{00000000-0005-0000-0000-0000D2050000}"/>
    <cellStyle name="Финансовый 3 2 2 2 2 2" xfId="657" xr:uid="{00000000-0005-0000-0000-0000D3050000}"/>
    <cellStyle name="Финансовый 3 2 2 2 2 3" xfId="834" xr:uid="{00000000-0005-0000-0000-0000D4050000}"/>
    <cellStyle name="Финансовый 3 2 2 2 2 4" xfId="1011" xr:uid="{00000000-0005-0000-0000-0000D5050000}"/>
    <cellStyle name="Финансовый 3 2 2 2 2 5" xfId="1190" xr:uid="{00000000-0005-0000-0000-0000D6050000}"/>
    <cellStyle name="Финансовый 3 2 2 2 2 6" xfId="1367" xr:uid="{00000000-0005-0000-0000-0000D7050000}"/>
    <cellStyle name="Финансовый 3 2 2 2 2 7" xfId="1544" xr:uid="{00000000-0005-0000-0000-0000D8050000}"/>
    <cellStyle name="Финансовый 3 2 2 2 2 8" xfId="1721" xr:uid="{00000000-0005-0000-0000-0000D9050000}"/>
    <cellStyle name="Финансовый 3 2 2 2 2 9" xfId="1902" xr:uid="{00000000-0005-0000-0000-0000DA050000}"/>
    <cellStyle name="Финансовый 3 2 2 2 3" xfId="478" xr:uid="{00000000-0005-0000-0000-0000DB050000}"/>
    <cellStyle name="Финансовый 3 2 2 2 3 2" xfId="658" xr:uid="{00000000-0005-0000-0000-0000DC050000}"/>
    <cellStyle name="Финансовый 3 2 2 2 3 3" xfId="835" xr:uid="{00000000-0005-0000-0000-0000DD050000}"/>
    <cellStyle name="Финансовый 3 2 2 2 3 4" xfId="1012" xr:uid="{00000000-0005-0000-0000-0000DE050000}"/>
    <cellStyle name="Финансовый 3 2 2 2 3 5" xfId="1191" xr:uid="{00000000-0005-0000-0000-0000DF050000}"/>
    <cellStyle name="Финансовый 3 2 2 2 3 6" xfId="1368" xr:uid="{00000000-0005-0000-0000-0000E0050000}"/>
    <cellStyle name="Финансовый 3 2 2 2 3 7" xfId="1545" xr:uid="{00000000-0005-0000-0000-0000E1050000}"/>
    <cellStyle name="Финансовый 3 2 2 2 3 8" xfId="1722" xr:uid="{00000000-0005-0000-0000-0000E2050000}"/>
    <cellStyle name="Финансовый 3 2 2 2 3 9" xfId="1903" xr:uid="{00000000-0005-0000-0000-0000E3050000}"/>
    <cellStyle name="Финансовый 3 2 2 2 4" xfId="479" xr:uid="{00000000-0005-0000-0000-0000E4050000}"/>
    <cellStyle name="Финансовый 3 2 2 2 4 2" xfId="659" xr:uid="{00000000-0005-0000-0000-0000E5050000}"/>
    <cellStyle name="Финансовый 3 2 2 2 4 3" xfId="836" xr:uid="{00000000-0005-0000-0000-0000E6050000}"/>
    <cellStyle name="Финансовый 3 2 2 2 4 4" xfId="1013" xr:uid="{00000000-0005-0000-0000-0000E7050000}"/>
    <cellStyle name="Финансовый 3 2 2 2 4 5" xfId="1192" xr:uid="{00000000-0005-0000-0000-0000E8050000}"/>
    <cellStyle name="Финансовый 3 2 2 2 4 6" xfId="1369" xr:uid="{00000000-0005-0000-0000-0000E9050000}"/>
    <cellStyle name="Финансовый 3 2 2 2 4 7" xfId="1546" xr:uid="{00000000-0005-0000-0000-0000EA050000}"/>
    <cellStyle name="Финансовый 3 2 2 2 4 8" xfId="1723" xr:uid="{00000000-0005-0000-0000-0000EB050000}"/>
    <cellStyle name="Финансовый 3 2 2 2 4 9" xfId="1904" xr:uid="{00000000-0005-0000-0000-0000EC050000}"/>
    <cellStyle name="Финансовый 3 2 2 2 5" xfId="656" xr:uid="{00000000-0005-0000-0000-0000ED050000}"/>
    <cellStyle name="Финансовый 3 2 2 2 6" xfId="833" xr:uid="{00000000-0005-0000-0000-0000EE050000}"/>
    <cellStyle name="Финансовый 3 2 2 2 7" xfId="1010" xr:uid="{00000000-0005-0000-0000-0000EF050000}"/>
    <cellStyle name="Финансовый 3 2 2 2 8" xfId="1189" xr:uid="{00000000-0005-0000-0000-0000F0050000}"/>
    <cellStyle name="Финансовый 3 2 2 2 9" xfId="1366" xr:uid="{00000000-0005-0000-0000-0000F1050000}"/>
    <cellStyle name="Финансовый 3 2 2 3" xfId="480" xr:uid="{00000000-0005-0000-0000-0000F2050000}"/>
    <cellStyle name="Финансовый 3 2 2 3 2" xfId="660" xr:uid="{00000000-0005-0000-0000-0000F3050000}"/>
    <cellStyle name="Финансовый 3 2 2 3 3" xfId="837" xr:uid="{00000000-0005-0000-0000-0000F4050000}"/>
    <cellStyle name="Финансовый 3 2 2 3 4" xfId="1014" xr:uid="{00000000-0005-0000-0000-0000F5050000}"/>
    <cellStyle name="Финансовый 3 2 2 3 5" xfId="1193" xr:uid="{00000000-0005-0000-0000-0000F6050000}"/>
    <cellStyle name="Финансовый 3 2 2 3 6" xfId="1370" xr:uid="{00000000-0005-0000-0000-0000F7050000}"/>
    <cellStyle name="Финансовый 3 2 2 3 7" xfId="1547" xr:uid="{00000000-0005-0000-0000-0000F8050000}"/>
    <cellStyle name="Финансовый 3 2 2 3 8" xfId="1724" xr:uid="{00000000-0005-0000-0000-0000F9050000}"/>
    <cellStyle name="Финансовый 3 2 2 3 9" xfId="1905" xr:uid="{00000000-0005-0000-0000-0000FA050000}"/>
    <cellStyle name="Финансовый 3 2 2 4" xfId="481" xr:uid="{00000000-0005-0000-0000-0000FB050000}"/>
    <cellStyle name="Финансовый 3 2 2 4 2" xfId="661" xr:uid="{00000000-0005-0000-0000-0000FC050000}"/>
    <cellStyle name="Финансовый 3 2 2 4 3" xfId="838" xr:uid="{00000000-0005-0000-0000-0000FD050000}"/>
    <cellStyle name="Финансовый 3 2 2 4 4" xfId="1015" xr:uid="{00000000-0005-0000-0000-0000FE050000}"/>
    <cellStyle name="Финансовый 3 2 2 4 5" xfId="1194" xr:uid="{00000000-0005-0000-0000-0000FF050000}"/>
    <cellStyle name="Финансовый 3 2 2 4 6" xfId="1371" xr:uid="{00000000-0005-0000-0000-000000060000}"/>
    <cellStyle name="Финансовый 3 2 2 4 7" xfId="1548" xr:uid="{00000000-0005-0000-0000-000001060000}"/>
    <cellStyle name="Финансовый 3 2 2 4 8" xfId="1725" xr:uid="{00000000-0005-0000-0000-000002060000}"/>
    <cellStyle name="Финансовый 3 2 2 4 9" xfId="1906" xr:uid="{00000000-0005-0000-0000-000003060000}"/>
    <cellStyle name="Финансовый 3 2 2 5" xfId="482" xr:uid="{00000000-0005-0000-0000-000004060000}"/>
    <cellStyle name="Финансовый 3 2 2 5 2" xfId="662" xr:uid="{00000000-0005-0000-0000-000005060000}"/>
    <cellStyle name="Финансовый 3 2 2 5 3" xfId="839" xr:uid="{00000000-0005-0000-0000-000006060000}"/>
    <cellStyle name="Финансовый 3 2 2 5 4" xfId="1016" xr:uid="{00000000-0005-0000-0000-000007060000}"/>
    <cellStyle name="Финансовый 3 2 2 5 5" xfId="1195" xr:uid="{00000000-0005-0000-0000-000008060000}"/>
    <cellStyle name="Финансовый 3 2 2 5 6" xfId="1372" xr:uid="{00000000-0005-0000-0000-000009060000}"/>
    <cellStyle name="Финансовый 3 2 2 5 7" xfId="1549" xr:uid="{00000000-0005-0000-0000-00000A060000}"/>
    <cellStyle name="Финансовый 3 2 2 5 8" xfId="1726" xr:uid="{00000000-0005-0000-0000-00000B060000}"/>
    <cellStyle name="Финансовый 3 2 2 5 9" xfId="1907" xr:uid="{00000000-0005-0000-0000-00000C060000}"/>
    <cellStyle name="Финансовый 3 2 2 6" xfId="655" xr:uid="{00000000-0005-0000-0000-00000D060000}"/>
    <cellStyle name="Финансовый 3 2 2 7" xfId="832" xr:uid="{00000000-0005-0000-0000-00000E060000}"/>
    <cellStyle name="Финансовый 3 2 2 8" xfId="1009" xr:uid="{00000000-0005-0000-0000-00000F060000}"/>
    <cellStyle name="Финансовый 3 2 2 9" xfId="1188" xr:uid="{00000000-0005-0000-0000-000010060000}"/>
    <cellStyle name="Финансовый 3 2 3" xfId="483" xr:uid="{00000000-0005-0000-0000-000011060000}"/>
    <cellStyle name="Финансовый 3 2 3 10" xfId="1550" xr:uid="{00000000-0005-0000-0000-000012060000}"/>
    <cellStyle name="Финансовый 3 2 3 11" xfId="1727" xr:uid="{00000000-0005-0000-0000-000013060000}"/>
    <cellStyle name="Финансовый 3 2 3 12" xfId="1908" xr:uid="{00000000-0005-0000-0000-000014060000}"/>
    <cellStyle name="Финансовый 3 2 3 2" xfId="484" xr:uid="{00000000-0005-0000-0000-000015060000}"/>
    <cellStyle name="Финансовый 3 2 3 2 2" xfId="664" xr:uid="{00000000-0005-0000-0000-000016060000}"/>
    <cellStyle name="Финансовый 3 2 3 2 3" xfId="841" xr:uid="{00000000-0005-0000-0000-000017060000}"/>
    <cellStyle name="Финансовый 3 2 3 2 4" xfId="1018" xr:uid="{00000000-0005-0000-0000-000018060000}"/>
    <cellStyle name="Финансовый 3 2 3 2 5" xfId="1197" xr:uid="{00000000-0005-0000-0000-000019060000}"/>
    <cellStyle name="Финансовый 3 2 3 2 6" xfId="1374" xr:uid="{00000000-0005-0000-0000-00001A060000}"/>
    <cellStyle name="Финансовый 3 2 3 2 7" xfId="1551" xr:uid="{00000000-0005-0000-0000-00001B060000}"/>
    <cellStyle name="Финансовый 3 2 3 2 8" xfId="1728" xr:uid="{00000000-0005-0000-0000-00001C060000}"/>
    <cellStyle name="Финансовый 3 2 3 2 9" xfId="1909" xr:uid="{00000000-0005-0000-0000-00001D060000}"/>
    <cellStyle name="Финансовый 3 2 3 3" xfId="485" xr:uid="{00000000-0005-0000-0000-00001E060000}"/>
    <cellStyle name="Финансовый 3 2 3 3 2" xfId="665" xr:uid="{00000000-0005-0000-0000-00001F060000}"/>
    <cellStyle name="Финансовый 3 2 3 3 3" xfId="842" xr:uid="{00000000-0005-0000-0000-000020060000}"/>
    <cellStyle name="Финансовый 3 2 3 3 4" xfId="1019" xr:uid="{00000000-0005-0000-0000-000021060000}"/>
    <cellStyle name="Финансовый 3 2 3 3 5" xfId="1198" xr:uid="{00000000-0005-0000-0000-000022060000}"/>
    <cellStyle name="Финансовый 3 2 3 3 6" xfId="1375" xr:uid="{00000000-0005-0000-0000-000023060000}"/>
    <cellStyle name="Финансовый 3 2 3 3 7" xfId="1552" xr:uid="{00000000-0005-0000-0000-000024060000}"/>
    <cellStyle name="Финансовый 3 2 3 3 8" xfId="1729" xr:uid="{00000000-0005-0000-0000-000025060000}"/>
    <cellStyle name="Финансовый 3 2 3 3 9" xfId="1910" xr:uid="{00000000-0005-0000-0000-000026060000}"/>
    <cellStyle name="Финансовый 3 2 3 4" xfId="486" xr:uid="{00000000-0005-0000-0000-000027060000}"/>
    <cellStyle name="Финансовый 3 2 3 4 2" xfId="666" xr:uid="{00000000-0005-0000-0000-000028060000}"/>
    <cellStyle name="Финансовый 3 2 3 4 3" xfId="843" xr:uid="{00000000-0005-0000-0000-000029060000}"/>
    <cellStyle name="Финансовый 3 2 3 4 4" xfId="1020" xr:uid="{00000000-0005-0000-0000-00002A060000}"/>
    <cellStyle name="Финансовый 3 2 3 4 5" xfId="1199" xr:uid="{00000000-0005-0000-0000-00002B060000}"/>
    <cellStyle name="Финансовый 3 2 3 4 6" xfId="1376" xr:uid="{00000000-0005-0000-0000-00002C060000}"/>
    <cellStyle name="Финансовый 3 2 3 4 7" xfId="1553" xr:uid="{00000000-0005-0000-0000-00002D060000}"/>
    <cellStyle name="Финансовый 3 2 3 4 8" xfId="1730" xr:uid="{00000000-0005-0000-0000-00002E060000}"/>
    <cellStyle name="Финансовый 3 2 3 4 9" xfId="1911" xr:uid="{00000000-0005-0000-0000-00002F060000}"/>
    <cellStyle name="Финансовый 3 2 3 5" xfId="663" xr:uid="{00000000-0005-0000-0000-000030060000}"/>
    <cellStyle name="Финансовый 3 2 3 6" xfId="840" xr:uid="{00000000-0005-0000-0000-000031060000}"/>
    <cellStyle name="Финансовый 3 2 3 7" xfId="1017" xr:uid="{00000000-0005-0000-0000-000032060000}"/>
    <cellStyle name="Финансовый 3 2 3 8" xfId="1196" xr:uid="{00000000-0005-0000-0000-000033060000}"/>
    <cellStyle name="Финансовый 3 2 3 9" xfId="1373" xr:uid="{00000000-0005-0000-0000-000034060000}"/>
    <cellStyle name="Финансовый 3 2 4" xfId="487" xr:uid="{00000000-0005-0000-0000-000035060000}"/>
    <cellStyle name="Финансовый 3 2 4 2" xfId="667" xr:uid="{00000000-0005-0000-0000-000036060000}"/>
    <cellStyle name="Финансовый 3 2 4 3" xfId="844" xr:uid="{00000000-0005-0000-0000-000037060000}"/>
    <cellStyle name="Финансовый 3 2 4 4" xfId="1021" xr:uid="{00000000-0005-0000-0000-000038060000}"/>
    <cellStyle name="Финансовый 3 2 4 5" xfId="1200" xr:uid="{00000000-0005-0000-0000-000039060000}"/>
    <cellStyle name="Финансовый 3 2 4 6" xfId="1377" xr:uid="{00000000-0005-0000-0000-00003A060000}"/>
    <cellStyle name="Финансовый 3 2 4 7" xfId="1554" xr:uid="{00000000-0005-0000-0000-00003B060000}"/>
    <cellStyle name="Финансовый 3 2 4 8" xfId="1731" xr:uid="{00000000-0005-0000-0000-00003C060000}"/>
    <cellStyle name="Финансовый 3 2 4 9" xfId="1912" xr:uid="{00000000-0005-0000-0000-00003D060000}"/>
    <cellStyle name="Финансовый 3 2 5" xfId="488" xr:uid="{00000000-0005-0000-0000-00003E060000}"/>
    <cellStyle name="Финансовый 3 2 5 2" xfId="668" xr:uid="{00000000-0005-0000-0000-00003F060000}"/>
    <cellStyle name="Финансовый 3 2 5 3" xfId="845" xr:uid="{00000000-0005-0000-0000-000040060000}"/>
    <cellStyle name="Финансовый 3 2 5 4" xfId="1022" xr:uid="{00000000-0005-0000-0000-000041060000}"/>
    <cellStyle name="Финансовый 3 2 5 5" xfId="1201" xr:uid="{00000000-0005-0000-0000-000042060000}"/>
    <cellStyle name="Финансовый 3 2 5 6" xfId="1378" xr:uid="{00000000-0005-0000-0000-000043060000}"/>
    <cellStyle name="Финансовый 3 2 5 7" xfId="1555" xr:uid="{00000000-0005-0000-0000-000044060000}"/>
    <cellStyle name="Финансовый 3 2 5 8" xfId="1732" xr:uid="{00000000-0005-0000-0000-000045060000}"/>
    <cellStyle name="Финансовый 3 2 5 9" xfId="1913" xr:uid="{00000000-0005-0000-0000-000046060000}"/>
    <cellStyle name="Финансовый 3 2 6" xfId="489" xr:uid="{00000000-0005-0000-0000-000047060000}"/>
    <cellStyle name="Финансовый 3 2 6 2" xfId="669" xr:uid="{00000000-0005-0000-0000-000048060000}"/>
    <cellStyle name="Финансовый 3 2 6 3" xfId="846" xr:uid="{00000000-0005-0000-0000-000049060000}"/>
    <cellStyle name="Финансовый 3 2 6 4" xfId="1023" xr:uid="{00000000-0005-0000-0000-00004A060000}"/>
    <cellStyle name="Финансовый 3 2 6 5" xfId="1202" xr:uid="{00000000-0005-0000-0000-00004B060000}"/>
    <cellStyle name="Финансовый 3 2 6 6" xfId="1379" xr:uid="{00000000-0005-0000-0000-00004C060000}"/>
    <cellStyle name="Финансовый 3 2 6 7" xfId="1556" xr:uid="{00000000-0005-0000-0000-00004D060000}"/>
    <cellStyle name="Финансовый 3 2 6 8" xfId="1733" xr:uid="{00000000-0005-0000-0000-00004E060000}"/>
    <cellStyle name="Финансовый 3 2 6 9" xfId="1914" xr:uid="{00000000-0005-0000-0000-00004F060000}"/>
    <cellStyle name="Финансовый 3 2 7" xfId="490" xr:uid="{00000000-0005-0000-0000-000050060000}"/>
    <cellStyle name="Финансовый 3 2 7 2" xfId="670" xr:uid="{00000000-0005-0000-0000-000051060000}"/>
    <cellStyle name="Финансовый 3 2 7 3" xfId="847" xr:uid="{00000000-0005-0000-0000-000052060000}"/>
    <cellStyle name="Финансовый 3 2 7 4" xfId="1024" xr:uid="{00000000-0005-0000-0000-000053060000}"/>
    <cellStyle name="Финансовый 3 2 7 5" xfId="1203" xr:uid="{00000000-0005-0000-0000-000054060000}"/>
    <cellStyle name="Финансовый 3 2 7 6" xfId="1380" xr:uid="{00000000-0005-0000-0000-000055060000}"/>
    <cellStyle name="Финансовый 3 2 7 7" xfId="1557" xr:uid="{00000000-0005-0000-0000-000056060000}"/>
    <cellStyle name="Финансовый 3 2 7 8" xfId="1734" xr:uid="{00000000-0005-0000-0000-000057060000}"/>
    <cellStyle name="Финансовый 3 2 7 9" xfId="1915" xr:uid="{00000000-0005-0000-0000-000058060000}"/>
    <cellStyle name="Финансовый 3 2 8" xfId="654" xr:uid="{00000000-0005-0000-0000-000059060000}"/>
    <cellStyle name="Финансовый 3 2 9" xfId="831" xr:uid="{00000000-0005-0000-0000-00005A060000}"/>
    <cellStyle name="Финансовый 3 3" xfId="491" xr:uid="{00000000-0005-0000-0000-00005B060000}"/>
    <cellStyle name="Финансовый 3 3 10" xfId="1381" xr:uid="{00000000-0005-0000-0000-00005C060000}"/>
    <cellStyle name="Финансовый 3 3 11" xfId="1558" xr:uid="{00000000-0005-0000-0000-00005D060000}"/>
    <cellStyle name="Финансовый 3 3 12" xfId="1735" xr:uid="{00000000-0005-0000-0000-00005E060000}"/>
    <cellStyle name="Финансовый 3 3 13" xfId="1916" xr:uid="{00000000-0005-0000-0000-00005F060000}"/>
    <cellStyle name="Финансовый 3 3 2" xfId="492" xr:uid="{00000000-0005-0000-0000-000060060000}"/>
    <cellStyle name="Финансовый 3 3 2 10" xfId="1559" xr:uid="{00000000-0005-0000-0000-000061060000}"/>
    <cellStyle name="Финансовый 3 3 2 11" xfId="1736" xr:uid="{00000000-0005-0000-0000-000062060000}"/>
    <cellStyle name="Финансовый 3 3 2 12" xfId="1917" xr:uid="{00000000-0005-0000-0000-000063060000}"/>
    <cellStyle name="Финансовый 3 3 2 2" xfId="493" xr:uid="{00000000-0005-0000-0000-000064060000}"/>
    <cellStyle name="Финансовый 3 3 2 2 2" xfId="673" xr:uid="{00000000-0005-0000-0000-000065060000}"/>
    <cellStyle name="Финансовый 3 3 2 2 3" xfId="850" xr:uid="{00000000-0005-0000-0000-000066060000}"/>
    <cellStyle name="Финансовый 3 3 2 2 4" xfId="1027" xr:uid="{00000000-0005-0000-0000-000067060000}"/>
    <cellStyle name="Финансовый 3 3 2 2 5" xfId="1206" xr:uid="{00000000-0005-0000-0000-000068060000}"/>
    <cellStyle name="Финансовый 3 3 2 2 6" xfId="1383" xr:uid="{00000000-0005-0000-0000-000069060000}"/>
    <cellStyle name="Финансовый 3 3 2 2 7" xfId="1560" xr:uid="{00000000-0005-0000-0000-00006A060000}"/>
    <cellStyle name="Финансовый 3 3 2 2 8" xfId="1737" xr:uid="{00000000-0005-0000-0000-00006B060000}"/>
    <cellStyle name="Финансовый 3 3 2 2 9" xfId="1918" xr:uid="{00000000-0005-0000-0000-00006C060000}"/>
    <cellStyle name="Финансовый 3 3 2 3" xfId="494" xr:uid="{00000000-0005-0000-0000-00006D060000}"/>
    <cellStyle name="Финансовый 3 3 2 3 2" xfId="674" xr:uid="{00000000-0005-0000-0000-00006E060000}"/>
    <cellStyle name="Финансовый 3 3 2 3 3" xfId="851" xr:uid="{00000000-0005-0000-0000-00006F060000}"/>
    <cellStyle name="Финансовый 3 3 2 3 4" xfId="1028" xr:uid="{00000000-0005-0000-0000-000070060000}"/>
    <cellStyle name="Финансовый 3 3 2 3 5" xfId="1207" xr:uid="{00000000-0005-0000-0000-000071060000}"/>
    <cellStyle name="Финансовый 3 3 2 3 6" xfId="1384" xr:uid="{00000000-0005-0000-0000-000072060000}"/>
    <cellStyle name="Финансовый 3 3 2 3 7" xfId="1561" xr:uid="{00000000-0005-0000-0000-000073060000}"/>
    <cellStyle name="Финансовый 3 3 2 3 8" xfId="1738" xr:uid="{00000000-0005-0000-0000-000074060000}"/>
    <cellStyle name="Финансовый 3 3 2 3 9" xfId="1919" xr:uid="{00000000-0005-0000-0000-000075060000}"/>
    <cellStyle name="Финансовый 3 3 2 4" xfId="495" xr:uid="{00000000-0005-0000-0000-000076060000}"/>
    <cellStyle name="Финансовый 3 3 2 4 2" xfId="675" xr:uid="{00000000-0005-0000-0000-000077060000}"/>
    <cellStyle name="Финансовый 3 3 2 4 3" xfId="852" xr:uid="{00000000-0005-0000-0000-000078060000}"/>
    <cellStyle name="Финансовый 3 3 2 4 4" xfId="1029" xr:uid="{00000000-0005-0000-0000-000079060000}"/>
    <cellStyle name="Финансовый 3 3 2 4 5" xfId="1208" xr:uid="{00000000-0005-0000-0000-00007A060000}"/>
    <cellStyle name="Финансовый 3 3 2 4 6" xfId="1385" xr:uid="{00000000-0005-0000-0000-00007B060000}"/>
    <cellStyle name="Финансовый 3 3 2 4 7" xfId="1562" xr:uid="{00000000-0005-0000-0000-00007C060000}"/>
    <cellStyle name="Финансовый 3 3 2 4 8" xfId="1739" xr:uid="{00000000-0005-0000-0000-00007D060000}"/>
    <cellStyle name="Финансовый 3 3 2 4 9" xfId="1920" xr:uid="{00000000-0005-0000-0000-00007E060000}"/>
    <cellStyle name="Финансовый 3 3 2 5" xfId="672" xr:uid="{00000000-0005-0000-0000-00007F060000}"/>
    <cellStyle name="Финансовый 3 3 2 6" xfId="849" xr:uid="{00000000-0005-0000-0000-000080060000}"/>
    <cellStyle name="Финансовый 3 3 2 7" xfId="1026" xr:uid="{00000000-0005-0000-0000-000081060000}"/>
    <cellStyle name="Финансовый 3 3 2 8" xfId="1205" xr:uid="{00000000-0005-0000-0000-000082060000}"/>
    <cellStyle name="Финансовый 3 3 2 9" xfId="1382" xr:uid="{00000000-0005-0000-0000-000083060000}"/>
    <cellStyle name="Финансовый 3 3 3" xfId="496" xr:uid="{00000000-0005-0000-0000-000084060000}"/>
    <cellStyle name="Финансовый 3 3 3 2" xfId="676" xr:uid="{00000000-0005-0000-0000-000085060000}"/>
    <cellStyle name="Финансовый 3 3 3 3" xfId="853" xr:uid="{00000000-0005-0000-0000-000086060000}"/>
    <cellStyle name="Финансовый 3 3 3 4" xfId="1030" xr:uid="{00000000-0005-0000-0000-000087060000}"/>
    <cellStyle name="Финансовый 3 3 3 5" xfId="1209" xr:uid="{00000000-0005-0000-0000-000088060000}"/>
    <cellStyle name="Финансовый 3 3 3 6" xfId="1386" xr:uid="{00000000-0005-0000-0000-000089060000}"/>
    <cellStyle name="Финансовый 3 3 3 7" xfId="1563" xr:uid="{00000000-0005-0000-0000-00008A060000}"/>
    <cellStyle name="Финансовый 3 3 3 8" xfId="1740" xr:uid="{00000000-0005-0000-0000-00008B060000}"/>
    <cellStyle name="Финансовый 3 3 3 9" xfId="1921" xr:uid="{00000000-0005-0000-0000-00008C060000}"/>
    <cellStyle name="Финансовый 3 3 4" xfId="497" xr:uid="{00000000-0005-0000-0000-00008D060000}"/>
    <cellStyle name="Финансовый 3 3 4 2" xfId="677" xr:uid="{00000000-0005-0000-0000-00008E060000}"/>
    <cellStyle name="Финансовый 3 3 4 3" xfId="854" xr:uid="{00000000-0005-0000-0000-00008F060000}"/>
    <cellStyle name="Финансовый 3 3 4 4" xfId="1031" xr:uid="{00000000-0005-0000-0000-000090060000}"/>
    <cellStyle name="Финансовый 3 3 4 5" xfId="1210" xr:uid="{00000000-0005-0000-0000-000091060000}"/>
    <cellStyle name="Финансовый 3 3 4 6" xfId="1387" xr:uid="{00000000-0005-0000-0000-000092060000}"/>
    <cellStyle name="Финансовый 3 3 4 7" xfId="1564" xr:uid="{00000000-0005-0000-0000-000093060000}"/>
    <cellStyle name="Финансовый 3 3 4 8" xfId="1741" xr:uid="{00000000-0005-0000-0000-000094060000}"/>
    <cellStyle name="Финансовый 3 3 4 9" xfId="1922" xr:uid="{00000000-0005-0000-0000-000095060000}"/>
    <cellStyle name="Финансовый 3 3 5" xfId="498" xr:uid="{00000000-0005-0000-0000-000096060000}"/>
    <cellStyle name="Финансовый 3 3 5 2" xfId="678" xr:uid="{00000000-0005-0000-0000-000097060000}"/>
    <cellStyle name="Финансовый 3 3 5 3" xfId="855" xr:uid="{00000000-0005-0000-0000-000098060000}"/>
    <cellStyle name="Финансовый 3 3 5 4" xfId="1032" xr:uid="{00000000-0005-0000-0000-000099060000}"/>
    <cellStyle name="Финансовый 3 3 5 5" xfId="1211" xr:uid="{00000000-0005-0000-0000-00009A060000}"/>
    <cellStyle name="Финансовый 3 3 5 6" xfId="1388" xr:uid="{00000000-0005-0000-0000-00009B060000}"/>
    <cellStyle name="Финансовый 3 3 5 7" xfId="1565" xr:uid="{00000000-0005-0000-0000-00009C060000}"/>
    <cellStyle name="Финансовый 3 3 5 8" xfId="1742" xr:uid="{00000000-0005-0000-0000-00009D060000}"/>
    <cellStyle name="Финансовый 3 3 5 9" xfId="1923" xr:uid="{00000000-0005-0000-0000-00009E060000}"/>
    <cellStyle name="Финансовый 3 3 6" xfId="671" xr:uid="{00000000-0005-0000-0000-00009F060000}"/>
    <cellStyle name="Финансовый 3 3 7" xfId="848" xr:uid="{00000000-0005-0000-0000-0000A0060000}"/>
    <cellStyle name="Финансовый 3 3 8" xfId="1025" xr:uid="{00000000-0005-0000-0000-0000A1060000}"/>
    <cellStyle name="Финансовый 3 3 9" xfId="1204" xr:uid="{00000000-0005-0000-0000-0000A2060000}"/>
    <cellStyle name="Финансовый 3 4" xfId="499" xr:uid="{00000000-0005-0000-0000-0000A3060000}"/>
    <cellStyle name="Финансовый 3 4 10" xfId="1566" xr:uid="{00000000-0005-0000-0000-0000A4060000}"/>
    <cellStyle name="Финансовый 3 4 11" xfId="1743" xr:uid="{00000000-0005-0000-0000-0000A5060000}"/>
    <cellStyle name="Финансовый 3 4 12" xfId="1924" xr:uid="{00000000-0005-0000-0000-0000A6060000}"/>
    <cellStyle name="Финансовый 3 4 2" xfId="500" xr:uid="{00000000-0005-0000-0000-0000A7060000}"/>
    <cellStyle name="Финансовый 3 4 2 2" xfId="680" xr:uid="{00000000-0005-0000-0000-0000A8060000}"/>
    <cellStyle name="Финансовый 3 4 2 3" xfId="857" xr:uid="{00000000-0005-0000-0000-0000A9060000}"/>
    <cellStyle name="Финансовый 3 4 2 4" xfId="1034" xr:uid="{00000000-0005-0000-0000-0000AA060000}"/>
    <cellStyle name="Финансовый 3 4 2 5" xfId="1213" xr:uid="{00000000-0005-0000-0000-0000AB060000}"/>
    <cellStyle name="Финансовый 3 4 2 6" xfId="1390" xr:uid="{00000000-0005-0000-0000-0000AC060000}"/>
    <cellStyle name="Финансовый 3 4 2 7" xfId="1567" xr:uid="{00000000-0005-0000-0000-0000AD060000}"/>
    <cellStyle name="Финансовый 3 4 2 8" xfId="1744" xr:uid="{00000000-0005-0000-0000-0000AE060000}"/>
    <cellStyle name="Финансовый 3 4 2 9" xfId="1925" xr:uid="{00000000-0005-0000-0000-0000AF060000}"/>
    <cellStyle name="Финансовый 3 4 3" xfId="501" xr:uid="{00000000-0005-0000-0000-0000B0060000}"/>
    <cellStyle name="Финансовый 3 4 3 2" xfId="681" xr:uid="{00000000-0005-0000-0000-0000B1060000}"/>
    <cellStyle name="Финансовый 3 4 3 3" xfId="858" xr:uid="{00000000-0005-0000-0000-0000B2060000}"/>
    <cellStyle name="Финансовый 3 4 3 4" xfId="1035" xr:uid="{00000000-0005-0000-0000-0000B3060000}"/>
    <cellStyle name="Финансовый 3 4 3 5" xfId="1214" xr:uid="{00000000-0005-0000-0000-0000B4060000}"/>
    <cellStyle name="Финансовый 3 4 3 6" xfId="1391" xr:uid="{00000000-0005-0000-0000-0000B5060000}"/>
    <cellStyle name="Финансовый 3 4 3 7" xfId="1568" xr:uid="{00000000-0005-0000-0000-0000B6060000}"/>
    <cellStyle name="Финансовый 3 4 3 8" xfId="1745" xr:uid="{00000000-0005-0000-0000-0000B7060000}"/>
    <cellStyle name="Финансовый 3 4 3 9" xfId="1926" xr:uid="{00000000-0005-0000-0000-0000B8060000}"/>
    <cellStyle name="Финансовый 3 4 4" xfId="502" xr:uid="{00000000-0005-0000-0000-0000B9060000}"/>
    <cellStyle name="Финансовый 3 4 4 2" xfId="682" xr:uid="{00000000-0005-0000-0000-0000BA060000}"/>
    <cellStyle name="Финансовый 3 4 4 3" xfId="859" xr:uid="{00000000-0005-0000-0000-0000BB060000}"/>
    <cellStyle name="Финансовый 3 4 4 4" xfId="1036" xr:uid="{00000000-0005-0000-0000-0000BC060000}"/>
    <cellStyle name="Финансовый 3 4 4 5" xfId="1215" xr:uid="{00000000-0005-0000-0000-0000BD060000}"/>
    <cellStyle name="Финансовый 3 4 4 6" xfId="1392" xr:uid="{00000000-0005-0000-0000-0000BE060000}"/>
    <cellStyle name="Финансовый 3 4 4 7" xfId="1569" xr:uid="{00000000-0005-0000-0000-0000BF060000}"/>
    <cellStyle name="Финансовый 3 4 4 8" xfId="1746" xr:uid="{00000000-0005-0000-0000-0000C0060000}"/>
    <cellStyle name="Финансовый 3 4 4 9" xfId="1927" xr:uid="{00000000-0005-0000-0000-0000C1060000}"/>
    <cellStyle name="Финансовый 3 4 5" xfId="679" xr:uid="{00000000-0005-0000-0000-0000C2060000}"/>
    <cellStyle name="Финансовый 3 4 6" xfId="856" xr:uid="{00000000-0005-0000-0000-0000C3060000}"/>
    <cellStyle name="Финансовый 3 4 7" xfId="1033" xr:uid="{00000000-0005-0000-0000-0000C4060000}"/>
    <cellStyle name="Финансовый 3 4 8" xfId="1212" xr:uid="{00000000-0005-0000-0000-0000C5060000}"/>
    <cellStyle name="Финансовый 3 4 9" xfId="1389" xr:uid="{00000000-0005-0000-0000-0000C6060000}"/>
    <cellStyle name="Финансовый 3 5" xfId="503" xr:uid="{00000000-0005-0000-0000-0000C7060000}"/>
    <cellStyle name="Финансовый 3 5 2" xfId="683" xr:uid="{00000000-0005-0000-0000-0000C8060000}"/>
    <cellStyle name="Финансовый 3 5 3" xfId="860" xr:uid="{00000000-0005-0000-0000-0000C9060000}"/>
    <cellStyle name="Финансовый 3 5 4" xfId="1037" xr:uid="{00000000-0005-0000-0000-0000CA060000}"/>
    <cellStyle name="Финансовый 3 5 5" xfId="1216" xr:uid="{00000000-0005-0000-0000-0000CB060000}"/>
    <cellStyle name="Финансовый 3 5 6" xfId="1393" xr:uid="{00000000-0005-0000-0000-0000CC060000}"/>
    <cellStyle name="Финансовый 3 5 7" xfId="1570" xr:uid="{00000000-0005-0000-0000-0000CD060000}"/>
    <cellStyle name="Финансовый 3 5 8" xfId="1747" xr:uid="{00000000-0005-0000-0000-0000CE060000}"/>
    <cellStyle name="Финансовый 3 5 9" xfId="1928" xr:uid="{00000000-0005-0000-0000-0000CF060000}"/>
    <cellStyle name="Финансовый 3 6" xfId="504" xr:uid="{00000000-0005-0000-0000-0000D0060000}"/>
    <cellStyle name="Финансовый 3 6 2" xfId="684" xr:uid="{00000000-0005-0000-0000-0000D1060000}"/>
    <cellStyle name="Финансовый 3 6 3" xfId="861" xr:uid="{00000000-0005-0000-0000-0000D2060000}"/>
    <cellStyle name="Финансовый 3 6 4" xfId="1038" xr:uid="{00000000-0005-0000-0000-0000D3060000}"/>
    <cellStyle name="Финансовый 3 6 5" xfId="1217" xr:uid="{00000000-0005-0000-0000-0000D4060000}"/>
    <cellStyle name="Финансовый 3 6 6" xfId="1394" xr:uid="{00000000-0005-0000-0000-0000D5060000}"/>
    <cellStyle name="Финансовый 3 6 7" xfId="1571" xr:uid="{00000000-0005-0000-0000-0000D6060000}"/>
    <cellStyle name="Финансовый 3 6 8" xfId="1748" xr:uid="{00000000-0005-0000-0000-0000D7060000}"/>
    <cellStyle name="Финансовый 3 6 9" xfId="1929" xr:uid="{00000000-0005-0000-0000-0000D8060000}"/>
    <cellStyle name="Финансовый 3 7" xfId="505" xr:uid="{00000000-0005-0000-0000-0000D9060000}"/>
    <cellStyle name="Финансовый 3 7 2" xfId="685" xr:uid="{00000000-0005-0000-0000-0000DA060000}"/>
    <cellStyle name="Финансовый 3 7 3" xfId="862" xr:uid="{00000000-0005-0000-0000-0000DB060000}"/>
    <cellStyle name="Финансовый 3 7 4" xfId="1039" xr:uid="{00000000-0005-0000-0000-0000DC060000}"/>
    <cellStyle name="Финансовый 3 7 5" xfId="1218" xr:uid="{00000000-0005-0000-0000-0000DD060000}"/>
    <cellStyle name="Финансовый 3 7 6" xfId="1395" xr:uid="{00000000-0005-0000-0000-0000DE060000}"/>
    <cellStyle name="Финансовый 3 7 7" xfId="1572" xr:uid="{00000000-0005-0000-0000-0000DF060000}"/>
    <cellStyle name="Финансовый 3 7 8" xfId="1749" xr:uid="{00000000-0005-0000-0000-0000E0060000}"/>
    <cellStyle name="Финансовый 3 7 9" xfId="1930" xr:uid="{00000000-0005-0000-0000-0000E1060000}"/>
    <cellStyle name="Финансовый 3 8" xfId="506" xr:uid="{00000000-0005-0000-0000-0000E2060000}"/>
    <cellStyle name="Финансовый 3 8 2" xfId="686" xr:uid="{00000000-0005-0000-0000-0000E3060000}"/>
    <cellStyle name="Финансовый 3 8 3" xfId="863" xr:uid="{00000000-0005-0000-0000-0000E4060000}"/>
    <cellStyle name="Финансовый 3 8 4" xfId="1040" xr:uid="{00000000-0005-0000-0000-0000E5060000}"/>
    <cellStyle name="Финансовый 3 8 5" xfId="1219" xr:uid="{00000000-0005-0000-0000-0000E6060000}"/>
    <cellStyle name="Финансовый 3 8 6" xfId="1396" xr:uid="{00000000-0005-0000-0000-0000E7060000}"/>
    <cellStyle name="Финансовый 3 8 7" xfId="1573" xr:uid="{00000000-0005-0000-0000-0000E8060000}"/>
    <cellStyle name="Финансовый 3 8 8" xfId="1750" xr:uid="{00000000-0005-0000-0000-0000E9060000}"/>
    <cellStyle name="Финансовый 3 8 9" xfId="1931" xr:uid="{00000000-0005-0000-0000-0000EA060000}"/>
    <cellStyle name="Финансовый 3 9" xfId="653" xr:uid="{00000000-0005-0000-0000-0000EB060000}"/>
    <cellStyle name="Финансовый 4" xfId="507" xr:uid="{00000000-0005-0000-0000-0000EC060000}"/>
    <cellStyle name="Финансовый 4 10" xfId="1220" xr:uid="{00000000-0005-0000-0000-0000ED060000}"/>
    <cellStyle name="Финансовый 4 11" xfId="1397" xr:uid="{00000000-0005-0000-0000-0000EE060000}"/>
    <cellStyle name="Финансовый 4 12" xfId="1574" xr:uid="{00000000-0005-0000-0000-0000EF060000}"/>
    <cellStyle name="Финансовый 4 13" xfId="1751" xr:uid="{00000000-0005-0000-0000-0000F0060000}"/>
    <cellStyle name="Финансовый 4 14" xfId="1932" xr:uid="{00000000-0005-0000-0000-0000F1060000}"/>
    <cellStyle name="Финансовый 4 2" xfId="508" xr:uid="{00000000-0005-0000-0000-0000F2060000}"/>
    <cellStyle name="Финансовый 4 2 10" xfId="1398" xr:uid="{00000000-0005-0000-0000-0000F3060000}"/>
    <cellStyle name="Финансовый 4 2 11" xfId="1575" xr:uid="{00000000-0005-0000-0000-0000F4060000}"/>
    <cellStyle name="Финансовый 4 2 12" xfId="1752" xr:uid="{00000000-0005-0000-0000-0000F5060000}"/>
    <cellStyle name="Финансовый 4 2 13" xfId="1933" xr:uid="{00000000-0005-0000-0000-0000F6060000}"/>
    <cellStyle name="Финансовый 4 2 2" xfId="509" xr:uid="{00000000-0005-0000-0000-0000F7060000}"/>
    <cellStyle name="Финансовый 4 2 2 10" xfId="1576" xr:uid="{00000000-0005-0000-0000-0000F8060000}"/>
    <cellStyle name="Финансовый 4 2 2 11" xfId="1753" xr:uid="{00000000-0005-0000-0000-0000F9060000}"/>
    <cellStyle name="Финансовый 4 2 2 12" xfId="1934" xr:uid="{00000000-0005-0000-0000-0000FA060000}"/>
    <cellStyle name="Финансовый 4 2 2 2" xfId="510" xr:uid="{00000000-0005-0000-0000-0000FB060000}"/>
    <cellStyle name="Финансовый 4 2 2 2 2" xfId="690" xr:uid="{00000000-0005-0000-0000-0000FC060000}"/>
    <cellStyle name="Финансовый 4 2 2 2 3" xfId="867" xr:uid="{00000000-0005-0000-0000-0000FD060000}"/>
    <cellStyle name="Финансовый 4 2 2 2 4" xfId="1044" xr:uid="{00000000-0005-0000-0000-0000FE060000}"/>
    <cellStyle name="Финансовый 4 2 2 2 5" xfId="1223" xr:uid="{00000000-0005-0000-0000-0000FF060000}"/>
    <cellStyle name="Финансовый 4 2 2 2 6" xfId="1400" xr:uid="{00000000-0005-0000-0000-000000070000}"/>
    <cellStyle name="Финансовый 4 2 2 2 7" xfId="1577" xr:uid="{00000000-0005-0000-0000-000001070000}"/>
    <cellStyle name="Финансовый 4 2 2 2 8" xfId="1754" xr:uid="{00000000-0005-0000-0000-000002070000}"/>
    <cellStyle name="Финансовый 4 2 2 2 9" xfId="1935" xr:uid="{00000000-0005-0000-0000-000003070000}"/>
    <cellStyle name="Финансовый 4 2 2 3" xfId="511" xr:uid="{00000000-0005-0000-0000-000004070000}"/>
    <cellStyle name="Финансовый 4 2 2 3 2" xfId="691" xr:uid="{00000000-0005-0000-0000-000005070000}"/>
    <cellStyle name="Финансовый 4 2 2 3 3" xfId="868" xr:uid="{00000000-0005-0000-0000-000006070000}"/>
    <cellStyle name="Финансовый 4 2 2 3 4" xfId="1045" xr:uid="{00000000-0005-0000-0000-000007070000}"/>
    <cellStyle name="Финансовый 4 2 2 3 5" xfId="1224" xr:uid="{00000000-0005-0000-0000-000008070000}"/>
    <cellStyle name="Финансовый 4 2 2 3 6" xfId="1401" xr:uid="{00000000-0005-0000-0000-000009070000}"/>
    <cellStyle name="Финансовый 4 2 2 3 7" xfId="1578" xr:uid="{00000000-0005-0000-0000-00000A070000}"/>
    <cellStyle name="Финансовый 4 2 2 3 8" xfId="1755" xr:uid="{00000000-0005-0000-0000-00000B070000}"/>
    <cellStyle name="Финансовый 4 2 2 3 9" xfId="1936" xr:uid="{00000000-0005-0000-0000-00000C070000}"/>
    <cellStyle name="Финансовый 4 2 2 4" xfId="512" xr:uid="{00000000-0005-0000-0000-00000D070000}"/>
    <cellStyle name="Финансовый 4 2 2 4 2" xfId="692" xr:uid="{00000000-0005-0000-0000-00000E070000}"/>
    <cellStyle name="Финансовый 4 2 2 4 3" xfId="869" xr:uid="{00000000-0005-0000-0000-00000F070000}"/>
    <cellStyle name="Финансовый 4 2 2 4 4" xfId="1046" xr:uid="{00000000-0005-0000-0000-000010070000}"/>
    <cellStyle name="Финансовый 4 2 2 4 5" xfId="1225" xr:uid="{00000000-0005-0000-0000-000011070000}"/>
    <cellStyle name="Финансовый 4 2 2 4 6" xfId="1402" xr:uid="{00000000-0005-0000-0000-000012070000}"/>
    <cellStyle name="Финансовый 4 2 2 4 7" xfId="1579" xr:uid="{00000000-0005-0000-0000-000013070000}"/>
    <cellStyle name="Финансовый 4 2 2 4 8" xfId="1756" xr:uid="{00000000-0005-0000-0000-000014070000}"/>
    <cellStyle name="Финансовый 4 2 2 4 9" xfId="1937" xr:uid="{00000000-0005-0000-0000-000015070000}"/>
    <cellStyle name="Финансовый 4 2 2 5" xfId="689" xr:uid="{00000000-0005-0000-0000-000016070000}"/>
    <cellStyle name="Финансовый 4 2 2 6" xfId="866" xr:uid="{00000000-0005-0000-0000-000017070000}"/>
    <cellStyle name="Финансовый 4 2 2 7" xfId="1043" xr:uid="{00000000-0005-0000-0000-000018070000}"/>
    <cellStyle name="Финансовый 4 2 2 8" xfId="1222" xr:uid="{00000000-0005-0000-0000-000019070000}"/>
    <cellStyle name="Финансовый 4 2 2 9" xfId="1399" xr:uid="{00000000-0005-0000-0000-00001A070000}"/>
    <cellStyle name="Финансовый 4 2 3" xfId="513" xr:uid="{00000000-0005-0000-0000-00001B070000}"/>
    <cellStyle name="Финансовый 4 2 3 2" xfId="693" xr:uid="{00000000-0005-0000-0000-00001C070000}"/>
    <cellStyle name="Финансовый 4 2 3 3" xfId="870" xr:uid="{00000000-0005-0000-0000-00001D070000}"/>
    <cellStyle name="Финансовый 4 2 3 4" xfId="1047" xr:uid="{00000000-0005-0000-0000-00001E070000}"/>
    <cellStyle name="Финансовый 4 2 3 5" xfId="1226" xr:uid="{00000000-0005-0000-0000-00001F070000}"/>
    <cellStyle name="Финансовый 4 2 3 6" xfId="1403" xr:uid="{00000000-0005-0000-0000-000020070000}"/>
    <cellStyle name="Финансовый 4 2 3 7" xfId="1580" xr:uid="{00000000-0005-0000-0000-000021070000}"/>
    <cellStyle name="Финансовый 4 2 3 8" xfId="1757" xr:uid="{00000000-0005-0000-0000-000022070000}"/>
    <cellStyle name="Финансовый 4 2 3 9" xfId="1938" xr:uid="{00000000-0005-0000-0000-000023070000}"/>
    <cellStyle name="Финансовый 4 2 4" xfId="514" xr:uid="{00000000-0005-0000-0000-000024070000}"/>
    <cellStyle name="Финансовый 4 2 4 2" xfId="694" xr:uid="{00000000-0005-0000-0000-000025070000}"/>
    <cellStyle name="Финансовый 4 2 4 3" xfId="871" xr:uid="{00000000-0005-0000-0000-000026070000}"/>
    <cellStyle name="Финансовый 4 2 4 4" xfId="1048" xr:uid="{00000000-0005-0000-0000-000027070000}"/>
    <cellStyle name="Финансовый 4 2 4 5" xfId="1227" xr:uid="{00000000-0005-0000-0000-000028070000}"/>
    <cellStyle name="Финансовый 4 2 4 6" xfId="1404" xr:uid="{00000000-0005-0000-0000-000029070000}"/>
    <cellStyle name="Финансовый 4 2 4 7" xfId="1581" xr:uid="{00000000-0005-0000-0000-00002A070000}"/>
    <cellStyle name="Финансовый 4 2 4 8" xfId="1758" xr:uid="{00000000-0005-0000-0000-00002B070000}"/>
    <cellStyle name="Финансовый 4 2 4 9" xfId="1939" xr:uid="{00000000-0005-0000-0000-00002C070000}"/>
    <cellStyle name="Финансовый 4 2 5" xfId="515" xr:uid="{00000000-0005-0000-0000-00002D070000}"/>
    <cellStyle name="Финансовый 4 2 5 2" xfId="695" xr:uid="{00000000-0005-0000-0000-00002E070000}"/>
    <cellStyle name="Финансовый 4 2 5 3" xfId="872" xr:uid="{00000000-0005-0000-0000-00002F070000}"/>
    <cellStyle name="Финансовый 4 2 5 4" xfId="1049" xr:uid="{00000000-0005-0000-0000-000030070000}"/>
    <cellStyle name="Финансовый 4 2 5 5" xfId="1228" xr:uid="{00000000-0005-0000-0000-000031070000}"/>
    <cellStyle name="Финансовый 4 2 5 6" xfId="1405" xr:uid="{00000000-0005-0000-0000-000032070000}"/>
    <cellStyle name="Финансовый 4 2 5 7" xfId="1582" xr:uid="{00000000-0005-0000-0000-000033070000}"/>
    <cellStyle name="Финансовый 4 2 5 8" xfId="1759" xr:uid="{00000000-0005-0000-0000-000034070000}"/>
    <cellStyle name="Финансовый 4 2 5 9" xfId="1940" xr:uid="{00000000-0005-0000-0000-000035070000}"/>
    <cellStyle name="Финансовый 4 2 6" xfId="688" xr:uid="{00000000-0005-0000-0000-000036070000}"/>
    <cellStyle name="Финансовый 4 2 7" xfId="865" xr:uid="{00000000-0005-0000-0000-000037070000}"/>
    <cellStyle name="Финансовый 4 2 8" xfId="1042" xr:uid="{00000000-0005-0000-0000-000038070000}"/>
    <cellStyle name="Финансовый 4 2 9" xfId="1221" xr:uid="{00000000-0005-0000-0000-000039070000}"/>
    <cellStyle name="Финансовый 4 3" xfId="516" xr:uid="{00000000-0005-0000-0000-00003A070000}"/>
    <cellStyle name="Финансовый 4 3 10" xfId="1583" xr:uid="{00000000-0005-0000-0000-00003B070000}"/>
    <cellStyle name="Финансовый 4 3 11" xfId="1760" xr:uid="{00000000-0005-0000-0000-00003C070000}"/>
    <cellStyle name="Финансовый 4 3 12" xfId="1941" xr:uid="{00000000-0005-0000-0000-00003D070000}"/>
    <cellStyle name="Финансовый 4 3 2" xfId="517" xr:uid="{00000000-0005-0000-0000-00003E070000}"/>
    <cellStyle name="Финансовый 4 3 2 2" xfId="697" xr:uid="{00000000-0005-0000-0000-00003F070000}"/>
    <cellStyle name="Финансовый 4 3 2 3" xfId="874" xr:uid="{00000000-0005-0000-0000-000040070000}"/>
    <cellStyle name="Финансовый 4 3 2 4" xfId="1051" xr:uid="{00000000-0005-0000-0000-000041070000}"/>
    <cellStyle name="Финансовый 4 3 2 5" xfId="1230" xr:uid="{00000000-0005-0000-0000-000042070000}"/>
    <cellStyle name="Финансовый 4 3 2 6" xfId="1407" xr:uid="{00000000-0005-0000-0000-000043070000}"/>
    <cellStyle name="Финансовый 4 3 2 7" xfId="1584" xr:uid="{00000000-0005-0000-0000-000044070000}"/>
    <cellStyle name="Финансовый 4 3 2 8" xfId="1761" xr:uid="{00000000-0005-0000-0000-000045070000}"/>
    <cellStyle name="Финансовый 4 3 2 9" xfId="1942" xr:uid="{00000000-0005-0000-0000-000046070000}"/>
    <cellStyle name="Финансовый 4 3 3" xfId="518" xr:uid="{00000000-0005-0000-0000-000047070000}"/>
    <cellStyle name="Финансовый 4 3 3 2" xfId="698" xr:uid="{00000000-0005-0000-0000-000048070000}"/>
    <cellStyle name="Финансовый 4 3 3 3" xfId="875" xr:uid="{00000000-0005-0000-0000-000049070000}"/>
    <cellStyle name="Финансовый 4 3 3 4" xfId="1052" xr:uid="{00000000-0005-0000-0000-00004A070000}"/>
    <cellStyle name="Финансовый 4 3 3 5" xfId="1231" xr:uid="{00000000-0005-0000-0000-00004B070000}"/>
    <cellStyle name="Финансовый 4 3 3 6" xfId="1408" xr:uid="{00000000-0005-0000-0000-00004C070000}"/>
    <cellStyle name="Финансовый 4 3 3 7" xfId="1585" xr:uid="{00000000-0005-0000-0000-00004D070000}"/>
    <cellStyle name="Финансовый 4 3 3 8" xfId="1762" xr:uid="{00000000-0005-0000-0000-00004E070000}"/>
    <cellStyle name="Финансовый 4 3 3 9" xfId="1943" xr:uid="{00000000-0005-0000-0000-00004F070000}"/>
    <cellStyle name="Финансовый 4 3 4" xfId="519" xr:uid="{00000000-0005-0000-0000-000050070000}"/>
    <cellStyle name="Финансовый 4 3 4 2" xfId="699" xr:uid="{00000000-0005-0000-0000-000051070000}"/>
    <cellStyle name="Финансовый 4 3 4 3" xfId="876" xr:uid="{00000000-0005-0000-0000-000052070000}"/>
    <cellStyle name="Финансовый 4 3 4 4" xfId="1053" xr:uid="{00000000-0005-0000-0000-000053070000}"/>
    <cellStyle name="Финансовый 4 3 4 5" xfId="1232" xr:uid="{00000000-0005-0000-0000-000054070000}"/>
    <cellStyle name="Финансовый 4 3 4 6" xfId="1409" xr:uid="{00000000-0005-0000-0000-000055070000}"/>
    <cellStyle name="Финансовый 4 3 4 7" xfId="1586" xr:uid="{00000000-0005-0000-0000-000056070000}"/>
    <cellStyle name="Финансовый 4 3 4 8" xfId="1763" xr:uid="{00000000-0005-0000-0000-000057070000}"/>
    <cellStyle name="Финансовый 4 3 4 9" xfId="1944" xr:uid="{00000000-0005-0000-0000-000058070000}"/>
    <cellStyle name="Финансовый 4 3 5" xfId="696" xr:uid="{00000000-0005-0000-0000-000059070000}"/>
    <cellStyle name="Финансовый 4 3 6" xfId="873" xr:uid="{00000000-0005-0000-0000-00005A070000}"/>
    <cellStyle name="Финансовый 4 3 7" xfId="1050" xr:uid="{00000000-0005-0000-0000-00005B070000}"/>
    <cellStyle name="Финансовый 4 3 8" xfId="1229" xr:uid="{00000000-0005-0000-0000-00005C070000}"/>
    <cellStyle name="Финансовый 4 3 9" xfId="1406" xr:uid="{00000000-0005-0000-0000-00005D070000}"/>
    <cellStyle name="Финансовый 4 4" xfId="520" xr:uid="{00000000-0005-0000-0000-00005E070000}"/>
    <cellStyle name="Финансовый 4 4 2" xfId="700" xr:uid="{00000000-0005-0000-0000-00005F070000}"/>
    <cellStyle name="Финансовый 4 4 3" xfId="877" xr:uid="{00000000-0005-0000-0000-000060070000}"/>
    <cellStyle name="Финансовый 4 4 4" xfId="1054" xr:uid="{00000000-0005-0000-0000-000061070000}"/>
    <cellStyle name="Финансовый 4 4 5" xfId="1233" xr:uid="{00000000-0005-0000-0000-000062070000}"/>
    <cellStyle name="Финансовый 4 4 6" xfId="1410" xr:uid="{00000000-0005-0000-0000-000063070000}"/>
    <cellStyle name="Финансовый 4 4 7" xfId="1587" xr:uid="{00000000-0005-0000-0000-000064070000}"/>
    <cellStyle name="Финансовый 4 4 8" xfId="1764" xr:uid="{00000000-0005-0000-0000-000065070000}"/>
    <cellStyle name="Финансовый 4 4 9" xfId="1945" xr:uid="{00000000-0005-0000-0000-000066070000}"/>
    <cellStyle name="Финансовый 4 5" xfId="521" xr:uid="{00000000-0005-0000-0000-000067070000}"/>
    <cellStyle name="Финансовый 4 5 2" xfId="701" xr:uid="{00000000-0005-0000-0000-000068070000}"/>
    <cellStyle name="Финансовый 4 5 3" xfId="878" xr:uid="{00000000-0005-0000-0000-000069070000}"/>
    <cellStyle name="Финансовый 4 5 4" xfId="1055" xr:uid="{00000000-0005-0000-0000-00006A070000}"/>
    <cellStyle name="Финансовый 4 5 5" xfId="1234" xr:uid="{00000000-0005-0000-0000-00006B070000}"/>
    <cellStyle name="Финансовый 4 5 6" xfId="1411" xr:uid="{00000000-0005-0000-0000-00006C070000}"/>
    <cellStyle name="Финансовый 4 5 7" xfId="1588" xr:uid="{00000000-0005-0000-0000-00006D070000}"/>
    <cellStyle name="Финансовый 4 5 8" xfId="1765" xr:uid="{00000000-0005-0000-0000-00006E070000}"/>
    <cellStyle name="Финансовый 4 5 9" xfId="1946" xr:uid="{00000000-0005-0000-0000-00006F070000}"/>
    <cellStyle name="Финансовый 4 6" xfId="522" xr:uid="{00000000-0005-0000-0000-000070070000}"/>
    <cellStyle name="Финансовый 4 6 2" xfId="702" xr:uid="{00000000-0005-0000-0000-000071070000}"/>
    <cellStyle name="Финансовый 4 6 3" xfId="879" xr:uid="{00000000-0005-0000-0000-000072070000}"/>
    <cellStyle name="Финансовый 4 6 4" xfId="1056" xr:uid="{00000000-0005-0000-0000-000073070000}"/>
    <cellStyle name="Финансовый 4 6 5" xfId="1235" xr:uid="{00000000-0005-0000-0000-000074070000}"/>
    <cellStyle name="Финансовый 4 6 6" xfId="1412" xr:uid="{00000000-0005-0000-0000-000075070000}"/>
    <cellStyle name="Финансовый 4 6 7" xfId="1589" xr:uid="{00000000-0005-0000-0000-000076070000}"/>
    <cellStyle name="Финансовый 4 6 8" xfId="1766" xr:uid="{00000000-0005-0000-0000-000077070000}"/>
    <cellStyle name="Финансовый 4 6 9" xfId="1947" xr:uid="{00000000-0005-0000-0000-000078070000}"/>
    <cellStyle name="Финансовый 4 7" xfId="687" xr:uid="{00000000-0005-0000-0000-000079070000}"/>
    <cellStyle name="Финансовый 4 8" xfId="864" xr:uid="{00000000-0005-0000-0000-00007A070000}"/>
    <cellStyle name="Финансовый 4 9" xfId="1041" xr:uid="{00000000-0005-0000-0000-00007B070000}"/>
    <cellStyle name="Финансовый 5" xfId="523" xr:uid="{00000000-0005-0000-0000-00007C070000}"/>
    <cellStyle name="Финансовый 5 10" xfId="1590" xr:uid="{00000000-0005-0000-0000-00007D070000}"/>
    <cellStyle name="Финансовый 5 11" xfId="1767" xr:uid="{00000000-0005-0000-0000-00007E070000}"/>
    <cellStyle name="Финансовый 5 12" xfId="1948" xr:uid="{00000000-0005-0000-0000-00007F070000}"/>
    <cellStyle name="Финансовый 5 2" xfId="524" xr:uid="{00000000-0005-0000-0000-000080070000}"/>
    <cellStyle name="Финансовый 5 2 2" xfId="704" xr:uid="{00000000-0005-0000-0000-000081070000}"/>
    <cellStyle name="Финансовый 5 2 3" xfId="881" xr:uid="{00000000-0005-0000-0000-000082070000}"/>
    <cellStyle name="Финансовый 5 2 4" xfId="1058" xr:uid="{00000000-0005-0000-0000-000083070000}"/>
    <cellStyle name="Финансовый 5 2 5" xfId="1237" xr:uid="{00000000-0005-0000-0000-000084070000}"/>
    <cellStyle name="Финансовый 5 2 6" xfId="1414" xr:uid="{00000000-0005-0000-0000-000085070000}"/>
    <cellStyle name="Финансовый 5 2 7" xfId="1591" xr:uid="{00000000-0005-0000-0000-000086070000}"/>
    <cellStyle name="Финансовый 5 2 8" xfId="1768" xr:uid="{00000000-0005-0000-0000-000087070000}"/>
    <cellStyle name="Финансовый 5 2 9" xfId="1949" xr:uid="{00000000-0005-0000-0000-000088070000}"/>
    <cellStyle name="Финансовый 5 3" xfId="525" xr:uid="{00000000-0005-0000-0000-000089070000}"/>
    <cellStyle name="Финансовый 5 3 2" xfId="705" xr:uid="{00000000-0005-0000-0000-00008A070000}"/>
    <cellStyle name="Финансовый 5 3 3" xfId="882" xr:uid="{00000000-0005-0000-0000-00008B070000}"/>
    <cellStyle name="Финансовый 5 3 4" xfId="1059" xr:uid="{00000000-0005-0000-0000-00008C070000}"/>
    <cellStyle name="Финансовый 5 3 5" xfId="1238" xr:uid="{00000000-0005-0000-0000-00008D070000}"/>
    <cellStyle name="Финансовый 5 3 6" xfId="1415" xr:uid="{00000000-0005-0000-0000-00008E070000}"/>
    <cellStyle name="Финансовый 5 3 7" xfId="1592" xr:uid="{00000000-0005-0000-0000-00008F070000}"/>
    <cellStyle name="Финансовый 5 3 8" xfId="1769" xr:uid="{00000000-0005-0000-0000-000090070000}"/>
    <cellStyle name="Финансовый 5 3 9" xfId="1950" xr:uid="{00000000-0005-0000-0000-000091070000}"/>
    <cellStyle name="Финансовый 5 4" xfId="526" xr:uid="{00000000-0005-0000-0000-000092070000}"/>
    <cellStyle name="Финансовый 5 4 2" xfId="706" xr:uid="{00000000-0005-0000-0000-000093070000}"/>
    <cellStyle name="Финансовый 5 4 3" xfId="883" xr:uid="{00000000-0005-0000-0000-000094070000}"/>
    <cellStyle name="Финансовый 5 4 4" xfId="1060" xr:uid="{00000000-0005-0000-0000-000095070000}"/>
    <cellStyle name="Финансовый 5 4 5" xfId="1239" xr:uid="{00000000-0005-0000-0000-000096070000}"/>
    <cellStyle name="Финансовый 5 4 6" xfId="1416" xr:uid="{00000000-0005-0000-0000-000097070000}"/>
    <cellStyle name="Финансовый 5 4 7" xfId="1593" xr:uid="{00000000-0005-0000-0000-000098070000}"/>
    <cellStyle name="Финансовый 5 4 8" xfId="1770" xr:uid="{00000000-0005-0000-0000-000099070000}"/>
    <cellStyle name="Финансовый 5 4 9" xfId="1951" xr:uid="{00000000-0005-0000-0000-00009A070000}"/>
    <cellStyle name="Финансовый 5 5" xfId="703" xr:uid="{00000000-0005-0000-0000-00009B070000}"/>
    <cellStyle name="Финансовый 5 6" xfId="880" xr:uid="{00000000-0005-0000-0000-00009C070000}"/>
    <cellStyle name="Финансовый 5 7" xfId="1057" xr:uid="{00000000-0005-0000-0000-00009D070000}"/>
    <cellStyle name="Финансовый 5 8" xfId="1236" xr:uid="{00000000-0005-0000-0000-00009E070000}"/>
    <cellStyle name="Финансовый 5 9" xfId="1413" xr:uid="{00000000-0005-0000-0000-00009F070000}"/>
    <cellStyle name="Финансовый 6" xfId="1771" xr:uid="{00000000-0005-0000-0000-0000A0070000}"/>
    <cellStyle name="Финансовый 8" xfId="527" xr:uid="{00000000-0005-0000-0000-0000A1070000}"/>
    <cellStyle name="Финансовый 8 2" xfId="528" xr:uid="{00000000-0005-0000-0000-0000A2070000}"/>
    <cellStyle name="Хороший 2" xfId="529" xr:uid="{00000000-0005-0000-0000-0000A307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13"/>
    </tableStyle>
    <tableStyle name="Стиль сводной таблицы 2" table="0" count="1" xr9:uid="{00000000-0011-0000-FFFF-FFFF01000000}">
      <tableStyleElement type="thirdSubtotalColumn" dxfId="12"/>
    </tableStyle>
    <tableStyle name="Стиль сводной таблицы 3" table="0" count="1" xr9:uid="{00000000-0011-0000-FFFF-FFFF02000000}">
      <tableStyleElement type="thirdColumnSubheading" dxfId="11"/>
    </tableStyle>
  </tableStyles>
  <colors>
    <mruColors>
      <color rgb="FFCDCDFF"/>
      <color rgb="FFFFE5FF"/>
      <color rgb="FFFFCCFF"/>
      <color rgb="FFFFFFCC"/>
      <color rgb="FFFFDF57"/>
      <color rgb="FFDAF5FE"/>
      <color rgb="FFAEE8FC"/>
      <color rgb="FFFFE699"/>
      <color rgb="FFB8FEF7"/>
      <color rgb="FFD0FC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B1:I229"/>
  <sheetViews>
    <sheetView tabSelected="1" zoomScale="70" zoomScaleNormal="70" workbookViewId="0">
      <pane ySplit="1" topLeftCell="A16" activePane="bottomLeft" state="frozen"/>
      <selection pane="bottomLeft" activeCell="D72" sqref="D72"/>
    </sheetView>
  </sheetViews>
  <sheetFormatPr defaultRowHeight="21" x14ac:dyDescent="0.25"/>
  <cols>
    <col min="1" max="2" width="14.28515625" customWidth="1"/>
    <col min="3" max="3" width="126" customWidth="1"/>
    <col min="4" max="4" width="89.7109375" style="4" customWidth="1"/>
    <col min="5" max="5" width="10.42578125" style="2" customWidth="1"/>
    <col min="6" max="6" width="15.140625" style="5" customWidth="1"/>
    <col min="7" max="7" width="14.7109375" style="33" customWidth="1"/>
    <col min="8" max="8" width="21.5703125" style="1" customWidth="1"/>
    <col min="9" max="9" width="21.5703125" style="3" customWidth="1"/>
  </cols>
  <sheetData>
    <row r="1" spans="2:9" ht="69.75" customHeight="1" x14ac:dyDescent="0.25">
      <c r="B1" s="20" t="s">
        <v>318</v>
      </c>
      <c r="C1" s="19" t="s">
        <v>215</v>
      </c>
      <c r="D1" s="19" t="s">
        <v>216</v>
      </c>
      <c r="E1" s="20"/>
      <c r="F1" s="21" t="s">
        <v>33</v>
      </c>
      <c r="G1" s="30" t="s">
        <v>82</v>
      </c>
      <c r="H1" s="22" t="s">
        <v>47</v>
      </c>
      <c r="I1" s="23" t="s">
        <v>45</v>
      </c>
    </row>
    <row r="2" spans="2:9" ht="27" hidden="1" customHeight="1" x14ac:dyDescent="0.35">
      <c r="B2" s="44">
        <v>1</v>
      </c>
      <c r="C2" s="28" t="s">
        <v>252</v>
      </c>
      <c r="D2" s="6" t="s">
        <v>25</v>
      </c>
      <c r="E2" s="13">
        <v>1</v>
      </c>
      <c r="F2" s="10">
        <v>240</v>
      </c>
      <c r="G2" s="31">
        <v>1921</v>
      </c>
      <c r="H2" s="18">
        <f>VLOOKUP(C2,'Рабочий лист_Бычков'!B:J,9,0)</f>
        <v>0</v>
      </c>
      <c r="I2" s="29">
        <f t="shared" ref="I2:I65" si="0">H2*E2</f>
        <v>0</v>
      </c>
    </row>
    <row r="3" spans="2:9" ht="27" customHeight="1" x14ac:dyDescent="0.35">
      <c r="B3" s="44">
        <v>2</v>
      </c>
      <c r="C3" s="28" t="s">
        <v>319</v>
      </c>
      <c r="D3" s="7" t="s">
        <v>175</v>
      </c>
      <c r="E3" s="13">
        <v>0.35</v>
      </c>
      <c r="F3" s="10">
        <v>412</v>
      </c>
      <c r="G3" s="31">
        <v>3167</v>
      </c>
      <c r="H3" s="18">
        <f>VLOOKUP(C3,'Рабочий лист_Бычков'!B:J,9,0)</f>
        <v>12</v>
      </c>
      <c r="I3" s="29">
        <f t="shared" si="0"/>
        <v>4.1999999999999993</v>
      </c>
    </row>
    <row r="4" spans="2:9" ht="27" customHeight="1" x14ac:dyDescent="0.35">
      <c r="B4" s="44">
        <v>3</v>
      </c>
      <c r="C4" s="28" t="s">
        <v>320</v>
      </c>
      <c r="D4" s="7" t="s">
        <v>174</v>
      </c>
      <c r="E4" s="15">
        <v>0.35</v>
      </c>
      <c r="F4" s="10">
        <v>410</v>
      </c>
      <c r="G4" s="31">
        <v>3168</v>
      </c>
      <c r="H4" s="18">
        <f>VLOOKUP(C4,'Рабочий лист_Бычков'!B:J,9,0)</f>
        <v>6</v>
      </c>
      <c r="I4" s="29">
        <f t="shared" si="0"/>
        <v>2.0999999999999996</v>
      </c>
    </row>
    <row r="5" spans="2:9" ht="27" customHeight="1" x14ac:dyDescent="0.35">
      <c r="B5" s="44">
        <v>4</v>
      </c>
      <c r="C5" s="28" t="s">
        <v>229</v>
      </c>
      <c r="D5" s="6" t="s">
        <v>50</v>
      </c>
      <c r="E5" s="13">
        <v>1</v>
      </c>
      <c r="F5" s="10">
        <v>251</v>
      </c>
      <c r="G5" s="31">
        <v>1835</v>
      </c>
      <c r="H5" s="18">
        <f>VLOOKUP(C5,'Рабочий лист_Бычков'!B:J,9,0)</f>
        <v>25</v>
      </c>
      <c r="I5" s="29">
        <f t="shared" si="0"/>
        <v>25</v>
      </c>
    </row>
    <row r="6" spans="2:9" ht="27" hidden="1" customHeight="1" x14ac:dyDescent="0.35">
      <c r="B6" s="44">
        <v>5</v>
      </c>
      <c r="C6" s="28" t="s">
        <v>234</v>
      </c>
      <c r="D6" s="6" t="s">
        <v>79</v>
      </c>
      <c r="E6" s="13">
        <v>0.35</v>
      </c>
      <c r="F6" s="10">
        <v>116</v>
      </c>
      <c r="G6" s="31">
        <v>2604</v>
      </c>
      <c r="H6" s="18">
        <f>VLOOKUP(C6,'Рабочий лист_Бычков'!B:J,9,0)</f>
        <v>0</v>
      </c>
      <c r="I6" s="29">
        <f t="shared" si="0"/>
        <v>0</v>
      </c>
    </row>
    <row r="7" spans="2:9" ht="27" hidden="1" customHeight="1" x14ac:dyDescent="0.35">
      <c r="B7" s="44">
        <v>6</v>
      </c>
      <c r="C7" s="28" t="s">
        <v>232</v>
      </c>
      <c r="D7" s="6" t="s">
        <v>208</v>
      </c>
      <c r="E7" s="13">
        <v>1</v>
      </c>
      <c r="F7" s="10">
        <v>558</v>
      </c>
      <c r="G7" s="31">
        <v>4041</v>
      </c>
      <c r="H7" s="18">
        <f>VLOOKUP(C7,'Рабочий лист_Бычков'!B:J,9,0)</f>
        <v>0</v>
      </c>
      <c r="I7" s="29">
        <f t="shared" si="0"/>
        <v>0</v>
      </c>
    </row>
    <row r="8" spans="2:9" ht="27" hidden="1" customHeight="1" x14ac:dyDescent="0.35">
      <c r="B8" s="44">
        <v>7</v>
      </c>
      <c r="C8" s="28" t="s">
        <v>235</v>
      </c>
      <c r="D8" s="6" t="s">
        <v>1</v>
      </c>
      <c r="E8" s="13">
        <v>0.4</v>
      </c>
      <c r="F8" s="10">
        <v>43</v>
      </c>
      <c r="G8" s="31">
        <v>2027</v>
      </c>
      <c r="H8" s="18">
        <f>VLOOKUP(C8,'Рабочий лист_Бычков'!B:J,9,0)</f>
        <v>0</v>
      </c>
      <c r="I8" s="29">
        <f t="shared" si="0"/>
        <v>0</v>
      </c>
    </row>
    <row r="9" spans="2:9" ht="27" customHeight="1" x14ac:dyDescent="0.35">
      <c r="B9" s="44">
        <v>8</v>
      </c>
      <c r="C9" s="28" t="s">
        <v>217</v>
      </c>
      <c r="D9" s="6" t="s">
        <v>42</v>
      </c>
      <c r="E9" s="13">
        <v>1</v>
      </c>
      <c r="F9" s="12">
        <v>201</v>
      </c>
      <c r="G9" s="31">
        <v>126</v>
      </c>
      <c r="H9" s="18">
        <f>VLOOKUP(C9,'Рабочий лист_Бычков'!B:J,9,0)</f>
        <v>300</v>
      </c>
      <c r="I9" s="29">
        <f t="shared" si="0"/>
        <v>300</v>
      </c>
    </row>
    <row r="10" spans="2:9" ht="27" hidden="1" customHeight="1" x14ac:dyDescent="0.35">
      <c r="B10" s="44">
        <v>9</v>
      </c>
      <c r="C10" s="28" t="s">
        <v>230</v>
      </c>
      <c r="D10" s="6" t="s">
        <v>140</v>
      </c>
      <c r="E10" s="13">
        <v>1</v>
      </c>
      <c r="F10" s="10">
        <v>510</v>
      </c>
      <c r="G10" s="31">
        <v>2806</v>
      </c>
      <c r="H10" s="18">
        <f>VLOOKUP(C10,'Рабочий лист_Бычков'!B:J,9,0)</f>
        <v>0</v>
      </c>
      <c r="I10" s="29">
        <f t="shared" si="0"/>
        <v>0</v>
      </c>
    </row>
    <row r="11" spans="2:9" ht="27" hidden="1" customHeight="1" x14ac:dyDescent="0.35">
      <c r="B11" s="44">
        <v>10</v>
      </c>
      <c r="C11" s="28" t="s">
        <v>279</v>
      </c>
      <c r="D11" s="6" t="s">
        <v>69</v>
      </c>
      <c r="E11" s="13">
        <v>0.45</v>
      </c>
      <c r="F11" s="10">
        <v>324</v>
      </c>
      <c r="G11" s="31">
        <v>2814</v>
      </c>
      <c r="H11" s="18">
        <f>VLOOKUP(C11,'Рабочий лист_Бычков'!B:J,9,0)</f>
        <v>0</v>
      </c>
      <c r="I11" s="29">
        <f t="shared" si="0"/>
        <v>0</v>
      </c>
    </row>
    <row r="12" spans="2:9" ht="27" customHeight="1" x14ac:dyDescent="0.35">
      <c r="B12" s="44">
        <v>11</v>
      </c>
      <c r="C12" s="28" t="s">
        <v>280</v>
      </c>
      <c r="D12" s="6" t="s">
        <v>53</v>
      </c>
      <c r="E12" s="13">
        <v>1</v>
      </c>
      <c r="F12" s="10">
        <v>312</v>
      </c>
      <c r="G12" s="31">
        <v>2828</v>
      </c>
      <c r="H12" s="18">
        <f>VLOOKUP(C12,'Рабочий лист_Бычков'!B:J,9,0)</f>
        <v>50</v>
      </c>
      <c r="I12" s="29">
        <f t="shared" si="0"/>
        <v>50</v>
      </c>
    </row>
    <row r="13" spans="2:9" ht="27" hidden="1" customHeight="1" x14ac:dyDescent="0.35">
      <c r="B13" s="44">
        <v>12</v>
      </c>
      <c r="C13" s="28" t="s">
        <v>281</v>
      </c>
      <c r="D13" s="6" t="s">
        <v>40</v>
      </c>
      <c r="E13" s="13">
        <v>0.4</v>
      </c>
      <c r="F13" s="10">
        <v>23</v>
      </c>
      <c r="G13" s="31">
        <v>1485</v>
      </c>
      <c r="H13" s="18">
        <f>VLOOKUP(C13,'Рабочий лист_Бычков'!B:J,9,0)</f>
        <v>0</v>
      </c>
      <c r="I13" s="29">
        <f t="shared" si="0"/>
        <v>0</v>
      </c>
    </row>
    <row r="14" spans="2:9" ht="27" customHeight="1" x14ac:dyDescent="0.35">
      <c r="B14" s="44">
        <v>13</v>
      </c>
      <c r="C14" s="28" t="s">
        <v>236</v>
      </c>
      <c r="D14" s="6" t="s">
        <v>37</v>
      </c>
      <c r="E14" s="13">
        <v>1</v>
      </c>
      <c r="F14" s="10">
        <v>5</v>
      </c>
      <c r="G14" s="31">
        <v>722</v>
      </c>
      <c r="H14" s="18">
        <f>VLOOKUP(C14,'Рабочий лист_Бычков'!B:J,9,0)</f>
        <v>30</v>
      </c>
      <c r="I14" s="29">
        <f t="shared" si="0"/>
        <v>30</v>
      </c>
    </row>
    <row r="15" spans="2:9" ht="27" customHeight="1" x14ac:dyDescent="0.35">
      <c r="B15" s="44">
        <v>14</v>
      </c>
      <c r="C15" s="28" t="s">
        <v>219</v>
      </c>
      <c r="D15" s="6" t="s">
        <v>70</v>
      </c>
      <c r="E15" s="13">
        <v>0.45</v>
      </c>
      <c r="F15" s="10">
        <v>319</v>
      </c>
      <c r="G15" s="31">
        <v>2815</v>
      </c>
      <c r="H15" s="18">
        <f>VLOOKUP(C15,'Рабочий лист_Бычков'!B:J,9,0)</f>
        <v>100</v>
      </c>
      <c r="I15" s="29">
        <f t="shared" si="0"/>
        <v>45</v>
      </c>
    </row>
    <row r="16" spans="2:9" ht="27" customHeight="1" x14ac:dyDescent="0.35">
      <c r="B16" s="44">
        <v>15</v>
      </c>
      <c r="C16" s="28" t="s">
        <v>223</v>
      </c>
      <c r="D16" s="6" t="s">
        <v>0</v>
      </c>
      <c r="E16" s="13">
        <v>1</v>
      </c>
      <c r="F16" s="10">
        <v>200</v>
      </c>
      <c r="G16" s="31">
        <v>2035</v>
      </c>
      <c r="H16" s="18">
        <f>VLOOKUP(C16,'Рабочий лист_Бычков'!B:J,9,0)</f>
        <v>15</v>
      </c>
      <c r="I16" s="29">
        <f t="shared" si="0"/>
        <v>15</v>
      </c>
    </row>
    <row r="17" spans="2:9" ht="27" customHeight="1" x14ac:dyDescent="0.35">
      <c r="B17" s="44">
        <v>16</v>
      </c>
      <c r="C17" s="28" t="s">
        <v>221</v>
      </c>
      <c r="D17" s="6" t="s">
        <v>21</v>
      </c>
      <c r="E17" s="13">
        <v>1</v>
      </c>
      <c r="F17" s="10">
        <v>215</v>
      </c>
      <c r="G17" s="31">
        <v>2011</v>
      </c>
      <c r="H17" s="18">
        <f>VLOOKUP(C17,'Рабочий лист_Бычков'!B:J,9,0)</f>
        <v>10</v>
      </c>
      <c r="I17" s="29">
        <f t="shared" si="0"/>
        <v>10</v>
      </c>
    </row>
    <row r="18" spans="2:9" ht="27" customHeight="1" x14ac:dyDescent="0.35">
      <c r="B18" s="44">
        <v>17</v>
      </c>
      <c r="C18" s="28" t="s">
        <v>233</v>
      </c>
      <c r="D18" s="6" t="s">
        <v>5</v>
      </c>
      <c r="E18" s="13">
        <v>1</v>
      </c>
      <c r="F18" s="10">
        <v>229</v>
      </c>
      <c r="G18" s="31">
        <v>2010</v>
      </c>
      <c r="H18" s="18">
        <f>VLOOKUP(C18,'Рабочий лист_Бычков'!B:J,9,0)</f>
        <v>5</v>
      </c>
      <c r="I18" s="29">
        <f t="shared" si="0"/>
        <v>5</v>
      </c>
    </row>
    <row r="19" spans="2:9" ht="27" hidden="1" customHeight="1" x14ac:dyDescent="0.35">
      <c r="B19" s="44">
        <v>18</v>
      </c>
      <c r="C19" s="28" t="s">
        <v>282</v>
      </c>
      <c r="D19" s="6" t="s">
        <v>6</v>
      </c>
      <c r="E19" s="13">
        <v>1</v>
      </c>
      <c r="F19" s="10">
        <v>236</v>
      </c>
      <c r="G19" s="31">
        <v>2150</v>
      </c>
      <c r="H19" s="18">
        <f>VLOOKUP(C19,'Рабочий лист_Бычков'!B:J,9,0)</f>
        <v>0</v>
      </c>
      <c r="I19" s="29">
        <f t="shared" si="0"/>
        <v>0</v>
      </c>
    </row>
    <row r="20" spans="2:9" ht="27" hidden="1" customHeight="1" x14ac:dyDescent="0.35">
      <c r="B20" s="44">
        <v>19</v>
      </c>
      <c r="C20" s="28" t="s">
        <v>283</v>
      </c>
      <c r="D20" s="6" t="s">
        <v>7</v>
      </c>
      <c r="E20" s="13">
        <v>1</v>
      </c>
      <c r="F20" s="10">
        <v>239</v>
      </c>
      <c r="G20" s="31">
        <v>2158</v>
      </c>
      <c r="H20" s="18">
        <f>VLOOKUP(C20,'Рабочий лист_Бычков'!B:J,9,0)</f>
        <v>0</v>
      </c>
      <c r="I20" s="29">
        <f t="shared" si="0"/>
        <v>0</v>
      </c>
    </row>
    <row r="21" spans="2:9" ht="27" customHeight="1" x14ac:dyDescent="0.35">
      <c r="B21" s="44">
        <v>20</v>
      </c>
      <c r="C21" s="28" t="s">
        <v>284</v>
      </c>
      <c r="D21" s="6" t="s">
        <v>10</v>
      </c>
      <c r="E21" s="13">
        <v>1</v>
      </c>
      <c r="F21" s="10">
        <v>242</v>
      </c>
      <c r="G21" s="31">
        <v>2151</v>
      </c>
      <c r="H21" s="18">
        <f>VLOOKUP(C21,'Рабочий лист_Бычков'!B:J,9,0)</f>
        <v>5</v>
      </c>
      <c r="I21" s="29">
        <f t="shared" si="0"/>
        <v>5</v>
      </c>
    </row>
    <row r="22" spans="2:9" ht="27" hidden="1" customHeight="1" x14ac:dyDescent="0.35">
      <c r="B22" s="44">
        <v>21</v>
      </c>
      <c r="C22" s="28" t="s">
        <v>321</v>
      </c>
      <c r="D22" s="6" t="s">
        <v>118</v>
      </c>
      <c r="E22" s="13">
        <v>1</v>
      </c>
      <c r="F22" s="10">
        <v>449</v>
      </c>
      <c r="G22" s="31">
        <v>2634</v>
      </c>
      <c r="H22" s="18">
        <f>VLOOKUP(C22,'Рабочий лист_Бычков'!B:J,9,0)</f>
        <v>0</v>
      </c>
      <c r="I22" s="29">
        <f t="shared" si="0"/>
        <v>0</v>
      </c>
    </row>
    <row r="23" spans="2:9" ht="27" hidden="1" customHeight="1" x14ac:dyDescent="0.35">
      <c r="B23" s="44">
        <v>22</v>
      </c>
      <c r="C23" s="28" t="s">
        <v>285</v>
      </c>
      <c r="D23" s="6" t="s">
        <v>68</v>
      </c>
      <c r="E23" s="13">
        <v>1</v>
      </c>
      <c r="F23" s="10">
        <v>330</v>
      </c>
      <c r="G23" s="31">
        <v>2829</v>
      </c>
      <c r="H23" s="18">
        <f>VLOOKUP(C23,'Рабочий лист_Бычков'!B:J,9,0)</f>
        <v>0</v>
      </c>
      <c r="I23" s="29">
        <f t="shared" si="0"/>
        <v>0</v>
      </c>
    </row>
    <row r="24" spans="2:9" ht="27" customHeight="1" x14ac:dyDescent="0.35">
      <c r="B24" s="44">
        <v>23</v>
      </c>
      <c r="C24" s="28" t="s">
        <v>240</v>
      </c>
      <c r="D24" s="6" t="s">
        <v>102</v>
      </c>
      <c r="E24" s="13">
        <v>0.4</v>
      </c>
      <c r="F24" s="10">
        <v>387</v>
      </c>
      <c r="G24" s="31">
        <v>2983</v>
      </c>
      <c r="H24" s="18">
        <f>VLOOKUP(C24,'Рабочий лист_Бычков'!B:J,9,0)</f>
        <v>16</v>
      </c>
      <c r="I24" s="29">
        <f t="shared" si="0"/>
        <v>6.4</v>
      </c>
    </row>
    <row r="25" spans="2:9" ht="27" hidden="1" customHeight="1" x14ac:dyDescent="0.35">
      <c r="B25" s="44">
        <v>24</v>
      </c>
      <c r="C25" s="28" t="s">
        <v>286</v>
      </c>
      <c r="D25" s="6" t="s">
        <v>138</v>
      </c>
      <c r="E25" s="13">
        <v>1</v>
      </c>
      <c r="F25" s="10">
        <v>503</v>
      </c>
      <c r="G25" s="31">
        <v>3642</v>
      </c>
      <c r="H25" s="18">
        <f>VLOOKUP(C25,'Рабочий лист_Бычков'!B:J,9,0)</f>
        <v>0</v>
      </c>
      <c r="I25" s="29">
        <f t="shared" si="0"/>
        <v>0</v>
      </c>
    </row>
    <row r="26" spans="2:9" ht="27" hidden="1" customHeight="1" x14ac:dyDescent="0.35">
      <c r="B26" s="44">
        <v>25</v>
      </c>
      <c r="C26" s="28" t="s">
        <v>275</v>
      </c>
      <c r="D26" s="6" t="s">
        <v>100</v>
      </c>
      <c r="E26" s="13">
        <v>0.35</v>
      </c>
      <c r="F26" s="10">
        <v>394</v>
      </c>
      <c r="G26" s="31">
        <v>2985</v>
      </c>
      <c r="H26" s="18">
        <f>VLOOKUP(C26,'Рабочий лист_Бычков'!B:J,9,0)</f>
        <v>0</v>
      </c>
      <c r="I26" s="29">
        <f t="shared" si="0"/>
        <v>0</v>
      </c>
    </row>
    <row r="27" spans="2:9" ht="27" customHeight="1" x14ac:dyDescent="0.35">
      <c r="B27" s="44">
        <v>26</v>
      </c>
      <c r="C27" s="28" t="s">
        <v>220</v>
      </c>
      <c r="D27" s="6" t="s">
        <v>126</v>
      </c>
      <c r="E27" s="13">
        <v>0.4</v>
      </c>
      <c r="F27" s="10">
        <v>468</v>
      </c>
      <c r="G27" s="31">
        <v>3393</v>
      </c>
      <c r="H27" s="18">
        <f>VLOOKUP(C27,'Рабочий лист_Бычков'!B:J,9,0)</f>
        <v>50</v>
      </c>
      <c r="I27" s="29">
        <f t="shared" si="0"/>
        <v>20</v>
      </c>
    </row>
    <row r="28" spans="2:9" ht="27" customHeight="1" x14ac:dyDescent="0.35">
      <c r="B28" s="44">
        <v>27</v>
      </c>
      <c r="C28" s="28" t="s">
        <v>287</v>
      </c>
      <c r="D28" s="6" t="s">
        <v>121</v>
      </c>
      <c r="E28" s="13">
        <v>1</v>
      </c>
      <c r="F28" s="10">
        <v>460</v>
      </c>
      <c r="G28" s="31">
        <v>3392</v>
      </c>
      <c r="H28" s="18">
        <f>VLOOKUP(C28,'Рабочий лист_Бычков'!B:J,9,0)</f>
        <v>60</v>
      </c>
      <c r="I28" s="29">
        <f t="shared" si="0"/>
        <v>60</v>
      </c>
    </row>
    <row r="29" spans="2:9" ht="27" customHeight="1" x14ac:dyDescent="0.35">
      <c r="B29" s="44">
        <v>28</v>
      </c>
      <c r="C29" s="28" t="s">
        <v>228</v>
      </c>
      <c r="D29" s="6" t="s">
        <v>11</v>
      </c>
      <c r="E29" s="13">
        <v>0.35</v>
      </c>
      <c r="F29" s="10">
        <v>79</v>
      </c>
      <c r="G29" s="31">
        <v>2579</v>
      </c>
      <c r="H29" s="18">
        <f>VLOOKUP(C29,'Рабочий лист_Бычков'!B:J,9,0)</f>
        <v>18</v>
      </c>
      <c r="I29" s="29">
        <f t="shared" si="0"/>
        <v>6.3</v>
      </c>
    </row>
    <row r="30" spans="2:9" ht="27" hidden="1" customHeight="1" x14ac:dyDescent="0.35">
      <c r="B30" s="44">
        <v>29</v>
      </c>
      <c r="C30" s="28" t="s">
        <v>239</v>
      </c>
      <c r="D30" s="6" t="s">
        <v>133</v>
      </c>
      <c r="E30" s="13">
        <v>1</v>
      </c>
      <c r="F30" s="10">
        <v>485</v>
      </c>
      <c r="G30" s="31">
        <v>3389</v>
      </c>
      <c r="H30" s="18">
        <f>VLOOKUP(C30,'Рабочий лист_Бычков'!B:J,9,0)</f>
        <v>0</v>
      </c>
      <c r="I30" s="29">
        <f t="shared" si="0"/>
        <v>0</v>
      </c>
    </row>
    <row r="31" spans="2:9" ht="27" hidden="1" customHeight="1" x14ac:dyDescent="0.35">
      <c r="B31" s="44">
        <v>30</v>
      </c>
      <c r="C31" s="28" t="s">
        <v>288</v>
      </c>
      <c r="D31" s="6" t="s">
        <v>129</v>
      </c>
      <c r="E31" s="13">
        <v>0.4</v>
      </c>
      <c r="F31" s="10">
        <v>482</v>
      </c>
      <c r="G31" s="31">
        <v>3390</v>
      </c>
      <c r="H31" s="18">
        <f>VLOOKUP(C31,'Рабочий лист_Бычков'!B:J,9,0)</f>
        <v>0</v>
      </c>
      <c r="I31" s="29">
        <f t="shared" si="0"/>
        <v>0</v>
      </c>
    </row>
    <row r="32" spans="2:9" ht="27" customHeight="1" x14ac:dyDescent="0.35">
      <c r="B32" s="44">
        <v>31</v>
      </c>
      <c r="C32" s="28" t="s">
        <v>289</v>
      </c>
      <c r="D32" s="6" t="s">
        <v>76</v>
      </c>
      <c r="E32" s="13">
        <v>1</v>
      </c>
      <c r="F32" s="10">
        <v>315</v>
      </c>
      <c r="G32" s="31">
        <v>2830</v>
      </c>
      <c r="H32" s="18">
        <f>VLOOKUP(C32,'Рабочий лист_Бычков'!B:J,9,0)</f>
        <v>20</v>
      </c>
      <c r="I32" s="29">
        <f t="shared" si="0"/>
        <v>20</v>
      </c>
    </row>
    <row r="33" spans="2:9" ht="27" customHeight="1" x14ac:dyDescent="0.35">
      <c r="B33" s="44">
        <v>32</v>
      </c>
      <c r="C33" s="28" t="s">
        <v>224</v>
      </c>
      <c r="D33" s="6" t="s">
        <v>122</v>
      </c>
      <c r="E33" s="13">
        <v>1</v>
      </c>
      <c r="F33" s="10">
        <v>463</v>
      </c>
      <c r="G33" s="31">
        <v>3394</v>
      </c>
      <c r="H33" s="18">
        <f>VLOOKUP(C33,'Рабочий лист_Бычков'!B:J,9,0)</f>
        <v>30</v>
      </c>
      <c r="I33" s="29">
        <f t="shared" si="0"/>
        <v>30</v>
      </c>
    </row>
    <row r="34" spans="2:9" ht="27" hidden="1" customHeight="1" x14ac:dyDescent="0.35">
      <c r="B34" s="44">
        <v>33</v>
      </c>
      <c r="C34" s="28" t="s">
        <v>238</v>
      </c>
      <c r="D34" s="6" t="s">
        <v>130</v>
      </c>
      <c r="E34" s="13">
        <v>0.4</v>
      </c>
      <c r="F34" s="10">
        <v>483</v>
      </c>
      <c r="G34" s="31">
        <v>3395</v>
      </c>
      <c r="H34" s="18">
        <f>VLOOKUP(C34,'Рабочий лист_Бычков'!B:J,9,0)</f>
        <v>0</v>
      </c>
      <c r="I34" s="29">
        <f t="shared" si="0"/>
        <v>0</v>
      </c>
    </row>
    <row r="35" spans="2:9" ht="27" hidden="1" customHeight="1" x14ac:dyDescent="0.35">
      <c r="B35" s="44">
        <v>34</v>
      </c>
      <c r="C35" s="28" t="s">
        <v>290</v>
      </c>
      <c r="D35" s="6" t="s">
        <v>54</v>
      </c>
      <c r="E35" s="14">
        <v>0.35</v>
      </c>
      <c r="F35" s="10">
        <v>296</v>
      </c>
      <c r="G35" s="31">
        <v>2660</v>
      </c>
      <c r="H35" s="18">
        <f>VLOOKUP(C35,'Рабочий лист_Бычков'!B:J,9,0)</f>
        <v>0</v>
      </c>
      <c r="I35" s="29">
        <f t="shared" si="0"/>
        <v>0</v>
      </c>
    </row>
    <row r="36" spans="2:9" ht="27" hidden="1" customHeight="1" x14ac:dyDescent="0.35">
      <c r="B36" s="44">
        <v>35</v>
      </c>
      <c r="C36" s="28" t="s">
        <v>291</v>
      </c>
      <c r="D36" s="6" t="s">
        <v>85</v>
      </c>
      <c r="E36" s="14">
        <v>1</v>
      </c>
      <c r="F36" s="10">
        <v>297</v>
      </c>
      <c r="G36" s="31">
        <v>2756</v>
      </c>
      <c r="H36" s="18">
        <f>VLOOKUP(C36,'Рабочий лист_Бычков'!B:J,9,0)</f>
        <v>0</v>
      </c>
      <c r="I36" s="29">
        <f t="shared" si="0"/>
        <v>0</v>
      </c>
    </row>
    <row r="37" spans="2:9" ht="27" customHeight="1" x14ac:dyDescent="0.35">
      <c r="B37" s="44">
        <v>36</v>
      </c>
      <c r="C37" s="28" t="s">
        <v>292</v>
      </c>
      <c r="D37" s="6" t="s">
        <v>74</v>
      </c>
      <c r="E37" s="13">
        <v>1</v>
      </c>
      <c r="F37" s="10">
        <v>316</v>
      </c>
      <c r="G37" s="31">
        <v>2808</v>
      </c>
      <c r="H37" s="18">
        <f>VLOOKUP(C37,'Рабочий лист_Бычков'!B:J,9,0)</f>
        <v>60</v>
      </c>
      <c r="I37" s="29">
        <f t="shared" si="0"/>
        <v>60</v>
      </c>
    </row>
    <row r="38" spans="2:9" ht="27" customHeight="1" x14ac:dyDescent="0.35">
      <c r="B38" s="44">
        <v>37</v>
      </c>
      <c r="C38" s="28" t="s">
        <v>293</v>
      </c>
      <c r="D38" s="6" t="s">
        <v>117</v>
      </c>
      <c r="E38" s="13">
        <v>1</v>
      </c>
      <c r="F38" s="10">
        <v>452</v>
      </c>
      <c r="G38" s="31">
        <v>3423</v>
      </c>
      <c r="H38" s="18">
        <f>VLOOKUP(C38,'Рабочий лист_Бычков'!B:J,9,0)</f>
        <v>80</v>
      </c>
      <c r="I38" s="29">
        <f t="shared" si="0"/>
        <v>80</v>
      </c>
    </row>
    <row r="39" spans="2:9" ht="27" hidden="1" customHeight="1" x14ac:dyDescent="0.35">
      <c r="B39" s="44">
        <v>38</v>
      </c>
      <c r="C39" s="28" t="s">
        <v>322</v>
      </c>
      <c r="D39" s="6" t="s">
        <v>134</v>
      </c>
      <c r="E39" s="13">
        <v>0.5</v>
      </c>
      <c r="F39" s="10">
        <v>462</v>
      </c>
      <c r="G39" s="31">
        <v>3432</v>
      </c>
      <c r="H39" s="18">
        <f>VLOOKUP(C39,'Рабочий лист_Бычков'!B:J,9,0)</f>
        <v>0</v>
      </c>
      <c r="I39" s="29">
        <f t="shared" si="0"/>
        <v>0</v>
      </c>
    </row>
    <row r="40" spans="2:9" ht="27" customHeight="1" x14ac:dyDescent="0.35">
      <c r="B40" s="44">
        <v>39</v>
      </c>
      <c r="C40" s="28" t="s">
        <v>294</v>
      </c>
      <c r="D40" s="6" t="s">
        <v>41</v>
      </c>
      <c r="E40" s="13">
        <v>1</v>
      </c>
      <c r="F40" s="12">
        <v>219</v>
      </c>
      <c r="G40" s="31">
        <v>251</v>
      </c>
      <c r="H40" s="18">
        <f>VLOOKUP(C40,'Рабочий лист_Бычков'!B:J,9,0)</f>
        <v>100</v>
      </c>
      <c r="I40" s="29">
        <f t="shared" si="0"/>
        <v>100</v>
      </c>
    </row>
    <row r="41" spans="2:9" ht="27" hidden="1" customHeight="1" x14ac:dyDescent="0.35">
      <c r="B41" s="44">
        <v>40</v>
      </c>
      <c r="C41" s="28" t="s">
        <v>237</v>
      </c>
      <c r="D41" s="6" t="s">
        <v>132</v>
      </c>
      <c r="E41" s="13">
        <v>0.5</v>
      </c>
      <c r="F41" s="10">
        <v>467</v>
      </c>
      <c r="G41" s="31">
        <v>3421</v>
      </c>
      <c r="H41" s="18">
        <f>VLOOKUP(C41,'Рабочий лист_Бычков'!B:J,9,0)</f>
        <v>0</v>
      </c>
      <c r="I41" s="29">
        <f t="shared" si="0"/>
        <v>0</v>
      </c>
    </row>
    <row r="42" spans="2:9" ht="27" customHeight="1" x14ac:dyDescent="0.35">
      <c r="B42" s="44">
        <v>41</v>
      </c>
      <c r="C42" s="28" t="s">
        <v>295</v>
      </c>
      <c r="D42" s="6" t="s">
        <v>135</v>
      </c>
      <c r="E42" s="13">
        <v>1</v>
      </c>
      <c r="F42" s="10">
        <v>457</v>
      </c>
      <c r="G42" s="31">
        <v>3422</v>
      </c>
      <c r="H42" s="18">
        <f>VLOOKUP(C42,'Рабочий лист_Бычков'!B:J,9,0)</f>
        <v>30</v>
      </c>
      <c r="I42" s="29">
        <f t="shared" si="0"/>
        <v>30</v>
      </c>
    </row>
    <row r="43" spans="2:9" ht="27" hidden="1" customHeight="1" x14ac:dyDescent="0.35">
      <c r="B43" s="44">
        <v>42</v>
      </c>
      <c r="C43" s="28" t="s">
        <v>296</v>
      </c>
      <c r="D43" s="6" t="s">
        <v>8</v>
      </c>
      <c r="E43" s="13">
        <v>0.35</v>
      </c>
      <c r="F43" s="10">
        <v>115</v>
      </c>
      <c r="G43" s="31">
        <v>2538</v>
      </c>
      <c r="H43" s="18">
        <f>VLOOKUP(C43,'Рабочий лист_Бычков'!B:J,9,0)</f>
        <v>0</v>
      </c>
      <c r="I43" s="29">
        <f t="shared" si="0"/>
        <v>0</v>
      </c>
    </row>
    <row r="44" spans="2:9" ht="27" hidden="1" customHeight="1" x14ac:dyDescent="0.35">
      <c r="B44" s="44">
        <v>43</v>
      </c>
      <c r="C44" s="28" t="s">
        <v>276</v>
      </c>
      <c r="D44" s="6" t="s">
        <v>81</v>
      </c>
      <c r="E44" s="13">
        <v>1</v>
      </c>
      <c r="F44" s="10">
        <v>267</v>
      </c>
      <c r="G44" s="31">
        <v>2614</v>
      </c>
      <c r="H44" s="18">
        <f>VLOOKUP(C44,'Рабочий лист_Бычков'!B:J,9,0)</f>
        <v>0</v>
      </c>
      <c r="I44" s="29">
        <f t="shared" si="0"/>
        <v>0</v>
      </c>
    </row>
    <row r="45" spans="2:9" ht="27" customHeight="1" x14ac:dyDescent="0.35">
      <c r="B45" s="44">
        <v>44</v>
      </c>
      <c r="C45" s="28" t="s">
        <v>297</v>
      </c>
      <c r="D45" s="6" t="s">
        <v>18</v>
      </c>
      <c r="E45" s="13">
        <v>1</v>
      </c>
      <c r="F45" s="10">
        <v>250</v>
      </c>
      <c r="G45" s="31">
        <v>227</v>
      </c>
      <c r="H45" s="18">
        <f>VLOOKUP(C45,'Рабочий лист_Бычков'!B:J,9,0)</f>
        <v>25</v>
      </c>
      <c r="I45" s="29">
        <f t="shared" si="0"/>
        <v>25</v>
      </c>
    </row>
    <row r="46" spans="2:9" ht="27" hidden="1" customHeight="1" x14ac:dyDescent="0.35">
      <c r="B46" s="44">
        <v>45</v>
      </c>
      <c r="C46" s="28" t="s">
        <v>227</v>
      </c>
      <c r="D46" s="6" t="s">
        <v>39</v>
      </c>
      <c r="E46" s="13">
        <v>1</v>
      </c>
      <c r="F46" s="12">
        <v>243</v>
      </c>
      <c r="G46" s="31">
        <v>1820</v>
      </c>
      <c r="H46" s="18">
        <f>VLOOKUP(C46,'Рабочий лист_Бычков'!B:J,9,0)</f>
        <v>0</v>
      </c>
      <c r="I46" s="29">
        <f t="shared" si="0"/>
        <v>0</v>
      </c>
    </row>
    <row r="47" spans="2:9" ht="27" customHeight="1" x14ac:dyDescent="0.35">
      <c r="B47" s="44">
        <v>46</v>
      </c>
      <c r="C47" s="28" t="s">
        <v>218</v>
      </c>
      <c r="D47" s="6" t="s">
        <v>32</v>
      </c>
      <c r="E47" s="13">
        <v>1</v>
      </c>
      <c r="F47" s="11">
        <v>244</v>
      </c>
      <c r="G47" s="31">
        <v>1822</v>
      </c>
      <c r="H47" s="18">
        <f>VLOOKUP(C47,'Рабочий лист_Бычков'!B:J,9,0)</f>
        <v>40</v>
      </c>
      <c r="I47" s="29">
        <f t="shared" si="0"/>
        <v>40</v>
      </c>
    </row>
    <row r="48" spans="2:9" ht="27" hidden="1" customHeight="1" x14ac:dyDescent="0.35">
      <c r="B48" s="44">
        <v>47</v>
      </c>
      <c r="C48" s="28" t="s">
        <v>298</v>
      </c>
      <c r="D48" s="6" t="s">
        <v>73</v>
      </c>
      <c r="E48" s="13">
        <v>1</v>
      </c>
      <c r="F48" s="10">
        <v>317</v>
      </c>
      <c r="G48" s="31">
        <v>2809</v>
      </c>
      <c r="H48" s="18">
        <f>VLOOKUP(C48,'Рабочий лист_Бычков'!B:J,9,0)</f>
        <v>0</v>
      </c>
      <c r="I48" s="29">
        <f t="shared" si="0"/>
        <v>0</v>
      </c>
    </row>
    <row r="49" spans="2:9" ht="27" hidden="1" customHeight="1" x14ac:dyDescent="0.35">
      <c r="B49" s="44">
        <v>48</v>
      </c>
      <c r="C49" s="28" t="s">
        <v>249</v>
      </c>
      <c r="D49" s="6" t="s">
        <v>13</v>
      </c>
      <c r="E49" s="13">
        <v>1</v>
      </c>
      <c r="F49" s="10">
        <v>12</v>
      </c>
      <c r="G49" s="31">
        <v>97</v>
      </c>
      <c r="H49" s="18">
        <f>VLOOKUP(C49,'Рабочий лист_Бычков'!B:J,9,0)</f>
        <v>0</v>
      </c>
      <c r="I49" s="29">
        <f t="shared" si="0"/>
        <v>0</v>
      </c>
    </row>
    <row r="50" spans="2:9" ht="27" hidden="1" customHeight="1" x14ac:dyDescent="0.35">
      <c r="B50" s="44">
        <v>49</v>
      </c>
      <c r="C50" s="28" t="s">
        <v>242</v>
      </c>
      <c r="D50" s="6" t="s">
        <v>14</v>
      </c>
      <c r="E50" s="13">
        <v>0.35</v>
      </c>
      <c r="F50" s="10">
        <v>272</v>
      </c>
      <c r="G50" s="31">
        <v>2617</v>
      </c>
      <c r="H50" s="18">
        <f>VLOOKUP(C50,'Рабочий лист_Бычков'!B:J,9,0)</f>
        <v>0</v>
      </c>
      <c r="I50" s="29">
        <f t="shared" si="0"/>
        <v>0</v>
      </c>
    </row>
    <row r="51" spans="2:9" ht="27" hidden="1" customHeight="1" x14ac:dyDescent="0.35">
      <c r="B51" s="44">
        <v>50</v>
      </c>
      <c r="C51" s="28" t="s">
        <v>299</v>
      </c>
      <c r="D51" s="6" t="s">
        <v>22</v>
      </c>
      <c r="E51" s="13">
        <v>0.35</v>
      </c>
      <c r="F51" s="10">
        <v>117</v>
      </c>
      <c r="G51" s="31">
        <v>2602</v>
      </c>
      <c r="H51" s="18">
        <f>VLOOKUP(C51,'Рабочий лист_Бычков'!B:J,9,0)</f>
        <v>0</v>
      </c>
      <c r="I51" s="29">
        <f t="shared" si="0"/>
        <v>0</v>
      </c>
    </row>
    <row r="52" spans="2:9" ht="27" hidden="1" customHeight="1" x14ac:dyDescent="0.35">
      <c r="B52" s="44">
        <v>51</v>
      </c>
      <c r="C52" s="28" t="s">
        <v>300</v>
      </c>
      <c r="D52" s="6" t="s">
        <v>51</v>
      </c>
      <c r="E52" s="13">
        <v>0.35</v>
      </c>
      <c r="F52" s="10">
        <v>361</v>
      </c>
      <c r="G52" s="31">
        <v>2603</v>
      </c>
      <c r="H52" s="18">
        <f>VLOOKUP(C52,'Рабочий лист_Бычков'!B:J,9,0)</f>
        <v>0</v>
      </c>
      <c r="I52" s="29">
        <f t="shared" si="0"/>
        <v>0</v>
      </c>
    </row>
    <row r="53" spans="2:9" ht="27" hidden="1" customHeight="1" x14ac:dyDescent="0.35">
      <c r="B53" s="44">
        <v>52</v>
      </c>
      <c r="C53" s="28" t="s">
        <v>301</v>
      </c>
      <c r="D53" s="6" t="s">
        <v>23</v>
      </c>
      <c r="E53" s="13">
        <v>0.35</v>
      </c>
      <c r="F53" s="10">
        <v>118</v>
      </c>
      <c r="G53" s="31">
        <v>2606</v>
      </c>
      <c r="H53" s="18">
        <f>VLOOKUP(C53,'Рабочий лист_Бычков'!B:J,9,0)</f>
        <v>0</v>
      </c>
      <c r="I53" s="29">
        <f t="shared" si="0"/>
        <v>0</v>
      </c>
    </row>
    <row r="54" spans="2:9" ht="27" hidden="1" customHeight="1" x14ac:dyDescent="0.35">
      <c r="B54" s="44">
        <v>53</v>
      </c>
      <c r="C54" s="28" t="s">
        <v>243</v>
      </c>
      <c r="D54" s="6" t="s">
        <v>86</v>
      </c>
      <c r="E54" s="14">
        <v>1</v>
      </c>
      <c r="F54" s="10">
        <v>335</v>
      </c>
      <c r="G54" s="31">
        <v>2928</v>
      </c>
      <c r="H54" s="18">
        <f>VLOOKUP(C54,'Рабочий лист_Бычков'!B:J,9,0)</f>
        <v>0</v>
      </c>
      <c r="I54" s="29">
        <f t="shared" si="0"/>
        <v>0</v>
      </c>
    </row>
    <row r="55" spans="2:9" ht="27" hidden="1" customHeight="1" x14ac:dyDescent="0.35">
      <c r="B55" s="44">
        <v>54</v>
      </c>
      <c r="C55" s="28" t="s">
        <v>302</v>
      </c>
      <c r="D55" s="6" t="s">
        <v>60</v>
      </c>
      <c r="E55" s="17">
        <v>0.375</v>
      </c>
      <c r="F55" s="10">
        <v>298</v>
      </c>
      <c r="G55" s="31">
        <v>2733</v>
      </c>
      <c r="H55" s="18">
        <f>VLOOKUP(C55,'Рабочий лист_Бычков'!B:J,9,0)</f>
        <v>0</v>
      </c>
      <c r="I55" s="29">
        <f t="shared" si="0"/>
        <v>0</v>
      </c>
    </row>
    <row r="56" spans="2:9" ht="27" customHeight="1" x14ac:dyDescent="0.35">
      <c r="B56" s="44">
        <v>55</v>
      </c>
      <c r="C56" s="28" t="s">
        <v>303</v>
      </c>
      <c r="D56" s="6" t="s">
        <v>31</v>
      </c>
      <c r="E56" s="13">
        <v>1</v>
      </c>
      <c r="F56" s="10">
        <v>253</v>
      </c>
      <c r="G56" s="31">
        <v>1340</v>
      </c>
      <c r="H56" s="18">
        <f>VLOOKUP(C56,'Рабочий лист_Бычков'!B:J,9,0)</f>
        <v>150</v>
      </c>
      <c r="I56" s="29">
        <f t="shared" si="0"/>
        <v>150</v>
      </c>
    </row>
    <row r="57" spans="2:9" ht="27" hidden="1" customHeight="1" x14ac:dyDescent="0.35">
      <c r="B57" s="44">
        <v>56</v>
      </c>
      <c r="C57" s="28" t="s">
        <v>245</v>
      </c>
      <c r="D57" s="6" t="s">
        <v>124</v>
      </c>
      <c r="E57" s="13">
        <v>0.5</v>
      </c>
      <c r="F57" s="10">
        <v>466</v>
      </c>
      <c r="G57" s="31">
        <v>3333</v>
      </c>
      <c r="H57" s="18">
        <f>VLOOKUP(C57,'Рабочий лист_Бычков'!B:J,9,0)</f>
        <v>0</v>
      </c>
      <c r="I57" s="29">
        <f t="shared" si="0"/>
        <v>0</v>
      </c>
    </row>
    <row r="58" spans="2:9" ht="27" hidden="1" customHeight="1" x14ac:dyDescent="0.35">
      <c r="B58" s="44">
        <v>57</v>
      </c>
      <c r="C58" s="28" t="s">
        <v>250</v>
      </c>
      <c r="D58" s="6" t="s">
        <v>75</v>
      </c>
      <c r="E58" s="13">
        <v>1</v>
      </c>
      <c r="F58" s="10">
        <v>318</v>
      </c>
      <c r="G58" s="31">
        <v>2655</v>
      </c>
      <c r="H58" s="18">
        <f>VLOOKUP(C58,'Рабочий лист_Бычков'!B:J,9,0)</f>
        <v>0</v>
      </c>
      <c r="I58" s="29">
        <f t="shared" si="0"/>
        <v>0</v>
      </c>
    </row>
    <row r="59" spans="2:9" ht="27" customHeight="1" x14ac:dyDescent="0.35">
      <c r="B59" s="44">
        <v>58</v>
      </c>
      <c r="C59" s="28" t="s">
        <v>304</v>
      </c>
      <c r="D59" s="6" t="s">
        <v>30</v>
      </c>
      <c r="E59" s="13">
        <v>1</v>
      </c>
      <c r="F59" s="10">
        <v>16</v>
      </c>
      <c r="G59" s="31">
        <v>1523</v>
      </c>
      <c r="H59" s="18">
        <f>VLOOKUP(C59,'Рабочий лист_Бычков'!B:J,9,0)</f>
        <v>10</v>
      </c>
      <c r="I59" s="29">
        <f t="shared" si="0"/>
        <v>10</v>
      </c>
    </row>
    <row r="60" spans="2:9" ht="27" hidden="1" customHeight="1" x14ac:dyDescent="0.35">
      <c r="B60" s="44">
        <v>59</v>
      </c>
      <c r="C60" s="28" t="s">
        <v>246</v>
      </c>
      <c r="D60" s="6" t="s">
        <v>43</v>
      </c>
      <c r="E60" s="13">
        <v>0.45</v>
      </c>
      <c r="F60" s="10">
        <v>30</v>
      </c>
      <c r="G60" s="31">
        <v>1718</v>
      </c>
      <c r="H60" s="18">
        <f>VLOOKUP(C60,'Рабочий лист_Бычков'!B:J,9,0)</f>
        <v>0</v>
      </c>
      <c r="I60" s="29">
        <f t="shared" si="0"/>
        <v>0</v>
      </c>
    </row>
    <row r="61" spans="2:9" ht="27" hidden="1" customHeight="1" x14ac:dyDescent="0.35">
      <c r="B61" s="44">
        <v>60</v>
      </c>
      <c r="C61" s="28" t="s">
        <v>305</v>
      </c>
      <c r="D61" s="6" t="s">
        <v>34</v>
      </c>
      <c r="E61" s="13">
        <v>0.45</v>
      </c>
      <c r="F61" s="10">
        <v>32</v>
      </c>
      <c r="G61" s="31">
        <v>1720</v>
      </c>
      <c r="H61" s="18">
        <f>VLOOKUP(C61,'Рабочий лист_Бычков'!B:J,9,0)</f>
        <v>0</v>
      </c>
      <c r="I61" s="29">
        <f t="shared" si="0"/>
        <v>0</v>
      </c>
    </row>
    <row r="62" spans="2:9" ht="27" customHeight="1" x14ac:dyDescent="0.35">
      <c r="B62" s="44">
        <v>61</v>
      </c>
      <c r="C62" s="28" t="s">
        <v>231</v>
      </c>
      <c r="D62" s="6" t="s">
        <v>29</v>
      </c>
      <c r="E62" s="13">
        <v>1</v>
      </c>
      <c r="F62" s="10">
        <v>17</v>
      </c>
      <c r="G62" s="31">
        <v>1721</v>
      </c>
      <c r="H62" s="18">
        <f>VLOOKUP(C62,'Рабочий лист_Бычков'!B:J,9,0)</f>
        <v>15</v>
      </c>
      <c r="I62" s="29">
        <f t="shared" si="0"/>
        <v>15</v>
      </c>
    </row>
    <row r="63" spans="2:9" ht="27" hidden="1" customHeight="1" x14ac:dyDescent="0.35">
      <c r="B63" s="44">
        <v>62</v>
      </c>
      <c r="C63" s="28" t="s">
        <v>247</v>
      </c>
      <c r="D63" s="6" t="s">
        <v>94</v>
      </c>
      <c r="E63" s="13">
        <v>0.4</v>
      </c>
      <c r="F63" s="10">
        <v>342</v>
      </c>
      <c r="G63" s="31">
        <v>2842</v>
      </c>
      <c r="H63" s="18">
        <f>VLOOKUP(C63,'Рабочий лист_Бычков'!B:J,9,0)</f>
        <v>0</v>
      </c>
      <c r="I63" s="29">
        <f t="shared" si="0"/>
        <v>0</v>
      </c>
    </row>
    <row r="64" spans="2:9" ht="27" hidden="1" customHeight="1" x14ac:dyDescent="0.35">
      <c r="B64" s="44">
        <v>63</v>
      </c>
      <c r="C64" s="28" t="s">
        <v>306</v>
      </c>
      <c r="D64" s="6" t="s">
        <v>49</v>
      </c>
      <c r="E64" s="13">
        <v>0.4</v>
      </c>
      <c r="F64" s="10">
        <v>273</v>
      </c>
      <c r="G64" s="31">
        <v>2618</v>
      </c>
      <c r="H64" s="18">
        <f>VLOOKUP(C64,'Рабочий лист_Бычков'!B:J,9,0)</f>
        <v>0</v>
      </c>
      <c r="I64" s="29">
        <f t="shared" si="0"/>
        <v>0</v>
      </c>
    </row>
    <row r="65" spans="2:9" ht="27" hidden="1" customHeight="1" x14ac:dyDescent="0.35">
      <c r="B65" s="44">
        <v>64</v>
      </c>
      <c r="C65" s="28" t="s">
        <v>307</v>
      </c>
      <c r="D65" s="6" t="s">
        <v>48</v>
      </c>
      <c r="E65" s="13">
        <v>0.4</v>
      </c>
      <c r="F65" s="10">
        <v>278</v>
      </c>
      <c r="G65" s="31">
        <v>2621</v>
      </c>
      <c r="H65" s="18">
        <f>VLOOKUP(C65,'Рабочий лист_Бычков'!B:J,9,0)</f>
        <v>0</v>
      </c>
      <c r="I65" s="29">
        <f t="shared" si="0"/>
        <v>0</v>
      </c>
    </row>
    <row r="66" spans="2:9" ht="27" hidden="1" customHeight="1" x14ac:dyDescent="0.35">
      <c r="B66" s="44">
        <v>65</v>
      </c>
      <c r="C66" s="28" t="s">
        <v>251</v>
      </c>
      <c r="D66" s="6" t="s">
        <v>97</v>
      </c>
      <c r="E66" s="13">
        <v>0.4</v>
      </c>
      <c r="F66" s="10">
        <v>343</v>
      </c>
      <c r="G66" s="31">
        <v>2844</v>
      </c>
      <c r="H66" s="18">
        <f>VLOOKUP(C66,'Рабочий лист_Бычков'!B:J,9,0)</f>
        <v>0</v>
      </c>
      <c r="I66" s="29">
        <f t="shared" ref="I66:I129" si="1">H66*E66</f>
        <v>0</v>
      </c>
    </row>
    <row r="67" spans="2:9" ht="27" customHeight="1" x14ac:dyDescent="0.35">
      <c r="B67" s="44">
        <v>66</v>
      </c>
      <c r="C67" s="45" t="s">
        <v>308</v>
      </c>
      <c r="D67" s="6" t="s">
        <v>147</v>
      </c>
      <c r="E67" s="13">
        <v>0.3</v>
      </c>
      <c r="F67" s="10">
        <v>489</v>
      </c>
      <c r="G67" s="31">
        <v>3288</v>
      </c>
      <c r="H67" s="18">
        <f>VLOOKUP(C67,'Рабочий лист_Бычков'!B:J,9,0)</f>
        <v>15</v>
      </c>
      <c r="I67" s="29">
        <f t="shared" si="1"/>
        <v>4.5</v>
      </c>
    </row>
    <row r="68" spans="2:9" ht="27" hidden="1" customHeight="1" x14ac:dyDescent="0.35">
      <c r="B68" s="44">
        <v>67</v>
      </c>
      <c r="C68" s="28" t="s">
        <v>309</v>
      </c>
      <c r="D68" s="6" t="s">
        <v>89</v>
      </c>
      <c r="E68" s="14">
        <v>1</v>
      </c>
      <c r="F68" s="10">
        <v>346</v>
      </c>
      <c r="G68" s="31">
        <v>2945</v>
      </c>
      <c r="H68" s="18">
        <f>VLOOKUP(C68,'Рабочий лист_Бычков'!B:J,9,0)</f>
        <v>0</v>
      </c>
      <c r="I68" s="29">
        <f t="shared" si="1"/>
        <v>0</v>
      </c>
    </row>
    <row r="69" spans="2:9" ht="27" hidden="1" customHeight="1" x14ac:dyDescent="0.35">
      <c r="B69" s="44">
        <v>68</v>
      </c>
      <c r="C69" s="28" t="s">
        <v>310</v>
      </c>
      <c r="D69" s="6" t="s">
        <v>87</v>
      </c>
      <c r="E69" s="14">
        <v>1</v>
      </c>
      <c r="F69" s="10">
        <v>344</v>
      </c>
      <c r="G69" s="31">
        <v>2941</v>
      </c>
      <c r="H69" s="18">
        <f>VLOOKUP(C69,'Рабочий лист_Бычков'!B:J,9,0)</f>
        <v>0</v>
      </c>
      <c r="I69" s="29">
        <f t="shared" si="1"/>
        <v>0</v>
      </c>
    </row>
    <row r="70" spans="2:9" ht="27" hidden="1" customHeight="1" x14ac:dyDescent="0.35">
      <c r="B70" s="44">
        <v>69</v>
      </c>
      <c r="C70" s="28" t="s">
        <v>311</v>
      </c>
      <c r="D70" s="6" t="s">
        <v>88</v>
      </c>
      <c r="E70" s="14">
        <v>1</v>
      </c>
      <c r="F70" s="10">
        <v>345</v>
      </c>
      <c r="G70" s="31">
        <v>2943</v>
      </c>
      <c r="H70" s="18">
        <f>VLOOKUP(C70,'Рабочий лист_Бычков'!B:J,9,0)</f>
        <v>0</v>
      </c>
      <c r="I70" s="29">
        <f t="shared" si="1"/>
        <v>0</v>
      </c>
    </row>
    <row r="71" spans="2:9" ht="27" hidden="1" customHeight="1" x14ac:dyDescent="0.35">
      <c r="B71" s="44">
        <v>70</v>
      </c>
      <c r="C71" s="28" t="s">
        <v>312</v>
      </c>
      <c r="D71" s="6" t="s">
        <v>90</v>
      </c>
      <c r="E71" s="14">
        <v>1</v>
      </c>
      <c r="F71" s="10">
        <v>347</v>
      </c>
      <c r="G71" s="31">
        <v>2947</v>
      </c>
      <c r="H71" s="18">
        <f>VLOOKUP(C71,'Рабочий лист_Бычков'!B:J,9,0)</f>
        <v>0</v>
      </c>
      <c r="I71" s="29">
        <f t="shared" si="1"/>
        <v>0</v>
      </c>
    </row>
    <row r="72" spans="2:9" ht="27" customHeight="1" x14ac:dyDescent="0.35">
      <c r="B72" s="44">
        <v>71</v>
      </c>
      <c r="C72" s="28" t="s">
        <v>226</v>
      </c>
      <c r="D72" s="6" t="s">
        <v>317</v>
      </c>
      <c r="E72" s="13">
        <v>1</v>
      </c>
      <c r="F72" s="10">
        <v>567</v>
      </c>
      <c r="G72" s="31">
        <v>4007</v>
      </c>
      <c r="H72" s="18">
        <f>VLOOKUP(C72,'Рабочий лист_Бычков'!B:J,9,0)</f>
        <v>30</v>
      </c>
      <c r="I72" s="29">
        <f t="shared" si="1"/>
        <v>30</v>
      </c>
    </row>
    <row r="73" spans="2:9" ht="27" hidden="1" customHeight="1" x14ac:dyDescent="0.35">
      <c r="B73" s="44">
        <v>72</v>
      </c>
      <c r="C73" s="28" t="s">
        <v>313</v>
      </c>
      <c r="D73" s="6" t="s">
        <v>131</v>
      </c>
      <c r="E73" s="13">
        <v>0.4</v>
      </c>
      <c r="F73" s="10">
        <v>484</v>
      </c>
      <c r="G73" s="31">
        <v>3388</v>
      </c>
      <c r="H73" s="18">
        <f>VLOOKUP(C73,'Рабочий лист_Бычков'!B:J,9,0)</f>
        <v>0</v>
      </c>
      <c r="I73" s="29">
        <f t="shared" si="1"/>
        <v>0</v>
      </c>
    </row>
    <row r="74" spans="2:9" ht="27" customHeight="1" x14ac:dyDescent="0.35">
      <c r="B74" s="44">
        <v>73</v>
      </c>
      <c r="C74" s="28" t="s">
        <v>222</v>
      </c>
      <c r="D74" s="6" t="s">
        <v>125</v>
      </c>
      <c r="E74" s="13">
        <v>1</v>
      </c>
      <c r="F74" s="10">
        <v>469</v>
      </c>
      <c r="G74" s="31">
        <v>3387</v>
      </c>
      <c r="H74" s="18">
        <f>VLOOKUP(C74,'Рабочий лист_Бычков'!B:J,9,0)</f>
        <v>30</v>
      </c>
      <c r="I74" s="29">
        <f t="shared" si="1"/>
        <v>30</v>
      </c>
    </row>
    <row r="75" spans="2:9" ht="27" hidden="1" customHeight="1" x14ac:dyDescent="0.35">
      <c r="B75" s="44">
        <v>74</v>
      </c>
      <c r="C75" s="28" t="s">
        <v>241</v>
      </c>
      <c r="D75" s="6" t="s">
        <v>316</v>
      </c>
      <c r="E75" s="13">
        <v>1</v>
      </c>
      <c r="F75" s="10">
        <v>566</v>
      </c>
      <c r="G75" s="31">
        <v>4008</v>
      </c>
      <c r="H75" s="18">
        <f>VLOOKUP(C75,'Рабочий лист_Бычков'!B:J,9,0)</f>
        <v>0</v>
      </c>
      <c r="I75" s="29">
        <f t="shared" si="1"/>
        <v>0</v>
      </c>
    </row>
    <row r="76" spans="2:9" ht="27" hidden="1" customHeight="1" x14ac:dyDescent="0.35">
      <c r="B76" s="44">
        <v>75</v>
      </c>
      <c r="C76" s="28" t="s">
        <v>277</v>
      </c>
      <c r="D76" s="6" t="s">
        <v>52</v>
      </c>
      <c r="E76" s="13">
        <v>1</v>
      </c>
      <c r="F76" s="10">
        <v>362</v>
      </c>
      <c r="G76" s="31">
        <v>2615</v>
      </c>
      <c r="H76" s="18">
        <f>VLOOKUP(C76,'Рабочий лист_Бычков'!B:J,9,0)</f>
        <v>0</v>
      </c>
      <c r="I76" s="29">
        <f t="shared" si="1"/>
        <v>0</v>
      </c>
    </row>
    <row r="77" spans="2:9" ht="27" hidden="1" customHeight="1" x14ac:dyDescent="0.35">
      <c r="B77" s="44">
        <v>76</v>
      </c>
      <c r="C77" s="28" t="s">
        <v>278</v>
      </c>
      <c r="D77" s="6" t="s">
        <v>38</v>
      </c>
      <c r="E77" s="13">
        <v>1</v>
      </c>
      <c r="F77" s="12">
        <v>266</v>
      </c>
      <c r="G77" s="31">
        <v>2613</v>
      </c>
      <c r="H77" s="18">
        <f>VLOOKUP(C77,'Рабочий лист_Бычков'!B:J,9,0)</f>
        <v>0</v>
      </c>
      <c r="I77" s="29">
        <f t="shared" si="1"/>
        <v>0</v>
      </c>
    </row>
    <row r="78" spans="2:9" ht="27" customHeight="1" x14ac:dyDescent="0.35">
      <c r="B78" s="44">
        <v>77</v>
      </c>
      <c r="C78" s="28" t="s">
        <v>314</v>
      </c>
      <c r="D78" s="6" t="s">
        <v>16</v>
      </c>
      <c r="E78" s="13">
        <v>0.17</v>
      </c>
      <c r="F78" s="10">
        <v>83</v>
      </c>
      <c r="G78" s="31">
        <v>1869</v>
      </c>
      <c r="H78" s="18">
        <f>VLOOKUP(C78,'Рабочий лист_Бычков'!B:J,9,0)</f>
        <v>15</v>
      </c>
      <c r="I78" s="29">
        <f t="shared" si="1"/>
        <v>2.5500000000000003</v>
      </c>
    </row>
    <row r="79" spans="2:9" ht="27" customHeight="1" x14ac:dyDescent="0.35">
      <c r="B79" s="44">
        <v>78</v>
      </c>
      <c r="C79" s="28" t="s">
        <v>248</v>
      </c>
      <c r="D79" s="6" t="s">
        <v>24</v>
      </c>
      <c r="E79" s="13">
        <v>1</v>
      </c>
      <c r="F79" s="10">
        <v>263</v>
      </c>
      <c r="G79" s="31">
        <v>1430</v>
      </c>
      <c r="H79" s="18">
        <f>VLOOKUP(C79,'Рабочий лист_Бычков'!B:J,9,0)</f>
        <v>15</v>
      </c>
      <c r="I79" s="29">
        <f t="shared" si="1"/>
        <v>15</v>
      </c>
    </row>
    <row r="80" spans="2:9" ht="27" hidden="1" customHeight="1" x14ac:dyDescent="0.35">
      <c r="B80" s="44"/>
      <c r="C80" s="28"/>
      <c r="D80" s="6" t="s">
        <v>214</v>
      </c>
      <c r="E80" s="13">
        <v>0.3</v>
      </c>
      <c r="F80" s="10">
        <v>561</v>
      </c>
      <c r="G80" s="31">
        <v>3814</v>
      </c>
      <c r="H80" s="18"/>
      <c r="I80" s="29">
        <f t="shared" si="1"/>
        <v>0</v>
      </c>
    </row>
    <row r="81" spans="2:9" ht="27" hidden="1" customHeight="1" x14ac:dyDescent="0.35">
      <c r="B81" s="44"/>
      <c r="C81" s="28"/>
      <c r="D81" s="6" t="s">
        <v>212</v>
      </c>
      <c r="E81" s="13">
        <v>0.08</v>
      </c>
      <c r="F81" s="10">
        <v>553</v>
      </c>
      <c r="G81" s="31">
        <v>4026</v>
      </c>
      <c r="H81" s="18"/>
      <c r="I81" s="29">
        <f t="shared" si="1"/>
        <v>0</v>
      </c>
    </row>
    <row r="82" spans="2:9" ht="27" hidden="1" customHeight="1" x14ac:dyDescent="0.35">
      <c r="B82" s="44"/>
      <c r="C82" s="28"/>
      <c r="D82" s="6" t="s">
        <v>213</v>
      </c>
      <c r="E82" s="13">
        <v>0.08</v>
      </c>
      <c r="F82" s="10">
        <v>554</v>
      </c>
      <c r="G82" s="31">
        <v>3178</v>
      </c>
      <c r="H82" s="18"/>
      <c r="I82" s="29">
        <f t="shared" si="1"/>
        <v>0</v>
      </c>
    </row>
    <row r="83" spans="2:9" ht="27" hidden="1" customHeight="1" x14ac:dyDescent="0.35">
      <c r="B83" s="44"/>
      <c r="C83" s="28"/>
      <c r="D83" s="6" t="s">
        <v>209</v>
      </c>
      <c r="E83" s="13">
        <v>1</v>
      </c>
      <c r="F83" s="10">
        <v>556</v>
      </c>
      <c r="G83" s="31">
        <v>4044</v>
      </c>
      <c r="H83" s="18"/>
      <c r="I83" s="29">
        <f t="shared" si="1"/>
        <v>0</v>
      </c>
    </row>
    <row r="84" spans="2:9" ht="27" hidden="1" customHeight="1" x14ac:dyDescent="0.35">
      <c r="B84" s="44"/>
      <c r="C84" s="28"/>
      <c r="D84" s="6" t="s">
        <v>210</v>
      </c>
      <c r="E84" s="13">
        <v>1</v>
      </c>
      <c r="F84" s="10">
        <v>557</v>
      </c>
      <c r="G84" s="31">
        <v>4047</v>
      </c>
      <c r="H84" s="18"/>
      <c r="I84" s="29">
        <f t="shared" si="1"/>
        <v>0</v>
      </c>
    </row>
    <row r="85" spans="2:9" ht="27" hidden="1" customHeight="1" x14ac:dyDescent="0.35">
      <c r="B85" s="44"/>
      <c r="C85" s="28"/>
      <c r="D85" s="6" t="s">
        <v>211</v>
      </c>
      <c r="E85" s="13">
        <v>0.3</v>
      </c>
      <c r="F85" s="10">
        <v>559</v>
      </c>
      <c r="G85" s="31">
        <v>4086</v>
      </c>
      <c r="H85" s="18"/>
      <c r="I85" s="29">
        <f t="shared" si="1"/>
        <v>0</v>
      </c>
    </row>
    <row r="86" spans="2:9" ht="27" hidden="1" customHeight="1" x14ac:dyDescent="0.35">
      <c r="B86" s="44"/>
      <c r="C86" s="28"/>
      <c r="D86" s="6" t="s">
        <v>207</v>
      </c>
      <c r="E86" s="13">
        <v>0.3</v>
      </c>
      <c r="F86" s="10">
        <v>550</v>
      </c>
      <c r="G86" s="31">
        <v>3997</v>
      </c>
      <c r="H86" s="18"/>
      <c r="I86" s="29">
        <f t="shared" si="1"/>
        <v>0</v>
      </c>
    </row>
    <row r="87" spans="2:9" ht="27" hidden="1" customHeight="1" x14ac:dyDescent="0.35">
      <c r="B87" s="44"/>
      <c r="C87" s="28"/>
      <c r="D87" s="6" t="s">
        <v>204</v>
      </c>
      <c r="E87" s="13">
        <v>0.17</v>
      </c>
      <c r="F87" s="10">
        <v>555</v>
      </c>
      <c r="G87" s="31">
        <v>2354</v>
      </c>
      <c r="H87" s="18"/>
      <c r="I87" s="29">
        <f t="shared" si="1"/>
        <v>0</v>
      </c>
    </row>
    <row r="88" spans="2:9" ht="27" hidden="1" customHeight="1" x14ac:dyDescent="0.35">
      <c r="B88" s="44"/>
      <c r="C88" s="28"/>
      <c r="D88" s="6" t="s">
        <v>205</v>
      </c>
      <c r="E88" s="13">
        <v>0.4</v>
      </c>
      <c r="F88" s="10">
        <v>538</v>
      </c>
      <c r="G88" s="31">
        <v>3786</v>
      </c>
      <c r="H88" s="18"/>
      <c r="I88" s="29">
        <f t="shared" si="1"/>
        <v>0</v>
      </c>
    </row>
    <row r="89" spans="2:9" ht="27" hidden="1" customHeight="1" x14ac:dyDescent="0.35">
      <c r="B89" s="44"/>
      <c r="C89" s="28"/>
      <c r="D89" s="6" t="s">
        <v>206</v>
      </c>
      <c r="E89" s="13">
        <v>1</v>
      </c>
      <c r="F89" s="10">
        <v>547</v>
      </c>
      <c r="G89" s="31">
        <v>4028</v>
      </c>
      <c r="H89" s="18"/>
      <c r="I89" s="29">
        <f t="shared" si="1"/>
        <v>0</v>
      </c>
    </row>
    <row r="90" spans="2:9" ht="27" hidden="1" customHeight="1" x14ac:dyDescent="0.35">
      <c r="B90" s="44"/>
      <c r="C90" s="28"/>
      <c r="D90" s="6" t="s">
        <v>198</v>
      </c>
      <c r="E90" s="13">
        <v>0.3</v>
      </c>
      <c r="F90" s="10">
        <v>516</v>
      </c>
      <c r="G90" s="31">
        <v>3664</v>
      </c>
      <c r="H90" s="18"/>
      <c r="I90" s="29">
        <f t="shared" si="1"/>
        <v>0</v>
      </c>
    </row>
    <row r="91" spans="2:9" ht="27" hidden="1" customHeight="1" x14ac:dyDescent="0.35">
      <c r="B91" s="44"/>
      <c r="C91" s="28"/>
      <c r="D91" s="6" t="s">
        <v>199</v>
      </c>
      <c r="E91" s="13">
        <v>0.3</v>
      </c>
      <c r="F91" s="10">
        <v>517</v>
      </c>
      <c r="G91" s="31">
        <v>3665</v>
      </c>
      <c r="H91" s="18"/>
      <c r="I91" s="29">
        <f t="shared" si="1"/>
        <v>0</v>
      </c>
    </row>
    <row r="92" spans="2:9" ht="27" hidden="1" customHeight="1" x14ac:dyDescent="0.35">
      <c r="B92" s="44"/>
      <c r="C92" s="28"/>
      <c r="D92" s="6" t="s">
        <v>200</v>
      </c>
      <c r="E92" s="13">
        <v>7.0000000000000007E-2</v>
      </c>
      <c r="F92" s="10">
        <v>520</v>
      </c>
      <c r="G92" s="31">
        <v>3895</v>
      </c>
      <c r="H92" s="18"/>
      <c r="I92" s="29">
        <f t="shared" si="1"/>
        <v>0</v>
      </c>
    </row>
    <row r="93" spans="2:9" ht="27" hidden="1" customHeight="1" x14ac:dyDescent="0.35">
      <c r="B93" s="44"/>
      <c r="C93" s="28"/>
      <c r="D93" s="6" t="s">
        <v>201</v>
      </c>
      <c r="E93" s="16">
        <v>5.5E-2</v>
      </c>
      <c r="F93" s="10">
        <v>529</v>
      </c>
      <c r="G93" s="31">
        <v>3922</v>
      </c>
      <c r="H93" s="18"/>
      <c r="I93" s="29">
        <f t="shared" si="1"/>
        <v>0</v>
      </c>
    </row>
    <row r="94" spans="2:9" ht="27" hidden="1" customHeight="1" x14ac:dyDescent="0.35">
      <c r="B94" s="44"/>
      <c r="C94" s="28"/>
      <c r="D94" s="6" t="s">
        <v>202</v>
      </c>
      <c r="E94" s="13">
        <v>0.12</v>
      </c>
      <c r="F94" s="10">
        <v>521</v>
      </c>
      <c r="G94" s="31">
        <v>3920</v>
      </c>
      <c r="H94" s="18"/>
      <c r="I94" s="29">
        <f t="shared" si="1"/>
        <v>0</v>
      </c>
    </row>
    <row r="95" spans="2:9" ht="27" hidden="1" customHeight="1" x14ac:dyDescent="0.35">
      <c r="B95" s="44"/>
      <c r="C95" s="28"/>
      <c r="D95" s="6" t="s">
        <v>203</v>
      </c>
      <c r="E95" s="13">
        <v>1</v>
      </c>
      <c r="F95" s="10">
        <v>479</v>
      </c>
      <c r="G95" s="31">
        <v>2971</v>
      </c>
      <c r="H95" s="18"/>
      <c r="I95" s="29">
        <f t="shared" si="1"/>
        <v>0</v>
      </c>
    </row>
    <row r="96" spans="2:9" ht="27" hidden="1" customHeight="1" x14ac:dyDescent="0.35">
      <c r="B96" s="44"/>
      <c r="C96" s="28"/>
      <c r="D96" s="7" t="s">
        <v>177</v>
      </c>
      <c r="E96" s="16">
        <v>5.5E-2</v>
      </c>
      <c r="F96" s="10">
        <v>530</v>
      </c>
      <c r="G96" s="31">
        <v>3923</v>
      </c>
      <c r="H96" s="18"/>
      <c r="I96" s="29">
        <f t="shared" si="1"/>
        <v>0</v>
      </c>
    </row>
    <row r="97" spans="2:9" ht="27" hidden="1" customHeight="1" x14ac:dyDescent="0.35">
      <c r="B97" s="44"/>
      <c r="C97" s="28"/>
      <c r="D97" s="7" t="s">
        <v>178</v>
      </c>
      <c r="E97" s="13">
        <v>0.12</v>
      </c>
      <c r="F97" s="10">
        <v>519</v>
      </c>
      <c r="G97" s="31">
        <v>3921</v>
      </c>
      <c r="H97" s="18"/>
      <c r="I97" s="29">
        <f t="shared" si="1"/>
        <v>0</v>
      </c>
    </row>
    <row r="98" spans="2:9" ht="27" hidden="1" customHeight="1" x14ac:dyDescent="0.35">
      <c r="B98" s="44"/>
      <c r="C98" s="28"/>
      <c r="D98" s="6" t="s">
        <v>179</v>
      </c>
      <c r="E98" s="13">
        <v>0.3</v>
      </c>
      <c r="F98" s="10">
        <v>451</v>
      </c>
      <c r="G98" s="31">
        <v>2825</v>
      </c>
      <c r="H98" s="18"/>
      <c r="I98" s="29">
        <f t="shared" si="1"/>
        <v>0</v>
      </c>
    </row>
    <row r="99" spans="2:9" ht="27" hidden="1" customHeight="1" x14ac:dyDescent="0.35">
      <c r="B99" s="44"/>
      <c r="C99" s="28"/>
      <c r="D99" s="6" t="s">
        <v>180</v>
      </c>
      <c r="E99" s="13">
        <v>0.19</v>
      </c>
      <c r="F99" s="10">
        <v>543</v>
      </c>
      <c r="G99" s="31">
        <v>3188</v>
      </c>
      <c r="H99" s="18"/>
      <c r="I99" s="29">
        <f t="shared" si="1"/>
        <v>0</v>
      </c>
    </row>
    <row r="100" spans="2:9" ht="27" hidden="1" customHeight="1" x14ac:dyDescent="0.35">
      <c r="B100" s="44"/>
      <c r="C100" s="28"/>
      <c r="D100" s="6" t="s">
        <v>181</v>
      </c>
      <c r="E100" s="13">
        <v>0.3</v>
      </c>
      <c r="F100" s="10">
        <v>544</v>
      </c>
      <c r="G100" s="31">
        <v>4016</v>
      </c>
      <c r="H100" s="18"/>
      <c r="I100" s="29">
        <f t="shared" si="1"/>
        <v>0</v>
      </c>
    </row>
    <row r="101" spans="2:9" ht="27" hidden="1" customHeight="1" x14ac:dyDescent="0.35">
      <c r="B101" s="44"/>
      <c r="C101" s="28"/>
      <c r="D101" s="6" t="s">
        <v>182</v>
      </c>
      <c r="E101" s="13">
        <v>0.6</v>
      </c>
      <c r="F101" s="10">
        <v>545</v>
      </c>
      <c r="G101" s="31">
        <v>2635</v>
      </c>
      <c r="H101" s="18"/>
      <c r="I101" s="29">
        <f t="shared" si="1"/>
        <v>0</v>
      </c>
    </row>
    <row r="102" spans="2:9" ht="27" hidden="1" customHeight="1" x14ac:dyDescent="0.35">
      <c r="B102" s="44"/>
      <c r="C102" s="28"/>
      <c r="D102" s="6" t="s">
        <v>183</v>
      </c>
      <c r="E102" s="13">
        <v>0.28000000000000003</v>
      </c>
      <c r="F102" s="10">
        <v>365</v>
      </c>
      <c r="G102" s="31">
        <v>3083</v>
      </c>
      <c r="H102" s="18"/>
      <c r="I102" s="29">
        <f t="shared" si="1"/>
        <v>0</v>
      </c>
    </row>
    <row r="103" spans="2:9" ht="27" hidden="1" customHeight="1" x14ac:dyDescent="0.35">
      <c r="B103" s="44"/>
      <c r="C103" s="28"/>
      <c r="D103" s="6" t="s">
        <v>165</v>
      </c>
      <c r="E103" s="13">
        <v>1</v>
      </c>
      <c r="F103" s="10">
        <v>478</v>
      </c>
      <c r="G103" s="31">
        <v>2970</v>
      </c>
      <c r="H103" s="18"/>
      <c r="I103" s="29">
        <f t="shared" si="1"/>
        <v>0</v>
      </c>
    </row>
    <row r="104" spans="2:9" ht="27" hidden="1" customHeight="1" x14ac:dyDescent="0.35">
      <c r="B104" s="44"/>
      <c r="C104" s="28"/>
      <c r="D104" s="6" t="s">
        <v>164</v>
      </c>
      <c r="E104" s="13">
        <v>0.28000000000000003</v>
      </c>
      <c r="F104" s="10">
        <v>371</v>
      </c>
      <c r="G104" s="31">
        <v>3080</v>
      </c>
      <c r="H104" s="18"/>
      <c r="I104" s="29">
        <f t="shared" si="1"/>
        <v>0</v>
      </c>
    </row>
    <row r="105" spans="2:9" ht="27" hidden="1" customHeight="1" x14ac:dyDescent="0.35">
      <c r="B105" s="44"/>
      <c r="C105" s="28"/>
      <c r="D105" s="6" t="s">
        <v>163</v>
      </c>
      <c r="E105" s="13">
        <v>0.75</v>
      </c>
      <c r="F105" s="10">
        <v>540</v>
      </c>
      <c r="G105" s="31">
        <v>2827</v>
      </c>
      <c r="H105" s="18"/>
      <c r="I105" s="29">
        <f t="shared" si="1"/>
        <v>0</v>
      </c>
    </row>
    <row r="106" spans="2:9" ht="27" hidden="1" customHeight="1" x14ac:dyDescent="0.35">
      <c r="B106" s="44"/>
      <c r="C106" s="28"/>
      <c r="D106" s="6" t="s">
        <v>162</v>
      </c>
      <c r="E106" s="13">
        <v>0.4</v>
      </c>
      <c r="F106" s="10">
        <v>396</v>
      </c>
      <c r="G106" s="31">
        <v>2834</v>
      </c>
      <c r="H106" s="18"/>
      <c r="I106" s="29">
        <f t="shared" si="1"/>
        <v>0</v>
      </c>
    </row>
    <row r="107" spans="2:9" ht="27" hidden="1" customHeight="1" x14ac:dyDescent="0.35">
      <c r="B107" s="44"/>
      <c r="C107" s="28"/>
      <c r="D107" s="6" t="s">
        <v>161</v>
      </c>
      <c r="E107" s="13">
        <v>0.4</v>
      </c>
      <c r="F107" s="10">
        <v>537</v>
      </c>
      <c r="G107" s="31">
        <v>3847</v>
      </c>
      <c r="H107" s="18"/>
      <c r="I107" s="29">
        <f t="shared" si="1"/>
        <v>0</v>
      </c>
    </row>
    <row r="108" spans="2:9" ht="27" hidden="1" customHeight="1" x14ac:dyDescent="0.35">
      <c r="B108" s="44"/>
      <c r="C108" s="28"/>
      <c r="D108" s="6" t="s">
        <v>160</v>
      </c>
      <c r="E108" s="13">
        <v>0.35</v>
      </c>
      <c r="F108" s="10">
        <v>535</v>
      </c>
      <c r="G108" s="31">
        <v>3500</v>
      </c>
      <c r="H108" s="18"/>
      <c r="I108" s="29">
        <f t="shared" si="1"/>
        <v>0</v>
      </c>
    </row>
    <row r="109" spans="2:9" ht="27" hidden="1" customHeight="1" x14ac:dyDescent="0.35">
      <c r="B109" s="44"/>
      <c r="C109" s="28"/>
      <c r="D109" s="6" t="s">
        <v>159</v>
      </c>
      <c r="E109" s="13">
        <v>0.28000000000000003</v>
      </c>
      <c r="F109" s="10">
        <v>534</v>
      </c>
      <c r="G109" s="31">
        <v>2698</v>
      </c>
      <c r="H109" s="18"/>
      <c r="I109" s="29">
        <f t="shared" si="1"/>
        <v>0</v>
      </c>
    </row>
    <row r="110" spans="2:9" ht="27" hidden="1" customHeight="1" x14ac:dyDescent="0.35">
      <c r="B110" s="44"/>
      <c r="C110" s="28"/>
      <c r="D110" s="6" t="s">
        <v>158</v>
      </c>
      <c r="E110" s="13">
        <v>0.33</v>
      </c>
      <c r="F110" s="10">
        <v>505</v>
      </c>
      <c r="G110" s="31">
        <v>3573</v>
      </c>
      <c r="H110" s="18"/>
      <c r="I110" s="29">
        <f t="shared" si="1"/>
        <v>0</v>
      </c>
    </row>
    <row r="111" spans="2:9" ht="27" hidden="1" customHeight="1" x14ac:dyDescent="0.35">
      <c r="B111" s="44"/>
      <c r="C111" s="28"/>
      <c r="D111" s="6" t="s">
        <v>157</v>
      </c>
      <c r="E111" s="13">
        <v>0.3</v>
      </c>
      <c r="F111" s="10">
        <v>515</v>
      </c>
      <c r="G111" s="31">
        <v>3829</v>
      </c>
      <c r="H111" s="18"/>
      <c r="I111" s="29">
        <f t="shared" si="1"/>
        <v>0</v>
      </c>
    </row>
    <row r="112" spans="2:9" ht="27" hidden="1" customHeight="1" x14ac:dyDescent="0.35">
      <c r="B112" s="44"/>
      <c r="C112" s="28"/>
      <c r="D112" s="6" t="s">
        <v>156</v>
      </c>
      <c r="E112" s="13">
        <v>0.33</v>
      </c>
      <c r="F112" s="10">
        <v>504</v>
      </c>
      <c r="G112" s="31">
        <v>3512</v>
      </c>
      <c r="H112" s="18"/>
      <c r="I112" s="29">
        <f t="shared" si="1"/>
        <v>0</v>
      </c>
    </row>
    <row r="113" spans="2:9" ht="27" hidden="1" customHeight="1" x14ac:dyDescent="0.35">
      <c r="B113" s="44"/>
      <c r="C113" s="28"/>
      <c r="D113" s="6" t="s">
        <v>155</v>
      </c>
      <c r="E113" s="13">
        <v>0.3</v>
      </c>
      <c r="F113" s="10">
        <v>413</v>
      </c>
      <c r="G113" s="31">
        <v>3037</v>
      </c>
      <c r="H113" s="18"/>
      <c r="I113" s="29">
        <f t="shared" si="1"/>
        <v>0</v>
      </c>
    </row>
    <row r="114" spans="2:9" ht="27" hidden="1" customHeight="1" x14ac:dyDescent="0.35">
      <c r="B114" s="44"/>
      <c r="C114" s="28"/>
      <c r="D114" s="6" t="s">
        <v>154</v>
      </c>
      <c r="E114" s="13">
        <v>0.42</v>
      </c>
      <c r="F114" s="10">
        <v>528</v>
      </c>
      <c r="G114" s="31">
        <v>3617</v>
      </c>
      <c r="H114" s="18"/>
      <c r="I114" s="29">
        <f t="shared" si="1"/>
        <v>0</v>
      </c>
    </row>
    <row r="115" spans="2:9" ht="27" hidden="1" customHeight="1" x14ac:dyDescent="0.35">
      <c r="B115" s="44"/>
      <c r="C115" s="28"/>
      <c r="D115" s="6" t="s">
        <v>149</v>
      </c>
      <c r="E115" s="13">
        <v>0.3</v>
      </c>
      <c r="F115" s="10">
        <v>532</v>
      </c>
      <c r="G115" s="31">
        <v>3313</v>
      </c>
      <c r="H115" s="18"/>
      <c r="I115" s="29">
        <f t="shared" si="1"/>
        <v>0</v>
      </c>
    </row>
    <row r="116" spans="2:9" ht="27" hidden="1" customHeight="1" x14ac:dyDescent="0.35">
      <c r="B116" s="44"/>
      <c r="C116" s="28"/>
      <c r="D116" s="6" t="s">
        <v>150</v>
      </c>
      <c r="E116" s="13">
        <v>0.6</v>
      </c>
      <c r="F116" s="10">
        <v>533</v>
      </c>
      <c r="G116" s="31">
        <v>2674</v>
      </c>
      <c r="H116" s="18"/>
      <c r="I116" s="29">
        <f t="shared" si="1"/>
        <v>0</v>
      </c>
    </row>
    <row r="117" spans="2:9" ht="27" hidden="1" customHeight="1" x14ac:dyDescent="0.35">
      <c r="B117" s="44"/>
      <c r="C117" s="28"/>
      <c r="D117" s="6" t="s">
        <v>151</v>
      </c>
      <c r="E117" s="13">
        <v>0.3</v>
      </c>
      <c r="F117" s="10">
        <v>492</v>
      </c>
      <c r="G117" s="31">
        <v>3027</v>
      </c>
      <c r="H117" s="18"/>
      <c r="I117" s="29">
        <f t="shared" si="1"/>
        <v>0</v>
      </c>
    </row>
    <row r="118" spans="2:9" ht="27" hidden="1" customHeight="1" x14ac:dyDescent="0.35">
      <c r="B118" s="44"/>
      <c r="C118" s="28"/>
      <c r="D118" s="6" t="s">
        <v>152</v>
      </c>
      <c r="E118" s="13">
        <v>0.3</v>
      </c>
      <c r="F118" s="10">
        <v>498</v>
      </c>
      <c r="G118" s="31">
        <v>2948</v>
      </c>
      <c r="H118" s="18"/>
      <c r="I118" s="29">
        <f t="shared" si="1"/>
        <v>0</v>
      </c>
    </row>
    <row r="119" spans="2:9" ht="27" hidden="1" customHeight="1" x14ac:dyDescent="0.35">
      <c r="B119" s="44"/>
      <c r="C119" s="28"/>
      <c r="D119" s="6" t="s">
        <v>153</v>
      </c>
      <c r="E119" s="13">
        <v>0.3</v>
      </c>
      <c r="F119" s="10">
        <v>496</v>
      </c>
      <c r="G119" s="31">
        <v>2942</v>
      </c>
      <c r="H119" s="18"/>
      <c r="I119" s="29">
        <f t="shared" si="1"/>
        <v>0</v>
      </c>
    </row>
    <row r="120" spans="2:9" ht="27" hidden="1" customHeight="1" x14ac:dyDescent="0.35">
      <c r="B120" s="44"/>
      <c r="C120" s="28"/>
      <c r="D120" s="6" t="s">
        <v>146</v>
      </c>
      <c r="E120" s="13">
        <v>0.6</v>
      </c>
      <c r="F120" s="10">
        <v>376</v>
      </c>
      <c r="G120" s="31">
        <v>2632</v>
      </c>
      <c r="H120" s="18"/>
      <c r="I120" s="29">
        <f t="shared" si="1"/>
        <v>0</v>
      </c>
    </row>
    <row r="121" spans="2:9" ht="27" hidden="1" customHeight="1" x14ac:dyDescent="0.35">
      <c r="B121" s="44"/>
      <c r="C121" s="28"/>
      <c r="D121" s="6" t="s">
        <v>148</v>
      </c>
      <c r="E121" s="13">
        <v>0.3</v>
      </c>
      <c r="F121" s="10">
        <v>491</v>
      </c>
      <c r="G121" s="31">
        <v>3031</v>
      </c>
      <c r="H121" s="18"/>
      <c r="I121" s="29">
        <f t="shared" si="1"/>
        <v>0</v>
      </c>
    </row>
    <row r="122" spans="2:9" ht="27" hidden="1" customHeight="1" x14ac:dyDescent="0.35">
      <c r="B122" s="44"/>
      <c r="C122" s="28"/>
      <c r="D122" s="6" t="s">
        <v>144</v>
      </c>
      <c r="E122" s="13">
        <v>0.3</v>
      </c>
      <c r="F122" s="10">
        <v>495</v>
      </c>
      <c r="G122" s="31">
        <v>2944</v>
      </c>
      <c r="H122" s="18"/>
      <c r="I122" s="29">
        <f t="shared" si="1"/>
        <v>0</v>
      </c>
    </row>
    <row r="123" spans="2:9" ht="27" hidden="1" customHeight="1" x14ac:dyDescent="0.35">
      <c r="B123" s="44"/>
      <c r="C123" s="28"/>
      <c r="D123" s="6" t="s">
        <v>145</v>
      </c>
      <c r="E123" s="13">
        <v>0.3</v>
      </c>
      <c r="F123" s="10">
        <v>497</v>
      </c>
      <c r="G123" s="31">
        <v>2946</v>
      </c>
      <c r="H123" s="18"/>
      <c r="I123" s="29">
        <f t="shared" si="1"/>
        <v>0</v>
      </c>
    </row>
    <row r="124" spans="2:9" ht="27" hidden="1" customHeight="1" x14ac:dyDescent="0.35">
      <c r="B124" s="44"/>
      <c r="C124" s="28"/>
      <c r="D124" s="6" t="s">
        <v>141</v>
      </c>
      <c r="E124" s="13">
        <v>0.35</v>
      </c>
      <c r="F124" s="10">
        <v>511</v>
      </c>
      <c r="G124" s="31">
        <v>3033</v>
      </c>
      <c r="H124" s="18"/>
      <c r="I124" s="29">
        <f t="shared" si="1"/>
        <v>0</v>
      </c>
    </row>
    <row r="125" spans="2:9" ht="27" hidden="1" customHeight="1" x14ac:dyDescent="0.35">
      <c r="B125" s="44"/>
      <c r="C125" s="28"/>
      <c r="D125" s="6" t="s">
        <v>142</v>
      </c>
      <c r="E125" s="13">
        <v>1</v>
      </c>
      <c r="F125" s="10">
        <v>501</v>
      </c>
      <c r="G125" s="31">
        <v>3616</v>
      </c>
      <c r="H125" s="18"/>
      <c r="I125" s="29">
        <f t="shared" si="1"/>
        <v>0</v>
      </c>
    </row>
    <row r="126" spans="2:9" ht="27" hidden="1" customHeight="1" x14ac:dyDescent="0.35">
      <c r="B126" s="44"/>
      <c r="C126" s="28"/>
      <c r="D126" s="6" t="s">
        <v>143</v>
      </c>
      <c r="E126" s="13">
        <v>0.4</v>
      </c>
      <c r="F126" s="10">
        <v>374</v>
      </c>
      <c r="G126" s="31">
        <v>2832</v>
      </c>
      <c r="H126" s="18"/>
      <c r="I126" s="29">
        <f t="shared" si="1"/>
        <v>0</v>
      </c>
    </row>
    <row r="127" spans="2:9" ht="27" hidden="1" customHeight="1" x14ac:dyDescent="0.35">
      <c r="B127" s="44"/>
      <c r="C127" s="28"/>
      <c r="D127" s="6" t="s">
        <v>139</v>
      </c>
      <c r="E127" s="13">
        <v>0.3</v>
      </c>
      <c r="F127" s="10">
        <v>448</v>
      </c>
      <c r="G127" s="31">
        <v>3336</v>
      </c>
      <c r="H127" s="18"/>
      <c r="I127" s="29">
        <f t="shared" si="1"/>
        <v>0</v>
      </c>
    </row>
    <row r="128" spans="2:9" ht="27" hidden="1" customHeight="1" x14ac:dyDescent="0.35">
      <c r="B128" s="44"/>
      <c r="C128" s="28"/>
      <c r="D128" s="6" t="s">
        <v>128</v>
      </c>
      <c r="E128" s="13">
        <v>0.4</v>
      </c>
      <c r="F128" s="10">
        <v>480</v>
      </c>
      <c r="G128" s="31">
        <v>3426</v>
      </c>
      <c r="H128" s="18"/>
      <c r="I128" s="29">
        <f t="shared" si="1"/>
        <v>0</v>
      </c>
    </row>
    <row r="129" spans="2:9" ht="27" hidden="1" customHeight="1" x14ac:dyDescent="0.35">
      <c r="B129" s="44"/>
      <c r="C129" s="28"/>
      <c r="D129" s="6" t="s">
        <v>127</v>
      </c>
      <c r="E129" s="13">
        <v>0.6</v>
      </c>
      <c r="F129" s="10">
        <v>471</v>
      </c>
      <c r="G129" s="31">
        <v>3340</v>
      </c>
      <c r="H129" s="18"/>
      <c r="I129" s="29">
        <f t="shared" si="1"/>
        <v>0</v>
      </c>
    </row>
    <row r="130" spans="2:9" ht="27" hidden="1" customHeight="1" x14ac:dyDescent="0.35">
      <c r="B130" s="44"/>
      <c r="C130" s="28"/>
      <c r="D130" s="6" t="s">
        <v>123</v>
      </c>
      <c r="E130" s="13">
        <v>1</v>
      </c>
      <c r="F130" s="10">
        <v>465</v>
      </c>
      <c r="G130" s="31">
        <v>3425</v>
      </c>
      <c r="H130" s="18"/>
      <c r="I130" s="29">
        <f t="shared" ref="I130:I193" si="2">H130*E130</f>
        <v>0</v>
      </c>
    </row>
    <row r="131" spans="2:9" ht="27" hidden="1" customHeight="1" x14ac:dyDescent="0.35">
      <c r="B131" s="44"/>
      <c r="C131" s="28"/>
      <c r="D131" s="6" t="s">
        <v>120</v>
      </c>
      <c r="E131" s="13">
        <v>0.4</v>
      </c>
      <c r="F131" s="10">
        <v>407</v>
      </c>
      <c r="G131" s="31">
        <v>2787</v>
      </c>
      <c r="H131" s="18"/>
      <c r="I131" s="29">
        <f t="shared" si="2"/>
        <v>0</v>
      </c>
    </row>
    <row r="132" spans="2:9" ht="27" hidden="1" customHeight="1" x14ac:dyDescent="0.35">
      <c r="B132" s="44"/>
      <c r="C132" s="28"/>
      <c r="D132" s="6" t="s">
        <v>119</v>
      </c>
      <c r="E132" s="13">
        <v>1</v>
      </c>
      <c r="F132" s="10">
        <v>456</v>
      </c>
      <c r="G132" s="31">
        <v>3420</v>
      </c>
      <c r="H132" s="18"/>
      <c r="I132" s="29">
        <f t="shared" si="2"/>
        <v>0</v>
      </c>
    </row>
    <row r="133" spans="2:9" ht="27" hidden="1" customHeight="1" x14ac:dyDescent="0.35">
      <c r="B133" s="44"/>
      <c r="C133" s="28"/>
      <c r="D133" s="6" t="s">
        <v>116</v>
      </c>
      <c r="E133" s="13">
        <v>0.4</v>
      </c>
      <c r="F133" s="10">
        <v>430</v>
      </c>
      <c r="G133" s="31">
        <v>3272</v>
      </c>
      <c r="H133" s="18"/>
      <c r="I133" s="29">
        <f t="shared" si="2"/>
        <v>0</v>
      </c>
    </row>
    <row r="134" spans="2:9" ht="27" hidden="1" customHeight="1" x14ac:dyDescent="0.35">
      <c r="B134" s="44"/>
      <c r="C134" s="28"/>
      <c r="D134" s="6" t="s">
        <v>115</v>
      </c>
      <c r="E134" s="13">
        <v>0.3</v>
      </c>
      <c r="F134" s="10">
        <v>441</v>
      </c>
      <c r="G134" s="31">
        <v>2992</v>
      </c>
      <c r="H134" s="18"/>
      <c r="I134" s="29">
        <f t="shared" si="2"/>
        <v>0</v>
      </c>
    </row>
    <row r="135" spans="2:9" ht="27" hidden="1" customHeight="1" x14ac:dyDescent="0.35">
      <c r="B135" s="44"/>
      <c r="C135" s="28"/>
      <c r="D135" s="6" t="s">
        <v>114</v>
      </c>
      <c r="E135" s="13">
        <v>0.4</v>
      </c>
      <c r="F135" s="10">
        <v>435</v>
      </c>
      <c r="G135" s="31">
        <v>3274</v>
      </c>
      <c r="H135" s="18"/>
      <c r="I135" s="29">
        <f t="shared" si="2"/>
        <v>0</v>
      </c>
    </row>
    <row r="136" spans="2:9" ht="27" hidden="1" customHeight="1" x14ac:dyDescent="0.35">
      <c r="B136" s="44"/>
      <c r="C136" s="28"/>
      <c r="D136" s="6" t="s">
        <v>113</v>
      </c>
      <c r="E136" s="13">
        <v>0.37</v>
      </c>
      <c r="F136" s="10">
        <v>395</v>
      </c>
      <c r="G136" s="31">
        <v>2986</v>
      </c>
      <c r="H136" s="18"/>
      <c r="I136" s="29">
        <f t="shared" si="2"/>
        <v>0</v>
      </c>
    </row>
    <row r="137" spans="2:9" ht="27" hidden="1" customHeight="1" x14ac:dyDescent="0.35">
      <c r="B137" s="44"/>
      <c r="C137" s="28"/>
      <c r="D137" s="6" t="s">
        <v>110</v>
      </c>
      <c r="E137" s="13">
        <v>1</v>
      </c>
      <c r="F137" s="10">
        <v>431</v>
      </c>
      <c r="G137" s="31">
        <v>3271</v>
      </c>
      <c r="H137" s="18"/>
      <c r="I137" s="29">
        <f t="shared" si="2"/>
        <v>0</v>
      </c>
    </row>
    <row r="138" spans="2:9" ht="27" hidden="1" customHeight="1" x14ac:dyDescent="0.35">
      <c r="B138" s="44"/>
      <c r="C138" s="28"/>
      <c r="D138" s="6" t="s">
        <v>111</v>
      </c>
      <c r="E138" s="13">
        <v>1</v>
      </c>
      <c r="F138" s="10">
        <v>433</v>
      </c>
      <c r="G138" s="31">
        <v>3275</v>
      </c>
      <c r="H138" s="18"/>
      <c r="I138" s="29">
        <f t="shared" si="2"/>
        <v>0</v>
      </c>
    </row>
    <row r="139" spans="2:9" ht="27" hidden="1" customHeight="1" x14ac:dyDescent="0.35">
      <c r="B139" s="44"/>
      <c r="C139" s="28"/>
      <c r="D139" s="6" t="s">
        <v>112</v>
      </c>
      <c r="E139" s="13">
        <v>1</v>
      </c>
      <c r="F139" s="10">
        <v>436</v>
      </c>
      <c r="G139" s="31">
        <v>3273</v>
      </c>
      <c r="H139" s="18"/>
      <c r="I139" s="29">
        <f t="shared" si="2"/>
        <v>0</v>
      </c>
    </row>
    <row r="140" spans="2:9" ht="27" hidden="1" customHeight="1" x14ac:dyDescent="0.35">
      <c r="B140" s="44"/>
      <c r="C140" s="28"/>
      <c r="D140" s="6" t="s">
        <v>109</v>
      </c>
      <c r="E140" s="13">
        <v>0.28000000000000003</v>
      </c>
      <c r="F140" s="10">
        <v>420</v>
      </c>
      <c r="G140" s="31">
        <v>3046</v>
      </c>
      <c r="H140" s="18"/>
      <c r="I140" s="29">
        <f t="shared" si="2"/>
        <v>0</v>
      </c>
    </row>
    <row r="141" spans="2:9" ht="27" hidden="1" customHeight="1" x14ac:dyDescent="0.35">
      <c r="B141" s="44"/>
      <c r="C141" s="28"/>
      <c r="D141" s="6" t="s">
        <v>108</v>
      </c>
      <c r="E141" s="13">
        <v>0.6</v>
      </c>
      <c r="F141" s="10">
        <v>397</v>
      </c>
      <c r="G141" s="31">
        <v>2643</v>
      </c>
      <c r="H141" s="18"/>
      <c r="I141" s="29">
        <f t="shared" si="2"/>
        <v>0</v>
      </c>
    </row>
    <row r="142" spans="2:9" ht="27" hidden="1" customHeight="1" x14ac:dyDescent="0.35">
      <c r="B142" s="44"/>
      <c r="C142" s="28"/>
      <c r="D142" s="6" t="s">
        <v>28</v>
      </c>
      <c r="E142" s="13">
        <v>1</v>
      </c>
      <c r="F142" s="10">
        <v>265</v>
      </c>
      <c r="G142" s="31">
        <v>2612</v>
      </c>
      <c r="H142" s="18"/>
      <c r="I142" s="29">
        <f t="shared" si="2"/>
        <v>0</v>
      </c>
    </row>
    <row r="143" spans="2:9" ht="27" hidden="1" customHeight="1" x14ac:dyDescent="0.35">
      <c r="B143" s="44"/>
      <c r="C143" s="28"/>
      <c r="D143" s="6" t="s">
        <v>101</v>
      </c>
      <c r="E143" s="13">
        <v>0.6</v>
      </c>
      <c r="F143" s="10">
        <v>377</v>
      </c>
      <c r="G143" s="31">
        <v>2631</v>
      </c>
      <c r="H143" s="18"/>
      <c r="I143" s="29">
        <f t="shared" si="2"/>
        <v>0</v>
      </c>
    </row>
    <row r="144" spans="2:9" ht="27" hidden="1" customHeight="1" x14ac:dyDescent="0.35">
      <c r="B144" s="44"/>
      <c r="C144" s="28"/>
      <c r="D144" s="6" t="s">
        <v>136</v>
      </c>
      <c r="E144" s="13">
        <v>0.1</v>
      </c>
      <c r="F144" s="10">
        <v>338</v>
      </c>
      <c r="G144" s="31">
        <v>2840</v>
      </c>
      <c r="H144" s="18"/>
      <c r="I144" s="29">
        <f t="shared" si="2"/>
        <v>0</v>
      </c>
    </row>
    <row r="145" spans="2:9" ht="27" hidden="1" customHeight="1" x14ac:dyDescent="0.35">
      <c r="B145" s="44"/>
      <c r="C145" s="28"/>
      <c r="D145" s="6" t="s">
        <v>137</v>
      </c>
      <c r="E145" s="13">
        <v>0.05</v>
      </c>
      <c r="F145" s="10">
        <v>90</v>
      </c>
      <c r="G145" s="31">
        <v>2050</v>
      </c>
      <c r="H145" s="18"/>
      <c r="I145" s="29">
        <f t="shared" si="2"/>
        <v>0</v>
      </c>
    </row>
    <row r="146" spans="2:9" ht="27" hidden="1" customHeight="1" x14ac:dyDescent="0.35">
      <c r="B146" s="44"/>
      <c r="C146" s="28"/>
      <c r="D146" s="6" t="s">
        <v>35</v>
      </c>
      <c r="E146" s="13">
        <v>1</v>
      </c>
      <c r="F146" s="12">
        <v>248</v>
      </c>
      <c r="G146" s="31">
        <v>2287</v>
      </c>
      <c r="H146" s="18"/>
      <c r="I146" s="29">
        <f t="shared" si="2"/>
        <v>0</v>
      </c>
    </row>
    <row r="147" spans="2:9" ht="27" hidden="1" customHeight="1" x14ac:dyDescent="0.35">
      <c r="B147" s="44"/>
      <c r="C147" s="28"/>
      <c r="D147" s="6" t="s">
        <v>91</v>
      </c>
      <c r="E147" s="13">
        <v>1</v>
      </c>
      <c r="F147" s="10">
        <v>364</v>
      </c>
      <c r="G147" s="31">
        <v>2835</v>
      </c>
      <c r="H147" s="18"/>
      <c r="I147" s="29">
        <f t="shared" si="2"/>
        <v>0</v>
      </c>
    </row>
    <row r="148" spans="2:9" ht="27" hidden="1" customHeight="1" x14ac:dyDescent="0.35">
      <c r="B148" s="44"/>
      <c r="C148" s="28"/>
      <c r="D148" s="6" t="s">
        <v>92</v>
      </c>
      <c r="E148" s="14">
        <v>0.33</v>
      </c>
      <c r="F148" s="10">
        <v>291</v>
      </c>
      <c r="G148" s="31">
        <v>2769</v>
      </c>
      <c r="H148" s="18"/>
      <c r="I148" s="29">
        <f t="shared" si="2"/>
        <v>0</v>
      </c>
    </row>
    <row r="149" spans="2:9" ht="27" hidden="1" customHeight="1" x14ac:dyDescent="0.35">
      <c r="B149" s="44"/>
      <c r="C149" s="28"/>
      <c r="D149" s="6" t="s">
        <v>20</v>
      </c>
      <c r="E149" s="13">
        <v>1</v>
      </c>
      <c r="F149" s="10">
        <v>255</v>
      </c>
      <c r="G149" s="31">
        <v>2074</v>
      </c>
      <c r="H149" s="18"/>
      <c r="I149" s="29">
        <f t="shared" si="2"/>
        <v>0</v>
      </c>
    </row>
    <row r="150" spans="2:9" ht="27" hidden="1" customHeight="1" x14ac:dyDescent="0.35">
      <c r="B150" s="44"/>
      <c r="C150" s="28"/>
      <c r="D150" s="6" t="s">
        <v>27</v>
      </c>
      <c r="E150" s="13">
        <v>1</v>
      </c>
      <c r="F150" s="10">
        <v>257</v>
      </c>
      <c r="G150" s="31">
        <v>246</v>
      </c>
      <c r="H150" s="18"/>
      <c r="I150" s="29">
        <f t="shared" si="2"/>
        <v>0</v>
      </c>
    </row>
    <row r="151" spans="2:9" ht="27" hidden="1" customHeight="1" x14ac:dyDescent="0.35">
      <c r="B151" s="44"/>
      <c r="C151" s="28"/>
      <c r="D151" s="6" t="s">
        <v>36</v>
      </c>
      <c r="E151" s="13">
        <v>1</v>
      </c>
      <c r="F151" s="12">
        <v>260</v>
      </c>
      <c r="G151" s="31">
        <v>1728</v>
      </c>
      <c r="H151" s="18"/>
      <c r="I151" s="29">
        <f t="shared" si="2"/>
        <v>0</v>
      </c>
    </row>
    <row r="152" spans="2:9" ht="27" hidden="1" customHeight="1" x14ac:dyDescent="0.35">
      <c r="B152" s="44"/>
      <c r="C152" s="28"/>
      <c r="D152" s="6" t="s">
        <v>84</v>
      </c>
      <c r="E152" s="13">
        <v>1</v>
      </c>
      <c r="F152" s="10">
        <v>222</v>
      </c>
      <c r="G152" s="31">
        <v>1777</v>
      </c>
      <c r="H152" s="18"/>
      <c r="I152" s="29">
        <f t="shared" si="2"/>
        <v>0</v>
      </c>
    </row>
    <row r="153" spans="2:9" ht="27" hidden="1" customHeight="1" x14ac:dyDescent="0.35">
      <c r="B153" s="44"/>
      <c r="C153" s="28"/>
      <c r="D153" s="6" t="s">
        <v>2</v>
      </c>
      <c r="E153" s="13">
        <v>1</v>
      </c>
      <c r="F153" s="10">
        <v>217</v>
      </c>
      <c r="G153" s="31">
        <v>2094</v>
      </c>
      <c r="H153" s="18"/>
      <c r="I153" s="29">
        <f t="shared" si="2"/>
        <v>0</v>
      </c>
    </row>
    <row r="154" spans="2:9" ht="27" hidden="1" customHeight="1" x14ac:dyDescent="0.35">
      <c r="B154" s="44"/>
      <c r="C154" s="28"/>
      <c r="D154" s="8" t="s">
        <v>99</v>
      </c>
      <c r="E154" s="13">
        <v>0.33</v>
      </c>
      <c r="F154" s="10">
        <v>31</v>
      </c>
      <c r="G154" s="31">
        <v>2139</v>
      </c>
      <c r="H154" s="18"/>
      <c r="I154" s="29">
        <f t="shared" si="2"/>
        <v>0</v>
      </c>
    </row>
    <row r="155" spans="2:9" ht="27" hidden="1" customHeight="1" x14ac:dyDescent="0.35">
      <c r="B155" s="44"/>
      <c r="C155" s="28"/>
      <c r="D155" s="6" t="s">
        <v>93</v>
      </c>
      <c r="E155" s="13">
        <v>1</v>
      </c>
      <c r="F155" s="10">
        <v>336</v>
      </c>
      <c r="G155" s="31">
        <v>2833</v>
      </c>
      <c r="H155" s="18"/>
      <c r="I155" s="29">
        <f t="shared" si="2"/>
        <v>0</v>
      </c>
    </row>
    <row r="156" spans="2:9" ht="27" hidden="1" customHeight="1" x14ac:dyDescent="0.35">
      <c r="B156" s="44"/>
      <c r="C156" s="28"/>
      <c r="D156" s="6" t="s">
        <v>72</v>
      </c>
      <c r="E156" s="13">
        <v>1</v>
      </c>
      <c r="F156" s="10">
        <v>320</v>
      </c>
      <c r="G156" s="31">
        <v>2811</v>
      </c>
      <c r="H156" s="18"/>
      <c r="I156" s="29">
        <f t="shared" si="2"/>
        <v>0</v>
      </c>
    </row>
    <row r="157" spans="2:9" ht="27" hidden="1" customHeight="1" x14ac:dyDescent="0.35">
      <c r="B157" s="44"/>
      <c r="C157" s="28"/>
      <c r="D157" s="6" t="s">
        <v>80</v>
      </c>
      <c r="E157" s="13">
        <v>0.17</v>
      </c>
      <c r="F157" s="10">
        <v>47</v>
      </c>
      <c r="G157" s="31">
        <v>2092</v>
      </c>
      <c r="H157" s="18"/>
      <c r="I157" s="29">
        <f t="shared" si="2"/>
        <v>0</v>
      </c>
    </row>
    <row r="158" spans="2:9" ht="27" hidden="1" customHeight="1" x14ac:dyDescent="0.35">
      <c r="B158" s="44"/>
      <c r="C158" s="28"/>
      <c r="D158" s="6" t="s">
        <v>78</v>
      </c>
      <c r="E158" s="13">
        <v>0.35</v>
      </c>
      <c r="F158" s="10">
        <v>282</v>
      </c>
      <c r="G158" s="31">
        <v>2545</v>
      </c>
      <c r="H158" s="18"/>
      <c r="I158" s="29">
        <f t="shared" si="2"/>
        <v>0</v>
      </c>
    </row>
    <row r="159" spans="2:9" ht="27" customHeight="1" x14ac:dyDescent="0.35">
      <c r="B159" s="44">
        <v>79</v>
      </c>
      <c r="C159" s="28" t="s">
        <v>225</v>
      </c>
      <c r="D159" s="6" t="s">
        <v>71</v>
      </c>
      <c r="E159" s="13">
        <v>0.45</v>
      </c>
      <c r="F159" s="10">
        <v>322</v>
      </c>
      <c r="G159" s="31">
        <v>2816</v>
      </c>
      <c r="H159" s="18">
        <f>VLOOKUP(C159,'Рабочий лист_Бычков'!B:J,9,0)</f>
        <v>30</v>
      </c>
      <c r="I159" s="29">
        <f t="shared" si="2"/>
        <v>13.5</v>
      </c>
    </row>
    <row r="160" spans="2:9" ht="27" hidden="1" customHeight="1" x14ac:dyDescent="0.35">
      <c r="B160" s="44"/>
      <c r="C160" s="28"/>
      <c r="D160" s="6" t="s">
        <v>65</v>
      </c>
      <c r="E160" s="14">
        <v>0.45</v>
      </c>
      <c r="F160" s="10">
        <v>326</v>
      </c>
      <c r="G160" s="31">
        <v>2823</v>
      </c>
      <c r="H160" s="18"/>
      <c r="I160" s="29">
        <f t="shared" si="2"/>
        <v>0</v>
      </c>
    </row>
    <row r="161" spans="2:9" ht="27" hidden="1" customHeight="1" x14ac:dyDescent="0.35">
      <c r="B161" s="44">
        <v>80</v>
      </c>
      <c r="C161" s="28" t="s">
        <v>244</v>
      </c>
      <c r="D161" s="6" t="s">
        <v>26</v>
      </c>
      <c r="E161" s="13">
        <v>1</v>
      </c>
      <c r="F161" s="10">
        <v>225</v>
      </c>
      <c r="G161" s="31">
        <v>2182</v>
      </c>
      <c r="H161" s="18">
        <f>VLOOKUP(C161,'Рабочий лист_Бычков'!B:J,9,0)</f>
        <v>0</v>
      </c>
      <c r="I161" s="29">
        <f t="shared" si="2"/>
        <v>0</v>
      </c>
    </row>
    <row r="162" spans="2:9" ht="27" hidden="1" customHeight="1" x14ac:dyDescent="0.35">
      <c r="B162" s="44"/>
      <c r="C162" s="28"/>
      <c r="D162" s="6" t="s">
        <v>3</v>
      </c>
      <c r="E162" s="13">
        <v>1</v>
      </c>
      <c r="F162" s="10">
        <v>226</v>
      </c>
      <c r="G162" s="31">
        <v>1920</v>
      </c>
      <c r="H162" s="18"/>
      <c r="I162" s="29">
        <f t="shared" si="2"/>
        <v>0</v>
      </c>
    </row>
    <row r="163" spans="2:9" ht="27" hidden="1" customHeight="1" x14ac:dyDescent="0.35">
      <c r="B163" s="44"/>
      <c r="C163" s="28"/>
      <c r="D163" s="6" t="s">
        <v>4</v>
      </c>
      <c r="E163" s="13">
        <v>0.3</v>
      </c>
      <c r="F163" s="10">
        <v>62</v>
      </c>
      <c r="G163" s="31">
        <v>2252</v>
      </c>
      <c r="H163" s="18"/>
      <c r="I163" s="29">
        <f t="shared" si="2"/>
        <v>0</v>
      </c>
    </row>
    <row r="164" spans="2:9" ht="27" hidden="1" customHeight="1" x14ac:dyDescent="0.35">
      <c r="B164" s="44"/>
      <c r="C164" s="28"/>
      <c r="D164" s="6" t="s">
        <v>55</v>
      </c>
      <c r="E164" s="14">
        <v>1</v>
      </c>
      <c r="F164" s="10">
        <v>304</v>
      </c>
      <c r="G164" s="31">
        <v>2876</v>
      </c>
      <c r="H164" s="18"/>
      <c r="I164" s="29">
        <f t="shared" si="2"/>
        <v>0</v>
      </c>
    </row>
    <row r="165" spans="2:9" ht="27" hidden="1" customHeight="1" x14ac:dyDescent="0.35">
      <c r="B165" s="44"/>
      <c r="C165" s="28"/>
      <c r="D165" s="6" t="s">
        <v>57</v>
      </c>
      <c r="E165" s="14">
        <v>0.35</v>
      </c>
      <c r="F165" s="10">
        <v>306</v>
      </c>
      <c r="G165" s="31">
        <v>2877</v>
      </c>
      <c r="H165" s="18"/>
      <c r="I165" s="29">
        <f t="shared" si="2"/>
        <v>0</v>
      </c>
    </row>
    <row r="166" spans="2:9" ht="27" hidden="1" customHeight="1" x14ac:dyDescent="0.35">
      <c r="B166" s="44"/>
      <c r="C166" s="28"/>
      <c r="D166" s="6" t="s">
        <v>9</v>
      </c>
      <c r="E166" s="13">
        <v>1</v>
      </c>
      <c r="F166" s="10">
        <v>11</v>
      </c>
      <c r="G166" s="31">
        <v>664</v>
      </c>
      <c r="H166" s="18"/>
      <c r="I166" s="29">
        <f t="shared" si="2"/>
        <v>0</v>
      </c>
    </row>
    <row r="167" spans="2:9" ht="27" hidden="1" customHeight="1" x14ac:dyDescent="0.35">
      <c r="B167" s="44"/>
      <c r="C167" s="28"/>
      <c r="D167" s="6" t="s">
        <v>12</v>
      </c>
      <c r="E167" s="13">
        <v>1</v>
      </c>
      <c r="F167" s="10">
        <v>271</v>
      </c>
      <c r="G167" s="31">
        <v>2360</v>
      </c>
      <c r="H167" s="18"/>
      <c r="I167" s="29">
        <f t="shared" si="2"/>
        <v>0</v>
      </c>
    </row>
    <row r="168" spans="2:9" ht="27" hidden="1" customHeight="1" x14ac:dyDescent="0.35">
      <c r="B168" s="44"/>
      <c r="C168" s="28"/>
      <c r="D168" s="6" t="s">
        <v>58</v>
      </c>
      <c r="E168" s="14">
        <v>0.35</v>
      </c>
      <c r="F168" s="10">
        <v>307</v>
      </c>
      <c r="G168" s="31">
        <v>2848</v>
      </c>
      <c r="H168" s="18"/>
      <c r="I168" s="29">
        <f t="shared" si="2"/>
        <v>0</v>
      </c>
    </row>
    <row r="169" spans="2:9" ht="27" hidden="1" customHeight="1" x14ac:dyDescent="0.35">
      <c r="B169" s="44"/>
      <c r="C169" s="28"/>
      <c r="D169" s="6" t="s">
        <v>56</v>
      </c>
      <c r="E169" s="14">
        <v>1</v>
      </c>
      <c r="F169" s="10">
        <v>305</v>
      </c>
      <c r="G169" s="31">
        <v>2847</v>
      </c>
      <c r="H169" s="18"/>
      <c r="I169" s="29">
        <f t="shared" si="2"/>
        <v>0</v>
      </c>
    </row>
    <row r="170" spans="2:9" ht="27" hidden="1" customHeight="1" x14ac:dyDescent="0.35">
      <c r="B170" s="44"/>
      <c r="C170" s="28"/>
      <c r="D170" s="6" t="s">
        <v>15</v>
      </c>
      <c r="E170" s="13">
        <v>1</v>
      </c>
      <c r="F170" s="10">
        <v>245</v>
      </c>
      <c r="G170" s="31">
        <v>1801</v>
      </c>
      <c r="H170" s="18"/>
      <c r="I170" s="29">
        <f t="shared" si="2"/>
        <v>0</v>
      </c>
    </row>
    <row r="171" spans="2:9" ht="27" hidden="1" customHeight="1" x14ac:dyDescent="0.35">
      <c r="B171" s="44"/>
      <c r="C171" s="28"/>
      <c r="D171" s="6" t="s">
        <v>59</v>
      </c>
      <c r="E171" s="14">
        <v>0.45</v>
      </c>
      <c r="F171" s="10">
        <v>276</v>
      </c>
      <c r="G171" s="31">
        <v>2734</v>
      </c>
      <c r="H171" s="18"/>
      <c r="I171" s="29">
        <f t="shared" si="2"/>
        <v>0</v>
      </c>
    </row>
    <row r="172" spans="2:9" ht="27" hidden="1" customHeight="1" x14ac:dyDescent="0.35">
      <c r="B172" s="44"/>
      <c r="C172" s="28"/>
      <c r="D172" s="6" t="s">
        <v>17</v>
      </c>
      <c r="E172" s="13">
        <v>1</v>
      </c>
      <c r="F172" s="10">
        <v>247</v>
      </c>
      <c r="G172" s="31">
        <v>1051</v>
      </c>
      <c r="H172" s="18"/>
      <c r="I172" s="29">
        <f t="shared" si="2"/>
        <v>0</v>
      </c>
    </row>
    <row r="173" spans="2:9" ht="27" hidden="1" customHeight="1" x14ac:dyDescent="0.35">
      <c r="B173" s="44"/>
      <c r="C173" s="28"/>
      <c r="D173" s="6" t="s">
        <v>67</v>
      </c>
      <c r="E173" s="14">
        <v>0.4</v>
      </c>
      <c r="F173" s="10">
        <v>329</v>
      </c>
      <c r="G173" s="31">
        <v>2759</v>
      </c>
      <c r="H173" s="18"/>
      <c r="I173" s="29">
        <f t="shared" si="2"/>
        <v>0</v>
      </c>
    </row>
    <row r="174" spans="2:9" ht="27" hidden="1" customHeight="1" x14ac:dyDescent="0.35">
      <c r="B174" s="44"/>
      <c r="C174" s="28"/>
      <c r="D174" s="6" t="s">
        <v>66</v>
      </c>
      <c r="E174" s="14">
        <v>0.4</v>
      </c>
      <c r="F174" s="10">
        <v>328</v>
      </c>
      <c r="G174" s="31">
        <v>2758</v>
      </c>
      <c r="H174" s="18"/>
      <c r="I174" s="29">
        <f t="shared" si="2"/>
        <v>0</v>
      </c>
    </row>
    <row r="175" spans="2:9" ht="27" hidden="1" customHeight="1" x14ac:dyDescent="0.35">
      <c r="B175" s="44"/>
      <c r="C175" s="28"/>
      <c r="D175" s="6" t="s">
        <v>77</v>
      </c>
      <c r="E175" s="13">
        <v>0.42</v>
      </c>
      <c r="F175" s="10">
        <v>103</v>
      </c>
      <c r="G175" s="31">
        <v>341</v>
      </c>
      <c r="H175" s="18"/>
      <c r="I175" s="29">
        <f t="shared" si="2"/>
        <v>0</v>
      </c>
    </row>
    <row r="176" spans="2:9" ht="27" hidden="1" customHeight="1" x14ac:dyDescent="0.35">
      <c r="B176" s="44"/>
      <c r="C176" s="28"/>
      <c r="D176" s="6" t="s">
        <v>19</v>
      </c>
      <c r="E176" s="13">
        <v>0.4</v>
      </c>
      <c r="F176" s="10">
        <v>281</v>
      </c>
      <c r="G176" s="31">
        <v>2205</v>
      </c>
      <c r="H176" s="18"/>
      <c r="I176" s="29">
        <f t="shared" si="2"/>
        <v>0</v>
      </c>
    </row>
    <row r="177" spans="2:9" ht="27" hidden="1" customHeight="1" x14ac:dyDescent="0.35">
      <c r="B177" s="44"/>
      <c r="C177" s="28"/>
      <c r="D177" s="6" t="s">
        <v>44</v>
      </c>
      <c r="E177" s="13">
        <v>1</v>
      </c>
      <c r="F177" s="10">
        <v>258</v>
      </c>
      <c r="G177" s="31">
        <v>1727</v>
      </c>
      <c r="H177" s="18"/>
      <c r="I177" s="29">
        <f t="shared" si="2"/>
        <v>0</v>
      </c>
    </row>
    <row r="178" spans="2:9" ht="27" hidden="1" customHeight="1" x14ac:dyDescent="0.35">
      <c r="B178" s="44"/>
      <c r="C178" s="28"/>
      <c r="D178" s="6" t="s">
        <v>96</v>
      </c>
      <c r="E178" s="13">
        <v>1</v>
      </c>
      <c r="F178" s="10">
        <v>341</v>
      </c>
      <c r="G178" s="31">
        <v>2845</v>
      </c>
      <c r="H178" s="18"/>
      <c r="I178" s="29">
        <f t="shared" si="2"/>
        <v>0</v>
      </c>
    </row>
    <row r="179" spans="2:9" ht="27" hidden="1" customHeight="1" x14ac:dyDescent="0.35">
      <c r="B179" s="44"/>
      <c r="C179" s="28"/>
      <c r="D179" s="6" t="s">
        <v>95</v>
      </c>
      <c r="E179" s="13">
        <v>1</v>
      </c>
      <c r="F179" s="10">
        <v>340</v>
      </c>
      <c r="G179" s="31">
        <v>2843</v>
      </c>
      <c r="H179" s="18"/>
      <c r="I179" s="29">
        <f t="shared" si="2"/>
        <v>0</v>
      </c>
    </row>
    <row r="180" spans="2:9" ht="27" hidden="1" customHeight="1" x14ac:dyDescent="0.35">
      <c r="B180" s="44"/>
      <c r="C180" s="28"/>
      <c r="D180" s="6" t="s">
        <v>62</v>
      </c>
      <c r="E180" s="14">
        <v>0.4</v>
      </c>
      <c r="F180" s="10">
        <v>301</v>
      </c>
      <c r="G180" s="31">
        <v>2801</v>
      </c>
      <c r="H180" s="18"/>
      <c r="I180" s="29">
        <f t="shared" si="2"/>
        <v>0</v>
      </c>
    </row>
    <row r="181" spans="2:9" ht="27" hidden="1" customHeight="1" x14ac:dyDescent="0.35">
      <c r="B181" s="44"/>
      <c r="C181" s="28"/>
      <c r="D181" s="6" t="s">
        <v>63</v>
      </c>
      <c r="E181" s="14">
        <v>0.4</v>
      </c>
      <c r="F181" s="10">
        <v>302</v>
      </c>
      <c r="G181" s="31">
        <v>2799</v>
      </c>
      <c r="H181" s="18"/>
      <c r="I181" s="29">
        <f t="shared" si="2"/>
        <v>0</v>
      </c>
    </row>
    <row r="182" spans="2:9" ht="27" hidden="1" customHeight="1" x14ac:dyDescent="0.35">
      <c r="B182" s="44"/>
      <c r="C182" s="28"/>
      <c r="D182" s="6" t="s">
        <v>64</v>
      </c>
      <c r="E182" s="14">
        <v>0.4</v>
      </c>
      <c r="F182" s="10">
        <v>309</v>
      </c>
      <c r="G182" s="31">
        <v>2686</v>
      </c>
      <c r="H182" s="18"/>
      <c r="I182" s="29">
        <f t="shared" si="2"/>
        <v>0</v>
      </c>
    </row>
    <row r="183" spans="2:9" ht="27" hidden="1" customHeight="1" x14ac:dyDescent="0.35">
      <c r="B183" s="44"/>
      <c r="C183" s="28"/>
      <c r="D183" s="6" t="s">
        <v>61</v>
      </c>
      <c r="E183" s="13">
        <v>1</v>
      </c>
      <c r="F183" s="10">
        <v>283</v>
      </c>
      <c r="G183" s="31">
        <v>2725</v>
      </c>
      <c r="H183" s="18"/>
      <c r="I183" s="29">
        <f t="shared" si="2"/>
        <v>0</v>
      </c>
    </row>
    <row r="184" spans="2:9" ht="27" hidden="1" customHeight="1" x14ac:dyDescent="0.35">
      <c r="B184" s="44"/>
      <c r="C184" s="28"/>
      <c r="D184" s="6" t="s">
        <v>83</v>
      </c>
      <c r="E184" s="13">
        <v>0.4</v>
      </c>
      <c r="F184" s="10">
        <v>408</v>
      </c>
      <c r="G184" s="31">
        <v>2735</v>
      </c>
      <c r="H184" s="18"/>
      <c r="I184" s="29">
        <f t="shared" si="2"/>
        <v>0</v>
      </c>
    </row>
    <row r="185" spans="2:9" ht="27" hidden="1" customHeight="1" x14ac:dyDescent="0.35">
      <c r="B185" s="44"/>
      <c r="C185" s="28"/>
      <c r="D185" s="6" t="s">
        <v>98</v>
      </c>
      <c r="E185" s="13">
        <v>0.1</v>
      </c>
      <c r="F185" s="10">
        <v>334</v>
      </c>
      <c r="G185" s="31">
        <v>2841</v>
      </c>
      <c r="H185" s="18"/>
      <c r="I185" s="29">
        <f t="shared" si="2"/>
        <v>0</v>
      </c>
    </row>
    <row r="186" spans="2:9" ht="27" hidden="1" customHeight="1" x14ac:dyDescent="0.35">
      <c r="B186" s="44"/>
      <c r="C186" s="28"/>
      <c r="D186" s="6" t="s">
        <v>103</v>
      </c>
      <c r="E186" s="13">
        <v>1</v>
      </c>
      <c r="F186" s="10">
        <v>373</v>
      </c>
      <c r="G186" s="31">
        <v>2824</v>
      </c>
      <c r="H186" s="18"/>
      <c r="I186" s="29">
        <f t="shared" si="2"/>
        <v>0</v>
      </c>
    </row>
    <row r="187" spans="2:9" ht="27" hidden="1" customHeight="1" x14ac:dyDescent="0.35">
      <c r="B187" s="44"/>
      <c r="C187" s="28"/>
      <c r="D187" s="6" t="s">
        <v>104</v>
      </c>
      <c r="E187" s="13">
        <v>1</v>
      </c>
      <c r="F187" s="10">
        <v>372</v>
      </c>
      <c r="G187" s="31">
        <v>3068</v>
      </c>
      <c r="H187" s="18"/>
      <c r="I187" s="29">
        <f t="shared" si="2"/>
        <v>0</v>
      </c>
    </row>
    <row r="188" spans="2:9" ht="27" hidden="1" customHeight="1" x14ac:dyDescent="0.35">
      <c r="B188" s="44"/>
      <c r="C188" s="28"/>
      <c r="D188" s="6" t="s">
        <v>105</v>
      </c>
      <c r="E188" s="13">
        <v>0.6</v>
      </c>
      <c r="F188" s="10">
        <v>354</v>
      </c>
      <c r="G188" s="31">
        <v>2916</v>
      </c>
      <c r="H188" s="18"/>
      <c r="I188" s="29">
        <f t="shared" si="2"/>
        <v>0</v>
      </c>
    </row>
    <row r="189" spans="2:9" ht="27" hidden="1" customHeight="1" x14ac:dyDescent="0.35">
      <c r="B189" s="44"/>
      <c r="C189" s="28"/>
      <c r="D189" s="6" t="s">
        <v>185</v>
      </c>
      <c r="E189" s="13">
        <v>0.6</v>
      </c>
      <c r="F189" s="10">
        <v>353</v>
      </c>
      <c r="G189" s="31">
        <v>2919</v>
      </c>
      <c r="H189" s="18"/>
      <c r="I189" s="29">
        <f t="shared" si="2"/>
        <v>0</v>
      </c>
    </row>
    <row r="190" spans="2:9" ht="27" hidden="1" customHeight="1" x14ac:dyDescent="0.35">
      <c r="B190" s="44"/>
      <c r="C190" s="28"/>
      <c r="D190" s="6" t="s">
        <v>106</v>
      </c>
      <c r="E190" s="13">
        <v>0.6</v>
      </c>
      <c r="F190" s="10">
        <v>355</v>
      </c>
      <c r="G190" s="31">
        <v>2918</v>
      </c>
      <c r="H190" s="18"/>
      <c r="I190" s="29">
        <f t="shared" si="2"/>
        <v>0</v>
      </c>
    </row>
    <row r="191" spans="2:9" ht="27" hidden="1" customHeight="1" x14ac:dyDescent="0.35">
      <c r="B191" s="44"/>
      <c r="C191" s="28"/>
      <c r="D191" s="6" t="s">
        <v>184</v>
      </c>
      <c r="E191" s="13">
        <v>0.33</v>
      </c>
      <c r="F191" s="10">
        <v>388</v>
      </c>
      <c r="G191" s="31">
        <v>2984</v>
      </c>
      <c r="H191" s="18"/>
      <c r="I191" s="29">
        <f t="shared" si="2"/>
        <v>0</v>
      </c>
    </row>
    <row r="192" spans="2:9" ht="27" hidden="1" customHeight="1" x14ac:dyDescent="0.35">
      <c r="B192" s="44"/>
      <c r="C192" s="28"/>
      <c r="D192" s="7" t="s">
        <v>186</v>
      </c>
      <c r="E192" s="13">
        <v>0.4</v>
      </c>
      <c r="F192" s="10">
        <v>279</v>
      </c>
      <c r="G192" s="31">
        <v>2312</v>
      </c>
      <c r="H192" s="18"/>
      <c r="I192" s="29">
        <f t="shared" si="2"/>
        <v>0</v>
      </c>
    </row>
    <row r="193" spans="2:9" ht="27" hidden="1" customHeight="1" x14ac:dyDescent="0.35">
      <c r="B193" s="44"/>
      <c r="C193" s="28"/>
      <c r="D193" s="7" t="s">
        <v>187</v>
      </c>
      <c r="E193" s="13">
        <v>0.4</v>
      </c>
      <c r="F193" s="10">
        <v>339</v>
      </c>
      <c r="G193" s="31">
        <v>2831</v>
      </c>
      <c r="H193" s="18"/>
      <c r="I193" s="29">
        <f t="shared" si="2"/>
        <v>0</v>
      </c>
    </row>
    <row r="194" spans="2:9" ht="27" hidden="1" customHeight="1" x14ac:dyDescent="0.35">
      <c r="B194" s="44"/>
      <c r="C194" s="28"/>
      <c r="D194" s="7" t="s">
        <v>173</v>
      </c>
      <c r="E194" s="13">
        <v>0.6</v>
      </c>
      <c r="F194" s="10">
        <v>100</v>
      </c>
      <c r="G194" s="31">
        <v>2285</v>
      </c>
      <c r="H194" s="18"/>
      <c r="I194" s="29">
        <f t="shared" ref="I194:I228" si="3">H194*E194</f>
        <v>0</v>
      </c>
    </row>
    <row r="195" spans="2:9" ht="27" hidden="1" customHeight="1" x14ac:dyDescent="0.35">
      <c r="B195" s="44"/>
      <c r="C195" s="28"/>
      <c r="D195" s="7" t="s">
        <v>188</v>
      </c>
      <c r="E195" s="13">
        <v>0.1</v>
      </c>
      <c r="F195" s="10">
        <v>285</v>
      </c>
      <c r="G195" s="31">
        <v>2368</v>
      </c>
      <c r="H195" s="18"/>
      <c r="I195" s="29">
        <f t="shared" si="3"/>
        <v>0</v>
      </c>
    </row>
    <row r="196" spans="2:9" ht="27" hidden="1" customHeight="1" x14ac:dyDescent="0.35">
      <c r="B196" s="44"/>
      <c r="C196" s="28"/>
      <c r="D196" s="7" t="s">
        <v>189</v>
      </c>
      <c r="E196" s="13">
        <v>0.35</v>
      </c>
      <c r="F196" s="10">
        <v>337</v>
      </c>
      <c r="G196" s="31">
        <v>2757</v>
      </c>
      <c r="H196" s="18"/>
      <c r="I196" s="29">
        <f t="shared" si="3"/>
        <v>0</v>
      </c>
    </row>
    <row r="197" spans="2:9" ht="27" hidden="1" customHeight="1" x14ac:dyDescent="0.35">
      <c r="B197" s="44"/>
      <c r="C197" s="28"/>
      <c r="D197" s="7" t="s">
        <v>190</v>
      </c>
      <c r="E197" s="13">
        <v>0.28000000000000003</v>
      </c>
      <c r="F197" s="10">
        <v>379</v>
      </c>
      <c r="G197" s="31">
        <v>2726</v>
      </c>
      <c r="H197" s="18"/>
      <c r="I197" s="29">
        <f t="shared" si="3"/>
        <v>0</v>
      </c>
    </row>
    <row r="198" spans="2:9" ht="27" hidden="1" customHeight="1" x14ac:dyDescent="0.35">
      <c r="B198" s="44"/>
      <c r="C198" s="28"/>
      <c r="D198" s="7" t="s">
        <v>176</v>
      </c>
      <c r="E198" s="13">
        <v>1</v>
      </c>
      <c r="F198" s="10">
        <v>416</v>
      </c>
      <c r="G198" s="31">
        <v>3161</v>
      </c>
      <c r="H198" s="18"/>
      <c r="I198" s="29">
        <f t="shared" si="3"/>
        <v>0</v>
      </c>
    </row>
    <row r="199" spans="2:9" ht="27" hidden="1" customHeight="1" x14ac:dyDescent="0.35">
      <c r="B199" s="44"/>
      <c r="C199" s="28"/>
      <c r="D199" s="9" t="s">
        <v>107</v>
      </c>
      <c r="E199" s="13">
        <v>0.33</v>
      </c>
      <c r="F199" s="10">
        <v>405</v>
      </c>
      <c r="G199" s="31">
        <v>2367</v>
      </c>
      <c r="H199" s="18"/>
      <c r="I199" s="29">
        <f t="shared" si="3"/>
        <v>0</v>
      </c>
    </row>
    <row r="200" spans="2:9" ht="27" hidden="1" customHeight="1" x14ac:dyDescent="0.35">
      <c r="B200" s="44"/>
      <c r="C200" s="28"/>
      <c r="D200" s="27" t="s">
        <v>191</v>
      </c>
      <c r="E200" s="13">
        <v>7.0000000000000007E-2</v>
      </c>
      <c r="F200" s="12" t="s">
        <v>166</v>
      </c>
      <c r="G200" s="31">
        <v>3894</v>
      </c>
      <c r="H200" s="18"/>
      <c r="I200" s="29">
        <f t="shared" si="3"/>
        <v>0</v>
      </c>
    </row>
    <row r="201" spans="2:9" ht="27" hidden="1" customHeight="1" x14ac:dyDescent="0.35">
      <c r="B201" s="44"/>
      <c r="C201" s="28"/>
      <c r="D201" s="27" t="s">
        <v>192</v>
      </c>
      <c r="E201" s="13">
        <v>0.2</v>
      </c>
      <c r="F201" s="12" t="s">
        <v>167</v>
      </c>
      <c r="G201" s="31">
        <v>3342</v>
      </c>
      <c r="H201" s="18"/>
      <c r="I201" s="29">
        <f t="shared" si="3"/>
        <v>0</v>
      </c>
    </row>
    <row r="202" spans="2:9" ht="27" hidden="1" customHeight="1" x14ac:dyDescent="0.35">
      <c r="B202" s="44"/>
      <c r="C202" s="28"/>
      <c r="D202" s="27" t="s">
        <v>193</v>
      </c>
      <c r="E202" s="13">
        <v>7.0000000000000007E-2</v>
      </c>
      <c r="F202" s="12" t="s">
        <v>168</v>
      </c>
      <c r="G202" s="31">
        <v>3893</v>
      </c>
      <c r="H202" s="18"/>
      <c r="I202" s="29">
        <f t="shared" si="3"/>
        <v>0</v>
      </c>
    </row>
    <row r="203" spans="2:9" ht="27" hidden="1" customHeight="1" x14ac:dyDescent="0.35">
      <c r="B203" s="44"/>
      <c r="C203" s="28"/>
      <c r="D203" s="27" t="s">
        <v>194</v>
      </c>
      <c r="E203" s="13">
        <v>0.05</v>
      </c>
      <c r="F203" s="12" t="s">
        <v>169</v>
      </c>
      <c r="G203" s="31">
        <v>3925</v>
      </c>
      <c r="H203" s="18"/>
      <c r="I203" s="29">
        <f t="shared" si="3"/>
        <v>0</v>
      </c>
    </row>
    <row r="204" spans="2:9" ht="27" hidden="1" customHeight="1" x14ac:dyDescent="0.35">
      <c r="B204" s="44"/>
      <c r="C204" s="28"/>
      <c r="D204" s="27" t="s">
        <v>195</v>
      </c>
      <c r="E204" s="13">
        <v>7.0000000000000007E-2</v>
      </c>
      <c r="F204" s="12" t="s">
        <v>170</v>
      </c>
      <c r="G204" s="31">
        <v>3896</v>
      </c>
      <c r="H204" s="18"/>
      <c r="I204" s="29">
        <f t="shared" si="3"/>
        <v>0</v>
      </c>
    </row>
    <row r="205" spans="2:9" ht="27" hidden="1" customHeight="1" x14ac:dyDescent="0.35">
      <c r="B205" s="44"/>
      <c r="C205" s="28"/>
      <c r="D205" s="27" t="s">
        <v>196</v>
      </c>
      <c r="E205" s="16">
        <v>5.5E-2</v>
      </c>
      <c r="F205" s="12" t="s">
        <v>171</v>
      </c>
      <c r="G205" s="31">
        <v>3924</v>
      </c>
      <c r="H205" s="18"/>
      <c r="I205" s="29">
        <f t="shared" si="3"/>
        <v>0</v>
      </c>
    </row>
    <row r="206" spans="2:9" ht="27" hidden="1" customHeight="1" x14ac:dyDescent="0.35">
      <c r="B206" s="44"/>
      <c r="C206" s="28"/>
      <c r="D206" s="27" t="s">
        <v>197</v>
      </c>
      <c r="E206" s="13">
        <v>0.33</v>
      </c>
      <c r="F206" s="12" t="s">
        <v>172</v>
      </c>
      <c r="G206" s="31">
        <v>2557</v>
      </c>
      <c r="H206" s="18"/>
      <c r="I206" s="29">
        <f t="shared" si="3"/>
        <v>0</v>
      </c>
    </row>
    <row r="207" spans="2:9" ht="27" hidden="1" customHeight="1" x14ac:dyDescent="0.35">
      <c r="B207" s="44"/>
      <c r="C207" s="34"/>
      <c r="D207" s="36" t="s">
        <v>253</v>
      </c>
      <c r="E207" s="37">
        <v>0.2</v>
      </c>
      <c r="F207" s="41"/>
      <c r="G207" s="39">
        <v>4004</v>
      </c>
      <c r="H207" s="18"/>
      <c r="I207" s="29">
        <f t="shared" si="3"/>
        <v>0</v>
      </c>
    </row>
    <row r="208" spans="2:9" ht="27" hidden="1" customHeight="1" x14ac:dyDescent="0.35">
      <c r="B208" s="44"/>
      <c r="C208" s="34"/>
      <c r="D208" s="36" t="s">
        <v>254</v>
      </c>
      <c r="E208" s="37">
        <v>0.37</v>
      </c>
      <c r="F208" s="41"/>
      <c r="G208" s="39">
        <v>3689</v>
      </c>
      <c r="H208" s="18"/>
      <c r="I208" s="29">
        <f t="shared" si="3"/>
        <v>0</v>
      </c>
    </row>
    <row r="209" spans="2:9" ht="27" hidden="1" customHeight="1" x14ac:dyDescent="0.35">
      <c r="B209" s="44"/>
      <c r="C209" s="34"/>
      <c r="D209" s="35" t="s">
        <v>255</v>
      </c>
      <c r="E209" s="38">
        <v>0.37</v>
      </c>
      <c r="F209" s="42"/>
      <c r="G209" s="40">
        <v>3503</v>
      </c>
      <c r="H209" s="18"/>
      <c r="I209" s="29">
        <f t="shared" si="3"/>
        <v>0</v>
      </c>
    </row>
    <row r="210" spans="2:9" ht="27" hidden="1" customHeight="1" x14ac:dyDescent="0.35">
      <c r="B210" s="44"/>
      <c r="C210" s="34"/>
      <c r="D210" s="35" t="s">
        <v>256</v>
      </c>
      <c r="E210" s="38">
        <v>0.11</v>
      </c>
      <c r="F210" s="42"/>
      <c r="G210" s="40">
        <v>3745</v>
      </c>
      <c r="H210" s="18"/>
      <c r="I210" s="29">
        <f t="shared" si="3"/>
        <v>0</v>
      </c>
    </row>
    <row r="211" spans="2:9" ht="27" hidden="1" customHeight="1" x14ac:dyDescent="0.35">
      <c r="B211" s="44"/>
      <c r="C211" s="34"/>
      <c r="D211" s="35" t="s">
        <v>257</v>
      </c>
      <c r="E211" s="38">
        <v>0.1</v>
      </c>
      <c r="F211" s="42"/>
      <c r="G211" s="40">
        <v>2356</v>
      </c>
      <c r="H211" s="18"/>
      <c r="I211" s="29">
        <f t="shared" si="3"/>
        <v>0</v>
      </c>
    </row>
    <row r="212" spans="2:9" ht="27" hidden="1" customHeight="1" x14ac:dyDescent="0.35">
      <c r="B212" s="44"/>
      <c r="C212" s="34"/>
      <c r="D212" s="35" t="s">
        <v>258</v>
      </c>
      <c r="E212" s="38">
        <v>0.3</v>
      </c>
      <c r="F212" s="42"/>
      <c r="G212" s="40">
        <v>4053</v>
      </c>
      <c r="H212" s="18"/>
      <c r="I212" s="29">
        <f t="shared" si="3"/>
        <v>0</v>
      </c>
    </row>
    <row r="213" spans="2:9" ht="27" hidden="1" customHeight="1" x14ac:dyDescent="0.35">
      <c r="B213" s="44"/>
      <c r="C213" s="34"/>
      <c r="D213" s="35" t="s">
        <v>259</v>
      </c>
      <c r="E213" s="38">
        <v>0.15</v>
      </c>
      <c r="F213" s="42"/>
      <c r="G213" s="40">
        <v>4085</v>
      </c>
      <c r="H213" s="18"/>
      <c r="I213" s="29">
        <f t="shared" si="3"/>
        <v>0</v>
      </c>
    </row>
    <row r="214" spans="2:9" ht="27" hidden="1" customHeight="1" x14ac:dyDescent="0.35">
      <c r="B214" s="44"/>
      <c r="C214" s="34"/>
      <c r="D214" s="35" t="s">
        <v>260</v>
      </c>
      <c r="E214" s="38">
        <v>0.4</v>
      </c>
      <c r="F214" s="42"/>
      <c r="G214" s="40">
        <v>2659</v>
      </c>
      <c r="H214" s="18"/>
      <c r="I214" s="29">
        <f t="shared" si="3"/>
        <v>0</v>
      </c>
    </row>
    <row r="215" spans="2:9" ht="27" hidden="1" customHeight="1" x14ac:dyDescent="0.35">
      <c r="B215" s="44"/>
      <c r="C215" s="34"/>
      <c r="D215" s="35" t="s">
        <v>261</v>
      </c>
      <c r="E215" s="38">
        <v>0.4</v>
      </c>
      <c r="F215" s="42"/>
      <c r="G215" s="40">
        <v>3859</v>
      </c>
      <c r="H215" s="18"/>
      <c r="I215" s="29">
        <f t="shared" si="3"/>
        <v>0</v>
      </c>
    </row>
    <row r="216" spans="2:9" ht="27" hidden="1" customHeight="1" x14ac:dyDescent="0.35">
      <c r="B216" s="44"/>
      <c r="C216" s="34"/>
      <c r="D216" s="35" t="s">
        <v>262</v>
      </c>
      <c r="E216" s="38">
        <v>0.4</v>
      </c>
      <c r="F216" s="42"/>
      <c r="G216" s="40">
        <v>4011</v>
      </c>
      <c r="H216" s="18"/>
      <c r="I216" s="29">
        <f t="shared" si="3"/>
        <v>0</v>
      </c>
    </row>
    <row r="217" spans="2:9" ht="27" hidden="1" customHeight="1" x14ac:dyDescent="0.35">
      <c r="B217" s="44"/>
      <c r="C217" s="34"/>
      <c r="D217" s="35" t="s">
        <v>263</v>
      </c>
      <c r="E217" s="38">
        <v>1</v>
      </c>
      <c r="F217" s="42"/>
      <c r="G217" s="40">
        <v>2201</v>
      </c>
      <c r="H217" s="18"/>
      <c r="I217" s="29">
        <f t="shared" si="3"/>
        <v>0</v>
      </c>
    </row>
    <row r="218" spans="2:9" ht="27" hidden="1" customHeight="1" x14ac:dyDescent="0.35">
      <c r="B218" s="44"/>
      <c r="C218" s="34"/>
      <c r="D218" s="35" t="s">
        <v>264</v>
      </c>
      <c r="E218" s="38">
        <v>1</v>
      </c>
      <c r="F218" s="42"/>
      <c r="G218" s="40">
        <v>3946</v>
      </c>
      <c r="H218" s="18"/>
      <c r="I218" s="29">
        <f t="shared" si="3"/>
        <v>0</v>
      </c>
    </row>
    <row r="219" spans="2:9" ht="27" hidden="1" customHeight="1" x14ac:dyDescent="0.35">
      <c r="B219" s="44"/>
      <c r="C219" s="34"/>
      <c r="D219" s="35" t="s">
        <v>265</v>
      </c>
      <c r="E219" s="38">
        <v>1</v>
      </c>
      <c r="F219" s="42"/>
      <c r="G219" s="40">
        <v>3429</v>
      </c>
      <c r="H219" s="18"/>
      <c r="I219" s="29">
        <f t="shared" si="3"/>
        <v>0</v>
      </c>
    </row>
    <row r="220" spans="2:9" ht="27" hidden="1" customHeight="1" x14ac:dyDescent="0.35">
      <c r="B220" s="44"/>
      <c r="C220" s="34"/>
      <c r="D220" s="35" t="s">
        <v>266</v>
      </c>
      <c r="E220" s="38">
        <v>1</v>
      </c>
      <c r="F220" s="42"/>
      <c r="G220" s="40">
        <v>3926</v>
      </c>
      <c r="H220" s="18"/>
      <c r="I220" s="29">
        <f t="shared" si="3"/>
        <v>0</v>
      </c>
    </row>
    <row r="221" spans="2:9" ht="27" hidden="1" customHeight="1" x14ac:dyDescent="0.35">
      <c r="B221" s="44"/>
      <c r="C221" s="34"/>
      <c r="D221" s="35" t="s">
        <v>267</v>
      </c>
      <c r="E221" s="38">
        <v>0.4</v>
      </c>
      <c r="F221" s="42"/>
      <c r="G221" s="40">
        <v>3942</v>
      </c>
      <c r="H221" s="18"/>
      <c r="I221" s="29">
        <f t="shared" si="3"/>
        <v>0</v>
      </c>
    </row>
    <row r="222" spans="2:9" ht="27" hidden="1" customHeight="1" x14ac:dyDescent="0.35">
      <c r="B222" s="44"/>
      <c r="C222" s="34"/>
      <c r="D222" s="35" t="s">
        <v>268</v>
      </c>
      <c r="E222" s="38">
        <v>0.55000000000000004</v>
      </c>
      <c r="F222" s="42"/>
      <c r="G222" s="40">
        <v>3962</v>
      </c>
      <c r="H222" s="18"/>
      <c r="I222" s="29">
        <f t="shared" si="3"/>
        <v>0</v>
      </c>
    </row>
    <row r="223" spans="2:9" ht="27" hidden="1" customHeight="1" x14ac:dyDescent="0.35">
      <c r="B223" s="44"/>
      <c r="C223" s="34"/>
      <c r="D223" s="35" t="s">
        <v>269</v>
      </c>
      <c r="E223" s="38">
        <v>1</v>
      </c>
      <c r="F223" s="42"/>
      <c r="G223" s="40">
        <v>2998</v>
      </c>
      <c r="H223" s="18"/>
      <c r="I223" s="29">
        <f t="shared" si="3"/>
        <v>0</v>
      </c>
    </row>
    <row r="224" spans="2:9" ht="27" hidden="1" customHeight="1" x14ac:dyDescent="0.35">
      <c r="B224" s="44"/>
      <c r="C224" s="34"/>
      <c r="D224" s="35" t="s">
        <v>270</v>
      </c>
      <c r="E224" s="38">
        <v>0.4</v>
      </c>
      <c r="F224" s="42"/>
      <c r="G224" s="40">
        <v>3742</v>
      </c>
      <c r="H224" s="18"/>
      <c r="I224" s="29">
        <f t="shared" si="3"/>
        <v>0</v>
      </c>
    </row>
    <row r="225" spans="2:9" ht="27" hidden="1" customHeight="1" x14ac:dyDescent="0.35">
      <c r="B225" s="44"/>
      <c r="C225" s="34"/>
      <c r="D225" s="35" t="s">
        <v>271</v>
      </c>
      <c r="E225" s="38">
        <v>1</v>
      </c>
      <c r="F225" s="42"/>
      <c r="G225" s="40">
        <v>3290</v>
      </c>
      <c r="H225" s="18"/>
      <c r="I225" s="29">
        <f t="shared" si="3"/>
        <v>0</v>
      </c>
    </row>
    <row r="226" spans="2:9" ht="27" hidden="1" customHeight="1" x14ac:dyDescent="0.35">
      <c r="B226" s="44"/>
      <c r="C226" s="34"/>
      <c r="D226" s="35" t="s">
        <v>272</v>
      </c>
      <c r="E226" s="38">
        <v>1</v>
      </c>
      <c r="F226" s="42"/>
      <c r="G226" s="40">
        <v>2807</v>
      </c>
      <c r="H226" s="18"/>
      <c r="I226" s="29">
        <f t="shared" si="3"/>
        <v>0</v>
      </c>
    </row>
    <row r="227" spans="2:9" ht="27" hidden="1" customHeight="1" x14ac:dyDescent="0.35">
      <c r="B227" s="44"/>
      <c r="C227" s="34"/>
      <c r="D227" s="35" t="s">
        <v>273</v>
      </c>
      <c r="E227" s="38">
        <v>0.4</v>
      </c>
      <c r="F227" s="42"/>
      <c r="G227" s="40">
        <v>3296</v>
      </c>
      <c r="H227" s="18"/>
      <c r="I227" s="29">
        <f t="shared" si="3"/>
        <v>0</v>
      </c>
    </row>
    <row r="228" spans="2:9" ht="27" hidden="1" customHeight="1" x14ac:dyDescent="0.35">
      <c r="B228" s="44"/>
      <c r="C228" s="34"/>
      <c r="D228" s="35" t="s">
        <v>274</v>
      </c>
      <c r="E228" s="38">
        <v>1</v>
      </c>
      <c r="F228" s="42"/>
      <c r="G228" s="40">
        <v>2967</v>
      </c>
      <c r="H228" s="18"/>
      <c r="I228" s="29">
        <f t="shared" si="3"/>
        <v>0</v>
      </c>
    </row>
    <row r="229" spans="2:9" ht="24.75" customHeight="1" x14ac:dyDescent="0.25">
      <c r="B229" s="24"/>
      <c r="C229" s="43" t="s">
        <v>315</v>
      </c>
      <c r="D229" s="24" t="s">
        <v>46</v>
      </c>
      <c r="E229" s="24"/>
      <c r="F229" s="24"/>
      <c r="G229" s="32"/>
      <c r="H229" s="25">
        <f>SUM(H2:H228)</f>
        <v>1397</v>
      </c>
      <c r="I229" s="26">
        <f>SUM(I2:I228)</f>
        <v>1239.55</v>
      </c>
    </row>
  </sheetData>
  <autoFilter ref="B1:J229" xr:uid="{00000000-0009-0000-0000-000000000000}">
    <filterColumn colId="7">
      <filters>
        <filter val="1 239,550"/>
        <filter val="10,000"/>
        <filter val="100,000"/>
        <filter val="13,500"/>
        <filter val="15,000"/>
        <filter val="150,000"/>
        <filter val="2,100"/>
        <filter val="2,550"/>
        <filter val="20,000"/>
        <filter val="25,000"/>
        <filter val="30,000"/>
        <filter val="300,000"/>
        <filter val="4,200"/>
        <filter val="4,500"/>
        <filter val="40,000"/>
        <filter val="45,000"/>
        <filter val="5,000"/>
        <filter val="50,000"/>
        <filter val="6,300"/>
        <filter val="6,400"/>
        <filter val="60,000"/>
        <filter val="80,000"/>
      </filters>
    </filterColumn>
    <sortState xmlns:xlrd2="http://schemas.microsoft.com/office/spreadsheetml/2017/richdata2" ref="B2:J229">
      <sortCondition ref="B1:B229"/>
    </sortState>
  </autoFilter>
  <sortState xmlns:xlrd2="http://schemas.microsoft.com/office/spreadsheetml/2017/richdata2" ref="D117:I182">
    <sortCondition ref="D117:D182"/>
  </sortState>
  <conditionalFormatting sqref="C229">
    <cfRule type="duplicateValues" dxfId="10" priority="1"/>
    <cfRule type="duplicateValues" dxfId="9" priority="2"/>
    <cfRule type="duplicateValues" dxfId="8" priority="3"/>
  </conditionalFormatting>
  <conditionalFormatting sqref="F1:F1048576">
    <cfRule type="duplicateValues" dxfId="7" priority="26"/>
    <cfRule type="duplicateValues" dxfId="6" priority="104"/>
  </conditionalFormatting>
  <conditionalFormatting sqref="F124">
    <cfRule type="duplicateValues" dxfId="5" priority="103"/>
  </conditionalFormatting>
  <conditionalFormatting sqref="F148">
    <cfRule type="duplicateValues" dxfId="4" priority="101"/>
  </conditionalFormatting>
  <conditionalFormatting sqref="F149:F1048576 F1:F123 F125:F147">
    <cfRule type="duplicateValues" dxfId="3" priority="95"/>
  </conditionalFormatting>
  <pageMargins left="0" right="0" top="0" bottom="0" header="0" footer="0"/>
  <pageSetup paperSize="9" scale="5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82"/>
  <sheetViews>
    <sheetView zoomScale="70" zoomScaleNormal="70" workbookViewId="0">
      <selection activeCell="B21" sqref="B21"/>
    </sheetView>
  </sheetViews>
  <sheetFormatPr defaultRowHeight="21" x14ac:dyDescent="0.35"/>
  <cols>
    <col min="1" max="1" width="4.28515625" style="52" bestFit="1" customWidth="1"/>
    <col min="2" max="2" width="117.28515625" style="52" bestFit="1" customWidth="1"/>
    <col min="3" max="9" width="12.7109375" hidden="1" customWidth="1"/>
    <col min="10" max="10" width="16.28515625" style="52" bestFit="1" customWidth="1"/>
    <col min="11" max="11" width="9.140625" style="52"/>
    <col min="12" max="12" width="14" style="52" customWidth="1"/>
    <col min="13" max="16384" width="9.140625" style="52"/>
  </cols>
  <sheetData>
    <row r="1" spans="1:12" ht="42" x14ac:dyDescent="0.35">
      <c r="A1" s="51" t="s">
        <v>318</v>
      </c>
      <c r="B1" s="30" t="s">
        <v>215</v>
      </c>
      <c r="C1" s="46" t="s">
        <v>323</v>
      </c>
      <c r="D1" s="46" t="s">
        <v>324</v>
      </c>
      <c r="E1" s="46" t="s">
        <v>325</v>
      </c>
      <c r="F1" s="46" t="s">
        <v>326</v>
      </c>
      <c r="G1" s="46" t="s">
        <v>327</v>
      </c>
      <c r="H1" s="46" t="s">
        <v>328</v>
      </c>
      <c r="I1" s="46" t="s">
        <v>329</v>
      </c>
      <c r="J1" s="46" t="s">
        <v>330</v>
      </c>
      <c r="K1" s="50" t="s">
        <v>331</v>
      </c>
      <c r="L1" s="50" t="s">
        <v>332</v>
      </c>
    </row>
    <row r="2" spans="1:12" customFormat="1" hidden="1" x14ac:dyDescent="0.35">
      <c r="A2" s="44">
        <v>1</v>
      </c>
      <c r="B2" s="28" t="s">
        <v>252</v>
      </c>
      <c r="C2" s="47"/>
      <c r="D2" s="47"/>
      <c r="E2" s="47"/>
      <c r="F2" s="47"/>
      <c r="G2" s="47"/>
      <c r="H2" s="47"/>
      <c r="I2" s="47"/>
      <c r="J2" s="48">
        <f>SUM(C2:I2)</f>
        <v>0</v>
      </c>
    </row>
    <row r="3" spans="1:12" x14ac:dyDescent="0.35">
      <c r="A3" s="44">
        <v>2</v>
      </c>
      <c r="B3" s="28" t="s">
        <v>319</v>
      </c>
      <c r="C3" s="47">
        <v>12</v>
      </c>
      <c r="D3" s="47"/>
      <c r="E3" s="47"/>
      <c r="F3" s="47"/>
      <c r="G3" s="47"/>
      <c r="H3" s="47"/>
      <c r="I3" s="47"/>
      <c r="J3" s="48">
        <f t="shared" ref="J3:J66" si="0">SUM(C3:I3)</f>
        <v>12</v>
      </c>
      <c r="K3" s="52">
        <v>0.35</v>
      </c>
      <c r="L3" s="52">
        <f>K3*J3</f>
        <v>4.1999999999999993</v>
      </c>
    </row>
    <row r="4" spans="1:12" x14ac:dyDescent="0.35">
      <c r="A4" s="44">
        <v>3</v>
      </c>
      <c r="B4" s="28" t="s">
        <v>320</v>
      </c>
      <c r="C4" s="47">
        <v>6</v>
      </c>
      <c r="D4" s="47"/>
      <c r="E4" s="47"/>
      <c r="F4" s="47"/>
      <c r="G4" s="47"/>
      <c r="H4" s="47"/>
      <c r="I4" s="47"/>
      <c r="J4" s="48">
        <f t="shared" si="0"/>
        <v>6</v>
      </c>
      <c r="K4" s="52">
        <v>0.35</v>
      </c>
      <c r="L4" s="52">
        <f t="shared" ref="L4:L5" si="1">K4*J4</f>
        <v>2.0999999999999996</v>
      </c>
    </row>
    <row r="5" spans="1:12" x14ac:dyDescent="0.35">
      <c r="A5" s="44">
        <v>4</v>
      </c>
      <c r="B5" s="28" t="s">
        <v>229</v>
      </c>
      <c r="C5" s="47">
        <v>25</v>
      </c>
      <c r="D5" s="47"/>
      <c r="E5" s="47"/>
      <c r="F5" s="47"/>
      <c r="G5" s="47"/>
      <c r="H5" s="47"/>
      <c r="I5" s="47"/>
      <c r="J5" s="48">
        <f t="shared" si="0"/>
        <v>25</v>
      </c>
      <c r="K5" s="52">
        <v>1</v>
      </c>
      <c r="L5" s="52">
        <f t="shared" si="1"/>
        <v>25</v>
      </c>
    </row>
    <row r="6" spans="1:12" customFormat="1" hidden="1" x14ac:dyDescent="0.35">
      <c r="A6" s="44">
        <v>5</v>
      </c>
      <c r="B6" s="28" t="s">
        <v>234</v>
      </c>
      <c r="C6" s="47"/>
      <c r="D6" s="47"/>
      <c r="E6" s="47"/>
      <c r="F6" s="47"/>
      <c r="G6" s="47"/>
      <c r="H6" s="47"/>
      <c r="I6" s="47"/>
      <c r="J6" s="48">
        <f t="shared" si="0"/>
        <v>0</v>
      </c>
    </row>
    <row r="7" spans="1:12" customFormat="1" hidden="1" x14ac:dyDescent="0.35">
      <c r="A7" s="44">
        <v>6</v>
      </c>
      <c r="B7" s="28" t="s">
        <v>232</v>
      </c>
      <c r="C7" s="47"/>
      <c r="D7" s="47"/>
      <c r="E7" s="47"/>
      <c r="F7" s="47"/>
      <c r="G7" s="47"/>
      <c r="H7" s="47"/>
      <c r="I7" s="47"/>
      <c r="J7" s="48">
        <f t="shared" si="0"/>
        <v>0</v>
      </c>
    </row>
    <row r="8" spans="1:12" customFormat="1" hidden="1" x14ac:dyDescent="0.35">
      <c r="A8" s="44">
        <v>7</v>
      </c>
      <c r="B8" s="28" t="s">
        <v>235</v>
      </c>
      <c r="C8" s="47"/>
      <c r="D8" s="47"/>
      <c r="E8" s="47"/>
      <c r="F8" s="47"/>
      <c r="G8" s="47"/>
      <c r="H8" s="47"/>
      <c r="I8" s="47"/>
      <c r="J8" s="48">
        <f t="shared" si="0"/>
        <v>0</v>
      </c>
    </row>
    <row r="9" spans="1:12" x14ac:dyDescent="0.35">
      <c r="A9" s="44">
        <v>8</v>
      </c>
      <c r="B9" s="28" t="s">
        <v>217</v>
      </c>
      <c r="C9" s="47">
        <v>300</v>
      </c>
      <c r="D9" s="47"/>
      <c r="E9" s="47"/>
      <c r="F9" s="47"/>
      <c r="G9" s="47"/>
      <c r="H9" s="47"/>
      <c r="I9" s="47"/>
      <c r="J9" s="48">
        <f t="shared" si="0"/>
        <v>300</v>
      </c>
      <c r="K9" s="52">
        <v>1</v>
      </c>
      <c r="L9" s="52">
        <f>K9*J9</f>
        <v>300</v>
      </c>
    </row>
    <row r="10" spans="1:12" customFormat="1" hidden="1" x14ac:dyDescent="0.35">
      <c r="A10" s="44">
        <v>9</v>
      </c>
      <c r="B10" s="28" t="s">
        <v>230</v>
      </c>
      <c r="C10" s="47"/>
      <c r="D10" s="47"/>
      <c r="E10" s="47"/>
      <c r="F10" s="47"/>
      <c r="G10" s="47"/>
      <c r="H10" s="47"/>
      <c r="I10" s="47"/>
      <c r="J10" s="48">
        <f t="shared" si="0"/>
        <v>0</v>
      </c>
    </row>
    <row r="11" spans="1:12" customFormat="1" hidden="1" x14ac:dyDescent="0.35">
      <c r="A11" s="44">
        <v>10</v>
      </c>
      <c r="B11" s="28" t="s">
        <v>279</v>
      </c>
      <c r="C11" s="47"/>
      <c r="D11" s="47"/>
      <c r="E11" s="47"/>
      <c r="F11" s="47"/>
      <c r="G11" s="47"/>
      <c r="H11" s="47"/>
      <c r="I11" s="47"/>
      <c r="J11" s="48">
        <f t="shared" si="0"/>
        <v>0</v>
      </c>
    </row>
    <row r="12" spans="1:12" x14ac:dyDescent="0.35">
      <c r="A12" s="44">
        <v>11</v>
      </c>
      <c r="B12" s="28" t="s">
        <v>280</v>
      </c>
      <c r="C12" s="47">
        <v>50</v>
      </c>
      <c r="D12" s="47"/>
      <c r="E12" s="47"/>
      <c r="F12" s="47"/>
      <c r="G12" s="47"/>
      <c r="H12" s="47"/>
      <c r="I12" s="47"/>
      <c r="J12" s="48">
        <f t="shared" si="0"/>
        <v>50</v>
      </c>
      <c r="K12" s="52">
        <v>1</v>
      </c>
      <c r="L12" s="52">
        <f>K12*J12</f>
        <v>50</v>
      </c>
    </row>
    <row r="13" spans="1:12" customFormat="1" hidden="1" x14ac:dyDescent="0.35">
      <c r="A13" s="44">
        <v>12</v>
      </c>
      <c r="B13" s="28" t="s">
        <v>281</v>
      </c>
      <c r="C13" s="47"/>
      <c r="D13" s="47"/>
      <c r="E13" s="47"/>
      <c r="F13" s="47"/>
      <c r="G13" s="47"/>
      <c r="H13" s="47"/>
      <c r="I13" s="47"/>
      <c r="J13" s="48">
        <f t="shared" si="0"/>
        <v>0</v>
      </c>
    </row>
    <row r="14" spans="1:12" x14ac:dyDescent="0.35">
      <c r="A14" s="44">
        <v>13</v>
      </c>
      <c r="B14" s="28" t="s">
        <v>236</v>
      </c>
      <c r="C14" s="47">
        <v>30</v>
      </c>
      <c r="D14" s="47"/>
      <c r="E14" s="47"/>
      <c r="F14" s="47"/>
      <c r="G14" s="47"/>
      <c r="H14" s="47"/>
      <c r="I14" s="47"/>
      <c r="J14" s="48">
        <f t="shared" si="0"/>
        <v>30</v>
      </c>
      <c r="K14" s="52">
        <v>1</v>
      </c>
      <c r="L14" s="52">
        <f t="shared" ref="L14:L18" si="2">K14*J14</f>
        <v>30</v>
      </c>
    </row>
    <row r="15" spans="1:12" x14ac:dyDescent="0.35">
      <c r="A15" s="44">
        <v>14</v>
      </c>
      <c r="B15" s="28" t="s">
        <v>219</v>
      </c>
      <c r="C15" s="47">
        <v>100</v>
      </c>
      <c r="D15" s="47"/>
      <c r="E15" s="47"/>
      <c r="F15" s="47"/>
      <c r="G15" s="47"/>
      <c r="H15" s="47"/>
      <c r="I15" s="47"/>
      <c r="J15" s="48">
        <f t="shared" si="0"/>
        <v>100</v>
      </c>
      <c r="K15" s="52">
        <v>0.45</v>
      </c>
      <c r="L15" s="52">
        <f t="shared" si="2"/>
        <v>45</v>
      </c>
    </row>
    <row r="16" spans="1:12" x14ac:dyDescent="0.35">
      <c r="A16" s="44">
        <v>15</v>
      </c>
      <c r="B16" s="28" t="s">
        <v>223</v>
      </c>
      <c r="C16" s="47">
        <v>15</v>
      </c>
      <c r="D16" s="47"/>
      <c r="E16" s="47"/>
      <c r="F16" s="47"/>
      <c r="G16" s="47"/>
      <c r="H16" s="47"/>
      <c r="I16" s="47"/>
      <c r="J16" s="48">
        <f t="shared" si="0"/>
        <v>15</v>
      </c>
      <c r="K16" s="52">
        <v>1</v>
      </c>
      <c r="L16" s="52">
        <f t="shared" si="2"/>
        <v>15</v>
      </c>
    </row>
    <row r="17" spans="1:12" x14ac:dyDescent="0.35">
      <c r="A17" s="44">
        <v>16</v>
      </c>
      <c r="B17" s="28" t="s">
        <v>221</v>
      </c>
      <c r="C17" s="47">
        <v>10</v>
      </c>
      <c r="D17" s="47"/>
      <c r="E17" s="47"/>
      <c r="F17" s="47"/>
      <c r="G17" s="47"/>
      <c r="H17" s="47"/>
      <c r="I17" s="47"/>
      <c r="J17" s="48">
        <f t="shared" si="0"/>
        <v>10</v>
      </c>
      <c r="K17" s="52">
        <v>1</v>
      </c>
      <c r="L17" s="52">
        <f t="shared" si="2"/>
        <v>10</v>
      </c>
    </row>
    <row r="18" spans="1:12" x14ac:dyDescent="0.35">
      <c r="A18" s="44">
        <v>17</v>
      </c>
      <c r="B18" s="28" t="s">
        <v>233</v>
      </c>
      <c r="C18" s="47">
        <v>5</v>
      </c>
      <c r="D18" s="47"/>
      <c r="E18" s="47"/>
      <c r="F18" s="47"/>
      <c r="G18" s="47"/>
      <c r="H18" s="47"/>
      <c r="I18" s="47"/>
      <c r="J18" s="48">
        <f t="shared" si="0"/>
        <v>5</v>
      </c>
      <c r="K18" s="52">
        <v>1</v>
      </c>
      <c r="L18" s="52">
        <f t="shared" si="2"/>
        <v>5</v>
      </c>
    </row>
    <row r="19" spans="1:12" customFormat="1" hidden="1" x14ac:dyDescent="0.35">
      <c r="A19" s="44">
        <v>18</v>
      </c>
      <c r="B19" s="28" t="s">
        <v>282</v>
      </c>
      <c r="C19" s="47"/>
      <c r="D19" s="47"/>
      <c r="E19" s="47"/>
      <c r="F19" s="47"/>
      <c r="G19" s="47"/>
      <c r="H19" s="47"/>
      <c r="I19" s="47"/>
      <c r="J19" s="48">
        <f t="shared" si="0"/>
        <v>0</v>
      </c>
    </row>
    <row r="20" spans="1:12" customFormat="1" hidden="1" x14ac:dyDescent="0.35">
      <c r="A20" s="44">
        <v>19</v>
      </c>
      <c r="B20" s="28" t="s">
        <v>283</v>
      </c>
      <c r="C20" s="47"/>
      <c r="D20" s="47"/>
      <c r="E20" s="47"/>
      <c r="F20" s="47"/>
      <c r="G20" s="47"/>
      <c r="H20" s="47"/>
      <c r="I20" s="47"/>
      <c r="J20" s="48">
        <f t="shared" si="0"/>
        <v>0</v>
      </c>
    </row>
    <row r="21" spans="1:12" x14ac:dyDescent="0.35">
      <c r="A21" s="44">
        <v>20</v>
      </c>
      <c r="B21" s="28" t="s">
        <v>284</v>
      </c>
      <c r="C21" s="47">
        <v>5</v>
      </c>
      <c r="D21" s="47"/>
      <c r="E21" s="47"/>
      <c r="F21" s="47"/>
      <c r="G21" s="47"/>
      <c r="H21" s="47"/>
      <c r="I21" s="47"/>
      <c r="J21" s="48">
        <f t="shared" si="0"/>
        <v>5</v>
      </c>
      <c r="K21" s="52">
        <v>1</v>
      </c>
      <c r="L21" s="52">
        <f>K21*J21</f>
        <v>5</v>
      </c>
    </row>
    <row r="22" spans="1:12" customFormat="1" hidden="1" x14ac:dyDescent="0.35">
      <c r="A22" s="44">
        <v>21</v>
      </c>
      <c r="B22" s="28" t="s">
        <v>321</v>
      </c>
      <c r="C22" s="47"/>
      <c r="D22" s="47"/>
      <c r="E22" s="47"/>
      <c r="F22" s="47"/>
      <c r="G22" s="47"/>
      <c r="H22" s="47"/>
      <c r="I22" s="47"/>
      <c r="J22" s="48">
        <f t="shared" si="0"/>
        <v>0</v>
      </c>
    </row>
    <row r="23" spans="1:12" customFormat="1" hidden="1" x14ac:dyDescent="0.35">
      <c r="A23" s="44">
        <v>22</v>
      </c>
      <c r="B23" s="28" t="s">
        <v>285</v>
      </c>
      <c r="C23" s="47"/>
      <c r="D23" s="47"/>
      <c r="E23" s="47"/>
      <c r="F23" s="47"/>
      <c r="G23" s="47"/>
      <c r="H23" s="47"/>
      <c r="I23" s="47"/>
      <c r="J23" s="48">
        <f t="shared" si="0"/>
        <v>0</v>
      </c>
    </row>
    <row r="24" spans="1:12" x14ac:dyDescent="0.35">
      <c r="A24" s="44">
        <v>23</v>
      </c>
      <c r="B24" s="28" t="s">
        <v>240</v>
      </c>
      <c r="C24" s="47">
        <v>16</v>
      </c>
      <c r="D24" s="47"/>
      <c r="E24" s="47"/>
      <c r="F24" s="47"/>
      <c r="G24" s="47"/>
      <c r="H24" s="47"/>
      <c r="I24" s="47"/>
      <c r="J24" s="48">
        <f t="shared" si="0"/>
        <v>16</v>
      </c>
      <c r="K24" s="52">
        <v>0.4</v>
      </c>
      <c r="L24" s="52">
        <f>K24*J24</f>
        <v>6.4</v>
      </c>
    </row>
    <row r="25" spans="1:12" customFormat="1" hidden="1" x14ac:dyDescent="0.35">
      <c r="A25" s="44">
        <v>24</v>
      </c>
      <c r="B25" s="28" t="s">
        <v>286</v>
      </c>
      <c r="C25" s="47"/>
      <c r="D25" s="47"/>
      <c r="E25" s="47"/>
      <c r="F25" s="47"/>
      <c r="G25" s="47"/>
      <c r="H25" s="47"/>
      <c r="I25" s="47"/>
      <c r="J25" s="48">
        <f t="shared" si="0"/>
        <v>0</v>
      </c>
    </row>
    <row r="26" spans="1:12" customFormat="1" hidden="1" x14ac:dyDescent="0.35">
      <c r="A26" s="44">
        <v>25</v>
      </c>
      <c r="B26" s="28" t="s">
        <v>275</v>
      </c>
      <c r="C26" s="47"/>
      <c r="D26" s="47"/>
      <c r="E26" s="47"/>
      <c r="F26" s="47"/>
      <c r="G26" s="47"/>
      <c r="H26" s="47"/>
      <c r="I26" s="47"/>
      <c r="J26" s="48">
        <f t="shared" si="0"/>
        <v>0</v>
      </c>
    </row>
    <row r="27" spans="1:12" x14ac:dyDescent="0.35">
      <c r="A27" s="44">
        <v>26</v>
      </c>
      <c r="B27" s="28" t="s">
        <v>220</v>
      </c>
      <c r="C27" s="47">
        <v>50</v>
      </c>
      <c r="D27" s="47"/>
      <c r="E27" s="47"/>
      <c r="F27" s="47"/>
      <c r="G27" s="47"/>
      <c r="H27" s="47"/>
      <c r="I27" s="47"/>
      <c r="J27" s="48">
        <f t="shared" si="0"/>
        <v>50</v>
      </c>
      <c r="K27" s="52">
        <v>0.4</v>
      </c>
      <c r="L27" s="52">
        <f t="shared" ref="L27:L29" si="3">K27*J27</f>
        <v>20</v>
      </c>
    </row>
    <row r="28" spans="1:12" x14ac:dyDescent="0.35">
      <c r="A28" s="44">
        <v>27</v>
      </c>
      <c r="B28" s="28" t="s">
        <v>287</v>
      </c>
      <c r="C28" s="47">
        <v>60</v>
      </c>
      <c r="D28" s="47"/>
      <c r="E28" s="47"/>
      <c r="F28" s="47"/>
      <c r="G28" s="47"/>
      <c r="H28" s="47"/>
      <c r="I28" s="47"/>
      <c r="J28" s="48">
        <f t="shared" si="0"/>
        <v>60</v>
      </c>
      <c r="K28" s="52">
        <v>1</v>
      </c>
      <c r="L28" s="52">
        <f t="shared" si="3"/>
        <v>60</v>
      </c>
    </row>
    <row r="29" spans="1:12" x14ac:dyDescent="0.35">
      <c r="A29" s="44">
        <v>28</v>
      </c>
      <c r="B29" s="28" t="s">
        <v>228</v>
      </c>
      <c r="C29" s="47">
        <v>18</v>
      </c>
      <c r="D29" s="47"/>
      <c r="E29" s="47"/>
      <c r="F29" s="47"/>
      <c r="G29" s="47"/>
      <c r="H29" s="47"/>
      <c r="I29" s="47"/>
      <c r="J29" s="48">
        <f t="shared" si="0"/>
        <v>18</v>
      </c>
      <c r="K29" s="52">
        <v>0.35</v>
      </c>
      <c r="L29" s="52">
        <f t="shared" si="3"/>
        <v>6.3</v>
      </c>
    </row>
    <row r="30" spans="1:12" customFormat="1" hidden="1" x14ac:dyDescent="0.35">
      <c r="A30" s="44">
        <v>29</v>
      </c>
      <c r="B30" s="28" t="s">
        <v>239</v>
      </c>
      <c r="C30" s="47"/>
      <c r="D30" s="47"/>
      <c r="E30" s="47"/>
      <c r="F30" s="47"/>
      <c r="G30" s="47"/>
      <c r="H30" s="47"/>
      <c r="I30" s="47"/>
      <c r="J30" s="48">
        <f t="shared" si="0"/>
        <v>0</v>
      </c>
    </row>
    <row r="31" spans="1:12" customFormat="1" hidden="1" x14ac:dyDescent="0.35">
      <c r="A31" s="44">
        <v>30</v>
      </c>
      <c r="B31" s="28" t="s">
        <v>288</v>
      </c>
      <c r="C31" s="47"/>
      <c r="D31" s="47"/>
      <c r="E31" s="47"/>
      <c r="F31" s="47"/>
      <c r="G31" s="47"/>
      <c r="H31" s="47"/>
      <c r="I31" s="47"/>
      <c r="J31" s="48">
        <f t="shared" si="0"/>
        <v>0</v>
      </c>
    </row>
    <row r="32" spans="1:12" x14ac:dyDescent="0.35">
      <c r="A32" s="44">
        <v>31</v>
      </c>
      <c r="B32" s="28" t="s">
        <v>289</v>
      </c>
      <c r="C32" s="47">
        <v>20</v>
      </c>
      <c r="D32" s="47"/>
      <c r="E32" s="47"/>
      <c r="F32" s="47"/>
      <c r="G32" s="47"/>
      <c r="H32" s="47"/>
      <c r="I32" s="47"/>
      <c r="J32" s="48">
        <f t="shared" si="0"/>
        <v>20</v>
      </c>
      <c r="K32" s="52">
        <v>1</v>
      </c>
      <c r="L32" s="52">
        <f t="shared" ref="L32:L33" si="4">K32*J32</f>
        <v>20</v>
      </c>
    </row>
    <row r="33" spans="1:12" x14ac:dyDescent="0.35">
      <c r="A33" s="44">
        <v>32</v>
      </c>
      <c r="B33" s="28" t="s">
        <v>224</v>
      </c>
      <c r="C33" s="47">
        <v>30</v>
      </c>
      <c r="D33" s="47"/>
      <c r="E33" s="47"/>
      <c r="F33" s="47"/>
      <c r="G33" s="47"/>
      <c r="H33" s="47"/>
      <c r="I33" s="47"/>
      <c r="J33" s="48">
        <f t="shared" si="0"/>
        <v>30</v>
      </c>
      <c r="K33" s="52">
        <v>1</v>
      </c>
      <c r="L33" s="52">
        <f t="shared" si="4"/>
        <v>30</v>
      </c>
    </row>
    <row r="34" spans="1:12" customFormat="1" hidden="1" x14ac:dyDescent="0.35">
      <c r="A34" s="44">
        <v>33</v>
      </c>
      <c r="B34" s="28" t="s">
        <v>238</v>
      </c>
      <c r="C34" s="47"/>
      <c r="D34" s="47"/>
      <c r="E34" s="47"/>
      <c r="F34" s="47"/>
      <c r="G34" s="47"/>
      <c r="H34" s="47"/>
      <c r="I34" s="47"/>
      <c r="J34" s="48">
        <f t="shared" si="0"/>
        <v>0</v>
      </c>
    </row>
    <row r="35" spans="1:12" customFormat="1" hidden="1" x14ac:dyDescent="0.35">
      <c r="A35" s="44">
        <v>34</v>
      </c>
      <c r="B35" s="28" t="s">
        <v>290</v>
      </c>
      <c r="C35" s="47"/>
      <c r="D35" s="47"/>
      <c r="E35" s="47"/>
      <c r="F35" s="47"/>
      <c r="G35" s="47"/>
      <c r="H35" s="47"/>
      <c r="I35" s="47"/>
      <c r="J35" s="48">
        <f t="shared" si="0"/>
        <v>0</v>
      </c>
    </row>
    <row r="36" spans="1:12" customFormat="1" hidden="1" x14ac:dyDescent="0.35">
      <c r="A36" s="44">
        <v>35</v>
      </c>
      <c r="B36" s="28" t="s">
        <v>291</v>
      </c>
      <c r="C36" s="47"/>
      <c r="D36" s="47"/>
      <c r="E36" s="47"/>
      <c r="F36" s="47"/>
      <c r="G36" s="47"/>
      <c r="H36" s="47"/>
      <c r="I36" s="47"/>
      <c r="J36" s="48">
        <f t="shared" si="0"/>
        <v>0</v>
      </c>
    </row>
    <row r="37" spans="1:12" x14ac:dyDescent="0.35">
      <c r="A37" s="44">
        <v>36</v>
      </c>
      <c r="B37" s="28" t="s">
        <v>292</v>
      </c>
      <c r="C37" s="47">
        <v>60</v>
      </c>
      <c r="D37" s="47"/>
      <c r="E37" s="47"/>
      <c r="F37" s="47"/>
      <c r="G37" s="47"/>
      <c r="H37" s="47"/>
      <c r="I37" s="47"/>
      <c r="J37" s="48">
        <f t="shared" si="0"/>
        <v>60</v>
      </c>
      <c r="K37" s="52">
        <v>1</v>
      </c>
      <c r="L37" s="52">
        <f t="shared" ref="L37:L38" si="5">K37*J37</f>
        <v>60</v>
      </c>
    </row>
    <row r="38" spans="1:12" x14ac:dyDescent="0.35">
      <c r="A38" s="44">
        <v>37</v>
      </c>
      <c r="B38" s="28" t="s">
        <v>293</v>
      </c>
      <c r="C38" s="47">
        <v>80</v>
      </c>
      <c r="D38" s="47"/>
      <c r="E38" s="47"/>
      <c r="F38" s="47"/>
      <c r="G38" s="47"/>
      <c r="H38" s="47"/>
      <c r="I38" s="47"/>
      <c r="J38" s="48">
        <f t="shared" si="0"/>
        <v>80</v>
      </c>
      <c r="K38" s="52">
        <v>1</v>
      </c>
      <c r="L38" s="52">
        <f t="shared" si="5"/>
        <v>80</v>
      </c>
    </row>
    <row r="39" spans="1:12" customFormat="1" hidden="1" x14ac:dyDescent="0.35">
      <c r="A39" s="44">
        <v>38</v>
      </c>
      <c r="B39" s="28" t="s">
        <v>322</v>
      </c>
      <c r="C39" s="47"/>
      <c r="D39" s="47"/>
      <c r="E39" s="47"/>
      <c r="F39" s="47"/>
      <c r="G39" s="47"/>
      <c r="H39" s="47"/>
      <c r="I39" s="47"/>
      <c r="J39" s="48">
        <f t="shared" si="0"/>
        <v>0</v>
      </c>
    </row>
    <row r="40" spans="1:12" x14ac:dyDescent="0.35">
      <c r="A40" s="44">
        <v>39</v>
      </c>
      <c r="B40" s="28" t="s">
        <v>294</v>
      </c>
      <c r="C40" s="47">
        <v>100</v>
      </c>
      <c r="D40" s="47"/>
      <c r="E40" s="47"/>
      <c r="F40" s="47"/>
      <c r="G40" s="47"/>
      <c r="H40" s="47"/>
      <c r="I40" s="47"/>
      <c r="J40" s="48">
        <f t="shared" si="0"/>
        <v>100</v>
      </c>
      <c r="K40" s="52">
        <v>1</v>
      </c>
      <c r="L40" s="52">
        <f>K40*J40</f>
        <v>100</v>
      </c>
    </row>
    <row r="41" spans="1:12" customFormat="1" hidden="1" x14ac:dyDescent="0.35">
      <c r="A41" s="44">
        <v>40</v>
      </c>
      <c r="B41" s="28" t="s">
        <v>237</v>
      </c>
      <c r="C41" s="47"/>
      <c r="D41" s="47"/>
      <c r="E41" s="47"/>
      <c r="F41" s="47"/>
      <c r="G41" s="47"/>
      <c r="H41" s="47"/>
      <c r="I41" s="47"/>
      <c r="J41" s="48">
        <f t="shared" si="0"/>
        <v>0</v>
      </c>
    </row>
    <row r="42" spans="1:12" x14ac:dyDescent="0.35">
      <c r="A42" s="44">
        <v>41</v>
      </c>
      <c r="B42" s="28" t="s">
        <v>295</v>
      </c>
      <c r="C42" s="47">
        <v>30</v>
      </c>
      <c r="D42" s="47"/>
      <c r="E42" s="47"/>
      <c r="F42" s="47"/>
      <c r="G42" s="47"/>
      <c r="H42" s="47"/>
      <c r="I42" s="47"/>
      <c r="J42" s="48">
        <f t="shared" si="0"/>
        <v>30</v>
      </c>
      <c r="K42" s="52">
        <v>1</v>
      </c>
      <c r="L42" s="52">
        <f>K42*J42</f>
        <v>30</v>
      </c>
    </row>
    <row r="43" spans="1:12" customFormat="1" hidden="1" x14ac:dyDescent="0.35">
      <c r="A43" s="44">
        <v>42</v>
      </c>
      <c r="B43" s="28" t="s">
        <v>296</v>
      </c>
      <c r="C43" s="47"/>
      <c r="D43" s="47"/>
      <c r="E43" s="47"/>
      <c r="F43" s="47"/>
      <c r="G43" s="47"/>
      <c r="H43" s="47"/>
      <c r="I43" s="47"/>
      <c r="J43" s="48">
        <f t="shared" si="0"/>
        <v>0</v>
      </c>
    </row>
    <row r="44" spans="1:12" customFormat="1" hidden="1" x14ac:dyDescent="0.35">
      <c r="A44" s="44">
        <v>43</v>
      </c>
      <c r="B44" s="28" t="s">
        <v>276</v>
      </c>
      <c r="C44" s="47"/>
      <c r="D44" s="47"/>
      <c r="E44" s="47"/>
      <c r="F44" s="47"/>
      <c r="G44" s="47"/>
      <c r="H44" s="47"/>
      <c r="I44" s="47"/>
      <c r="J44" s="48">
        <f t="shared" si="0"/>
        <v>0</v>
      </c>
    </row>
    <row r="45" spans="1:12" x14ac:dyDescent="0.35">
      <c r="A45" s="44">
        <v>44</v>
      </c>
      <c r="B45" s="28" t="s">
        <v>297</v>
      </c>
      <c r="C45" s="47">
        <v>25</v>
      </c>
      <c r="D45" s="47"/>
      <c r="E45" s="47"/>
      <c r="F45" s="47"/>
      <c r="G45" s="47"/>
      <c r="H45" s="47"/>
      <c r="I45" s="47"/>
      <c r="J45" s="48">
        <f t="shared" si="0"/>
        <v>25</v>
      </c>
      <c r="K45" s="52">
        <v>1</v>
      </c>
      <c r="L45" s="52">
        <f>K45*J45</f>
        <v>25</v>
      </c>
    </row>
    <row r="46" spans="1:12" customFormat="1" hidden="1" x14ac:dyDescent="0.35">
      <c r="A46" s="44">
        <v>45</v>
      </c>
      <c r="B46" s="28" t="s">
        <v>227</v>
      </c>
      <c r="C46" s="47"/>
      <c r="D46" s="47"/>
      <c r="E46" s="47"/>
      <c r="F46" s="47"/>
      <c r="G46" s="47"/>
      <c r="H46" s="47"/>
      <c r="I46" s="47"/>
      <c r="J46" s="48">
        <f t="shared" si="0"/>
        <v>0</v>
      </c>
    </row>
    <row r="47" spans="1:12" x14ac:dyDescent="0.35">
      <c r="A47" s="44">
        <v>46</v>
      </c>
      <c r="B47" s="28" t="s">
        <v>218</v>
      </c>
      <c r="C47" s="47">
        <v>40</v>
      </c>
      <c r="D47" s="47"/>
      <c r="E47" s="47"/>
      <c r="F47" s="47"/>
      <c r="G47" s="47"/>
      <c r="H47" s="47"/>
      <c r="I47" s="47"/>
      <c r="J47" s="48">
        <f t="shared" si="0"/>
        <v>40</v>
      </c>
      <c r="K47" s="52">
        <v>1</v>
      </c>
      <c r="L47" s="52">
        <f>K47*J47</f>
        <v>40</v>
      </c>
    </row>
    <row r="48" spans="1:12" customFormat="1" hidden="1" x14ac:dyDescent="0.35">
      <c r="A48" s="44">
        <v>47</v>
      </c>
      <c r="B48" s="28" t="s">
        <v>298</v>
      </c>
      <c r="C48" s="47"/>
      <c r="D48" s="47"/>
      <c r="E48" s="47"/>
      <c r="F48" s="47"/>
      <c r="G48" s="47"/>
      <c r="H48" s="47"/>
      <c r="I48" s="47"/>
      <c r="J48" s="48">
        <f t="shared" si="0"/>
        <v>0</v>
      </c>
    </row>
    <row r="49" spans="1:12" customFormat="1" hidden="1" x14ac:dyDescent="0.35">
      <c r="A49" s="44">
        <v>48</v>
      </c>
      <c r="B49" s="28" t="s">
        <v>249</v>
      </c>
      <c r="C49" s="47"/>
      <c r="D49" s="47"/>
      <c r="E49" s="47"/>
      <c r="F49" s="47"/>
      <c r="G49" s="47"/>
      <c r="H49" s="47"/>
      <c r="I49" s="47"/>
      <c r="J49" s="48">
        <f t="shared" si="0"/>
        <v>0</v>
      </c>
    </row>
    <row r="50" spans="1:12" customFormat="1" hidden="1" x14ac:dyDescent="0.35">
      <c r="A50" s="44">
        <v>49</v>
      </c>
      <c r="B50" s="28" t="s">
        <v>242</v>
      </c>
      <c r="C50" s="47"/>
      <c r="D50" s="47"/>
      <c r="E50" s="47"/>
      <c r="F50" s="47"/>
      <c r="G50" s="47"/>
      <c r="H50" s="47"/>
      <c r="I50" s="47"/>
      <c r="J50" s="48">
        <f t="shared" si="0"/>
        <v>0</v>
      </c>
    </row>
    <row r="51" spans="1:12" customFormat="1" hidden="1" x14ac:dyDescent="0.35">
      <c r="A51" s="44">
        <v>50</v>
      </c>
      <c r="B51" s="28" t="s">
        <v>299</v>
      </c>
      <c r="C51" s="47"/>
      <c r="D51" s="47"/>
      <c r="E51" s="47"/>
      <c r="F51" s="47"/>
      <c r="G51" s="47"/>
      <c r="H51" s="47"/>
      <c r="I51" s="47"/>
      <c r="J51" s="48">
        <f t="shared" si="0"/>
        <v>0</v>
      </c>
    </row>
    <row r="52" spans="1:12" customFormat="1" hidden="1" x14ac:dyDescent="0.35">
      <c r="A52" s="44">
        <v>51</v>
      </c>
      <c r="B52" s="28" t="s">
        <v>300</v>
      </c>
      <c r="C52" s="47"/>
      <c r="D52" s="47"/>
      <c r="E52" s="47"/>
      <c r="F52" s="47"/>
      <c r="G52" s="47"/>
      <c r="H52" s="47"/>
      <c r="I52" s="47"/>
      <c r="J52" s="48">
        <f t="shared" si="0"/>
        <v>0</v>
      </c>
    </row>
    <row r="53" spans="1:12" customFormat="1" hidden="1" x14ac:dyDescent="0.35">
      <c r="A53" s="44">
        <v>52</v>
      </c>
      <c r="B53" s="28" t="s">
        <v>301</v>
      </c>
      <c r="C53" s="47"/>
      <c r="D53" s="47"/>
      <c r="E53" s="47"/>
      <c r="F53" s="47"/>
      <c r="G53" s="47"/>
      <c r="H53" s="47"/>
      <c r="I53" s="47"/>
      <c r="J53" s="48">
        <f t="shared" si="0"/>
        <v>0</v>
      </c>
    </row>
    <row r="54" spans="1:12" customFormat="1" hidden="1" x14ac:dyDescent="0.35">
      <c r="A54" s="44">
        <v>53</v>
      </c>
      <c r="B54" s="28" t="s">
        <v>243</v>
      </c>
      <c r="C54" s="47"/>
      <c r="D54" s="47"/>
      <c r="E54" s="47"/>
      <c r="F54" s="47"/>
      <c r="G54" s="47"/>
      <c r="H54" s="47"/>
      <c r="I54" s="47"/>
      <c r="J54" s="48">
        <f t="shared" si="0"/>
        <v>0</v>
      </c>
    </row>
    <row r="55" spans="1:12" customFormat="1" hidden="1" x14ac:dyDescent="0.35">
      <c r="A55" s="44">
        <v>54</v>
      </c>
      <c r="B55" s="28" t="s">
        <v>302</v>
      </c>
      <c r="C55" s="47"/>
      <c r="D55" s="47"/>
      <c r="E55" s="47"/>
      <c r="F55" s="47"/>
      <c r="G55" s="47"/>
      <c r="H55" s="47"/>
      <c r="I55" s="47"/>
      <c r="J55" s="48">
        <f t="shared" si="0"/>
        <v>0</v>
      </c>
    </row>
    <row r="56" spans="1:12" x14ac:dyDescent="0.35">
      <c r="A56" s="44">
        <v>55</v>
      </c>
      <c r="B56" s="28" t="s">
        <v>303</v>
      </c>
      <c r="C56" s="47">
        <v>150</v>
      </c>
      <c r="D56" s="47"/>
      <c r="E56" s="47"/>
      <c r="F56" s="47"/>
      <c r="G56" s="47"/>
      <c r="H56" s="47"/>
      <c r="I56" s="47"/>
      <c r="J56" s="48">
        <f t="shared" si="0"/>
        <v>150</v>
      </c>
      <c r="K56" s="52">
        <v>1</v>
      </c>
      <c r="L56" s="52">
        <f>K56*J56</f>
        <v>150</v>
      </c>
    </row>
    <row r="57" spans="1:12" customFormat="1" hidden="1" x14ac:dyDescent="0.35">
      <c r="A57" s="44">
        <v>56</v>
      </c>
      <c r="B57" s="28" t="s">
        <v>245</v>
      </c>
      <c r="C57" s="47"/>
      <c r="D57" s="47"/>
      <c r="E57" s="47"/>
      <c r="F57" s="47"/>
      <c r="G57" s="47"/>
      <c r="H57" s="47"/>
      <c r="I57" s="47"/>
      <c r="J57" s="48">
        <f t="shared" si="0"/>
        <v>0</v>
      </c>
    </row>
    <row r="58" spans="1:12" customFormat="1" hidden="1" x14ac:dyDescent="0.35">
      <c r="A58" s="44">
        <v>57</v>
      </c>
      <c r="B58" s="28" t="s">
        <v>250</v>
      </c>
      <c r="C58" s="47"/>
      <c r="D58" s="47"/>
      <c r="E58" s="47"/>
      <c r="F58" s="47"/>
      <c r="G58" s="47"/>
      <c r="H58" s="47"/>
      <c r="I58" s="47"/>
      <c r="J58" s="48">
        <f t="shared" si="0"/>
        <v>0</v>
      </c>
    </row>
    <row r="59" spans="1:12" x14ac:dyDescent="0.35">
      <c r="A59" s="44">
        <v>58</v>
      </c>
      <c r="B59" s="28" t="s">
        <v>304</v>
      </c>
      <c r="C59" s="47">
        <v>10</v>
      </c>
      <c r="D59" s="47"/>
      <c r="E59" s="47"/>
      <c r="F59" s="47"/>
      <c r="G59" s="47"/>
      <c r="H59" s="47"/>
      <c r="I59" s="47"/>
      <c r="J59" s="48">
        <f t="shared" si="0"/>
        <v>10</v>
      </c>
      <c r="K59" s="52">
        <v>1</v>
      </c>
      <c r="L59" s="52">
        <f>K59*J59</f>
        <v>10</v>
      </c>
    </row>
    <row r="60" spans="1:12" customFormat="1" hidden="1" x14ac:dyDescent="0.35">
      <c r="A60" s="44">
        <v>59</v>
      </c>
      <c r="B60" s="28" t="s">
        <v>246</v>
      </c>
      <c r="C60" s="47"/>
      <c r="D60" s="47"/>
      <c r="E60" s="47"/>
      <c r="F60" s="47"/>
      <c r="G60" s="47"/>
      <c r="H60" s="47"/>
      <c r="I60" s="47"/>
      <c r="J60" s="48">
        <f t="shared" si="0"/>
        <v>0</v>
      </c>
    </row>
    <row r="61" spans="1:12" customFormat="1" hidden="1" x14ac:dyDescent="0.35">
      <c r="A61" s="44">
        <v>60</v>
      </c>
      <c r="B61" s="28" t="s">
        <v>305</v>
      </c>
      <c r="C61" s="47"/>
      <c r="D61" s="47"/>
      <c r="E61" s="47"/>
      <c r="F61" s="47"/>
      <c r="G61" s="47"/>
      <c r="H61" s="47"/>
      <c r="I61" s="47"/>
      <c r="J61" s="48">
        <f t="shared" si="0"/>
        <v>0</v>
      </c>
    </row>
    <row r="62" spans="1:12" x14ac:dyDescent="0.35">
      <c r="A62" s="44">
        <v>61</v>
      </c>
      <c r="B62" s="28" t="s">
        <v>231</v>
      </c>
      <c r="C62" s="47">
        <v>15</v>
      </c>
      <c r="D62" s="47"/>
      <c r="E62" s="47"/>
      <c r="F62" s="47"/>
      <c r="G62" s="47"/>
      <c r="H62" s="47"/>
      <c r="I62" s="47"/>
      <c r="J62" s="48">
        <f t="shared" si="0"/>
        <v>15</v>
      </c>
      <c r="K62" s="52">
        <v>1</v>
      </c>
      <c r="L62" s="52">
        <f>K62*J62</f>
        <v>15</v>
      </c>
    </row>
    <row r="63" spans="1:12" customFormat="1" hidden="1" x14ac:dyDescent="0.35">
      <c r="A63" s="44">
        <v>62</v>
      </c>
      <c r="B63" s="28" t="s">
        <v>247</v>
      </c>
      <c r="C63" s="47"/>
      <c r="D63" s="47"/>
      <c r="E63" s="47"/>
      <c r="F63" s="47"/>
      <c r="G63" s="47"/>
      <c r="H63" s="47"/>
      <c r="I63" s="47"/>
      <c r="J63" s="48">
        <f t="shared" si="0"/>
        <v>0</v>
      </c>
    </row>
    <row r="64" spans="1:12" customFormat="1" hidden="1" x14ac:dyDescent="0.35">
      <c r="A64" s="44">
        <v>63</v>
      </c>
      <c r="B64" s="28" t="s">
        <v>306</v>
      </c>
      <c r="C64" s="47"/>
      <c r="D64" s="47"/>
      <c r="E64" s="47"/>
      <c r="F64" s="47"/>
      <c r="G64" s="47"/>
      <c r="H64" s="47"/>
      <c r="I64" s="47"/>
      <c r="J64" s="48">
        <f t="shared" si="0"/>
        <v>0</v>
      </c>
    </row>
    <row r="65" spans="1:12" customFormat="1" hidden="1" x14ac:dyDescent="0.35">
      <c r="A65" s="44">
        <v>64</v>
      </c>
      <c r="B65" s="28" t="s">
        <v>307</v>
      </c>
      <c r="C65" s="47"/>
      <c r="D65" s="47"/>
      <c r="E65" s="47"/>
      <c r="F65" s="47"/>
      <c r="G65" s="47"/>
      <c r="H65" s="47"/>
      <c r="I65" s="47"/>
      <c r="J65" s="48">
        <f t="shared" si="0"/>
        <v>0</v>
      </c>
    </row>
    <row r="66" spans="1:12" customFormat="1" hidden="1" x14ac:dyDescent="0.35">
      <c r="A66" s="44">
        <v>65</v>
      </c>
      <c r="B66" s="28" t="s">
        <v>251</v>
      </c>
      <c r="C66" s="47"/>
      <c r="D66" s="47"/>
      <c r="E66" s="47"/>
      <c r="F66" s="47"/>
      <c r="G66" s="47"/>
      <c r="H66" s="47"/>
      <c r="I66" s="47"/>
      <c r="J66" s="48">
        <f t="shared" si="0"/>
        <v>0</v>
      </c>
    </row>
    <row r="67" spans="1:12" x14ac:dyDescent="0.35">
      <c r="A67" s="44">
        <v>66</v>
      </c>
      <c r="B67" s="45" t="s">
        <v>308</v>
      </c>
      <c r="C67" s="47">
        <v>15</v>
      </c>
      <c r="D67" s="47"/>
      <c r="E67" s="47"/>
      <c r="F67" s="47"/>
      <c r="G67" s="47"/>
      <c r="H67" s="47"/>
      <c r="I67" s="47"/>
      <c r="J67" s="48">
        <f t="shared" ref="J67:J79" si="6">SUM(C67:I67)</f>
        <v>15</v>
      </c>
      <c r="K67" s="52">
        <v>0.3</v>
      </c>
      <c r="L67" s="52">
        <f>K67*J67</f>
        <v>4.5</v>
      </c>
    </row>
    <row r="68" spans="1:12" customFormat="1" hidden="1" x14ac:dyDescent="0.35">
      <c r="A68" s="44">
        <v>67</v>
      </c>
      <c r="B68" s="28" t="s">
        <v>309</v>
      </c>
      <c r="C68" s="47"/>
      <c r="D68" s="47"/>
      <c r="E68" s="47"/>
      <c r="F68" s="47"/>
      <c r="G68" s="47"/>
      <c r="H68" s="47"/>
      <c r="I68" s="47"/>
      <c r="J68" s="48">
        <f t="shared" si="6"/>
        <v>0</v>
      </c>
    </row>
    <row r="69" spans="1:12" customFormat="1" hidden="1" x14ac:dyDescent="0.35">
      <c r="A69" s="44">
        <v>68</v>
      </c>
      <c r="B69" s="28" t="s">
        <v>310</v>
      </c>
      <c r="C69" s="47"/>
      <c r="D69" s="47"/>
      <c r="E69" s="47"/>
      <c r="F69" s="47"/>
      <c r="G69" s="47"/>
      <c r="H69" s="47"/>
      <c r="I69" s="47"/>
      <c r="J69" s="48">
        <f t="shared" si="6"/>
        <v>0</v>
      </c>
    </row>
    <row r="70" spans="1:12" customFormat="1" hidden="1" x14ac:dyDescent="0.35">
      <c r="A70" s="44">
        <v>69</v>
      </c>
      <c r="B70" s="28" t="s">
        <v>311</v>
      </c>
      <c r="C70" s="47"/>
      <c r="D70" s="47"/>
      <c r="E70" s="47"/>
      <c r="F70" s="47"/>
      <c r="G70" s="47"/>
      <c r="H70" s="47"/>
      <c r="I70" s="47"/>
      <c r="J70" s="48">
        <f t="shared" si="6"/>
        <v>0</v>
      </c>
    </row>
    <row r="71" spans="1:12" customFormat="1" hidden="1" x14ac:dyDescent="0.35">
      <c r="A71" s="44">
        <v>70</v>
      </c>
      <c r="B71" s="28" t="s">
        <v>312</v>
      </c>
      <c r="C71" s="47"/>
      <c r="D71" s="47"/>
      <c r="E71" s="47"/>
      <c r="F71" s="47"/>
      <c r="G71" s="47"/>
      <c r="H71" s="47"/>
      <c r="I71" s="47"/>
      <c r="J71" s="48">
        <f t="shared" si="6"/>
        <v>0</v>
      </c>
    </row>
    <row r="72" spans="1:12" x14ac:dyDescent="0.35">
      <c r="A72" s="44">
        <v>71</v>
      </c>
      <c r="B72" s="28" t="s">
        <v>226</v>
      </c>
      <c r="C72" s="47">
        <v>30</v>
      </c>
      <c r="D72" s="47"/>
      <c r="E72" s="47"/>
      <c r="F72" s="47"/>
      <c r="G72" s="47"/>
      <c r="H72" s="47"/>
      <c r="I72" s="47"/>
      <c r="J72" s="48">
        <f t="shared" si="6"/>
        <v>30</v>
      </c>
      <c r="K72" s="52">
        <v>1</v>
      </c>
      <c r="L72" s="52">
        <f>K72*J72</f>
        <v>30</v>
      </c>
    </row>
    <row r="73" spans="1:12" customFormat="1" hidden="1" x14ac:dyDescent="0.35">
      <c r="A73" s="44">
        <v>72</v>
      </c>
      <c r="B73" s="28" t="s">
        <v>313</v>
      </c>
      <c r="C73" s="47"/>
      <c r="D73" s="47"/>
      <c r="E73" s="47"/>
      <c r="F73" s="47"/>
      <c r="G73" s="47"/>
      <c r="H73" s="47"/>
      <c r="I73" s="47"/>
      <c r="J73" s="48">
        <f t="shared" si="6"/>
        <v>0</v>
      </c>
    </row>
    <row r="74" spans="1:12" x14ac:dyDescent="0.35">
      <c r="A74" s="44">
        <v>73</v>
      </c>
      <c r="B74" s="28" t="s">
        <v>222</v>
      </c>
      <c r="C74" s="47">
        <v>30</v>
      </c>
      <c r="D74" s="47"/>
      <c r="E74" s="47"/>
      <c r="F74" s="47"/>
      <c r="G74" s="47"/>
      <c r="H74" s="47"/>
      <c r="I74" s="47"/>
      <c r="J74" s="48">
        <f t="shared" si="6"/>
        <v>30</v>
      </c>
      <c r="K74" s="52">
        <v>1</v>
      </c>
      <c r="L74" s="52">
        <f>K74*J74</f>
        <v>30</v>
      </c>
    </row>
    <row r="75" spans="1:12" customFormat="1" hidden="1" x14ac:dyDescent="0.35">
      <c r="A75" s="44">
        <v>74</v>
      </c>
      <c r="B75" s="28" t="s">
        <v>241</v>
      </c>
      <c r="C75" s="47"/>
      <c r="D75" s="47"/>
      <c r="E75" s="47"/>
      <c r="F75" s="47"/>
      <c r="G75" s="47"/>
      <c r="H75" s="47"/>
      <c r="I75" s="47"/>
      <c r="J75" s="48">
        <f t="shared" si="6"/>
        <v>0</v>
      </c>
    </row>
    <row r="76" spans="1:12" customFormat="1" hidden="1" x14ac:dyDescent="0.35">
      <c r="A76" s="44">
        <v>75</v>
      </c>
      <c r="B76" s="28" t="s">
        <v>277</v>
      </c>
      <c r="C76" s="47"/>
      <c r="D76" s="47"/>
      <c r="E76" s="47"/>
      <c r="F76" s="47"/>
      <c r="G76" s="47"/>
      <c r="H76" s="47"/>
      <c r="I76" s="47"/>
      <c r="J76" s="48">
        <f t="shared" si="6"/>
        <v>0</v>
      </c>
    </row>
    <row r="77" spans="1:12" customFormat="1" hidden="1" x14ac:dyDescent="0.35">
      <c r="A77" s="44">
        <v>76</v>
      </c>
      <c r="B77" s="28" t="s">
        <v>278</v>
      </c>
      <c r="C77" s="47"/>
      <c r="D77" s="47"/>
      <c r="E77" s="47"/>
      <c r="F77" s="47"/>
      <c r="G77" s="47"/>
      <c r="H77" s="47"/>
      <c r="I77" s="47"/>
      <c r="J77" s="48">
        <f t="shared" si="6"/>
        <v>0</v>
      </c>
    </row>
    <row r="78" spans="1:12" x14ac:dyDescent="0.35">
      <c r="A78" s="44">
        <v>77</v>
      </c>
      <c r="B78" s="28" t="s">
        <v>314</v>
      </c>
      <c r="C78" s="47">
        <v>15</v>
      </c>
      <c r="D78" s="47"/>
      <c r="E78" s="47"/>
      <c r="F78" s="47"/>
      <c r="G78" s="47"/>
      <c r="H78" s="47"/>
      <c r="I78" s="47"/>
      <c r="J78" s="48">
        <f t="shared" si="6"/>
        <v>15</v>
      </c>
      <c r="K78" s="52">
        <v>0.17</v>
      </c>
      <c r="L78" s="52">
        <f t="shared" ref="L78:L80" si="7">K78*J78</f>
        <v>2.5500000000000003</v>
      </c>
    </row>
    <row r="79" spans="1:12" x14ac:dyDescent="0.35">
      <c r="A79" s="44">
        <v>78</v>
      </c>
      <c r="B79" s="28" t="s">
        <v>248</v>
      </c>
      <c r="C79" s="47">
        <v>15</v>
      </c>
      <c r="D79" s="47"/>
      <c r="E79" s="47"/>
      <c r="F79" s="47"/>
      <c r="G79" s="47"/>
      <c r="H79" s="47"/>
      <c r="I79" s="47"/>
      <c r="J79" s="48">
        <f t="shared" si="6"/>
        <v>15</v>
      </c>
      <c r="K79" s="52">
        <v>1</v>
      </c>
      <c r="L79" s="52">
        <f t="shared" si="7"/>
        <v>15</v>
      </c>
    </row>
    <row r="80" spans="1:12" x14ac:dyDescent="0.35">
      <c r="A80" s="44">
        <v>79</v>
      </c>
      <c r="B80" s="28" t="s">
        <v>225</v>
      </c>
      <c r="C80" s="47">
        <v>30</v>
      </c>
      <c r="D80" s="47"/>
      <c r="E80" s="47"/>
      <c r="F80" s="47"/>
      <c r="G80" s="47"/>
      <c r="H80" s="47"/>
      <c r="I80" s="47"/>
      <c r="J80" s="48">
        <f t="shared" ref="J80:J81" si="8">SUM(C80:I80)</f>
        <v>30</v>
      </c>
      <c r="K80" s="52">
        <v>0.45</v>
      </c>
      <c r="L80" s="52">
        <f t="shared" si="7"/>
        <v>13.5</v>
      </c>
    </row>
    <row r="81" spans="1:12" customFormat="1" hidden="1" x14ac:dyDescent="0.35">
      <c r="A81" s="44">
        <v>80</v>
      </c>
      <c r="B81" s="28" t="s">
        <v>244</v>
      </c>
      <c r="C81" s="47"/>
      <c r="D81" s="47"/>
      <c r="E81" s="47"/>
      <c r="F81" s="47"/>
      <c r="G81" s="47"/>
      <c r="H81" s="47"/>
      <c r="I81" s="47"/>
      <c r="J81" s="48">
        <f t="shared" si="8"/>
        <v>0</v>
      </c>
    </row>
    <row r="82" spans="1:12" x14ac:dyDescent="0.35">
      <c r="B82" s="53" t="s">
        <v>315</v>
      </c>
      <c r="C82" s="49">
        <f>SUM(C2:C81)</f>
        <v>1397</v>
      </c>
      <c r="D82" s="49">
        <f t="shared" ref="D82:J82" si="9">SUM(D2:D81)</f>
        <v>0</v>
      </c>
      <c r="E82" s="49">
        <f t="shared" si="9"/>
        <v>0</v>
      </c>
      <c r="F82" s="49">
        <f t="shared" si="9"/>
        <v>0</v>
      </c>
      <c r="G82" s="49">
        <f t="shared" si="9"/>
        <v>0</v>
      </c>
      <c r="H82" s="49">
        <f t="shared" si="9"/>
        <v>0</v>
      </c>
      <c r="I82" s="49">
        <f t="shared" si="9"/>
        <v>0</v>
      </c>
      <c r="J82" s="54">
        <f t="shared" si="9"/>
        <v>1397</v>
      </c>
      <c r="L82" s="54">
        <f>SUM(L2:L81)</f>
        <v>1239.55</v>
      </c>
    </row>
  </sheetData>
  <autoFilter ref="A1:J82" xr:uid="{00000000-0001-0000-0100-000000000000}">
    <filterColumn colId="9">
      <filters>
        <filter val="1 397,000"/>
        <filter val="10,000"/>
        <filter val="100,000"/>
        <filter val="12,000"/>
        <filter val="15,000"/>
        <filter val="150,000"/>
        <filter val="16,000"/>
        <filter val="18,000"/>
        <filter val="20,000"/>
        <filter val="25,000"/>
        <filter val="30,000"/>
        <filter val="300,000"/>
        <filter val="40,000"/>
        <filter val="5,000"/>
        <filter val="50,000"/>
        <filter val="6,000"/>
        <filter val="60,000"/>
        <filter val="80,000"/>
      </filters>
    </filterColumn>
  </autoFilter>
  <conditionalFormatting sqref="B8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Рабочий лист_Бычков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2026-06-29T10:26:22Z</dcterms:modified>
</cp:coreProperties>
</file>