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  <definedName name="_xlnm._FilterDatabase" localSheetId="0" hidden="1">'Бланк заказа'!$A$18:$AF$532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62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8"/>
  <sheetViews>
    <sheetView showGridLines="0" tabSelected="1" topLeftCell="A9" zoomScaleNormal="100" zoomScaleSheetLayoutView="100" workbookViewId="0">
      <selection activeCell="U27" sqref="U27"/>
    </sheetView>
  </sheetViews>
  <sheetFormatPr baseColWidth="8" defaultColWidth="9.140625" defaultRowHeight="12.75"/>
  <cols>
    <col width="9.140625" customWidth="1" style="941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41" min="18" max="18"/>
    <col width="6.140625" customWidth="1" style="941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41" min="24" max="24"/>
    <col width="11" customWidth="1" style="941" min="25" max="25"/>
    <col width="10" customWidth="1" style="941" min="26" max="26"/>
    <col width="11.5703125" customWidth="1" style="941" min="27" max="27"/>
    <col width="10.42578125" customWidth="1" style="941" min="28" max="28"/>
    <col width="30" customWidth="1" style="941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41" min="33" max="33"/>
    <col width="9.140625" customWidth="1" style="941" min="34" max="16384"/>
  </cols>
  <sheetData>
    <row r="1" ht="45" customFormat="1" customHeight="1" s="637">
      <c r="A1" s="45" t="n"/>
      <c r="B1" s="45" t="n"/>
      <c r="C1" s="45" t="n"/>
      <c r="D1" s="597" t="inlineStr">
        <is>
          <t xml:space="preserve">  БЛАНК ЗАКАЗА </t>
        </is>
      </c>
      <c r="G1" s="14" t="inlineStr">
        <is>
          <t>КИ</t>
        </is>
      </c>
      <c r="H1" s="597" t="inlineStr">
        <is>
          <t>на отгрузку продукции с ООО Трейд-Сервис с</t>
        </is>
      </c>
      <c r="R1" s="598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7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00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41" t="n"/>
      <c r="R2" s="941" t="n"/>
      <c r="S2" s="941" t="n"/>
      <c r="T2" s="941" t="n"/>
      <c r="U2" s="941" t="n"/>
      <c r="V2" s="941" t="n"/>
      <c r="W2" s="941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7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41" t="n"/>
      <c r="Q3" s="941" t="n"/>
      <c r="R3" s="941" t="n"/>
      <c r="S3" s="941" t="n"/>
      <c r="T3" s="941" t="n"/>
      <c r="U3" s="941" t="n"/>
      <c r="V3" s="941" t="n"/>
      <c r="W3" s="941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7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7">
      <c r="A5" s="601" t="inlineStr">
        <is>
          <t xml:space="preserve">Ваш контактный телефон и имя: </t>
        </is>
      </c>
      <c r="B5" s="942" t="n"/>
      <c r="C5" s="943" t="n"/>
      <c r="D5" s="602" t="n"/>
      <c r="E5" s="944" t="n"/>
      <c r="F5" s="603" t="inlineStr">
        <is>
          <t>Комментарий к заказу:</t>
        </is>
      </c>
      <c r="G5" s="943" t="n"/>
      <c r="H5" s="602" t="n"/>
      <c r="I5" s="945" t="n"/>
      <c r="J5" s="945" t="n"/>
      <c r="K5" s="945" t="n"/>
      <c r="L5" s="945" t="n"/>
      <c r="M5" s="944" t="n"/>
      <c r="N5" s="69" t="n"/>
      <c r="P5" s="26" t="inlineStr">
        <is>
          <t>Дата загрузки</t>
        </is>
      </c>
      <c r="Q5" s="946" t="n">
        <v>46205</v>
      </c>
      <c r="R5" s="947" t="n"/>
      <c r="T5" s="606" t="inlineStr">
        <is>
          <t>Способ доставки (доставка/самовывоз)</t>
        </is>
      </c>
      <c r="U5" s="948" t="n"/>
      <c r="V5" s="949" t="inlineStr">
        <is>
          <t>Самовывоз</t>
        </is>
      </c>
      <c r="W5" s="947" t="n"/>
      <c r="AB5" s="57" t="n"/>
      <c r="AC5" s="57" t="n"/>
      <c r="AD5" s="57" t="n"/>
      <c r="AE5" s="57" t="n"/>
    </row>
    <row r="6" ht="24" customFormat="1" customHeight="1" s="637">
      <c r="A6" s="601" t="inlineStr">
        <is>
          <t>Адрес доставки:</t>
        </is>
      </c>
      <c r="B6" s="942" t="n"/>
      <c r="C6" s="943" t="n"/>
      <c r="D6" s="609" t="inlineStr">
        <is>
          <t>ЛП, ООО, Краснодарский край, Сочи г, Строительный пер, д. 10А,</t>
        </is>
      </c>
      <c r="E6" s="950" t="n"/>
      <c r="F6" s="950" t="n"/>
      <c r="G6" s="950" t="n"/>
      <c r="H6" s="950" t="n"/>
      <c r="I6" s="950" t="n"/>
      <c r="J6" s="950" t="n"/>
      <c r="K6" s="950" t="n"/>
      <c r="L6" s="950" t="n"/>
      <c r="M6" s="947" t="n"/>
      <c r="N6" s="70" t="n"/>
      <c r="P6" s="26" t="inlineStr">
        <is>
          <t>День недели</t>
        </is>
      </c>
      <c r="Q6" s="610">
        <f>IF(Q5=0," ",CHOOSE(WEEKDAY(Q5,2),"Понедельник","Вторник","Среда","Четверг","Пятница","Суббота","Воскресенье"))</f>
        <v/>
      </c>
      <c r="R6" s="951" t="n"/>
      <c r="T6" s="612" t="inlineStr">
        <is>
          <t>Наименование клиента</t>
        </is>
      </c>
      <c r="U6" s="948" t="n"/>
      <c r="V6" s="952" t="inlineStr">
        <is>
          <t>ОБЩЕСТВО С ОГРАНИЧЕННОЙ ОТВЕТСТВЕННОСТЬЮ "ЛОГИСТИЧЕСКИЙ ПАРТНЕР"</t>
        </is>
      </c>
      <c r="W6" s="953" t="n"/>
      <c r="AB6" s="57" t="n"/>
      <c r="AC6" s="57" t="n"/>
      <c r="AD6" s="57" t="n"/>
      <c r="AE6" s="57" t="n"/>
    </row>
    <row r="7" hidden="1" ht="21.75" customFormat="1" customHeight="1" s="637">
      <c r="A7" s="61" t="n"/>
      <c r="B7" s="61" t="n"/>
      <c r="C7" s="61" t="n"/>
      <c r="D7" s="954">
        <f>IFERROR(VLOOKUP(DeliveryAddress,Table,3,0),1)</f>
        <v/>
      </c>
      <c r="E7" s="955" t="n"/>
      <c r="F7" s="955" t="n"/>
      <c r="G7" s="955" t="n"/>
      <c r="H7" s="955" t="n"/>
      <c r="I7" s="955" t="n"/>
      <c r="J7" s="955" t="n"/>
      <c r="K7" s="955" t="n"/>
      <c r="L7" s="955" t="n"/>
      <c r="M7" s="956" t="n"/>
      <c r="N7" s="71" t="n"/>
      <c r="P7" s="26" t="n"/>
      <c r="Q7" s="46" t="n"/>
      <c r="R7" s="46" t="n"/>
      <c r="T7" s="941" t="n"/>
      <c r="U7" s="948" t="n"/>
      <c r="V7" s="957" t="n"/>
      <c r="W7" s="958" t="n"/>
      <c r="AB7" s="57" t="n"/>
      <c r="AC7" s="57" t="n"/>
      <c r="AD7" s="57" t="n"/>
      <c r="AE7" s="57" t="n"/>
    </row>
    <row r="8" ht="25.5" customFormat="1" customHeight="1" s="637">
      <c r="A8" s="622" t="inlineStr">
        <is>
          <t>Адрес сдачи груза:</t>
        </is>
      </c>
      <c r="B8" s="959" t="n"/>
      <c r="C8" s="960" t="n"/>
      <c r="D8" s="623" t="n"/>
      <c r="E8" s="961" t="n"/>
      <c r="F8" s="961" t="n"/>
      <c r="G8" s="961" t="n"/>
      <c r="H8" s="961" t="n"/>
      <c r="I8" s="961" t="n"/>
      <c r="J8" s="961" t="n"/>
      <c r="K8" s="961" t="n"/>
      <c r="L8" s="961" t="n"/>
      <c r="M8" s="962" t="n"/>
      <c r="N8" s="72" t="n"/>
      <c r="P8" s="26" t="inlineStr">
        <is>
          <t>Время загрузки</t>
        </is>
      </c>
      <c r="Q8" s="624" t="n">
        <v>0.4166666666666667</v>
      </c>
      <c r="R8" s="956" t="n"/>
      <c r="T8" s="941" t="n"/>
      <c r="U8" s="948" t="n"/>
      <c r="V8" s="957" t="n"/>
      <c r="W8" s="958" t="n"/>
      <c r="AB8" s="57" t="n"/>
      <c r="AC8" s="57" t="n"/>
      <c r="AD8" s="57" t="n"/>
      <c r="AE8" s="57" t="n"/>
    </row>
    <row r="9" ht="39.95" customFormat="1" customHeight="1" s="637">
      <c r="A9" s="625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1" t="n"/>
      <c r="C9" s="941" t="n"/>
      <c r="D9" s="626" t="inlineStr"/>
      <c r="E9" s="3" t="n"/>
      <c r="F9" s="625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1" t="n"/>
      <c r="H9" s="628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8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8" t="n"/>
      <c r="P9" s="29" t="inlineStr">
        <is>
          <t>Дата доставки</t>
        </is>
      </c>
      <c r="Q9" s="963" t="n"/>
      <c r="R9" s="964" t="n"/>
      <c r="T9" s="941" t="n"/>
      <c r="U9" s="948" t="n"/>
      <c r="V9" s="965" t="n"/>
      <c r="W9" s="966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7">
      <c r="A10" s="625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1" t="n"/>
      <c r="C10" s="941" t="n"/>
      <c r="D10" s="626" t="n"/>
      <c r="E10" s="3" t="n"/>
      <c r="F10" s="625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1" t="n"/>
      <c r="H10" s="630">
        <f>IFERROR(VLOOKUP($D$10,Proxy,2,FALSE),"")</f>
        <v/>
      </c>
      <c r="I10" s="941" t="n"/>
      <c r="J10" s="941" t="n"/>
      <c r="K10" s="941" t="n"/>
      <c r="L10" s="941" t="n"/>
      <c r="M10" s="941" t="n"/>
      <c r="N10" s="630" t="n"/>
      <c r="P10" s="29" t="inlineStr">
        <is>
          <t>Время доставки</t>
        </is>
      </c>
      <c r="Q10" s="631" t="n"/>
      <c r="R10" s="967" t="n"/>
      <c r="U10" s="26" t="inlineStr">
        <is>
          <t>КОД Аксапты Клиента</t>
        </is>
      </c>
      <c r="V10" s="968" t="inlineStr">
        <is>
          <t>590704</t>
        </is>
      </c>
      <c r="W10" s="953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7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4" t="n"/>
      <c r="R11" s="947" t="n"/>
      <c r="U11" s="26" t="inlineStr">
        <is>
          <t>Тип заказа</t>
        </is>
      </c>
      <c r="V11" s="635" t="inlineStr">
        <is>
          <t>Основной заказ</t>
        </is>
      </c>
      <c r="W11" s="964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7">
      <c r="A12" s="636" t="inlineStr">
        <is>
          <t>Телефоны для заказов: 8(919)002-63-01  E-mail: kolbasa@abi.ru
Телефон сотрудников склада: 8 (910) 775-52-91</t>
        </is>
      </c>
      <c r="B12" s="942" t="n"/>
      <c r="C12" s="942" t="n"/>
      <c r="D12" s="942" t="n"/>
      <c r="E12" s="942" t="n"/>
      <c r="F12" s="942" t="n"/>
      <c r="G12" s="942" t="n"/>
      <c r="H12" s="942" t="n"/>
      <c r="I12" s="942" t="n"/>
      <c r="J12" s="942" t="n"/>
      <c r="K12" s="942" t="n"/>
      <c r="L12" s="942" t="n"/>
      <c r="M12" s="943" t="n"/>
      <c r="N12" s="73" t="n"/>
      <c r="P12" s="26" t="inlineStr">
        <is>
          <t>Время доставки 3 машины</t>
        </is>
      </c>
      <c r="Q12" s="624" t="n"/>
      <c r="R12" s="956" t="n"/>
      <c r="S12" s="27" t="n"/>
      <c r="U12" s="26" t="inlineStr"/>
      <c r="V12" s="637" t="n"/>
      <c r="W12" s="941" t="n"/>
      <c r="AB12" s="57" t="n"/>
      <c r="AC12" s="57" t="n"/>
      <c r="AD12" s="57" t="n"/>
      <c r="AE12" s="57" t="n"/>
    </row>
    <row r="13" ht="23.25" customFormat="1" customHeight="1" s="637">
      <c r="A13" s="636" t="inlineStr">
        <is>
          <t>График приема заказов: Заказы принимаются за ДВА дня до отгрузки Пн-Пт: с 9:00 до 14:00, Суб., Вс. - до 12:00</t>
        </is>
      </c>
      <c r="B13" s="942" t="n"/>
      <c r="C13" s="942" t="n"/>
      <c r="D13" s="942" t="n"/>
      <c r="E13" s="942" t="n"/>
      <c r="F13" s="942" t="n"/>
      <c r="G13" s="942" t="n"/>
      <c r="H13" s="942" t="n"/>
      <c r="I13" s="942" t="n"/>
      <c r="J13" s="942" t="n"/>
      <c r="K13" s="942" t="n"/>
      <c r="L13" s="942" t="n"/>
      <c r="M13" s="943" t="n"/>
      <c r="N13" s="73" t="n"/>
      <c r="O13" s="29" t="n"/>
      <c r="P13" s="29" t="inlineStr">
        <is>
          <t>Время доставки 4 машины</t>
        </is>
      </c>
      <c r="Q13" s="635" t="n"/>
      <c r="R13" s="964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7">
      <c r="A14" s="636" t="inlineStr">
        <is>
          <t>Телефон менеджера по логистике: 8 (919) 012-30-55 - по вопросам доставки продукции</t>
        </is>
      </c>
      <c r="B14" s="942" t="n"/>
      <c r="C14" s="942" t="n"/>
      <c r="D14" s="942" t="n"/>
      <c r="E14" s="942" t="n"/>
      <c r="F14" s="942" t="n"/>
      <c r="G14" s="942" t="n"/>
      <c r="H14" s="942" t="n"/>
      <c r="I14" s="942" t="n"/>
      <c r="J14" s="942" t="n"/>
      <c r="K14" s="942" t="n"/>
      <c r="L14" s="942" t="n"/>
      <c r="M14" s="943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7">
      <c r="A15" s="638" t="inlineStr">
        <is>
          <t>Телефон по работе с претензиями/жалобами (WhatSapp): 8 (980) 757-69-93       E-mail: Claims@abiproduct.ru</t>
        </is>
      </c>
      <c r="B15" s="942" t="n"/>
      <c r="C15" s="942" t="n"/>
      <c r="D15" s="942" t="n"/>
      <c r="E15" s="942" t="n"/>
      <c r="F15" s="942" t="n"/>
      <c r="G15" s="942" t="n"/>
      <c r="H15" s="942" t="n"/>
      <c r="I15" s="942" t="n"/>
      <c r="J15" s="942" t="n"/>
      <c r="K15" s="942" t="n"/>
      <c r="L15" s="942" t="n"/>
      <c r="M15" s="943" t="n"/>
      <c r="N15" s="74" t="n"/>
      <c r="P15" s="640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9" t="n"/>
      <c r="Q16" s="969" t="n"/>
      <c r="R16" s="969" t="n"/>
      <c r="S16" s="969" t="n"/>
      <c r="T16" s="96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70" t="inlineStr">
        <is>
          <t>Код единицы продаж</t>
        </is>
      </c>
      <c r="B17" s="970" t="inlineStr">
        <is>
          <t>Код продукта</t>
        </is>
      </c>
      <c r="C17" s="971" t="inlineStr">
        <is>
          <t>Номер варианта</t>
        </is>
      </c>
      <c r="D17" s="970" t="inlineStr">
        <is>
          <t xml:space="preserve">Штрих-код </t>
        </is>
      </c>
      <c r="E17" s="972" t="n"/>
      <c r="F17" s="970" t="inlineStr">
        <is>
          <t>Вес нетто штуки, кг</t>
        </is>
      </c>
      <c r="G17" s="970" t="inlineStr">
        <is>
          <t>Кол-во штук в коробе, шт</t>
        </is>
      </c>
      <c r="H17" s="970" t="inlineStr">
        <is>
          <t>Вес нетто короба, кг</t>
        </is>
      </c>
      <c r="I17" s="970" t="inlineStr">
        <is>
          <t>Вес брутто короба, кг</t>
        </is>
      </c>
      <c r="J17" s="970" t="inlineStr">
        <is>
          <t>Кол-во кор. на паллте, шт</t>
        </is>
      </c>
      <c r="K17" s="970" t="inlineStr">
        <is>
          <t>Коробов в слое</t>
        </is>
      </c>
      <c r="L17" s="970" t="inlineStr">
        <is>
          <t>Квант заказа</t>
        </is>
      </c>
      <c r="M17" s="970" t="inlineStr">
        <is>
          <t>Завод</t>
        </is>
      </c>
      <c r="N17" s="970" t="inlineStr">
        <is>
          <t>Внешний код номенклатуры</t>
        </is>
      </c>
      <c r="O17" s="970" t="inlineStr">
        <is>
          <t>Срок годности, сут.</t>
        </is>
      </c>
      <c r="P17" s="970" t="inlineStr">
        <is>
          <t>Наименование</t>
        </is>
      </c>
      <c r="Q17" s="973" t="n"/>
      <c r="R17" s="973" t="n"/>
      <c r="S17" s="973" t="n"/>
      <c r="T17" s="972" t="n"/>
      <c r="U17" s="78" t="inlineStr">
        <is>
          <t>Доступно к отгрузке</t>
        </is>
      </c>
      <c r="V17" s="943" t="n"/>
      <c r="W17" s="970" t="inlineStr">
        <is>
          <t>Ед. изм.</t>
        </is>
      </c>
      <c r="X17" s="970" t="inlineStr">
        <is>
          <t>Заказ</t>
        </is>
      </c>
      <c r="Y17" s="974" t="inlineStr">
        <is>
          <t>Заказ с округлением до короба</t>
        </is>
      </c>
      <c r="Z17" s="975" t="inlineStr">
        <is>
          <t>Объём заказа, м3</t>
        </is>
      </c>
      <c r="AA17" s="976" t="inlineStr">
        <is>
          <t>Примечание по продуктку</t>
        </is>
      </c>
      <c r="AB17" s="976" t="inlineStr">
        <is>
          <t>Признак "НОВИНКА"</t>
        </is>
      </c>
      <c r="AC17" s="976" t="inlineStr">
        <is>
          <t>Декларация/Сертификат</t>
        </is>
      </c>
      <c r="AD17" s="976" t="inlineStr">
        <is>
          <t>Для формул</t>
        </is>
      </c>
      <c r="AE17" s="977" t="n"/>
      <c r="AF17" s="978" t="n"/>
      <c r="AG17" s="77" t="n"/>
      <c r="BD17" s="76" t="inlineStr">
        <is>
          <t>Вид продукции</t>
        </is>
      </c>
    </row>
    <row r="18" ht="14.25" customHeight="1">
      <c r="A18" s="979" t="n"/>
      <c r="B18" s="979" t="n"/>
      <c r="C18" s="979" t="n"/>
      <c r="D18" s="980" t="n"/>
      <c r="E18" s="981" t="n"/>
      <c r="F18" s="979" t="n"/>
      <c r="G18" s="979" t="n"/>
      <c r="H18" s="979" t="n"/>
      <c r="I18" s="979" t="n"/>
      <c r="J18" s="979" t="n"/>
      <c r="K18" s="979" t="n"/>
      <c r="L18" s="979" t="n"/>
      <c r="M18" s="979" t="n"/>
      <c r="N18" s="979" t="n"/>
      <c r="O18" s="979" t="n"/>
      <c r="P18" s="980" t="n"/>
      <c r="Q18" s="982" t="n"/>
      <c r="R18" s="982" t="n"/>
      <c r="S18" s="982" t="n"/>
      <c r="T18" s="981" t="n"/>
      <c r="U18" s="78" t="inlineStr">
        <is>
          <t>начиная с</t>
        </is>
      </c>
      <c r="V18" s="78" t="inlineStr">
        <is>
          <t>до</t>
        </is>
      </c>
      <c r="W18" s="979" t="n"/>
      <c r="X18" s="979" t="n"/>
      <c r="Y18" s="983" t="n"/>
      <c r="Z18" s="984" t="n"/>
      <c r="AA18" s="985" t="n"/>
      <c r="AB18" s="985" t="n"/>
      <c r="AC18" s="985" t="n"/>
      <c r="AD18" s="986" t="n"/>
      <c r="AE18" s="987" t="n"/>
      <c r="AF18" s="988" t="n"/>
      <c r="AG18" s="77" t="n"/>
      <c r="BD18" s="76" t="n"/>
    </row>
    <row r="19" ht="27.75" customHeight="1">
      <c r="A19" s="665" t="inlineStr">
        <is>
          <t>Ядрена копоть</t>
        </is>
      </c>
      <c r="B19" s="989" t="n"/>
      <c r="C19" s="989" t="n"/>
      <c r="D19" s="989" t="n"/>
      <c r="E19" s="989" t="n"/>
      <c r="F19" s="989" t="n"/>
      <c r="G19" s="989" t="n"/>
      <c r="H19" s="989" t="n"/>
      <c r="I19" s="989" t="n"/>
      <c r="J19" s="989" t="n"/>
      <c r="K19" s="989" t="n"/>
      <c r="L19" s="989" t="n"/>
      <c r="M19" s="989" t="n"/>
      <c r="N19" s="989" t="n"/>
      <c r="O19" s="989" t="n"/>
      <c r="P19" s="989" t="n"/>
      <c r="Q19" s="989" t="n"/>
      <c r="R19" s="989" t="n"/>
      <c r="S19" s="989" t="n"/>
      <c r="T19" s="989" t="n"/>
      <c r="U19" s="989" t="n"/>
      <c r="V19" s="989" t="n"/>
      <c r="W19" s="989" t="n"/>
      <c r="X19" s="989" t="n"/>
      <c r="Y19" s="989" t="n"/>
      <c r="Z19" s="989" t="n"/>
      <c r="AA19" s="52" t="n"/>
      <c r="AB19" s="52" t="n"/>
      <c r="AC19" s="52" t="n"/>
    </row>
    <row r="20" ht="16.5" customHeight="1">
      <c r="A20" s="666" t="inlineStr">
        <is>
          <t>Ядрена копоть</t>
        </is>
      </c>
      <c r="B20" s="941" t="n"/>
      <c r="C20" s="941" t="n"/>
      <c r="D20" s="941" t="n"/>
      <c r="E20" s="941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666" t="n"/>
      <c r="AB20" s="666" t="n"/>
      <c r="AC20" s="666" t="n"/>
    </row>
    <row r="21" ht="14.25" customHeight="1">
      <c r="A21" s="667" t="inlineStr">
        <is>
          <t>Копченые колбасы</t>
        </is>
      </c>
      <c r="B21" s="941" t="n"/>
      <c r="C21" s="941" t="n"/>
      <c r="D21" s="941" t="n"/>
      <c r="E21" s="941" t="n"/>
      <c r="F21" s="941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667" t="n"/>
      <c r="AB21" s="667" t="n"/>
      <c r="AC21" s="667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8" t="n">
        <v>4680115886643</v>
      </c>
      <c r="E22" s="951" t="n"/>
      <c r="F22" s="990" t="n">
        <v>0.19</v>
      </c>
      <c r="G22" s="35" t="n">
        <v>10</v>
      </c>
      <c r="H22" s="990" t="n">
        <v>1.9</v>
      </c>
      <c r="I22" s="990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91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92" t="n"/>
      <c r="R22" s="992" t="n"/>
      <c r="S22" s="992" t="n"/>
      <c r="T22" s="993" t="n"/>
      <c r="U22" s="37" t="inlineStr"/>
      <c r="V22" s="37" t="inlineStr"/>
      <c r="W22" s="38" t="inlineStr">
        <is>
          <t>кг</t>
        </is>
      </c>
      <c r="X22" s="994" t="n">
        <v>0</v>
      </c>
      <c r="Y22" s="995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8" t="n">
        <v>4680115889071</v>
      </c>
      <c r="E23" s="951" t="n"/>
      <c r="F23" s="990" t="n">
        <v>0.3</v>
      </c>
      <c r="G23" s="35" t="n">
        <v>6</v>
      </c>
      <c r="H23" s="990" t="n">
        <v>1.8</v>
      </c>
      <c r="I23" s="990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6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92" t="n"/>
      <c r="R23" s="992" t="n"/>
      <c r="S23" s="992" t="n"/>
      <c r="T23" s="993" t="n"/>
      <c r="U23" s="37" t="inlineStr"/>
      <c r="V23" s="37" t="inlineStr"/>
      <c r="W23" s="38" t="inlineStr">
        <is>
          <t>кг</t>
        </is>
      </c>
      <c r="X23" s="994" t="n">
        <v>0</v>
      </c>
      <c r="Y23" s="995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7" t="n"/>
      <c r="B24" s="941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97" t="n"/>
      <c r="P24" s="998" t="inlineStr">
        <is>
          <t>Итого</t>
        </is>
      </c>
      <c r="Q24" s="959" t="n"/>
      <c r="R24" s="959" t="n"/>
      <c r="S24" s="959" t="n"/>
      <c r="T24" s="959" t="n"/>
      <c r="U24" s="959" t="n"/>
      <c r="V24" s="960" t="n"/>
      <c r="W24" s="40" t="inlineStr">
        <is>
          <t>кор</t>
        </is>
      </c>
      <c r="X24" s="999">
        <f>IFERROR(X22/H22,"0")+IFERROR(X23/H23,"0")</f>
        <v/>
      </c>
      <c r="Y24" s="999">
        <f>IFERROR(Y22/H22,"0")+IFERROR(Y23/H23,"0")</f>
        <v/>
      </c>
      <c r="Z24" s="999">
        <f>IFERROR(IF(Z22="",0,Z22),"0")+IFERROR(IF(Z23="",0,Z23),"0")</f>
        <v/>
      </c>
      <c r="AA24" s="1000" t="n"/>
      <c r="AB24" s="1000" t="n"/>
      <c r="AC24" s="1000" t="n"/>
    </row>
    <row r="25">
      <c r="A25" s="941" t="n"/>
      <c r="B25" s="941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97" t="n"/>
      <c r="P25" s="998" t="inlineStr">
        <is>
          <t>Итого</t>
        </is>
      </c>
      <c r="Q25" s="959" t="n"/>
      <c r="R25" s="959" t="n"/>
      <c r="S25" s="959" t="n"/>
      <c r="T25" s="959" t="n"/>
      <c r="U25" s="959" t="n"/>
      <c r="V25" s="960" t="n"/>
      <c r="W25" s="40" t="inlineStr">
        <is>
          <t>кг</t>
        </is>
      </c>
      <c r="X25" s="999">
        <f>IFERROR(SUM(X22:X23),"0")</f>
        <v/>
      </c>
      <c r="Y25" s="999">
        <f>IFERROR(SUM(Y22:Y23),"0")</f>
        <v/>
      </c>
      <c r="Z25" s="40" t="n"/>
      <c r="AA25" s="1000" t="n"/>
      <c r="AB25" s="1000" t="n"/>
      <c r="AC25" s="1000" t="n"/>
    </row>
    <row r="26" ht="14.25" customHeight="1">
      <c r="A26" s="667" t="inlineStr">
        <is>
          <t>Сосиски</t>
        </is>
      </c>
      <c r="B26" s="941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667" t="n"/>
      <c r="AB26" s="667" t="n"/>
      <c r="AC26" s="667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8" t="n">
        <v>4680115885912</v>
      </c>
      <c r="E27" s="951" t="n"/>
      <c r="F27" s="990" t="n">
        <v>0.3</v>
      </c>
      <c r="G27" s="35" t="n">
        <v>6</v>
      </c>
      <c r="H27" s="990" t="n">
        <v>1.8</v>
      </c>
      <c r="I27" s="990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1001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92" t="n"/>
      <c r="R27" s="992" t="n"/>
      <c r="S27" s="992" t="n"/>
      <c r="T27" s="993" t="n"/>
      <c r="U27" s="37" t="inlineStr"/>
      <c r="V27" s="37" t="inlineStr"/>
      <c r="W27" s="38" t="inlineStr">
        <is>
          <t>кг</t>
        </is>
      </c>
      <c r="X27" s="994" t="n">
        <v>0</v>
      </c>
      <c r="Y27" s="995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8" t="n">
        <v>4607091388237</v>
      </c>
      <c r="E28" s="951" t="n"/>
      <c r="F28" s="990" t="n">
        <v>0.42</v>
      </c>
      <c r="G28" s="35" t="n">
        <v>6</v>
      </c>
      <c r="H28" s="990" t="n">
        <v>2.52</v>
      </c>
      <c r="I28" s="990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1002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92" t="n"/>
      <c r="R28" s="992" t="n"/>
      <c r="S28" s="992" t="n"/>
      <c r="T28" s="993" t="n"/>
      <c r="U28" s="37" t="inlineStr"/>
      <c r="V28" s="37" t="inlineStr"/>
      <c r="W28" s="38" t="inlineStr">
        <is>
          <t>кг</t>
        </is>
      </c>
      <c r="X28" s="994" t="n">
        <v>0</v>
      </c>
      <c r="Y28" s="995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8" t="n">
        <v>4680115887350</v>
      </c>
      <c r="E29" s="951" t="n"/>
      <c r="F29" s="990" t="n">
        <v>0.3</v>
      </c>
      <c r="G29" s="35" t="n">
        <v>6</v>
      </c>
      <c r="H29" s="990" t="n">
        <v>1.8</v>
      </c>
      <c r="I29" s="990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3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92" t="n"/>
      <c r="R29" s="992" t="n"/>
      <c r="S29" s="992" t="n"/>
      <c r="T29" s="993" t="n"/>
      <c r="U29" s="37" t="inlineStr"/>
      <c r="V29" s="37" t="inlineStr"/>
      <c r="W29" s="38" t="inlineStr">
        <is>
          <t>кг</t>
        </is>
      </c>
      <c r="X29" s="994" t="n">
        <v>0</v>
      </c>
      <c r="Y29" s="995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8" t="n">
        <v>4680115885905</v>
      </c>
      <c r="E30" s="951" t="n"/>
      <c r="F30" s="990" t="n">
        <v>0.3</v>
      </c>
      <c r="G30" s="35" t="n">
        <v>6</v>
      </c>
      <c r="H30" s="990" t="n">
        <v>1.8</v>
      </c>
      <c r="I30" s="990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4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92" t="n"/>
      <c r="R30" s="992" t="n"/>
      <c r="S30" s="992" t="n"/>
      <c r="T30" s="993" t="n"/>
      <c r="U30" s="37" t="inlineStr"/>
      <c r="V30" s="37" t="inlineStr"/>
      <c r="W30" s="38" t="inlineStr">
        <is>
          <t>кг</t>
        </is>
      </c>
      <c r="X30" s="994" t="n">
        <v>0</v>
      </c>
      <c r="Y30" s="995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8" t="n">
        <v>4680115887657</v>
      </c>
      <c r="E31" s="951" t="n"/>
      <c r="F31" s="990" t="n">
        <v>0.33</v>
      </c>
      <c r="G31" s="35" t="n">
        <v>6</v>
      </c>
      <c r="H31" s="990" t="n">
        <v>1.98</v>
      </c>
      <c r="I31" s="990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5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92" t="n"/>
      <c r="R31" s="992" t="n"/>
      <c r="S31" s="992" t="n"/>
      <c r="T31" s="993" t="n"/>
      <c r="U31" s="37" t="inlineStr"/>
      <c r="V31" s="37" t="inlineStr"/>
      <c r="W31" s="38" t="inlineStr">
        <is>
          <t>кг</t>
        </is>
      </c>
      <c r="X31" s="994" t="n">
        <v>0</v>
      </c>
      <c r="Y31" s="995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8" t="n">
        <v>4680115887619</v>
      </c>
      <c r="E32" s="951" t="n"/>
      <c r="F32" s="990" t="n">
        <v>0.33</v>
      </c>
      <c r="G32" s="35" t="n">
        <v>6</v>
      </c>
      <c r="H32" s="990" t="n">
        <v>1.98</v>
      </c>
      <c r="I32" s="990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6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92" t="n"/>
      <c r="R32" s="992" t="n"/>
      <c r="S32" s="992" t="n"/>
      <c r="T32" s="993" t="n"/>
      <c r="U32" s="37" t="inlineStr"/>
      <c r="V32" s="37" t="inlineStr"/>
      <c r="W32" s="38" t="inlineStr">
        <is>
          <t>кг</t>
        </is>
      </c>
      <c r="X32" s="994" t="n">
        <v>0</v>
      </c>
      <c r="Y32" s="995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7" t="n"/>
      <c r="B33" s="941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97" t="n"/>
      <c r="P33" s="998" t="inlineStr">
        <is>
          <t>Итого</t>
        </is>
      </c>
      <c r="Q33" s="959" t="n"/>
      <c r="R33" s="959" t="n"/>
      <c r="S33" s="959" t="n"/>
      <c r="T33" s="959" t="n"/>
      <c r="U33" s="959" t="n"/>
      <c r="V33" s="960" t="n"/>
      <c r="W33" s="40" t="inlineStr">
        <is>
          <t>кор</t>
        </is>
      </c>
      <c r="X33" s="999">
        <f>IFERROR(X27/H27,"0")+IFERROR(X28/H28,"0")+IFERROR(X29/H29,"0")+IFERROR(X30/H30,"0")+IFERROR(X31/H31,"0")+IFERROR(X32/H32,"0")</f>
        <v/>
      </c>
      <c r="Y33" s="999">
        <f>IFERROR(Y27/H27,"0")+IFERROR(Y28/H28,"0")+IFERROR(Y29/H29,"0")+IFERROR(Y30/H30,"0")+IFERROR(Y31/H31,"0")+IFERROR(Y32/H32,"0")</f>
        <v/>
      </c>
      <c r="Z33" s="999">
        <f>IFERROR(IF(Z27="",0,Z27),"0")+IFERROR(IF(Z28="",0,Z28),"0")+IFERROR(IF(Z29="",0,Z29),"0")+IFERROR(IF(Z30="",0,Z30),"0")+IFERROR(IF(Z31="",0,Z31),"0")+IFERROR(IF(Z32="",0,Z32),"0")</f>
        <v/>
      </c>
      <c r="AA33" s="1000" t="n"/>
      <c r="AB33" s="1000" t="n"/>
      <c r="AC33" s="1000" t="n"/>
    </row>
    <row r="34">
      <c r="A34" s="941" t="n"/>
      <c r="B34" s="941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97" t="n"/>
      <c r="P34" s="998" t="inlineStr">
        <is>
          <t>Итого</t>
        </is>
      </c>
      <c r="Q34" s="959" t="n"/>
      <c r="R34" s="959" t="n"/>
      <c r="S34" s="959" t="n"/>
      <c r="T34" s="959" t="n"/>
      <c r="U34" s="959" t="n"/>
      <c r="V34" s="960" t="n"/>
      <c r="W34" s="40" t="inlineStr">
        <is>
          <t>кг</t>
        </is>
      </c>
      <c r="X34" s="999">
        <f>IFERROR(SUM(X27:X32),"0")</f>
        <v/>
      </c>
      <c r="Y34" s="999">
        <f>IFERROR(SUM(Y27:Y32),"0")</f>
        <v/>
      </c>
      <c r="Z34" s="40" t="n"/>
      <c r="AA34" s="1000" t="n"/>
      <c r="AB34" s="1000" t="n"/>
      <c r="AC34" s="1000" t="n"/>
    </row>
    <row r="35" ht="14.25" customHeight="1">
      <c r="A35" s="667" t="inlineStr">
        <is>
          <t>Сырокопченые колбасы</t>
        </is>
      </c>
      <c r="B35" s="941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667" t="n"/>
      <c r="AB35" s="667" t="n"/>
      <c r="AC35" s="667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8" t="n">
        <v>4607091388503</v>
      </c>
      <c r="E36" s="951" t="n"/>
      <c r="F36" s="990" t="n">
        <v>0.05</v>
      </c>
      <c r="G36" s="35" t="n">
        <v>12</v>
      </c>
      <c r="H36" s="990" t="n">
        <v>0.6</v>
      </c>
      <c r="I36" s="990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7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92" t="n"/>
      <c r="R36" s="992" t="n"/>
      <c r="S36" s="992" t="n"/>
      <c r="T36" s="993" t="n"/>
      <c r="U36" s="37" t="inlineStr"/>
      <c r="V36" s="37" t="inlineStr"/>
      <c r="W36" s="38" t="inlineStr">
        <is>
          <t>кг</t>
        </is>
      </c>
      <c r="X36" s="994" t="n">
        <v>0</v>
      </c>
      <c r="Y36" s="995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7" t="n"/>
      <c r="B37" s="941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97" t="n"/>
      <c r="P37" s="998" t="inlineStr">
        <is>
          <t>Итого</t>
        </is>
      </c>
      <c r="Q37" s="959" t="n"/>
      <c r="R37" s="959" t="n"/>
      <c r="S37" s="959" t="n"/>
      <c r="T37" s="959" t="n"/>
      <c r="U37" s="959" t="n"/>
      <c r="V37" s="960" t="n"/>
      <c r="W37" s="40" t="inlineStr">
        <is>
          <t>кор</t>
        </is>
      </c>
      <c r="X37" s="999">
        <f>IFERROR(X36/H36,"0")</f>
        <v/>
      </c>
      <c r="Y37" s="999">
        <f>IFERROR(Y36/H36,"0")</f>
        <v/>
      </c>
      <c r="Z37" s="999">
        <f>IFERROR(IF(Z36="",0,Z36),"0")</f>
        <v/>
      </c>
      <c r="AA37" s="1000" t="n"/>
      <c r="AB37" s="1000" t="n"/>
      <c r="AC37" s="1000" t="n"/>
    </row>
    <row r="38">
      <c r="A38" s="941" t="n"/>
      <c r="B38" s="941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97" t="n"/>
      <c r="P38" s="998" t="inlineStr">
        <is>
          <t>Итого</t>
        </is>
      </c>
      <c r="Q38" s="959" t="n"/>
      <c r="R38" s="959" t="n"/>
      <c r="S38" s="959" t="n"/>
      <c r="T38" s="959" t="n"/>
      <c r="U38" s="959" t="n"/>
      <c r="V38" s="960" t="n"/>
      <c r="W38" s="40" t="inlineStr">
        <is>
          <t>кг</t>
        </is>
      </c>
      <c r="X38" s="999">
        <f>IFERROR(SUM(X36:X36),"0")</f>
        <v/>
      </c>
      <c r="Y38" s="999">
        <f>IFERROR(SUM(Y36:Y36),"0")</f>
        <v/>
      </c>
      <c r="Z38" s="40" t="n"/>
      <c r="AA38" s="1000" t="n"/>
      <c r="AB38" s="1000" t="n"/>
      <c r="AC38" s="1000" t="n"/>
    </row>
    <row r="39" ht="27.75" customHeight="1">
      <c r="A39" s="665" t="inlineStr">
        <is>
          <t>Горячая штучка</t>
        </is>
      </c>
      <c r="B39" s="989" t="n"/>
      <c r="C39" s="989" t="n"/>
      <c r="D39" s="989" t="n"/>
      <c r="E39" s="989" t="n"/>
      <c r="F39" s="989" t="n"/>
      <c r="G39" s="989" t="n"/>
      <c r="H39" s="989" t="n"/>
      <c r="I39" s="989" t="n"/>
      <c r="J39" s="989" t="n"/>
      <c r="K39" s="989" t="n"/>
      <c r="L39" s="989" t="n"/>
      <c r="M39" s="989" t="n"/>
      <c r="N39" s="989" t="n"/>
      <c r="O39" s="989" t="n"/>
      <c r="P39" s="989" t="n"/>
      <c r="Q39" s="989" t="n"/>
      <c r="R39" s="989" t="n"/>
      <c r="S39" s="989" t="n"/>
      <c r="T39" s="989" t="n"/>
      <c r="U39" s="989" t="n"/>
      <c r="V39" s="989" t="n"/>
      <c r="W39" s="989" t="n"/>
      <c r="X39" s="989" t="n"/>
      <c r="Y39" s="989" t="n"/>
      <c r="Z39" s="989" t="n"/>
      <c r="AA39" s="52" t="n"/>
      <c r="AB39" s="52" t="n"/>
      <c r="AC39" s="52" t="n"/>
    </row>
    <row r="40" ht="16.5" customHeight="1">
      <c r="A40" s="666" t="inlineStr">
        <is>
          <t>Горячая штучка КИ</t>
        </is>
      </c>
      <c r="B40" s="941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666" t="n"/>
      <c r="AB40" s="666" t="n"/>
      <c r="AC40" s="666" t="n"/>
    </row>
    <row r="41" ht="14.25" customHeight="1">
      <c r="A41" s="667" t="inlineStr">
        <is>
          <t>Сосиски</t>
        </is>
      </c>
      <c r="B41" s="941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667" t="n"/>
      <c r="AB41" s="667" t="n"/>
      <c r="AC41" s="667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8" t="n">
        <v>4680115888463</v>
      </c>
      <c r="E42" s="951" t="n"/>
      <c r="F42" s="990" t="n">
        <v>0.32</v>
      </c>
      <c r="G42" s="35" t="n">
        <v>6</v>
      </c>
      <c r="H42" s="990" t="n">
        <v>1.92</v>
      </c>
      <c r="I42" s="990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8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92" t="n"/>
      <c r="R42" s="992" t="n"/>
      <c r="S42" s="992" t="n"/>
      <c r="T42" s="993" t="n"/>
      <c r="U42" s="37" t="inlineStr"/>
      <c r="V42" s="37" t="inlineStr"/>
      <c r="W42" s="38" t="inlineStr">
        <is>
          <t>кг</t>
        </is>
      </c>
      <c r="X42" s="994" t="n">
        <v>0</v>
      </c>
      <c r="Y42" s="995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8" t="n">
        <v>4680115888494</v>
      </c>
      <c r="E43" s="951" t="n"/>
      <c r="F43" s="990" t="n">
        <v>0.32</v>
      </c>
      <c r="G43" s="35" t="n">
        <v>6</v>
      </c>
      <c r="H43" s="990" t="n">
        <v>1.92</v>
      </c>
      <c r="I43" s="990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9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92" t="n"/>
      <c r="R43" s="992" t="n"/>
      <c r="S43" s="992" t="n"/>
      <c r="T43" s="993" t="n"/>
      <c r="U43" s="37" t="inlineStr"/>
      <c r="V43" s="37" t="inlineStr"/>
      <c r="W43" s="38" t="inlineStr">
        <is>
          <t>кг</t>
        </is>
      </c>
      <c r="X43" s="994" t="n">
        <v>0</v>
      </c>
      <c r="Y43" s="995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8" t="n">
        <v>4680115888272</v>
      </c>
      <c r="E44" s="951" t="n"/>
      <c r="F44" s="990" t="n">
        <v>0.32</v>
      </c>
      <c r="G44" s="35" t="n">
        <v>6</v>
      </c>
      <c r="H44" s="990" t="n">
        <v>1.92</v>
      </c>
      <c r="I44" s="990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10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92" t="n"/>
      <c r="R44" s="992" t="n"/>
      <c r="S44" s="992" t="n"/>
      <c r="T44" s="993" t="n"/>
      <c r="U44" s="37" t="inlineStr"/>
      <c r="V44" s="37" t="inlineStr"/>
      <c r="W44" s="38" t="inlineStr">
        <is>
          <t>кг</t>
        </is>
      </c>
      <c r="X44" s="994" t="n">
        <v>0</v>
      </c>
      <c r="Y44" s="995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8" t="n">
        <v>4680115888364</v>
      </c>
      <c r="E45" s="951" t="n"/>
      <c r="F45" s="990" t="n">
        <v>0.32</v>
      </c>
      <c r="G45" s="35" t="n">
        <v>6</v>
      </c>
      <c r="H45" s="990" t="n">
        <v>1.92</v>
      </c>
      <c r="I45" s="990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11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92" t="n"/>
      <c r="R45" s="992" t="n"/>
      <c r="S45" s="992" t="n"/>
      <c r="T45" s="993" t="n"/>
      <c r="U45" s="37" t="inlineStr"/>
      <c r="V45" s="37" t="inlineStr"/>
      <c r="W45" s="38" t="inlineStr">
        <is>
          <t>кг</t>
        </is>
      </c>
      <c r="X45" s="994" t="n">
        <v>0</v>
      </c>
      <c r="Y45" s="995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7" t="n"/>
      <c r="B46" s="941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97" t="n"/>
      <c r="P46" s="998" t="inlineStr">
        <is>
          <t>Итого</t>
        </is>
      </c>
      <c r="Q46" s="959" t="n"/>
      <c r="R46" s="959" t="n"/>
      <c r="S46" s="959" t="n"/>
      <c r="T46" s="959" t="n"/>
      <c r="U46" s="959" t="n"/>
      <c r="V46" s="960" t="n"/>
      <c r="W46" s="40" t="inlineStr">
        <is>
          <t>кор</t>
        </is>
      </c>
      <c r="X46" s="999">
        <f>IFERROR(X42/H42,"0")+IFERROR(X43/H43,"0")+IFERROR(X44/H44,"0")+IFERROR(X45/H45,"0")</f>
        <v/>
      </c>
      <c r="Y46" s="999">
        <f>IFERROR(Y42/H42,"0")+IFERROR(Y43/H43,"0")+IFERROR(Y44/H44,"0")+IFERROR(Y45/H45,"0")</f>
        <v/>
      </c>
      <c r="Z46" s="999">
        <f>IFERROR(IF(Z42="",0,Z42),"0")+IFERROR(IF(Z43="",0,Z43),"0")+IFERROR(IF(Z44="",0,Z44),"0")+IFERROR(IF(Z45="",0,Z45),"0")</f>
        <v/>
      </c>
      <c r="AA46" s="1000" t="n"/>
      <c r="AB46" s="1000" t="n"/>
      <c r="AC46" s="1000" t="n"/>
    </row>
    <row r="47">
      <c r="A47" s="941" t="n"/>
      <c r="B47" s="941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97" t="n"/>
      <c r="P47" s="998" t="inlineStr">
        <is>
          <t>Итого</t>
        </is>
      </c>
      <c r="Q47" s="959" t="n"/>
      <c r="R47" s="959" t="n"/>
      <c r="S47" s="959" t="n"/>
      <c r="T47" s="959" t="n"/>
      <c r="U47" s="959" t="n"/>
      <c r="V47" s="960" t="n"/>
      <c r="W47" s="40" t="inlineStr">
        <is>
          <t>кг</t>
        </is>
      </c>
      <c r="X47" s="999">
        <f>IFERROR(SUM(X42:X45),"0")</f>
        <v/>
      </c>
      <c r="Y47" s="999">
        <f>IFERROR(SUM(Y42:Y45),"0")</f>
        <v/>
      </c>
      <c r="Z47" s="40" t="n"/>
      <c r="AA47" s="1000" t="n"/>
      <c r="AB47" s="1000" t="n"/>
      <c r="AC47" s="1000" t="n"/>
    </row>
    <row r="48" ht="27.75" customHeight="1">
      <c r="A48" s="665" t="inlineStr">
        <is>
          <t>Вязанка</t>
        </is>
      </c>
      <c r="B48" s="989" t="n"/>
      <c r="C48" s="989" t="n"/>
      <c r="D48" s="989" t="n"/>
      <c r="E48" s="989" t="n"/>
      <c r="F48" s="989" t="n"/>
      <c r="G48" s="989" t="n"/>
      <c r="H48" s="989" t="n"/>
      <c r="I48" s="989" t="n"/>
      <c r="J48" s="989" t="n"/>
      <c r="K48" s="989" t="n"/>
      <c r="L48" s="989" t="n"/>
      <c r="M48" s="989" t="n"/>
      <c r="N48" s="989" t="n"/>
      <c r="O48" s="989" t="n"/>
      <c r="P48" s="989" t="n"/>
      <c r="Q48" s="989" t="n"/>
      <c r="R48" s="989" t="n"/>
      <c r="S48" s="989" t="n"/>
      <c r="T48" s="989" t="n"/>
      <c r="U48" s="989" t="n"/>
      <c r="V48" s="989" t="n"/>
      <c r="W48" s="989" t="n"/>
      <c r="X48" s="989" t="n"/>
      <c r="Y48" s="989" t="n"/>
      <c r="Z48" s="989" t="n"/>
      <c r="AA48" s="52" t="n"/>
      <c r="AB48" s="52" t="n"/>
      <c r="AC48" s="52" t="n"/>
    </row>
    <row r="49" ht="16.5" customHeight="1">
      <c r="A49" s="666" t="inlineStr">
        <is>
          <t>ГОСТ</t>
        </is>
      </c>
      <c r="B49" s="941" t="n"/>
      <c r="C49" s="941" t="n"/>
      <c r="D49" s="941" t="n"/>
      <c r="E49" s="941" t="n"/>
      <c r="F49" s="941" t="n"/>
      <c r="G49" s="941" t="n"/>
      <c r="H49" s="941" t="n"/>
      <c r="I49" s="941" t="n"/>
      <c r="J49" s="941" t="n"/>
      <c r="K49" s="941" t="n"/>
      <c r="L49" s="941" t="n"/>
      <c r="M49" s="941" t="n"/>
      <c r="N49" s="941" t="n"/>
      <c r="O49" s="941" t="n"/>
      <c r="P49" s="941" t="n"/>
      <c r="Q49" s="941" t="n"/>
      <c r="R49" s="941" t="n"/>
      <c r="S49" s="941" t="n"/>
      <c r="T49" s="941" t="n"/>
      <c r="U49" s="941" t="n"/>
      <c r="V49" s="941" t="n"/>
      <c r="W49" s="941" t="n"/>
      <c r="X49" s="941" t="n"/>
      <c r="Y49" s="941" t="n"/>
      <c r="Z49" s="941" t="n"/>
      <c r="AA49" s="666" t="n"/>
      <c r="AB49" s="666" t="n"/>
      <c r="AC49" s="666" t="n"/>
    </row>
    <row r="50" ht="14.25" customHeight="1">
      <c r="A50" s="667" t="inlineStr">
        <is>
          <t>Вареные колбасы</t>
        </is>
      </c>
      <c r="B50" s="941" t="n"/>
      <c r="C50" s="941" t="n"/>
      <c r="D50" s="941" t="n"/>
      <c r="E50" s="941" t="n"/>
      <c r="F50" s="941" t="n"/>
      <c r="G50" s="941" t="n"/>
      <c r="H50" s="941" t="n"/>
      <c r="I50" s="941" t="n"/>
      <c r="J50" s="941" t="n"/>
      <c r="K50" s="941" t="n"/>
      <c r="L50" s="941" t="n"/>
      <c r="M50" s="941" t="n"/>
      <c r="N50" s="941" t="n"/>
      <c r="O50" s="941" t="n"/>
      <c r="P50" s="941" t="n"/>
      <c r="Q50" s="941" t="n"/>
      <c r="R50" s="941" t="n"/>
      <c r="S50" s="941" t="n"/>
      <c r="T50" s="941" t="n"/>
      <c r="U50" s="941" t="n"/>
      <c r="V50" s="941" t="n"/>
      <c r="W50" s="941" t="n"/>
      <c r="X50" s="941" t="n"/>
      <c r="Y50" s="941" t="n"/>
      <c r="Z50" s="941" t="n"/>
      <c r="AA50" s="667" t="n"/>
      <c r="AB50" s="667" t="n"/>
      <c r="AC50" s="667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8" t="n">
        <v>4607091385670</v>
      </c>
      <c r="E51" s="951" t="n"/>
      <c r="F51" s="990" t="n">
        <v>1.35</v>
      </c>
      <c r="G51" s="35" t="n">
        <v>8</v>
      </c>
      <c r="H51" s="990" t="n">
        <v>10.8</v>
      </c>
      <c r="I51" s="990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12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92" t="n"/>
      <c r="R51" s="992" t="n"/>
      <c r="S51" s="992" t="n"/>
      <c r="T51" s="993" t="n"/>
      <c r="U51" s="37" t="inlineStr"/>
      <c r="V51" s="37" t="inlineStr"/>
      <c r="W51" s="38" t="inlineStr">
        <is>
          <t>кг</t>
        </is>
      </c>
      <c r="X51" s="994" t="n">
        <v>90</v>
      </c>
      <c r="Y51" s="995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8" t="n">
        <v>4680115887725</v>
      </c>
      <c r="E52" s="951" t="n"/>
      <c r="F52" s="990" t="n">
        <v>0.11</v>
      </c>
      <c r="G52" s="35" t="n">
        <v>10</v>
      </c>
      <c r="H52" s="990" t="n">
        <v>1.1</v>
      </c>
      <c r="I52" s="990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3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92" t="n"/>
      <c r="R52" s="992" t="n"/>
      <c r="S52" s="992" t="n"/>
      <c r="T52" s="993" t="n"/>
      <c r="U52" s="37" t="inlineStr"/>
      <c r="V52" s="37" t="inlineStr"/>
      <c r="W52" s="38" t="inlineStr">
        <is>
          <t>кг</t>
        </is>
      </c>
      <c r="X52" s="994" t="n">
        <v>0</v>
      </c>
      <c r="Y52" s="995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8" t="n">
        <v>4607091385687</v>
      </c>
      <c r="E53" s="951" t="n"/>
      <c r="F53" s="990" t="n">
        <v>0.4</v>
      </c>
      <c r="G53" s="35" t="n">
        <v>10</v>
      </c>
      <c r="H53" s="990" t="n">
        <v>4</v>
      </c>
      <c r="I53" s="990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4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92" t="n"/>
      <c r="R53" s="992" t="n"/>
      <c r="S53" s="992" t="n"/>
      <c r="T53" s="993" t="n"/>
      <c r="U53" s="37" t="inlineStr"/>
      <c r="V53" s="37" t="inlineStr"/>
      <c r="W53" s="38" t="inlineStr">
        <is>
          <t>кг</t>
        </is>
      </c>
      <c r="X53" s="994" t="n">
        <v>28</v>
      </c>
      <c r="Y53" s="995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8" t="n">
        <v>4680115882539</v>
      </c>
      <c r="E54" s="951" t="n"/>
      <c r="F54" s="990" t="n">
        <v>0.37</v>
      </c>
      <c r="G54" s="35" t="n">
        <v>10</v>
      </c>
      <c r="H54" s="990" t="n">
        <v>3.7</v>
      </c>
      <c r="I54" s="990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5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92" t="n"/>
      <c r="R54" s="992" t="n"/>
      <c r="S54" s="992" t="n"/>
      <c r="T54" s="993" t="n"/>
      <c r="U54" s="37" t="inlineStr"/>
      <c r="V54" s="37" t="inlineStr"/>
      <c r="W54" s="38" t="inlineStr">
        <is>
          <t>кг</t>
        </is>
      </c>
      <c r="X54" s="994" t="n">
        <v>0</v>
      </c>
      <c r="Y54" s="995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7" t="n"/>
      <c r="B55" s="941" t="n"/>
      <c r="C55" s="941" t="n"/>
      <c r="D55" s="941" t="n"/>
      <c r="E55" s="941" t="n"/>
      <c r="F55" s="941" t="n"/>
      <c r="G55" s="941" t="n"/>
      <c r="H55" s="941" t="n"/>
      <c r="I55" s="941" t="n"/>
      <c r="J55" s="941" t="n"/>
      <c r="K55" s="941" t="n"/>
      <c r="L55" s="941" t="n"/>
      <c r="M55" s="941" t="n"/>
      <c r="N55" s="941" t="n"/>
      <c r="O55" s="997" t="n"/>
      <c r="P55" s="998" t="inlineStr">
        <is>
          <t>Итого</t>
        </is>
      </c>
      <c r="Q55" s="959" t="n"/>
      <c r="R55" s="959" t="n"/>
      <c r="S55" s="959" t="n"/>
      <c r="T55" s="959" t="n"/>
      <c r="U55" s="959" t="n"/>
      <c r="V55" s="960" t="n"/>
      <c r="W55" s="40" t="inlineStr">
        <is>
          <t>кор</t>
        </is>
      </c>
      <c r="X55" s="999">
        <f>IFERROR(X51/H51,"0")+IFERROR(X52/H52,"0")+IFERROR(X53/H53,"0")+IFERROR(X54/H54,"0")</f>
        <v/>
      </c>
      <c r="Y55" s="999">
        <f>IFERROR(Y51/H51,"0")+IFERROR(Y52/H52,"0")+IFERROR(Y53/H53,"0")+IFERROR(Y54/H54,"0")</f>
        <v/>
      </c>
      <c r="Z55" s="999">
        <f>IFERROR(IF(Z51="",0,Z51),"0")+IFERROR(IF(Z52="",0,Z52),"0")+IFERROR(IF(Z53="",0,Z53),"0")+IFERROR(IF(Z54="",0,Z54),"0")</f>
        <v/>
      </c>
      <c r="AA55" s="1000" t="n"/>
      <c r="AB55" s="1000" t="n"/>
      <c r="AC55" s="1000" t="n"/>
    </row>
    <row r="56">
      <c r="A56" s="941" t="n"/>
      <c r="B56" s="941" t="n"/>
      <c r="C56" s="941" t="n"/>
      <c r="D56" s="941" t="n"/>
      <c r="E56" s="941" t="n"/>
      <c r="F56" s="941" t="n"/>
      <c r="G56" s="941" t="n"/>
      <c r="H56" s="941" t="n"/>
      <c r="I56" s="941" t="n"/>
      <c r="J56" s="941" t="n"/>
      <c r="K56" s="941" t="n"/>
      <c r="L56" s="941" t="n"/>
      <c r="M56" s="941" t="n"/>
      <c r="N56" s="941" t="n"/>
      <c r="O56" s="997" t="n"/>
      <c r="P56" s="998" t="inlineStr">
        <is>
          <t>Итого</t>
        </is>
      </c>
      <c r="Q56" s="959" t="n"/>
      <c r="R56" s="959" t="n"/>
      <c r="S56" s="959" t="n"/>
      <c r="T56" s="959" t="n"/>
      <c r="U56" s="959" t="n"/>
      <c r="V56" s="960" t="n"/>
      <c r="W56" s="40" t="inlineStr">
        <is>
          <t>кг</t>
        </is>
      </c>
      <c r="X56" s="999">
        <f>IFERROR(SUM(X51:X54),"0")</f>
        <v/>
      </c>
      <c r="Y56" s="999">
        <f>IFERROR(SUM(Y51:Y54),"0")</f>
        <v/>
      </c>
      <c r="Z56" s="40" t="n"/>
      <c r="AA56" s="1000" t="n"/>
      <c r="AB56" s="1000" t="n"/>
      <c r="AC56" s="1000" t="n"/>
    </row>
    <row r="57" ht="16.5" customHeight="1">
      <c r="A57" s="666" t="inlineStr">
        <is>
          <t>Филейская</t>
        </is>
      </c>
      <c r="B57" s="941" t="n"/>
      <c r="C57" s="941" t="n"/>
      <c r="D57" s="941" t="n"/>
      <c r="E57" s="941" t="n"/>
      <c r="F57" s="941" t="n"/>
      <c r="G57" s="941" t="n"/>
      <c r="H57" s="941" t="n"/>
      <c r="I57" s="941" t="n"/>
      <c r="J57" s="941" t="n"/>
      <c r="K57" s="941" t="n"/>
      <c r="L57" s="941" t="n"/>
      <c r="M57" s="941" t="n"/>
      <c r="N57" s="941" t="n"/>
      <c r="O57" s="941" t="n"/>
      <c r="P57" s="941" t="n"/>
      <c r="Q57" s="941" t="n"/>
      <c r="R57" s="941" t="n"/>
      <c r="S57" s="941" t="n"/>
      <c r="T57" s="941" t="n"/>
      <c r="U57" s="941" t="n"/>
      <c r="V57" s="941" t="n"/>
      <c r="W57" s="941" t="n"/>
      <c r="X57" s="941" t="n"/>
      <c r="Y57" s="941" t="n"/>
      <c r="Z57" s="941" t="n"/>
      <c r="AA57" s="666" t="n"/>
      <c r="AB57" s="666" t="n"/>
      <c r="AC57" s="666" t="n"/>
    </row>
    <row r="58" ht="14.25" customHeight="1">
      <c r="A58" s="667" t="inlineStr">
        <is>
          <t>Вареные колбасы</t>
        </is>
      </c>
      <c r="B58" s="941" t="n"/>
      <c r="C58" s="941" t="n"/>
      <c r="D58" s="941" t="n"/>
      <c r="E58" s="941" t="n"/>
      <c r="F58" s="941" t="n"/>
      <c r="G58" s="941" t="n"/>
      <c r="H58" s="941" t="n"/>
      <c r="I58" s="941" t="n"/>
      <c r="J58" s="941" t="n"/>
      <c r="K58" s="941" t="n"/>
      <c r="L58" s="941" t="n"/>
      <c r="M58" s="941" t="n"/>
      <c r="N58" s="941" t="n"/>
      <c r="O58" s="941" t="n"/>
      <c r="P58" s="941" t="n"/>
      <c r="Q58" s="941" t="n"/>
      <c r="R58" s="941" t="n"/>
      <c r="S58" s="941" t="n"/>
      <c r="T58" s="941" t="n"/>
      <c r="U58" s="941" t="n"/>
      <c r="V58" s="941" t="n"/>
      <c r="W58" s="941" t="n"/>
      <c r="X58" s="941" t="n"/>
      <c r="Y58" s="941" t="n"/>
      <c r="Z58" s="941" t="n"/>
      <c r="AA58" s="667" t="n"/>
      <c r="AB58" s="667" t="n"/>
      <c r="AC58" s="667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8" t="n">
        <v>4680115885882</v>
      </c>
      <c r="E59" s="951" t="n"/>
      <c r="F59" s="990" t="n">
        <v>1.4</v>
      </c>
      <c r="G59" s="35" t="n">
        <v>8</v>
      </c>
      <c r="H59" s="990" t="n">
        <v>11.2</v>
      </c>
      <c r="I59" s="990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6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92" t="n"/>
      <c r="R59" s="992" t="n"/>
      <c r="S59" s="992" t="n"/>
      <c r="T59" s="993" t="n"/>
      <c r="U59" s="37" t="inlineStr"/>
      <c r="V59" s="37" t="inlineStr"/>
      <c r="W59" s="38" t="inlineStr">
        <is>
          <t>кг</t>
        </is>
      </c>
      <c r="X59" s="994" t="n">
        <v>20</v>
      </c>
      <c r="Y59" s="995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8" t="n">
        <v>4680115885882</v>
      </c>
      <c r="E60" s="951" t="n"/>
      <c r="F60" s="990" t="n">
        <v>1.4</v>
      </c>
      <c r="G60" s="35" t="n">
        <v>8</v>
      </c>
      <c r="H60" s="990" t="n">
        <v>11.2</v>
      </c>
      <c r="I60" s="990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7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92" t="n"/>
      <c r="R60" s="992" t="n"/>
      <c r="S60" s="992" t="n"/>
      <c r="T60" s="993" t="n"/>
      <c r="U60" s="37" t="inlineStr"/>
      <c r="V60" s="37" t="inlineStr"/>
      <c r="W60" s="38" t="inlineStr">
        <is>
          <t>кг</t>
        </is>
      </c>
      <c r="X60" s="994" t="n">
        <v>0</v>
      </c>
      <c r="Y60" s="995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8" t="n">
        <v>4680115881426</v>
      </c>
      <c r="E61" s="951" t="n"/>
      <c r="F61" s="990" t="n">
        <v>1.35</v>
      </c>
      <c r="G61" s="35" t="n">
        <v>8</v>
      </c>
      <c r="H61" s="990" t="n">
        <v>10.8</v>
      </c>
      <c r="I61" s="990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8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92" t="n"/>
      <c r="R61" s="992" t="n"/>
      <c r="S61" s="992" t="n"/>
      <c r="T61" s="993" t="n"/>
      <c r="U61" s="37" t="inlineStr"/>
      <c r="V61" s="37" t="inlineStr"/>
      <c r="W61" s="38" t="inlineStr">
        <is>
          <t>кг</t>
        </is>
      </c>
      <c r="X61" s="994" t="n">
        <v>640</v>
      </c>
      <c r="Y61" s="995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8" t="n">
        <v>4680115880283</v>
      </c>
      <c r="E62" s="951" t="n"/>
      <c r="F62" s="990" t="n">
        <v>0.6</v>
      </c>
      <c r="G62" s="35" t="n">
        <v>8</v>
      </c>
      <c r="H62" s="990" t="n">
        <v>4.8</v>
      </c>
      <c r="I62" s="990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9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92" t="n"/>
      <c r="R62" s="992" t="n"/>
      <c r="S62" s="992" t="n"/>
      <c r="T62" s="993" t="n"/>
      <c r="U62" s="37" t="inlineStr"/>
      <c r="V62" s="37" t="inlineStr"/>
      <c r="W62" s="38" t="inlineStr">
        <is>
          <t>кг</t>
        </is>
      </c>
      <c r="X62" s="994" t="n">
        <v>0</v>
      </c>
      <c r="Y62" s="995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8" t="n">
        <v>4680115881525</v>
      </c>
      <c r="E63" s="951" t="n"/>
      <c r="F63" s="990" t="n">
        <v>0.4</v>
      </c>
      <c r="G63" s="35" t="n">
        <v>10</v>
      </c>
      <c r="H63" s="990" t="n">
        <v>4</v>
      </c>
      <c r="I63" s="990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20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92" t="n"/>
      <c r="R63" s="992" t="n"/>
      <c r="S63" s="992" t="n"/>
      <c r="T63" s="993" t="n"/>
      <c r="U63" s="37" t="inlineStr"/>
      <c r="V63" s="37" t="inlineStr"/>
      <c r="W63" s="38" t="inlineStr">
        <is>
          <t>кг</t>
        </is>
      </c>
      <c r="X63" s="994" t="n">
        <v>0</v>
      </c>
      <c r="Y63" s="995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8" t="n">
        <v>4680115885899</v>
      </c>
      <c r="E64" s="951" t="n"/>
      <c r="F64" s="990" t="n">
        <v>0.35</v>
      </c>
      <c r="G64" s="35" t="n">
        <v>6</v>
      </c>
      <c r="H64" s="990" t="n">
        <v>2.1</v>
      </c>
      <c r="I64" s="990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21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92" t="n"/>
      <c r="R64" s="992" t="n"/>
      <c r="S64" s="992" t="n"/>
      <c r="T64" s="993" t="n"/>
      <c r="U64" s="37" t="inlineStr"/>
      <c r="V64" s="37" t="inlineStr"/>
      <c r="W64" s="38" t="inlineStr">
        <is>
          <t>кг</t>
        </is>
      </c>
      <c r="X64" s="994" t="n">
        <v>0</v>
      </c>
      <c r="Y64" s="995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8" t="n">
        <v>4680115881419</v>
      </c>
      <c r="E65" s="951" t="n"/>
      <c r="F65" s="990" t="n">
        <v>0.45</v>
      </c>
      <c r="G65" s="35" t="n">
        <v>10</v>
      </c>
      <c r="H65" s="990" t="n">
        <v>4.5</v>
      </c>
      <c r="I65" s="990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22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92" t="n"/>
      <c r="R65" s="992" t="n"/>
      <c r="S65" s="992" t="n"/>
      <c r="T65" s="993" t="n"/>
      <c r="U65" s="37" t="inlineStr"/>
      <c r="V65" s="37" t="inlineStr"/>
      <c r="W65" s="38" t="inlineStr">
        <is>
          <t>кг</t>
        </is>
      </c>
      <c r="X65" s="994" t="n">
        <v>247.5</v>
      </c>
      <c r="Y65" s="995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7" t="n"/>
      <c r="B66" s="941" t="n"/>
      <c r="C66" s="941" t="n"/>
      <c r="D66" s="941" t="n"/>
      <c r="E66" s="941" t="n"/>
      <c r="F66" s="941" t="n"/>
      <c r="G66" s="941" t="n"/>
      <c r="H66" s="941" t="n"/>
      <c r="I66" s="941" t="n"/>
      <c r="J66" s="941" t="n"/>
      <c r="K66" s="941" t="n"/>
      <c r="L66" s="941" t="n"/>
      <c r="M66" s="941" t="n"/>
      <c r="N66" s="941" t="n"/>
      <c r="O66" s="997" t="n"/>
      <c r="P66" s="998" t="inlineStr">
        <is>
          <t>Итого</t>
        </is>
      </c>
      <c r="Q66" s="959" t="n"/>
      <c r="R66" s="959" t="n"/>
      <c r="S66" s="959" t="n"/>
      <c r="T66" s="959" t="n"/>
      <c r="U66" s="959" t="n"/>
      <c r="V66" s="960" t="n"/>
      <c r="W66" s="40" t="inlineStr">
        <is>
          <t>кор</t>
        </is>
      </c>
      <c r="X66" s="999">
        <f>IFERROR(X59/H59,"0")+IFERROR(X60/H60,"0")+IFERROR(X61/H61,"0")+IFERROR(X62/H62,"0")+IFERROR(X63/H63,"0")+IFERROR(X64/H64,"0")+IFERROR(X65/H65,"0")</f>
        <v/>
      </c>
      <c r="Y66" s="999">
        <f>IFERROR(Y59/H59,"0")+IFERROR(Y60/H60,"0")+IFERROR(Y61/H61,"0")+IFERROR(Y62/H62,"0")+IFERROR(Y63/H63,"0")+IFERROR(Y64/H64,"0")+IFERROR(Y65/H65,"0")</f>
        <v/>
      </c>
      <c r="Z66" s="999">
        <f>IFERROR(IF(Z59="",0,Z59),"0")+IFERROR(IF(Z60="",0,Z60),"0")+IFERROR(IF(Z61="",0,Z61),"0")+IFERROR(IF(Z62="",0,Z62),"0")+IFERROR(IF(Z63="",0,Z63),"0")+IFERROR(IF(Z64="",0,Z64),"0")+IFERROR(IF(Z65="",0,Z65),"0")</f>
        <v/>
      </c>
      <c r="AA66" s="1000" t="n"/>
      <c r="AB66" s="1000" t="n"/>
      <c r="AC66" s="1000" t="n"/>
    </row>
    <row r="67">
      <c r="A67" s="941" t="n"/>
      <c r="B67" s="941" t="n"/>
      <c r="C67" s="941" t="n"/>
      <c r="D67" s="941" t="n"/>
      <c r="E67" s="941" t="n"/>
      <c r="F67" s="941" t="n"/>
      <c r="G67" s="941" t="n"/>
      <c r="H67" s="941" t="n"/>
      <c r="I67" s="941" t="n"/>
      <c r="J67" s="941" t="n"/>
      <c r="K67" s="941" t="n"/>
      <c r="L67" s="941" t="n"/>
      <c r="M67" s="941" t="n"/>
      <c r="N67" s="941" t="n"/>
      <c r="O67" s="997" t="n"/>
      <c r="P67" s="998" t="inlineStr">
        <is>
          <t>Итого</t>
        </is>
      </c>
      <c r="Q67" s="959" t="n"/>
      <c r="R67" s="959" t="n"/>
      <c r="S67" s="959" t="n"/>
      <c r="T67" s="959" t="n"/>
      <c r="U67" s="959" t="n"/>
      <c r="V67" s="960" t="n"/>
      <c r="W67" s="40" t="inlineStr">
        <is>
          <t>кг</t>
        </is>
      </c>
      <c r="X67" s="999">
        <f>IFERROR(SUM(X59:X65),"0")</f>
        <v/>
      </c>
      <c r="Y67" s="999">
        <f>IFERROR(SUM(Y59:Y65),"0")</f>
        <v/>
      </c>
      <c r="Z67" s="40" t="n"/>
      <c r="AA67" s="1000" t="n"/>
      <c r="AB67" s="1000" t="n"/>
      <c r="AC67" s="1000" t="n"/>
    </row>
    <row r="68" ht="14.25" customHeight="1">
      <c r="A68" s="667" t="inlineStr">
        <is>
          <t>Ветчины</t>
        </is>
      </c>
      <c r="B68" s="941" t="n"/>
      <c r="C68" s="941" t="n"/>
      <c r="D68" s="941" t="n"/>
      <c r="E68" s="941" t="n"/>
      <c r="F68" s="941" t="n"/>
      <c r="G68" s="941" t="n"/>
      <c r="H68" s="941" t="n"/>
      <c r="I68" s="941" t="n"/>
      <c r="J68" s="941" t="n"/>
      <c r="K68" s="941" t="n"/>
      <c r="L68" s="941" t="n"/>
      <c r="M68" s="941" t="n"/>
      <c r="N68" s="941" t="n"/>
      <c r="O68" s="941" t="n"/>
      <c r="P68" s="941" t="n"/>
      <c r="Q68" s="941" t="n"/>
      <c r="R68" s="941" t="n"/>
      <c r="S68" s="941" t="n"/>
      <c r="T68" s="941" t="n"/>
      <c r="U68" s="941" t="n"/>
      <c r="V68" s="941" t="n"/>
      <c r="W68" s="941" t="n"/>
      <c r="X68" s="941" t="n"/>
      <c r="Y68" s="941" t="n"/>
      <c r="Z68" s="941" t="n"/>
      <c r="AA68" s="667" t="n"/>
      <c r="AB68" s="667" t="n"/>
      <c r="AC68" s="667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8" t="n">
        <v>4680115881440</v>
      </c>
      <c r="E69" s="951" t="n"/>
      <c r="F69" s="990" t="n">
        <v>1.35</v>
      </c>
      <c r="G69" s="35" t="n">
        <v>8</v>
      </c>
      <c r="H69" s="990" t="n">
        <v>10.8</v>
      </c>
      <c r="I69" s="990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3">
        <f>HYPERLINK("https://abi.ru/products/Охлажденные/Вязанка/Филейская/Ветчины/P003234/","Ветчины «Филейская» Весовые Вектор ТМ «Вязанка»")</f>
        <v/>
      </c>
      <c r="Q69" s="992" t="n"/>
      <c r="R69" s="992" t="n"/>
      <c r="S69" s="992" t="n"/>
      <c r="T69" s="993" t="n"/>
      <c r="U69" s="37" t="inlineStr"/>
      <c r="V69" s="37" t="inlineStr"/>
      <c r="W69" s="38" t="inlineStr">
        <is>
          <t>кг</t>
        </is>
      </c>
      <c r="X69" s="994" t="n">
        <v>480</v>
      </c>
      <c r="Y69" s="995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8" t="n">
        <v>4680115885950</v>
      </c>
      <c r="E70" s="951" t="n"/>
      <c r="F70" s="990" t="n">
        <v>0.37</v>
      </c>
      <c r="G70" s="35" t="n">
        <v>6</v>
      </c>
      <c r="H70" s="990" t="n">
        <v>2.22</v>
      </c>
      <c r="I70" s="990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4">
        <f>HYPERLINK("https://abi.ru/products/Охлажденные/Вязанка/Филейская/Ветчины/P004676/","Ветчины «Филейская» ф/в 0,37 п/а ТМ «Вязанка»")</f>
        <v/>
      </c>
      <c r="Q70" s="992" t="n"/>
      <c r="R70" s="992" t="n"/>
      <c r="S70" s="992" t="n"/>
      <c r="T70" s="993" t="n"/>
      <c r="U70" s="37" t="inlineStr"/>
      <c r="V70" s="37" t="inlineStr"/>
      <c r="W70" s="38" t="inlineStr">
        <is>
          <t>кг</t>
        </is>
      </c>
      <c r="X70" s="994" t="n">
        <v>0</v>
      </c>
      <c r="Y70" s="995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8" t="n">
        <v>4680115887688</v>
      </c>
      <c r="E71" s="951" t="n"/>
      <c r="F71" s="990" t="n">
        <v>0.1</v>
      </c>
      <c r="G71" s="35" t="n">
        <v>10</v>
      </c>
      <c r="H71" s="990" t="n">
        <v>1</v>
      </c>
      <c r="I71" s="990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5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92" t="n"/>
      <c r="R71" s="992" t="n"/>
      <c r="S71" s="992" t="n"/>
      <c r="T71" s="993" t="n"/>
      <c r="U71" s="37" t="inlineStr"/>
      <c r="V71" s="37" t="inlineStr"/>
      <c r="W71" s="38" t="inlineStr">
        <is>
          <t>кг</t>
        </is>
      </c>
      <c r="X71" s="994" t="n">
        <v>0</v>
      </c>
      <c r="Y71" s="995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8" t="n">
        <v>4680115881433</v>
      </c>
      <c r="E72" s="951" t="n"/>
      <c r="F72" s="990" t="n">
        <v>0.45</v>
      </c>
      <c r="G72" s="35" t="n">
        <v>6</v>
      </c>
      <c r="H72" s="990" t="n">
        <v>2.7</v>
      </c>
      <c r="I72" s="990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6">
        <f>HYPERLINK("https://abi.ru/products/Охлажденные/Вязанка/Филейская/Ветчины/P003226/","Ветчины «Филейская» Фикс.вес 0,45 Вектор ТМ «Вязанка»")</f>
        <v/>
      </c>
      <c r="Q72" s="992" t="n"/>
      <c r="R72" s="992" t="n"/>
      <c r="S72" s="992" t="n"/>
      <c r="T72" s="993" t="n"/>
      <c r="U72" s="37" t="inlineStr"/>
      <c r="V72" s="37" t="inlineStr"/>
      <c r="W72" s="38" t="inlineStr">
        <is>
          <t>кг</t>
        </is>
      </c>
      <c r="X72" s="994" t="n">
        <v>130.5</v>
      </c>
      <c r="Y72" s="995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7" t="n"/>
      <c r="B73" s="941" t="n"/>
      <c r="C73" s="941" t="n"/>
      <c r="D73" s="941" t="n"/>
      <c r="E73" s="941" t="n"/>
      <c r="F73" s="941" t="n"/>
      <c r="G73" s="941" t="n"/>
      <c r="H73" s="941" t="n"/>
      <c r="I73" s="941" t="n"/>
      <c r="J73" s="941" t="n"/>
      <c r="K73" s="941" t="n"/>
      <c r="L73" s="941" t="n"/>
      <c r="M73" s="941" t="n"/>
      <c r="N73" s="941" t="n"/>
      <c r="O73" s="997" t="n"/>
      <c r="P73" s="998" t="inlineStr">
        <is>
          <t>Итого</t>
        </is>
      </c>
      <c r="Q73" s="959" t="n"/>
      <c r="R73" s="959" t="n"/>
      <c r="S73" s="959" t="n"/>
      <c r="T73" s="959" t="n"/>
      <c r="U73" s="959" t="n"/>
      <c r="V73" s="960" t="n"/>
      <c r="W73" s="40" t="inlineStr">
        <is>
          <t>кор</t>
        </is>
      </c>
      <c r="X73" s="999">
        <f>IFERROR(X69/H69,"0")+IFERROR(X70/H70,"0")+IFERROR(X71/H71,"0")+IFERROR(X72/H72,"0")</f>
        <v/>
      </c>
      <c r="Y73" s="999">
        <f>IFERROR(Y69/H69,"0")+IFERROR(Y70/H70,"0")+IFERROR(Y71/H71,"0")+IFERROR(Y72/H72,"0")</f>
        <v/>
      </c>
      <c r="Z73" s="999">
        <f>IFERROR(IF(Z69="",0,Z69),"0")+IFERROR(IF(Z70="",0,Z70),"0")+IFERROR(IF(Z71="",0,Z71),"0")+IFERROR(IF(Z72="",0,Z72),"0")</f>
        <v/>
      </c>
      <c r="AA73" s="1000" t="n"/>
      <c r="AB73" s="1000" t="n"/>
      <c r="AC73" s="1000" t="n"/>
    </row>
    <row r="74">
      <c r="A74" s="941" t="n"/>
      <c r="B74" s="941" t="n"/>
      <c r="C74" s="941" t="n"/>
      <c r="D74" s="941" t="n"/>
      <c r="E74" s="941" t="n"/>
      <c r="F74" s="941" t="n"/>
      <c r="G74" s="941" t="n"/>
      <c r="H74" s="941" t="n"/>
      <c r="I74" s="941" t="n"/>
      <c r="J74" s="941" t="n"/>
      <c r="K74" s="941" t="n"/>
      <c r="L74" s="941" t="n"/>
      <c r="M74" s="941" t="n"/>
      <c r="N74" s="941" t="n"/>
      <c r="O74" s="997" t="n"/>
      <c r="P74" s="998" t="inlineStr">
        <is>
          <t>Итого</t>
        </is>
      </c>
      <c r="Q74" s="959" t="n"/>
      <c r="R74" s="959" t="n"/>
      <c r="S74" s="959" t="n"/>
      <c r="T74" s="959" t="n"/>
      <c r="U74" s="959" t="n"/>
      <c r="V74" s="960" t="n"/>
      <c r="W74" s="40" t="inlineStr">
        <is>
          <t>кг</t>
        </is>
      </c>
      <c r="X74" s="999">
        <f>IFERROR(SUM(X69:X72),"0")</f>
        <v/>
      </c>
      <c r="Y74" s="999">
        <f>IFERROR(SUM(Y69:Y72),"0")</f>
        <v/>
      </c>
      <c r="Z74" s="40" t="n"/>
      <c r="AA74" s="1000" t="n"/>
      <c r="AB74" s="1000" t="n"/>
      <c r="AC74" s="1000" t="n"/>
    </row>
    <row r="75" ht="14.25" customHeight="1">
      <c r="A75" s="667" t="inlineStr">
        <is>
          <t>Сосиски</t>
        </is>
      </c>
      <c r="B75" s="941" t="n"/>
      <c r="C75" s="941" t="n"/>
      <c r="D75" s="941" t="n"/>
      <c r="E75" s="941" t="n"/>
      <c r="F75" s="941" t="n"/>
      <c r="G75" s="941" t="n"/>
      <c r="H75" s="941" t="n"/>
      <c r="I75" s="941" t="n"/>
      <c r="J75" s="941" t="n"/>
      <c r="K75" s="941" t="n"/>
      <c r="L75" s="941" t="n"/>
      <c r="M75" s="941" t="n"/>
      <c r="N75" s="941" t="n"/>
      <c r="O75" s="941" t="n"/>
      <c r="P75" s="941" t="n"/>
      <c r="Q75" s="941" t="n"/>
      <c r="R75" s="941" t="n"/>
      <c r="S75" s="941" t="n"/>
      <c r="T75" s="941" t="n"/>
      <c r="U75" s="941" t="n"/>
      <c r="V75" s="941" t="n"/>
      <c r="W75" s="941" t="n"/>
      <c r="X75" s="941" t="n"/>
      <c r="Y75" s="941" t="n"/>
      <c r="Z75" s="941" t="n"/>
      <c r="AA75" s="667" t="n"/>
      <c r="AB75" s="667" t="n"/>
      <c r="AC75" s="667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8" t="n">
        <v>4680115884311</v>
      </c>
      <c r="E76" s="951" t="n"/>
      <c r="F76" s="990" t="n">
        <v>0.3</v>
      </c>
      <c r="G76" s="35" t="n">
        <v>6</v>
      </c>
      <c r="H76" s="990" t="n">
        <v>1.8</v>
      </c>
      <c r="I76" s="990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7">
        <f>HYPERLINK("https://abi.ru/products/Охлажденные/Вязанка/Филейская/Сосиски/P004554/","Сосиски «Филейские» Фикс.вес 0,3 ц/о мгс ТМ «Вязанка»")</f>
        <v/>
      </c>
      <c r="Q76" s="992" t="n"/>
      <c r="R76" s="992" t="n"/>
      <c r="S76" s="992" t="n"/>
      <c r="T76" s="993" t="n"/>
      <c r="U76" s="37" t="inlineStr"/>
      <c r="V76" s="37" t="inlineStr"/>
      <c r="W76" s="38" t="inlineStr">
        <is>
          <t>кг</t>
        </is>
      </c>
      <c r="X76" s="994" t="n">
        <v>0</v>
      </c>
      <c r="Y76" s="995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8" t="n">
        <v>4680115884403</v>
      </c>
      <c r="E77" s="951" t="n"/>
      <c r="F77" s="990" t="n">
        <v>0.3</v>
      </c>
      <c r="G77" s="35" t="n">
        <v>6</v>
      </c>
      <c r="H77" s="990" t="n">
        <v>1.8</v>
      </c>
      <c r="I77" s="990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8">
        <f>HYPERLINK("https://abi.ru/products/Охлажденные/Вязанка/Филейская/Сосиски/P004557/","Сосиски «Филейские рубленые» ф/в 0,3 ц/о ТМ «Вязанка»")</f>
        <v/>
      </c>
      <c r="Q77" s="992" t="n"/>
      <c r="R77" s="992" t="n"/>
      <c r="S77" s="992" t="n"/>
      <c r="T77" s="993" t="n"/>
      <c r="U77" s="37" t="inlineStr"/>
      <c r="V77" s="37" t="inlineStr"/>
      <c r="W77" s="38" t="inlineStr">
        <is>
          <t>кг</t>
        </is>
      </c>
      <c r="X77" s="994" t="n">
        <v>0</v>
      </c>
      <c r="Y77" s="995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7" t="n"/>
      <c r="B78" s="941" t="n"/>
      <c r="C78" s="941" t="n"/>
      <c r="D78" s="941" t="n"/>
      <c r="E78" s="941" t="n"/>
      <c r="F78" s="941" t="n"/>
      <c r="G78" s="941" t="n"/>
      <c r="H78" s="941" t="n"/>
      <c r="I78" s="941" t="n"/>
      <c r="J78" s="941" t="n"/>
      <c r="K78" s="941" t="n"/>
      <c r="L78" s="941" t="n"/>
      <c r="M78" s="941" t="n"/>
      <c r="N78" s="941" t="n"/>
      <c r="O78" s="997" t="n"/>
      <c r="P78" s="998" t="inlineStr">
        <is>
          <t>Итого</t>
        </is>
      </c>
      <c r="Q78" s="959" t="n"/>
      <c r="R78" s="959" t="n"/>
      <c r="S78" s="959" t="n"/>
      <c r="T78" s="959" t="n"/>
      <c r="U78" s="959" t="n"/>
      <c r="V78" s="960" t="n"/>
      <c r="W78" s="40" t="inlineStr">
        <is>
          <t>кор</t>
        </is>
      </c>
      <c r="X78" s="999">
        <f>IFERROR(X76/H76,"0")+IFERROR(X77/H77,"0")</f>
        <v/>
      </c>
      <c r="Y78" s="999">
        <f>IFERROR(Y76/H76,"0")+IFERROR(Y77/H77,"0")</f>
        <v/>
      </c>
      <c r="Z78" s="999">
        <f>IFERROR(IF(Z76="",0,Z76),"0")+IFERROR(IF(Z77="",0,Z77),"0")</f>
        <v/>
      </c>
      <c r="AA78" s="1000" t="n"/>
      <c r="AB78" s="1000" t="n"/>
      <c r="AC78" s="1000" t="n"/>
    </row>
    <row r="79">
      <c r="A79" s="941" t="n"/>
      <c r="B79" s="941" t="n"/>
      <c r="C79" s="941" t="n"/>
      <c r="D79" s="941" t="n"/>
      <c r="E79" s="941" t="n"/>
      <c r="F79" s="941" t="n"/>
      <c r="G79" s="941" t="n"/>
      <c r="H79" s="941" t="n"/>
      <c r="I79" s="941" t="n"/>
      <c r="J79" s="941" t="n"/>
      <c r="K79" s="941" t="n"/>
      <c r="L79" s="941" t="n"/>
      <c r="M79" s="941" t="n"/>
      <c r="N79" s="941" t="n"/>
      <c r="O79" s="997" t="n"/>
      <c r="P79" s="998" t="inlineStr">
        <is>
          <t>Итого</t>
        </is>
      </c>
      <c r="Q79" s="959" t="n"/>
      <c r="R79" s="959" t="n"/>
      <c r="S79" s="959" t="n"/>
      <c r="T79" s="959" t="n"/>
      <c r="U79" s="959" t="n"/>
      <c r="V79" s="960" t="n"/>
      <c r="W79" s="40" t="inlineStr">
        <is>
          <t>кг</t>
        </is>
      </c>
      <c r="X79" s="999">
        <f>IFERROR(SUM(X76:X77),"0")</f>
        <v/>
      </c>
      <c r="Y79" s="999">
        <f>IFERROR(SUM(Y76:Y77),"0")</f>
        <v/>
      </c>
      <c r="Z79" s="40" t="n"/>
      <c r="AA79" s="1000" t="n"/>
      <c r="AB79" s="1000" t="n"/>
      <c r="AC79" s="1000" t="n"/>
    </row>
    <row r="80" ht="14.25" customHeight="1">
      <c r="A80" s="667" t="inlineStr">
        <is>
          <t>Сардельки</t>
        </is>
      </c>
      <c r="B80" s="941" t="n"/>
      <c r="C80" s="941" t="n"/>
      <c r="D80" s="941" t="n"/>
      <c r="E80" s="941" t="n"/>
      <c r="F80" s="941" t="n"/>
      <c r="G80" s="941" t="n"/>
      <c r="H80" s="941" t="n"/>
      <c r="I80" s="941" t="n"/>
      <c r="J80" s="941" t="n"/>
      <c r="K80" s="941" t="n"/>
      <c r="L80" s="941" t="n"/>
      <c r="M80" s="941" t="n"/>
      <c r="N80" s="941" t="n"/>
      <c r="O80" s="941" t="n"/>
      <c r="P80" s="941" t="n"/>
      <c r="Q80" s="941" t="n"/>
      <c r="R80" s="941" t="n"/>
      <c r="S80" s="941" t="n"/>
      <c r="T80" s="941" t="n"/>
      <c r="U80" s="941" t="n"/>
      <c r="V80" s="941" t="n"/>
      <c r="W80" s="941" t="n"/>
      <c r="X80" s="941" t="n"/>
      <c r="Y80" s="941" t="n"/>
      <c r="Z80" s="941" t="n"/>
      <c r="AA80" s="667" t="n"/>
      <c r="AB80" s="667" t="n"/>
      <c r="AC80" s="667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8" t="n">
        <v>4680115881532</v>
      </c>
      <c r="E81" s="951" t="n"/>
      <c r="F81" s="990" t="n">
        <v>1.3</v>
      </c>
      <c r="G81" s="35" t="n">
        <v>6</v>
      </c>
      <c r="H81" s="990" t="n">
        <v>7.8</v>
      </c>
      <c r="I81" s="990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9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92" t="n"/>
      <c r="R81" s="992" t="n"/>
      <c r="S81" s="992" t="n"/>
      <c r="T81" s="993" t="n"/>
      <c r="U81" s="37" t="inlineStr"/>
      <c r="V81" s="37" t="inlineStr"/>
      <c r="W81" s="38" t="inlineStr">
        <is>
          <t>кг</t>
        </is>
      </c>
      <c r="X81" s="994" t="n">
        <v>0</v>
      </c>
      <c r="Y81" s="995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8" t="n">
        <v>4680115881464</v>
      </c>
      <c r="E82" s="951" t="n"/>
      <c r="F82" s="990" t="n">
        <v>0.4</v>
      </c>
      <c r="G82" s="35" t="n">
        <v>6</v>
      </c>
      <c r="H82" s="990" t="n">
        <v>2.4</v>
      </c>
      <c r="I82" s="990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30">
        <f>HYPERLINK("https://abi.ru/products/Охлажденные/Вязанка/Филейская/Сардельки/P003238/","Сардельки «Филейские» Фикс.вес 0,4 NDX ТМ «Вязанка»")</f>
        <v/>
      </c>
      <c r="Q82" s="992" t="n"/>
      <c r="R82" s="992" t="n"/>
      <c r="S82" s="992" t="n"/>
      <c r="T82" s="993" t="n"/>
      <c r="U82" s="37" t="inlineStr"/>
      <c r="V82" s="37" t="inlineStr"/>
      <c r="W82" s="38" t="inlineStr">
        <is>
          <t>кг</t>
        </is>
      </c>
      <c r="X82" s="994" t="n">
        <v>0</v>
      </c>
      <c r="Y82" s="995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7" t="n"/>
      <c r="B83" s="941" t="n"/>
      <c r="C83" s="941" t="n"/>
      <c r="D83" s="941" t="n"/>
      <c r="E83" s="941" t="n"/>
      <c r="F83" s="941" t="n"/>
      <c r="G83" s="941" t="n"/>
      <c r="H83" s="941" t="n"/>
      <c r="I83" s="941" t="n"/>
      <c r="J83" s="941" t="n"/>
      <c r="K83" s="941" t="n"/>
      <c r="L83" s="941" t="n"/>
      <c r="M83" s="941" t="n"/>
      <c r="N83" s="941" t="n"/>
      <c r="O83" s="997" t="n"/>
      <c r="P83" s="998" t="inlineStr">
        <is>
          <t>Итого</t>
        </is>
      </c>
      <c r="Q83" s="959" t="n"/>
      <c r="R83" s="959" t="n"/>
      <c r="S83" s="959" t="n"/>
      <c r="T83" s="959" t="n"/>
      <c r="U83" s="959" t="n"/>
      <c r="V83" s="960" t="n"/>
      <c r="W83" s="40" t="inlineStr">
        <is>
          <t>кор</t>
        </is>
      </c>
      <c r="X83" s="999">
        <f>IFERROR(X81/H81,"0")+IFERROR(X82/H82,"0")</f>
        <v/>
      </c>
      <c r="Y83" s="999">
        <f>IFERROR(Y81/H81,"0")+IFERROR(Y82/H82,"0")</f>
        <v/>
      </c>
      <c r="Z83" s="999">
        <f>IFERROR(IF(Z81="",0,Z81),"0")+IFERROR(IF(Z82="",0,Z82),"0")</f>
        <v/>
      </c>
      <c r="AA83" s="1000" t="n"/>
      <c r="AB83" s="1000" t="n"/>
      <c r="AC83" s="1000" t="n"/>
    </row>
    <row r="84">
      <c r="A84" s="941" t="n"/>
      <c r="B84" s="941" t="n"/>
      <c r="C84" s="941" t="n"/>
      <c r="D84" s="941" t="n"/>
      <c r="E84" s="941" t="n"/>
      <c r="F84" s="941" t="n"/>
      <c r="G84" s="941" t="n"/>
      <c r="H84" s="941" t="n"/>
      <c r="I84" s="941" t="n"/>
      <c r="J84" s="941" t="n"/>
      <c r="K84" s="941" t="n"/>
      <c r="L84" s="941" t="n"/>
      <c r="M84" s="941" t="n"/>
      <c r="N84" s="941" t="n"/>
      <c r="O84" s="997" t="n"/>
      <c r="P84" s="998" t="inlineStr">
        <is>
          <t>Итого</t>
        </is>
      </c>
      <c r="Q84" s="959" t="n"/>
      <c r="R84" s="959" t="n"/>
      <c r="S84" s="959" t="n"/>
      <c r="T84" s="959" t="n"/>
      <c r="U84" s="959" t="n"/>
      <c r="V84" s="960" t="n"/>
      <c r="W84" s="40" t="inlineStr">
        <is>
          <t>кг</t>
        </is>
      </c>
      <c r="X84" s="999">
        <f>IFERROR(SUM(X81:X82),"0")</f>
        <v/>
      </c>
      <c r="Y84" s="999">
        <f>IFERROR(SUM(Y81:Y82),"0")</f>
        <v/>
      </c>
      <c r="Z84" s="40" t="n"/>
      <c r="AA84" s="1000" t="n"/>
      <c r="AB84" s="1000" t="n"/>
      <c r="AC84" s="1000" t="n"/>
    </row>
    <row r="85" ht="16.5" customHeight="1">
      <c r="A85" s="666" t="inlineStr">
        <is>
          <t>Молокуша</t>
        </is>
      </c>
      <c r="B85" s="941" t="n"/>
      <c r="C85" s="941" t="n"/>
      <c r="D85" s="941" t="n"/>
      <c r="E85" s="941" t="n"/>
      <c r="F85" s="941" t="n"/>
      <c r="G85" s="941" t="n"/>
      <c r="H85" s="941" t="n"/>
      <c r="I85" s="941" t="n"/>
      <c r="J85" s="941" t="n"/>
      <c r="K85" s="941" t="n"/>
      <c r="L85" s="941" t="n"/>
      <c r="M85" s="941" t="n"/>
      <c r="N85" s="941" t="n"/>
      <c r="O85" s="941" t="n"/>
      <c r="P85" s="941" t="n"/>
      <c r="Q85" s="941" t="n"/>
      <c r="R85" s="941" t="n"/>
      <c r="S85" s="941" t="n"/>
      <c r="T85" s="941" t="n"/>
      <c r="U85" s="941" t="n"/>
      <c r="V85" s="941" t="n"/>
      <c r="W85" s="941" t="n"/>
      <c r="X85" s="941" t="n"/>
      <c r="Y85" s="941" t="n"/>
      <c r="Z85" s="941" t="n"/>
      <c r="AA85" s="666" t="n"/>
      <c r="AB85" s="666" t="n"/>
      <c r="AC85" s="666" t="n"/>
    </row>
    <row r="86" ht="14.25" customHeight="1">
      <c r="A86" s="667" t="inlineStr">
        <is>
          <t>Вареные колбасы</t>
        </is>
      </c>
      <c r="B86" s="941" t="n"/>
      <c r="C86" s="941" t="n"/>
      <c r="D86" s="941" t="n"/>
      <c r="E86" s="941" t="n"/>
      <c r="F86" s="941" t="n"/>
      <c r="G86" s="941" t="n"/>
      <c r="H86" s="941" t="n"/>
      <c r="I86" s="941" t="n"/>
      <c r="J86" s="941" t="n"/>
      <c r="K86" s="941" t="n"/>
      <c r="L86" s="941" t="n"/>
      <c r="M86" s="941" t="n"/>
      <c r="N86" s="941" t="n"/>
      <c r="O86" s="941" t="n"/>
      <c r="P86" s="941" t="n"/>
      <c r="Q86" s="941" t="n"/>
      <c r="R86" s="941" t="n"/>
      <c r="S86" s="941" t="n"/>
      <c r="T86" s="941" t="n"/>
      <c r="U86" s="941" t="n"/>
      <c r="V86" s="941" t="n"/>
      <c r="W86" s="941" t="n"/>
      <c r="X86" s="941" t="n"/>
      <c r="Y86" s="941" t="n"/>
      <c r="Z86" s="941" t="n"/>
      <c r="AA86" s="667" t="n"/>
      <c r="AB86" s="667" t="n"/>
      <c r="AC86" s="667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8" t="n">
        <v>4680115881327</v>
      </c>
      <c r="E87" s="951" t="n"/>
      <c r="F87" s="990" t="n">
        <v>1.35</v>
      </c>
      <c r="G87" s="35" t="n">
        <v>8</v>
      </c>
      <c r="H87" s="990" t="n">
        <v>10.8</v>
      </c>
      <c r="I87" s="990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31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92" t="n"/>
      <c r="R87" s="992" t="n"/>
      <c r="S87" s="992" t="n"/>
      <c r="T87" s="993" t="n"/>
      <c r="U87" s="37" t="inlineStr"/>
      <c r="V87" s="37" t="inlineStr"/>
      <c r="W87" s="38" t="inlineStr">
        <is>
          <t>кг</t>
        </is>
      </c>
      <c r="X87" s="994" t="n">
        <v>150</v>
      </c>
      <c r="Y87" s="995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8" t="n">
        <v>4680115887732</v>
      </c>
      <c r="E88" s="951" t="n"/>
      <c r="F88" s="990" t="n">
        <v>0.17</v>
      </c>
      <c r="G88" s="35" t="n">
        <v>10</v>
      </c>
      <c r="H88" s="990" t="n">
        <v>1.7</v>
      </c>
      <c r="I88" s="990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32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92" t="n"/>
      <c r="R88" s="992" t="n"/>
      <c r="S88" s="992" t="n"/>
      <c r="T88" s="993" t="n"/>
      <c r="U88" s="37" t="inlineStr"/>
      <c r="V88" s="37" t="inlineStr"/>
      <c r="W88" s="38" t="inlineStr">
        <is>
          <t>кг</t>
        </is>
      </c>
      <c r="X88" s="994" t="n">
        <v>0</v>
      </c>
      <c r="Y88" s="995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8" t="n">
        <v>4680115881518</v>
      </c>
      <c r="E89" s="951" t="n"/>
      <c r="F89" s="990" t="n">
        <v>0.4</v>
      </c>
      <c r="G89" s="35" t="n">
        <v>10</v>
      </c>
      <c r="H89" s="990" t="n">
        <v>4</v>
      </c>
      <c r="I89" s="990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3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92" t="n"/>
      <c r="R89" s="992" t="n"/>
      <c r="S89" s="992" t="n"/>
      <c r="T89" s="993" t="n"/>
      <c r="U89" s="37" t="inlineStr"/>
      <c r="V89" s="37" t="inlineStr"/>
      <c r="W89" s="38" t="inlineStr">
        <is>
          <t>кг</t>
        </is>
      </c>
      <c r="X89" s="994" t="n">
        <v>0</v>
      </c>
      <c r="Y89" s="995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8" t="n">
        <v>4680115881303</v>
      </c>
      <c r="E90" s="951" t="n"/>
      <c r="F90" s="990" t="n">
        <v>0.45</v>
      </c>
      <c r="G90" s="35" t="n">
        <v>10</v>
      </c>
      <c r="H90" s="990" t="n">
        <v>4.5</v>
      </c>
      <c r="I90" s="990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4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92" t="n"/>
      <c r="R90" s="992" t="n"/>
      <c r="S90" s="992" t="n"/>
      <c r="T90" s="993" t="n"/>
      <c r="U90" s="37" t="inlineStr"/>
      <c r="V90" s="37" t="inlineStr"/>
      <c r="W90" s="38" t="inlineStr">
        <is>
          <t>кг</t>
        </is>
      </c>
      <c r="X90" s="994" t="n">
        <v>94.5</v>
      </c>
      <c r="Y90" s="995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7" t="n"/>
      <c r="B91" s="941" t="n"/>
      <c r="C91" s="941" t="n"/>
      <c r="D91" s="941" t="n"/>
      <c r="E91" s="941" t="n"/>
      <c r="F91" s="941" t="n"/>
      <c r="G91" s="941" t="n"/>
      <c r="H91" s="941" t="n"/>
      <c r="I91" s="941" t="n"/>
      <c r="J91" s="941" t="n"/>
      <c r="K91" s="941" t="n"/>
      <c r="L91" s="941" t="n"/>
      <c r="M91" s="941" t="n"/>
      <c r="N91" s="941" t="n"/>
      <c r="O91" s="997" t="n"/>
      <c r="P91" s="998" t="inlineStr">
        <is>
          <t>Итого</t>
        </is>
      </c>
      <c r="Q91" s="959" t="n"/>
      <c r="R91" s="959" t="n"/>
      <c r="S91" s="959" t="n"/>
      <c r="T91" s="959" t="n"/>
      <c r="U91" s="959" t="n"/>
      <c r="V91" s="960" t="n"/>
      <c r="W91" s="40" t="inlineStr">
        <is>
          <t>кор</t>
        </is>
      </c>
      <c r="X91" s="999">
        <f>IFERROR(X87/H87,"0")+IFERROR(X88/H88,"0")+IFERROR(X89/H89,"0")+IFERROR(X90/H90,"0")</f>
        <v/>
      </c>
      <c r="Y91" s="999">
        <f>IFERROR(Y87/H87,"0")+IFERROR(Y88/H88,"0")+IFERROR(Y89/H89,"0")+IFERROR(Y90/H90,"0")</f>
        <v/>
      </c>
      <c r="Z91" s="999">
        <f>IFERROR(IF(Z87="",0,Z87),"0")+IFERROR(IF(Z88="",0,Z88),"0")+IFERROR(IF(Z89="",0,Z89),"0")+IFERROR(IF(Z90="",0,Z90),"0")</f>
        <v/>
      </c>
      <c r="AA91" s="1000" t="n"/>
      <c r="AB91" s="1000" t="n"/>
      <c r="AC91" s="1000" t="n"/>
    </row>
    <row r="92">
      <c r="A92" s="941" t="n"/>
      <c r="B92" s="941" t="n"/>
      <c r="C92" s="941" t="n"/>
      <c r="D92" s="941" t="n"/>
      <c r="E92" s="941" t="n"/>
      <c r="F92" s="941" t="n"/>
      <c r="G92" s="941" t="n"/>
      <c r="H92" s="941" t="n"/>
      <c r="I92" s="941" t="n"/>
      <c r="J92" s="941" t="n"/>
      <c r="K92" s="941" t="n"/>
      <c r="L92" s="941" t="n"/>
      <c r="M92" s="941" t="n"/>
      <c r="N92" s="941" t="n"/>
      <c r="O92" s="997" t="n"/>
      <c r="P92" s="998" t="inlineStr">
        <is>
          <t>Итого</t>
        </is>
      </c>
      <c r="Q92" s="959" t="n"/>
      <c r="R92" s="959" t="n"/>
      <c r="S92" s="959" t="n"/>
      <c r="T92" s="959" t="n"/>
      <c r="U92" s="959" t="n"/>
      <c r="V92" s="960" t="n"/>
      <c r="W92" s="40" t="inlineStr">
        <is>
          <t>кг</t>
        </is>
      </c>
      <c r="X92" s="999">
        <f>IFERROR(SUM(X87:X90),"0")</f>
        <v/>
      </c>
      <c r="Y92" s="999">
        <f>IFERROR(SUM(Y87:Y90),"0")</f>
        <v/>
      </c>
      <c r="Z92" s="40" t="n"/>
      <c r="AA92" s="1000" t="n"/>
      <c r="AB92" s="1000" t="n"/>
      <c r="AC92" s="1000" t="n"/>
    </row>
    <row r="93" ht="14.25" customHeight="1">
      <c r="A93" s="667" t="inlineStr">
        <is>
          <t>Сосиски</t>
        </is>
      </c>
      <c r="B93" s="941" t="n"/>
      <c r="C93" s="941" t="n"/>
      <c r="D93" s="941" t="n"/>
      <c r="E93" s="941" t="n"/>
      <c r="F93" s="941" t="n"/>
      <c r="G93" s="941" t="n"/>
      <c r="H93" s="941" t="n"/>
      <c r="I93" s="941" t="n"/>
      <c r="J93" s="941" t="n"/>
      <c r="K93" s="941" t="n"/>
      <c r="L93" s="941" t="n"/>
      <c r="M93" s="941" t="n"/>
      <c r="N93" s="941" t="n"/>
      <c r="O93" s="941" t="n"/>
      <c r="P93" s="941" t="n"/>
      <c r="Q93" s="941" t="n"/>
      <c r="R93" s="941" t="n"/>
      <c r="S93" s="941" t="n"/>
      <c r="T93" s="941" t="n"/>
      <c r="U93" s="941" t="n"/>
      <c r="V93" s="941" t="n"/>
      <c r="W93" s="941" t="n"/>
      <c r="X93" s="941" t="n"/>
      <c r="Y93" s="941" t="n"/>
      <c r="Z93" s="941" t="n"/>
      <c r="AA93" s="667" t="n"/>
      <c r="AB93" s="667" t="n"/>
      <c r="AC93" s="667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8" t="n">
        <v>4607091386967</v>
      </c>
      <c r="E94" s="951" t="n"/>
      <c r="F94" s="990" t="n">
        <v>1.35</v>
      </c>
      <c r="G94" s="35" t="n">
        <v>6</v>
      </c>
      <c r="H94" s="990" t="n">
        <v>8.1</v>
      </c>
      <c r="I94" s="990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5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92" t="n"/>
      <c r="R94" s="992" t="n"/>
      <c r="S94" s="992" t="n"/>
      <c r="T94" s="993" t="n"/>
      <c r="U94" s="37" t="inlineStr"/>
      <c r="V94" s="37" t="inlineStr"/>
      <c r="W94" s="38" t="inlineStr">
        <is>
          <t>кг</t>
        </is>
      </c>
      <c r="X94" s="994" t="n">
        <v>128</v>
      </c>
      <c r="Y94" s="995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8" t="n">
        <v>4680115884953</v>
      </c>
      <c r="E95" s="951" t="n"/>
      <c r="F95" s="990" t="n">
        <v>0.37</v>
      </c>
      <c r="G95" s="35" t="n">
        <v>6</v>
      </c>
      <c r="H95" s="990" t="n">
        <v>2.22</v>
      </c>
      <c r="I95" s="990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6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92" t="n"/>
      <c r="R95" s="992" t="n"/>
      <c r="S95" s="992" t="n"/>
      <c r="T95" s="993" t="n"/>
      <c r="U95" s="37" t="inlineStr"/>
      <c r="V95" s="37" t="inlineStr"/>
      <c r="W95" s="38" t="inlineStr">
        <is>
          <t>кг</t>
        </is>
      </c>
      <c r="X95" s="994" t="n">
        <v>0</v>
      </c>
      <c r="Y95" s="995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8" t="n">
        <v>4607091385731</v>
      </c>
      <c r="E96" s="951" t="n"/>
      <c r="F96" s="990" t="n">
        <v>0.45</v>
      </c>
      <c r="G96" s="35" t="n">
        <v>6</v>
      </c>
      <c r="H96" s="990" t="n">
        <v>2.7</v>
      </c>
      <c r="I96" s="990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7">
        <f>HYPERLINK("https://abi.ru/products/Охлажденные/Вязанка/Молокуша/Сосиски/P003985/","Сосиски «Молокуши» ф/в 0,45 п/а мгс ТМ «Вязанка»")</f>
        <v/>
      </c>
      <c r="Q96" s="992" t="n"/>
      <c r="R96" s="992" t="n"/>
      <c r="S96" s="992" t="n"/>
      <c r="T96" s="993" t="n"/>
      <c r="U96" s="37" t="inlineStr"/>
      <c r="V96" s="37" t="inlineStr"/>
      <c r="W96" s="38" t="inlineStr">
        <is>
          <t>кг</t>
        </is>
      </c>
      <c r="X96" s="994" t="n">
        <v>5.4</v>
      </c>
      <c r="Y96" s="995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8" t="n">
        <v>4680115880894</v>
      </c>
      <c r="E97" s="951" t="n"/>
      <c r="F97" s="990" t="n">
        <v>0.33</v>
      </c>
      <c r="G97" s="35" t="n">
        <v>6</v>
      </c>
      <c r="H97" s="990" t="n">
        <v>1.98</v>
      </c>
      <c r="I97" s="990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8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92" t="n"/>
      <c r="R97" s="992" t="n"/>
      <c r="S97" s="992" t="n"/>
      <c r="T97" s="993" t="n"/>
      <c r="U97" s="37" t="inlineStr"/>
      <c r="V97" s="37" t="inlineStr"/>
      <c r="W97" s="38" t="inlineStr">
        <is>
          <t>кг</t>
        </is>
      </c>
      <c r="X97" s="994" t="n">
        <v>0</v>
      </c>
      <c r="Y97" s="995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7" t="n"/>
      <c r="B98" s="941" t="n"/>
      <c r="C98" s="941" t="n"/>
      <c r="D98" s="941" t="n"/>
      <c r="E98" s="941" t="n"/>
      <c r="F98" s="941" t="n"/>
      <c r="G98" s="941" t="n"/>
      <c r="H98" s="941" t="n"/>
      <c r="I98" s="941" t="n"/>
      <c r="J98" s="941" t="n"/>
      <c r="K98" s="941" t="n"/>
      <c r="L98" s="941" t="n"/>
      <c r="M98" s="941" t="n"/>
      <c r="N98" s="941" t="n"/>
      <c r="O98" s="997" t="n"/>
      <c r="P98" s="998" t="inlineStr">
        <is>
          <t>Итого</t>
        </is>
      </c>
      <c r="Q98" s="959" t="n"/>
      <c r="R98" s="959" t="n"/>
      <c r="S98" s="959" t="n"/>
      <c r="T98" s="959" t="n"/>
      <c r="U98" s="959" t="n"/>
      <c r="V98" s="960" t="n"/>
      <c r="W98" s="40" t="inlineStr">
        <is>
          <t>кор</t>
        </is>
      </c>
      <c r="X98" s="999">
        <f>IFERROR(X94/H94,"0")+IFERROR(X95/H95,"0")+IFERROR(X96/H96,"0")+IFERROR(X97/H97,"0")</f>
        <v/>
      </c>
      <c r="Y98" s="999">
        <f>IFERROR(Y94/H94,"0")+IFERROR(Y95/H95,"0")+IFERROR(Y96/H96,"0")+IFERROR(Y97/H97,"0")</f>
        <v/>
      </c>
      <c r="Z98" s="999">
        <f>IFERROR(IF(Z94="",0,Z94),"0")+IFERROR(IF(Z95="",0,Z95),"0")+IFERROR(IF(Z96="",0,Z96),"0")+IFERROR(IF(Z97="",0,Z97),"0")</f>
        <v/>
      </c>
      <c r="AA98" s="1000" t="n"/>
      <c r="AB98" s="1000" t="n"/>
      <c r="AC98" s="1000" t="n"/>
    </row>
    <row r="99">
      <c r="A99" s="941" t="n"/>
      <c r="B99" s="941" t="n"/>
      <c r="C99" s="941" t="n"/>
      <c r="D99" s="941" t="n"/>
      <c r="E99" s="941" t="n"/>
      <c r="F99" s="941" t="n"/>
      <c r="G99" s="941" t="n"/>
      <c r="H99" s="941" t="n"/>
      <c r="I99" s="941" t="n"/>
      <c r="J99" s="941" t="n"/>
      <c r="K99" s="941" t="n"/>
      <c r="L99" s="941" t="n"/>
      <c r="M99" s="941" t="n"/>
      <c r="N99" s="941" t="n"/>
      <c r="O99" s="997" t="n"/>
      <c r="P99" s="998" t="inlineStr">
        <is>
          <t>Итого</t>
        </is>
      </c>
      <c r="Q99" s="959" t="n"/>
      <c r="R99" s="959" t="n"/>
      <c r="S99" s="959" t="n"/>
      <c r="T99" s="959" t="n"/>
      <c r="U99" s="959" t="n"/>
      <c r="V99" s="960" t="n"/>
      <c r="W99" s="40" t="inlineStr">
        <is>
          <t>кг</t>
        </is>
      </c>
      <c r="X99" s="999">
        <f>IFERROR(SUM(X94:X97),"0")</f>
        <v/>
      </c>
      <c r="Y99" s="999">
        <f>IFERROR(SUM(Y94:Y97),"0")</f>
        <v/>
      </c>
      <c r="Z99" s="40" t="n"/>
      <c r="AA99" s="1000" t="n"/>
      <c r="AB99" s="1000" t="n"/>
      <c r="AC99" s="1000" t="n"/>
    </row>
    <row r="100" ht="16.5" customHeight="1">
      <c r="A100" s="666" t="inlineStr">
        <is>
          <t>Сливушка</t>
        </is>
      </c>
      <c r="B100" s="941" t="n"/>
      <c r="C100" s="941" t="n"/>
      <c r="D100" s="941" t="n"/>
      <c r="E100" s="941" t="n"/>
      <c r="F100" s="941" t="n"/>
      <c r="G100" s="941" t="n"/>
      <c r="H100" s="941" t="n"/>
      <c r="I100" s="941" t="n"/>
      <c r="J100" s="941" t="n"/>
      <c r="K100" s="941" t="n"/>
      <c r="L100" s="941" t="n"/>
      <c r="M100" s="941" t="n"/>
      <c r="N100" s="941" t="n"/>
      <c r="O100" s="941" t="n"/>
      <c r="P100" s="941" t="n"/>
      <c r="Q100" s="941" t="n"/>
      <c r="R100" s="941" t="n"/>
      <c r="S100" s="941" t="n"/>
      <c r="T100" s="941" t="n"/>
      <c r="U100" s="941" t="n"/>
      <c r="V100" s="941" t="n"/>
      <c r="W100" s="941" t="n"/>
      <c r="X100" s="941" t="n"/>
      <c r="Y100" s="941" t="n"/>
      <c r="Z100" s="941" t="n"/>
      <c r="AA100" s="666" t="n"/>
      <c r="AB100" s="666" t="n"/>
      <c r="AC100" s="666" t="n"/>
    </row>
    <row r="101" ht="14.25" customHeight="1">
      <c r="A101" s="667" t="inlineStr">
        <is>
          <t>Вареные колбасы</t>
        </is>
      </c>
      <c r="B101" s="941" t="n"/>
      <c r="C101" s="941" t="n"/>
      <c r="D101" s="941" t="n"/>
      <c r="E101" s="941" t="n"/>
      <c r="F101" s="941" t="n"/>
      <c r="G101" s="941" t="n"/>
      <c r="H101" s="941" t="n"/>
      <c r="I101" s="941" t="n"/>
      <c r="J101" s="941" t="n"/>
      <c r="K101" s="941" t="n"/>
      <c r="L101" s="941" t="n"/>
      <c r="M101" s="941" t="n"/>
      <c r="N101" s="941" t="n"/>
      <c r="O101" s="941" t="n"/>
      <c r="P101" s="941" t="n"/>
      <c r="Q101" s="941" t="n"/>
      <c r="R101" s="941" t="n"/>
      <c r="S101" s="941" t="n"/>
      <c r="T101" s="941" t="n"/>
      <c r="U101" s="941" t="n"/>
      <c r="V101" s="941" t="n"/>
      <c r="W101" s="941" t="n"/>
      <c r="X101" s="941" t="n"/>
      <c r="Y101" s="941" t="n"/>
      <c r="Z101" s="941" t="n"/>
      <c r="AA101" s="667" t="n"/>
      <c r="AB101" s="667" t="n"/>
      <c r="AC101" s="667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8" t="n">
        <v>4680115882133</v>
      </c>
      <c r="E102" s="951" t="n"/>
      <c r="F102" s="990" t="n">
        <v>1.35</v>
      </c>
      <c r="G102" s="35" t="n">
        <v>8</v>
      </c>
      <c r="H102" s="990" t="n">
        <v>10.8</v>
      </c>
      <c r="I102" s="990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9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92" t="n"/>
      <c r="R102" s="992" t="n"/>
      <c r="S102" s="992" t="n"/>
      <c r="T102" s="993" t="n"/>
      <c r="U102" s="37" t="inlineStr"/>
      <c r="V102" s="37" t="inlineStr"/>
      <c r="W102" s="38" t="inlineStr">
        <is>
          <t>кг</t>
        </is>
      </c>
      <c r="X102" s="994" t="n">
        <v>10</v>
      </c>
      <c r="Y102" s="995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8" t="n">
        <v>4680115887718</v>
      </c>
      <c r="E103" s="951" t="n"/>
      <c r="F103" s="990" t="n">
        <v>0.11</v>
      </c>
      <c r="G103" s="35" t="n">
        <v>10</v>
      </c>
      <c r="H103" s="990" t="n">
        <v>1.1</v>
      </c>
      <c r="I103" s="990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40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92" t="n"/>
      <c r="R103" s="992" t="n"/>
      <c r="S103" s="992" t="n"/>
      <c r="T103" s="993" t="n"/>
      <c r="U103" s="37" t="inlineStr"/>
      <c r="V103" s="37" t="inlineStr"/>
      <c r="W103" s="38" t="inlineStr">
        <is>
          <t>кг</t>
        </is>
      </c>
      <c r="X103" s="994" t="n">
        <v>0</v>
      </c>
      <c r="Y103" s="995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8" t="n">
        <v>4680115887718</v>
      </c>
      <c r="E104" s="951" t="n"/>
      <c r="F104" s="990" t="n">
        <v>0.11</v>
      </c>
      <c r="G104" s="35" t="n">
        <v>8</v>
      </c>
      <c r="H104" s="990" t="n">
        <v>0.88</v>
      </c>
      <c r="I104" s="990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41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92" t="n"/>
      <c r="R104" s="992" t="n"/>
      <c r="S104" s="992" t="n"/>
      <c r="T104" s="993" t="n"/>
      <c r="U104" s="37" t="inlineStr"/>
      <c r="V104" s="37" t="inlineStr"/>
      <c r="W104" s="38" t="inlineStr">
        <is>
          <t>кг</t>
        </is>
      </c>
      <c r="X104" s="994" t="n">
        <v>0</v>
      </c>
      <c r="Y104" s="995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8" t="n">
        <v>4680115887749</v>
      </c>
      <c r="E105" s="951" t="n"/>
      <c r="F105" s="990" t="n">
        <v>0.17</v>
      </c>
      <c r="G105" s="35" t="n">
        <v>10</v>
      </c>
      <c r="H105" s="990" t="n">
        <v>1.7</v>
      </c>
      <c r="I105" s="990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42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92" t="n"/>
      <c r="R105" s="992" t="n"/>
      <c r="S105" s="992" t="n"/>
      <c r="T105" s="993" t="n"/>
      <c r="U105" s="37" t="inlineStr"/>
      <c r="V105" s="37" t="inlineStr"/>
      <c r="W105" s="38" t="inlineStr">
        <is>
          <t>кг</t>
        </is>
      </c>
      <c r="X105" s="994" t="n">
        <v>0</v>
      </c>
      <c r="Y105" s="995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8" t="n">
        <v>4680115880269</v>
      </c>
      <c r="E106" s="951" t="n"/>
      <c r="F106" s="990" t="n">
        <v>0.375</v>
      </c>
      <c r="G106" s="35" t="n">
        <v>10</v>
      </c>
      <c r="H106" s="990" t="n">
        <v>3.75</v>
      </c>
      <c r="I106" s="990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3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92" t="n"/>
      <c r="R106" s="992" t="n"/>
      <c r="S106" s="992" t="n"/>
      <c r="T106" s="993" t="n"/>
      <c r="U106" s="37" t="inlineStr"/>
      <c r="V106" s="37" t="inlineStr"/>
      <c r="W106" s="38" t="inlineStr">
        <is>
          <t>кг</t>
        </is>
      </c>
      <c r="X106" s="994" t="n">
        <v>22.5</v>
      </c>
      <c r="Y106" s="995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8" t="n">
        <v>4680115880429</v>
      </c>
      <c r="E107" s="951" t="n"/>
      <c r="F107" s="990" t="n">
        <v>0.45</v>
      </c>
      <c r="G107" s="35" t="n">
        <v>10</v>
      </c>
      <c r="H107" s="990" t="n">
        <v>4.5</v>
      </c>
      <c r="I107" s="990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4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92" t="n"/>
      <c r="R107" s="992" t="n"/>
      <c r="S107" s="992" t="n"/>
      <c r="T107" s="993" t="n"/>
      <c r="U107" s="37" t="inlineStr"/>
      <c r="V107" s="37" t="inlineStr"/>
      <c r="W107" s="38" t="inlineStr">
        <is>
          <t>кг</t>
        </is>
      </c>
      <c r="X107" s="994" t="n">
        <v>0</v>
      </c>
      <c r="Y107" s="995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8" t="n">
        <v>4680115881457</v>
      </c>
      <c r="E108" s="951" t="n"/>
      <c r="F108" s="990" t="n">
        <v>0.75</v>
      </c>
      <c r="G108" s="35" t="n">
        <v>6</v>
      </c>
      <c r="H108" s="990" t="n">
        <v>4.5</v>
      </c>
      <c r="I108" s="990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5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92" t="n"/>
      <c r="R108" s="992" t="n"/>
      <c r="S108" s="992" t="n"/>
      <c r="T108" s="993" t="n"/>
      <c r="U108" s="37" t="inlineStr"/>
      <c r="V108" s="37" t="inlineStr"/>
      <c r="W108" s="38" t="inlineStr">
        <is>
          <t>кг</t>
        </is>
      </c>
      <c r="X108" s="994" t="n">
        <v>0</v>
      </c>
      <c r="Y108" s="995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7" t="n"/>
      <c r="B109" s="941" t="n"/>
      <c r="C109" s="941" t="n"/>
      <c r="D109" s="941" t="n"/>
      <c r="E109" s="941" t="n"/>
      <c r="F109" s="941" t="n"/>
      <c r="G109" s="941" t="n"/>
      <c r="H109" s="941" t="n"/>
      <c r="I109" s="941" t="n"/>
      <c r="J109" s="941" t="n"/>
      <c r="K109" s="941" t="n"/>
      <c r="L109" s="941" t="n"/>
      <c r="M109" s="941" t="n"/>
      <c r="N109" s="941" t="n"/>
      <c r="O109" s="997" t="n"/>
      <c r="P109" s="998" t="inlineStr">
        <is>
          <t>Итого</t>
        </is>
      </c>
      <c r="Q109" s="959" t="n"/>
      <c r="R109" s="959" t="n"/>
      <c r="S109" s="959" t="n"/>
      <c r="T109" s="959" t="n"/>
      <c r="U109" s="959" t="n"/>
      <c r="V109" s="960" t="n"/>
      <c r="W109" s="40" t="inlineStr">
        <is>
          <t>кор</t>
        </is>
      </c>
      <c r="X109" s="999">
        <f>IFERROR(X102/H102,"0")+IFERROR(X103/H103,"0")+IFERROR(X104/H104,"0")+IFERROR(X105/H105,"0")+IFERROR(X106/H106,"0")+IFERROR(X107/H107,"0")+IFERROR(X108/H108,"0")</f>
        <v/>
      </c>
      <c r="Y109" s="999">
        <f>IFERROR(Y102/H102,"0")+IFERROR(Y103/H103,"0")+IFERROR(Y104/H104,"0")+IFERROR(Y105/H105,"0")+IFERROR(Y106/H106,"0")+IFERROR(Y107/H107,"0")+IFERROR(Y108/H108,"0")</f>
        <v/>
      </c>
      <c r="Z109" s="999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1000" t="n"/>
      <c r="AB109" s="1000" t="n"/>
      <c r="AC109" s="1000" t="n"/>
    </row>
    <row r="110">
      <c r="A110" s="941" t="n"/>
      <c r="B110" s="941" t="n"/>
      <c r="C110" s="941" t="n"/>
      <c r="D110" s="941" t="n"/>
      <c r="E110" s="941" t="n"/>
      <c r="F110" s="941" t="n"/>
      <c r="G110" s="941" t="n"/>
      <c r="H110" s="941" t="n"/>
      <c r="I110" s="941" t="n"/>
      <c r="J110" s="941" t="n"/>
      <c r="K110" s="941" t="n"/>
      <c r="L110" s="941" t="n"/>
      <c r="M110" s="941" t="n"/>
      <c r="N110" s="941" t="n"/>
      <c r="O110" s="997" t="n"/>
      <c r="P110" s="998" t="inlineStr">
        <is>
          <t>Итого</t>
        </is>
      </c>
      <c r="Q110" s="959" t="n"/>
      <c r="R110" s="959" t="n"/>
      <c r="S110" s="959" t="n"/>
      <c r="T110" s="959" t="n"/>
      <c r="U110" s="959" t="n"/>
      <c r="V110" s="960" t="n"/>
      <c r="W110" s="40" t="inlineStr">
        <is>
          <t>кг</t>
        </is>
      </c>
      <c r="X110" s="999">
        <f>IFERROR(SUM(X102:X108),"0")</f>
        <v/>
      </c>
      <c r="Y110" s="999">
        <f>IFERROR(SUM(Y102:Y108),"0")</f>
        <v/>
      </c>
      <c r="Z110" s="40" t="n"/>
      <c r="AA110" s="1000" t="n"/>
      <c r="AB110" s="1000" t="n"/>
      <c r="AC110" s="1000" t="n"/>
    </row>
    <row r="111" ht="14.25" customHeight="1">
      <c r="A111" s="667" t="inlineStr">
        <is>
          <t>Ветчины</t>
        </is>
      </c>
      <c r="B111" s="941" t="n"/>
      <c r="C111" s="941" t="n"/>
      <c r="D111" s="941" t="n"/>
      <c r="E111" s="941" t="n"/>
      <c r="F111" s="941" t="n"/>
      <c r="G111" s="941" t="n"/>
      <c r="H111" s="941" t="n"/>
      <c r="I111" s="941" t="n"/>
      <c r="J111" s="941" t="n"/>
      <c r="K111" s="941" t="n"/>
      <c r="L111" s="941" t="n"/>
      <c r="M111" s="941" t="n"/>
      <c r="N111" s="941" t="n"/>
      <c r="O111" s="941" t="n"/>
      <c r="P111" s="941" t="n"/>
      <c r="Q111" s="941" t="n"/>
      <c r="R111" s="941" t="n"/>
      <c r="S111" s="941" t="n"/>
      <c r="T111" s="941" t="n"/>
      <c r="U111" s="941" t="n"/>
      <c r="V111" s="941" t="n"/>
      <c r="W111" s="941" t="n"/>
      <c r="X111" s="941" t="n"/>
      <c r="Y111" s="941" t="n"/>
      <c r="Z111" s="941" t="n"/>
      <c r="AA111" s="667" t="n"/>
      <c r="AB111" s="667" t="n"/>
      <c r="AC111" s="667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8" t="n">
        <v>4680115881488</v>
      </c>
      <c r="E112" s="951" t="n"/>
      <c r="F112" s="990" t="n">
        <v>1.35</v>
      </c>
      <c r="G112" s="35" t="n">
        <v>8</v>
      </c>
      <c r="H112" s="990" t="n">
        <v>10.8</v>
      </c>
      <c r="I112" s="990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6">
        <f>HYPERLINK("https://abi.ru/products/Охлажденные/Вязанка/Сливушка/Ветчины/P004607/","Ветчины «Сливушка с индейкой» вес п/а ТМ «Вязанка»")</f>
        <v/>
      </c>
      <c r="Q112" s="992" t="n"/>
      <c r="R112" s="992" t="n"/>
      <c r="S112" s="992" t="n"/>
      <c r="T112" s="993" t="n"/>
      <c r="U112" s="37" t="inlineStr"/>
      <c r="V112" s="37" t="inlineStr"/>
      <c r="W112" s="38" t="inlineStr">
        <is>
          <t>кг</t>
        </is>
      </c>
      <c r="X112" s="994" t="n">
        <v>0</v>
      </c>
      <c r="Y112" s="995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8" t="n">
        <v>4680115881488</v>
      </c>
      <c r="E113" s="951" t="n"/>
      <c r="F113" s="990" t="n">
        <v>1.35</v>
      </c>
      <c r="G113" s="35" t="n">
        <v>8</v>
      </c>
      <c r="H113" s="990" t="n">
        <v>10.8</v>
      </c>
      <c r="I113" s="990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7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92" t="n"/>
      <c r="R113" s="992" t="n"/>
      <c r="S113" s="992" t="n"/>
      <c r="T113" s="993" t="n"/>
      <c r="U113" s="37" t="inlineStr"/>
      <c r="V113" s="37" t="inlineStr"/>
      <c r="W113" s="38" t="inlineStr">
        <is>
          <t>кг</t>
        </is>
      </c>
      <c r="X113" s="994" t="n">
        <v>0</v>
      </c>
      <c r="Y113" s="995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8" t="n">
        <v>4680115887664</v>
      </c>
      <c r="E114" s="951" t="n"/>
      <c r="F114" s="990" t="n">
        <v>0.1</v>
      </c>
      <c r="G114" s="35" t="n">
        <v>10</v>
      </c>
      <c r="H114" s="990" t="n">
        <v>1</v>
      </c>
      <c r="I114" s="990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8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92" t="n"/>
      <c r="R114" s="992" t="n"/>
      <c r="S114" s="992" t="n"/>
      <c r="T114" s="993" t="n"/>
      <c r="U114" s="37" t="inlineStr"/>
      <c r="V114" s="37" t="inlineStr"/>
      <c r="W114" s="38" t="inlineStr">
        <is>
          <t>кг</t>
        </is>
      </c>
      <c r="X114" s="994" t="n">
        <v>0</v>
      </c>
      <c r="Y114" s="995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8" t="n">
        <v>4680115887664</v>
      </c>
      <c r="E115" s="951" t="n"/>
      <c r="F115" s="990" t="n">
        <v>0.1</v>
      </c>
      <c r="G115" s="35" t="n">
        <v>8</v>
      </c>
      <c r="H115" s="990" t="n">
        <v>0.8</v>
      </c>
      <c r="I115" s="990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9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92" t="n"/>
      <c r="R115" s="992" t="n"/>
      <c r="S115" s="992" t="n"/>
      <c r="T115" s="993" t="n"/>
      <c r="U115" s="37" t="inlineStr"/>
      <c r="V115" s="37" t="inlineStr"/>
      <c r="W115" s="38" t="inlineStr">
        <is>
          <t>кг</t>
        </is>
      </c>
      <c r="X115" s="994" t="n">
        <v>0</v>
      </c>
      <c r="Y115" s="995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8" t="n">
        <v>4680115882775</v>
      </c>
      <c r="E116" s="951" t="n"/>
      <c r="F116" s="990" t="n">
        <v>0.3</v>
      </c>
      <c r="G116" s="35" t="n">
        <v>8</v>
      </c>
      <c r="H116" s="990" t="n">
        <v>2.4</v>
      </c>
      <c r="I116" s="990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50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92" t="n"/>
      <c r="R116" s="992" t="n"/>
      <c r="S116" s="992" t="n"/>
      <c r="T116" s="993" t="n"/>
      <c r="U116" s="37" t="inlineStr"/>
      <c r="V116" s="37" t="inlineStr"/>
      <c r="W116" s="38" t="inlineStr">
        <is>
          <t>кг</t>
        </is>
      </c>
      <c r="X116" s="994" t="n">
        <v>0</v>
      </c>
      <c r="Y116" s="995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8" t="n">
        <v>4680115880658</v>
      </c>
      <c r="E117" s="951" t="n"/>
      <c r="F117" s="990" t="n">
        <v>0.4</v>
      </c>
      <c r="G117" s="35" t="n">
        <v>6</v>
      </c>
      <c r="H117" s="990" t="n">
        <v>2.4</v>
      </c>
      <c r="I117" s="990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51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92" t="n"/>
      <c r="R117" s="992" t="n"/>
      <c r="S117" s="992" t="n"/>
      <c r="T117" s="993" t="n"/>
      <c r="U117" s="37" t="inlineStr"/>
      <c r="V117" s="37" t="inlineStr"/>
      <c r="W117" s="38" t="inlineStr">
        <is>
          <t>кг</t>
        </is>
      </c>
      <c r="X117" s="994" t="n">
        <v>0</v>
      </c>
      <c r="Y117" s="995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7" t="n"/>
      <c r="B118" s="941" t="n"/>
      <c r="C118" s="941" t="n"/>
      <c r="D118" s="941" t="n"/>
      <c r="E118" s="941" t="n"/>
      <c r="F118" s="941" t="n"/>
      <c r="G118" s="941" t="n"/>
      <c r="H118" s="941" t="n"/>
      <c r="I118" s="941" t="n"/>
      <c r="J118" s="941" t="n"/>
      <c r="K118" s="941" t="n"/>
      <c r="L118" s="941" t="n"/>
      <c r="M118" s="941" t="n"/>
      <c r="N118" s="941" t="n"/>
      <c r="O118" s="997" t="n"/>
      <c r="P118" s="998" t="inlineStr">
        <is>
          <t>Итого</t>
        </is>
      </c>
      <c r="Q118" s="959" t="n"/>
      <c r="R118" s="959" t="n"/>
      <c r="S118" s="959" t="n"/>
      <c r="T118" s="959" t="n"/>
      <c r="U118" s="959" t="n"/>
      <c r="V118" s="960" t="n"/>
      <c r="W118" s="40" t="inlineStr">
        <is>
          <t>кор</t>
        </is>
      </c>
      <c r="X118" s="999">
        <f>IFERROR(X112/H112,"0")+IFERROR(X113/H113,"0")+IFERROR(X114/H114,"0")+IFERROR(X115/H115,"0")+IFERROR(X116/H116,"0")+IFERROR(X117/H117,"0")</f>
        <v/>
      </c>
      <c r="Y118" s="999">
        <f>IFERROR(Y112/H112,"0")+IFERROR(Y113/H113,"0")+IFERROR(Y114/H114,"0")+IFERROR(Y115/H115,"0")+IFERROR(Y116/H116,"0")+IFERROR(Y117/H117,"0")</f>
        <v/>
      </c>
      <c r="Z118" s="999">
        <f>IFERROR(IF(Z112="",0,Z112),"0")+IFERROR(IF(Z113="",0,Z113),"0")+IFERROR(IF(Z114="",0,Z114),"0")+IFERROR(IF(Z115="",0,Z115),"0")+IFERROR(IF(Z116="",0,Z116),"0")+IFERROR(IF(Z117="",0,Z117),"0")</f>
        <v/>
      </c>
      <c r="AA118" s="1000" t="n"/>
      <c r="AB118" s="1000" t="n"/>
      <c r="AC118" s="1000" t="n"/>
    </row>
    <row r="119">
      <c r="A119" s="941" t="n"/>
      <c r="B119" s="941" t="n"/>
      <c r="C119" s="941" t="n"/>
      <c r="D119" s="941" t="n"/>
      <c r="E119" s="941" t="n"/>
      <c r="F119" s="941" t="n"/>
      <c r="G119" s="941" t="n"/>
      <c r="H119" s="941" t="n"/>
      <c r="I119" s="941" t="n"/>
      <c r="J119" s="941" t="n"/>
      <c r="K119" s="941" t="n"/>
      <c r="L119" s="941" t="n"/>
      <c r="M119" s="941" t="n"/>
      <c r="N119" s="941" t="n"/>
      <c r="O119" s="997" t="n"/>
      <c r="P119" s="998" t="inlineStr">
        <is>
          <t>Итого</t>
        </is>
      </c>
      <c r="Q119" s="959" t="n"/>
      <c r="R119" s="959" t="n"/>
      <c r="S119" s="959" t="n"/>
      <c r="T119" s="959" t="n"/>
      <c r="U119" s="959" t="n"/>
      <c r="V119" s="960" t="n"/>
      <c r="W119" s="40" t="inlineStr">
        <is>
          <t>кг</t>
        </is>
      </c>
      <c r="X119" s="999">
        <f>IFERROR(SUM(X112:X117),"0")</f>
        <v/>
      </c>
      <c r="Y119" s="999">
        <f>IFERROR(SUM(Y112:Y117),"0")</f>
        <v/>
      </c>
      <c r="Z119" s="40" t="n"/>
      <c r="AA119" s="1000" t="n"/>
      <c r="AB119" s="1000" t="n"/>
      <c r="AC119" s="1000" t="n"/>
    </row>
    <row r="120" ht="14.25" customHeight="1">
      <c r="A120" s="667" t="inlineStr">
        <is>
          <t>Сосиски</t>
        </is>
      </c>
      <c r="B120" s="941" t="n"/>
      <c r="C120" s="941" t="n"/>
      <c r="D120" s="941" t="n"/>
      <c r="E120" s="941" t="n"/>
      <c r="F120" s="941" t="n"/>
      <c r="G120" s="941" t="n"/>
      <c r="H120" s="941" t="n"/>
      <c r="I120" s="941" t="n"/>
      <c r="J120" s="941" t="n"/>
      <c r="K120" s="941" t="n"/>
      <c r="L120" s="941" t="n"/>
      <c r="M120" s="941" t="n"/>
      <c r="N120" s="941" t="n"/>
      <c r="O120" s="941" t="n"/>
      <c r="P120" s="941" t="n"/>
      <c r="Q120" s="941" t="n"/>
      <c r="R120" s="941" t="n"/>
      <c r="S120" s="941" t="n"/>
      <c r="T120" s="941" t="n"/>
      <c r="U120" s="941" t="n"/>
      <c r="V120" s="941" t="n"/>
      <c r="W120" s="941" t="n"/>
      <c r="X120" s="941" t="n"/>
      <c r="Y120" s="941" t="n"/>
      <c r="Z120" s="941" t="n"/>
      <c r="AA120" s="667" t="n"/>
      <c r="AB120" s="667" t="n"/>
      <c r="AC120" s="667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8" t="n">
        <v>4607091385168</v>
      </c>
      <c r="E121" s="951" t="n"/>
      <c r="F121" s="990" t="n">
        <v>1.35</v>
      </c>
      <c r="G121" s="35" t="n">
        <v>6</v>
      </c>
      <c r="H121" s="990" t="n">
        <v>8.1</v>
      </c>
      <c r="I121" s="990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52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92" t="n"/>
      <c r="R121" s="992" t="n"/>
      <c r="S121" s="992" t="n"/>
      <c r="T121" s="993" t="n"/>
      <c r="U121" s="37" t="inlineStr"/>
      <c r="V121" s="37" t="inlineStr"/>
      <c r="W121" s="38" t="inlineStr">
        <is>
          <t>кг</t>
        </is>
      </c>
      <c r="X121" s="994" t="n">
        <v>48</v>
      </c>
      <c r="Y121" s="995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8" t="n">
        <v>4607091383256</v>
      </c>
      <c r="E122" s="951" t="n"/>
      <c r="F122" s="990" t="n">
        <v>0.33</v>
      </c>
      <c r="G122" s="35" t="n">
        <v>6</v>
      </c>
      <c r="H122" s="990" t="n">
        <v>1.98</v>
      </c>
      <c r="I122" s="990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3">
        <f>HYPERLINK("https://abi.ru/products/Охлажденные/Вязанка/Сливушка/Сосиски/P003990/","Сосиски «Сливочные» ф/в 0,33 п/а мгс ТМ «Вязанка»")</f>
        <v/>
      </c>
      <c r="Q122" s="992" t="n"/>
      <c r="R122" s="992" t="n"/>
      <c r="S122" s="992" t="n"/>
      <c r="T122" s="993" t="n"/>
      <c r="U122" s="37" t="inlineStr"/>
      <c r="V122" s="37" t="inlineStr"/>
      <c r="W122" s="38" t="inlineStr">
        <is>
          <t>кг</t>
        </is>
      </c>
      <c r="X122" s="994" t="n">
        <v>0</v>
      </c>
      <c r="Y122" s="995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8" t="n">
        <v>4607091385748</v>
      </c>
      <c r="E123" s="951" t="n"/>
      <c r="F123" s="990" t="n">
        <v>0.45</v>
      </c>
      <c r="G123" s="35" t="n">
        <v>6</v>
      </c>
      <c r="H123" s="990" t="n">
        <v>2.7</v>
      </c>
      <c r="I123" s="990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4">
        <f>HYPERLINK("https://abi.ru/products/Охлажденные/Вязанка/Сливушка/Сосиски/P003989/","Сосиски «Сливочные» ф/в 0,45 п/а мгс ТМ «Вязанка»")</f>
        <v/>
      </c>
      <c r="Q123" s="992" t="n"/>
      <c r="R123" s="992" t="n"/>
      <c r="S123" s="992" t="n"/>
      <c r="T123" s="993" t="n"/>
      <c r="U123" s="37" t="inlineStr"/>
      <c r="V123" s="37" t="inlineStr"/>
      <c r="W123" s="38" t="inlineStr">
        <is>
          <t>кг</t>
        </is>
      </c>
      <c r="X123" s="994" t="n">
        <v>23.4</v>
      </c>
      <c r="Y123" s="995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8" t="n">
        <v>4680115884533</v>
      </c>
      <c r="E124" s="951" t="n"/>
      <c r="F124" s="990" t="n">
        <v>0.3</v>
      </c>
      <c r="G124" s="35" t="n">
        <v>6</v>
      </c>
      <c r="H124" s="990" t="n">
        <v>1.8</v>
      </c>
      <c r="I124" s="990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5">
        <f>HYPERLINK("https://abi.ru/products/Охлажденные/Вязанка/Сливушка/Сосиски/P004116/","Сосиски «Сливушки по-венски» ф/в 0,3 п/а ТМ «Вязанка»")</f>
        <v/>
      </c>
      <c r="Q124" s="992" t="n"/>
      <c r="R124" s="992" t="n"/>
      <c r="S124" s="992" t="n"/>
      <c r="T124" s="993" t="n"/>
      <c r="U124" s="37" t="inlineStr"/>
      <c r="V124" s="37" t="inlineStr"/>
      <c r="W124" s="38" t="inlineStr">
        <is>
          <t>кг</t>
        </is>
      </c>
      <c r="X124" s="994" t="n">
        <v>0</v>
      </c>
      <c r="Y124" s="995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7" t="n"/>
      <c r="B125" s="941" t="n"/>
      <c r="C125" s="941" t="n"/>
      <c r="D125" s="941" t="n"/>
      <c r="E125" s="941" t="n"/>
      <c r="F125" s="941" t="n"/>
      <c r="G125" s="941" t="n"/>
      <c r="H125" s="941" t="n"/>
      <c r="I125" s="941" t="n"/>
      <c r="J125" s="941" t="n"/>
      <c r="K125" s="941" t="n"/>
      <c r="L125" s="941" t="n"/>
      <c r="M125" s="941" t="n"/>
      <c r="N125" s="941" t="n"/>
      <c r="O125" s="997" t="n"/>
      <c r="P125" s="998" t="inlineStr">
        <is>
          <t>Итого</t>
        </is>
      </c>
      <c r="Q125" s="959" t="n"/>
      <c r="R125" s="959" t="n"/>
      <c r="S125" s="959" t="n"/>
      <c r="T125" s="959" t="n"/>
      <c r="U125" s="959" t="n"/>
      <c r="V125" s="960" t="n"/>
      <c r="W125" s="40" t="inlineStr">
        <is>
          <t>кор</t>
        </is>
      </c>
      <c r="X125" s="999">
        <f>IFERROR(X121/H121,"0")+IFERROR(X122/H122,"0")+IFERROR(X123/H123,"0")+IFERROR(X124/H124,"0")</f>
        <v/>
      </c>
      <c r="Y125" s="999">
        <f>IFERROR(Y121/H121,"0")+IFERROR(Y122/H122,"0")+IFERROR(Y123/H123,"0")+IFERROR(Y124/H124,"0")</f>
        <v/>
      </c>
      <c r="Z125" s="999">
        <f>IFERROR(IF(Z121="",0,Z121),"0")+IFERROR(IF(Z122="",0,Z122),"0")+IFERROR(IF(Z123="",0,Z123),"0")+IFERROR(IF(Z124="",0,Z124),"0")</f>
        <v/>
      </c>
      <c r="AA125" s="1000" t="n"/>
      <c r="AB125" s="1000" t="n"/>
      <c r="AC125" s="1000" t="n"/>
    </row>
    <row r="126">
      <c r="A126" s="941" t="n"/>
      <c r="B126" s="941" t="n"/>
      <c r="C126" s="941" t="n"/>
      <c r="D126" s="941" t="n"/>
      <c r="E126" s="941" t="n"/>
      <c r="F126" s="941" t="n"/>
      <c r="G126" s="941" t="n"/>
      <c r="H126" s="941" t="n"/>
      <c r="I126" s="941" t="n"/>
      <c r="J126" s="941" t="n"/>
      <c r="K126" s="941" t="n"/>
      <c r="L126" s="941" t="n"/>
      <c r="M126" s="941" t="n"/>
      <c r="N126" s="941" t="n"/>
      <c r="O126" s="997" t="n"/>
      <c r="P126" s="998" t="inlineStr">
        <is>
          <t>Итого</t>
        </is>
      </c>
      <c r="Q126" s="959" t="n"/>
      <c r="R126" s="959" t="n"/>
      <c r="S126" s="959" t="n"/>
      <c r="T126" s="959" t="n"/>
      <c r="U126" s="959" t="n"/>
      <c r="V126" s="960" t="n"/>
      <c r="W126" s="40" t="inlineStr">
        <is>
          <t>кг</t>
        </is>
      </c>
      <c r="X126" s="999">
        <f>IFERROR(SUM(X121:X124),"0")</f>
        <v/>
      </c>
      <c r="Y126" s="999">
        <f>IFERROR(SUM(Y121:Y124),"0")</f>
        <v/>
      </c>
      <c r="Z126" s="40" t="n"/>
      <c r="AA126" s="1000" t="n"/>
      <c r="AB126" s="1000" t="n"/>
      <c r="AC126" s="1000" t="n"/>
    </row>
    <row r="127" ht="14.25" customHeight="1">
      <c r="A127" s="667" t="inlineStr">
        <is>
          <t>Сардельки</t>
        </is>
      </c>
      <c r="B127" s="941" t="n"/>
      <c r="C127" s="941" t="n"/>
      <c r="D127" s="941" t="n"/>
      <c r="E127" s="941" t="n"/>
      <c r="F127" s="941" t="n"/>
      <c r="G127" s="941" t="n"/>
      <c r="H127" s="941" t="n"/>
      <c r="I127" s="941" t="n"/>
      <c r="J127" s="941" t="n"/>
      <c r="K127" s="941" t="n"/>
      <c r="L127" s="941" t="n"/>
      <c r="M127" s="941" t="n"/>
      <c r="N127" s="941" t="n"/>
      <c r="O127" s="941" t="n"/>
      <c r="P127" s="941" t="n"/>
      <c r="Q127" s="941" t="n"/>
      <c r="R127" s="941" t="n"/>
      <c r="S127" s="941" t="n"/>
      <c r="T127" s="941" t="n"/>
      <c r="U127" s="941" t="n"/>
      <c r="V127" s="941" t="n"/>
      <c r="W127" s="941" t="n"/>
      <c r="X127" s="941" t="n"/>
      <c r="Y127" s="941" t="n"/>
      <c r="Z127" s="941" t="n"/>
      <c r="AA127" s="667" t="n"/>
      <c r="AB127" s="667" t="n"/>
      <c r="AC127" s="667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8" t="n">
        <v>4680115880238</v>
      </c>
      <c r="E128" s="951" t="n"/>
      <c r="F128" s="990" t="n">
        <v>0.33</v>
      </c>
      <c r="G128" s="35" t="n">
        <v>6</v>
      </c>
      <c r="H128" s="990" t="n">
        <v>1.98</v>
      </c>
      <c r="I128" s="990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6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92" t="n"/>
      <c r="R128" s="992" t="n"/>
      <c r="S128" s="992" t="n"/>
      <c r="T128" s="993" t="n"/>
      <c r="U128" s="37" t="inlineStr"/>
      <c r="V128" s="37" t="inlineStr"/>
      <c r="W128" s="38" t="inlineStr">
        <is>
          <t>кг</t>
        </is>
      </c>
      <c r="X128" s="994" t="n">
        <v>0</v>
      </c>
      <c r="Y128" s="995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7" t="n"/>
      <c r="B129" s="941" t="n"/>
      <c r="C129" s="941" t="n"/>
      <c r="D129" s="941" t="n"/>
      <c r="E129" s="941" t="n"/>
      <c r="F129" s="941" t="n"/>
      <c r="G129" s="941" t="n"/>
      <c r="H129" s="941" t="n"/>
      <c r="I129" s="941" t="n"/>
      <c r="J129" s="941" t="n"/>
      <c r="K129" s="941" t="n"/>
      <c r="L129" s="941" t="n"/>
      <c r="M129" s="941" t="n"/>
      <c r="N129" s="941" t="n"/>
      <c r="O129" s="997" t="n"/>
      <c r="P129" s="998" t="inlineStr">
        <is>
          <t>Итого</t>
        </is>
      </c>
      <c r="Q129" s="959" t="n"/>
      <c r="R129" s="959" t="n"/>
      <c r="S129" s="959" t="n"/>
      <c r="T129" s="959" t="n"/>
      <c r="U129" s="959" t="n"/>
      <c r="V129" s="960" t="n"/>
      <c r="W129" s="40" t="inlineStr">
        <is>
          <t>кор</t>
        </is>
      </c>
      <c r="X129" s="999">
        <f>IFERROR(X128/H128,"0")</f>
        <v/>
      </c>
      <c r="Y129" s="999">
        <f>IFERROR(Y128/H128,"0")</f>
        <v/>
      </c>
      <c r="Z129" s="999">
        <f>IFERROR(IF(Z128="",0,Z128),"0")</f>
        <v/>
      </c>
      <c r="AA129" s="1000" t="n"/>
      <c r="AB129" s="1000" t="n"/>
      <c r="AC129" s="1000" t="n"/>
    </row>
    <row r="130">
      <c r="A130" s="941" t="n"/>
      <c r="B130" s="941" t="n"/>
      <c r="C130" s="941" t="n"/>
      <c r="D130" s="941" t="n"/>
      <c r="E130" s="941" t="n"/>
      <c r="F130" s="941" t="n"/>
      <c r="G130" s="941" t="n"/>
      <c r="H130" s="941" t="n"/>
      <c r="I130" s="941" t="n"/>
      <c r="J130" s="941" t="n"/>
      <c r="K130" s="941" t="n"/>
      <c r="L130" s="941" t="n"/>
      <c r="M130" s="941" t="n"/>
      <c r="N130" s="941" t="n"/>
      <c r="O130" s="997" t="n"/>
      <c r="P130" s="998" t="inlineStr">
        <is>
          <t>Итого</t>
        </is>
      </c>
      <c r="Q130" s="959" t="n"/>
      <c r="R130" s="959" t="n"/>
      <c r="S130" s="959" t="n"/>
      <c r="T130" s="959" t="n"/>
      <c r="U130" s="959" t="n"/>
      <c r="V130" s="960" t="n"/>
      <c r="W130" s="40" t="inlineStr">
        <is>
          <t>кг</t>
        </is>
      </c>
      <c r="X130" s="999">
        <f>IFERROR(SUM(X128:X128),"0")</f>
        <v/>
      </c>
      <c r="Y130" s="999">
        <f>IFERROR(SUM(Y128:Y128),"0")</f>
        <v/>
      </c>
      <c r="Z130" s="40" t="n"/>
      <c r="AA130" s="1000" t="n"/>
      <c r="AB130" s="1000" t="n"/>
      <c r="AC130" s="1000" t="n"/>
    </row>
    <row r="131" ht="16.5" customHeight="1">
      <c r="A131" s="666" t="inlineStr">
        <is>
          <t>Халяль</t>
        </is>
      </c>
      <c r="B131" s="941" t="n"/>
      <c r="C131" s="941" t="n"/>
      <c r="D131" s="941" t="n"/>
      <c r="E131" s="941" t="n"/>
      <c r="F131" s="941" t="n"/>
      <c r="G131" s="941" t="n"/>
      <c r="H131" s="941" t="n"/>
      <c r="I131" s="941" t="n"/>
      <c r="J131" s="941" t="n"/>
      <c r="K131" s="941" t="n"/>
      <c r="L131" s="941" t="n"/>
      <c r="M131" s="941" t="n"/>
      <c r="N131" s="941" t="n"/>
      <c r="O131" s="941" t="n"/>
      <c r="P131" s="941" t="n"/>
      <c r="Q131" s="941" t="n"/>
      <c r="R131" s="941" t="n"/>
      <c r="S131" s="941" t="n"/>
      <c r="T131" s="941" t="n"/>
      <c r="U131" s="941" t="n"/>
      <c r="V131" s="941" t="n"/>
      <c r="W131" s="941" t="n"/>
      <c r="X131" s="941" t="n"/>
      <c r="Y131" s="941" t="n"/>
      <c r="Z131" s="941" t="n"/>
      <c r="AA131" s="666" t="n"/>
      <c r="AB131" s="666" t="n"/>
      <c r="AC131" s="666" t="n"/>
    </row>
    <row r="132" ht="14.25" customHeight="1">
      <c r="A132" s="667" t="inlineStr">
        <is>
          <t>Вареные колбасы</t>
        </is>
      </c>
      <c r="B132" s="941" t="n"/>
      <c r="C132" s="941" t="n"/>
      <c r="D132" s="941" t="n"/>
      <c r="E132" s="941" t="n"/>
      <c r="F132" s="941" t="n"/>
      <c r="G132" s="941" t="n"/>
      <c r="H132" s="941" t="n"/>
      <c r="I132" s="941" t="n"/>
      <c r="J132" s="941" t="n"/>
      <c r="K132" s="941" t="n"/>
      <c r="L132" s="941" t="n"/>
      <c r="M132" s="941" t="n"/>
      <c r="N132" s="941" t="n"/>
      <c r="O132" s="941" t="n"/>
      <c r="P132" s="941" t="n"/>
      <c r="Q132" s="941" t="n"/>
      <c r="R132" s="941" t="n"/>
      <c r="S132" s="941" t="n"/>
      <c r="T132" s="941" t="n"/>
      <c r="U132" s="941" t="n"/>
      <c r="V132" s="941" t="n"/>
      <c r="W132" s="941" t="n"/>
      <c r="X132" s="941" t="n"/>
      <c r="Y132" s="941" t="n"/>
      <c r="Z132" s="941" t="n"/>
      <c r="AA132" s="667" t="n"/>
      <c r="AB132" s="667" t="n"/>
      <c r="AC132" s="667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8" t="n">
        <v>4680115882577</v>
      </c>
      <c r="E133" s="951" t="n"/>
      <c r="F133" s="990" t="n">
        <v>0.4</v>
      </c>
      <c r="G133" s="35" t="n">
        <v>8</v>
      </c>
      <c r="H133" s="990" t="n">
        <v>3.2</v>
      </c>
      <c r="I133" s="990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7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92" t="n"/>
      <c r="R133" s="992" t="n"/>
      <c r="S133" s="992" t="n"/>
      <c r="T133" s="993" t="n"/>
      <c r="U133" s="37" t="inlineStr"/>
      <c r="V133" s="37" t="inlineStr"/>
      <c r="W133" s="38" t="inlineStr">
        <is>
          <t>кг</t>
        </is>
      </c>
      <c r="X133" s="994" t="n">
        <v>11.2</v>
      </c>
      <c r="Y133" s="995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8" t="n">
        <v>4680115882577</v>
      </c>
      <c r="E134" s="951" t="n"/>
      <c r="F134" s="990" t="n">
        <v>0.4</v>
      </c>
      <c r="G134" s="35" t="n">
        <v>8</v>
      </c>
      <c r="H134" s="990" t="n">
        <v>3.2</v>
      </c>
      <c r="I134" s="990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8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92" t="n"/>
      <c r="R134" s="992" t="n"/>
      <c r="S134" s="992" t="n"/>
      <c r="T134" s="993" t="n"/>
      <c r="U134" s="37" t="inlineStr"/>
      <c r="V134" s="37" t="inlineStr"/>
      <c r="W134" s="38" t="inlineStr">
        <is>
          <t>кг</t>
        </is>
      </c>
      <c r="X134" s="994" t="n">
        <v>0</v>
      </c>
      <c r="Y134" s="995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7" t="n"/>
      <c r="B135" s="941" t="n"/>
      <c r="C135" s="941" t="n"/>
      <c r="D135" s="941" t="n"/>
      <c r="E135" s="941" t="n"/>
      <c r="F135" s="941" t="n"/>
      <c r="G135" s="941" t="n"/>
      <c r="H135" s="941" t="n"/>
      <c r="I135" s="941" t="n"/>
      <c r="J135" s="941" t="n"/>
      <c r="K135" s="941" t="n"/>
      <c r="L135" s="941" t="n"/>
      <c r="M135" s="941" t="n"/>
      <c r="N135" s="941" t="n"/>
      <c r="O135" s="997" t="n"/>
      <c r="P135" s="998" t="inlineStr">
        <is>
          <t>Итого</t>
        </is>
      </c>
      <c r="Q135" s="959" t="n"/>
      <c r="R135" s="959" t="n"/>
      <c r="S135" s="959" t="n"/>
      <c r="T135" s="959" t="n"/>
      <c r="U135" s="959" t="n"/>
      <c r="V135" s="960" t="n"/>
      <c r="W135" s="40" t="inlineStr">
        <is>
          <t>кор</t>
        </is>
      </c>
      <c r="X135" s="999">
        <f>IFERROR(X133/H133,"0")+IFERROR(X134/H134,"0")</f>
        <v/>
      </c>
      <c r="Y135" s="999">
        <f>IFERROR(Y133/H133,"0")+IFERROR(Y134/H134,"0")</f>
        <v/>
      </c>
      <c r="Z135" s="999">
        <f>IFERROR(IF(Z133="",0,Z133),"0")+IFERROR(IF(Z134="",0,Z134),"0")</f>
        <v/>
      </c>
      <c r="AA135" s="1000" t="n"/>
      <c r="AB135" s="1000" t="n"/>
      <c r="AC135" s="1000" t="n"/>
    </row>
    <row r="136">
      <c r="A136" s="941" t="n"/>
      <c r="B136" s="941" t="n"/>
      <c r="C136" s="941" t="n"/>
      <c r="D136" s="941" t="n"/>
      <c r="E136" s="941" t="n"/>
      <c r="F136" s="941" t="n"/>
      <c r="G136" s="941" t="n"/>
      <c r="H136" s="941" t="n"/>
      <c r="I136" s="941" t="n"/>
      <c r="J136" s="941" t="n"/>
      <c r="K136" s="941" t="n"/>
      <c r="L136" s="941" t="n"/>
      <c r="M136" s="941" t="n"/>
      <c r="N136" s="941" t="n"/>
      <c r="O136" s="997" t="n"/>
      <c r="P136" s="998" t="inlineStr">
        <is>
          <t>Итого</t>
        </is>
      </c>
      <c r="Q136" s="959" t="n"/>
      <c r="R136" s="959" t="n"/>
      <c r="S136" s="959" t="n"/>
      <c r="T136" s="959" t="n"/>
      <c r="U136" s="959" t="n"/>
      <c r="V136" s="960" t="n"/>
      <c r="W136" s="40" t="inlineStr">
        <is>
          <t>кг</t>
        </is>
      </c>
      <c r="X136" s="999">
        <f>IFERROR(SUM(X133:X134),"0")</f>
        <v/>
      </c>
      <c r="Y136" s="999">
        <f>IFERROR(SUM(Y133:Y134),"0")</f>
        <v/>
      </c>
      <c r="Z136" s="40" t="n"/>
      <c r="AA136" s="1000" t="n"/>
      <c r="AB136" s="1000" t="n"/>
      <c r="AC136" s="1000" t="n"/>
    </row>
    <row r="137" ht="14.25" customHeight="1">
      <c r="A137" s="667" t="inlineStr">
        <is>
          <t>Копченые колбасы</t>
        </is>
      </c>
      <c r="B137" s="941" t="n"/>
      <c r="C137" s="941" t="n"/>
      <c r="D137" s="941" t="n"/>
      <c r="E137" s="941" t="n"/>
      <c r="F137" s="941" t="n"/>
      <c r="G137" s="941" t="n"/>
      <c r="H137" s="941" t="n"/>
      <c r="I137" s="941" t="n"/>
      <c r="J137" s="941" t="n"/>
      <c r="K137" s="941" t="n"/>
      <c r="L137" s="941" t="n"/>
      <c r="M137" s="941" t="n"/>
      <c r="N137" s="941" t="n"/>
      <c r="O137" s="941" t="n"/>
      <c r="P137" s="941" t="n"/>
      <c r="Q137" s="941" t="n"/>
      <c r="R137" s="941" t="n"/>
      <c r="S137" s="941" t="n"/>
      <c r="T137" s="941" t="n"/>
      <c r="U137" s="941" t="n"/>
      <c r="V137" s="941" t="n"/>
      <c r="W137" s="941" t="n"/>
      <c r="X137" s="941" t="n"/>
      <c r="Y137" s="941" t="n"/>
      <c r="Z137" s="941" t="n"/>
      <c r="AA137" s="667" t="n"/>
      <c r="AB137" s="667" t="n"/>
      <c r="AC137" s="667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8" t="n">
        <v>4680115883444</v>
      </c>
      <c r="E138" s="951" t="n"/>
      <c r="F138" s="990" t="n">
        <v>0.35</v>
      </c>
      <c r="G138" s="35" t="n">
        <v>8</v>
      </c>
      <c r="H138" s="990" t="n">
        <v>2.8</v>
      </c>
      <c r="I138" s="990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9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92" t="n"/>
      <c r="R138" s="992" t="n"/>
      <c r="S138" s="992" t="n"/>
      <c r="T138" s="993" t="n"/>
      <c r="U138" s="37" t="inlineStr"/>
      <c r="V138" s="37" t="inlineStr"/>
      <c r="W138" s="38" t="inlineStr">
        <is>
          <t>кг</t>
        </is>
      </c>
      <c r="X138" s="994" t="n">
        <v>5.25</v>
      </c>
      <c r="Y138" s="995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8" t="n">
        <v>4680115883444</v>
      </c>
      <c r="E139" s="951" t="n"/>
      <c r="F139" s="990" t="n">
        <v>0.35</v>
      </c>
      <c r="G139" s="35" t="n">
        <v>8</v>
      </c>
      <c r="H139" s="990" t="n">
        <v>2.8</v>
      </c>
      <c r="I139" s="990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60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92" t="n"/>
      <c r="R139" s="992" t="n"/>
      <c r="S139" s="992" t="n"/>
      <c r="T139" s="993" t="n"/>
      <c r="U139" s="37" t="inlineStr"/>
      <c r="V139" s="37" t="inlineStr"/>
      <c r="W139" s="38" t="inlineStr">
        <is>
          <t>кг</t>
        </is>
      </c>
      <c r="X139" s="994" t="n">
        <v>0</v>
      </c>
      <c r="Y139" s="995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7" t="n"/>
      <c r="B140" s="941" t="n"/>
      <c r="C140" s="941" t="n"/>
      <c r="D140" s="941" t="n"/>
      <c r="E140" s="941" t="n"/>
      <c r="F140" s="941" t="n"/>
      <c r="G140" s="941" t="n"/>
      <c r="H140" s="941" t="n"/>
      <c r="I140" s="941" t="n"/>
      <c r="J140" s="941" t="n"/>
      <c r="K140" s="941" t="n"/>
      <c r="L140" s="941" t="n"/>
      <c r="M140" s="941" t="n"/>
      <c r="N140" s="941" t="n"/>
      <c r="O140" s="997" t="n"/>
      <c r="P140" s="998" t="inlineStr">
        <is>
          <t>Итого</t>
        </is>
      </c>
      <c r="Q140" s="959" t="n"/>
      <c r="R140" s="959" t="n"/>
      <c r="S140" s="959" t="n"/>
      <c r="T140" s="959" t="n"/>
      <c r="U140" s="959" t="n"/>
      <c r="V140" s="960" t="n"/>
      <c r="W140" s="40" t="inlineStr">
        <is>
          <t>кор</t>
        </is>
      </c>
      <c r="X140" s="999">
        <f>IFERROR(X138/H138,"0")+IFERROR(X139/H139,"0")</f>
        <v/>
      </c>
      <c r="Y140" s="999">
        <f>IFERROR(Y138/H138,"0")+IFERROR(Y139/H139,"0")</f>
        <v/>
      </c>
      <c r="Z140" s="999">
        <f>IFERROR(IF(Z138="",0,Z138),"0")+IFERROR(IF(Z139="",0,Z139),"0")</f>
        <v/>
      </c>
      <c r="AA140" s="1000" t="n"/>
      <c r="AB140" s="1000" t="n"/>
      <c r="AC140" s="1000" t="n"/>
    </row>
    <row r="141">
      <c r="A141" s="941" t="n"/>
      <c r="B141" s="941" t="n"/>
      <c r="C141" s="941" t="n"/>
      <c r="D141" s="941" t="n"/>
      <c r="E141" s="941" t="n"/>
      <c r="F141" s="941" t="n"/>
      <c r="G141" s="941" t="n"/>
      <c r="H141" s="941" t="n"/>
      <c r="I141" s="941" t="n"/>
      <c r="J141" s="941" t="n"/>
      <c r="K141" s="941" t="n"/>
      <c r="L141" s="941" t="n"/>
      <c r="M141" s="941" t="n"/>
      <c r="N141" s="941" t="n"/>
      <c r="O141" s="997" t="n"/>
      <c r="P141" s="998" t="inlineStr">
        <is>
          <t>Итого</t>
        </is>
      </c>
      <c r="Q141" s="959" t="n"/>
      <c r="R141" s="959" t="n"/>
      <c r="S141" s="959" t="n"/>
      <c r="T141" s="959" t="n"/>
      <c r="U141" s="959" t="n"/>
      <c r="V141" s="960" t="n"/>
      <c r="W141" s="40" t="inlineStr">
        <is>
          <t>кг</t>
        </is>
      </c>
      <c r="X141" s="999">
        <f>IFERROR(SUM(X138:X139),"0")</f>
        <v/>
      </c>
      <c r="Y141" s="999">
        <f>IFERROR(SUM(Y138:Y139),"0")</f>
        <v/>
      </c>
      <c r="Z141" s="40" t="n"/>
      <c r="AA141" s="1000" t="n"/>
      <c r="AB141" s="1000" t="n"/>
      <c r="AC141" s="1000" t="n"/>
    </row>
    <row r="142" ht="14.25" customHeight="1">
      <c r="A142" s="667" t="inlineStr">
        <is>
          <t>Сосиски</t>
        </is>
      </c>
      <c r="B142" s="941" t="n"/>
      <c r="C142" s="941" t="n"/>
      <c r="D142" s="941" t="n"/>
      <c r="E142" s="941" t="n"/>
      <c r="F142" s="941" t="n"/>
      <c r="G142" s="941" t="n"/>
      <c r="H142" s="941" t="n"/>
      <c r="I142" s="941" t="n"/>
      <c r="J142" s="941" t="n"/>
      <c r="K142" s="941" t="n"/>
      <c r="L142" s="941" t="n"/>
      <c r="M142" s="941" t="n"/>
      <c r="N142" s="941" t="n"/>
      <c r="O142" s="941" t="n"/>
      <c r="P142" s="941" t="n"/>
      <c r="Q142" s="941" t="n"/>
      <c r="R142" s="941" t="n"/>
      <c r="S142" s="941" t="n"/>
      <c r="T142" s="941" t="n"/>
      <c r="U142" s="941" t="n"/>
      <c r="V142" s="941" t="n"/>
      <c r="W142" s="941" t="n"/>
      <c r="X142" s="941" t="n"/>
      <c r="Y142" s="941" t="n"/>
      <c r="Z142" s="941" t="n"/>
      <c r="AA142" s="667" t="n"/>
      <c r="AB142" s="667" t="n"/>
      <c r="AC142" s="667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8" t="n">
        <v>4680115882584</v>
      </c>
      <c r="E143" s="951" t="n"/>
      <c r="F143" s="990" t="n">
        <v>0.33</v>
      </c>
      <c r="G143" s="35" t="n">
        <v>8</v>
      </c>
      <c r="H143" s="990" t="n">
        <v>2.64</v>
      </c>
      <c r="I143" s="990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61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92" t="n"/>
      <c r="R143" s="992" t="n"/>
      <c r="S143" s="992" t="n"/>
      <c r="T143" s="993" t="n"/>
      <c r="U143" s="37" t="inlineStr"/>
      <c r="V143" s="37" t="inlineStr"/>
      <c r="W143" s="38" t="inlineStr">
        <is>
          <t>кг</t>
        </is>
      </c>
      <c r="X143" s="994" t="n">
        <v>0</v>
      </c>
      <c r="Y143" s="995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8" t="n">
        <v>4680115882584</v>
      </c>
      <c r="E144" s="951" t="n"/>
      <c r="F144" s="990" t="n">
        <v>0.33</v>
      </c>
      <c r="G144" s="35" t="n">
        <v>8</v>
      </c>
      <c r="H144" s="990" t="n">
        <v>2.64</v>
      </c>
      <c r="I144" s="990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62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92" t="n"/>
      <c r="R144" s="992" t="n"/>
      <c r="S144" s="992" t="n"/>
      <c r="T144" s="993" t="n"/>
      <c r="U144" s="37" t="inlineStr"/>
      <c r="V144" s="37" t="inlineStr"/>
      <c r="W144" s="38" t="inlineStr">
        <is>
          <t>кг</t>
        </is>
      </c>
      <c r="X144" s="994" t="n">
        <v>0</v>
      </c>
      <c r="Y144" s="995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7" t="n"/>
      <c r="B145" s="941" t="n"/>
      <c r="C145" s="941" t="n"/>
      <c r="D145" s="941" t="n"/>
      <c r="E145" s="941" t="n"/>
      <c r="F145" s="941" t="n"/>
      <c r="G145" s="941" t="n"/>
      <c r="H145" s="941" t="n"/>
      <c r="I145" s="941" t="n"/>
      <c r="J145" s="941" t="n"/>
      <c r="K145" s="941" t="n"/>
      <c r="L145" s="941" t="n"/>
      <c r="M145" s="941" t="n"/>
      <c r="N145" s="941" t="n"/>
      <c r="O145" s="997" t="n"/>
      <c r="P145" s="998" t="inlineStr">
        <is>
          <t>Итого</t>
        </is>
      </c>
      <c r="Q145" s="959" t="n"/>
      <c r="R145" s="959" t="n"/>
      <c r="S145" s="959" t="n"/>
      <c r="T145" s="959" t="n"/>
      <c r="U145" s="959" t="n"/>
      <c r="V145" s="960" t="n"/>
      <c r="W145" s="40" t="inlineStr">
        <is>
          <t>кор</t>
        </is>
      </c>
      <c r="X145" s="999">
        <f>IFERROR(X143/H143,"0")+IFERROR(X144/H144,"0")</f>
        <v/>
      </c>
      <c r="Y145" s="999">
        <f>IFERROR(Y143/H143,"0")+IFERROR(Y144/H144,"0")</f>
        <v/>
      </c>
      <c r="Z145" s="999">
        <f>IFERROR(IF(Z143="",0,Z143),"0")+IFERROR(IF(Z144="",0,Z144),"0")</f>
        <v/>
      </c>
      <c r="AA145" s="1000" t="n"/>
      <c r="AB145" s="1000" t="n"/>
      <c r="AC145" s="1000" t="n"/>
    </row>
    <row r="146">
      <c r="A146" s="941" t="n"/>
      <c r="B146" s="941" t="n"/>
      <c r="C146" s="941" t="n"/>
      <c r="D146" s="941" t="n"/>
      <c r="E146" s="941" t="n"/>
      <c r="F146" s="941" t="n"/>
      <c r="G146" s="941" t="n"/>
      <c r="H146" s="941" t="n"/>
      <c r="I146" s="941" t="n"/>
      <c r="J146" s="941" t="n"/>
      <c r="K146" s="941" t="n"/>
      <c r="L146" s="941" t="n"/>
      <c r="M146" s="941" t="n"/>
      <c r="N146" s="941" t="n"/>
      <c r="O146" s="997" t="n"/>
      <c r="P146" s="998" t="inlineStr">
        <is>
          <t>Итого</t>
        </is>
      </c>
      <c r="Q146" s="959" t="n"/>
      <c r="R146" s="959" t="n"/>
      <c r="S146" s="959" t="n"/>
      <c r="T146" s="959" t="n"/>
      <c r="U146" s="959" t="n"/>
      <c r="V146" s="960" t="n"/>
      <c r="W146" s="40" t="inlineStr">
        <is>
          <t>кг</t>
        </is>
      </c>
      <c r="X146" s="999">
        <f>IFERROR(SUM(X143:X144),"0")</f>
        <v/>
      </c>
      <c r="Y146" s="999">
        <f>IFERROR(SUM(Y143:Y144),"0")</f>
        <v/>
      </c>
      <c r="Z146" s="40" t="n"/>
      <c r="AA146" s="1000" t="n"/>
      <c r="AB146" s="1000" t="n"/>
      <c r="AC146" s="1000" t="n"/>
    </row>
    <row r="147" ht="16.5" customHeight="1">
      <c r="A147" s="666" t="inlineStr">
        <is>
          <t>Хайперсы</t>
        </is>
      </c>
      <c r="B147" s="941" t="n"/>
      <c r="C147" s="941" t="n"/>
      <c r="D147" s="941" t="n"/>
      <c r="E147" s="941" t="n"/>
      <c r="F147" s="941" t="n"/>
      <c r="G147" s="941" t="n"/>
      <c r="H147" s="941" t="n"/>
      <c r="I147" s="941" t="n"/>
      <c r="J147" s="941" t="n"/>
      <c r="K147" s="941" t="n"/>
      <c r="L147" s="941" t="n"/>
      <c r="M147" s="941" t="n"/>
      <c r="N147" s="941" t="n"/>
      <c r="O147" s="941" t="n"/>
      <c r="P147" s="941" t="n"/>
      <c r="Q147" s="941" t="n"/>
      <c r="R147" s="941" t="n"/>
      <c r="S147" s="941" t="n"/>
      <c r="T147" s="941" t="n"/>
      <c r="U147" s="941" t="n"/>
      <c r="V147" s="941" t="n"/>
      <c r="W147" s="941" t="n"/>
      <c r="X147" s="941" t="n"/>
      <c r="Y147" s="941" t="n"/>
      <c r="Z147" s="941" t="n"/>
      <c r="AA147" s="666" t="n"/>
      <c r="AB147" s="666" t="n"/>
      <c r="AC147" s="666" t="n"/>
    </row>
    <row r="148" ht="14.25" customHeight="1">
      <c r="A148" s="667" t="inlineStr">
        <is>
          <t>Сосиски</t>
        </is>
      </c>
      <c r="B148" s="941" t="n"/>
      <c r="C148" s="941" t="n"/>
      <c r="D148" s="941" t="n"/>
      <c r="E148" s="941" t="n"/>
      <c r="F148" s="941" t="n"/>
      <c r="G148" s="941" t="n"/>
      <c r="H148" s="941" t="n"/>
      <c r="I148" s="941" t="n"/>
      <c r="J148" s="941" t="n"/>
      <c r="K148" s="941" t="n"/>
      <c r="L148" s="941" t="n"/>
      <c r="M148" s="941" t="n"/>
      <c r="N148" s="941" t="n"/>
      <c r="O148" s="941" t="n"/>
      <c r="P148" s="941" t="n"/>
      <c r="Q148" s="941" t="n"/>
      <c r="R148" s="941" t="n"/>
      <c r="S148" s="941" t="n"/>
      <c r="T148" s="941" t="n"/>
      <c r="U148" s="941" t="n"/>
      <c r="V148" s="941" t="n"/>
      <c r="W148" s="941" t="n"/>
      <c r="X148" s="941" t="n"/>
      <c r="Y148" s="941" t="n"/>
      <c r="Z148" s="941" t="n"/>
      <c r="AA148" s="667" t="n"/>
      <c r="AB148" s="667" t="n"/>
      <c r="AC148" s="667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8" t="n">
        <v>4680115888203</v>
      </c>
      <c r="E149" s="951" t="n"/>
      <c r="F149" s="990" t="n">
        <v>0.22</v>
      </c>
      <c r="G149" s="35" t="n">
        <v>9</v>
      </c>
      <c r="H149" s="990" t="n">
        <v>1.98</v>
      </c>
      <c r="I149" s="990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3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92" t="n"/>
      <c r="R149" s="992" t="n"/>
      <c r="S149" s="992" t="n"/>
      <c r="T149" s="993" t="n"/>
      <c r="U149" s="37" t="inlineStr"/>
      <c r="V149" s="37" t="inlineStr"/>
      <c r="W149" s="38" t="inlineStr">
        <is>
          <t>кг</t>
        </is>
      </c>
      <c r="X149" s="994" t="n">
        <v>0</v>
      </c>
      <c r="Y149" s="995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8" t="n">
        <v>4680115888180</v>
      </c>
      <c r="E150" s="951" t="n"/>
      <c r="F150" s="990" t="n">
        <v>0.22</v>
      </c>
      <c r="G150" s="35" t="n">
        <v>9</v>
      </c>
      <c r="H150" s="990" t="n">
        <v>1.98</v>
      </c>
      <c r="I150" s="990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4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92" t="n"/>
      <c r="R150" s="992" t="n"/>
      <c r="S150" s="992" t="n"/>
      <c r="T150" s="993" t="n"/>
      <c r="U150" s="37" t="inlineStr"/>
      <c r="V150" s="37" t="inlineStr"/>
      <c r="W150" s="38" t="inlineStr">
        <is>
          <t>кг</t>
        </is>
      </c>
      <c r="X150" s="994" t="n">
        <v>0</v>
      </c>
      <c r="Y150" s="995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8" t="n">
        <v>4680115888197</v>
      </c>
      <c r="E151" s="951" t="n"/>
      <c r="F151" s="990" t="n">
        <v>0.22</v>
      </c>
      <c r="G151" s="35" t="n">
        <v>9</v>
      </c>
      <c r="H151" s="990" t="n">
        <v>1.98</v>
      </c>
      <c r="I151" s="990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5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92" t="n"/>
      <c r="R151" s="992" t="n"/>
      <c r="S151" s="992" t="n"/>
      <c r="T151" s="993" t="n"/>
      <c r="U151" s="37" t="inlineStr"/>
      <c r="V151" s="37" t="inlineStr"/>
      <c r="W151" s="38" t="inlineStr">
        <is>
          <t>кг</t>
        </is>
      </c>
      <c r="X151" s="994" t="n">
        <v>0</v>
      </c>
      <c r="Y151" s="995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8" t="n">
        <v>4680115888210</v>
      </c>
      <c r="E152" s="951" t="n"/>
      <c r="F152" s="990" t="n">
        <v>0.22</v>
      </c>
      <c r="G152" s="35" t="n">
        <v>9</v>
      </c>
      <c r="H152" s="990" t="n">
        <v>1.98</v>
      </c>
      <c r="I152" s="990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6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92" t="n"/>
      <c r="R152" s="992" t="n"/>
      <c r="S152" s="992" t="n"/>
      <c r="T152" s="993" t="n"/>
      <c r="U152" s="37" t="inlineStr"/>
      <c r="V152" s="37" t="inlineStr"/>
      <c r="W152" s="38" t="inlineStr">
        <is>
          <t>кг</t>
        </is>
      </c>
      <c r="X152" s="994" t="n">
        <v>0</v>
      </c>
      <c r="Y152" s="995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7" t="n"/>
      <c r="B153" s="941" t="n"/>
      <c r="C153" s="941" t="n"/>
      <c r="D153" s="941" t="n"/>
      <c r="E153" s="941" t="n"/>
      <c r="F153" s="941" t="n"/>
      <c r="G153" s="941" t="n"/>
      <c r="H153" s="941" t="n"/>
      <c r="I153" s="941" t="n"/>
      <c r="J153" s="941" t="n"/>
      <c r="K153" s="941" t="n"/>
      <c r="L153" s="941" t="n"/>
      <c r="M153" s="941" t="n"/>
      <c r="N153" s="941" t="n"/>
      <c r="O153" s="997" t="n"/>
      <c r="P153" s="998" t="inlineStr">
        <is>
          <t>Итого</t>
        </is>
      </c>
      <c r="Q153" s="959" t="n"/>
      <c r="R153" s="959" t="n"/>
      <c r="S153" s="959" t="n"/>
      <c r="T153" s="959" t="n"/>
      <c r="U153" s="959" t="n"/>
      <c r="V153" s="960" t="n"/>
      <c r="W153" s="40" t="inlineStr">
        <is>
          <t>кор</t>
        </is>
      </c>
      <c r="X153" s="999">
        <f>IFERROR(X149/H149,"0")+IFERROR(X150/H150,"0")+IFERROR(X151/H151,"0")+IFERROR(X152/H152,"0")</f>
        <v/>
      </c>
      <c r="Y153" s="999">
        <f>IFERROR(Y149/H149,"0")+IFERROR(Y150/H150,"0")+IFERROR(Y151/H151,"0")+IFERROR(Y152/H152,"0")</f>
        <v/>
      </c>
      <c r="Z153" s="999">
        <f>IFERROR(IF(Z149="",0,Z149),"0")+IFERROR(IF(Z150="",0,Z150),"0")+IFERROR(IF(Z151="",0,Z151),"0")+IFERROR(IF(Z152="",0,Z152),"0")</f>
        <v/>
      </c>
      <c r="AA153" s="1000" t="n"/>
      <c r="AB153" s="1000" t="n"/>
      <c r="AC153" s="1000" t="n"/>
    </row>
    <row r="154">
      <c r="A154" s="941" t="n"/>
      <c r="B154" s="941" t="n"/>
      <c r="C154" s="941" t="n"/>
      <c r="D154" s="941" t="n"/>
      <c r="E154" s="941" t="n"/>
      <c r="F154" s="941" t="n"/>
      <c r="G154" s="941" t="n"/>
      <c r="H154" s="941" t="n"/>
      <c r="I154" s="941" t="n"/>
      <c r="J154" s="941" t="n"/>
      <c r="K154" s="941" t="n"/>
      <c r="L154" s="941" t="n"/>
      <c r="M154" s="941" t="n"/>
      <c r="N154" s="941" t="n"/>
      <c r="O154" s="997" t="n"/>
      <c r="P154" s="998" t="inlineStr">
        <is>
          <t>Итого</t>
        </is>
      </c>
      <c r="Q154" s="959" t="n"/>
      <c r="R154" s="959" t="n"/>
      <c r="S154" s="959" t="n"/>
      <c r="T154" s="959" t="n"/>
      <c r="U154" s="959" t="n"/>
      <c r="V154" s="960" t="n"/>
      <c r="W154" s="40" t="inlineStr">
        <is>
          <t>кг</t>
        </is>
      </c>
      <c r="X154" s="999">
        <f>IFERROR(SUM(X149:X152),"0")</f>
        <v/>
      </c>
      <c r="Y154" s="999">
        <f>IFERROR(SUM(Y149:Y152),"0")</f>
        <v/>
      </c>
      <c r="Z154" s="40" t="n"/>
      <c r="AA154" s="1000" t="n"/>
      <c r="AB154" s="1000" t="n"/>
      <c r="AC154" s="1000" t="n"/>
    </row>
    <row r="155" ht="16.5" customHeight="1">
      <c r="A155" s="666" t="inlineStr">
        <is>
          <t>Вязанка</t>
        </is>
      </c>
      <c r="B155" s="941" t="n"/>
      <c r="C155" s="941" t="n"/>
      <c r="D155" s="941" t="n"/>
      <c r="E155" s="941" t="n"/>
      <c r="F155" s="941" t="n"/>
      <c r="G155" s="941" t="n"/>
      <c r="H155" s="941" t="n"/>
      <c r="I155" s="941" t="n"/>
      <c r="J155" s="941" t="n"/>
      <c r="K155" s="941" t="n"/>
      <c r="L155" s="941" t="n"/>
      <c r="M155" s="941" t="n"/>
      <c r="N155" s="941" t="n"/>
      <c r="O155" s="941" t="n"/>
      <c r="P155" s="941" t="n"/>
      <c r="Q155" s="941" t="n"/>
      <c r="R155" s="941" t="n"/>
      <c r="S155" s="941" t="n"/>
      <c r="T155" s="941" t="n"/>
      <c r="U155" s="941" t="n"/>
      <c r="V155" s="941" t="n"/>
      <c r="W155" s="941" t="n"/>
      <c r="X155" s="941" t="n"/>
      <c r="Y155" s="941" t="n"/>
      <c r="Z155" s="941" t="n"/>
      <c r="AA155" s="666" t="n"/>
      <c r="AB155" s="666" t="n"/>
      <c r="AC155" s="666" t="n"/>
    </row>
    <row r="156" ht="14.25" customHeight="1">
      <c r="A156" s="667" t="inlineStr">
        <is>
          <t>Вареные колбасы</t>
        </is>
      </c>
      <c r="B156" s="941" t="n"/>
      <c r="C156" s="941" t="n"/>
      <c r="D156" s="941" t="n"/>
      <c r="E156" s="941" t="n"/>
      <c r="F156" s="941" t="n"/>
      <c r="G156" s="941" t="n"/>
      <c r="H156" s="941" t="n"/>
      <c r="I156" s="941" t="n"/>
      <c r="J156" s="941" t="n"/>
      <c r="K156" s="941" t="n"/>
      <c r="L156" s="941" t="n"/>
      <c r="M156" s="941" t="n"/>
      <c r="N156" s="941" t="n"/>
      <c r="O156" s="941" t="n"/>
      <c r="P156" s="941" t="n"/>
      <c r="Q156" s="941" t="n"/>
      <c r="R156" s="941" t="n"/>
      <c r="S156" s="941" t="n"/>
      <c r="T156" s="941" t="n"/>
      <c r="U156" s="941" t="n"/>
      <c r="V156" s="941" t="n"/>
      <c r="W156" s="941" t="n"/>
      <c r="X156" s="941" t="n"/>
      <c r="Y156" s="941" t="n"/>
      <c r="Z156" s="941" t="n"/>
      <c r="AA156" s="667" t="n"/>
      <c r="AB156" s="667" t="n"/>
      <c r="AC156" s="667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8" t="n">
        <v>4680115887374</v>
      </c>
      <c r="E157" s="951" t="n"/>
      <c r="F157" s="990" t="n">
        <v>1.6</v>
      </c>
      <c r="G157" s="35" t="n">
        <v>8</v>
      </c>
      <c r="H157" s="990" t="n">
        <v>12.8</v>
      </c>
      <c r="I157" s="990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7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92" t="n"/>
      <c r="R157" s="992" t="n"/>
      <c r="S157" s="992" t="n"/>
      <c r="T157" s="993" t="n"/>
      <c r="U157" s="37" t="inlineStr"/>
      <c r="V157" s="37" t="inlineStr"/>
      <c r="W157" s="38" t="inlineStr">
        <is>
          <t>кг</t>
        </is>
      </c>
      <c r="X157" s="994" t="n">
        <v>0</v>
      </c>
      <c r="Y157" s="995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8" t="n">
        <v>4607091384604</v>
      </c>
      <c r="E158" s="951" t="n"/>
      <c r="F158" s="990" t="n">
        <v>0.4</v>
      </c>
      <c r="G158" s="35" t="n">
        <v>10</v>
      </c>
      <c r="H158" s="990" t="n">
        <v>4</v>
      </c>
      <c r="I158" s="990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8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92" t="n"/>
      <c r="R158" s="992" t="n"/>
      <c r="S158" s="992" t="n"/>
      <c r="T158" s="993" t="n"/>
      <c r="U158" s="37" t="inlineStr"/>
      <c r="V158" s="37" t="inlineStr"/>
      <c r="W158" s="38" t="inlineStr">
        <is>
          <t>кг</t>
        </is>
      </c>
      <c r="X158" s="994" t="n">
        <v>0</v>
      </c>
      <c r="Y158" s="995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7" t="n"/>
      <c r="B159" s="941" t="n"/>
      <c r="C159" s="941" t="n"/>
      <c r="D159" s="941" t="n"/>
      <c r="E159" s="941" t="n"/>
      <c r="F159" s="941" t="n"/>
      <c r="G159" s="941" t="n"/>
      <c r="H159" s="941" t="n"/>
      <c r="I159" s="941" t="n"/>
      <c r="J159" s="941" t="n"/>
      <c r="K159" s="941" t="n"/>
      <c r="L159" s="941" t="n"/>
      <c r="M159" s="941" t="n"/>
      <c r="N159" s="941" t="n"/>
      <c r="O159" s="997" t="n"/>
      <c r="P159" s="998" t="inlineStr">
        <is>
          <t>Итого</t>
        </is>
      </c>
      <c r="Q159" s="959" t="n"/>
      <c r="R159" s="959" t="n"/>
      <c r="S159" s="959" t="n"/>
      <c r="T159" s="959" t="n"/>
      <c r="U159" s="959" t="n"/>
      <c r="V159" s="960" t="n"/>
      <c r="W159" s="40" t="inlineStr">
        <is>
          <t>кор</t>
        </is>
      </c>
      <c r="X159" s="999">
        <f>IFERROR(X157/H157,"0")+IFERROR(X158/H158,"0")</f>
        <v/>
      </c>
      <c r="Y159" s="999">
        <f>IFERROR(Y157/H157,"0")+IFERROR(Y158/H158,"0")</f>
        <v/>
      </c>
      <c r="Z159" s="999">
        <f>IFERROR(IF(Z157="",0,Z157),"0")+IFERROR(IF(Z158="",0,Z158),"0")</f>
        <v/>
      </c>
      <c r="AA159" s="1000" t="n"/>
      <c r="AB159" s="1000" t="n"/>
      <c r="AC159" s="1000" t="n"/>
    </row>
    <row r="160">
      <c r="A160" s="941" t="n"/>
      <c r="B160" s="941" t="n"/>
      <c r="C160" s="941" t="n"/>
      <c r="D160" s="941" t="n"/>
      <c r="E160" s="941" t="n"/>
      <c r="F160" s="941" t="n"/>
      <c r="G160" s="941" t="n"/>
      <c r="H160" s="941" t="n"/>
      <c r="I160" s="941" t="n"/>
      <c r="J160" s="941" t="n"/>
      <c r="K160" s="941" t="n"/>
      <c r="L160" s="941" t="n"/>
      <c r="M160" s="941" t="n"/>
      <c r="N160" s="941" t="n"/>
      <c r="O160" s="997" t="n"/>
      <c r="P160" s="998" t="inlineStr">
        <is>
          <t>Итого</t>
        </is>
      </c>
      <c r="Q160" s="959" t="n"/>
      <c r="R160" s="959" t="n"/>
      <c r="S160" s="959" t="n"/>
      <c r="T160" s="959" t="n"/>
      <c r="U160" s="959" t="n"/>
      <c r="V160" s="960" t="n"/>
      <c r="W160" s="40" t="inlineStr">
        <is>
          <t>кг</t>
        </is>
      </c>
      <c r="X160" s="999">
        <f>IFERROR(SUM(X157:X158),"0")</f>
        <v/>
      </c>
      <c r="Y160" s="999">
        <f>IFERROR(SUM(Y157:Y158),"0")</f>
        <v/>
      </c>
      <c r="Z160" s="40" t="n"/>
      <c r="AA160" s="1000" t="n"/>
      <c r="AB160" s="1000" t="n"/>
      <c r="AC160" s="1000" t="n"/>
    </row>
    <row r="161" ht="14.25" customHeight="1">
      <c r="A161" s="667" t="inlineStr">
        <is>
          <t>Ветчины</t>
        </is>
      </c>
      <c r="B161" s="941" t="n"/>
      <c r="C161" s="941" t="n"/>
      <c r="D161" s="941" t="n"/>
      <c r="E161" s="941" t="n"/>
      <c r="F161" s="941" t="n"/>
      <c r="G161" s="941" t="n"/>
      <c r="H161" s="941" t="n"/>
      <c r="I161" s="941" t="n"/>
      <c r="J161" s="941" t="n"/>
      <c r="K161" s="941" t="n"/>
      <c r="L161" s="941" t="n"/>
      <c r="M161" s="941" t="n"/>
      <c r="N161" s="941" t="n"/>
      <c r="O161" s="941" t="n"/>
      <c r="P161" s="941" t="n"/>
      <c r="Q161" s="941" t="n"/>
      <c r="R161" s="941" t="n"/>
      <c r="S161" s="941" t="n"/>
      <c r="T161" s="941" t="n"/>
      <c r="U161" s="941" t="n"/>
      <c r="V161" s="941" t="n"/>
      <c r="W161" s="941" t="n"/>
      <c r="X161" s="941" t="n"/>
      <c r="Y161" s="941" t="n"/>
      <c r="Z161" s="941" t="n"/>
      <c r="AA161" s="667" t="n"/>
      <c r="AB161" s="667" t="n"/>
      <c r="AC161" s="667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8" t="n">
        <v>4680115887695</v>
      </c>
      <c r="E162" s="951" t="n"/>
      <c r="F162" s="990" t="n">
        <v>0.12</v>
      </c>
      <c r="G162" s="35" t="n">
        <v>6</v>
      </c>
      <c r="H162" s="990" t="n">
        <v>0.72</v>
      </c>
      <c r="I162" s="990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9">
        <f>HYPERLINK("https://abi.ru/products/Охлажденные/Вязанка/Вязанка/Ветчины/P005122/","Ветчины «Ореховая» Фикс.вес 0,12 нарезка ТМ «Вязанка»")</f>
        <v/>
      </c>
      <c r="Q162" s="992" t="n"/>
      <c r="R162" s="992" t="n"/>
      <c r="S162" s="992" t="n"/>
      <c r="T162" s="993" t="n"/>
      <c r="U162" s="37" t="inlineStr"/>
      <c r="V162" s="37" t="inlineStr"/>
      <c r="W162" s="38" t="inlineStr">
        <is>
          <t>кг</t>
        </is>
      </c>
      <c r="X162" s="994" t="n">
        <v>0</v>
      </c>
      <c r="Y162" s="995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7" t="n"/>
      <c r="B163" s="941" t="n"/>
      <c r="C163" s="941" t="n"/>
      <c r="D163" s="941" t="n"/>
      <c r="E163" s="941" t="n"/>
      <c r="F163" s="941" t="n"/>
      <c r="G163" s="941" t="n"/>
      <c r="H163" s="941" t="n"/>
      <c r="I163" s="941" t="n"/>
      <c r="J163" s="941" t="n"/>
      <c r="K163" s="941" t="n"/>
      <c r="L163" s="941" t="n"/>
      <c r="M163" s="941" t="n"/>
      <c r="N163" s="941" t="n"/>
      <c r="O163" s="997" t="n"/>
      <c r="P163" s="998" t="inlineStr">
        <is>
          <t>Итого</t>
        </is>
      </c>
      <c r="Q163" s="959" t="n"/>
      <c r="R163" s="959" t="n"/>
      <c r="S163" s="959" t="n"/>
      <c r="T163" s="959" t="n"/>
      <c r="U163" s="959" t="n"/>
      <c r="V163" s="960" t="n"/>
      <c r="W163" s="40" t="inlineStr">
        <is>
          <t>кор</t>
        </is>
      </c>
      <c r="X163" s="999">
        <f>IFERROR(X162/H162,"0")</f>
        <v/>
      </c>
      <c r="Y163" s="999">
        <f>IFERROR(Y162/H162,"0")</f>
        <v/>
      </c>
      <c r="Z163" s="999">
        <f>IFERROR(IF(Z162="",0,Z162),"0")</f>
        <v/>
      </c>
      <c r="AA163" s="1000" t="n"/>
      <c r="AB163" s="1000" t="n"/>
      <c r="AC163" s="1000" t="n"/>
    </row>
    <row r="164">
      <c r="A164" s="941" t="n"/>
      <c r="B164" s="941" t="n"/>
      <c r="C164" s="941" t="n"/>
      <c r="D164" s="941" t="n"/>
      <c r="E164" s="941" t="n"/>
      <c r="F164" s="941" t="n"/>
      <c r="G164" s="941" t="n"/>
      <c r="H164" s="941" t="n"/>
      <c r="I164" s="941" t="n"/>
      <c r="J164" s="941" t="n"/>
      <c r="K164" s="941" t="n"/>
      <c r="L164" s="941" t="n"/>
      <c r="M164" s="941" t="n"/>
      <c r="N164" s="941" t="n"/>
      <c r="O164" s="997" t="n"/>
      <c r="P164" s="998" t="inlineStr">
        <is>
          <t>Итого</t>
        </is>
      </c>
      <c r="Q164" s="959" t="n"/>
      <c r="R164" s="959" t="n"/>
      <c r="S164" s="959" t="n"/>
      <c r="T164" s="959" t="n"/>
      <c r="U164" s="959" t="n"/>
      <c r="V164" s="960" t="n"/>
      <c r="W164" s="40" t="inlineStr">
        <is>
          <t>кг</t>
        </is>
      </c>
      <c r="X164" s="999">
        <f>IFERROR(SUM(X162:X162),"0")</f>
        <v/>
      </c>
      <c r="Y164" s="999">
        <f>IFERROR(SUM(Y162:Y162),"0")</f>
        <v/>
      </c>
      <c r="Z164" s="40" t="n"/>
      <c r="AA164" s="1000" t="n"/>
      <c r="AB164" s="1000" t="n"/>
      <c r="AC164" s="1000" t="n"/>
    </row>
    <row r="165" ht="14.25" customHeight="1">
      <c r="A165" s="667" t="inlineStr">
        <is>
          <t>Копченые колбасы</t>
        </is>
      </c>
      <c r="B165" s="941" t="n"/>
      <c r="C165" s="941" t="n"/>
      <c r="D165" s="941" t="n"/>
      <c r="E165" s="941" t="n"/>
      <c r="F165" s="941" t="n"/>
      <c r="G165" s="941" t="n"/>
      <c r="H165" s="941" t="n"/>
      <c r="I165" s="941" t="n"/>
      <c r="J165" s="941" t="n"/>
      <c r="K165" s="941" t="n"/>
      <c r="L165" s="941" t="n"/>
      <c r="M165" s="941" t="n"/>
      <c r="N165" s="941" t="n"/>
      <c r="O165" s="941" t="n"/>
      <c r="P165" s="941" t="n"/>
      <c r="Q165" s="941" t="n"/>
      <c r="R165" s="941" t="n"/>
      <c r="S165" s="941" t="n"/>
      <c r="T165" s="941" t="n"/>
      <c r="U165" s="941" t="n"/>
      <c r="V165" s="941" t="n"/>
      <c r="W165" s="941" t="n"/>
      <c r="X165" s="941" t="n"/>
      <c r="Y165" s="941" t="n"/>
      <c r="Z165" s="941" t="n"/>
      <c r="AA165" s="667" t="n"/>
      <c r="AB165" s="667" t="n"/>
      <c r="AC165" s="667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8" t="n">
        <v>4680115887428</v>
      </c>
      <c r="E166" s="951" t="n"/>
      <c r="F166" s="990" t="n">
        <v>0.7</v>
      </c>
      <c r="G166" s="35" t="n">
        <v>5</v>
      </c>
      <c r="H166" s="990" t="n">
        <v>3.5</v>
      </c>
      <c r="I166" s="990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70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92" t="n"/>
      <c r="R166" s="992" t="n"/>
      <c r="S166" s="992" t="n"/>
      <c r="T166" s="993" t="n"/>
      <c r="U166" s="37" t="inlineStr"/>
      <c r="V166" s="37" t="inlineStr"/>
      <c r="W166" s="38" t="inlineStr">
        <is>
          <t>кг</t>
        </is>
      </c>
      <c r="X166" s="994" t="n">
        <v>35</v>
      </c>
      <c r="Y166" s="995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8" t="n">
        <v>4607091382426</v>
      </c>
      <c r="E167" s="951" t="n"/>
      <c r="F167" s="990" t="n">
        <v>0.9</v>
      </c>
      <c r="G167" s="35" t="n">
        <v>10</v>
      </c>
      <c r="H167" s="990" t="n">
        <v>9</v>
      </c>
      <c r="I167" s="990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71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92" t="n"/>
      <c r="R167" s="992" t="n"/>
      <c r="S167" s="992" t="n"/>
      <c r="T167" s="993" t="n"/>
      <c r="U167" s="37" t="inlineStr"/>
      <c r="V167" s="37" t="inlineStr"/>
      <c r="W167" s="38" t="inlineStr">
        <is>
          <t>кг</t>
        </is>
      </c>
      <c r="X167" s="994" t="n">
        <v>21</v>
      </c>
      <c r="Y167" s="995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8" t="n">
        <v>4680115887398</v>
      </c>
      <c r="E168" s="951" t="n"/>
      <c r="F168" s="990" t="n">
        <v>0.7</v>
      </c>
      <c r="G168" s="35" t="n">
        <v>5</v>
      </c>
      <c r="H168" s="990" t="n">
        <v>3.5</v>
      </c>
      <c r="I168" s="990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72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92" t="n"/>
      <c r="R168" s="992" t="n"/>
      <c r="S168" s="992" t="n"/>
      <c r="T168" s="993" t="n"/>
      <c r="U168" s="37" t="inlineStr"/>
      <c r="V168" s="37" t="inlineStr"/>
      <c r="W168" s="38" t="inlineStr">
        <is>
          <t>кг</t>
        </is>
      </c>
      <c r="X168" s="994" t="n">
        <v>0</v>
      </c>
      <c r="Y168" s="995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8" t="n">
        <v>4680115887336</v>
      </c>
      <c r="E169" s="951" t="n"/>
      <c r="F169" s="990" t="n">
        <v>0.7</v>
      </c>
      <c r="G169" s="35" t="n">
        <v>5</v>
      </c>
      <c r="H169" s="990" t="n">
        <v>3.5</v>
      </c>
      <c r="I169" s="990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3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92" t="n"/>
      <c r="R169" s="992" t="n"/>
      <c r="S169" s="992" t="n"/>
      <c r="T169" s="993" t="n"/>
      <c r="U169" s="37" t="inlineStr"/>
      <c r="V169" s="37" t="inlineStr"/>
      <c r="W169" s="38" t="inlineStr">
        <is>
          <t>кг</t>
        </is>
      </c>
      <c r="X169" s="994" t="n">
        <v>0</v>
      </c>
      <c r="Y169" s="995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8" t="n">
        <v>4680115887787</v>
      </c>
      <c r="E170" s="951" t="n"/>
      <c r="F170" s="990" t="n">
        <v>0.09</v>
      </c>
      <c r="G170" s="35" t="n">
        <v>10</v>
      </c>
      <c r="H170" s="990" t="n">
        <v>0.9</v>
      </c>
      <c r="I170" s="990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4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92" t="n"/>
      <c r="R170" s="992" t="n"/>
      <c r="S170" s="992" t="n"/>
      <c r="T170" s="993" t="n"/>
      <c r="U170" s="37" t="inlineStr"/>
      <c r="V170" s="37" t="inlineStr"/>
      <c r="W170" s="38" t="inlineStr">
        <is>
          <t>кг</t>
        </is>
      </c>
      <c r="X170" s="994" t="n">
        <v>0</v>
      </c>
      <c r="Y170" s="995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8" t="n">
        <v>4680115887503</v>
      </c>
      <c r="E171" s="951" t="n"/>
      <c r="F171" s="990" t="n">
        <v>0.28</v>
      </c>
      <c r="G171" s="35" t="n">
        <v>6</v>
      </c>
      <c r="H171" s="990" t="n">
        <v>1.68</v>
      </c>
      <c r="I171" s="990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5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92" t="n"/>
      <c r="R171" s="992" t="n"/>
      <c r="S171" s="992" t="n"/>
      <c r="T171" s="993" t="n"/>
      <c r="U171" s="37" t="inlineStr"/>
      <c r="V171" s="37" t="inlineStr"/>
      <c r="W171" s="38" t="inlineStr">
        <is>
          <t>кг</t>
        </is>
      </c>
      <c r="X171" s="994" t="n">
        <v>0</v>
      </c>
      <c r="Y171" s="995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8" t="n">
        <v>4680115887763</v>
      </c>
      <c r="E172" s="951" t="n"/>
      <c r="F172" s="990" t="n">
        <v>0.09</v>
      </c>
      <c r="G172" s="35" t="n">
        <v>10</v>
      </c>
      <c r="H172" s="990" t="n">
        <v>0.9</v>
      </c>
      <c r="I172" s="990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6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92" t="n"/>
      <c r="R172" s="992" t="n"/>
      <c r="S172" s="992" t="n"/>
      <c r="T172" s="993" t="n"/>
      <c r="U172" s="37" t="inlineStr"/>
      <c r="V172" s="37" t="inlineStr"/>
      <c r="W172" s="38" t="inlineStr">
        <is>
          <t>кг</t>
        </is>
      </c>
      <c r="X172" s="994" t="n">
        <v>0</v>
      </c>
      <c r="Y172" s="995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8" t="n">
        <v>4680115887480</v>
      </c>
      <c r="E173" s="951" t="n"/>
      <c r="F173" s="990" t="n">
        <v>0.28</v>
      </c>
      <c r="G173" s="35" t="n">
        <v>6</v>
      </c>
      <c r="H173" s="990" t="n">
        <v>1.68</v>
      </c>
      <c r="I173" s="990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7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92" t="n"/>
      <c r="R173" s="992" t="n"/>
      <c r="S173" s="992" t="n"/>
      <c r="T173" s="993" t="n"/>
      <c r="U173" s="37" t="inlineStr"/>
      <c r="V173" s="37" t="inlineStr"/>
      <c r="W173" s="38" t="inlineStr">
        <is>
          <t>кг</t>
        </is>
      </c>
      <c r="X173" s="994" t="n">
        <v>0</v>
      </c>
      <c r="Y173" s="995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8" t="n">
        <v>4680115888067</v>
      </c>
      <c r="E174" s="951" t="n"/>
      <c r="F174" s="990" t="n">
        <v>0.09</v>
      </c>
      <c r="G174" s="35" t="n">
        <v>10</v>
      </c>
      <c r="H174" s="990" t="n">
        <v>0.9</v>
      </c>
      <c r="I174" s="990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8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92" t="n"/>
      <c r="R174" s="992" t="n"/>
      <c r="S174" s="992" t="n"/>
      <c r="T174" s="993" t="n"/>
      <c r="U174" s="37" t="inlineStr"/>
      <c r="V174" s="37" t="inlineStr"/>
      <c r="W174" s="38" t="inlineStr">
        <is>
          <t>кг</t>
        </is>
      </c>
      <c r="X174" s="994" t="n">
        <v>0</v>
      </c>
      <c r="Y174" s="995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8" t="n">
        <v>4680115887435</v>
      </c>
      <c r="E175" s="951" t="n"/>
      <c r="F175" s="990" t="n">
        <v>0.28</v>
      </c>
      <c r="G175" s="35" t="n">
        <v>6</v>
      </c>
      <c r="H175" s="990" t="n">
        <v>1.68</v>
      </c>
      <c r="I175" s="990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9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92" t="n"/>
      <c r="R175" s="992" t="n"/>
      <c r="S175" s="992" t="n"/>
      <c r="T175" s="993" t="n"/>
      <c r="U175" s="37" t="inlineStr"/>
      <c r="V175" s="37" t="inlineStr"/>
      <c r="W175" s="38" t="inlineStr">
        <is>
          <t>кг</t>
        </is>
      </c>
      <c r="X175" s="994" t="n">
        <v>0</v>
      </c>
      <c r="Y175" s="995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7" t="n"/>
      <c r="B176" s="941" t="n"/>
      <c r="C176" s="941" t="n"/>
      <c r="D176" s="941" t="n"/>
      <c r="E176" s="941" t="n"/>
      <c r="F176" s="941" t="n"/>
      <c r="G176" s="941" t="n"/>
      <c r="H176" s="941" t="n"/>
      <c r="I176" s="941" t="n"/>
      <c r="J176" s="941" t="n"/>
      <c r="K176" s="941" t="n"/>
      <c r="L176" s="941" t="n"/>
      <c r="M176" s="941" t="n"/>
      <c r="N176" s="941" t="n"/>
      <c r="O176" s="997" t="n"/>
      <c r="P176" s="998" t="inlineStr">
        <is>
          <t>Итого</t>
        </is>
      </c>
      <c r="Q176" s="959" t="n"/>
      <c r="R176" s="959" t="n"/>
      <c r="S176" s="959" t="n"/>
      <c r="T176" s="959" t="n"/>
      <c r="U176" s="959" t="n"/>
      <c r="V176" s="960" t="n"/>
      <c r="W176" s="40" t="inlineStr">
        <is>
          <t>кор</t>
        </is>
      </c>
      <c r="X176" s="999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9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9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1000" t="n"/>
      <c r="AB176" s="1000" t="n"/>
      <c r="AC176" s="1000" t="n"/>
    </row>
    <row r="177">
      <c r="A177" s="941" t="n"/>
      <c r="B177" s="941" t="n"/>
      <c r="C177" s="941" t="n"/>
      <c r="D177" s="941" t="n"/>
      <c r="E177" s="941" t="n"/>
      <c r="F177" s="941" t="n"/>
      <c r="G177" s="941" t="n"/>
      <c r="H177" s="941" t="n"/>
      <c r="I177" s="941" t="n"/>
      <c r="J177" s="941" t="n"/>
      <c r="K177" s="941" t="n"/>
      <c r="L177" s="941" t="n"/>
      <c r="M177" s="941" t="n"/>
      <c r="N177" s="941" t="n"/>
      <c r="O177" s="997" t="n"/>
      <c r="P177" s="998" t="inlineStr">
        <is>
          <t>Итого</t>
        </is>
      </c>
      <c r="Q177" s="959" t="n"/>
      <c r="R177" s="959" t="n"/>
      <c r="S177" s="959" t="n"/>
      <c r="T177" s="959" t="n"/>
      <c r="U177" s="959" t="n"/>
      <c r="V177" s="960" t="n"/>
      <c r="W177" s="40" t="inlineStr">
        <is>
          <t>кг</t>
        </is>
      </c>
      <c r="X177" s="999">
        <f>IFERROR(SUM(X166:X175),"0")</f>
        <v/>
      </c>
      <c r="Y177" s="999">
        <f>IFERROR(SUM(Y166:Y175),"0")</f>
        <v/>
      </c>
      <c r="Z177" s="40" t="n"/>
      <c r="AA177" s="1000" t="n"/>
      <c r="AB177" s="1000" t="n"/>
      <c r="AC177" s="1000" t="n"/>
    </row>
    <row r="178" ht="14.25" customHeight="1">
      <c r="A178" s="667" t="inlineStr">
        <is>
          <t>Сосиски</t>
        </is>
      </c>
      <c r="B178" s="941" t="n"/>
      <c r="C178" s="941" t="n"/>
      <c r="D178" s="941" t="n"/>
      <c r="E178" s="941" t="n"/>
      <c r="F178" s="941" t="n"/>
      <c r="G178" s="941" t="n"/>
      <c r="H178" s="941" t="n"/>
      <c r="I178" s="941" t="n"/>
      <c r="J178" s="941" t="n"/>
      <c r="K178" s="941" t="n"/>
      <c r="L178" s="941" t="n"/>
      <c r="M178" s="941" t="n"/>
      <c r="N178" s="941" t="n"/>
      <c r="O178" s="941" t="n"/>
      <c r="P178" s="941" t="n"/>
      <c r="Q178" s="941" t="n"/>
      <c r="R178" s="941" t="n"/>
      <c r="S178" s="941" t="n"/>
      <c r="T178" s="941" t="n"/>
      <c r="U178" s="941" t="n"/>
      <c r="V178" s="941" t="n"/>
      <c r="W178" s="941" t="n"/>
      <c r="X178" s="941" t="n"/>
      <c r="Y178" s="941" t="n"/>
      <c r="Z178" s="941" t="n"/>
      <c r="AA178" s="667" t="n"/>
      <c r="AB178" s="667" t="n"/>
      <c r="AC178" s="667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8" t="n">
        <v>4680115888395</v>
      </c>
      <c r="E179" s="951" t="n"/>
      <c r="F179" s="990" t="n">
        <v>0.42</v>
      </c>
      <c r="G179" s="35" t="n">
        <v>6</v>
      </c>
      <c r="H179" s="990" t="n">
        <v>2.52</v>
      </c>
      <c r="I179" s="990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80">
        <f>HYPERLINK("https://abi.ru/products/Охлажденные/Вязанка/Вязанка/Сосиски/P005387/","Сосиски «Классик» Фикс.вес 0,42 ц/о ТМ «Вязанка»")</f>
        <v/>
      </c>
      <c r="Q179" s="992" t="n"/>
      <c r="R179" s="992" t="n"/>
      <c r="S179" s="992" t="n"/>
      <c r="T179" s="993" t="n"/>
      <c r="U179" s="37" t="inlineStr"/>
      <c r="V179" s="37" t="inlineStr"/>
      <c r="W179" s="38" t="inlineStr">
        <is>
          <t>кг</t>
        </is>
      </c>
      <c r="X179" s="994" t="n">
        <v>0</v>
      </c>
      <c r="Y179" s="995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8" t="n">
        <v>4680115888371</v>
      </c>
      <c r="E180" s="951" t="n"/>
      <c r="F180" s="990" t="n">
        <v>0.42</v>
      </c>
      <c r="G180" s="35" t="n">
        <v>6</v>
      </c>
      <c r="H180" s="990" t="n">
        <v>2.52</v>
      </c>
      <c r="I180" s="990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81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92" t="n"/>
      <c r="R180" s="992" t="n"/>
      <c r="S180" s="992" t="n"/>
      <c r="T180" s="993" t="n"/>
      <c r="U180" s="37" t="inlineStr"/>
      <c r="V180" s="37" t="inlineStr"/>
      <c r="W180" s="38" t="inlineStr">
        <is>
          <t>кг</t>
        </is>
      </c>
      <c r="X180" s="994" t="n">
        <v>0</v>
      </c>
      <c r="Y180" s="995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8" t="n">
        <v>4680115887459</v>
      </c>
      <c r="E181" s="951" t="n"/>
      <c r="F181" s="990" t="n">
        <v>0.3</v>
      </c>
      <c r="G181" s="35" t="n">
        <v>6</v>
      </c>
      <c r="H181" s="990" t="n">
        <v>1.8</v>
      </c>
      <c r="I181" s="990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82">
        <f>HYPERLINK("https://abi.ru/products/Охлажденные/Вязанка/Вязанка/Сосиски/P005187/","Сосиски «Сочные» Фикс.вес 0,3 П/а мгс ТМ «Вязанка»")</f>
        <v/>
      </c>
      <c r="Q181" s="992" t="n"/>
      <c r="R181" s="992" t="n"/>
      <c r="S181" s="992" t="n"/>
      <c r="T181" s="993" t="n"/>
      <c r="U181" s="37" t="inlineStr"/>
      <c r="V181" s="37" t="inlineStr"/>
      <c r="W181" s="38" t="inlineStr">
        <is>
          <t>кг</t>
        </is>
      </c>
      <c r="X181" s="994" t="n">
        <v>0</v>
      </c>
      <c r="Y181" s="995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7" t="n"/>
      <c r="B182" s="941" t="n"/>
      <c r="C182" s="941" t="n"/>
      <c r="D182" s="941" t="n"/>
      <c r="E182" s="941" t="n"/>
      <c r="F182" s="941" t="n"/>
      <c r="G182" s="941" t="n"/>
      <c r="H182" s="941" t="n"/>
      <c r="I182" s="941" t="n"/>
      <c r="J182" s="941" t="n"/>
      <c r="K182" s="941" t="n"/>
      <c r="L182" s="941" t="n"/>
      <c r="M182" s="941" t="n"/>
      <c r="N182" s="941" t="n"/>
      <c r="O182" s="997" t="n"/>
      <c r="P182" s="998" t="inlineStr">
        <is>
          <t>Итого</t>
        </is>
      </c>
      <c r="Q182" s="959" t="n"/>
      <c r="R182" s="959" t="n"/>
      <c r="S182" s="959" t="n"/>
      <c r="T182" s="959" t="n"/>
      <c r="U182" s="959" t="n"/>
      <c r="V182" s="960" t="n"/>
      <c r="W182" s="40" t="inlineStr">
        <is>
          <t>кор</t>
        </is>
      </c>
      <c r="X182" s="999">
        <f>IFERROR(X179/H179,"0")+IFERROR(X180/H180,"0")+IFERROR(X181/H181,"0")</f>
        <v/>
      </c>
      <c r="Y182" s="999">
        <f>IFERROR(Y179/H179,"0")+IFERROR(Y180/H180,"0")+IFERROR(Y181/H181,"0")</f>
        <v/>
      </c>
      <c r="Z182" s="999">
        <f>IFERROR(IF(Z179="",0,Z179),"0")+IFERROR(IF(Z180="",0,Z180),"0")+IFERROR(IF(Z181="",0,Z181),"0")</f>
        <v/>
      </c>
      <c r="AA182" s="1000" t="n"/>
      <c r="AB182" s="1000" t="n"/>
      <c r="AC182" s="1000" t="n"/>
    </row>
    <row r="183">
      <c r="A183" s="941" t="n"/>
      <c r="B183" s="941" t="n"/>
      <c r="C183" s="941" t="n"/>
      <c r="D183" s="941" t="n"/>
      <c r="E183" s="941" t="n"/>
      <c r="F183" s="941" t="n"/>
      <c r="G183" s="941" t="n"/>
      <c r="H183" s="941" t="n"/>
      <c r="I183" s="941" t="n"/>
      <c r="J183" s="941" t="n"/>
      <c r="K183" s="941" t="n"/>
      <c r="L183" s="941" t="n"/>
      <c r="M183" s="941" t="n"/>
      <c r="N183" s="941" t="n"/>
      <c r="O183" s="997" t="n"/>
      <c r="P183" s="998" t="inlineStr">
        <is>
          <t>Итого</t>
        </is>
      </c>
      <c r="Q183" s="959" t="n"/>
      <c r="R183" s="959" t="n"/>
      <c r="S183" s="959" t="n"/>
      <c r="T183" s="959" t="n"/>
      <c r="U183" s="959" t="n"/>
      <c r="V183" s="960" t="n"/>
      <c r="W183" s="40" t="inlineStr">
        <is>
          <t>кг</t>
        </is>
      </c>
      <c r="X183" s="999">
        <f>IFERROR(SUM(X179:X181),"0")</f>
        <v/>
      </c>
      <c r="Y183" s="999">
        <f>IFERROR(SUM(Y179:Y181),"0")</f>
        <v/>
      </c>
      <c r="Z183" s="40" t="n"/>
      <c r="AA183" s="1000" t="n"/>
      <c r="AB183" s="1000" t="n"/>
      <c r="AC183" s="1000" t="n"/>
    </row>
    <row r="184" ht="14.25" customHeight="1">
      <c r="A184" s="667" t="inlineStr">
        <is>
          <t>Сырокопченые колбасы</t>
        </is>
      </c>
      <c r="B184" s="941" t="n"/>
      <c r="C184" s="941" t="n"/>
      <c r="D184" s="941" t="n"/>
      <c r="E184" s="941" t="n"/>
      <c r="F184" s="941" t="n"/>
      <c r="G184" s="941" t="n"/>
      <c r="H184" s="941" t="n"/>
      <c r="I184" s="941" t="n"/>
      <c r="J184" s="941" t="n"/>
      <c r="K184" s="941" t="n"/>
      <c r="L184" s="941" t="n"/>
      <c r="M184" s="941" t="n"/>
      <c r="N184" s="941" t="n"/>
      <c r="O184" s="941" t="n"/>
      <c r="P184" s="941" t="n"/>
      <c r="Q184" s="941" t="n"/>
      <c r="R184" s="941" t="n"/>
      <c r="S184" s="941" t="n"/>
      <c r="T184" s="941" t="n"/>
      <c r="U184" s="941" t="n"/>
      <c r="V184" s="941" t="n"/>
      <c r="W184" s="941" t="n"/>
      <c r="X184" s="941" t="n"/>
      <c r="Y184" s="941" t="n"/>
      <c r="Z184" s="941" t="n"/>
      <c r="AA184" s="667" t="n"/>
      <c r="AB184" s="667" t="n"/>
      <c r="AC184" s="667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8" t="n">
        <v>4680115889026</v>
      </c>
      <c r="E185" s="951" t="n"/>
      <c r="F185" s="990" t="n">
        <v>0.06</v>
      </c>
      <c r="G185" s="35" t="n">
        <v>18</v>
      </c>
      <c r="H185" s="990" t="n">
        <v>1.08</v>
      </c>
      <c r="I185" s="990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3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92" t="n"/>
      <c r="R185" s="992" t="n"/>
      <c r="S185" s="992" t="n"/>
      <c r="T185" s="993" t="n"/>
      <c r="U185" s="37" t="inlineStr"/>
      <c r="V185" s="37" t="inlineStr"/>
      <c r="W185" s="38" t="inlineStr">
        <is>
          <t>кг</t>
        </is>
      </c>
      <c r="X185" s="994" t="n">
        <v>0</v>
      </c>
      <c r="Y185" s="995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8" t="n">
        <v>4680115889088</v>
      </c>
      <c r="E186" s="951" t="n"/>
      <c r="F186" s="990" t="n">
        <v>0.06</v>
      </c>
      <c r="G186" s="35" t="n">
        <v>18</v>
      </c>
      <c r="H186" s="990" t="n">
        <v>1.08</v>
      </c>
      <c r="I186" s="990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4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92" t="n"/>
      <c r="R186" s="992" t="n"/>
      <c r="S186" s="992" t="n"/>
      <c r="T186" s="993" t="n"/>
      <c r="U186" s="37" t="inlineStr"/>
      <c r="V186" s="37" t="inlineStr"/>
      <c r="W186" s="38" t="inlineStr">
        <is>
          <t>кг</t>
        </is>
      </c>
      <c r="X186" s="994" t="n">
        <v>0</v>
      </c>
      <c r="Y186" s="995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7" t="n"/>
      <c r="B187" s="941" t="n"/>
      <c r="C187" s="941" t="n"/>
      <c r="D187" s="941" t="n"/>
      <c r="E187" s="941" t="n"/>
      <c r="F187" s="941" t="n"/>
      <c r="G187" s="941" t="n"/>
      <c r="H187" s="941" t="n"/>
      <c r="I187" s="941" t="n"/>
      <c r="J187" s="941" t="n"/>
      <c r="K187" s="941" t="n"/>
      <c r="L187" s="941" t="n"/>
      <c r="M187" s="941" t="n"/>
      <c r="N187" s="941" t="n"/>
      <c r="O187" s="997" t="n"/>
      <c r="P187" s="998" t="inlineStr">
        <is>
          <t>Итого</t>
        </is>
      </c>
      <c r="Q187" s="959" t="n"/>
      <c r="R187" s="959" t="n"/>
      <c r="S187" s="959" t="n"/>
      <c r="T187" s="959" t="n"/>
      <c r="U187" s="959" t="n"/>
      <c r="V187" s="960" t="n"/>
      <c r="W187" s="40" t="inlineStr">
        <is>
          <t>кор</t>
        </is>
      </c>
      <c r="X187" s="999">
        <f>IFERROR(X185/H185,"0")+IFERROR(X186/H186,"0")</f>
        <v/>
      </c>
      <c r="Y187" s="999">
        <f>IFERROR(Y185/H185,"0")+IFERROR(Y186/H186,"0")</f>
        <v/>
      </c>
      <c r="Z187" s="999">
        <f>IFERROR(IF(Z185="",0,Z185),"0")+IFERROR(IF(Z186="",0,Z186),"0")</f>
        <v/>
      </c>
      <c r="AA187" s="1000" t="n"/>
      <c r="AB187" s="1000" t="n"/>
      <c r="AC187" s="1000" t="n"/>
    </row>
    <row r="188">
      <c r="A188" s="941" t="n"/>
      <c r="B188" s="941" t="n"/>
      <c r="C188" s="941" t="n"/>
      <c r="D188" s="941" t="n"/>
      <c r="E188" s="941" t="n"/>
      <c r="F188" s="941" t="n"/>
      <c r="G188" s="941" t="n"/>
      <c r="H188" s="941" t="n"/>
      <c r="I188" s="941" t="n"/>
      <c r="J188" s="941" t="n"/>
      <c r="K188" s="941" t="n"/>
      <c r="L188" s="941" t="n"/>
      <c r="M188" s="941" t="n"/>
      <c r="N188" s="941" t="n"/>
      <c r="O188" s="997" t="n"/>
      <c r="P188" s="998" t="inlineStr">
        <is>
          <t>Итого</t>
        </is>
      </c>
      <c r="Q188" s="959" t="n"/>
      <c r="R188" s="959" t="n"/>
      <c r="S188" s="959" t="n"/>
      <c r="T188" s="959" t="n"/>
      <c r="U188" s="959" t="n"/>
      <c r="V188" s="960" t="n"/>
      <c r="W188" s="40" t="inlineStr">
        <is>
          <t>кг</t>
        </is>
      </c>
      <c r="X188" s="999">
        <f>IFERROR(SUM(X185:X186),"0")</f>
        <v/>
      </c>
      <c r="Y188" s="999">
        <f>IFERROR(SUM(Y185:Y186),"0")</f>
        <v/>
      </c>
      <c r="Z188" s="40" t="n"/>
      <c r="AA188" s="1000" t="n"/>
      <c r="AB188" s="1000" t="n"/>
      <c r="AC188" s="1000" t="n"/>
    </row>
    <row r="189" ht="14.25" customHeight="1">
      <c r="A189" s="667" t="inlineStr">
        <is>
          <t>Деликатесы с/к</t>
        </is>
      </c>
      <c r="B189" s="941" t="n"/>
      <c r="C189" s="941" t="n"/>
      <c r="D189" s="941" t="n"/>
      <c r="E189" s="941" t="n"/>
      <c r="F189" s="941" t="n"/>
      <c r="G189" s="941" t="n"/>
      <c r="H189" s="941" t="n"/>
      <c r="I189" s="941" t="n"/>
      <c r="J189" s="941" t="n"/>
      <c r="K189" s="941" t="n"/>
      <c r="L189" s="941" t="n"/>
      <c r="M189" s="941" t="n"/>
      <c r="N189" s="941" t="n"/>
      <c r="O189" s="941" t="n"/>
      <c r="P189" s="941" t="n"/>
      <c r="Q189" s="941" t="n"/>
      <c r="R189" s="941" t="n"/>
      <c r="S189" s="941" t="n"/>
      <c r="T189" s="941" t="n"/>
      <c r="U189" s="941" t="n"/>
      <c r="V189" s="941" t="n"/>
      <c r="W189" s="941" t="n"/>
      <c r="X189" s="941" t="n"/>
      <c r="Y189" s="941" t="n"/>
      <c r="Z189" s="941" t="n"/>
      <c r="AA189" s="667" t="n"/>
      <c r="AB189" s="667" t="n"/>
      <c r="AC189" s="667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8" t="n">
        <v>4680115889033</v>
      </c>
      <c r="E190" s="951" t="n"/>
      <c r="F190" s="990" t="n">
        <v>0.11</v>
      </c>
      <c r="G190" s="35" t="n">
        <v>15</v>
      </c>
      <c r="H190" s="990" t="n">
        <v>1.65</v>
      </c>
      <c r="I190" s="990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5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92" t="n"/>
      <c r="R190" s="992" t="n"/>
      <c r="S190" s="992" t="n"/>
      <c r="T190" s="993" t="n"/>
      <c r="U190" s="37" t="inlineStr"/>
      <c r="V190" s="37" t="inlineStr"/>
      <c r="W190" s="38" t="inlineStr">
        <is>
          <t>кг</t>
        </is>
      </c>
      <c r="X190" s="994" t="n">
        <v>0</v>
      </c>
      <c r="Y190" s="995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7" t="n"/>
      <c r="B191" s="941" t="n"/>
      <c r="C191" s="941" t="n"/>
      <c r="D191" s="941" t="n"/>
      <c r="E191" s="941" t="n"/>
      <c r="F191" s="941" t="n"/>
      <c r="G191" s="941" t="n"/>
      <c r="H191" s="941" t="n"/>
      <c r="I191" s="941" t="n"/>
      <c r="J191" s="941" t="n"/>
      <c r="K191" s="941" t="n"/>
      <c r="L191" s="941" t="n"/>
      <c r="M191" s="941" t="n"/>
      <c r="N191" s="941" t="n"/>
      <c r="O191" s="997" t="n"/>
      <c r="P191" s="998" t="inlineStr">
        <is>
          <t>Итого</t>
        </is>
      </c>
      <c r="Q191" s="959" t="n"/>
      <c r="R191" s="959" t="n"/>
      <c r="S191" s="959" t="n"/>
      <c r="T191" s="959" t="n"/>
      <c r="U191" s="959" t="n"/>
      <c r="V191" s="960" t="n"/>
      <c r="W191" s="40" t="inlineStr">
        <is>
          <t>кор</t>
        </is>
      </c>
      <c r="X191" s="999">
        <f>IFERROR(X190/H190,"0")</f>
        <v/>
      </c>
      <c r="Y191" s="999">
        <f>IFERROR(Y190/H190,"0")</f>
        <v/>
      </c>
      <c r="Z191" s="999">
        <f>IFERROR(IF(Z190="",0,Z190),"0")</f>
        <v/>
      </c>
      <c r="AA191" s="1000" t="n"/>
      <c r="AB191" s="1000" t="n"/>
      <c r="AC191" s="1000" t="n"/>
    </row>
    <row r="192">
      <c r="A192" s="941" t="n"/>
      <c r="B192" s="941" t="n"/>
      <c r="C192" s="941" t="n"/>
      <c r="D192" s="941" t="n"/>
      <c r="E192" s="941" t="n"/>
      <c r="F192" s="941" t="n"/>
      <c r="G192" s="941" t="n"/>
      <c r="H192" s="941" t="n"/>
      <c r="I192" s="941" t="n"/>
      <c r="J192" s="941" t="n"/>
      <c r="K192" s="941" t="n"/>
      <c r="L192" s="941" t="n"/>
      <c r="M192" s="941" t="n"/>
      <c r="N192" s="941" t="n"/>
      <c r="O192" s="997" t="n"/>
      <c r="P192" s="998" t="inlineStr">
        <is>
          <t>Итого</t>
        </is>
      </c>
      <c r="Q192" s="959" t="n"/>
      <c r="R192" s="959" t="n"/>
      <c r="S192" s="959" t="n"/>
      <c r="T192" s="959" t="n"/>
      <c r="U192" s="959" t="n"/>
      <c r="V192" s="960" t="n"/>
      <c r="W192" s="40" t="inlineStr">
        <is>
          <t>кг</t>
        </is>
      </c>
      <c r="X192" s="999">
        <f>IFERROR(SUM(X190:X190),"0")</f>
        <v/>
      </c>
      <c r="Y192" s="999">
        <f>IFERROR(SUM(Y190:Y190),"0")</f>
        <v/>
      </c>
      <c r="Z192" s="40" t="n"/>
      <c r="AA192" s="1000" t="n"/>
      <c r="AB192" s="1000" t="n"/>
      <c r="AC192" s="1000" t="n"/>
    </row>
    <row r="193" ht="27.75" customHeight="1">
      <c r="A193" s="665" t="inlineStr">
        <is>
          <t>Стародворье</t>
        </is>
      </c>
      <c r="B193" s="989" t="n"/>
      <c r="C193" s="989" t="n"/>
      <c r="D193" s="989" t="n"/>
      <c r="E193" s="989" t="n"/>
      <c r="F193" s="989" t="n"/>
      <c r="G193" s="989" t="n"/>
      <c r="H193" s="989" t="n"/>
      <c r="I193" s="989" t="n"/>
      <c r="J193" s="989" t="n"/>
      <c r="K193" s="989" t="n"/>
      <c r="L193" s="989" t="n"/>
      <c r="M193" s="989" t="n"/>
      <c r="N193" s="989" t="n"/>
      <c r="O193" s="989" t="n"/>
      <c r="P193" s="989" t="n"/>
      <c r="Q193" s="989" t="n"/>
      <c r="R193" s="989" t="n"/>
      <c r="S193" s="989" t="n"/>
      <c r="T193" s="989" t="n"/>
      <c r="U193" s="989" t="n"/>
      <c r="V193" s="989" t="n"/>
      <c r="W193" s="989" t="n"/>
      <c r="X193" s="989" t="n"/>
      <c r="Y193" s="989" t="n"/>
      <c r="Z193" s="989" t="n"/>
      <c r="AA193" s="52" t="n"/>
      <c r="AB193" s="52" t="n"/>
      <c r="AC193" s="52" t="n"/>
    </row>
    <row r="194" ht="16.5" customHeight="1">
      <c r="A194" s="666" t="inlineStr">
        <is>
          <t>Золоченная в печи</t>
        </is>
      </c>
      <c r="B194" s="941" t="n"/>
      <c r="C194" s="941" t="n"/>
      <c r="D194" s="941" t="n"/>
      <c r="E194" s="941" t="n"/>
      <c r="F194" s="941" t="n"/>
      <c r="G194" s="941" t="n"/>
      <c r="H194" s="941" t="n"/>
      <c r="I194" s="941" t="n"/>
      <c r="J194" s="941" t="n"/>
      <c r="K194" s="941" t="n"/>
      <c r="L194" s="941" t="n"/>
      <c r="M194" s="941" t="n"/>
      <c r="N194" s="941" t="n"/>
      <c r="O194" s="941" t="n"/>
      <c r="P194" s="941" t="n"/>
      <c r="Q194" s="941" t="n"/>
      <c r="R194" s="941" t="n"/>
      <c r="S194" s="941" t="n"/>
      <c r="T194" s="941" t="n"/>
      <c r="U194" s="941" t="n"/>
      <c r="V194" s="941" t="n"/>
      <c r="W194" s="941" t="n"/>
      <c r="X194" s="941" t="n"/>
      <c r="Y194" s="941" t="n"/>
      <c r="Z194" s="941" t="n"/>
      <c r="AA194" s="666" t="n"/>
      <c r="AB194" s="666" t="n"/>
      <c r="AC194" s="666" t="n"/>
    </row>
    <row r="195" ht="14.25" customHeight="1">
      <c r="A195" s="667" t="inlineStr">
        <is>
          <t>Вареные колбасы</t>
        </is>
      </c>
      <c r="B195" s="941" t="n"/>
      <c r="C195" s="941" t="n"/>
      <c r="D195" s="941" t="n"/>
      <c r="E195" s="941" t="n"/>
      <c r="F195" s="941" t="n"/>
      <c r="G195" s="941" t="n"/>
      <c r="H195" s="941" t="n"/>
      <c r="I195" s="941" t="n"/>
      <c r="J195" s="941" t="n"/>
      <c r="K195" s="941" t="n"/>
      <c r="L195" s="941" t="n"/>
      <c r="M195" s="941" t="n"/>
      <c r="N195" s="941" t="n"/>
      <c r="O195" s="941" t="n"/>
      <c r="P195" s="941" t="n"/>
      <c r="Q195" s="941" t="n"/>
      <c r="R195" s="941" t="n"/>
      <c r="S195" s="941" t="n"/>
      <c r="T195" s="941" t="n"/>
      <c r="U195" s="941" t="n"/>
      <c r="V195" s="941" t="n"/>
      <c r="W195" s="941" t="n"/>
      <c r="X195" s="941" t="n"/>
      <c r="Y195" s="941" t="n"/>
      <c r="Z195" s="941" t="n"/>
      <c r="AA195" s="667" t="n"/>
      <c r="AB195" s="667" t="n"/>
      <c r="AC195" s="667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8" t="n">
        <v>4607091383423</v>
      </c>
      <c r="E196" s="951" t="n"/>
      <c r="F196" s="990" t="n">
        <v>1.35</v>
      </c>
      <c r="G196" s="35" t="n">
        <v>8</v>
      </c>
      <c r="H196" s="990" t="n">
        <v>10.8</v>
      </c>
      <c r="I196" s="990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6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92" t="n"/>
      <c r="R196" s="992" t="n"/>
      <c r="S196" s="992" t="n"/>
      <c r="T196" s="993" t="n"/>
      <c r="U196" s="37" t="inlineStr"/>
      <c r="V196" s="37" t="inlineStr"/>
      <c r="W196" s="38" t="inlineStr">
        <is>
          <t>кг</t>
        </is>
      </c>
      <c r="X196" s="994" t="n">
        <v>0</v>
      </c>
      <c r="Y196" s="995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8" t="n">
        <v>4680115886957</v>
      </c>
      <c r="E197" s="951" t="n"/>
      <c r="F197" s="990" t="n">
        <v>1.35</v>
      </c>
      <c r="G197" s="35" t="n">
        <v>8</v>
      </c>
      <c r="H197" s="990" t="n">
        <v>10.8</v>
      </c>
      <c r="I197" s="990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7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92" t="n"/>
      <c r="R197" s="992" t="n"/>
      <c r="S197" s="992" t="n"/>
      <c r="T197" s="993" t="n"/>
      <c r="U197" s="37" t="inlineStr"/>
      <c r="V197" s="37" t="inlineStr"/>
      <c r="W197" s="38" t="inlineStr">
        <is>
          <t>кг</t>
        </is>
      </c>
      <c r="X197" s="994" t="n">
        <v>0</v>
      </c>
      <c r="Y197" s="995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8" t="n">
        <v>4680115885660</v>
      </c>
      <c r="E198" s="951" t="n"/>
      <c r="F198" s="990" t="n">
        <v>1.35</v>
      </c>
      <c r="G198" s="35" t="n">
        <v>8</v>
      </c>
      <c r="H198" s="990" t="n">
        <v>10.8</v>
      </c>
      <c r="I198" s="990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8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92" t="n"/>
      <c r="R198" s="992" t="n"/>
      <c r="S198" s="992" t="n"/>
      <c r="T198" s="993" t="n"/>
      <c r="U198" s="37" t="inlineStr"/>
      <c r="V198" s="37" t="inlineStr"/>
      <c r="W198" s="38" t="inlineStr">
        <is>
          <t>кг</t>
        </is>
      </c>
      <c r="X198" s="994" t="n">
        <v>0</v>
      </c>
      <c r="Y198" s="995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8" t="n">
        <v>4680115886773</v>
      </c>
      <c r="E199" s="951" t="n"/>
      <c r="F199" s="990" t="n">
        <v>0.9</v>
      </c>
      <c r="G199" s="35" t="n">
        <v>10</v>
      </c>
      <c r="H199" s="990" t="n">
        <v>9</v>
      </c>
      <c r="I199" s="990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9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92" t="n"/>
      <c r="R199" s="992" t="n"/>
      <c r="S199" s="992" t="n"/>
      <c r="T199" s="993" t="n"/>
      <c r="U199" s="37" t="inlineStr"/>
      <c r="V199" s="37" t="inlineStr"/>
      <c r="W199" s="38" t="inlineStr">
        <is>
          <t>кг</t>
        </is>
      </c>
      <c r="X199" s="994" t="n">
        <v>0</v>
      </c>
      <c r="Y199" s="995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7" t="n"/>
      <c r="B200" s="941" t="n"/>
      <c r="C200" s="941" t="n"/>
      <c r="D200" s="941" t="n"/>
      <c r="E200" s="941" t="n"/>
      <c r="F200" s="941" t="n"/>
      <c r="G200" s="941" t="n"/>
      <c r="H200" s="941" t="n"/>
      <c r="I200" s="941" t="n"/>
      <c r="J200" s="941" t="n"/>
      <c r="K200" s="941" t="n"/>
      <c r="L200" s="941" t="n"/>
      <c r="M200" s="941" t="n"/>
      <c r="N200" s="941" t="n"/>
      <c r="O200" s="997" t="n"/>
      <c r="P200" s="998" t="inlineStr">
        <is>
          <t>Итого</t>
        </is>
      </c>
      <c r="Q200" s="959" t="n"/>
      <c r="R200" s="959" t="n"/>
      <c r="S200" s="959" t="n"/>
      <c r="T200" s="959" t="n"/>
      <c r="U200" s="959" t="n"/>
      <c r="V200" s="960" t="n"/>
      <c r="W200" s="40" t="inlineStr">
        <is>
          <t>кор</t>
        </is>
      </c>
      <c r="X200" s="999">
        <f>IFERROR(X196/H196,"0")+IFERROR(X197/H197,"0")+IFERROR(X198/H198,"0")+IFERROR(X199/H199,"0")</f>
        <v/>
      </c>
      <c r="Y200" s="999">
        <f>IFERROR(Y196/H196,"0")+IFERROR(Y197/H197,"0")+IFERROR(Y198/H198,"0")+IFERROR(Y199/H199,"0")</f>
        <v/>
      </c>
      <c r="Z200" s="999">
        <f>IFERROR(IF(Z196="",0,Z196),"0")+IFERROR(IF(Z197="",0,Z197),"0")+IFERROR(IF(Z198="",0,Z198),"0")+IFERROR(IF(Z199="",0,Z199),"0")</f>
        <v/>
      </c>
      <c r="AA200" s="1000" t="n"/>
      <c r="AB200" s="1000" t="n"/>
      <c r="AC200" s="1000" t="n"/>
    </row>
    <row r="201">
      <c r="A201" s="941" t="n"/>
      <c r="B201" s="941" t="n"/>
      <c r="C201" s="941" t="n"/>
      <c r="D201" s="941" t="n"/>
      <c r="E201" s="941" t="n"/>
      <c r="F201" s="941" t="n"/>
      <c r="G201" s="941" t="n"/>
      <c r="H201" s="941" t="n"/>
      <c r="I201" s="941" t="n"/>
      <c r="J201" s="941" t="n"/>
      <c r="K201" s="941" t="n"/>
      <c r="L201" s="941" t="n"/>
      <c r="M201" s="941" t="n"/>
      <c r="N201" s="941" t="n"/>
      <c r="O201" s="997" t="n"/>
      <c r="P201" s="998" t="inlineStr">
        <is>
          <t>Итого</t>
        </is>
      </c>
      <c r="Q201" s="959" t="n"/>
      <c r="R201" s="959" t="n"/>
      <c r="S201" s="959" t="n"/>
      <c r="T201" s="959" t="n"/>
      <c r="U201" s="959" t="n"/>
      <c r="V201" s="960" t="n"/>
      <c r="W201" s="40" t="inlineStr">
        <is>
          <t>кг</t>
        </is>
      </c>
      <c r="X201" s="999">
        <f>IFERROR(SUM(X196:X199),"0")</f>
        <v/>
      </c>
      <c r="Y201" s="999">
        <f>IFERROR(SUM(Y196:Y199),"0")</f>
        <v/>
      </c>
      <c r="Z201" s="40" t="n"/>
      <c r="AA201" s="1000" t="n"/>
      <c r="AB201" s="1000" t="n"/>
      <c r="AC201" s="1000" t="n"/>
    </row>
    <row r="202" ht="16.5" customHeight="1">
      <c r="A202" s="666" t="inlineStr">
        <is>
          <t>Мясорубская</t>
        </is>
      </c>
      <c r="B202" s="941" t="n"/>
      <c r="C202" s="941" t="n"/>
      <c r="D202" s="941" t="n"/>
      <c r="E202" s="941" t="n"/>
      <c r="F202" s="941" t="n"/>
      <c r="G202" s="941" t="n"/>
      <c r="H202" s="941" t="n"/>
      <c r="I202" s="941" t="n"/>
      <c r="J202" s="941" t="n"/>
      <c r="K202" s="941" t="n"/>
      <c r="L202" s="941" t="n"/>
      <c r="M202" s="941" t="n"/>
      <c r="N202" s="941" t="n"/>
      <c r="O202" s="941" t="n"/>
      <c r="P202" s="941" t="n"/>
      <c r="Q202" s="941" t="n"/>
      <c r="R202" s="941" t="n"/>
      <c r="S202" s="941" t="n"/>
      <c r="T202" s="941" t="n"/>
      <c r="U202" s="941" t="n"/>
      <c r="V202" s="941" t="n"/>
      <c r="W202" s="941" t="n"/>
      <c r="X202" s="941" t="n"/>
      <c r="Y202" s="941" t="n"/>
      <c r="Z202" s="941" t="n"/>
      <c r="AA202" s="666" t="n"/>
      <c r="AB202" s="666" t="n"/>
      <c r="AC202" s="666" t="n"/>
    </row>
    <row r="203" ht="14.25" customHeight="1">
      <c r="A203" s="667" t="inlineStr">
        <is>
          <t>Ветчины</t>
        </is>
      </c>
      <c r="B203" s="941" t="n"/>
      <c r="C203" s="941" t="n"/>
      <c r="D203" s="941" t="n"/>
      <c r="E203" s="941" t="n"/>
      <c r="F203" s="941" t="n"/>
      <c r="G203" s="941" t="n"/>
      <c r="H203" s="941" t="n"/>
      <c r="I203" s="941" t="n"/>
      <c r="J203" s="941" t="n"/>
      <c r="K203" s="941" t="n"/>
      <c r="L203" s="941" t="n"/>
      <c r="M203" s="941" t="n"/>
      <c r="N203" s="941" t="n"/>
      <c r="O203" s="941" t="n"/>
      <c r="P203" s="941" t="n"/>
      <c r="Q203" s="941" t="n"/>
      <c r="R203" s="941" t="n"/>
      <c r="S203" s="941" t="n"/>
      <c r="T203" s="941" t="n"/>
      <c r="U203" s="941" t="n"/>
      <c r="V203" s="941" t="n"/>
      <c r="W203" s="941" t="n"/>
      <c r="X203" s="941" t="n"/>
      <c r="Y203" s="941" t="n"/>
      <c r="Z203" s="941" t="n"/>
      <c r="AA203" s="667" t="n"/>
      <c r="AB203" s="667" t="n"/>
      <c r="AC203" s="667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8" t="n">
        <v>4680115886223</v>
      </c>
      <c r="E204" s="951" t="n"/>
      <c r="F204" s="990" t="n">
        <v>0.33</v>
      </c>
      <c r="G204" s="35" t="n">
        <v>6</v>
      </c>
      <c r="H204" s="990" t="n">
        <v>1.98</v>
      </c>
      <c r="I204" s="990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90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92" t="n"/>
      <c r="R204" s="992" t="n"/>
      <c r="S204" s="992" t="n"/>
      <c r="T204" s="993" t="n"/>
      <c r="U204" s="37" t="inlineStr"/>
      <c r="V204" s="37" t="inlineStr"/>
      <c r="W204" s="38" t="inlineStr">
        <is>
          <t>кг</t>
        </is>
      </c>
      <c r="X204" s="994" t="n">
        <v>0</v>
      </c>
      <c r="Y204" s="995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7" t="n"/>
      <c r="B205" s="941" t="n"/>
      <c r="C205" s="941" t="n"/>
      <c r="D205" s="941" t="n"/>
      <c r="E205" s="941" t="n"/>
      <c r="F205" s="941" t="n"/>
      <c r="G205" s="941" t="n"/>
      <c r="H205" s="941" t="n"/>
      <c r="I205" s="941" t="n"/>
      <c r="J205" s="941" t="n"/>
      <c r="K205" s="941" t="n"/>
      <c r="L205" s="941" t="n"/>
      <c r="M205" s="941" t="n"/>
      <c r="N205" s="941" t="n"/>
      <c r="O205" s="997" t="n"/>
      <c r="P205" s="998" t="inlineStr">
        <is>
          <t>Итого</t>
        </is>
      </c>
      <c r="Q205" s="959" t="n"/>
      <c r="R205" s="959" t="n"/>
      <c r="S205" s="959" t="n"/>
      <c r="T205" s="959" t="n"/>
      <c r="U205" s="959" t="n"/>
      <c r="V205" s="960" t="n"/>
      <c r="W205" s="40" t="inlineStr">
        <is>
          <t>кор</t>
        </is>
      </c>
      <c r="X205" s="999">
        <f>IFERROR(X204/H204,"0")</f>
        <v/>
      </c>
      <c r="Y205" s="999">
        <f>IFERROR(Y204/H204,"0")</f>
        <v/>
      </c>
      <c r="Z205" s="999">
        <f>IFERROR(IF(Z204="",0,Z204),"0")</f>
        <v/>
      </c>
      <c r="AA205" s="1000" t="n"/>
      <c r="AB205" s="1000" t="n"/>
      <c r="AC205" s="1000" t="n"/>
    </row>
    <row r="206">
      <c r="A206" s="941" t="n"/>
      <c r="B206" s="941" t="n"/>
      <c r="C206" s="941" t="n"/>
      <c r="D206" s="941" t="n"/>
      <c r="E206" s="941" t="n"/>
      <c r="F206" s="941" t="n"/>
      <c r="G206" s="941" t="n"/>
      <c r="H206" s="941" t="n"/>
      <c r="I206" s="941" t="n"/>
      <c r="J206" s="941" t="n"/>
      <c r="K206" s="941" t="n"/>
      <c r="L206" s="941" t="n"/>
      <c r="M206" s="941" t="n"/>
      <c r="N206" s="941" t="n"/>
      <c r="O206" s="997" t="n"/>
      <c r="P206" s="998" t="inlineStr">
        <is>
          <t>Итого</t>
        </is>
      </c>
      <c r="Q206" s="959" t="n"/>
      <c r="R206" s="959" t="n"/>
      <c r="S206" s="959" t="n"/>
      <c r="T206" s="959" t="n"/>
      <c r="U206" s="959" t="n"/>
      <c r="V206" s="960" t="n"/>
      <c r="W206" s="40" t="inlineStr">
        <is>
          <t>кг</t>
        </is>
      </c>
      <c r="X206" s="999">
        <f>IFERROR(SUM(X204:X204),"0")</f>
        <v/>
      </c>
      <c r="Y206" s="999">
        <f>IFERROR(SUM(Y204:Y204),"0")</f>
        <v/>
      </c>
      <c r="Z206" s="40" t="n"/>
      <c r="AA206" s="1000" t="n"/>
      <c r="AB206" s="1000" t="n"/>
      <c r="AC206" s="1000" t="n"/>
    </row>
    <row r="207" ht="14.25" customHeight="1">
      <c r="A207" s="667" t="inlineStr">
        <is>
          <t>Копченые колбасы</t>
        </is>
      </c>
      <c r="B207" s="941" t="n"/>
      <c r="C207" s="941" t="n"/>
      <c r="D207" s="941" t="n"/>
      <c r="E207" s="941" t="n"/>
      <c r="F207" s="941" t="n"/>
      <c r="G207" s="941" t="n"/>
      <c r="H207" s="941" t="n"/>
      <c r="I207" s="941" t="n"/>
      <c r="J207" s="941" t="n"/>
      <c r="K207" s="941" t="n"/>
      <c r="L207" s="941" t="n"/>
      <c r="M207" s="941" t="n"/>
      <c r="N207" s="941" t="n"/>
      <c r="O207" s="941" t="n"/>
      <c r="P207" s="941" t="n"/>
      <c r="Q207" s="941" t="n"/>
      <c r="R207" s="941" t="n"/>
      <c r="S207" s="941" t="n"/>
      <c r="T207" s="941" t="n"/>
      <c r="U207" s="941" t="n"/>
      <c r="V207" s="941" t="n"/>
      <c r="W207" s="941" t="n"/>
      <c r="X207" s="941" t="n"/>
      <c r="Y207" s="941" t="n"/>
      <c r="Z207" s="941" t="n"/>
      <c r="AA207" s="667" t="n"/>
      <c r="AB207" s="667" t="n"/>
      <c r="AC207" s="667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8" t="n">
        <v>4680115880993</v>
      </c>
      <c r="E208" s="951" t="n"/>
      <c r="F208" s="990" t="n">
        <v>0.7</v>
      </c>
      <c r="G208" s="35" t="n">
        <v>6</v>
      </c>
      <c r="H208" s="990" t="n">
        <v>4.2</v>
      </c>
      <c r="I208" s="990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91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92" t="n"/>
      <c r="R208" s="992" t="n"/>
      <c r="S208" s="992" t="n"/>
      <c r="T208" s="993" t="n"/>
      <c r="U208" s="37" t="inlineStr"/>
      <c r="V208" s="37" t="inlineStr"/>
      <c r="W208" s="38" t="inlineStr">
        <is>
          <t>кг</t>
        </is>
      </c>
      <c r="X208" s="994" t="n">
        <v>15</v>
      </c>
      <c r="Y208" s="995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8" t="n">
        <v>4680115881761</v>
      </c>
      <c r="E209" s="951" t="n"/>
      <c r="F209" s="990" t="n">
        <v>0.7</v>
      </c>
      <c r="G209" s="35" t="n">
        <v>6</v>
      </c>
      <c r="H209" s="990" t="n">
        <v>4.2</v>
      </c>
      <c r="I209" s="990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92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92" t="n"/>
      <c r="R209" s="992" t="n"/>
      <c r="S209" s="992" t="n"/>
      <c r="T209" s="993" t="n"/>
      <c r="U209" s="37" t="inlineStr"/>
      <c r="V209" s="37" t="inlineStr"/>
      <c r="W209" s="38" t="inlineStr">
        <is>
          <t>кг</t>
        </is>
      </c>
      <c r="X209" s="994" t="n">
        <v>0</v>
      </c>
      <c r="Y209" s="995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8" t="n">
        <v>4680115881563</v>
      </c>
      <c r="E210" s="951" t="n"/>
      <c r="F210" s="990" t="n">
        <v>0.7</v>
      </c>
      <c r="G210" s="35" t="n">
        <v>6</v>
      </c>
      <c r="H210" s="990" t="n">
        <v>4.2</v>
      </c>
      <c r="I210" s="990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3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92" t="n"/>
      <c r="R210" s="992" t="n"/>
      <c r="S210" s="992" t="n"/>
      <c r="T210" s="993" t="n"/>
      <c r="U210" s="37" t="inlineStr"/>
      <c r="V210" s="37" t="inlineStr"/>
      <c r="W210" s="38" t="inlineStr">
        <is>
          <t>кг</t>
        </is>
      </c>
      <c r="X210" s="994" t="n">
        <v>0</v>
      </c>
      <c r="Y210" s="995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8" t="n">
        <v>4680115887565</v>
      </c>
      <c r="E211" s="951" t="n"/>
      <c r="F211" s="990" t="n">
        <v>0.08</v>
      </c>
      <c r="G211" s="35" t="n">
        <v>10</v>
      </c>
      <c r="H211" s="990" t="n">
        <v>0.8</v>
      </c>
      <c r="I211" s="990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4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92" t="n"/>
      <c r="R211" s="992" t="n"/>
      <c r="S211" s="992" t="n"/>
      <c r="T211" s="993" t="n"/>
      <c r="U211" s="37" t="inlineStr"/>
      <c r="V211" s="37" t="inlineStr"/>
      <c r="W211" s="38" t="inlineStr">
        <is>
          <t>кг</t>
        </is>
      </c>
      <c r="X211" s="994" t="n">
        <v>0</v>
      </c>
      <c r="Y211" s="995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8" t="n">
        <v>4680115880986</v>
      </c>
      <c r="E212" s="951" t="n"/>
      <c r="F212" s="990" t="n">
        <v>0.35</v>
      </c>
      <c r="G212" s="35" t="n">
        <v>6</v>
      </c>
      <c r="H212" s="990" t="n">
        <v>2.1</v>
      </c>
      <c r="I212" s="990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5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92" t="n"/>
      <c r="R212" s="992" t="n"/>
      <c r="S212" s="992" t="n"/>
      <c r="T212" s="993" t="n"/>
      <c r="U212" s="37" t="inlineStr"/>
      <c r="V212" s="37" t="inlineStr"/>
      <c r="W212" s="38" t="inlineStr">
        <is>
          <t>кг</t>
        </is>
      </c>
      <c r="X212" s="994" t="n">
        <v>5.25</v>
      </c>
      <c r="Y212" s="995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8" t="n">
        <v>4680115887213</v>
      </c>
      <c r="E213" s="951" t="n"/>
      <c r="F213" s="990" t="n">
        <v>0.3</v>
      </c>
      <c r="G213" s="35" t="n">
        <v>6</v>
      </c>
      <c r="H213" s="990" t="n">
        <v>1.8</v>
      </c>
      <c r="I213" s="990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6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92" t="n"/>
      <c r="R213" s="992" t="n"/>
      <c r="S213" s="992" t="n"/>
      <c r="T213" s="993" t="n"/>
      <c r="U213" s="37" t="inlineStr"/>
      <c r="V213" s="37" t="inlineStr"/>
      <c r="W213" s="38" t="inlineStr">
        <is>
          <t>кг</t>
        </is>
      </c>
      <c r="X213" s="994" t="n">
        <v>0</v>
      </c>
      <c r="Y213" s="995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8" t="n">
        <v>4680115881785</v>
      </c>
      <c r="E214" s="951" t="n"/>
      <c r="F214" s="990" t="n">
        <v>0.35</v>
      </c>
      <c r="G214" s="35" t="n">
        <v>6</v>
      </c>
      <c r="H214" s="990" t="n">
        <v>2.1</v>
      </c>
      <c r="I214" s="990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7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92" t="n"/>
      <c r="R214" s="992" t="n"/>
      <c r="S214" s="992" t="n"/>
      <c r="T214" s="993" t="n"/>
      <c r="U214" s="37" t="inlineStr"/>
      <c r="V214" s="37" t="inlineStr"/>
      <c r="W214" s="38" t="inlineStr">
        <is>
          <t>кг</t>
        </is>
      </c>
      <c r="X214" s="994" t="n">
        <v>0</v>
      </c>
      <c r="Y214" s="995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8" t="n">
        <v>4680115888432</v>
      </c>
      <c r="E215" s="951" t="n"/>
      <c r="F215" s="990" t="n">
        <v>0.3</v>
      </c>
      <c r="G215" s="35" t="n">
        <v>6</v>
      </c>
      <c r="H215" s="990" t="n">
        <v>1.8</v>
      </c>
      <c r="I215" s="990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8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92" t="n"/>
      <c r="R215" s="992" t="n"/>
      <c r="S215" s="992" t="n"/>
      <c r="T215" s="993" t="n"/>
      <c r="U215" s="37" t="inlineStr"/>
      <c r="V215" s="37" t="inlineStr"/>
      <c r="W215" s="38" t="inlineStr">
        <is>
          <t>кг</t>
        </is>
      </c>
      <c r="X215" s="994" t="n">
        <v>0</v>
      </c>
      <c r="Y215" s="995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8" t="n">
        <v>4680115888104</v>
      </c>
      <c r="E216" s="951" t="n"/>
      <c r="F216" s="990" t="n">
        <v>0.35</v>
      </c>
      <c r="G216" s="35" t="n">
        <v>6</v>
      </c>
      <c r="H216" s="990" t="n">
        <v>2.1</v>
      </c>
      <c r="I216" s="990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9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92" t="n"/>
      <c r="R216" s="992" t="n"/>
      <c r="S216" s="992" t="n"/>
      <c r="T216" s="993" t="n"/>
      <c r="U216" s="37" t="inlineStr"/>
      <c r="V216" s="37" t="inlineStr"/>
      <c r="W216" s="38" t="inlineStr">
        <is>
          <t>кг</t>
        </is>
      </c>
      <c r="X216" s="994" t="n">
        <v>0</v>
      </c>
      <c r="Y216" s="995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8" t="n">
        <v>4680115886537</v>
      </c>
      <c r="E217" s="951" t="n"/>
      <c r="F217" s="990" t="n">
        <v>0.3</v>
      </c>
      <c r="G217" s="35" t="n">
        <v>6</v>
      </c>
      <c r="H217" s="990" t="n">
        <v>1.8</v>
      </c>
      <c r="I217" s="990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100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92" t="n"/>
      <c r="R217" s="992" t="n"/>
      <c r="S217" s="992" t="n"/>
      <c r="T217" s="993" t="n"/>
      <c r="U217" s="37" t="inlineStr"/>
      <c r="V217" s="37" t="inlineStr"/>
      <c r="W217" s="38" t="inlineStr">
        <is>
          <t>кг</t>
        </is>
      </c>
      <c r="X217" s="994" t="n">
        <v>0</v>
      </c>
      <c r="Y217" s="995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8" t="n">
        <v>4680115887596</v>
      </c>
      <c r="E218" s="951" t="n"/>
      <c r="F218" s="990" t="n">
        <v>0.08</v>
      </c>
      <c r="G218" s="35" t="n">
        <v>10</v>
      </c>
      <c r="H218" s="990" t="n">
        <v>0.8</v>
      </c>
      <c r="I218" s="990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101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92" t="n"/>
      <c r="R218" s="992" t="n"/>
      <c r="S218" s="992" t="n"/>
      <c r="T218" s="993" t="n"/>
      <c r="U218" s="37" t="inlineStr"/>
      <c r="V218" s="37" t="inlineStr"/>
      <c r="W218" s="38" t="inlineStr">
        <is>
          <t>кг</t>
        </is>
      </c>
      <c r="X218" s="994" t="n">
        <v>0</v>
      </c>
      <c r="Y218" s="995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8" t="n">
        <v>4680115881679</v>
      </c>
      <c r="E219" s="951" t="n"/>
      <c r="F219" s="990" t="n">
        <v>0.35</v>
      </c>
      <c r="G219" s="35" t="n">
        <v>6</v>
      </c>
      <c r="H219" s="990" t="n">
        <v>2.1</v>
      </c>
      <c r="I219" s="990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102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92" t="n"/>
      <c r="R219" s="992" t="n"/>
      <c r="S219" s="992" t="n"/>
      <c r="T219" s="993" t="n"/>
      <c r="U219" s="37" t="inlineStr"/>
      <c r="V219" s="37" t="inlineStr"/>
      <c r="W219" s="38" t="inlineStr">
        <is>
          <t>кг</t>
        </is>
      </c>
      <c r="X219" s="994" t="n">
        <v>0</v>
      </c>
      <c r="Y219" s="995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8" t="n">
        <v>4680115880191</v>
      </c>
      <c r="E220" s="951" t="n"/>
      <c r="F220" s="990" t="n">
        <v>0.4</v>
      </c>
      <c r="G220" s="35" t="n">
        <v>6</v>
      </c>
      <c r="H220" s="990" t="n">
        <v>2.4</v>
      </c>
      <c r="I220" s="990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3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92" t="n"/>
      <c r="R220" s="992" t="n"/>
      <c r="S220" s="992" t="n"/>
      <c r="T220" s="993" t="n"/>
      <c r="U220" s="37" t="inlineStr"/>
      <c r="V220" s="37" t="inlineStr"/>
      <c r="W220" s="38" t="inlineStr">
        <is>
          <t>кг</t>
        </is>
      </c>
      <c r="X220" s="994" t="n">
        <v>0</v>
      </c>
      <c r="Y220" s="995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8" t="n">
        <v>4680115883963</v>
      </c>
      <c r="E221" s="951" t="n"/>
      <c r="F221" s="990" t="n">
        <v>0.28</v>
      </c>
      <c r="G221" s="35" t="n">
        <v>6</v>
      </c>
      <c r="H221" s="990" t="n">
        <v>1.68</v>
      </c>
      <c r="I221" s="990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4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92" t="n"/>
      <c r="R221" s="992" t="n"/>
      <c r="S221" s="992" t="n"/>
      <c r="T221" s="993" t="n"/>
      <c r="U221" s="37" t="inlineStr"/>
      <c r="V221" s="37" t="inlineStr"/>
      <c r="W221" s="38" t="inlineStr">
        <is>
          <t>кг</t>
        </is>
      </c>
      <c r="X221" s="994" t="n">
        <v>0</v>
      </c>
      <c r="Y221" s="995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7" t="n"/>
      <c r="B222" s="941" t="n"/>
      <c r="C222" s="941" t="n"/>
      <c r="D222" s="941" t="n"/>
      <c r="E222" s="941" t="n"/>
      <c r="F222" s="941" t="n"/>
      <c r="G222" s="941" t="n"/>
      <c r="H222" s="941" t="n"/>
      <c r="I222" s="941" t="n"/>
      <c r="J222" s="941" t="n"/>
      <c r="K222" s="941" t="n"/>
      <c r="L222" s="941" t="n"/>
      <c r="M222" s="941" t="n"/>
      <c r="N222" s="941" t="n"/>
      <c r="O222" s="997" t="n"/>
      <c r="P222" s="998" t="inlineStr">
        <is>
          <t>Итого</t>
        </is>
      </c>
      <c r="Q222" s="959" t="n"/>
      <c r="R222" s="959" t="n"/>
      <c r="S222" s="959" t="n"/>
      <c r="T222" s="959" t="n"/>
      <c r="U222" s="959" t="n"/>
      <c r="V222" s="960" t="n"/>
      <c r="W222" s="40" t="inlineStr">
        <is>
          <t>кор</t>
        </is>
      </c>
      <c r="X222" s="999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9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9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1000" t="n"/>
      <c r="AB222" s="1000" t="n"/>
      <c r="AC222" s="1000" t="n"/>
    </row>
    <row r="223">
      <c r="A223" s="941" t="n"/>
      <c r="B223" s="941" t="n"/>
      <c r="C223" s="941" t="n"/>
      <c r="D223" s="941" t="n"/>
      <c r="E223" s="941" t="n"/>
      <c r="F223" s="941" t="n"/>
      <c r="G223" s="941" t="n"/>
      <c r="H223" s="941" t="n"/>
      <c r="I223" s="941" t="n"/>
      <c r="J223" s="941" t="n"/>
      <c r="K223" s="941" t="n"/>
      <c r="L223" s="941" t="n"/>
      <c r="M223" s="941" t="n"/>
      <c r="N223" s="941" t="n"/>
      <c r="O223" s="997" t="n"/>
      <c r="P223" s="998" t="inlineStr">
        <is>
          <t>Итого</t>
        </is>
      </c>
      <c r="Q223" s="959" t="n"/>
      <c r="R223" s="959" t="n"/>
      <c r="S223" s="959" t="n"/>
      <c r="T223" s="959" t="n"/>
      <c r="U223" s="959" t="n"/>
      <c r="V223" s="960" t="n"/>
      <c r="W223" s="40" t="inlineStr">
        <is>
          <t>кг</t>
        </is>
      </c>
      <c r="X223" s="999">
        <f>IFERROR(SUM(X208:X221),"0")</f>
        <v/>
      </c>
      <c r="Y223" s="999">
        <f>IFERROR(SUM(Y208:Y221),"0")</f>
        <v/>
      </c>
      <c r="Z223" s="40" t="n"/>
      <c r="AA223" s="1000" t="n"/>
      <c r="AB223" s="1000" t="n"/>
      <c r="AC223" s="1000" t="n"/>
    </row>
    <row r="224" ht="14.25" customHeight="1">
      <c r="A224" s="667" t="inlineStr">
        <is>
          <t>Сосиски</t>
        </is>
      </c>
      <c r="B224" s="941" t="n"/>
      <c r="C224" s="941" t="n"/>
      <c r="D224" s="941" t="n"/>
      <c r="E224" s="941" t="n"/>
      <c r="F224" s="941" t="n"/>
      <c r="G224" s="941" t="n"/>
      <c r="H224" s="941" t="n"/>
      <c r="I224" s="941" t="n"/>
      <c r="J224" s="941" t="n"/>
      <c r="K224" s="941" t="n"/>
      <c r="L224" s="941" t="n"/>
      <c r="M224" s="941" t="n"/>
      <c r="N224" s="941" t="n"/>
      <c r="O224" s="941" t="n"/>
      <c r="P224" s="941" t="n"/>
      <c r="Q224" s="941" t="n"/>
      <c r="R224" s="941" t="n"/>
      <c r="S224" s="941" t="n"/>
      <c r="T224" s="941" t="n"/>
      <c r="U224" s="941" t="n"/>
      <c r="V224" s="941" t="n"/>
      <c r="W224" s="941" t="n"/>
      <c r="X224" s="941" t="n"/>
      <c r="Y224" s="941" t="n"/>
      <c r="Z224" s="941" t="n"/>
      <c r="AA224" s="667" t="n"/>
      <c r="AB224" s="667" t="n"/>
      <c r="AC224" s="667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8" t="n">
        <v>4680115888951</v>
      </c>
      <c r="E225" s="951" t="n"/>
      <c r="F225" s="990" t="n">
        <v>0.36</v>
      </c>
      <c r="G225" s="35" t="n">
        <v>6</v>
      </c>
      <c r="H225" s="990" t="n">
        <v>2.16</v>
      </c>
      <c r="I225" s="990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5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92" t="n"/>
      <c r="R225" s="992" t="n"/>
      <c r="S225" s="992" t="n"/>
      <c r="T225" s="993" t="n"/>
      <c r="U225" s="37" t="inlineStr"/>
      <c r="V225" s="37" t="inlineStr"/>
      <c r="W225" s="38" t="inlineStr">
        <is>
          <t>кг</t>
        </is>
      </c>
      <c r="X225" s="994" t="n">
        <v>0</v>
      </c>
      <c r="Y225" s="995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8" t="n">
        <v>4680115888982</v>
      </c>
      <c r="E226" s="951" t="n"/>
      <c r="F226" s="990" t="n">
        <v>0.36</v>
      </c>
      <c r="G226" s="35" t="n">
        <v>6</v>
      </c>
      <c r="H226" s="990" t="n">
        <v>2.16</v>
      </c>
      <c r="I226" s="990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6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92" t="n"/>
      <c r="R226" s="992" t="n"/>
      <c r="S226" s="992" t="n"/>
      <c r="T226" s="993" t="n"/>
      <c r="U226" s="37" t="inlineStr"/>
      <c r="V226" s="37" t="inlineStr"/>
      <c r="W226" s="38" t="inlineStr">
        <is>
          <t>кг</t>
        </is>
      </c>
      <c r="X226" s="994" t="n">
        <v>0</v>
      </c>
      <c r="Y226" s="995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7" t="n"/>
      <c r="B227" s="941" t="n"/>
      <c r="C227" s="941" t="n"/>
      <c r="D227" s="941" t="n"/>
      <c r="E227" s="941" t="n"/>
      <c r="F227" s="941" t="n"/>
      <c r="G227" s="941" t="n"/>
      <c r="H227" s="941" t="n"/>
      <c r="I227" s="941" t="n"/>
      <c r="J227" s="941" t="n"/>
      <c r="K227" s="941" t="n"/>
      <c r="L227" s="941" t="n"/>
      <c r="M227" s="941" t="n"/>
      <c r="N227" s="941" t="n"/>
      <c r="O227" s="997" t="n"/>
      <c r="P227" s="998" t="inlineStr">
        <is>
          <t>Итого</t>
        </is>
      </c>
      <c r="Q227" s="959" t="n"/>
      <c r="R227" s="959" t="n"/>
      <c r="S227" s="959" t="n"/>
      <c r="T227" s="959" t="n"/>
      <c r="U227" s="959" t="n"/>
      <c r="V227" s="960" t="n"/>
      <c r="W227" s="40" t="inlineStr">
        <is>
          <t>кор</t>
        </is>
      </c>
      <c r="X227" s="999">
        <f>IFERROR(X225/H225,"0")+IFERROR(X226/H226,"0")</f>
        <v/>
      </c>
      <c r="Y227" s="999">
        <f>IFERROR(Y225/H225,"0")+IFERROR(Y226/H226,"0")</f>
        <v/>
      </c>
      <c r="Z227" s="999">
        <f>IFERROR(IF(Z225="",0,Z225),"0")+IFERROR(IF(Z226="",0,Z226),"0")</f>
        <v/>
      </c>
      <c r="AA227" s="1000" t="n"/>
      <c r="AB227" s="1000" t="n"/>
      <c r="AC227" s="1000" t="n"/>
    </row>
    <row r="228">
      <c r="A228" s="941" t="n"/>
      <c r="B228" s="941" t="n"/>
      <c r="C228" s="941" t="n"/>
      <c r="D228" s="941" t="n"/>
      <c r="E228" s="941" t="n"/>
      <c r="F228" s="941" t="n"/>
      <c r="G228" s="941" t="n"/>
      <c r="H228" s="941" t="n"/>
      <c r="I228" s="941" t="n"/>
      <c r="J228" s="941" t="n"/>
      <c r="K228" s="941" t="n"/>
      <c r="L228" s="941" t="n"/>
      <c r="M228" s="941" t="n"/>
      <c r="N228" s="941" t="n"/>
      <c r="O228" s="997" t="n"/>
      <c r="P228" s="998" t="inlineStr">
        <is>
          <t>Итого</t>
        </is>
      </c>
      <c r="Q228" s="959" t="n"/>
      <c r="R228" s="959" t="n"/>
      <c r="S228" s="959" t="n"/>
      <c r="T228" s="959" t="n"/>
      <c r="U228" s="959" t="n"/>
      <c r="V228" s="960" t="n"/>
      <c r="W228" s="40" t="inlineStr">
        <is>
          <t>кг</t>
        </is>
      </c>
      <c r="X228" s="999">
        <f>IFERROR(SUM(X225:X226),"0")</f>
        <v/>
      </c>
      <c r="Y228" s="999">
        <f>IFERROR(SUM(Y225:Y226),"0")</f>
        <v/>
      </c>
      <c r="Z228" s="40" t="n"/>
      <c r="AA228" s="1000" t="n"/>
      <c r="AB228" s="1000" t="n"/>
      <c r="AC228" s="1000" t="n"/>
    </row>
    <row r="229" ht="14.25" customHeight="1">
      <c r="A229" s="667" t="inlineStr">
        <is>
          <t>Сырокопченые колбасы</t>
        </is>
      </c>
      <c r="B229" s="941" t="n"/>
      <c r="C229" s="941" t="n"/>
      <c r="D229" s="941" t="n"/>
      <c r="E229" s="941" t="n"/>
      <c r="F229" s="941" t="n"/>
      <c r="G229" s="941" t="n"/>
      <c r="H229" s="941" t="n"/>
      <c r="I229" s="941" t="n"/>
      <c r="J229" s="941" t="n"/>
      <c r="K229" s="941" t="n"/>
      <c r="L229" s="941" t="n"/>
      <c r="M229" s="941" t="n"/>
      <c r="N229" s="941" t="n"/>
      <c r="O229" s="941" t="n"/>
      <c r="P229" s="941" t="n"/>
      <c r="Q229" s="941" t="n"/>
      <c r="R229" s="941" t="n"/>
      <c r="S229" s="941" t="n"/>
      <c r="T229" s="941" t="n"/>
      <c r="U229" s="941" t="n"/>
      <c r="V229" s="941" t="n"/>
      <c r="W229" s="941" t="n"/>
      <c r="X229" s="941" t="n"/>
      <c r="Y229" s="941" t="n"/>
      <c r="Z229" s="941" t="n"/>
      <c r="AA229" s="667" t="n"/>
      <c r="AB229" s="667" t="n"/>
      <c r="AC229" s="667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8" t="n">
        <v>4680115886780</v>
      </c>
      <c r="E230" s="951" t="n"/>
      <c r="F230" s="990" t="n">
        <v>0.07000000000000001</v>
      </c>
      <c r="G230" s="35" t="n">
        <v>18</v>
      </c>
      <c r="H230" s="990" t="n">
        <v>1.26</v>
      </c>
      <c r="I230" s="990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7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92" t="n"/>
      <c r="R230" s="992" t="n"/>
      <c r="S230" s="992" t="n"/>
      <c r="T230" s="993" t="n"/>
      <c r="U230" s="37" t="inlineStr"/>
      <c r="V230" s="37" t="inlineStr"/>
      <c r="W230" s="38" t="inlineStr">
        <is>
          <t>кг</t>
        </is>
      </c>
      <c r="X230" s="994" t="n">
        <v>0</v>
      </c>
      <c r="Y230" s="995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8" t="n">
        <v>4680115886742</v>
      </c>
      <c r="E231" s="951" t="n"/>
      <c r="F231" s="990" t="n">
        <v>0.07000000000000001</v>
      </c>
      <c r="G231" s="35" t="n">
        <v>18</v>
      </c>
      <c r="H231" s="990" t="n">
        <v>1.26</v>
      </c>
      <c r="I231" s="990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8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92" t="n"/>
      <c r="R231" s="992" t="n"/>
      <c r="S231" s="992" t="n"/>
      <c r="T231" s="993" t="n"/>
      <c r="U231" s="37" t="inlineStr"/>
      <c r="V231" s="37" t="inlineStr"/>
      <c r="W231" s="38" t="inlineStr">
        <is>
          <t>кг</t>
        </is>
      </c>
      <c r="X231" s="994" t="n">
        <v>0</v>
      </c>
      <c r="Y231" s="995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8" t="n">
        <v>4680115886766</v>
      </c>
      <c r="E232" s="951" t="n"/>
      <c r="F232" s="990" t="n">
        <v>0.07000000000000001</v>
      </c>
      <c r="G232" s="35" t="n">
        <v>18</v>
      </c>
      <c r="H232" s="990" t="n">
        <v>1.26</v>
      </c>
      <c r="I232" s="990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9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92" t="n"/>
      <c r="R232" s="992" t="n"/>
      <c r="S232" s="992" t="n"/>
      <c r="T232" s="993" t="n"/>
      <c r="U232" s="37" t="inlineStr"/>
      <c r="V232" s="37" t="inlineStr"/>
      <c r="W232" s="38" t="inlineStr">
        <is>
          <t>кг</t>
        </is>
      </c>
      <c r="X232" s="994" t="n">
        <v>0</v>
      </c>
      <c r="Y232" s="995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7" t="n"/>
      <c r="B233" s="941" t="n"/>
      <c r="C233" s="941" t="n"/>
      <c r="D233" s="941" t="n"/>
      <c r="E233" s="941" t="n"/>
      <c r="F233" s="941" t="n"/>
      <c r="G233" s="941" t="n"/>
      <c r="H233" s="941" t="n"/>
      <c r="I233" s="941" t="n"/>
      <c r="J233" s="941" t="n"/>
      <c r="K233" s="941" t="n"/>
      <c r="L233" s="941" t="n"/>
      <c r="M233" s="941" t="n"/>
      <c r="N233" s="941" t="n"/>
      <c r="O233" s="997" t="n"/>
      <c r="P233" s="998" t="inlineStr">
        <is>
          <t>Итого</t>
        </is>
      </c>
      <c r="Q233" s="959" t="n"/>
      <c r="R233" s="959" t="n"/>
      <c r="S233" s="959" t="n"/>
      <c r="T233" s="959" t="n"/>
      <c r="U233" s="959" t="n"/>
      <c r="V233" s="960" t="n"/>
      <c r="W233" s="40" t="inlineStr">
        <is>
          <t>кор</t>
        </is>
      </c>
      <c r="X233" s="999">
        <f>IFERROR(X230/H230,"0")+IFERROR(X231/H231,"0")+IFERROR(X232/H232,"0")</f>
        <v/>
      </c>
      <c r="Y233" s="999">
        <f>IFERROR(Y230/H230,"0")+IFERROR(Y231/H231,"0")+IFERROR(Y232/H232,"0")</f>
        <v/>
      </c>
      <c r="Z233" s="999">
        <f>IFERROR(IF(Z230="",0,Z230),"0")+IFERROR(IF(Z231="",0,Z231),"0")+IFERROR(IF(Z232="",0,Z232),"0")</f>
        <v/>
      </c>
      <c r="AA233" s="1000" t="n"/>
      <c r="AB233" s="1000" t="n"/>
      <c r="AC233" s="1000" t="n"/>
    </row>
    <row r="234">
      <c r="A234" s="941" t="n"/>
      <c r="B234" s="941" t="n"/>
      <c r="C234" s="941" t="n"/>
      <c r="D234" s="941" t="n"/>
      <c r="E234" s="941" t="n"/>
      <c r="F234" s="941" t="n"/>
      <c r="G234" s="941" t="n"/>
      <c r="H234" s="941" t="n"/>
      <c r="I234" s="941" t="n"/>
      <c r="J234" s="941" t="n"/>
      <c r="K234" s="941" t="n"/>
      <c r="L234" s="941" t="n"/>
      <c r="M234" s="941" t="n"/>
      <c r="N234" s="941" t="n"/>
      <c r="O234" s="997" t="n"/>
      <c r="P234" s="998" t="inlineStr">
        <is>
          <t>Итого</t>
        </is>
      </c>
      <c r="Q234" s="959" t="n"/>
      <c r="R234" s="959" t="n"/>
      <c r="S234" s="959" t="n"/>
      <c r="T234" s="959" t="n"/>
      <c r="U234" s="959" t="n"/>
      <c r="V234" s="960" t="n"/>
      <c r="W234" s="40" t="inlineStr">
        <is>
          <t>кг</t>
        </is>
      </c>
      <c r="X234" s="999">
        <f>IFERROR(SUM(X230:X232),"0")</f>
        <v/>
      </c>
      <c r="Y234" s="999">
        <f>IFERROR(SUM(Y230:Y232),"0")</f>
        <v/>
      </c>
      <c r="Z234" s="40" t="n"/>
      <c r="AA234" s="1000" t="n"/>
      <c r="AB234" s="1000" t="n"/>
      <c r="AC234" s="1000" t="n"/>
    </row>
    <row r="235" ht="14.25" customHeight="1">
      <c r="A235" s="667" t="inlineStr">
        <is>
          <t>Сыровяленые колбасы</t>
        </is>
      </c>
      <c r="B235" s="941" t="n"/>
      <c r="C235" s="941" t="n"/>
      <c r="D235" s="941" t="n"/>
      <c r="E235" s="941" t="n"/>
      <c r="F235" s="941" t="n"/>
      <c r="G235" s="941" t="n"/>
      <c r="H235" s="941" t="n"/>
      <c r="I235" s="941" t="n"/>
      <c r="J235" s="941" t="n"/>
      <c r="K235" s="941" t="n"/>
      <c r="L235" s="941" t="n"/>
      <c r="M235" s="941" t="n"/>
      <c r="N235" s="941" t="n"/>
      <c r="O235" s="941" t="n"/>
      <c r="P235" s="941" t="n"/>
      <c r="Q235" s="941" t="n"/>
      <c r="R235" s="941" t="n"/>
      <c r="S235" s="941" t="n"/>
      <c r="T235" s="941" t="n"/>
      <c r="U235" s="941" t="n"/>
      <c r="V235" s="941" t="n"/>
      <c r="W235" s="941" t="n"/>
      <c r="X235" s="941" t="n"/>
      <c r="Y235" s="941" t="n"/>
      <c r="Z235" s="941" t="n"/>
      <c r="AA235" s="667" t="n"/>
      <c r="AB235" s="667" t="n"/>
      <c r="AC235" s="667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8" t="n">
        <v>4680115886797</v>
      </c>
      <c r="E236" s="951" t="n"/>
      <c r="F236" s="990" t="n">
        <v>0.07000000000000001</v>
      </c>
      <c r="G236" s="35" t="n">
        <v>18</v>
      </c>
      <c r="H236" s="990" t="n">
        <v>1.26</v>
      </c>
      <c r="I236" s="990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10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92" t="n"/>
      <c r="R236" s="992" t="n"/>
      <c r="S236" s="992" t="n"/>
      <c r="T236" s="993" t="n"/>
      <c r="U236" s="37" t="inlineStr"/>
      <c r="V236" s="37" t="inlineStr"/>
      <c r="W236" s="38" t="inlineStr">
        <is>
          <t>кг</t>
        </is>
      </c>
      <c r="X236" s="994" t="n">
        <v>0</v>
      </c>
      <c r="Y236" s="995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7" t="n"/>
      <c r="B237" s="941" t="n"/>
      <c r="C237" s="941" t="n"/>
      <c r="D237" s="941" t="n"/>
      <c r="E237" s="941" t="n"/>
      <c r="F237" s="941" t="n"/>
      <c r="G237" s="941" t="n"/>
      <c r="H237" s="941" t="n"/>
      <c r="I237" s="941" t="n"/>
      <c r="J237" s="941" t="n"/>
      <c r="K237" s="941" t="n"/>
      <c r="L237" s="941" t="n"/>
      <c r="M237" s="941" t="n"/>
      <c r="N237" s="941" t="n"/>
      <c r="O237" s="997" t="n"/>
      <c r="P237" s="998" t="inlineStr">
        <is>
          <t>Итого</t>
        </is>
      </c>
      <c r="Q237" s="959" t="n"/>
      <c r="R237" s="959" t="n"/>
      <c r="S237" s="959" t="n"/>
      <c r="T237" s="959" t="n"/>
      <c r="U237" s="959" t="n"/>
      <c r="V237" s="960" t="n"/>
      <c r="W237" s="40" t="inlineStr">
        <is>
          <t>кор</t>
        </is>
      </c>
      <c r="X237" s="999">
        <f>IFERROR(X236/H236,"0")</f>
        <v/>
      </c>
      <c r="Y237" s="999">
        <f>IFERROR(Y236/H236,"0")</f>
        <v/>
      </c>
      <c r="Z237" s="999">
        <f>IFERROR(IF(Z236="",0,Z236),"0")</f>
        <v/>
      </c>
      <c r="AA237" s="1000" t="n"/>
      <c r="AB237" s="1000" t="n"/>
      <c r="AC237" s="1000" t="n"/>
    </row>
    <row r="238">
      <c r="A238" s="941" t="n"/>
      <c r="B238" s="941" t="n"/>
      <c r="C238" s="941" t="n"/>
      <c r="D238" s="941" t="n"/>
      <c r="E238" s="941" t="n"/>
      <c r="F238" s="941" t="n"/>
      <c r="G238" s="941" t="n"/>
      <c r="H238" s="941" t="n"/>
      <c r="I238" s="941" t="n"/>
      <c r="J238" s="941" t="n"/>
      <c r="K238" s="941" t="n"/>
      <c r="L238" s="941" t="n"/>
      <c r="M238" s="941" t="n"/>
      <c r="N238" s="941" t="n"/>
      <c r="O238" s="997" t="n"/>
      <c r="P238" s="998" t="inlineStr">
        <is>
          <t>Итого</t>
        </is>
      </c>
      <c r="Q238" s="959" t="n"/>
      <c r="R238" s="959" t="n"/>
      <c r="S238" s="959" t="n"/>
      <c r="T238" s="959" t="n"/>
      <c r="U238" s="959" t="n"/>
      <c r="V238" s="960" t="n"/>
      <c r="W238" s="40" t="inlineStr">
        <is>
          <t>кг</t>
        </is>
      </c>
      <c r="X238" s="999">
        <f>IFERROR(SUM(X236:X236),"0")</f>
        <v/>
      </c>
      <c r="Y238" s="999">
        <f>IFERROR(SUM(Y236:Y236),"0")</f>
        <v/>
      </c>
      <c r="Z238" s="40" t="n"/>
      <c r="AA238" s="1000" t="n"/>
      <c r="AB238" s="1000" t="n"/>
      <c r="AC238" s="1000" t="n"/>
    </row>
    <row r="239" ht="16.5" customHeight="1">
      <c r="A239" s="666" t="inlineStr">
        <is>
          <t>Сочинка</t>
        </is>
      </c>
      <c r="B239" s="941" t="n"/>
      <c r="C239" s="941" t="n"/>
      <c r="D239" s="941" t="n"/>
      <c r="E239" s="941" t="n"/>
      <c r="F239" s="941" t="n"/>
      <c r="G239" s="941" t="n"/>
      <c r="H239" s="941" t="n"/>
      <c r="I239" s="941" t="n"/>
      <c r="J239" s="941" t="n"/>
      <c r="K239" s="941" t="n"/>
      <c r="L239" s="941" t="n"/>
      <c r="M239" s="941" t="n"/>
      <c r="N239" s="941" t="n"/>
      <c r="O239" s="941" t="n"/>
      <c r="P239" s="941" t="n"/>
      <c r="Q239" s="941" t="n"/>
      <c r="R239" s="941" t="n"/>
      <c r="S239" s="941" t="n"/>
      <c r="T239" s="941" t="n"/>
      <c r="U239" s="941" t="n"/>
      <c r="V239" s="941" t="n"/>
      <c r="W239" s="941" t="n"/>
      <c r="X239" s="941" t="n"/>
      <c r="Y239" s="941" t="n"/>
      <c r="Z239" s="941" t="n"/>
      <c r="AA239" s="666" t="n"/>
      <c r="AB239" s="666" t="n"/>
      <c r="AC239" s="666" t="n"/>
    </row>
    <row r="240" ht="14.25" customHeight="1">
      <c r="A240" s="667" t="inlineStr">
        <is>
          <t>Вареные колбасы</t>
        </is>
      </c>
      <c r="B240" s="941" t="n"/>
      <c r="C240" s="941" t="n"/>
      <c r="D240" s="941" t="n"/>
      <c r="E240" s="941" t="n"/>
      <c r="F240" s="941" t="n"/>
      <c r="G240" s="941" t="n"/>
      <c r="H240" s="941" t="n"/>
      <c r="I240" s="941" t="n"/>
      <c r="J240" s="941" t="n"/>
      <c r="K240" s="941" t="n"/>
      <c r="L240" s="941" t="n"/>
      <c r="M240" s="941" t="n"/>
      <c r="N240" s="941" t="n"/>
      <c r="O240" s="941" t="n"/>
      <c r="P240" s="941" t="n"/>
      <c r="Q240" s="941" t="n"/>
      <c r="R240" s="941" t="n"/>
      <c r="S240" s="941" t="n"/>
      <c r="T240" s="941" t="n"/>
      <c r="U240" s="941" t="n"/>
      <c r="V240" s="941" t="n"/>
      <c r="W240" s="941" t="n"/>
      <c r="X240" s="941" t="n"/>
      <c r="Y240" s="941" t="n"/>
      <c r="Z240" s="941" t="n"/>
      <c r="AA240" s="667" t="n"/>
      <c r="AB240" s="667" t="n"/>
      <c r="AC240" s="667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8" t="n">
        <v>4680115881402</v>
      </c>
      <c r="E241" s="951" t="n"/>
      <c r="F241" s="990" t="n">
        <v>1.35</v>
      </c>
      <c r="G241" s="35" t="n">
        <v>8</v>
      </c>
      <c r="H241" s="990" t="n">
        <v>10.8</v>
      </c>
      <c r="I241" s="990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11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92" t="n"/>
      <c r="R241" s="992" t="n"/>
      <c r="S241" s="992" t="n"/>
      <c r="T241" s="993" t="n"/>
      <c r="U241" s="37" t="inlineStr"/>
      <c r="V241" s="37" t="inlineStr"/>
      <c r="W241" s="38" t="inlineStr">
        <is>
          <t>кг</t>
        </is>
      </c>
      <c r="X241" s="994" t="n">
        <v>0</v>
      </c>
      <c r="Y241" s="995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8" t="n">
        <v>4680115881396</v>
      </c>
      <c r="E242" s="951" t="n"/>
      <c r="F242" s="990" t="n">
        <v>0.45</v>
      </c>
      <c r="G242" s="35" t="n">
        <v>6</v>
      </c>
      <c r="H242" s="990" t="n">
        <v>2.7</v>
      </c>
      <c r="I242" s="990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12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92" t="n"/>
      <c r="R242" s="992" t="n"/>
      <c r="S242" s="992" t="n"/>
      <c r="T242" s="993" t="n"/>
      <c r="U242" s="37" t="inlineStr"/>
      <c r="V242" s="37" t="inlineStr"/>
      <c r="W242" s="38" t="inlineStr">
        <is>
          <t>кг</t>
        </is>
      </c>
      <c r="X242" s="994" t="n">
        <v>0</v>
      </c>
      <c r="Y242" s="995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7" t="n"/>
      <c r="B243" s="941" t="n"/>
      <c r="C243" s="941" t="n"/>
      <c r="D243" s="941" t="n"/>
      <c r="E243" s="941" t="n"/>
      <c r="F243" s="941" t="n"/>
      <c r="G243" s="941" t="n"/>
      <c r="H243" s="941" t="n"/>
      <c r="I243" s="941" t="n"/>
      <c r="J243" s="941" t="n"/>
      <c r="K243" s="941" t="n"/>
      <c r="L243" s="941" t="n"/>
      <c r="M243" s="941" t="n"/>
      <c r="N243" s="941" t="n"/>
      <c r="O243" s="997" t="n"/>
      <c r="P243" s="998" t="inlineStr">
        <is>
          <t>Итого</t>
        </is>
      </c>
      <c r="Q243" s="959" t="n"/>
      <c r="R243" s="959" t="n"/>
      <c r="S243" s="959" t="n"/>
      <c r="T243" s="959" t="n"/>
      <c r="U243" s="959" t="n"/>
      <c r="V243" s="960" t="n"/>
      <c r="W243" s="40" t="inlineStr">
        <is>
          <t>кор</t>
        </is>
      </c>
      <c r="X243" s="999">
        <f>IFERROR(X241/H241,"0")+IFERROR(X242/H242,"0")</f>
        <v/>
      </c>
      <c r="Y243" s="999">
        <f>IFERROR(Y241/H241,"0")+IFERROR(Y242/H242,"0")</f>
        <v/>
      </c>
      <c r="Z243" s="999">
        <f>IFERROR(IF(Z241="",0,Z241),"0")+IFERROR(IF(Z242="",0,Z242),"0")</f>
        <v/>
      </c>
      <c r="AA243" s="1000" t="n"/>
      <c r="AB243" s="1000" t="n"/>
      <c r="AC243" s="1000" t="n"/>
    </row>
    <row r="244">
      <c r="A244" s="941" t="n"/>
      <c r="B244" s="941" t="n"/>
      <c r="C244" s="941" t="n"/>
      <c r="D244" s="941" t="n"/>
      <c r="E244" s="941" t="n"/>
      <c r="F244" s="941" t="n"/>
      <c r="G244" s="941" t="n"/>
      <c r="H244" s="941" t="n"/>
      <c r="I244" s="941" t="n"/>
      <c r="J244" s="941" t="n"/>
      <c r="K244" s="941" t="n"/>
      <c r="L244" s="941" t="n"/>
      <c r="M244" s="941" t="n"/>
      <c r="N244" s="941" t="n"/>
      <c r="O244" s="997" t="n"/>
      <c r="P244" s="998" t="inlineStr">
        <is>
          <t>Итого</t>
        </is>
      </c>
      <c r="Q244" s="959" t="n"/>
      <c r="R244" s="959" t="n"/>
      <c r="S244" s="959" t="n"/>
      <c r="T244" s="959" t="n"/>
      <c r="U244" s="959" t="n"/>
      <c r="V244" s="960" t="n"/>
      <c r="W244" s="40" t="inlineStr">
        <is>
          <t>кг</t>
        </is>
      </c>
      <c r="X244" s="999">
        <f>IFERROR(SUM(X241:X242),"0")</f>
        <v/>
      </c>
      <c r="Y244" s="999">
        <f>IFERROR(SUM(Y241:Y242),"0")</f>
        <v/>
      </c>
      <c r="Z244" s="40" t="n"/>
      <c r="AA244" s="1000" t="n"/>
      <c r="AB244" s="1000" t="n"/>
      <c r="AC244" s="1000" t="n"/>
    </row>
    <row r="245" ht="14.25" customHeight="1">
      <c r="A245" s="667" t="inlineStr">
        <is>
          <t>Ветчины</t>
        </is>
      </c>
      <c r="B245" s="941" t="n"/>
      <c r="C245" s="941" t="n"/>
      <c r="D245" s="941" t="n"/>
      <c r="E245" s="941" t="n"/>
      <c r="F245" s="941" t="n"/>
      <c r="G245" s="941" t="n"/>
      <c r="H245" s="941" t="n"/>
      <c r="I245" s="941" t="n"/>
      <c r="J245" s="941" t="n"/>
      <c r="K245" s="941" t="n"/>
      <c r="L245" s="941" t="n"/>
      <c r="M245" s="941" t="n"/>
      <c r="N245" s="941" t="n"/>
      <c r="O245" s="941" t="n"/>
      <c r="P245" s="941" t="n"/>
      <c r="Q245" s="941" t="n"/>
      <c r="R245" s="941" t="n"/>
      <c r="S245" s="941" t="n"/>
      <c r="T245" s="941" t="n"/>
      <c r="U245" s="941" t="n"/>
      <c r="V245" s="941" t="n"/>
      <c r="W245" s="941" t="n"/>
      <c r="X245" s="941" t="n"/>
      <c r="Y245" s="941" t="n"/>
      <c r="Z245" s="941" t="n"/>
      <c r="AA245" s="667" t="n"/>
      <c r="AB245" s="667" t="n"/>
      <c r="AC245" s="667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8" t="n">
        <v>4680115882935</v>
      </c>
      <c r="E246" s="951" t="n"/>
      <c r="F246" s="990" t="n">
        <v>1.35</v>
      </c>
      <c r="G246" s="35" t="n">
        <v>8</v>
      </c>
      <c r="H246" s="990" t="n">
        <v>10.8</v>
      </c>
      <c r="I246" s="990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3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92" t="n"/>
      <c r="R246" s="992" t="n"/>
      <c r="S246" s="992" t="n"/>
      <c r="T246" s="993" t="n"/>
      <c r="U246" s="37" t="inlineStr"/>
      <c r="V246" s="37" t="inlineStr"/>
      <c r="W246" s="38" t="inlineStr">
        <is>
          <t>кг</t>
        </is>
      </c>
      <c r="X246" s="994" t="n">
        <v>0</v>
      </c>
      <c r="Y246" s="995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8" t="n">
        <v>4680115880764</v>
      </c>
      <c r="E247" s="951" t="n"/>
      <c r="F247" s="990" t="n">
        <v>0.35</v>
      </c>
      <c r="G247" s="35" t="n">
        <v>6</v>
      </c>
      <c r="H247" s="990" t="n">
        <v>2.1</v>
      </c>
      <c r="I247" s="990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4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92" t="n"/>
      <c r="R247" s="992" t="n"/>
      <c r="S247" s="992" t="n"/>
      <c r="T247" s="993" t="n"/>
      <c r="U247" s="37" t="inlineStr"/>
      <c r="V247" s="37" t="inlineStr"/>
      <c r="W247" s="38" t="inlineStr">
        <is>
          <t>кг</t>
        </is>
      </c>
      <c r="X247" s="994" t="n">
        <v>0</v>
      </c>
      <c r="Y247" s="995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7" t="n"/>
      <c r="B248" s="941" t="n"/>
      <c r="C248" s="941" t="n"/>
      <c r="D248" s="941" t="n"/>
      <c r="E248" s="941" t="n"/>
      <c r="F248" s="941" t="n"/>
      <c r="G248" s="941" t="n"/>
      <c r="H248" s="941" t="n"/>
      <c r="I248" s="941" t="n"/>
      <c r="J248" s="941" t="n"/>
      <c r="K248" s="941" t="n"/>
      <c r="L248" s="941" t="n"/>
      <c r="M248" s="941" t="n"/>
      <c r="N248" s="941" t="n"/>
      <c r="O248" s="997" t="n"/>
      <c r="P248" s="998" t="inlineStr">
        <is>
          <t>Итого</t>
        </is>
      </c>
      <c r="Q248" s="959" t="n"/>
      <c r="R248" s="959" t="n"/>
      <c r="S248" s="959" t="n"/>
      <c r="T248" s="959" t="n"/>
      <c r="U248" s="959" t="n"/>
      <c r="V248" s="960" t="n"/>
      <c r="W248" s="40" t="inlineStr">
        <is>
          <t>кор</t>
        </is>
      </c>
      <c r="X248" s="999">
        <f>IFERROR(X246/H246,"0")+IFERROR(X247/H247,"0")</f>
        <v/>
      </c>
      <c r="Y248" s="999">
        <f>IFERROR(Y246/H246,"0")+IFERROR(Y247/H247,"0")</f>
        <v/>
      </c>
      <c r="Z248" s="999">
        <f>IFERROR(IF(Z246="",0,Z246),"0")+IFERROR(IF(Z247="",0,Z247),"0")</f>
        <v/>
      </c>
      <c r="AA248" s="1000" t="n"/>
      <c r="AB248" s="1000" t="n"/>
      <c r="AC248" s="1000" t="n"/>
    </row>
    <row r="249">
      <c r="A249" s="941" t="n"/>
      <c r="B249" s="941" t="n"/>
      <c r="C249" s="941" t="n"/>
      <c r="D249" s="941" t="n"/>
      <c r="E249" s="941" t="n"/>
      <c r="F249" s="941" t="n"/>
      <c r="G249" s="941" t="n"/>
      <c r="H249" s="941" t="n"/>
      <c r="I249" s="941" t="n"/>
      <c r="J249" s="941" t="n"/>
      <c r="K249" s="941" t="n"/>
      <c r="L249" s="941" t="n"/>
      <c r="M249" s="941" t="n"/>
      <c r="N249" s="941" t="n"/>
      <c r="O249" s="997" t="n"/>
      <c r="P249" s="998" t="inlineStr">
        <is>
          <t>Итого</t>
        </is>
      </c>
      <c r="Q249" s="959" t="n"/>
      <c r="R249" s="959" t="n"/>
      <c r="S249" s="959" t="n"/>
      <c r="T249" s="959" t="n"/>
      <c r="U249" s="959" t="n"/>
      <c r="V249" s="960" t="n"/>
      <c r="W249" s="40" t="inlineStr">
        <is>
          <t>кг</t>
        </is>
      </c>
      <c r="X249" s="999">
        <f>IFERROR(SUM(X246:X247),"0")</f>
        <v/>
      </c>
      <c r="Y249" s="999">
        <f>IFERROR(SUM(Y246:Y247),"0")</f>
        <v/>
      </c>
      <c r="Z249" s="40" t="n"/>
      <c r="AA249" s="1000" t="n"/>
      <c r="AB249" s="1000" t="n"/>
      <c r="AC249" s="1000" t="n"/>
    </row>
    <row r="250" ht="14.25" customHeight="1">
      <c r="A250" s="667" t="inlineStr">
        <is>
          <t>Копченые колбасы</t>
        </is>
      </c>
      <c r="B250" s="941" t="n"/>
      <c r="C250" s="941" t="n"/>
      <c r="D250" s="941" t="n"/>
      <c r="E250" s="941" t="n"/>
      <c r="F250" s="941" t="n"/>
      <c r="G250" s="941" t="n"/>
      <c r="H250" s="941" t="n"/>
      <c r="I250" s="941" t="n"/>
      <c r="J250" s="941" t="n"/>
      <c r="K250" s="941" t="n"/>
      <c r="L250" s="941" t="n"/>
      <c r="M250" s="941" t="n"/>
      <c r="N250" s="941" t="n"/>
      <c r="O250" s="941" t="n"/>
      <c r="P250" s="941" t="n"/>
      <c r="Q250" s="941" t="n"/>
      <c r="R250" s="941" t="n"/>
      <c r="S250" s="941" t="n"/>
      <c r="T250" s="941" t="n"/>
      <c r="U250" s="941" t="n"/>
      <c r="V250" s="941" t="n"/>
      <c r="W250" s="941" t="n"/>
      <c r="X250" s="941" t="n"/>
      <c r="Y250" s="941" t="n"/>
      <c r="Z250" s="941" t="n"/>
      <c r="AA250" s="667" t="n"/>
      <c r="AB250" s="667" t="n"/>
      <c r="AC250" s="667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8" t="n">
        <v>4680115882683</v>
      </c>
      <c r="E251" s="951" t="n"/>
      <c r="F251" s="990" t="n">
        <v>0.9</v>
      </c>
      <c r="G251" s="35" t="n">
        <v>6</v>
      </c>
      <c r="H251" s="990" t="n">
        <v>5.4</v>
      </c>
      <c r="I251" s="990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5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92" t="n"/>
      <c r="R251" s="992" t="n"/>
      <c r="S251" s="992" t="n"/>
      <c r="T251" s="993" t="n"/>
      <c r="U251" s="37" t="inlineStr"/>
      <c r="V251" s="37" t="inlineStr"/>
      <c r="W251" s="38" t="inlineStr">
        <is>
          <t>кг</t>
        </is>
      </c>
      <c r="X251" s="994" t="n">
        <v>40</v>
      </c>
      <c r="Y251" s="995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8" t="n">
        <v>4680115882690</v>
      </c>
      <c r="E252" s="951" t="n"/>
      <c r="F252" s="990" t="n">
        <v>0.9</v>
      </c>
      <c r="G252" s="35" t="n">
        <v>6</v>
      </c>
      <c r="H252" s="990" t="n">
        <v>5.4</v>
      </c>
      <c r="I252" s="990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6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92" t="n"/>
      <c r="R252" s="992" t="n"/>
      <c r="S252" s="992" t="n"/>
      <c r="T252" s="993" t="n"/>
      <c r="U252" s="37" t="inlineStr"/>
      <c r="V252" s="37" t="inlineStr"/>
      <c r="W252" s="38" t="inlineStr">
        <is>
          <t>кг</t>
        </is>
      </c>
      <c r="X252" s="994" t="n">
        <v>40</v>
      </c>
      <c r="Y252" s="995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8" t="n">
        <v>4680115882669</v>
      </c>
      <c r="E253" s="951" t="n"/>
      <c r="F253" s="990" t="n">
        <v>0.9</v>
      </c>
      <c r="G253" s="35" t="n">
        <v>6</v>
      </c>
      <c r="H253" s="990" t="n">
        <v>5.4</v>
      </c>
      <c r="I253" s="990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7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92" t="n"/>
      <c r="R253" s="992" t="n"/>
      <c r="S253" s="992" t="n"/>
      <c r="T253" s="993" t="n"/>
      <c r="U253" s="37" t="inlineStr"/>
      <c r="V253" s="37" t="inlineStr"/>
      <c r="W253" s="38" t="inlineStr">
        <is>
          <t>кг</t>
        </is>
      </c>
      <c r="X253" s="994" t="n">
        <v>40</v>
      </c>
      <c r="Y253" s="995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8" t="n">
        <v>4680115882676</v>
      </c>
      <c r="E254" s="951" t="n"/>
      <c r="F254" s="990" t="n">
        <v>0.9</v>
      </c>
      <c r="G254" s="35" t="n">
        <v>6</v>
      </c>
      <c r="H254" s="990" t="n">
        <v>5.4</v>
      </c>
      <c r="I254" s="990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8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92" t="n"/>
      <c r="R254" s="992" t="n"/>
      <c r="S254" s="992" t="n"/>
      <c r="T254" s="993" t="n"/>
      <c r="U254" s="37" t="inlineStr"/>
      <c r="V254" s="37" t="inlineStr"/>
      <c r="W254" s="38" t="inlineStr">
        <is>
          <t>кг</t>
        </is>
      </c>
      <c r="X254" s="994" t="n">
        <v>40</v>
      </c>
      <c r="Y254" s="995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8" t="n">
        <v>4680115884014</v>
      </c>
      <c r="E255" s="951" t="n"/>
      <c r="F255" s="990" t="n">
        <v>0.3</v>
      </c>
      <c r="G255" s="35" t="n">
        <v>6</v>
      </c>
      <c r="H255" s="990" t="n">
        <v>1.8</v>
      </c>
      <c r="I255" s="990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9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92" t="n"/>
      <c r="R255" s="992" t="n"/>
      <c r="S255" s="992" t="n"/>
      <c r="T255" s="993" t="n"/>
      <c r="U255" s="37" t="inlineStr"/>
      <c r="V255" s="37" t="inlineStr"/>
      <c r="W255" s="38" t="inlineStr">
        <is>
          <t>кг</t>
        </is>
      </c>
      <c r="X255" s="994" t="n">
        <v>0</v>
      </c>
      <c r="Y255" s="995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8" t="n">
        <v>4680115884007</v>
      </c>
      <c r="E256" s="951" t="n"/>
      <c r="F256" s="990" t="n">
        <v>0.3</v>
      </c>
      <c r="G256" s="35" t="n">
        <v>6</v>
      </c>
      <c r="H256" s="990" t="n">
        <v>1.8</v>
      </c>
      <c r="I256" s="990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20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92" t="n"/>
      <c r="R256" s="992" t="n"/>
      <c r="S256" s="992" t="n"/>
      <c r="T256" s="993" t="n"/>
      <c r="U256" s="37" t="inlineStr"/>
      <c r="V256" s="37" t="inlineStr"/>
      <c r="W256" s="38" t="inlineStr">
        <is>
          <t>кг</t>
        </is>
      </c>
      <c r="X256" s="994" t="n">
        <v>0</v>
      </c>
      <c r="Y256" s="995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8" t="n">
        <v>4680115884038</v>
      </c>
      <c r="E257" s="951" t="n"/>
      <c r="F257" s="990" t="n">
        <v>0.3</v>
      </c>
      <c r="G257" s="35" t="n">
        <v>6</v>
      </c>
      <c r="H257" s="990" t="n">
        <v>1.8</v>
      </c>
      <c r="I257" s="990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21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92" t="n"/>
      <c r="R257" s="992" t="n"/>
      <c r="S257" s="992" t="n"/>
      <c r="T257" s="993" t="n"/>
      <c r="U257" s="37" t="inlineStr"/>
      <c r="V257" s="37" t="inlineStr"/>
      <c r="W257" s="38" t="inlineStr">
        <is>
          <t>кг</t>
        </is>
      </c>
      <c r="X257" s="994" t="n">
        <v>0</v>
      </c>
      <c r="Y257" s="995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8" t="n">
        <v>4680115884021</v>
      </c>
      <c r="E258" s="951" t="n"/>
      <c r="F258" s="990" t="n">
        <v>0.3</v>
      </c>
      <c r="G258" s="35" t="n">
        <v>6</v>
      </c>
      <c r="H258" s="990" t="n">
        <v>1.8</v>
      </c>
      <c r="I258" s="990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22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92" t="n"/>
      <c r="R258" s="992" t="n"/>
      <c r="S258" s="992" t="n"/>
      <c r="T258" s="993" t="n"/>
      <c r="U258" s="37" t="inlineStr"/>
      <c r="V258" s="37" t="inlineStr"/>
      <c r="W258" s="38" t="inlineStr">
        <is>
          <t>кг</t>
        </is>
      </c>
      <c r="X258" s="994" t="n">
        <v>0</v>
      </c>
      <c r="Y258" s="995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7" t="n"/>
      <c r="B259" s="941" t="n"/>
      <c r="C259" s="941" t="n"/>
      <c r="D259" s="941" t="n"/>
      <c r="E259" s="941" t="n"/>
      <c r="F259" s="941" t="n"/>
      <c r="G259" s="941" t="n"/>
      <c r="H259" s="941" t="n"/>
      <c r="I259" s="941" t="n"/>
      <c r="J259" s="941" t="n"/>
      <c r="K259" s="941" t="n"/>
      <c r="L259" s="941" t="n"/>
      <c r="M259" s="941" t="n"/>
      <c r="N259" s="941" t="n"/>
      <c r="O259" s="997" t="n"/>
      <c r="P259" s="998" t="inlineStr">
        <is>
          <t>Итого</t>
        </is>
      </c>
      <c r="Q259" s="959" t="n"/>
      <c r="R259" s="959" t="n"/>
      <c r="S259" s="959" t="n"/>
      <c r="T259" s="959" t="n"/>
      <c r="U259" s="959" t="n"/>
      <c r="V259" s="960" t="n"/>
      <c r="W259" s="40" t="inlineStr">
        <is>
          <t>кор</t>
        </is>
      </c>
      <c r="X259" s="999">
        <f>IFERROR(X251/H251,"0")+IFERROR(X252/H252,"0")+IFERROR(X253/H253,"0")+IFERROR(X254/H254,"0")+IFERROR(X255/H255,"0")+IFERROR(X256/H256,"0")+IFERROR(X257/H257,"0")+IFERROR(X258/H258,"0")</f>
        <v/>
      </c>
      <c r="Y259" s="999">
        <f>IFERROR(Y251/H251,"0")+IFERROR(Y252/H252,"0")+IFERROR(Y253/H253,"0")+IFERROR(Y254/H254,"0")+IFERROR(Y255/H255,"0")+IFERROR(Y256/H256,"0")+IFERROR(Y257/H257,"0")+IFERROR(Y258/H258,"0")</f>
        <v/>
      </c>
      <c r="Z259" s="999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1000" t="n"/>
      <c r="AB259" s="1000" t="n"/>
      <c r="AC259" s="1000" t="n"/>
    </row>
    <row r="260">
      <c r="A260" s="941" t="n"/>
      <c r="B260" s="941" t="n"/>
      <c r="C260" s="941" t="n"/>
      <c r="D260" s="941" t="n"/>
      <c r="E260" s="941" t="n"/>
      <c r="F260" s="941" t="n"/>
      <c r="G260" s="941" t="n"/>
      <c r="H260" s="941" t="n"/>
      <c r="I260" s="941" t="n"/>
      <c r="J260" s="941" t="n"/>
      <c r="K260" s="941" t="n"/>
      <c r="L260" s="941" t="n"/>
      <c r="M260" s="941" t="n"/>
      <c r="N260" s="941" t="n"/>
      <c r="O260" s="997" t="n"/>
      <c r="P260" s="998" t="inlineStr">
        <is>
          <t>Итого</t>
        </is>
      </c>
      <c r="Q260" s="959" t="n"/>
      <c r="R260" s="959" t="n"/>
      <c r="S260" s="959" t="n"/>
      <c r="T260" s="959" t="n"/>
      <c r="U260" s="959" t="n"/>
      <c r="V260" s="960" t="n"/>
      <c r="W260" s="40" t="inlineStr">
        <is>
          <t>кг</t>
        </is>
      </c>
      <c r="X260" s="999">
        <f>IFERROR(SUM(X251:X258),"0")</f>
        <v/>
      </c>
      <c r="Y260" s="999">
        <f>IFERROR(SUM(Y251:Y258),"0")</f>
        <v/>
      </c>
      <c r="Z260" s="40" t="n"/>
      <c r="AA260" s="1000" t="n"/>
      <c r="AB260" s="1000" t="n"/>
      <c r="AC260" s="1000" t="n"/>
    </row>
    <row r="261" ht="14.25" customHeight="1">
      <c r="A261" s="667" t="inlineStr">
        <is>
          <t>Сосиски</t>
        </is>
      </c>
      <c r="B261" s="941" t="n"/>
      <c r="C261" s="941" t="n"/>
      <c r="D261" s="941" t="n"/>
      <c r="E261" s="941" t="n"/>
      <c r="F261" s="941" t="n"/>
      <c r="G261" s="941" t="n"/>
      <c r="H261" s="941" t="n"/>
      <c r="I261" s="941" t="n"/>
      <c r="J261" s="941" t="n"/>
      <c r="K261" s="941" t="n"/>
      <c r="L261" s="941" t="n"/>
      <c r="M261" s="941" t="n"/>
      <c r="N261" s="941" t="n"/>
      <c r="O261" s="941" t="n"/>
      <c r="P261" s="941" t="n"/>
      <c r="Q261" s="941" t="n"/>
      <c r="R261" s="941" t="n"/>
      <c r="S261" s="941" t="n"/>
      <c r="T261" s="941" t="n"/>
      <c r="U261" s="941" t="n"/>
      <c r="V261" s="941" t="n"/>
      <c r="W261" s="941" t="n"/>
      <c r="X261" s="941" t="n"/>
      <c r="Y261" s="941" t="n"/>
      <c r="Z261" s="941" t="n"/>
      <c r="AA261" s="667" t="n"/>
      <c r="AB261" s="667" t="n"/>
      <c r="AC261" s="667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8" t="n">
        <v>4680115881594</v>
      </c>
      <c r="E262" s="951" t="n"/>
      <c r="F262" s="990" t="n">
        <v>1.35</v>
      </c>
      <c r="G262" s="35" t="n">
        <v>6</v>
      </c>
      <c r="H262" s="990" t="n">
        <v>8.1</v>
      </c>
      <c r="I262" s="990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3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92" t="n"/>
      <c r="R262" s="992" t="n"/>
      <c r="S262" s="992" t="n"/>
      <c r="T262" s="993" t="n"/>
      <c r="U262" s="37" t="inlineStr"/>
      <c r="V262" s="37" t="inlineStr"/>
      <c r="W262" s="38" t="inlineStr">
        <is>
          <t>кг</t>
        </is>
      </c>
      <c r="X262" s="994" t="n">
        <v>0</v>
      </c>
      <c r="Y262" s="995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8" t="n">
        <v>4680115881617</v>
      </c>
      <c r="E263" s="951" t="n"/>
      <c r="F263" s="990" t="n">
        <v>1.35</v>
      </c>
      <c r="G263" s="35" t="n">
        <v>6</v>
      </c>
      <c r="H263" s="990" t="n">
        <v>8.1</v>
      </c>
      <c r="I263" s="990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4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92" t="n"/>
      <c r="R263" s="992" t="n"/>
      <c r="S263" s="992" t="n"/>
      <c r="T263" s="993" t="n"/>
      <c r="U263" s="37" t="inlineStr"/>
      <c r="V263" s="37" t="inlineStr"/>
      <c r="W263" s="38" t="inlineStr">
        <is>
          <t>кг</t>
        </is>
      </c>
      <c r="X263" s="994" t="n">
        <v>0</v>
      </c>
      <c r="Y263" s="995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8" t="n">
        <v>4680115880573</v>
      </c>
      <c r="E264" s="951" t="n"/>
      <c r="F264" s="990" t="n">
        <v>1.45</v>
      </c>
      <c r="G264" s="35" t="n">
        <v>6</v>
      </c>
      <c r="H264" s="990" t="n">
        <v>8.699999999999999</v>
      </c>
      <c r="I264" s="990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5">
        <f>HYPERLINK("https://abi.ru/products/Охлажденные/Стародворье/Сочинка/Сосиски/P003959/","Сосиски «Сочинки» Весовой п/а ТМ «Стародворье»")</f>
        <v/>
      </c>
      <c r="Q264" s="992" t="n"/>
      <c r="R264" s="992" t="n"/>
      <c r="S264" s="992" t="n"/>
      <c r="T264" s="993" t="n"/>
      <c r="U264" s="37" t="inlineStr"/>
      <c r="V264" s="37" t="inlineStr"/>
      <c r="W264" s="38" t="inlineStr">
        <is>
          <t>кг</t>
        </is>
      </c>
      <c r="X264" s="994" t="n">
        <v>0</v>
      </c>
      <c r="Y264" s="995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8" t="n">
        <v>4680115882195</v>
      </c>
      <c r="E265" s="951" t="n"/>
      <c r="F265" s="990" t="n">
        <v>0.4</v>
      </c>
      <c r="G265" s="35" t="n">
        <v>6</v>
      </c>
      <c r="H265" s="990" t="n">
        <v>2.4</v>
      </c>
      <c r="I265" s="990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6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92" t="n"/>
      <c r="R265" s="992" t="n"/>
      <c r="S265" s="992" t="n"/>
      <c r="T265" s="993" t="n"/>
      <c r="U265" s="37" t="inlineStr"/>
      <c r="V265" s="37" t="inlineStr"/>
      <c r="W265" s="38" t="inlineStr">
        <is>
          <t>кг</t>
        </is>
      </c>
      <c r="X265" s="994" t="n">
        <v>16.8</v>
      </c>
      <c r="Y265" s="995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8" t="n">
        <v>4680115882607</v>
      </c>
      <c r="E266" s="951" t="n"/>
      <c r="F266" s="990" t="n">
        <v>0.3</v>
      </c>
      <c r="G266" s="35" t="n">
        <v>6</v>
      </c>
      <c r="H266" s="990" t="n">
        <v>1.8</v>
      </c>
      <c r="I266" s="990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7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92" t="n"/>
      <c r="R266" s="992" t="n"/>
      <c r="S266" s="992" t="n"/>
      <c r="T266" s="993" t="n"/>
      <c r="U266" s="37" t="inlineStr"/>
      <c r="V266" s="37" t="inlineStr"/>
      <c r="W266" s="38" t="inlineStr">
        <is>
          <t>кг</t>
        </is>
      </c>
      <c r="X266" s="994" t="n">
        <v>0</v>
      </c>
      <c r="Y266" s="995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8" t="n">
        <v>4680115882607</v>
      </c>
      <c r="E267" s="951" t="n"/>
      <c r="F267" s="990" t="n">
        <v>0.3</v>
      </c>
      <c r="G267" s="35" t="n">
        <v>6</v>
      </c>
      <c r="H267" s="990" t="n">
        <v>1.8</v>
      </c>
      <c r="I267" s="990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8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92" t="n"/>
      <c r="R267" s="992" t="n"/>
      <c r="S267" s="992" t="n"/>
      <c r="T267" s="993" t="n"/>
      <c r="U267" s="37" t="inlineStr"/>
      <c r="V267" s="37" t="inlineStr"/>
      <c r="W267" s="38" t="inlineStr">
        <is>
          <t>кг</t>
        </is>
      </c>
      <c r="X267" s="994" t="n">
        <v>0</v>
      </c>
      <c r="Y267" s="995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8" t="n">
        <v>4680115880092</v>
      </c>
      <c r="E268" s="951" t="n"/>
      <c r="F268" s="990" t="n">
        <v>0.4</v>
      </c>
      <c r="G268" s="35" t="n">
        <v>6</v>
      </c>
      <c r="H268" s="990" t="n">
        <v>2.4</v>
      </c>
      <c r="I268" s="990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9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92" t="n"/>
      <c r="R268" s="992" t="n"/>
      <c r="S268" s="992" t="n"/>
      <c r="T268" s="993" t="n"/>
      <c r="U268" s="37" t="inlineStr"/>
      <c r="V268" s="37" t="inlineStr"/>
      <c r="W268" s="38" t="inlineStr">
        <is>
          <t>кг</t>
        </is>
      </c>
      <c r="X268" s="994" t="n">
        <v>12</v>
      </c>
      <c r="Y268" s="995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8" t="n">
        <v>4680115889064</v>
      </c>
      <c r="E269" s="951" t="n"/>
      <c r="F269" s="990" t="n">
        <v>0.7</v>
      </c>
      <c r="G269" s="35" t="n">
        <v>6</v>
      </c>
      <c r="H269" s="990" t="n">
        <v>4.2</v>
      </c>
      <c r="I269" s="990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30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92" t="n"/>
      <c r="R269" s="992" t="n"/>
      <c r="S269" s="992" t="n"/>
      <c r="T269" s="993" t="n"/>
      <c r="U269" s="37" t="inlineStr"/>
      <c r="V269" s="37" t="inlineStr"/>
      <c r="W269" s="38" t="inlineStr">
        <is>
          <t>кг</t>
        </is>
      </c>
      <c r="X269" s="994" t="n">
        <v>0</v>
      </c>
      <c r="Y269" s="995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8" t="n">
        <v>4680115880221</v>
      </c>
      <c r="E270" s="951" t="n"/>
      <c r="F270" s="990" t="n">
        <v>0.4</v>
      </c>
      <c r="G270" s="35" t="n">
        <v>6</v>
      </c>
      <c r="H270" s="990" t="n">
        <v>2.4</v>
      </c>
      <c r="I270" s="990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31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92" t="n"/>
      <c r="R270" s="992" t="n"/>
      <c r="S270" s="992" t="n"/>
      <c r="T270" s="993" t="n"/>
      <c r="U270" s="37" t="inlineStr"/>
      <c r="V270" s="37" t="inlineStr"/>
      <c r="W270" s="38" t="inlineStr">
        <is>
          <t>кг</t>
        </is>
      </c>
      <c r="X270" s="994" t="n">
        <v>12</v>
      </c>
      <c r="Y270" s="995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8" t="n">
        <v>4680115880504</v>
      </c>
      <c r="E271" s="951" t="n"/>
      <c r="F271" s="990" t="n">
        <v>0.4</v>
      </c>
      <c r="G271" s="35" t="n">
        <v>6</v>
      </c>
      <c r="H271" s="990" t="n">
        <v>2.4</v>
      </c>
      <c r="I271" s="990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32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92" t="n"/>
      <c r="R271" s="992" t="n"/>
      <c r="S271" s="992" t="n"/>
      <c r="T271" s="993" t="n"/>
      <c r="U271" s="37" t="inlineStr"/>
      <c r="V271" s="37" t="inlineStr"/>
      <c r="W271" s="38" t="inlineStr">
        <is>
          <t>кг</t>
        </is>
      </c>
      <c r="X271" s="994" t="n">
        <v>0</v>
      </c>
      <c r="Y271" s="995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8" t="n">
        <v>4680115882164</v>
      </c>
      <c r="E272" s="951" t="n"/>
      <c r="F272" s="990" t="n">
        <v>0.4</v>
      </c>
      <c r="G272" s="35" t="n">
        <v>6</v>
      </c>
      <c r="H272" s="990" t="n">
        <v>2.4</v>
      </c>
      <c r="I272" s="990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3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92" t="n"/>
      <c r="R272" s="992" t="n"/>
      <c r="S272" s="992" t="n"/>
      <c r="T272" s="993" t="n"/>
      <c r="U272" s="37" t="inlineStr"/>
      <c r="V272" s="37" t="inlineStr"/>
      <c r="W272" s="38" t="inlineStr">
        <is>
          <t>кг</t>
        </is>
      </c>
      <c r="X272" s="994" t="n">
        <v>12</v>
      </c>
      <c r="Y272" s="995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8" t="n">
        <v>4680115888340</v>
      </c>
      <c r="E273" s="951" t="n"/>
      <c r="F273" s="990" t="n">
        <v>0.4</v>
      </c>
      <c r="G273" s="35" t="n">
        <v>6</v>
      </c>
      <c r="H273" s="990" t="n">
        <v>2.4</v>
      </c>
      <c r="I273" s="990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4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92" t="n"/>
      <c r="R273" s="992" t="n"/>
      <c r="S273" s="992" t="n"/>
      <c r="T273" s="993" t="n"/>
      <c r="U273" s="37" t="inlineStr"/>
      <c r="V273" s="37" t="inlineStr"/>
      <c r="W273" s="38" t="inlineStr">
        <is>
          <t>кг</t>
        </is>
      </c>
      <c r="X273" s="994" t="n">
        <v>0</v>
      </c>
      <c r="Y273" s="995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7" t="n"/>
      <c r="B274" s="941" t="n"/>
      <c r="C274" s="941" t="n"/>
      <c r="D274" s="941" t="n"/>
      <c r="E274" s="941" t="n"/>
      <c r="F274" s="941" t="n"/>
      <c r="G274" s="941" t="n"/>
      <c r="H274" s="941" t="n"/>
      <c r="I274" s="941" t="n"/>
      <c r="J274" s="941" t="n"/>
      <c r="K274" s="941" t="n"/>
      <c r="L274" s="941" t="n"/>
      <c r="M274" s="941" t="n"/>
      <c r="N274" s="941" t="n"/>
      <c r="O274" s="997" t="n"/>
      <c r="P274" s="998" t="inlineStr">
        <is>
          <t>Итого</t>
        </is>
      </c>
      <c r="Q274" s="959" t="n"/>
      <c r="R274" s="959" t="n"/>
      <c r="S274" s="959" t="n"/>
      <c r="T274" s="959" t="n"/>
      <c r="U274" s="959" t="n"/>
      <c r="V274" s="960" t="n"/>
      <c r="W274" s="40" t="inlineStr">
        <is>
          <t>кор</t>
        </is>
      </c>
      <c r="X274" s="999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9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9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1000" t="n"/>
      <c r="AB274" s="1000" t="n"/>
      <c r="AC274" s="1000" t="n"/>
    </row>
    <row r="275">
      <c r="A275" s="941" t="n"/>
      <c r="B275" s="941" t="n"/>
      <c r="C275" s="941" t="n"/>
      <c r="D275" s="941" t="n"/>
      <c r="E275" s="941" t="n"/>
      <c r="F275" s="941" t="n"/>
      <c r="G275" s="941" t="n"/>
      <c r="H275" s="941" t="n"/>
      <c r="I275" s="941" t="n"/>
      <c r="J275" s="941" t="n"/>
      <c r="K275" s="941" t="n"/>
      <c r="L275" s="941" t="n"/>
      <c r="M275" s="941" t="n"/>
      <c r="N275" s="941" t="n"/>
      <c r="O275" s="997" t="n"/>
      <c r="P275" s="998" t="inlineStr">
        <is>
          <t>Итого</t>
        </is>
      </c>
      <c r="Q275" s="959" t="n"/>
      <c r="R275" s="959" t="n"/>
      <c r="S275" s="959" t="n"/>
      <c r="T275" s="959" t="n"/>
      <c r="U275" s="959" t="n"/>
      <c r="V275" s="960" t="n"/>
      <c r="W275" s="40" t="inlineStr">
        <is>
          <t>кг</t>
        </is>
      </c>
      <c r="X275" s="999">
        <f>IFERROR(SUM(X262:X273),"0")</f>
        <v/>
      </c>
      <c r="Y275" s="999">
        <f>IFERROR(SUM(Y262:Y273),"0")</f>
        <v/>
      </c>
      <c r="Z275" s="40" t="n"/>
      <c r="AA275" s="1000" t="n"/>
      <c r="AB275" s="1000" t="n"/>
      <c r="AC275" s="1000" t="n"/>
    </row>
    <row r="276" ht="14.25" customHeight="1">
      <c r="A276" s="667" t="inlineStr">
        <is>
          <t>Сардельки</t>
        </is>
      </c>
      <c r="B276" s="941" t="n"/>
      <c r="C276" s="941" t="n"/>
      <c r="D276" s="941" t="n"/>
      <c r="E276" s="941" t="n"/>
      <c r="F276" s="941" t="n"/>
      <c r="G276" s="941" t="n"/>
      <c r="H276" s="941" t="n"/>
      <c r="I276" s="941" t="n"/>
      <c r="J276" s="941" t="n"/>
      <c r="K276" s="941" t="n"/>
      <c r="L276" s="941" t="n"/>
      <c r="M276" s="941" t="n"/>
      <c r="N276" s="941" t="n"/>
      <c r="O276" s="941" t="n"/>
      <c r="P276" s="941" t="n"/>
      <c r="Q276" s="941" t="n"/>
      <c r="R276" s="941" t="n"/>
      <c r="S276" s="941" t="n"/>
      <c r="T276" s="941" t="n"/>
      <c r="U276" s="941" t="n"/>
      <c r="V276" s="941" t="n"/>
      <c r="W276" s="941" t="n"/>
      <c r="X276" s="941" t="n"/>
      <c r="Y276" s="941" t="n"/>
      <c r="Z276" s="941" t="n"/>
      <c r="AA276" s="667" t="n"/>
      <c r="AB276" s="667" t="n"/>
      <c r="AC276" s="667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8" t="n">
        <v>4680115880818</v>
      </c>
      <c r="E277" s="951" t="n"/>
      <c r="F277" s="990" t="n">
        <v>0.4</v>
      </c>
      <c r="G277" s="35" t="n">
        <v>6</v>
      </c>
      <c r="H277" s="990" t="n">
        <v>2.4</v>
      </c>
      <c r="I277" s="990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5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92" t="n"/>
      <c r="R277" s="992" t="n"/>
      <c r="S277" s="992" t="n"/>
      <c r="T277" s="993" t="n"/>
      <c r="U277" s="37" t="inlineStr"/>
      <c r="V277" s="37" t="inlineStr"/>
      <c r="W277" s="38" t="inlineStr">
        <is>
          <t>кг</t>
        </is>
      </c>
      <c r="X277" s="994" t="n">
        <v>0</v>
      </c>
      <c r="Y277" s="995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8" t="n">
        <v>4680115880801</v>
      </c>
      <c r="E278" s="951" t="n"/>
      <c r="F278" s="990" t="n">
        <v>0.4</v>
      </c>
      <c r="G278" s="35" t="n">
        <v>6</v>
      </c>
      <c r="H278" s="990" t="n">
        <v>2.4</v>
      </c>
      <c r="I278" s="990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6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92" t="n"/>
      <c r="R278" s="992" t="n"/>
      <c r="S278" s="992" t="n"/>
      <c r="T278" s="993" t="n"/>
      <c r="U278" s="37" t="inlineStr"/>
      <c r="V278" s="37" t="inlineStr"/>
      <c r="W278" s="38" t="inlineStr">
        <is>
          <t>кг</t>
        </is>
      </c>
      <c r="X278" s="994" t="n">
        <v>0</v>
      </c>
      <c r="Y278" s="995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7" t="n"/>
      <c r="B279" s="941" t="n"/>
      <c r="C279" s="941" t="n"/>
      <c r="D279" s="941" t="n"/>
      <c r="E279" s="941" t="n"/>
      <c r="F279" s="941" t="n"/>
      <c r="G279" s="941" t="n"/>
      <c r="H279" s="941" t="n"/>
      <c r="I279" s="941" t="n"/>
      <c r="J279" s="941" t="n"/>
      <c r="K279" s="941" t="n"/>
      <c r="L279" s="941" t="n"/>
      <c r="M279" s="941" t="n"/>
      <c r="N279" s="941" t="n"/>
      <c r="O279" s="997" t="n"/>
      <c r="P279" s="998" t="inlineStr">
        <is>
          <t>Итого</t>
        </is>
      </c>
      <c r="Q279" s="959" t="n"/>
      <c r="R279" s="959" t="n"/>
      <c r="S279" s="959" t="n"/>
      <c r="T279" s="959" t="n"/>
      <c r="U279" s="959" t="n"/>
      <c r="V279" s="960" t="n"/>
      <c r="W279" s="40" t="inlineStr">
        <is>
          <t>кор</t>
        </is>
      </c>
      <c r="X279" s="999">
        <f>IFERROR(X277/H277,"0")+IFERROR(X278/H278,"0")</f>
        <v/>
      </c>
      <c r="Y279" s="999">
        <f>IFERROR(Y277/H277,"0")+IFERROR(Y278/H278,"0")</f>
        <v/>
      </c>
      <c r="Z279" s="999">
        <f>IFERROR(IF(Z277="",0,Z277),"0")+IFERROR(IF(Z278="",0,Z278),"0")</f>
        <v/>
      </c>
      <c r="AA279" s="1000" t="n"/>
      <c r="AB279" s="1000" t="n"/>
      <c r="AC279" s="1000" t="n"/>
    </row>
    <row r="280">
      <c r="A280" s="941" t="n"/>
      <c r="B280" s="941" t="n"/>
      <c r="C280" s="941" t="n"/>
      <c r="D280" s="941" t="n"/>
      <c r="E280" s="941" t="n"/>
      <c r="F280" s="941" t="n"/>
      <c r="G280" s="941" t="n"/>
      <c r="H280" s="941" t="n"/>
      <c r="I280" s="941" t="n"/>
      <c r="J280" s="941" t="n"/>
      <c r="K280" s="941" t="n"/>
      <c r="L280" s="941" t="n"/>
      <c r="M280" s="941" t="n"/>
      <c r="N280" s="941" t="n"/>
      <c r="O280" s="997" t="n"/>
      <c r="P280" s="998" t="inlineStr">
        <is>
          <t>Итого</t>
        </is>
      </c>
      <c r="Q280" s="959" t="n"/>
      <c r="R280" s="959" t="n"/>
      <c r="S280" s="959" t="n"/>
      <c r="T280" s="959" t="n"/>
      <c r="U280" s="959" t="n"/>
      <c r="V280" s="960" t="n"/>
      <c r="W280" s="40" t="inlineStr">
        <is>
          <t>кг</t>
        </is>
      </c>
      <c r="X280" s="999">
        <f>IFERROR(SUM(X277:X278),"0")</f>
        <v/>
      </c>
      <c r="Y280" s="999">
        <f>IFERROR(SUM(Y277:Y278),"0")</f>
        <v/>
      </c>
      <c r="Z280" s="40" t="n"/>
      <c r="AA280" s="1000" t="n"/>
      <c r="AB280" s="1000" t="n"/>
      <c r="AC280" s="1000" t="n"/>
    </row>
    <row r="281" ht="16.5" customHeight="1">
      <c r="A281" s="666" t="inlineStr">
        <is>
          <t>Стародворская</t>
        </is>
      </c>
      <c r="B281" s="941" t="n"/>
      <c r="C281" s="941" t="n"/>
      <c r="D281" s="941" t="n"/>
      <c r="E281" s="941" t="n"/>
      <c r="F281" s="941" t="n"/>
      <c r="G281" s="941" t="n"/>
      <c r="H281" s="941" t="n"/>
      <c r="I281" s="941" t="n"/>
      <c r="J281" s="941" t="n"/>
      <c r="K281" s="941" t="n"/>
      <c r="L281" s="941" t="n"/>
      <c r="M281" s="941" t="n"/>
      <c r="N281" s="941" t="n"/>
      <c r="O281" s="941" t="n"/>
      <c r="P281" s="941" t="n"/>
      <c r="Q281" s="941" t="n"/>
      <c r="R281" s="941" t="n"/>
      <c r="S281" s="941" t="n"/>
      <c r="T281" s="941" t="n"/>
      <c r="U281" s="941" t="n"/>
      <c r="V281" s="941" t="n"/>
      <c r="W281" s="941" t="n"/>
      <c r="X281" s="941" t="n"/>
      <c r="Y281" s="941" t="n"/>
      <c r="Z281" s="941" t="n"/>
      <c r="AA281" s="666" t="n"/>
      <c r="AB281" s="666" t="n"/>
      <c r="AC281" s="666" t="n"/>
    </row>
    <row r="282" ht="14.25" customHeight="1">
      <c r="A282" s="667" t="inlineStr">
        <is>
          <t>Вареные колбасы</t>
        </is>
      </c>
      <c r="B282" s="941" t="n"/>
      <c r="C282" s="941" t="n"/>
      <c r="D282" s="941" t="n"/>
      <c r="E282" s="941" t="n"/>
      <c r="F282" s="941" t="n"/>
      <c r="G282" s="941" t="n"/>
      <c r="H282" s="941" t="n"/>
      <c r="I282" s="941" t="n"/>
      <c r="J282" s="941" t="n"/>
      <c r="K282" s="941" t="n"/>
      <c r="L282" s="941" t="n"/>
      <c r="M282" s="941" t="n"/>
      <c r="N282" s="941" t="n"/>
      <c r="O282" s="941" t="n"/>
      <c r="P282" s="941" t="n"/>
      <c r="Q282" s="941" t="n"/>
      <c r="R282" s="941" t="n"/>
      <c r="S282" s="941" t="n"/>
      <c r="T282" s="941" t="n"/>
      <c r="U282" s="941" t="n"/>
      <c r="V282" s="941" t="n"/>
      <c r="W282" s="941" t="n"/>
      <c r="X282" s="941" t="n"/>
      <c r="Y282" s="941" t="n"/>
      <c r="Z282" s="941" t="n"/>
      <c r="AA282" s="667" t="n"/>
      <c r="AB282" s="667" t="n"/>
      <c r="AC282" s="667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8" t="n">
        <v>4680115884137</v>
      </c>
      <c r="E283" s="951" t="n"/>
      <c r="F283" s="990" t="n">
        <v>1.45</v>
      </c>
      <c r="G283" s="35" t="n">
        <v>8</v>
      </c>
      <c r="H283" s="990" t="n">
        <v>11.6</v>
      </c>
      <c r="I283" s="990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7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92" t="n"/>
      <c r="R283" s="992" t="n"/>
      <c r="S283" s="992" t="n"/>
      <c r="T283" s="993" t="n"/>
      <c r="U283" s="37" t="inlineStr"/>
      <c r="V283" s="37" t="inlineStr"/>
      <c r="W283" s="38" t="inlineStr">
        <is>
          <t>кг</t>
        </is>
      </c>
      <c r="X283" s="994" t="n">
        <v>0</v>
      </c>
      <c r="Y283" s="995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8" t="n">
        <v>4680115884236</v>
      </c>
      <c r="E284" s="951" t="n"/>
      <c r="F284" s="990" t="n">
        <v>1.45</v>
      </c>
      <c r="G284" s="35" t="n">
        <v>8</v>
      </c>
      <c r="H284" s="990" t="n">
        <v>11.6</v>
      </c>
      <c r="I284" s="990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8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92" t="n"/>
      <c r="R284" s="992" t="n"/>
      <c r="S284" s="992" t="n"/>
      <c r="T284" s="993" t="n"/>
      <c r="U284" s="37" t="inlineStr"/>
      <c r="V284" s="37" t="inlineStr"/>
      <c r="W284" s="38" t="inlineStr">
        <is>
          <t>кг</t>
        </is>
      </c>
      <c r="X284" s="994" t="n">
        <v>0</v>
      </c>
      <c r="Y284" s="995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8" t="n">
        <v>4680115884175</v>
      </c>
      <c r="E285" s="951" t="n"/>
      <c r="F285" s="990" t="n">
        <v>1.45</v>
      </c>
      <c r="G285" s="35" t="n">
        <v>8</v>
      </c>
      <c r="H285" s="990" t="n">
        <v>11.6</v>
      </c>
      <c r="I285" s="990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9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92" t="n"/>
      <c r="R285" s="992" t="n"/>
      <c r="S285" s="992" t="n"/>
      <c r="T285" s="993" t="n"/>
      <c r="U285" s="37" t="inlineStr"/>
      <c r="V285" s="37" t="inlineStr"/>
      <c r="W285" s="38" t="inlineStr">
        <is>
          <t>кг</t>
        </is>
      </c>
      <c r="X285" s="994" t="n">
        <v>0</v>
      </c>
      <c r="Y285" s="995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8" t="n">
        <v>4680115884144</v>
      </c>
      <c r="E286" s="951" t="n"/>
      <c r="F286" s="990" t="n">
        <v>0.4</v>
      </c>
      <c r="G286" s="35" t="n">
        <v>10</v>
      </c>
      <c r="H286" s="990" t="n">
        <v>4</v>
      </c>
      <c r="I286" s="990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40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92" t="n"/>
      <c r="R286" s="992" t="n"/>
      <c r="S286" s="992" t="n"/>
      <c r="T286" s="993" t="n"/>
      <c r="U286" s="37" t="inlineStr"/>
      <c r="V286" s="37" t="inlineStr"/>
      <c r="W286" s="38" t="inlineStr">
        <is>
          <t>кг</t>
        </is>
      </c>
      <c r="X286" s="994" t="n">
        <v>0</v>
      </c>
      <c r="Y286" s="995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8" t="n">
        <v>4680115886551</v>
      </c>
      <c r="E287" s="951" t="n"/>
      <c r="F287" s="990" t="n">
        <v>0.4</v>
      </c>
      <c r="G287" s="35" t="n">
        <v>10</v>
      </c>
      <c r="H287" s="990" t="n">
        <v>4</v>
      </c>
      <c r="I287" s="990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41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92" t="n"/>
      <c r="R287" s="992" t="n"/>
      <c r="S287" s="992" t="n"/>
      <c r="T287" s="993" t="n"/>
      <c r="U287" s="37" t="inlineStr"/>
      <c r="V287" s="37" t="inlineStr"/>
      <c r="W287" s="38" t="inlineStr">
        <is>
          <t>кг</t>
        </is>
      </c>
      <c r="X287" s="994" t="n">
        <v>0</v>
      </c>
      <c r="Y287" s="995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8" t="n">
        <v>4680115887282</v>
      </c>
      <c r="E288" s="951" t="n"/>
      <c r="F288" s="990" t="n">
        <v>0.4</v>
      </c>
      <c r="G288" s="35" t="n">
        <v>6</v>
      </c>
      <c r="H288" s="990" t="n">
        <v>2.4</v>
      </c>
      <c r="I288" s="990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42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92" t="n"/>
      <c r="R288" s="992" t="n"/>
      <c r="S288" s="992" t="n"/>
      <c r="T288" s="993" t="n"/>
      <c r="U288" s="37" t="inlineStr"/>
      <c r="V288" s="37" t="inlineStr"/>
      <c r="W288" s="38" t="inlineStr">
        <is>
          <t>кг</t>
        </is>
      </c>
      <c r="X288" s="994" t="n">
        <v>0</v>
      </c>
      <c r="Y288" s="995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8" t="n">
        <v>4680115884205</v>
      </c>
      <c r="E289" s="951" t="n"/>
      <c r="F289" s="990" t="n">
        <v>0.4</v>
      </c>
      <c r="G289" s="35" t="n">
        <v>10</v>
      </c>
      <c r="H289" s="990" t="n">
        <v>4</v>
      </c>
      <c r="I289" s="990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3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92" t="n"/>
      <c r="R289" s="992" t="n"/>
      <c r="S289" s="992" t="n"/>
      <c r="T289" s="993" t="n"/>
      <c r="U289" s="37" t="inlineStr"/>
      <c r="V289" s="37" t="inlineStr"/>
      <c r="W289" s="38" t="inlineStr">
        <is>
          <t>кг</t>
        </is>
      </c>
      <c r="X289" s="994" t="n">
        <v>0</v>
      </c>
      <c r="Y289" s="995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7" t="n"/>
      <c r="B290" s="941" t="n"/>
      <c r="C290" s="941" t="n"/>
      <c r="D290" s="941" t="n"/>
      <c r="E290" s="941" t="n"/>
      <c r="F290" s="941" t="n"/>
      <c r="G290" s="941" t="n"/>
      <c r="H290" s="941" t="n"/>
      <c r="I290" s="941" t="n"/>
      <c r="J290" s="941" t="n"/>
      <c r="K290" s="941" t="n"/>
      <c r="L290" s="941" t="n"/>
      <c r="M290" s="941" t="n"/>
      <c r="N290" s="941" t="n"/>
      <c r="O290" s="997" t="n"/>
      <c r="P290" s="998" t="inlineStr">
        <is>
          <t>Итого</t>
        </is>
      </c>
      <c r="Q290" s="959" t="n"/>
      <c r="R290" s="959" t="n"/>
      <c r="S290" s="959" t="n"/>
      <c r="T290" s="959" t="n"/>
      <c r="U290" s="959" t="n"/>
      <c r="V290" s="960" t="n"/>
      <c r="W290" s="40" t="inlineStr">
        <is>
          <t>кор</t>
        </is>
      </c>
      <c r="X290" s="999">
        <f>IFERROR(X283/H283,"0")+IFERROR(X284/H284,"0")+IFERROR(X285/H285,"0")+IFERROR(X286/H286,"0")+IFERROR(X287/H287,"0")+IFERROR(X288/H288,"0")+IFERROR(X289/H289,"0")</f>
        <v/>
      </c>
      <c r="Y290" s="999">
        <f>IFERROR(Y283/H283,"0")+IFERROR(Y284/H284,"0")+IFERROR(Y285/H285,"0")+IFERROR(Y286/H286,"0")+IFERROR(Y287/H287,"0")+IFERROR(Y288/H288,"0")+IFERROR(Y289/H289,"0")</f>
        <v/>
      </c>
      <c r="Z290" s="999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1000" t="n"/>
      <c r="AB290" s="1000" t="n"/>
      <c r="AC290" s="1000" t="n"/>
    </row>
    <row r="291">
      <c r="A291" s="941" t="n"/>
      <c r="B291" s="941" t="n"/>
      <c r="C291" s="941" t="n"/>
      <c r="D291" s="941" t="n"/>
      <c r="E291" s="941" t="n"/>
      <c r="F291" s="941" t="n"/>
      <c r="G291" s="941" t="n"/>
      <c r="H291" s="941" t="n"/>
      <c r="I291" s="941" t="n"/>
      <c r="J291" s="941" t="n"/>
      <c r="K291" s="941" t="n"/>
      <c r="L291" s="941" t="n"/>
      <c r="M291" s="941" t="n"/>
      <c r="N291" s="941" t="n"/>
      <c r="O291" s="997" t="n"/>
      <c r="P291" s="998" t="inlineStr">
        <is>
          <t>Итого</t>
        </is>
      </c>
      <c r="Q291" s="959" t="n"/>
      <c r="R291" s="959" t="n"/>
      <c r="S291" s="959" t="n"/>
      <c r="T291" s="959" t="n"/>
      <c r="U291" s="959" t="n"/>
      <c r="V291" s="960" t="n"/>
      <c r="W291" s="40" t="inlineStr">
        <is>
          <t>кг</t>
        </is>
      </c>
      <c r="X291" s="999">
        <f>IFERROR(SUM(X283:X289),"0")</f>
        <v/>
      </c>
      <c r="Y291" s="999">
        <f>IFERROR(SUM(Y283:Y289),"0")</f>
        <v/>
      </c>
      <c r="Z291" s="40" t="n"/>
      <c r="AA291" s="1000" t="n"/>
      <c r="AB291" s="1000" t="n"/>
      <c r="AC291" s="1000" t="n"/>
    </row>
    <row r="292" ht="14.25" customHeight="1">
      <c r="A292" s="667" t="inlineStr">
        <is>
          <t>Ветчины</t>
        </is>
      </c>
      <c r="B292" s="941" t="n"/>
      <c r="C292" s="941" t="n"/>
      <c r="D292" s="941" t="n"/>
      <c r="E292" s="941" t="n"/>
      <c r="F292" s="941" t="n"/>
      <c r="G292" s="941" t="n"/>
      <c r="H292" s="941" t="n"/>
      <c r="I292" s="941" t="n"/>
      <c r="J292" s="941" t="n"/>
      <c r="K292" s="941" t="n"/>
      <c r="L292" s="941" t="n"/>
      <c r="M292" s="941" t="n"/>
      <c r="N292" s="941" t="n"/>
      <c r="O292" s="941" t="n"/>
      <c r="P292" s="941" t="n"/>
      <c r="Q292" s="941" t="n"/>
      <c r="R292" s="941" t="n"/>
      <c r="S292" s="941" t="n"/>
      <c r="T292" s="941" t="n"/>
      <c r="U292" s="941" t="n"/>
      <c r="V292" s="941" t="n"/>
      <c r="W292" s="941" t="n"/>
      <c r="X292" s="941" t="n"/>
      <c r="Y292" s="941" t="n"/>
      <c r="Z292" s="941" t="n"/>
      <c r="AA292" s="667" t="n"/>
      <c r="AB292" s="667" t="n"/>
      <c r="AC292" s="667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8" t="n">
        <v>4680115885981</v>
      </c>
      <c r="E293" s="951" t="n"/>
      <c r="F293" s="990" t="n">
        <v>0.33</v>
      </c>
      <c r="G293" s="35" t="n">
        <v>6</v>
      </c>
      <c r="H293" s="990" t="n">
        <v>1.98</v>
      </c>
      <c r="I293" s="990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4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92" t="n"/>
      <c r="R293" s="992" t="n"/>
      <c r="S293" s="992" t="n"/>
      <c r="T293" s="993" t="n"/>
      <c r="U293" s="37" t="inlineStr"/>
      <c r="V293" s="37" t="inlineStr"/>
      <c r="W293" s="38" t="inlineStr">
        <is>
          <t>кг</t>
        </is>
      </c>
      <c r="X293" s="994" t="n">
        <v>0</v>
      </c>
      <c r="Y293" s="995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7" t="n"/>
      <c r="B294" s="941" t="n"/>
      <c r="C294" s="941" t="n"/>
      <c r="D294" s="941" t="n"/>
      <c r="E294" s="941" t="n"/>
      <c r="F294" s="941" t="n"/>
      <c r="G294" s="941" t="n"/>
      <c r="H294" s="941" t="n"/>
      <c r="I294" s="941" t="n"/>
      <c r="J294" s="941" t="n"/>
      <c r="K294" s="941" t="n"/>
      <c r="L294" s="941" t="n"/>
      <c r="M294" s="941" t="n"/>
      <c r="N294" s="941" t="n"/>
      <c r="O294" s="997" t="n"/>
      <c r="P294" s="998" t="inlineStr">
        <is>
          <t>Итого</t>
        </is>
      </c>
      <c r="Q294" s="959" t="n"/>
      <c r="R294" s="959" t="n"/>
      <c r="S294" s="959" t="n"/>
      <c r="T294" s="959" t="n"/>
      <c r="U294" s="959" t="n"/>
      <c r="V294" s="960" t="n"/>
      <c r="W294" s="40" t="inlineStr">
        <is>
          <t>кор</t>
        </is>
      </c>
      <c r="X294" s="999">
        <f>IFERROR(X293/H293,"0")</f>
        <v/>
      </c>
      <c r="Y294" s="999">
        <f>IFERROR(Y293/H293,"0")</f>
        <v/>
      </c>
      <c r="Z294" s="999">
        <f>IFERROR(IF(Z293="",0,Z293),"0")</f>
        <v/>
      </c>
      <c r="AA294" s="1000" t="n"/>
      <c r="AB294" s="1000" t="n"/>
      <c r="AC294" s="1000" t="n"/>
    </row>
    <row r="295">
      <c r="A295" s="941" t="n"/>
      <c r="B295" s="941" t="n"/>
      <c r="C295" s="941" t="n"/>
      <c r="D295" s="941" t="n"/>
      <c r="E295" s="941" t="n"/>
      <c r="F295" s="941" t="n"/>
      <c r="G295" s="941" t="n"/>
      <c r="H295" s="941" t="n"/>
      <c r="I295" s="941" t="n"/>
      <c r="J295" s="941" t="n"/>
      <c r="K295" s="941" t="n"/>
      <c r="L295" s="941" t="n"/>
      <c r="M295" s="941" t="n"/>
      <c r="N295" s="941" t="n"/>
      <c r="O295" s="997" t="n"/>
      <c r="P295" s="998" t="inlineStr">
        <is>
          <t>Итого</t>
        </is>
      </c>
      <c r="Q295" s="959" t="n"/>
      <c r="R295" s="959" t="n"/>
      <c r="S295" s="959" t="n"/>
      <c r="T295" s="959" t="n"/>
      <c r="U295" s="959" t="n"/>
      <c r="V295" s="960" t="n"/>
      <c r="W295" s="40" t="inlineStr">
        <is>
          <t>кг</t>
        </is>
      </c>
      <c r="X295" s="999">
        <f>IFERROR(SUM(X293:X293),"0")</f>
        <v/>
      </c>
      <c r="Y295" s="999">
        <f>IFERROR(SUM(Y293:Y293),"0")</f>
        <v/>
      </c>
      <c r="Z295" s="40" t="n"/>
      <c r="AA295" s="1000" t="n"/>
      <c r="AB295" s="1000" t="n"/>
      <c r="AC295" s="1000" t="n"/>
    </row>
    <row r="296" ht="14.25" customHeight="1">
      <c r="A296" s="667" t="inlineStr">
        <is>
          <t>Деликатесы в/к</t>
        </is>
      </c>
      <c r="B296" s="941" t="n"/>
      <c r="C296" s="941" t="n"/>
      <c r="D296" s="941" t="n"/>
      <c r="E296" s="941" t="n"/>
      <c r="F296" s="941" t="n"/>
      <c r="G296" s="941" t="n"/>
      <c r="H296" s="941" t="n"/>
      <c r="I296" s="941" t="n"/>
      <c r="J296" s="941" t="n"/>
      <c r="K296" s="941" t="n"/>
      <c r="L296" s="941" t="n"/>
      <c r="M296" s="941" t="n"/>
      <c r="N296" s="941" t="n"/>
      <c r="O296" s="941" t="n"/>
      <c r="P296" s="941" t="n"/>
      <c r="Q296" s="941" t="n"/>
      <c r="R296" s="941" t="n"/>
      <c r="S296" s="941" t="n"/>
      <c r="T296" s="941" t="n"/>
      <c r="U296" s="941" t="n"/>
      <c r="V296" s="941" t="n"/>
      <c r="W296" s="941" t="n"/>
      <c r="X296" s="941" t="n"/>
      <c r="Y296" s="941" t="n"/>
      <c r="Z296" s="941" t="n"/>
      <c r="AA296" s="667" t="n"/>
      <c r="AB296" s="667" t="n"/>
      <c r="AC296" s="667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8" t="n">
        <v>4680115886803</v>
      </c>
      <c r="E297" s="951" t="n"/>
      <c r="F297" s="990" t="n">
        <v>0.12</v>
      </c>
      <c r="G297" s="35" t="n">
        <v>15</v>
      </c>
      <c r="H297" s="990" t="n">
        <v>1.8</v>
      </c>
      <c r="I297" s="990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5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92" t="n"/>
      <c r="R297" s="992" t="n"/>
      <c r="S297" s="992" t="n"/>
      <c r="T297" s="993" t="n"/>
      <c r="U297" s="37" t="inlineStr"/>
      <c r="V297" s="37" t="inlineStr"/>
      <c r="W297" s="38" t="inlineStr">
        <is>
          <t>кг</t>
        </is>
      </c>
      <c r="X297" s="994" t="n">
        <v>0</v>
      </c>
      <c r="Y297" s="995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7" t="n"/>
      <c r="B298" s="941" t="n"/>
      <c r="C298" s="941" t="n"/>
      <c r="D298" s="941" t="n"/>
      <c r="E298" s="941" t="n"/>
      <c r="F298" s="941" t="n"/>
      <c r="G298" s="941" t="n"/>
      <c r="H298" s="941" t="n"/>
      <c r="I298" s="941" t="n"/>
      <c r="J298" s="941" t="n"/>
      <c r="K298" s="941" t="n"/>
      <c r="L298" s="941" t="n"/>
      <c r="M298" s="941" t="n"/>
      <c r="N298" s="941" t="n"/>
      <c r="O298" s="997" t="n"/>
      <c r="P298" s="998" t="inlineStr">
        <is>
          <t>Итого</t>
        </is>
      </c>
      <c r="Q298" s="959" t="n"/>
      <c r="R298" s="959" t="n"/>
      <c r="S298" s="959" t="n"/>
      <c r="T298" s="959" t="n"/>
      <c r="U298" s="959" t="n"/>
      <c r="V298" s="960" t="n"/>
      <c r="W298" s="40" t="inlineStr">
        <is>
          <t>кор</t>
        </is>
      </c>
      <c r="X298" s="999">
        <f>IFERROR(X297/H297,"0")</f>
        <v/>
      </c>
      <c r="Y298" s="999">
        <f>IFERROR(Y297/H297,"0")</f>
        <v/>
      </c>
      <c r="Z298" s="999">
        <f>IFERROR(IF(Z297="",0,Z297),"0")</f>
        <v/>
      </c>
      <c r="AA298" s="1000" t="n"/>
      <c r="AB298" s="1000" t="n"/>
      <c r="AC298" s="1000" t="n"/>
    </row>
    <row r="299">
      <c r="A299" s="941" t="n"/>
      <c r="B299" s="941" t="n"/>
      <c r="C299" s="941" t="n"/>
      <c r="D299" s="941" t="n"/>
      <c r="E299" s="941" t="n"/>
      <c r="F299" s="941" t="n"/>
      <c r="G299" s="941" t="n"/>
      <c r="H299" s="941" t="n"/>
      <c r="I299" s="941" t="n"/>
      <c r="J299" s="941" t="n"/>
      <c r="K299" s="941" t="n"/>
      <c r="L299" s="941" t="n"/>
      <c r="M299" s="941" t="n"/>
      <c r="N299" s="941" t="n"/>
      <c r="O299" s="997" t="n"/>
      <c r="P299" s="998" t="inlineStr">
        <is>
          <t>Итого</t>
        </is>
      </c>
      <c r="Q299" s="959" t="n"/>
      <c r="R299" s="959" t="n"/>
      <c r="S299" s="959" t="n"/>
      <c r="T299" s="959" t="n"/>
      <c r="U299" s="959" t="n"/>
      <c r="V299" s="960" t="n"/>
      <c r="W299" s="40" t="inlineStr">
        <is>
          <t>кг</t>
        </is>
      </c>
      <c r="X299" s="999">
        <f>IFERROR(SUM(X297:X297),"0")</f>
        <v/>
      </c>
      <c r="Y299" s="999">
        <f>IFERROR(SUM(Y297:Y297),"0")</f>
        <v/>
      </c>
      <c r="Z299" s="40" t="n"/>
      <c r="AA299" s="1000" t="n"/>
      <c r="AB299" s="1000" t="n"/>
      <c r="AC299" s="1000" t="n"/>
    </row>
    <row r="300" ht="14.25" customHeight="1">
      <c r="A300" s="667" t="inlineStr">
        <is>
          <t>Деликатесы с/к</t>
        </is>
      </c>
      <c r="B300" s="941" t="n"/>
      <c r="C300" s="941" t="n"/>
      <c r="D300" s="941" t="n"/>
      <c r="E300" s="941" t="n"/>
      <c r="F300" s="941" t="n"/>
      <c r="G300" s="941" t="n"/>
      <c r="H300" s="941" t="n"/>
      <c r="I300" s="941" t="n"/>
      <c r="J300" s="941" t="n"/>
      <c r="K300" s="941" t="n"/>
      <c r="L300" s="941" t="n"/>
      <c r="M300" s="941" t="n"/>
      <c r="N300" s="941" t="n"/>
      <c r="O300" s="941" t="n"/>
      <c r="P300" s="941" t="n"/>
      <c r="Q300" s="941" t="n"/>
      <c r="R300" s="941" t="n"/>
      <c r="S300" s="941" t="n"/>
      <c r="T300" s="941" t="n"/>
      <c r="U300" s="941" t="n"/>
      <c r="V300" s="941" t="n"/>
      <c r="W300" s="941" t="n"/>
      <c r="X300" s="941" t="n"/>
      <c r="Y300" s="941" t="n"/>
      <c r="Z300" s="941" t="n"/>
      <c r="AA300" s="667" t="n"/>
      <c r="AB300" s="667" t="n"/>
      <c r="AC300" s="667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8" t="n">
        <v>4680115886704</v>
      </c>
      <c r="E301" s="951" t="n"/>
      <c r="F301" s="990" t="n">
        <v>0.055</v>
      </c>
      <c r="G301" s="35" t="n">
        <v>18</v>
      </c>
      <c r="H301" s="990" t="n">
        <v>0.99</v>
      </c>
      <c r="I301" s="990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6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92" t="n"/>
      <c r="R301" s="992" t="n"/>
      <c r="S301" s="992" t="n"/>
      <c r="T301" s="993" t="n"/>
      <c r="U301" s="37" t="inlineStr"/>
      <c r="V301" s="37" t="inlineStr"/>
      <c r="W301" s="38" t="inlineStr">
        <is>
          <t>кг</t>
        </is>
      </c>
      <c r="X301" s="994" t="n">
        <v>0</v>
      </c>
      <c r="Y301" s="995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8" t="n">
        <v>4680115886681</v>
      </c>
      <c r="E302" s="951" t="n"/>
      <c r="F302" s="990" t="n">
        <v>0.12</v>
      </c>
      <c r="G302" s="35" t="n">
        <v>15</v>
      </c>
      <c r="H302" s="990" t="n">
        <v>1.8</v>
      </c>
      <c r="I302" s="990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7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92" t="n"/>
      <c r="R302" s="992" t="n"/>
      <c r="S302" s="992" t="n"/>
      <c r="T302" s="993" t="n"/>
      <c r="U302" s="37" t="inlineStr"/>
      <c r="V302" s="37" t="inlineStr"/>
      <c r="W302" s="38" t="inlineStr">
        <is>
          <t>кг</t>
        </is>
      </c>
      <c r="X302" s="994" t="n">
        <v>0</v>
      </c>
      <c r="Y302" s="995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8" t="n">
        <v>4680115886735</v>
      </c>
      <c r="E303" s="951" t="n"/>
      <c r="F303" s="990" t="n">
        <v>0.05</v>
      </c>
      <c r="G303" s="35" t="n">
        <v>18</v>
      </c>
      <c r="H303" s="990" t="n">
        <v>0.9</v>
      </c>
      <c r="I303" s="990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8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92" t="n"/>
      <c r="R303" s="992" t="n"/>
      <c r="S303" s="992" t="n"/>
      <c r="T303" s="993" t="n"/>
      <c r="U303" s="37" t="inlineStr"/>
      <c r="V303" s="37" t="inlineStr"/>
      <c r="W303" s="38" t="inlineStr">
        <is>
          <t>кг</t>
        </is>
      </c>
      <c r="X303" s="994" t="n">
        <v>0</v>
      </c>
      <c r="Y303" s="995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8" t="n">
        <v>4680115886711</v>
      </c>
      <c r="E304" s="951" t="n"/>
      <c r="F304" s="990" t="n">
        <v>0.055</v>
      </c>
      <c r="G304" s="35" t="n">
        <v>18</v>
      </c>
      <c r="H304" s="990" t="n">
        <v>0.99</v>
      </c>
      <c r="I304" s="990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9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92" t="n"/>
      <c r="R304" s="992" t="n"/>
      <c r="S304" s="992" t="n"/>
      <c r="T304" s="993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4" t="n">
        <v>0</v>
      </c>
      <c r="Y304" s="995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7" t="n"/>
      <c r="B305" s="941" t="n"/>
      <c r="C305" s="941" t="n"/>
      <c r="D305" s="941" t="n"/>
      <c r="E305" s="941" t="n"/>
      <c r="F305" s="941" t="n"/>
      <c r="G305" s="941" t="n"/>
      <c r="H305" s="941" t="n"/>
      <c r="I305" s="941" t="n"/>
      <c r="J305" s="941" t="n"/>
      <c r="K305" s="941" t="n"/>
      <c r="L305" s="941" t="n"/>
      <c r="M305" s="941" t="n"/>
      <c r="N305" s="941" t="n"/>
      <c r="O305" s="997" t="n"/>
      <c r="P305" s="998" t="inlineStr">
        <is>
          <t>Итого</t>
        </is>
      </c>
      <c r="Q305" s="959" t="n"/>
      <c r="R305" s="959" t="n"/>
      <c r="S305" s="959" t="n"/>
      <c r="T305" s="959" t="n"/>
      <c r="U305" s="959" t="n"/>
      <c r="V305" s="960" t="n"/>
      <c r="W305" s="40" t="inlineStr">
        <is>
          <t>кор</t>
        </is>
      </c>
      <c r="X305" s="999">
        <f>IFERROR(X301/H301,"0")+IFERROR(X302/H302,"0")+IFERROR(X303/H303,"0")+IFERROR(X304/H304,"0")</f>
        <v/>
      </c>
      <c r="Y305" s="999">
        <f>IFERROR(Y301/H301,"0")+IFERROR(Y302/H302,"0")+IFERROR(Y303/H303,"0")+IFERROR(Y304/H304,"0")</f>
        <v/>
      </c>
      <c r="Z305" s="999">
        <f>IFERROR(IF(Z301="",0,Z301),"0")+IFERROR(IF(Z302="",0,Z302),"0")+IFERROR(IF(Z303="",0,Z303),"0")+IFERROR(IF(Z304="",0,Z304),"0")</f>
        <v/>
      </c>
      <c r="AA305" s="1000" t="n"/>
      <c r="AB305" s="1000" t="n"/>
      <c r="AC305" s="1000" t="n"/>
    </row>
    <row r="306">
      <c r="A306" s="941" t="n"/>
      <c r="B306" s="941" t="n"/>
      <c r="C306" s="941" t="n"/>
      <c r="D306" s="941" t="n"/>
      <c r="E306" s="941" t="n"/>
      <c r="F306" s="941" t="n"/>
      <c r="G306" s="941" t="n"/>
      <c r="H306" s="941" t="n"/>
      <c r="I306" s="941" t="n"/>
      <c r="J306" s="941" t="n"/>
      <c r="K306" s="941" t="n"/>
      <c r="L306" s="941" t="n"/>
      <c r="M306" s="941" t="n"/>
      <c r="N306" s="941" t="n"/>
      <c r="O306" s="997" t="n"/>
      <c r="P306" s="998" t="inlineStr">
        <is>
          <t>Итого</t>
        </is>
      </c>
      <c r="Q306" s="959" t="n"/>
      <c r="R306" s="959" t="n"/>
      <c r="S306" s="959" t="n"/>
      <c r="T306" s="959" t="n"/>
      <c r="U306" s="959" t="n"/>
      <c r="V306" s="960" t="n"/>
      <c r="W306" s="40" t="inlineStr">
        <is>
          <t>кг</t>
        </is>
      </c>
      <c r="X306" s="999">
        <f>IFERROR(SUM(X301:X304),"0")</f>
        <v/>
      </c>
      <c r="Y306" s="999">
        <f>IFERROR(SUM(Y301:Y304),"0")</f>
        <v/>
      </c>
      <c r="Z306" s="40" t="n"/>
      <c r="AA306" s="1000" t="n"/>
      <c r="AB306" s="1000" t="n"/>
      <c r="AC306" s="1000" t="n"/>
    </row>
    <row r="307" ht="16.5" customHeight="1">
      <c r="A307" s="666" t="inlineStr">
        <is>
          <t>Филедворская по-стародворски</t>
        </is>
      </c>
      <c r="B307" s="941" t="n"/>
      <c r="C307" s="941" t="n"/>
      <c r="D307" s="941" t="n"/>
      <c r="E307" s="941" t="n"/>
      <c r="F307" s="941" t="n"/>
      <c r="G307" s="941" t="n"/>
      <c r="H307" s="941" t="n"/>
      <c r="I307" s="941" t="n"/>
      <c r="J307" s="941" t="n"/>
      <c r="K307" s="941" t="n"/>
      <c r="L307" s="941" t="n"/>
      <c r="M307" s="941" t="n"/>
      <c r="N307" s="941" t="n"/>
      <c r="O307" s="941" t="n"/>
      <c r="P307" s="941" t="n"/>
      <c r="Q307" s="941" t="n"/>
      <c r="R307" s="941" t="n"/>
      <c r="S307" s="941" t="n"/>
      <c r="T307" s="941" t="n"/>
      <c r="U307" s="941" t="n"/>
      <c r="V307" s="941" t="n"/>
      <c r="W307" s="941" t="n"/>
      <c r="X307" s="941" t="n"/>
      <c r="Y307" s="941" t="n"/>
      <c r="Z307" s="941" t="n"/>
      <c r="AA307" s="666" t="n"/>
      <c r="AB307" s="666" t="n"/>
      <c r="AC307" s="666" t="n"/>
    </row>
    <row r="308" ht="14.25" customHeight="1">
      <c r="A308" s="667" t="inlineStr">
        <is>
          <t>Вареные колбасы</t>
        </is>
      </c>
      <c r="B308" s="941" t="n"/>
      <c r="C308" s="941" t="n"/>
      <c r="D308" s="941" t="n"/>
      <c r="E308" s="941" t="n"/>
      <c r="F308" s="941" t="n"/>
      <c r="G308" s="941" t="n"/>
      <c r="H308" s="941" t="n"/>
      <c r="I308" s="941" t="n"/>
      <c r="J308" s="941" t="n"/>
      <c r="K308" s="941" t="n"/>
      <c r="L308" s="941" t="n"/>
      <c r="M308" s="941" t="n"/>
      <c r="N308" s="941" t="n"/>
      <c r="O308" s="941" t="n"/>
      <c r="P308" s="941" t="n"/>
      <c r="Q308" s="941" t="n"/>
      <c r="R308" s="941" t="n"/>
      <c r="S308" s="941" t="n"/>
      <c r="T308" s="941" t="n"/>
      <c r="U308" s="941" t="n"/>
      <c r="V308" s="941" t="n"/>
      <c r="W308" s="941" t="n"/>
      <c r="X308" s="941" t="n"/>
      <c r="Y308" s="941" t="n"/>
      <c r="Z308" s="941" t="n"/>
      <c r="AA308" s="667" t="n"/>
      <c r="AB308" s="667" t="n"/>
      <c r="AC308" s="667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8" t="n">
        <v>4680115885837</v>
      </c>
      <c r="E309" s="951" t="n"/>
      <c r="F309" s="990" t="n">
        <v>1.35</v>
      </c>
      <c r="G309" s="35" t="n">
        <v>8</v>
      </c>
      <c r="H309" s="990" t="n">
        <v>10.8</v>
      </c>
      <c r="I309" s="990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50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92" t="n"/>
      <c r="R309" s="992" t="n"/>
      <c r="S309" s="992" t="n"/>
      <c r="T309" s="993" t="n"/>
      <c r="U309" s="37" t="inlineStr"/>
      <c r="V309" s="37" t="inlineStr"/>
      <c r="W309" s="38" t="inlineStr">
        <is>
          <t>кг</t>
        </is>
      </c>
      <c r="X309" s="994" t="n">
        <v>90</v>
      </c>
      <c r="Y309" s="995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8" t="n">
        <v>4680115887237</v>
      </c>
      <c r="E310" s="951" t="n"/>
      <c r="F310" s="990" t="n">
        <v>1.35</v>
      </c>
      <c r="G310" s="35" t="n">
        <v>8</v>
      </c>
      <c r="H310" s="990" t="n">
        <v>10.8</v>
      </c>
      <c r="I310" s="990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51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92" t="n"/>
      <c r="R310" s="992" t="n"/>
      <c r="S310" s="992" t="n"/>
      <c r="T310" s="993" t="n"/>
      <c r="U310" s="37" t="inlineStr"/>
      <c r="V310" s="37" t="inlineStr"/>
      <c r="W310" s="38" t="inlineStr">
        <is>
          <t>кг</t>
        </is>
      </c>
      <c r="X310" s="994" t="n">
        <v>0</v>
      </c>
      <c r="Y310" s="995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8" t="n">
        <v>4680115885806</v>
      </c>
      <c r="E311" s="951" t="n"/>
      <c r="F311" s="990" t="n">
        <v>1.35</v>
      </c>
      <c r="G311" s="35" t="n">
        <v>8</v>
      </c>
      <c r="H311" s="990" t="n">
        <v>10.8</v>
      </c>
      <c r="I311" s="990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5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92" t="n"/>
      <c r="R311" s="992" t="n"/>
      <c r="S311" s="992" t="n"/>
      <c r="T311" s="993" t="n"/>
      <c r="U311" s="37" t="inlineStr"/>
      <c r="V311" s="37" t="inlineStr"/>
      <c r="W311" s="38" t="inlineStr">
        <is>
          <t>кг</t>
        </is>
      </c>
      <c r="X311" s="994" t="n">
        <v>240</v>
      </c>
      <c r="Y311" s="995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8" t="n">
        <v>4680115885844</v>
      </c>
      <c r="E312" s="951" t="n"/>
      <c r="F312" s="990" t="n">
        <v>0.4</v>
      </c>
      <c r="G312" s="35" t="n">
        <v>10</v>
      </c>
      <c r="H312" s="990" t="n">
        <v>4</v>
      </c>
      <c r="I312" s="990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3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92" t="n"/>
      <c r="R312" s="992" t="n"/>
      <c r="S312" s="992" t="n"/>
      <c r="T312" s="993" t="n"/>
      <c r="U312" s="37" t="inlineStr"/>
      <c r="V312" s="37" t="inlineStr"/>
      <c r="W312" s="38" t="inlineStr">
        <is>
          <t>кг</t>
        </is>
      </c>
      <c r="X312" s="994" t="n">
        <v>4</v>
      </c>
      <c r="Y312" s="995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8" t="n">
        <v>4680115885820</v>
      </c>
      <c r="E313" s="951" t="n"/>
      <c r="F313" s="990" t="n">
        <v>0.4</v>
      </c>
      <c r="G313" s="35" t="n">
        <v>10</v>
      </c>
      <c r="H313" s="990" t="n">
        <v>4</v>
      </c>
      <c r="I313" s="990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92" t="n"/>
      <c r="R313" s="992" t="n"/>
      <c r="S313" s="992" t="n"/>
      <c r="T313" s="993" t="n"/>
      <c r="U313" s="37" t="inlineStr"/>
      <c r="V313" s="37" t="inlineStr"/>
      <c r="W313" s="38" t="inlineStr">
        <is>
          <t>кг</t>
        </is>
      </c>
      <c r="X313" s="994" t="n">
        <v>20</v>
      </c>
      <c r="Y313" s="995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7" t="n"/>
      <c r="B314" s="941" t="n"/>
      <c r="C314" s="941" t="n"/>
      <c r="D314" s="941" t="n"/>
      <c r="E314" s="941" t="n"/>
      <c r="F314" s="941" t="n"/>
      <c r="G314" s="941" t="n"/>
      <c r="H314" s="941" t="n"/>
      <c r="I314" s="941" t="n"/>
      <c r="J314" s="941" t="n"/>
      <c r="K314" s="941" t="n"/>
      <c r="L314" s="941" t="n"/>
      <c r="M314" s="941" t="n"/>
      <c r="N314" s="941" t="n"/>
      <c r="O314" s="997" t="n"/>
      <c r="P314" s="998" t="inlineStr">
        <is>
          <t>Итого</t>
        </is>
      </c>
      <c r="Q314" s="959" t="n"/>
      <c r="R314" s="959" t="n"/>
      <c r="S314" s="959" t="n"/>
      <c r="T314" s="959" t="n"/>
      <c r="U314" s="959" t="n"/>
      <c r="V314" s="960" t="n"/>
      <c r="W314" s="40" t="inlineStr">
        <is>
          <t>кор</t>
        </is>
      </c>
      <c r="X314" s="999">
        <f>IFERROR(X309/H309,"0")+IFERROR(X310/H310,"0")+IFERROR(X311/H311,"0")+IFERROR(X312/H312,"0")+IFERROR(X313/H313,"0")</f>
        <v/>
      </c>
      <c r="Y314" s="999">
        <f>IFERROR(Y309/H309,"0")+IFERROR(Y310/H310,"0")+IFERROR(Y311/H311,"0")+IFERROR(Y312/H312,"0")+IFERROR(Y313/H313,"0")</f>
        <v/>
      </c>
      <c r="Z314" s="999">
        <f>IFERROR(IF(Z309="",0,Z309),"0")+IFERROR(IF(Z310="",0,Z310),"0")+IFERROR(IF(Z311="",0,Z311),"0")+IFERROR(IF(Z312="",0,Z312),"0")+IFERROR(IF(Z313="",0,Z313),"0")</f>
        <v/>
      </c>
      <c r="AA314" s="1000" t="n"/>
      <c r="AB314" s="1000" t="n"/>
      <c r="AC314" s="1000" t="n"/>
    </row>
    <row r="315">
      <c r="A315" s="941" t="n"/>
      <c r="B315" s="941" t="n"/>
      <c r="C315" s="941" t="n"/>
      <c r="D315" s="941" t="n"/>
      <c r="E315" s="941" t="n"/>
      <c r="F315" s="941" t="n"/>
      <c r="G315" s="941" t="n"/>
      <c r="H315" s="941" t="n"/>
      <c r="I315" s="941" t="n"/>
      <c r="J315" s="941" t="n"/>
      <c r="K315" s="941" t="n"/>
      <c r="L315" s="941" t="n"/>
      <c r="M315" s="941" t="n"/>
      <c r="N315" s="941" t="n"/>
      <c r="O315" s="997" t="n"/>
      <c r="P315" s="998" t="inlineStr">
        <is>
          <t>Итого</t>
        </is>
      </c>
      <c r="Q315" s="959" t="n"/>
      <c r="R315" s="959" t="n"/>
      <c r="S315" s="959" t="n"/>
      <c r="T315" s="959" t="n"/>
      <c r="U315" s="959" t="n"/>
      <c r="V315" s="960" t="n"/>
      <c r="W315" s="40" t="inlineStr">
        <is>
          <t>кг</t>
        </is>
      </c>
      <c r="X315" s="999">
        <f>IFERROR(SUM(X309:X313),"0")</f>
        <v/>
      </c>
      <c r="Y315" s="999">
        <f>IFERROR(SUM(Y309:Y313),"0")</f>
        <v/>
      </c>
      <c r="Z315" s="40" t="n"/>
      <c r="AA315" s="1000" t="n"/>
      <c r="AB315" s="1000" t="n"/>
      <c r="AC315" s="1000" t="n"/>
    </row>
    <row r="316" ht="16.5" customHeight="1">
      <c r="A316" s="666" t="inlineStr">
        <is>
          <t>Сочинка по-баварски</t>
        </is>
      </c>
      <c r="B316" s="941" t="n"/>
      <c r="C316" s="941" t="n"/>
      <c r="D316" s="941" t="n"/>
      <c r="E316" s="941" t="n"/>
      <c r="F316" s="941" t="n"/>
      <c r="G316" s="941" t="n"/>
      <c r="H316" s="941" t="n"/>
      <c r="I316" s="941" t="n"/>
      <c r="J316" s="941" t="n"/>
      <c r="K316" s="941" t="n"/>
      <c r="L316" s="941" t="n"/>
      <c r="M316" s="941" t="n"/>
      <c r="N316" s="941" t="n"/>
      <c r="O316" s="941" t="n"/>
      <c r="P316" s="941" t="n"/>
      <c r="Q316" s="941" t="n"/>
      <c r="R316" s="941" t="n"/>
      <c r="S316" s="941" t="n"/>
      <c r="T316" s="941" t="n"/>
      <c r="U316" s="941" t="n"/>
      <c r="V316" s="941" t="n"/>
      <c r="W316" s="941" t="n"/>
      <c r="X316" s="941" t="n"/>
      <c r="Y316" s="941" t="n"/>
      <c r="Z316" s="941" t="n"/>
      <c r="AA316" s="666" t="n"/>
      <c r="AB316" s="666" t="n"/>
      <c r="AC316" s="666" t="n"/>
    </row>
    <row r="317" ht="14.25" customHeight="1">
      <c r="A317" s="667" t="inlineStr">
        <is>
          <t>Сосиски</t>
        </is>
      </c>
      <c r="B317" s="941" t="n"/>
      <c r="C317" s="941" t="n"/>
      <c r="D317" s="941" t="n"/>
      <c r="E317" s="941" t="n"/>
      <c r="F317" s="941" t="n"/>
      <c r="G317" s="941" t="n"/>
      <c r="H317" s="941" t="n"/>
      <c r="I317" s="941" t="n"/>
      <c r="J317" s="941" t="n"/>
      <c r="K317" s="941" t="n"/>
      <c r="L317" s="941" t="n"/>
      <c r="M317" s="941" t="n"/>
      <c r="N317" s="941" t="n"/>
      <c r="O317" s="941" t="n"/>
      <c r="P317" s="941" t="n"/>
      <c r="Q317" s="941" t="n"/>
      <c r="R317" s="941" t="n"/>
      <c r="S317" s="941" t="n"/>
      <c r="T317" s="941" t="n"/>
      <c r="U317" s="941" t="n"/>
      <c r="V317" s="941" t="n"/>
      <c r="W317" s="941" t="n"/>
      <c r="X317" s="941" t="n"/>
      <c r="Y317" s="941" t="n"/>
      <c r="Z317" s="941" t="n"/>
      <c r="AA317" s="667" t="n"/>
      <c r="AB317" s="667" t="n"/>
      <c r="AC317" s="667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8" t="n">
        <v>4680115886186</v>
      </c>
      <c r="E318" s="951" t="n"/>
      <c r="F318" s="990" t="n">
        <v>0.3</v>
      </c>
      <c r="G318" s="35" t="n">
        <v>6</v>
      </c>
      <c r="H318" s="990" t="n">
        <v>1.8</v>
      </c>
      <c r="I318" s="990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5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92" t="n"/>
      <c r="R318" s="992" t="n"/>
      <c r="S318" s="992" t="n"/>
      <c r="T318" s="993" t="n"/>
      <c r="U318" s="37" t="inlineStr"/>
      <c r="V318" s="37" t="inlineStr"/>
      <c r="W318" s="38" t="inlineStr">
        <is>
          <t>кг</t>
        </is>
      </c>
      <c r="X318" s="994" t="n">
        <v>0</v>
      </c>
      <c r="Y318" s="995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8" t="n">
        <v>4680115881228</v>
      </c>
      <c r="E319" s="951" t="n"/>
      <c r="F319" s="990" t="n">
        <v>0.4</v>
      </c>
      <c r="G319" s="35" t="n">
        <v>6</v>
      </c>
      <c r="H319" s="990" t="n">
        <v>2.4</v>
      </c>
      <c r="I319" s="990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6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92" t="n"/>
      <c r="R319" s="992" t="n"/>
      <c r="S319" s="992" t="n"/>
      <c r="T319" s="993" t="n"/>
      <c r="U319" s="37" t="inlineStr"/>
      <c r="V319" s="37" t="inlineStr"/>
      <c r="W319" s="38" t="inlineStr">
        <is>
          <t>кг</t>
        </is>
      </c>
      <c r="X319" s="994" t="n">
        <v>0</v>
      </c>
      <c r="Y319" s="995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8" t="n">
        <v>4680115881211</v>
      </c>
      <c r="E320" s="951" t="n"/>
      <c r="F320" s="990" t="n">
        <v>0.4</v>
      </c>
      <c r="G320" s="35" t="n">
        <v>6</v>
      </c>
      <c r="H320" s="990" t="n">
        <v>2.4</v>
      </c>
      <c r="I320" s="990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7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92" t="n"/>
      <c r="R320" s="992" t="n"/>
      <c r="S320" s="992" t="n"/>
      <c r="T320" s="993" t="n"/>
      <c r="U320" s="37" t="inlineStr"/>
      <c r="V320" s="37" t="inlineStr"/>
      <c r="W320" s="38" t="inlineStr">
        <is>
          <t>кг</t>
        </is>
      </c>
      <c r="X320" s="994" t="n">
        <v>0</v>
      </c>
      <c r="Y320" s="995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7" t="n"/>
      <c r="B321" s="941" t="n"/>
      <c r="C321" s="941" t="n"/>
      <c r="D321" s="941" t="n"/>
      <c r="E321" s="941" t="n"/>
      <c r="F321" s="941" t="n"/>
      <c r="G321" s="941" t="n"/>
      <c r="H321" s="941" t="n"/>
      <c r="I321" s="941" t="n"/>
      <c r="J321" s="941" t="n"/>
      <c r="K321" s="941" t="n"/>
      <c r="L321" s="941" t="n"/>
      <c r="M321" s="941" t="n"/>
      <c r="N321" s="941" t="n"/>
      <c r="O321" s="997" t="n"/>
      <c r="P321" s="998" t="inlineStr">
        <is>
          <t>Итого</t>
        </is>
      </c>
      <c r="Q321" s="959" t="n"/>
      <c r="R321" s="959" t="n"/>
      <c r="S321" s="959" t="n"/>
      <c r="T321" s="959" t="n"/>
      <c r="U321" s="959" t="n"/>
      <c r="V321" s="960" t="n"/>
      <c r="W321" s="40" t="inlineStr">
        <is>
          <t>кор</t>
        </is>
      </c>
      <c r="X321" s="999">
        <f>IFERROR(X318/H318,"0")+IFERROR(X319/H319,"0")+IFERROR(X320/H320,"0")</f>
        <v/>
      </c>
      <c r="Y321" s="999">
        <f>IFERROR(Y318/H318,"0")+IFERROR(Y319/H319,"0")+IFERROR(Y320/H320,"0")</f>
        <v/>
      </c>
      <c r="Z321" s="999">
        <f>IFERROR(IF(Z318="",0,Z318),"0")+IFERROR(IF(Z319="",0,Z319),"0")+IFERROR(IF(Z320="",0,Z320),"0")</f>
        <v/>
      </c>
      <c r="AA321" s="1000" t="n"/>
      <c r="AB321" s="1000" t="n"/>
      <c r="AC321" s="1000" t="n"/>
    </row>
    <row r="322">
      <c r="A322" s="941" t="n"/>
      <c r="B322" s="941" t="n"/>
      <c r="C322" s="941" t="n"/>
      <c r="D322" s="941" t="n"/>
      <c r="E322" s="941" t="n"/>
      <c r="F322" s="941" t="n"/>
      <c r="G322" s="941" t="n"/>
      <c r="H322" s="941" t="n"/>
      <c r="I322" s="941" t="n"/>
      <c r="J322" s="941" t="n"/>
      <c r="K322" s="941" t="n"/>
      <c r="L322" s="941" t="n"/>
      <c r="M322" s="941" t="n"/>
      <c r="N322" s="941" t="n"/>
      <c r="O322" s="997" t="n"/>
      <c r="P322" s="998" t="inlineStr">
        <is>
          <t>Итого</t>
        </is>
      </c>
      <c r="Q322" s="959" t="n"/>
      <c r="R322" s="959" t="n"/>
      <c r="S322" s="959" t="n"/>
      <c r="T322" s="959" t="n"/>
      <c r="U322" s="959" t="n"/>
      <c r="V322" s="960" t="n"/>
      <c r="W322" s="40" t="inlineStr">
        <is>
          <t>кг</t>
        </is>
      </c>
      <c r="X322" s="999">
        <f>IFERROR(SUM(X318:X320),"0")</f>
        <v/>
      </c>
      <c r="Y322" s="999">
        <f>IFERROR(SUM(Y318:Y320),"0")</f>
        <v/>
      </c>
      <c r="Z322" s="40" t="n"/>
      <c r="AA322" s="1000" t="n"/>
      <c r="AB322" s="1000" t="n"/>
      <c r="AC322" s="1000" t="n"/>
    </row>
    <row r="323" ht="16.5" customHeight="1">
      <c r="A323" s="666" t="inlineStr">
        <is>
          <t>Стародворская EDLP/EDPP</t>
        </is>
      </c>
      <c r="B323" s="941" t="n"/>
      <c r="C323" s="941" t="n"/>
      <c r="D323" s="941" t="n"/>
      <c r="E323" s="941" t="n"/>
      <c r="F323" s="941" t="n"/>
      <c r="G323" s="941" t="n"/>
      <c r="H323" s="941" t="n"/>
      <c r="I323" s="941" t="n"/>
      <c r="J323" s="941" t="n"/>
      <c r="K323" s="941" t="n"/>
      <c r="L323" s="941" t="n"/>
      <c r="M323" s="941" t="n"/>
      <c r="N323" s="941" t="n"/>
      <c r="O323" s="941" t="n"/>
      <c r="P323" s="941" t="n"/>
      <c r="Q323" s="941" t="n"/>
      <c r="R323" s="941" t="n"/>
      <c r="S323" s="941" t="n"/>
      <c r="T323" s="941" t="n"/>
      <c r="U323" s="941" t="n"/>
      <c r="V323" s="941" t="n"/>
      <c r="W323" s="941" t="n"/>
      <c r="X323" s="941" t="n"/>
      <c r="Y323" s="941" t="n"/>
      <c r="Z323" s="941" t="n"/>
      <c r="AA323" s="666" t="n"/>
      <c r="AB323" s="666" t="n"/>
      <c r="AC323" s="666" t="n"/>
    </row>
    <row r="324" ht="14.25" customHeight="1">
      <c r="A324" s="667" t="inlineStr">
        <is>
          <t>Копченые колбасы</t>
        </is>
      </c>
      <c r="B324" s="941" t="n"/>
      <c r="C324" s="941" t="n"/>
      <c r="D324" s="941" t="n"/>
      <c r="E324" s="941" t="n"/>
      <c r="F324" s="941" t="n"/>
      <c r="G324" s="941" t="n"/>
      <c r="H324" s="941" t="n"/>
      <c r="I324" s="941" t="n"/>
      <c r="J324" s="941" t="n"/>
      <c r="K324" s="941" t="n"/>
      <c r="L324" s="941" t="n"/>
      <c r="M324" s="941" t="n"/>
      <c r="N324" s="941" t="n"/>
      <c r="O324" s="941" t="n"/>
      <c r="P324" s="941" t="n"/>
      <c r="Q324" s="941" t="n"/>
      <c r="R324" s="941" t="n"/>
      <c r="S324" s="941" t="n"/>
      <c r="T324" s="941" t="n"/>
      <c r="U324" s="941" t="n"/>
      <c r="V324" s="941" t="n"/>
      <c r="W324" s="941" t="n"/>
      <c r="X324" s="941" t="n"/>
      <c r="Y324" s="941" t="n"/>
      <c r="Z324" s="941" t="n"/>
      <c r="AA324" s="667" t="n"/>
      <c r="AB324" s="667" t="n"/>
      <c r="AC324" s="667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8" t="n">
        <v>4680115888319</v>
      </c>
      <c r="E325" s="951" t="n"/>
      <c r="F325" s="990" t="n">
        <v>0.35</v>
      </c>
      <c r="G325" s="35" t="n">
        <v>6</v>
      </c>
      <c r="H325" s="990" t="n">
        <v>2.1</v>
      </c>
      <c r="I325" s="990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92" t="n"/>
      <c r="R325" s="992" t="n"/>
      <c r="S325" s="992" t="n"/>
      <c r="T325" s="993" t="n"/>
      <c r="U325" s="37" t="inlineStr"/>
      <c r="V325" s="37" t="inlineStr"/>
      <c r="W325" s="38" t="inlineStr">
        <is>
          <t>кг</t>
        </is>
      </c>
      <c r="X325" s="994" t="n">
        <v>0</v>
      </c>
      <c r="Y325" s="995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8" t="n">
        <v>4680115884700</v>
      </c>
      <c r="E326" s="951" t="n"/>
      <c r="F326" s="990" t="n">
        <v>0.58</v>
      </c>
      <c r="G326" s="35" t="n">
        <v>4</v>
      </c>
      <c r="H326" s="990" t="n">
        <v>2.32</v>
      </c>
      <c r="I326" s="990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9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92" t="n"/>
      <c r="R326" s="992" t="n"/>
      <c r="S326" s="992" t="n"/>
      <c r="T326" s="993" t="n"/>
      <c r="U326" s="37" t="inlineStr"/>
      <c r="V326" s="37" t="inlineStr"/>
      <c r="W326" s="38" t="inlineStr">
        <is>
          <t>кг</t>
        </is>
      </c>
      <c r="X326" s="994" t="n">
        <v>0</v>
      </c>
      <c r="Y326" s="995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8" t="n">
        <v>4680115880344</v>
      </c>
      <c r="E327" s="951" t="n"/>
      <c r="F327" s="990" t="n">
        <v>0.28</v>
      </c>
      <c r="G327" s="35" t="n">
        <v>6</v>
      </c>
      <c r="H327" s="990" t="n">
        <v>1.68</v>
      </c>
      <c r="I327" s="990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60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92" t="n"/>
      <c r="R327" s="992" t="n"/>
      <c r="S327" s="992" t="n"/>
      <c r="T327" s="993" t="n"/>
      <c r="U327" s="37" t="inlineStr"/>
      <c r="V327" s="37" t="inlineStr"/>
      <c r="W327" s="38" t="inlineStr">
        <is>
          <t>кг</t>
        </is>
      </c>
      <c r="X327" s="994" t="n">
        <v>0</v>
      </c>
      <c r="Y327" s="995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8" t="n">
        <v>4680115886919</v>
      </c>
      <c r="E328" s="951" t="n"/>
      <c r="F328" s="990" t="n">
        <v>0.4</v>
      </c>
      <c r="G328" s="35" t="n">
        <v>6</v>
      </c>
      <c r="H328" s="990" t="n">
        <v>2.4</v>
      </c>
      <c r="I328" s="990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61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92" t="n"/>
      <c r="R328" s="992" t="n"/>
      <c r="S328" s="992" t="n"/>
      <c r="T328" s="993" t="n"/>
      <c r="U328" s="37" t="inlineStr"/>
      <c r="V328" s="37" t="inlineStr"/>
      <c r="W328" s="38" t="inlineStr">
        <is>
          <t>кг</t>
        </is>
      </c>
      <c r="X328" s="994" t="n">
        <v>0</v>
      </c>
      <c r="Y328" s="995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8" t="n">
        <v>4680115883970</v>
      </c>
      <c r="E329" s="951" t="n"/>
      <c r="F329" s="990" t="n">
        <v>0.28</v>
      </c>
      <c r="G329" s="35" t="n">
        <v>6</v>
      </c>
      <c r="H329" s="990" t="n">
        <v>1.68</v>
      </c>
      <c r="I329" s="990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62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92" t="n"/>
      <c r="R329" s="992" t="n"/>
      <c r="S329" s="992" t="n"/>
      <c r="T329" s="993" t="n"/>
      <c r="U329" s="37" t="inlineStr"/>
      <c r="V329" s="37" t="inlineStr"/>
      <c r="W329" s="38" t="inlineStr">
        <is>
          <t>кг</t>
        </is>
      </c>
      <c r="X329" s="994" t="n">
        <v>0</v>
      </c>
      <c r="Y329" s="995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7" t="n"/>
      <c r="B330" s="941" t="n"/>
      <c r="C330" s="941" t="n"/>
      <c r="D330" s="941" t="n"/>
      <c r="E330" s="941" t="n"/>
      <c r="F330" s="941" t="n"/>
      <c r="G330" s="941" t="n"/>
      <c r="H330" s="941" t="n"/>
      <c r="I330" s="941" t="n"/>
      <c r="J330" s="941" t="n"/>
      <c r="K330" s="941" t="n"/>
      <c r="L330" s="941" t="n"/>
      <c r="M330" s="941" t="n"/>
      <c r="N330" s="941" t="n"/>
      <c r="O330" s="997" t="n"/>
      <c r="P330" s="998" t="inlineStr">
        <is>
          <t>Итого</t>
        </is>
      </c>
      <c r="Q330" s="959" t="n"/>
      <c r="R330" s="959" t="n"/>
      <c r="S330" s="959" t="n"/>
      <c r="T330" s="959" t="n"/>
      <c r="U330" s="959" t="n"/>
      <c r="V330" s="960" t="n"/>
      <c r="W330" s="40" t="inlineStr">
        <is>
          <t>кор</t>
        </is>
      </c>
      <c r="X330" s="999">
        <f>IFERROR(X325/H325,"0")+IFERROR(X326/H326,"0")+IFERROR(X327/H327,"0")+IFERROR(X328/H328,"0")+IFERROR(X329/H329,"0")</f>
        <v/>
      </c>
      <c r="Y330" s="999">
        <f>IFERROR(Y325/H325,"0")+IFERROR(Y326/H326,"0")+IFERROR(Y327/H327,"0")+IFERROR(Y328/H328,"0")+IFERROR(Y329/H329,"0")</f>
        <v/>
      </c>
      <c r="Z330" s="999">
        <f>IFERROR(IF(Z325="",0,Z325),"0")+IFERROR(IF(Z326="",0,Z326),"0")+IFERROR(IF(Z327="",0,Z327),"0")+IFERROR(IF(Z328="",0,Z328),"0")+IFERROR(IF(Z329="",0,Z329),"0")</f>
        <v/>
      </c>
      <c r="AA330" s="1000" t="n"/>
      <c r="AB330" s="1000" t="n"/>
      <c r="AC330" s="1000" t="n"/>
    </row>
    <row r="331">
      <c r="A331" s="941" t="n"/>
      <c r="B331" s="941" t="n"/>
      <c r="C331" s="941" t="n"/>
      <c r="D331" s="941" t="n"/>
      <c r="E331" s="941" t="n"/>
      <c r="F331" s="941" t="n"/>
      <c r="G331" s="941" t="n"/>
      <c r="H331" s="941" t="n"/>
      <c r="I331" s="941" t="n"/>
      <c r="J331" s="941" t="n"/>
      <c r="K331" s="941" t="n"/>
      <c r="L331" s="941" t="n"/>
      <c r="M331" s="941" t="n"/>
      <c r="N331" s="941" t="n"/>
      <c r="O331" s="997" t="n"/>
      <c r="P331" s="998" t="inlineStr">
        <is>
          <t>Итого</t>
        </is>
      </c>
      <c r="Q331" s="959" t="n"/>
      <c r="R331" s="959" t="n"/>
      <c r="S331" s="959" t="n"/>
      <c r="T331" s="959" t="n"/>
      <c r="U331" s="959" t="n"/>
      <c r="V331" s="960" t="n"/>
      <c r="W331" s="40" t="inlineStr">
        <is>
          <t>кг</t>
        </is>
      </c>
      <c r="X331" s="999">
        <f>IFERROR(SUM(X325:X329),"0")</f>
        <v/>
      </c>
      <c r="Y331" s="999">
        <f>IFERROR(SUM(Y325:Y329),"0")</f>
        <v/>
      </c>
      <c r="Z331" s="40" t="n"/>
      <c r="AA331" s="1000" t="n"/>
      <c r="AB331" s="1000" t="n"/>
      <c r="AC331" s="1000" t="n"/>
    </row>
    <row r="332" ht="14.25" customHeight="1">
      <c r="A332" s="667" t="inlineStr">
        <is>
          <t>Сосиски</t>
        </is>
      </c>
      <c r="B332" s="941" t="n"/>
      <c r="C332" s="941" t="n"/>
      <c r="D332" s="941" t="n"/>
      <c r="E332" s="941" t="n"/>
      <c r="F332" s="941" t="n"/>
      <c r="G332" s="941" t="n"/>
      <c r="H332" s="941" t="n"/>
      <c r="I332" s="941" t="n"/>
      <c r="J332" s="941" t="n"/>
      <c r="K332" s="941" t="n"/>
      <c r="L332" s="941" t="n"/>
      <c r="M332" s="941" t="n"/>
      <c r="N332" s="941" t="n"/>
      <c r="O332" s="941" t="n"/>
      <c r="P332" s="941" t="n"/>
      <c r="Q332" s="941" t="n"/>
      <c r="R332" s="941" t="n"/>
      <c r="S332" s="941" t="n"/>
      <c r="T332" s="941" t="n"/>
      <c r="U332" s="941" t="n"/>
      <c r="V332" s="941" t="n"/>
      <c r="W332" s="941" t="n"/>
      <c r="X332" s="941" t="n"/>
      <c r="Y332" s="941" t="n"/>
      <c r="Z332" s="941" t="n"/>
      <c r="AA332" s="667" t="n"/>
      <c r="AB332" s="667" t="n"/>
      <c r="AC332" s="667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8" t="n">
        <v>4680115884618</v>
      </c>
      <c r="E333" s="951" t="n"/>
      <c r="F333" s="990" t="n">
        <v>0.6</v>
      </c>
      <c r="G333" s="35" t="n">
        <v>6</v>
      </c>
      <c r="H333" s="990" t="n">
        <v>3.6</v>
      </c>
      <c r="I333" s="990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3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92" t="n"/>
      <c r="R333" s="992" t="n"/>
      <c r="S333" s="992" t="n"/>
      <c r="T333" s="993" t="n"/>
      <c r="U333" s="37" t="inlineStr"/>
      <c r="V333" s="37" t="inlineStr"/>
      <c r="W333" s="38" t="inlineStr">
        <is>
          <t>кг</t>
        </is>
      </c>
      <c r="X333" s="994" t="n">
        <v>0</v>
      </c>
      <c r="Y333" s="995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8" t="n">
        <v>4680115887114</v>
      </c>
      <c r="E334" s="951" t="n"/>
      <c r="F334" s="990" t="n">
        <v>0.55</v>
      </c>
      <c r="G334" s="35" t="n">
        <v>6</v>
      </c>
      <c r="H334" s="990" t="n">
        <v>3.3</v>
      </c>
      <c r="I334" s="990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4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92" t="n"/>
      <c r="R334" s="992" t="n"/>
      <c r="S334" s="992" t="n"/>
      <c r="T334" s="993" t="n"/>
      <c r="U334" s="37" t="inlineStr"/>
      <c r="V334" s="37" t="inlineStr"/>
      <c r="W334" s="38" t="inlineStr">
        <is>
          <t>кг</t>
        </is>
      </c>
      <c r="X334" s="994" t="n">
        <v>0</v>
      </c>
      <c r="Y334" s="995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7" t="n"/>
      <c r="B335" s="941" t="n"/>
      <c r="C335" s="941" t="n"/>
      <c r="D335" s="941" t="n"/>
      <c r="E335" s="941" t="n"/>
      <c r="F335" s="941" t="n"/>
      <c r="G335" s="941" t="n"/>
      <c r="H335" s="941" t="n"/>
      <c r="I335" s="941" t="n"/>
      <c r="J335" s="941" t="n"/>
      <c r="K335" s="941" t="n"/>
      <c r="L335" s="941" t="n"/>
      <c r="M335" s="941" t="n"/>
      <c r="N335" s="941" t="n"/>
      <c r="O335" s="997" t="n"/>
      <c r="P335" s="998" t="inlineStr">
        <is>
          <t>Итого</t>
        </is>
      </c>
      <c r="Q335" s="959" t="n"/>
      <c r="R335" s="959" t="n"/>
      <c r="S335" s="959" t="n"/>
      <c r="T335" s="959" t="n"/>
      <c r="U335" s="959" t="n"/>
      <c r="V335" s="960" t="n"/>
      <c r="W335" s="40" t="inlineStr">
        <is>
          <t>кор</t>
        </is>
      </c>
      <c r="X335" s="999">
        <f>IFERROR(X333/H333,"0")+IFERROR(X334/H334,"0")</f>
        <v/>
      </c>
      <c r="Y335" s="999">
        <f>IFERROR(Y333/H333,"0")+IFERROR(Y334/H334,"0")</f>
        <v/>
      </c>
      <c r="Z335" s="999">
        <f>IFERROR(IF(Z333="",0,Z333),"0")+IFERROR(IF(Z334="",0,Z334),"0")</f>
        <v/>
      </c>
      <c r="AA335" s="1000" t="n"/>
      <c r="AB335" s="1000" t="n"/>
      <c r="AC335" s="1000" t="n"/>
    </row>
    <row r="336">
      <c r="A336" s="941" t="n"/>
      <c r="B336" s="941" t="n"/>
      <c r="C336" s="941" t="n"/>
      <c r="D336" s="941" t="n"/>
      <c r="E336" s="941" t="n"/>
      <c r="F336" s="941" t="n"/>
      <c r="G336" s="941" t="n"/>
      <c r="H336" s="941" t="n"/>
      <c r="I336" s="941" t="n"/>
      <c r="J336" s="941" t="n"/>
      <c r="K336" s="941" t="n"/>
      <c r="L336" s="941" t="n"/>
      <c r="M336" s="941" t="n"/>
      <c r="N336" s="941" t="n"/>
      <c r="O336" s="997" t="n"/>
      <c r="P336" s="998" t="inlineStr">
        <is>
          <t>Итого</t>
        </is>
      </c>
      <c r="Q336" s="959" t="n"/>
      <c r="R336" s="959" t="n"/>
      <c r="S336" s="959" t="n"/>
      <c r="T336" s="959" t="n"/>
      <c r="U336" s="959" t="n"/>
      <c r="V336" s="960" t="n"/>
      <c r="W336" s="40" t="inlineStr">
        <is>
          <t>кг</t>
        </is>
      </c>
      <c r="X336" s="999">
        <f>IFERROR(SUM(X333:X334),"0")</f>
        <v/>
      </c>
      <c r="Y336" s="999">
        <f>IFERROR(SUM(Y333:Y334),"0")</f>
        <v/>
      </c>
      <c r="Z336" s="40" t="n"/>
      <c r="AA336" s="1000" t="n"/>
      <c r="AB336" s="1000" t="n"/>
      <c r="AC336" s="1000" t="n"/>
    </row>
    <row r="337" ht="16.5" customHeight="1">
      <c r="A337" s="666" t="inlineStr">
        <is>
          <t>Тамбовская в обвязке</t>
        </is>
      </c>
      <c r="B337" s="941" t="n"/>
      <c r="C337" s="941" t="n"/>
      <c r="D337" s="941" t="n"/>
      <c r="E337" s="941" t="n"/>
      <c r="F337" s="941" t="n"/>
      <c r="G337" s="941" t="n"/>
      <c r="H337" s="941" t="n"/>
      <c r="I337" s="941" t="n"/>
      <c r="J337" s="941" t="n"/>
      <c r="K337" s="941" t="n"/>
      <c r="L337" s="941" t="n"/>
      <c r="M337" s="941" t="n"/>
      <c r="N337" s="941" t="n"/>
      <c r="O337" s="941" t="n"/>
      <c r="P337" s="941" t="n"/>
      <c r="Q337" s="941" t="n"/>
      <c r="R337" s="941" t="n"/>
      <c r="S337" s="941" t="n"/>
      <c r="T337" s="941" t="n"/>
      <c r="U337" s="941" t="n"/>
      <c r="V337" s="941" t="n"/>
      <c r="W337" s="941" t="n"/>
      <c r="X337" s="941" t="n"/>
      <c r="Y337" s="941" t="n"/>
      <c r="Z337" s="941" t="n"/>
      <c r="AA337" s="666" t="n"/>
      <c r="AB337" s="666" t="n"/>
      <c r="AC337" s="666" t="n"/>
    </row>
    <row r="338" ht="14.25" customHeight="1">
      <c r="A338" s="667" t="inlineStr">
        <is>
          <t>Вареные колбасы</t>
        </is>
      </c>
      <c r="B338" s="941" t="n"/>
      <c r="C338" s="941" t="n"/>
      <c r="D338" s="941" t="n"/>
      <c r="E338" s="941" t="n"/>
      <c r="F338" s="941" t="n"/>
      <c r="G338" s="941" t="n"/>
      <c r="H338" s="941" t="n"/>
      <c r="I338" s="941" t="n"/>
      <c r="J338" s="941" t="n"/>
      <c r="K338" s="941" t="n"/>
      <c r="L338" s="941" t="n"/>
      <c r="M338" s="941" t="n"/>
      <c r="N338" s="941" t="n"/>
      <c r="O338" s="941" t="n"/>
      <c r="P338" s="941" t="n"/>
      <c r="Q338" s="941" t="n"/>
      <c r="R338" s="941" t="n"/>
      <c r="S338" s="941" t="n"/>
      <c r="T338" s="941" t="n"/>
      <c r="U338" s="941" t="n"/>
      <c r="V338" s="941" t="n"/>
      <c r="W338" s="941" t="n"/>
      <c r="X338" s="941" t="n"/>
      <c r="Y338" s="941" t="n"/>
      <c r="Z338" s="941" t="n"/>
      <c r="AA338" s="667" t="n"/>
      <c r="AB338" s="667" t="n"/>
      <c r="AC338" s="667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8" t="n">
        <v>4680115887947</v>
      </c>
      <c r="E339" s="951" t="n"/>
      <c r="F339" s="990" t="n">
        <v>1.3</v>
      </c>
      <c r="G339" s="35" t="n">
        <v>6</v>
      </c>
      <c r="H339" s="990" t="n">
        <v>7.8</v>
      </c>
      <c r="I339" s="990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5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92" t="n"/>
      <c r="R339" s="992" t="n"/>
      <c r="S339" s="992" t="n"/>
      <c r="T339" s="993" t="n"/>
      <c r="U339" s="37" t="inlineStr"/>
      <c r="V339" s="37" t="inlineStr"/>
      <c r="W339" s="38" t="inlineStr">
        <is>
          <t>кг</t>
        </is>
      </c>
      <c r="X339" s="994" t="n">
        <v>0</v>
      </c>
      <c r="Y339" s="995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8" t="n">
        <v>4680115887978</v>
      </c>
      <c r="E340" s="951" t="n"/>
      <c r="F340" s="990" t="n">
        <v>1.3</v>
      </c>
      <c r="G340" s="35" t="n">
        <v>6</v>
      </c>
      <c r="H340" s="990" t="n">
        <v>7.8</v>
      </c>
      <c r="I340" s="990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6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92" t="n"/>
      <c r="R340" s="992" t="n"/>
      <c r="S340" s="992" t="n"/>
      <c r="T340" s="993" t="n"/>
      <c r="U340" s="37" t="inlineStr"/>
      <c r="V340" s="37" t="inlineStr"/>
      <c r="W340" s="38" t="inlineStr">
        <is>
          <t>кг</t>
        </is>
      </c>
      <c r="X340" s="994" t="n">
        <v>0</v>
      </c>
      <c r="Y340" s="995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8" t="n">
        <v>4680115887992</v>
      </c>
      <c r="E341" s="951" t="n"/>
      <c r="F341" s="990" t="n">
        <v>1.3</v>
      </c>
      <c r="G341" s="35" t="n">
        <v>6</v>
      </c>
      <c r="H341" s="990" t="n">
        <v>7.8</v>
      </c>
      <c r="I341" s="990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7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92" t="n"/>
      <c r="R341" s="992" t="n"/>
      <c r="S341" s="992" t="n"/>
      <c r="T341" s="993" t="n"/>
      <c r="U341" s="37" t="inlineStr"/>
      <c r="V341" s="37" t="inlineStr"/>
      <c r="W341" s="38" t="inlineStr">
        <is>
          <t>кг</t>
        </is>
      </c>
      <c r="X341" s="994" t="n">
        <v>0</v>
      </c>
      <c r="Y341" s="995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7" t="n"/>
      <c r="B342" s="941" t="n"/>
      <c r="C342" s="941" t="n"/>
      <c r="D342" s="941" t="n"/>
      <c r="E342" s="941" t="n"/>
      <c r="F342" s="941" t="n"/>
      <c r="G342" s="941" t="n"/>
      <c r="H342" s="941" t="n"/>
      <c r="I342" s="941" t="n"/>
      <c r="J342" s="941" t="n"/>
      <c r="K342" s="941" t="n"/>
      <c r="L342" s="941" t="n"/>
      <c r="M342" s="941" t="n"/>
      <c r="N342" s="941" t="n"/>
      <c r="O342" s="997" t="n"/>
      <c r="P342" s="998" t="inlineStr">
        <is>
          <t>Итого</t>
        </is>
      </c>
      <c r="Q342" s="959" t="n"/>
      <c r="R342" s="959" t="n"/>
      <c r="S342" s="959" t="n"/>
      <c r="T342" s="959" t="n"/>
      <c r="U342" s="959" t="n"/>
      <c r="V342" s="960" t="n"/>
      <c r="W342" s="40" t="inlineStr">
        <is>
          <t>кор</t>
        </is>
      </c>
      <c r="X342" s="999">
        <f>IFERROR(X339/H339,"0")+IFERROR(X340/H340,"0")+IFERROR(X341/H341,"0")</f>
        <v/>
      </c>
      <c r="Y342" s="999">
        <f>IFERROR(Y339/H339,"0")+IFERROR(Y340/H340,"0")+IFERROR(Y341/H341,"0")</f>
        <v/>
      </c>
      <c r="Z342" s="999">
        <f>IFERROR(IF(Z339="",0,Z339),"0")+IFERROR(IF(Z340="",0,Z340),"0")+IFERROR(IF(Z341="",0,Z341),"0")</f>
        <v/>
      </c>
      <c r="AA342" s="1000" t="n"/>
      <c r="AB342" s="1000" t="n"/>
      <c r="AC342" s="1000" t="n"/>
    </row>
    <row r="343">
      <c r="A343" s="941" t="n"/>
      <c r="B343" s="941" t="n"/>
      <c r="C343" s="941" t="n"/>
      <c r="D343" s="941" t="n"/>
      <c r="E343" s="941" t="n"/>
      <c r="F343" s="941" t="n"/>
      <c r="G343" s="941" t="n"/>
      <c r="H343" s="941" t="n"/>
      <c r="I343" s="941" t="n"/>
      <c r="J343" s="941" t="n"/>
      <c r="K343" s="941" t="n"/>
      <c r="L343" s="941" t="n"/>
      <c r="M343" s="941" t="n"/>
      <c r="N343" s="941" t="n"/>
      <c r="O343" s="997" t="n"/>
      <c r="P343" s="998" t="inlineStr">
        <is>
          <t>Итого</t>
        </is>
      </c>
      <c r="Q343" s="959" t="n"/>
      <c r="R343" s="959" t="n"/>
      <c r="S343" s="959" t="n"/>
      <c r="T343" s="959" t="n"/>
      <c r="U343" s="959" t="n"/>
      <c r="V343" s="960" t="n"/>
      <c r="W343" s="40" t="inlineStr">
        <is>
          <t>кг</t>
        </is>
      </c>
      <c r="X343" s="999">
        <f>IFERROR(SUM(X339:X341),"0")</f>
        <v/>
      </c>
      <c r="Y343" s="999">
        <f>IFERROR(SUM(Y339:Y341),"0")</f>
        <v/>
      </c>
      <c r="Z343" s="40" t="n"/>
      <c r="AA343" s="1000" t="n"/>
      <c r="AB343" s="1000" t="n"/>
      <c r="AC343" s="1000" t="n"/>
    </row>
    <row r="344" ht="16.5" customHeight="1">
      <c r="A344" s="666" t="inlineStr">
        <is>
          <t>Бордо</t>
        </is>
      </c>
      <c r="B344" s="941" t="n"/>
      <c r="C344" s="941" t="n"/>
      <c r="D344" s="941" t="n"/>
      <c r="E344" s="941" t="n"/>
      <c r="F344" s="941" t="n"/>
      <c r="G344" s="941" t="n"/>
      <c r="H344" s="941" t="n"/>
      <c r="I344" s="941" t="n"/>
      <c r="J344" s="941" t="n"/>
      <c r="K344" s="941" t="n"/>
      <c r="L344" s="941" t="n"/>
      <c r="M344" s="941" t="n"/>
      <c r="N344" s="941" t="n"/>
      <c r="O344" s="941" t="n"/>
      <c r="P344" s="941" t="n"/>
      <c r="Q344" s="941" t="n"/>
      <c r="R344" s="941" t="n"/>
      <c r="S344" s="941" t="n"/>
      <c r="T344" s="941" t="n"/>
      <c r="U344" s="941" t="n"/>
      <c r="V344" s="941" t="n"/>
      <c r="W344" s="941" t="n"/>
      <c r="X344" s="941" t="n"/>
      <c r="Y344" s="941" t="n"/>
      <c r="Z344" s="941" t="n"/>
      <c r="AA344" s="666" t="n"/>
      <c r="AB344" s="666" t="n"/>
      <c r="AC344" s="666" t="n"/>
    </row>
    <row r="345" ht="14.25" customHeight="1">
      <c r="A345" s="667" t="inlineStr">
        <is>
          <t>Вареные колбасы</t>
        </is>
      </c>
      <c r="B345" s="941" t="n"/>
      <c r="C345" s="941" t="n"/>
      <c r="D345" s="941" t="n"/>
      <c r="E345" s="941" t="n"/>
      <c r="F345" s="941" t="n"/>
      <c r="G345" s="941" t="n"/>
      <c r="H345" s="941" t="n"/>
      <c r="I345" s="941" t="n"/>
      <c r="J345" s="941" t="n"/>
      <c r="K345" s="941" t="n"/>
      <c r="L345" s="941" t="n"/>
      <c r="M345" s="941" t="n"/>
      <c r="N345" s="941" t="n"/>
      <c r="O345" s="941" t="n"/>
      <c r="P345" s="941" t="n"/>
      <c r="Q345" s="941" t="n"/>
      <c r="R345" s="941" t="n"/>
      <c r="S345" s="941" t="n"/>
      <c r="T345" s="941" t="n"/>
      <c r="U345" s="941" t="n"/>
      <c r="V345" s="941" t="n"/>
      <c r="W345" s="941" t="n"/>
      <c r="X345" s="941" t="n"/>
      <c r="Y345" s="941" t="n"/>
      <c r="Z345" s="941" t="n"/>
      <c r="AA345" s="667" t="n"/>
      <c r="AB345" s="667" t="n"/>
      <c r="AC345" s="667" t="n"/>
    </row>
    <row r="346" ht="27" customHeight="1">
      <c r="A346" s="60" t="inlineStr">
        <is>
          <t>SU001777</t>
        </is>
      </c>
      <c r="B346" s="60" t="inlineStr">
        <is>
          <t>P004919</t>
        </is>
      </c>
      <c r="C346" s="34" t="n">
        <v>4301012126</v>
      </c>
      <c r="D346" s="668" t="n">
        <v>4607091386004</v>
      </c>
      <c r="E346" s="951" t="n"/>
      <c r="F346" s="990" t="n">
        <v>1.35</v>
      </c>
      <c r="G346" s="35" t="n">
        <v>8</v>
      </c>
      <c r="H346" s="990" t="n">
        <v>10.8</v>
      </c>
      <c r="I346" s="990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8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/>
      </c>
      <c r="Q346" s="992" t="n"/>
      <c r="R346" s="992" t="n"/>
      <c r="S346" s="992" t="n"/>
      <c r="T346" s="993" t="n"/>
      <c r="U346" s="37" t="inlineStr"/>
      <c r="V346" s="37" t="inlineStr"/>
      <c r="W346" s="38" t="inlineStr">
        <is>
          <t>кг</t>
        </is>
      </c>
      <c r="X346" s="994" t="n">
        <v>0</v>
      </c>
      <c r="Y346" s="995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Д-RU.РА01.В.87572/26, ЕАЭС N RU Д-RU.РА04.В.04983/25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27" customHeight="1">
      <c r="A347" s="60" t="inlineStr">
        <is>
          <t>SU004009</t>
        </is>
      </c>
      <c r="B347" s="60" t="inlineStr">
        <is>
          <t>P005138</t>
        </is>
      </c>
      <c r="C347" s="34" t="n">
        <v>4301012235</v>
      </c>
      <c r="D347" s="668" t="n">
        <v>4680115887190</v>
      </c>
      <c r="E347" s="951" t="n"/>
      <c r="F347" s="990" t="n">
        <v>1.35</v>
      </c>
      <c r="G347" s="35" t="n">
        <v>8</v>
      </c>
      <c r="H347" s="990" t="n">
        <v>10.8</v>
      </c>
      <c r="I347" s="990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9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7" s="992" t="n"/>
      <c r="R347" s="992" t="n"/>
      <c r="S347" s="992" t="n"/>
      <c r="T347" s="993" t="n"/>
      <c r="U347" s="37" t="inlineStr"/>
      <c r="V347" s="37" t="inlineStr"/>
      <c r="W347" s="38" t="inlineStr">
        <is>
          <t>кг</t>
        </is>
      </c>
      <c r="X347" s="994" t="n">
        <v>0</v>
      </c>
      <c r="Y347" s="995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Д-RU.РА09.В.01730/25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37.5" customHeight="1">
      <c r="A348" s="60" t="inlineStr">
        <is>
          <t>SU004007</t>
        </is>
      </c>
      <c r="B348" s="60" t="inlineStr">
        <is>
          <t>P005136</t>
        </is>
      </c>
      <c r="C348" s="34" t="n">
        <v>4301012233</v>
      </c>
      <c r="D348" s="668" t="n">
        <v>4680115887138</v>
      </c>
      <c r="E348" s="951" t="n"/>
      <c r="F348" s="990" t="n">
        <v>1.35</v>
      </c>
      <c r="G348" s="35" t="n">
        <v>8</v>
      </c>
      <c r="H348" s="990" t="n">
        <v>10.8</v>
      </c>
      <c r="I348" s="990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СК1</t>
        </is>
      </c>
      <c r="N348" s="36" t="n"/>
      <c r="O348" s="35" t="n">
        <v>55</v>
      </c>
      <c r="P348" s="1170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8" s="992" t="n"/>
      <c r="R348" s="992" t="n"/>
      <c r="S348" s="992" t="n"/>
      <c r="T348" s="993" t="n"/>
      <c r="U348" s="37" t="inlineStr"/>
      <c r="V348" s="37" t="inlineStr"/>
      <c r="W348" s="38" t="inlineStr">
        <is>
          <t>кг</t>
        </is>
      </c>
      <c r="X348" s="994" t="n">
        <v>160</v>
      </c>
      <c r="Y348" s="995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Д-RU.РА09.В.02072/25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SU003392</t>
        </is>
      </c>
      <c r="B349" s="60" t="inlineStr">
        <is>
          <t>P004210</t>
        </is>
      </c>
      <c r="C349" s="34" t="n">
        <v>4301012016</v>
      </c>
      <c r="D349" s="668" t="n">
        <v>4680115885554</v>
      </c>
      <c r="E349" s="951" t="n"/>
      <c r="F349" s="990" t="n">
        <v>1.35</v>
      </c>
      <c r="G349" s="35" t="n">
        <v>8</v>
      </c>
      <c r="H349" s="990" t="n">
        <v>10.8</v>
      </c>
      <c r="I349" s="990" t="n">
        <v>11.21</v>
      </c>
      <c r="J349" s="35" t="n">
        <v>64</v>
      </c>
      <c r="K349" s="35" t="inlineStr">
        <is>
          <t>8</t>
        </is>
      </c>
      <c r="L349" s="35" t="inlineStr"/>
      <c r="M349" s="36" t="inlineStr">
        <is>
          <t>СК3</t>
        </is>
      </c>
      <c r="N349" s="36" t="n"/>
      <c r="O349" s="35" t="n">
        <v>55</v>
      </c>
      <c r="P349" s="1171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9" s="992" t="n"/>
      <c r="R349" s="992" t="n"/>
      <c r="S349" s="992" t="n"/>
      <c r="T349" s="993" t="n"/>
      <c r="U349" s="37" t="inlineStr"/>
      <c r="V349" s="37" t="inlineStr"/>
      <c r="W349" s="38" t="inlineStr">
        <is>
          <t>кг</t>
        </is>
      </c>
      <c r="X349" s="994" t="n">
        <v>940</v>
      </c>
      <c r="Y349" s="995">
        <f>IFERROR(IF(X349="",0,CEILING((X349/$H349),1)*$H349),"")</f>
        <v/>
      </c>
      <c r="Z349" s="39">
        <f>IFERROR(IF(Y349=0,"",ROUNDUP(Y349/H349,0)*0.01898),"")</f>
        <v/>
      </c>
      <c r="AA349" s="65" t="inlineStr"/>
      <c r="AB349" s="66" t="inlineStr"/>
      <c r="AC349" s="425" t="inlineStr">
        <is>
          <t>ЕАЭС N RU Д-RU.РА01.В.51811/26, ЕАЭС N RU Д-RU.РА02.В.98175/26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SU004010</t>
        </is>
      </c>
      <c r="B350" s="60" t="inlineStr">
        <is>
          <t>P005139</t>
        </is>
      </c>
      <c r="C350" s="34" t="n">
        <v>4301012236</v>
      </c>
      <c r="D350" s="668" t="n">
        <v>4680115887220</v>
      </c>
      <c r="E350" s="951" t="n"/>
      <c r="F350" s="990" t="n">
        <v>0.4</v>
      </c>
      <c r="G350" s="35" t="n">
        <v>10</v>
      </c>
      <c r="H350" s="990" t="n">
        <v>4</v>
      </c>
      <c r="I350" s="990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72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50" s="992" t="n"/>
      <c r="R350" s="992" t="n"/>
      <c r="S350" s="992" t="n"/>
      <c r="T350" s="993" t="n"/>
      <c r="U350" s="37" t="inlineStr"/>
      <c r="V350" s="37" t="inlineStr"/>
      <c r="W350" s="38" t="inlineStr">
        <is>
          <t>кг</t>
        </is>
      </c>
      <c r="X350" s="994" t="n">
        <v>0</v>
      </c>
      <c r="Y350" s="995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Д-RU.РА09.В.01730/25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 ht="27" customHeight="1">
      <c r="A351" s="60" t="inlineStr">
        <is>
          <t>SU003393</t>
        </is>
      </c>
      <c r="B351" s="60" t="inlineStr">
        <is>
          <t>P004211</t>
        </is>
      </c>
      <c r="C351" s="34" t="n">
        <v>4301011859</v>
      </c>
      <c r="D351" s="668" t="n">
        <v>4680115885608</v>
      </c>
      <c r="E351" s="951" t="n"/>
      <c r="F351" s="990" t="n">
        <v>0.4</v>
      </c>
      <c r="G351" s="35" t="n">
        <v>10</v>
      </c>
      <c r="H351" s="990" t="n">
        <v>4</v>
      </c>
      <c r="I351" s="990" t="n">
        <v>4.19</v>
      </c>
      <c r="J351" s="35" t="n">
        <v>132</v>
      </c>
      <c r="K351" s="35" t="inlineStr">
        <is>
          <t>12</t>
        </is>
      </c>
      <c r="L351" s="35" t="inlineStr"/>
      <c r="M351" s="36" t="inlineStr">
        <is>
          <t>СК1</t>
        </is>
      </c>
      <c r="N351" s="36" t="n"/>
      <c r="O351" s="35" t="n">
        <v>55</v>
      </c>
      <c r="P351" s="1173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1" s="992" t="n"/>
      <c r="R351" s="992" t="n"/>
      <c r="S351" s="992" t="n"/>
      <c r="T351" s="993" t="n"/>
      <c r="U351" s="37" t="inlineStr"/>
      <c r="V351" s="37" t="inlineStr"/>
      <c r="W351" s="38" t="inlineStr">
        <is>
          <t>кг</t>
        </is>
      </c>
      <c r="X351" s="994" t="n">
        <v>108</v>
      </c>
      <c r="Y351" s="995">
        <f>IFERROR(IF(X351="",0,CEILING((X351/$H351),1)*$H351),"")</f>
        <v/>
      </c>
      <c r="Z351" s="39">
        <f>IFERROR(IF(Y351=0,"",ROUNDUP(Y351/H351,0)*0.00902),"")</f>
        <v/>
      </c>
      <c r="AA351" s="65" t="inlineStr"/>
      <c r="AB351" s="66" t="inlineStr"/>
      <c r="AC351" s="429" t="inlineStr">
        <is>
          <t>ЕАЭС N RU Д-RU.РА01.В.51811/26</t>
        </is>
      </c>
      <c r="AG351" s="75" t="n"/>
      <c r="AJ351" s="79" t="inlineStr"/>
      <c r="AK351" s="79" t="n">
        <v>0</v>
      </c>
      <c r="BB351" s="430" t="inlineStr">
        <is>
          <t>КИ</t>
        </is>
      </c>
      <c r="BM351" s="75">
        <f>IFERROR(X351*I351/H351,"0")</f>
        <v/>
      </c>
      <c r="BN351" s="75">
        <f>IFERROR(Y351*I351/H351,"0")</f>
        <v/>
      </c>
      <c r="BO351" s="75">
        <f>IFERROR(1/J351*(X351/H351),"0")</f>
        <v/>
      </c>
      <c r="BP351" s="75">
        <f>IFERROR(1/J351*(Y351/H351),"0")</f>
        <v/>
      </c>
    </row>
    <row r="352">
      <c r="A352" s="677" t="n"/>
      <c r="B352" s="941" t="n"/>
      <c r="C352" s="941" t="n"/>
      <c r="D352" s="941" t="n"/>
      <c r="E352" s="941" t="n"/>
      <c r="F352" s="941" t="n"/>
      <c r="G352" s="941" t="n"/>
      <c r="H352" s="941" t="n"/>
      <c r="I352" s="941" t="n"/>
      <c r="J352" s="941" t="n"/>
      <c r="K352" s="941" t="n"/>
      <c r="L352" s="941" t="n"/>
      <c r="M352" s="941" t="n"/>
      <c r="N352" s="941" t="n"/>
      <c r="O352" s="997" t="n"/>
      <c r="P352" s="998" t="inlineStr">
        <is>
          <t>Итого</t>
        </is>
      </c>
      <c r="Q352" s="959" t="n"/>
      <c r="R352" s="959" t="n"/>
      <c r="S352" s="959" t="n"/>
      <c r="T352" s="959" t="n"/>
      <c r="U352" s="959" t="n"/>
      <c r="V352" s="960" t="n"/>
      <c r="W352" s="40" t="inlineStr">
        <is>
          <t>кор</t>
        </is>
      </c>
      <c r="X352" s="999">
        <f>IFERROR(X346/H346,"0")+IFERROR(X347/H347,"0")+IFERROR(X348/H348,"0")+IFERROR(X349/H349,"0")+IFERROR(X350/H350,"0")+IFERROR(X351/H351,"0")</f>
        <v/>
      </c>
      <c r="Y352" s="999">
        <f>IFERROR(Y346/H346,"0")+IFERROR(Y347/H347,"0")+IFERROR(Y348/H348,"0")+IFERROR(Y349/H349,"0")+IFERROR(Y350/H350,"0")+IFERROR(Y351/H351,"0")</f>
        <v/>
      </c>
      <c r="Z352" s="999">
        <f>IFERROR(IF(Z346="",0,Z346),"0")+IFERROR(IF(Z347="",0,Z347),"0")+IFERROR(IF(Z348="",0,Z348),"0")+IFERROR(IF(Z349="",0,Z349),"0")+IFERROR(IF(Z350="",0,Z350),"0")+IFERROR(IF(Z351="",0,Z351),"0")</f>
        <v/>
      </c>
      <c r="AA352" s="1000" t="n"/>
      <c r="AB352" s="1000" t="n"/>
      <c r="AC352" s="1000" t="n"/>
    </row>
    <row r="353">
      <c r="A353" s="941" t="n"/>
      <c r="B353" s="941" t="n"/>
      <c r="C353" s="941" t="n"/>
      <c r="D353" s="941" t="n"/>
      <c r="E353" s="941" t="n"/>
      <c r="F353" s="941" t="n"/>
      <c r="G353" s="941" t="n"/>
      <c r="H353" s="941" t="n"/>
      <c r="I353" s="941" t="n"/>
      <c r="J353" s="941" t="n"/>
      <c r="K353" s="941" t="n"/>
      <c r="L353" s="941" t="n"/>
      <c r="M353" s="941" t="n"/>
      <c r="N353" s="941" t="n"/>
      <c r="O353" s="997" t="n"/>
      <c r="P353" s="998" t="inlineStr">
        <is>
          <t>Итого</t>
        </is>
      </c>
      <c r="Q353" s="959" t="n"/>
      <c r="R353" s="959" t="n"/>
      <c r="S353" s="959" t="n"/>
      <c r="T353" s="959" t="n"/>
      <c r="U353" s="959" t="n"/>
      <c r="V353" s="960" t="n"/>
      <c r="W353" s="40" t="inlineStr">
        <is>
          <t>кг</t>
        </is>
      </c>
      <c r="X353" s="999">
        <f>IFERROR(SUM(X346:X351),"0")</f>
        <v/>
      </c>
      <c r="Y353" s="999">
        <f>IFERROR(SUM(Y346:Y351),"0")</f>
        <v/>
      </c>
      <c r="Z353" s="40" t="n"/>
      <c r="AA353" s="1000" t="n"/>
      <c r="AB353" s="1000" t="n"/>
      <c r="AC353" s="1000" t="n"/>
    </row>
    <row r="354" ht="14.25" customHeight="1">
      <c r="A354" s="667" t="inlineStr">
        <is>
          <t>Копченые колбасы</t>
        </is>
      </c>
      <c r="B354" s="941" t="n"/>
      <c r="C354" s="941" t="n"/>
      <c r="D354" s="941" t="n"/>
      <c r="E354" s="941" t="n"/>
      <c r="F354" s="941" t="n"/>
      <c r="G354" s="941" t="n"/>
      <c r="H354" s="941" t="n"/>
      <c r="I354" s="941" t="n"/>
      <c r="J354" s="941" t="n"/>
      <c r="K354" s="941" t="n"/>
      <c r="L354" s="941" t="n"/>
      <c r="M354" s="941" t="n"/>
      <c r="N354" s="941" t="n"/>
      <c r="O354" s="941" t="n"/>
      <c r="P354" s="941" t="n"/>
      <c r="Q354" s="941" t="n"/>
      <c r="R354" s="941" t="n"/>
      <c r="S354" s="941" t="n"/>
      <c r="T354" s="941" t="n"/>
      <c r="U354" s="941" t="n"/>
      <c r="V354" s="941" t="n"/>
      <c r="W354" s="941" t="n"/>
      <c r="X354" s="941" t="n"/>
      <c r="Y354" s="941" t="n"/>
      <c r="Z354" s="941" t="n"/>
      <c r="AA354" s="667" t="n"/>
      <c r="AB354" s="667" t="n"/>
      <c r="AC354" s="667" t="n"/>
    </row>
    <row r="355" ht="27" customHeight="1">
      <c r="A355" s="60" t="inlineStr">
        <is>
          <t>SU001820</t>
        </is>
      </c>
      <c r="B355" s="60" t="inlineStr">
        <is>
          <t>P001820</t>
        </is>
      </c>
      <c r="C355" s="34" t="n">
        <v>4301030878</v>
      </c>
      <c r="D355" s="668" t="n">
        <v>4607091387193</v>
      </c>
      <c r="E355" s="951" t="n"/>
      <c r="F355" s="990" t="n">
        <v>0.7</v>
      </c>
      <c r="G355" s="35" t="n">
        <v>6</v>
      </c>
      <c r="H355" s="990" t="n">
        <v>4.2</v>
      </c>
      <c r="I355" s="990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35</v>
      </c>
      <c r="P355" s="1174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5" s="992" t="n"/>
      <c r="R355" s="992" t="n"/>
      <c r="S355" s="992" t="n"/>
      <c r="T355" s="993" t="n"/>
      <c r="U355" s="37" t="inlineStr"/>
      <c r="V355" s="37" t="inlineStr"/>
      <c r="W355" s="38" t="inlineStr">
        <is>
          <t>кг</t>
        </is>
      </c>
      <c r="X355" s="994" t="n">
        <v>110</v>
      </c>
      <c r="Y355" s="995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Д-RU.РА01.В.54347/25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SU001822</t>
        </is>
      </c>
      <c r="B356" s="60" t="inlineStr">
        <is>
          <t>P003013</t>
        </is>
      </c>
      <c r="C356" s="34" t="n">
        <v>4301031153</v>
      </c>
      <c r="D356" s="668" t="n">
        <v>4607091387230</v>
      </c>
      <c r="E356" s="951" t="n"/>
      <c r="F356" s="990" t="n">
        <v>0.7</v>
      </c>
      <c r="G356" s="35" t="n">
        <v>6</v>
      </c>
      <c r="H356" s="990" t="n">
        <v>4.2</v>
      </c>
      <c r="I356" s="990" t="n">
        <v>4.45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40</v>
      </c>
      <c r="P356" s="1175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6" s="992" t="n"/>
      <c r="R356" s="992" t="n"/>
      <c r="S356" s="992" t="n"/>
      <c r="T356" s="993" t="n"/>
      <c r="U356" s="37" t="inlineStr"/>
      <c r="V356" s="37" t="inlineStr"/>
      <c r="W356" s="38" t="inlineStr">
        <is>
          <t>кг</t>
        </is>
      </c>
      <c r="X356" s="994" t="n">
        <v>285</v>
      </c>
      <c r="Y356" s="995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Д-RU.РА02.В.50456/26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SU001801</t>
        </is>
      </c>
      <c r="B357" s="60" t="inlineStr">
        <is>
          <t>P003014</t>
        </is>
      </c>
      <c r="C357" s="34" t="n">
        <v>4301031154</v>
      </c>
      <c r="D357" s="668" t="n">
        <v>4607091387292</v>
      </c>
      <c r="E357" s="951" t="n"/>
      <c r="F357" s="990" t="n">
        <v>0.73</v>
      </c>
      <c r="G357" s="35" t="n">
        <v>6</v>
      </c>
      <c r="H357" s="990" t="n">
        <v>4.38</v>
      </c>
      <c r="I357" s="990" t="n">
        <v>4.63</v>
      </c>
      <c r="J357" s="35" t="n">
        <v>132</v>
      </c>
      <c r="K357" s="35" t="inlineStr">
        <is>
          <t>12</t>
        </is>
      </c>
      <c r="L357" s="35" t="inlineStr"/>
      <c r="M357" s="36" t="inlineStr">
        <is>
          <t>СК2</t>
        </is>
      </c>
      <c r="N357" s="36" t="n"/>
      <c r="O357" s="35" t="n">
        <v>45</v>
      </c>
      <c r="P357" s="1176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7" s="992" t="n"/>
      <c r="R357" s="992" t="n"/>
      <c r="S357" s="992" t="n"/>
      <c r="T357" s="993" t="n"/>
      <c r="U357" s="37" t="inlineStr"/>
      <c r="V357" s="37" t="inlineStr"/>
      <c r="W357" s="38" t="inlineStr">
        <is>
          <t>кг</t>
        </is>
      </c>
      <c r="X357" s="994" t="n">
        <v>0</v>
      </c>
      <c r="Y357" s="995">
        <f>IFERROR(IF(X357="",0,CEILING((X357/$H357),1)*$H357),"")</f>
        <v/>
      </c>
      <c r="Z357" s="39">
        <f>IFERROR(IF(Y357=0,"",ROUNDUP(Y357/H357,0)*0.00902),"")</f>
        <v/>
      </c>
      <c r="AA357" s="65" t="inlineStr"/>
      <c r="AB357" s="66" t="inlineStr"/>
      <c r="AC357" s="435" t="inlineStr">
        <is>
          <t>ЕАЭС N RU Д-RU.РА08.В.55680/25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SU002579</t>
        </is>
      </c>
      <c r="B358" s="60" t="inlineStr">
        <is>
          <t>P003012</t>
        </is>
      </c>
      <c r="C358" s="34" t="n">
        <v>4301031152</v>
      </c>
      <c r="D358" s="668" t="n">
        <v>4607091387285</v>
      </c>
      <c r="E358" s="951" t="n"/>
      <c r="F358" s="990" t="n">
        <v>0.35</v>
      </c>
      <c r="G358" s="35" t="n">
        <v>6</v>
      </c>
      <c r="H358" s="990" t="n">
        <v>2.1</v>
      </c>
      <c r="I358" s="990" t="n">
        <v>2.23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7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8" s="992" t="n"/>
      <c r="R358" s="992" t="n"/>
      <c r="S358" s="992" t="n"/>
      <c r="T358" s="993" t="n"/>
      <c r="U358" s="37" t="inlineStr"/>
      <c r="V358" s="37" t="inlineStr"/>
      <c r="W358" s="38" t="inlineStr">
        <is>
          <t>кг</t>
        </is>
      </c>
      <c r="X358" s="994" t="n">
        <v>44.09999999999999</v>
      </c>
      <c r="Y358" s="995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Д-RU.РА02.В.50456/26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SU002617</t>
        </is>
      </c>
      <c r="B359" s="60" t="inlineStr">
        <is>
          <t>P004229</t>
        </is>
      </c>
      <c r="C359" s="34" t="n">
        <v>4301031305</v>
      </c>
      <c r="D359" s="668" t="n">
        <v>4607091389845</v>
      </c>
      <c r="E359" s="951" t="n"/>
      <c r="F359" s="990" t="n">
        <v>0.35</v>
      </c>
      <c r="G359" s="35" t="n">
        <v>6</v>
      </c>
      <c r="H359" s="990" t="n">
        <v>2.1</v>
      </c>
      <c r="I359" s="990" t="n">
        <v>2.2</v>
      </c>
      <c r="J359" s="35" t="n">
        <v>234</v>
      </c>
      <c r="K359" s="35" t="inlineStr">
        <is>
          <t>18</t>
        </is>
      </c>
      <c r="L359" s="35" t="inlineStr"/>
      <c r="M359" s="36" t="inlineStr">
        <is>
          <t>СК2</t>
        </is>
      </c>
      <c r="N359" s="36" t="n"/>
      <c r="O359" s="35" t="n">
        <v>40</v>
      </c>
      <c r="P359" s="1178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9" s="992" t="n"/>
      <c r="R359" s="992" t="n"/>
      <c r="S359" s="992" t="n"/>
      <c r="T359" s="993" t="n"/>
      <c r="U359" s="37" t="inlineStr"/>
      <c r="V359" s="37" t="inlineStr"/>
      <c r="W359" s="38" t="inlineStr">
        <is>
          <t>кг</t>
        </is>
      </c>
      <c r="X359" s="994" t="n">
        <v>15.4</v>
      </c>
      <c r="Y359" s="995">
        <f>IFERROR(IF(X359="",0,CEILING((X359/$H359),1)*$H359),"")</f>
        <v/>
      </c>
      <c r="Z359" s="39">
        <f>IFERROR(IF(Y359=0,"",ROUNDUP(Y359/H359,0)*0.00502),"")</f>
        <v/>
      </c>
      <c r="AA359" s="65" t="inlineStr"/>
      <c r="AB359" s="66" t="inlineStr"/>
      <c r="AC359" s="439" t="inlineStr">
        <is>
          <t>ЕАЭС N RU Д-RU.РА01.В.23406/26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SU004054</t>
        </is>
      </c>
      <c r="B360" s="60" t="inlineStr">
        <is>
          <t>P005197</t>
        </is>
      </c>
      <c r="C360" s="34" t="n">
        <v>4301031460</v>
      </c>
      <c r="D360" s="668" t="n">
        <v>4680115887442</v>
      </c>
      <c r="E360" s="951" t="n"/>
      <c r="F360" s="990" t="n">
        <v>0.73</v>
      </c>
      <c r="G360" s="35" t="n">
        <v>6</v>
      </c>
      <c r="H360" s="990" t="n">
        <v>4.38</v>
      </c>
      <c r="I360" s="990" t="n">
        <v>4.63</v>
      </c>
      <c r="J360" s="35" t="n">
        <v>132</v>
      </c>
      <c r="K360" s="35" t="inlineStr">
        <is>
          <t>12</t>
        </is>
      </c>
      <c r="L360" s="35" t="inlineStr"/>
      <c r="M360" s="36" t="inlineStr">
        <is>
          <t>СК2</t>
        </is>
      </c>
      <c r="N360" s="36" t="n"/>
      <c r="O360" s="35" t="n">
        <v>45</v>
      </c>
      <c r="P360" s="1179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60" s="992" t="n"/>
      <c r="R360" s="992" t="n"/>
      <c r="S360" s="992" t="n"/>
      <c r="T360" s="993" t="n"/>
      <c r="U360" s="37" t="inlineStr"/>
      <c r="V360" s="37" t="inlineStr"/>
      <c r="W360" s="38" t="inlineStr">
        <is>
          <t>кг</t>
        </is>
      </c>
      <c r="X360" s="994" t="n">
        <v>0</v>
      </c>
      <c r="Y360" s="995">
        <f>IFERROR(IF(X360="",0,CEILING((X360/$H360),1)*$H360),"")</f>
        <v/>
      </c>
      <c r="Z360" s="39">
        <f>IFERROR(IF(Y360=0,"",ROUNDUP(Y360/H360,0)*0.00902),"")</f>
        <v/>
      </c>
      <c r="AA360" s="65" t="inlineStr"/>
      <c r="AB360" s="66" t="inlineStr"/>
      <c r="AC360" s="441" t="inlineStr">
        <is>
          <t>ЕАЭС N RU Д-RU.РА08.В.55680/25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 ht="27" customHeight="1">
      <c r="A361" s="60" t="inlineStr">
        <is>
          <t>SU002252</t>
        </is>
      </c>
      <c r="B361" s="60" t="inlineStr">
        <is>
          <t>P002461</t>
        </is>
      </c>
      <c r="C361" s="34" t="n">
        <v>4301031066</v>
      </c>
      <c r="D361" s="668" t="n">
        <v>4607091383836</v>
      </c>
      <c r="E361" s="951" t="n"/>
      <c r="F361" s="990" t="n">
        <v>0.3</v>
      </c>
      <c r="G361" s="35" t="n">
        <v>6</v>
      </c>
      <c r="H361" s="990" t="n">
        <v>1.8</v>
      </c>
      <c r="I361" s="990" t="n">
        <v>2.028</v>
      </c>
      <c r="J361" s="35" t="n">
        <v>182</v>
      </c>
      <c r="K361" s="35" t="inlineStr">
        <is>
          <t>14</t>
        </is>
      </c>
      <c r="L361" s="35" t="inlineStr"/>
      <c r="M361" s="36" t="inlineStr">
        <is>
          <t>СК2</t>
        </is>
      </c>
      <c r="N361" s="36" t="n"/>
      <c r="O361" s="35" t="n">
        <v>40</v>
      </c>
      <c r="P361" s="1180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1" s="992" t="n"/>
      <c r="R361" s="992" t="n"/>
      <c r="S361" s="992" t="n"/>
      <c r="T361" s="993" t="n"/>
      <c r="U361" s="37" t="inlineStr"/>
      <c r="V361" s="37" t="inlineStr"/>
      <c r="W361" s="38" t="inlineStr">
        <is>
          <t>кг</t>
        </is>
      </c>
      <c r="X361" s="994" t="n">
        <v>0</v>
      </c>
      <c r="Y361" s="995">
        <f>IFERROR(IF(X361="",0,CEILING((X361/$H361),1)*$H361),"")</f>
        <v/>
      </c>
      <c r="Z361" s="39">
        <f>IFERROR(IF(Y361=0,"",ROUNDUP(Y361/H361,0)*0.00651),"")</f>
        <v/>
      </c>
      <c r="AA361" s="65" t="inlineStr"/>
      <c r="AB361" s="66" t="inlineStr"/>
      <c r="AC361" s="443" t="inlineStr">
        <is>
          <t>ЕАЭС N RU Д-RU.РА03.В.16220/26</t>
        </is>
      </c>
      <c r="AG361" s="75" t="n"/>
      <c r="AJ361" s="79" t="inlineStr"/>
      <c r="AK361" s="79" t="n">
        <v>0</v>
      </c>
      <c r="BB361" s="444" t="inlineStr">
        <is>
          <t>КИ</t>
        </is>
      </c>
      <c r="BM361" s="75">
        <f>IFERROR(X361*I361/H361,"0")</f>
        <v/>
      </c>
      <c r="BN361" s="75">
        <f>IFERROR(Y361*I361/H361,"0")</f>
        <v/>
      </c>
      <c r="BO361" s="75">
        <f>IFERROR(1/J361*(X361/H361),"0")</f>
        <v/>
      </c>
      <c r="BP361" s="75">
        <f>IFERROR(1/J361*(Y361/H361),"0")</f>
        <v/>
      </c>
    </row>
    <row r="362">
      <c r="A362" s="677" t="n"/>
      <c r="B362" s="941" t="n"/>
      <c r="C362" s="941" t="n"/>
      <c r="D362" s="941" t="n"/>
      <c r="E362" s="941" t="n"/>
      <c r="F362" s="941" t="n"/>
      <c r="G362" s="941" t="n"/>
      <c r="H362" s="941" t="n"/>
      <c r="I362" s="941" t="n"/>
      <c r="J362" s="941" t="n"/>
      <c r="K362" s="941" t="n"/>
      <c r="L362" s="941" t="n"/>
      <c r="M362" s="941" t="n"/>
      <c r="N362" s="941" t="n"/>
      <c r="O362" s="997" t="n"/>
      <c r="P362" s="998" t="inlineStr">
        <is>
          <t>Итого</t>
        </is>
      </c>
      <c r="Q362" s="959" t="n"/>
      <c r="R362" s="959" t="n"/>
      <c r="S362" s="959" t="n"/>
      <c r="T362" s="959" t="n"/>
      <c r="U362" s="959" t="n"/>
      <c r="V362" s="960" t="n"/>
      <c r="W362" s="40" t="inlineStr">
        <is>
          <t>кор</t>
        </is>
      </c>
      <c r="X362" s="999">
        <f>IFERROR(X355/H355,"0")+IFERROR(X356/H356,"0")+IFERROR(X357/H357,"0")+IFERROR(X358/H358,"0")+IFERROR(X359/H359,"0")+IFERROR(X360/H360,"0")+IFERROR(X361/H361,"0")</f>
        <v/>
      </c>
      <c r="Y362" s="999">
        <f>IFERROR(Y355/H355,"0")+IFERROR(Y356/H356,"0")+IFERROR(Y357/H357,"0")+IFERROR(Y358/H358,"0")+IFERROR(Y359/H359,"0")+IFERROR(Y360/H360,"0")+IFERROR(Y361/H361,"0")</f>
        <v/>
      </c>
      <c r="Z362" s="999">
        <f>IFERROR(IF(Z355="",0,Z355),"0")+IFERROR(IF(Z356="",0,Z356),"0")+IFERROR(IF(Z357="",0,Z357),"0")+IFERROR(IF(Z358="",0,Z358),"0")+IFERROR(IF(Z359="",0,Z359),"0")+IFERROR(IF(Z360="",0,Z360),"0")+IFERROR(IF(Z361="",0,Z361),"0")</f>
        <v/>
      </c>
      <c r="AA362" s="1000" t="n"/>
      <c r="AB362" s="1000" t="n"/>
      <c r="AC362" s="1000" t="n"/>
    </row>
    <row r="363">
      <c r="A363" s="941" t="n"/>
      <c r="B363" s="941" t="n"/>
      <c r="C363" s="941" t="n"/>
      <c r="D363" s="941" t="n"/>
      <c r="E363" s="941" t="n"/>
      <c r="F363" s="941" t="n"/>
      <c r="G363" s="941" t="n"/>
      <c r="H363" s="941" t="n"/>
      <c r="I363" s="941" t="n"/>
      <c r="J363" s="941" t="n"/>
      <c r="K363" s="941" t="n"/>
      <c r="L363" s="941" t="n"/>
      <c r="M363" s="941" t="n"/>
      <c r="N363" s="941" t="n"/>
      <c r="O363" s="997" t="n"/>
      <c r="P363" s="998" t="inlineStr">
        <is>
          <t>Итого</t>
        </is>
      </c>
      <c r="Q363" s="959" t="n"/>
      <c r="R363" s="959" t="n"/>
      <c r="S363" s="959" t="n"/>
      <c r="T363" s="959" t="n"/>
      <c r="U363" s="959" t="n"/>
      <c r="V363" s="960" t="n"/>
      <c r="W363" s="40" t="inlineStr">
        <is>
          <t>кг</t>
        </is>
      </c>
      <c r="X363" s="999">
        <f>IFERROR(SUM(X355:X361),"0")</f>
        <v/>
      </c>
      <c r="Y363" s="999">
        <f>IFERROR(SUM(Y355:Y361),"0")</f>
        <v/>
      </c>
      <c r="Z363" s="40" t="n"/>
      <c r="AA363" s="1000" t="n"/>
      <c r="AB363" s="1000" t="n"/>
      <c r="AC363" s="1000" t="n"/>
    </row>
    <row r="364" ht="14.25" customHeight="1">
      <c r="A364" s="667" t="inlineStr">
        <is>
          <t>Сосиски</t>
        </is>
      </c>
      <c r="B364" s="941" t="n"/>
      <c r="C364" s="941" t="n"/>
      <c r="D364" s="941" t="n"/>
      <c r="E364" s="941" t="n"/>
      <c r="F364" s="941" t="n"/>
      <c r="G364" s="941" t="n"/>
      <c r="H364" s="941" t="n"/>
      <c r="I364" s="941" t="n"/>
      <c r="J364" s="941" t="n"/>
      <c r="K364" s="941" t="n"/>
      <c r="L364" s="941" t="n"/>
      <c r="M364" s="941" t="n"/>
      <c r="N364" s="941" t="n"/>
      <c r="O364" s="941" t="n"/>
      <c r="P364" s="941" t="n"/>
      <c r="Q364" s="941" t="n"/>
      <c r="R364" s="941" t="n"/>
      <c r="S364" s="941" t="n"/>
      <c r="T364" s="941" t="n"/>
      <c r="U364" s="941" t="n"/>
      <c r="V364" s="941" t="n"/>
      <c r="W364" s="941" t="n"/>
      <c r="X364" s="941" t="n"/>
      <c r="Y364" s="941" t="n"/>
      <c r="Z364" s="941" t="n"/>
      <c r="AA364" s="667" t="n"/>
      <c r="AB364" s="667" t="n"/>
      <c r="AC364" s="667" t="n"/>
    </row>
    <row r="365" ht="27" customHeight="1">
      <c r="A365" s="60" t="inlineStr">
        <is>
          <t>SU001340</t>
        </is>
      </c>
      <c r="B365" s="60" t="inlineStr">
        <is>
          <t>P002209</t>
        </is>
      </c>
      <c r="C365" s="34" t="n">
        <v>4301051100</v>
      </c>
      <c r="D365" s="668" t="n">
        <v>4607091387766</v>
      </c>
      <c r="E365" s="951" t="n"/>
      <c r="F365" s="990" t="n">
        <v>1.3</v>
      </c>
      <c r="G365" s="35" t="n">
        <v>6</v>
      </c>
      <c r="H365" s="990" t="n">
        <v>7.8</v>
      </c>
      <c r="I365" s="990" t="n">
        <v>8.288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81">
        <f>HYPERLINK("https://abi.ru/products/Охлажденные/Стародворье/Бордо/Сосиски/P002209/","Сосиски Ганноверские Бордо Весовые П/а мгс Баварушка")</f>
        <v/>
      </c>
      <c r="Q365" s="992" t="n"/>
      <c r="R365" s="992" t="n"/>
      <c r="S365" s="992" t="n"/>
      <c r="T365" s="993" t="n"/>
      <c r="U365" s="37" t="inlineStr"/>
      <c r="V365" s="37" t="inlineStr"/>
      <c r="W365" s="38" t="inlineStr">
        <is>
          <t>кг</t>
        </is>
      </c>
      <c r="X365" s="994" t="n">
        <v>1690</v>
      </c>
      <c r="Y365" s="995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Д-RU.РА01.В.50365/26, ЕАЭС N RU Д-RU.РА02.В.87927/26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27" customHeight="1">
      <c r="A366" s="60" t="inlineStr">
        <is>
          <t>SU001727</t>
        </is>
      </c>
      <c r="B366" s="60" t="inlineStr">
        <is>
          <t>P002205</t>
        </is>
      </c>
      <c r="C366" s="34" t="n">
        <v>4301051818</v>
      </c>
      <c r="D366" s="668" t="n">
        <v>4607091387957</v>
      </c>
      <c r="E366" s="951" t="n"/>
      <c r="F366" s="990" t="n">
        <v>1.3</v>
      </c>
      <c r="G366" s="35" t="n">
        <v>6</v>
      </c>
      <c r="H366" s="990" t="n">
        <v>7.8</v>
      </c>
      <c r="I366" s="990" t="n">
        <v>8.294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82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6" s="992" t="n"/>
      <c r="R366" s="992" t="n"/>
      <c r="S366" s="992" t="n"/>
      <c r="T366" s="993" t="n"/>
      <c r="U366" s="37" t="inlineStr"/>
      <c r="V366" s="37" t="inlineStr"/>
      <c r="W366" s="38" t="inlineStr">
        <is>
          <t>кг</t>
        </is>
      </c>
      <c r="X366" s="994" t="n">
        <v>0</v>
      </c>
      <c r="Y366" s="995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Д-RU.РА04.В.81906/25, ЕАЭС N RU Д-RU.РА08.В.82467/25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37.5" customHeight="1">
      <c r="A367" s="60" t="inlineStr">
        <is>
          <t>SU001728</t>
        </is>
      </c>
      <c r="B367" s="60" t="inlineStr">
        <is>
          <t>P002207</t>
        </is>
      </c>
      <c r="C367" s="34" t="n">
        <v>4301051819</v>
      </c>
      <c r="D367" s="668" t="n">
        <v>4607091387964</v>
      </c>
      <c r="E367" s="951" t="n"/>
      <c r="F367" s="990" t="n">
        <v>1.35</v>
      </c>
      <c r="G367" s="35" t="n">
        <v>6</v>
      </c>
      <c r="H367" s="990" t="n">
        <v>8.1</v>
      </c>
      <c r="I367" s="990" t="n">
        <v>8.576000000000001</v>
      </c>
      <c r="J367" s="35" t="n">
        <v>64</v>
      </c>
      <c r="K367" s="35" t="inlineStr">
        <is>
          <t>8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3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7" s="992" t="n"/>
      <c r="R367" s="992" t="n"/>
      <c r="S367" s="992" t="n"/>
      <c r="T367" s="993" t="n"/>
      <c r="U367" s="37" t="inlineStr"/>
      <c r="V367" s="37" t="inlineStr"/>
      <c r="W367" s="38" t="inlineStr">
        <is>
          <t>кг</t>
        </is>
      </c>
      <c r="X367" s="994" t="n">
        <v>0</v>
      </c>
      <c r="Y367" s="995">
        <f>IFERROR(IF(X367="",0,CEILING((X367/$H367),1)*$H367),"")</f>
        <v/>
      </c>
      <c r="Z367" s="39">
        <f>IFERROR(IF(Y367=0,"",ROUNDUP(Y367/H367,0)*0.01898),"")</f>
        <v/>
      </c>
      <c r="AA367" s="65" t="inlineStr"/>
      <c r="AB367" s="66" t="inlineStr"/>
      <c r="AC367" s="449" t="inlineStr">
        <is>
          <t>ЕАЭС N RU Д-RU.РА02.В.97454/26, ЕАЭС N RU Д-RU.РА03.В.07456/26, ЕАЭС N RU Д-RU.РА10.В.11265/24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 ht="27" customHeight="1">
      <c r="A368" s="60" t="inlineStr">
        <is>
          <t>SU003333</t>
        </is>
      </c>
      <c r="B368" s="60" t="inlineStr">
        <is>
          <t>P004082</t>
        </is>
      </c>
      <c r="C368" s="34" t="n">
        <v>4301051734</v>
      </c>
      <c r="D368" s="668" t="n">
        <v>4680115884588</v>
      </c>
      <c r="E368" s="951" t="n"/>
      <c r="F368" s="990" t="n">
        <v>0.5</v>
      </c>
      <c r="G368" s="35" t="n">
        <v>6</v>
      </c>
      <c r="H368" s="990" t="n">
        <v>3</v>
      </c>
      <c r="I368" s="990" t="n">
        <v>3.246</v>
      </c>
      <c r="J368" s="35" t="n">
        <v>182</v>
      </c>
      <c r="K368" s="35" t="inlineStr">
        <is>
          <t>14</t>
        </is>
      </c>
      <c r="L368" s="35" t="inlineStr"/>
      <c r="M368" s="36" t="inlineStr">
        <is>
          <t>СК3</t>
        </is>
      </c>
      <c r="N368" s="36" t="n"/>
      <c r="O368" s="35" t="n">
        <v>40</v>
      </c>
      <c r="P368" s="1184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8" s="992" t="n"/>
      <c r="R368" s="992" t="n"/>
      <c r="S368" s="992" t="n"/>
      <c r="T368" s="993" t="n"/>
      <c r="U368" s="37" t="inlineStr"/>
      <c r="V368" s="37" t="inlineStr"/>
      <c r="W368" s="38" t="inlineStr">
        <is>
          <t>кг</t>
        </is>
      </c>
      <c r="X368" s="994" t="n">
        <v>12</v>
      </c>
      <c r="Y368" s="995">
        <f>IFERROR(IF(X368="",0,CEILING((X368/$H368),1)*$H368),"")</f>
        <v/>
      </c>
      <c r="Z368" s="39">
        <f>IFERROR(IF(Y368=0,"",ROUNDUP(Y368/H368,0)*0.00651),"")</f>
        <v/>
      </c>
      <c r="AA368" s="65" t="inlineStr"/>
      <c r="AB368" s="66" t="inlineStr"/>
      <c r="AC368" s="451" t="inlineStr">
        <is>
          <t>ЕАЭС N RU Д-RU.РА01.В.50365/26, ЕАЭС N RU Д-RU.РА02.В.87927/26</t>
        </is>
      </c>
      <c r="AG368" s="75" t="n"/>
      <c r="AJ368" s="79" t="inlineStr"/>
      <c r="AK368" s="79" t="n">
        <v>0</v>
      </c>
      <c r="BB368" s="452" t="inlineStr">
        <is>
          <t>КИ</t>
        </is>
      </c>
      <c r="BM368" s="75">
        <f>IFERROR(X368*I368/H368,"0")</f>
        <v/>
      </c>
      <c r="BN368" s="75">
        <f>IFERROR(Y368*I368/H368,"0")</f>
        <v/>
      </c>
      <c r="BO368" s="75">
        <f>IFERROR(1/J368*(X368/H368),"0")</f>
        <v/>
      </c>
      <c r="BP368" s="75">
        <f>IFERROR(1/J368*(Y368/H368),"0")</f>
        <v/>
      </c>
    </row>
    <row r="369">
      <c r="A369" s="677" t="n"/>
      <c r="B369" s="941" t="n"/>
      <c r="C369" s="941" t="n"/>
      <c r="D369" s="941" t="n"/>
      <c r="E369" s="941" t="n"/>
      <c r="F369" s="941" t="n"/>
      <c r="G369" s="941" t="n"/>
      <c r="H369" s="941" t="n"/>
      <c r="I369" s="941" t="n"/>
      <c r="J369" s="941" t="n"/>
      <c r="K369" s="941" t="n"/>
      <c r="L369" s="941" t="n"/>
      <c r="M369" s="941" t="n"/>
      <c r="N369" s="941" t="n"/>
      <c r="O369" s="997" t="n"/>
      <c r="P369" s="998" t="inlineStr">
        <is>
          <t>Итого</t>
        </is>
      </c>
      <c r="Q369" s="959" t="n"/>
      <c r="R369" s="959" t="n"/>
      <c r="S369" s="959" t="n"/>
      <c r="T369" s="959" t="n"/>
      <c r="U369" s="959" t="n"/>
      <c r="V369" s="960" t="n"/>
      <c r="W369" s="40" t="inlineStr">
        <is>
          <t>кор</t>
        </is>
      </c>
      <c r="X369" s="999">
        <f>IFERROR(X365/H365,"0")+IFERROR(X366/H366,"0")+IFERROR(X367/H367,"0")+IFERROR(X368/H368,"0")</f>
        <v/>
      </c>
      <c r="Y369" s="999">
        <f>IFERROR(Y365/H365,"0")+IFERROR(Y366/H366,"0")+IFERROR(Y367/H367,"0")+IFERROR(Y368/H368,"0")</f>
        <v/>
      </c>
      <c r="Z369" s="999">
        <f>IFERROR(IF(Z365="",0,Z365),"0")+IFERROR(IF(Z366="",0,Z366),"0")+IFERROR(IF(Z367="",0,Z367),"0")+IFERROR(IF(Z368="",0,Z368),"0")</f>
        <v/>
      </c>
      <c r="AA369" s="1000" t="n"/>
      <c r="AB369" s="1000" t="n"/>
      <c r="AC369" s="1000" t="n"/>
    </row>
    <row r="370">
      <c r="A370" s="941" t="n"/>
      <c r="B370" s="941" t="n"/>
      <c r="C370" s="941" t="n"/>
      <c r="D370" s="941" t="n"/>
      <c r="E370" s="941" t="n"/>
      <c r="F370" s="941" t="n"/>
      <c r="G370" s="941" t="n"/>
      <c r="H370" s="941" t="n"/>
      <c r="I370" s="941" t="n"/>
      <c r="J370" s="941" t="n"/>
      <c r="K370" s="941" t="n"/>
      <c r="L370" s="941" t="n"/>
      <c r="M370" s="941" t="n"/>
      <c r="N370" s="941" t="n"/>
      <c r="O370" s="997" t="n"/>
      <c r="P370" s="998" t="inlineStr">
        <is>
          <t>Итого</t>
        </is>
      </c>
      <c r="Q370" s="959" t="n"/>
      <c r="R370" s="959" t="n"/>
      <c r="S370" s="959" t="n"/>
      <c r="T370" s="959" t="n"/>
      <c r="U370" s="959" t="n"/>
      <c r="V370" s="960" t="n"/>
      <c r="W370" s="40" t="inlineStr">
        <is>
          <t>кг</t>
        </is>
      </c>
      <c r="X370" s="999">
        <f>IFERROR(SUM(X365:X368),"0")</f>
        <v/>
      </c>
      <c r="Y370" s="999">
        <f>IFERROR(SUM(Y365:Y368),"0")</f>
        <v/>
      </c>
      <c r="Z370" s="40" t="n"/>
      <c r="AA370" s="1000" t="n"/>
      <c r="AB370" s="1000" t="n"/>
      <c r="AC370" s="1000" t="n"/>
    </row>
    <row r="371" ht="14.25" customHeight="1">
      <c r="A371" s="667" t="inlineStr">
        <is>
          <t>Сардельки</t>
        </is>
      </c>
      <c r="B371" s="941" t="n"/>
      <c r="C371" s="941" t="n"/>
      <c r="D371" s="941" t="n"/>
      <c r="E371" s="941" t="n"/>
      <c r="F371" s="941" t="n"/>
      <c r="G371" s="941" t="n"/>
      <c r="H371" s="941" t="n"/>
      <c r="I371" s="941" t="n"/>
      <c r="J371" s="941" t="n"/>
      <c r="K371" s="941" t="n"/>
      <c r="L371" s="941" t="n"/>
      <c r="M371" s="941" t="n"/>
      <c r="N371" s="941" t="n"/>
      <c r="O371" s="941" t="n"/>
      <c r="P371" s="941" t="n"/>
      <c r="Q371" s="941" t="n"/>
      <c r="R371" s="941" t="n"/>
      <c r="S371" s="941" t="n"/>
      <c r="T371" s="941" t="n"/>
      <c r="U371" s="941" t="n"/>
      <c r="V371" s="941" t="n"/>
      <c r="W371" s="941" t="n"/>
      <c r="X371" s="941" t="n"/>
      <c r="Y371" s="941" t="n"/>
      <c r="Z371" s="941" t="n"/>
      <c r="AA371" s="667" t="n"/>
      <c r="AB371" s="667" t="n"/>
      <c r="AC371" s="667" t="n"/>
    </row>
    <row r="372" ht="27" customHeight="1">
      <c r="A372" s="60" t="inlineStr">
        <is>
          <t>SU001051</t>
        </is>
      </c>
      <c r="B372" s="60" t="inlineStr">
        <is>
          <t>P003997</t>
        </is>
      </c>
      <c r="C372" s="34" t="n">
        <v>4301060387</v>
      </c>
      <c r="D372" s="668" t="n">
        <v>4607091380880</v>
      </c>
      <c r="E372" s="951" t="n"/>
      <c r="F372" s="990" t="n">
        <v>1.4</v>
      </c>
      <c r="G372" s="35" t="n">
        <v>6</v>
      </c>
      <c r="H372" s="990" t="n">
        <v>8.4</v>
      </c>
      <c r="I372" s="990" t="n">
        <v>8.894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5">
        <f>HYPERLINK("https://abi.ru/products/Охлажденные/Стародворье/Бордо/Сардельки/P003997/","Сардельки «Нежные» Весовые NDX мгс ТМ «Стародворье»")</f>
        <v/>
      </c>
      <c r="Q372" s="992" t="n"/>
      <c r="R372" s="992" t="n"/>
      <c r="S372" s="992" t="n"/>
      <c r="T372" s="993" t="n"/>
      <c r="U372" s="37" t="inlineStr"/>
      <c r="V372" s="37" t="inlineStr"/>
      <c r="W372" s="38" t="inlineStr">
        <is>
          <t>кг</t>
        </is>
      </c>
      <c r="X372" s="994" t="n">
        <v>0</v>
      </c>
      <c r="Y372" s="995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Д-RU.РА01.В.49740/26, ЕАЭС N RU Д-RU.РА01.В.49814/26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27" customHeight="1">
      <c r="A373" s="60" t="inlineStr">
        <is>
          <t>SU000227</t>
        </is>
      </c>
      <c r="B373" s="60" t="inlineStr">
        <is>
          <t>P002536</t>
        </is>
      </c>
      <c r="C373" s="34" t="n">
        <v>4301060406</v>
      </c>
      <c r="D373" s="668" t="n">
        <v>4607091384482</v>
      </c>
      <c r="E373" s="951" t="n"/>
      <c r="F373" s="990" t="n">
        <v>1.3</v>
      </c>
      <c r="G373" s="35" t="n">
        <v>6</v>
      </c>
      <c r="H373" s="990" t="n">
        <v>7.8</v>
      </c>
      <c r="I373" s="990" t="n">
        <v>8.294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СК3</t>
        </is>
      </c>
      <c r="N373" s="36" t="n"/>
      <c r="O373" s="35" t="n">
        <v>30</v>
      </c>
      <c r="P373" s="1186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3" s="992" t="n"/>
      <c r="R373" s="992" t="n"/>
      <c r="S373" s="992" t="n"/>
      <c r="T373" s="993" t="n"/>
      <c r="U373" s="37" t="inlineStr"/>
      <c r="V373" s="37" t="inlineStr"/>
      <c r="W373" s="38" t="inlineStr">
        <is>
          <t>кг</t>
        </is>
      </c>
      <c r="X373" s="994" t="n">
        <v>190</v>
      </c>
      <c r="Y373" s="995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Д-RU.РА01.В.50205/26, ЕАЭС N RU Д-RU.РА03.В.24110/24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 ht="16.5" customHeight="1">
      <c r="A374" s="60" t="inlineStr">
        <is>
          <t>SU001430</t>
        </is>
      </c>
      <c r="B374" s="60" t="inlineStr">
        <is>
          <t>P004913</t>
        </is>
      </c>
      <c r="C374" s="34" t="n">
        <v>4301060484</v>
      </c>
      <c r="D374" s="668" t="n">
        <v>4607091380897</v>
      </c>
      <c r="E374" s="951" t="n"/>
      <c r="F374" s="990" t="n">
        <v>1.4</v>
      </c>
      <c r="G374" s="35" t="n">
        <v>6</v>
      </c>
      <c r="H374" s="990" t="n">
        <v>8.4</v>
      </c>
      <c r="I374" s="990" t="n">
        <v>8.894</v>
      </c>
      <c r="J374" s="35" t="n">
        <v>64</v>
      </c>
      <c r="K374" s="35" t="inlineStr">
        <is>
          <t>8</t>
        </is>
      </c>
      <c r="L374" s="35" t="inlineStr"/>
      <c r="M374" s="36" t="inlineStr">
        <is>
          <t>СК4</t>
        </is>
      </c>
      <c r="N374" s="36" t="n"/>
      <c r="O374" s="35" t="n">
        <v>30</v>
      </c>
      <c r="P374" s="1187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4" s="992" t="n"/>
      <c r="R374" s="992" t="n"/>
      <c r="S374" s="992" t="n"/>
      <c r="T374" s="993" t="n"/>
      <c r="U374" s="37" t="inlineStr"/>
      <c r="V374" s="37" t="inlineStr"/>
      <c r="W374" s="38" t="inlineStr">
        <is>
          <t>кг</t>
        </is>
      </c>
      <c r="X374" s="994" t="n">
        <v>120</v>
      </c>
      <c r="Y374" s="995">
        <f>IFERROR(IF(X374="",0,CEILING((X374/$H374),1)*$H374),"")</f>
        <v/>
      </c>
      <c r="Z374" s="39">
        <f>IFERROR(IF(Y374=0,"",ROUNDUP(Y374/H374,0)*0.01898),"")</f>
        <v/>
      </c>
      <c r="AA374" s="65" t="inlineStr"/>
      <c r="AB374" s="66" t="inlineStr"/>
      <c r="AC374" s="457" t="inlineStr">
        <is>
          <t>ЕАЭС N RU Д-RU.РА02.В.89320/26</t>
        </is>
      </c>
      <c r="AG374" s="75" t="n"/>
      <c r="AJ374" s="79" t="inlineStr"/>
      <c r="AK374" s="79" t="n">
        <v>0</v>
      </c>
      <c r="BB374" s="458" t="inlineStr">
        <is>
          <t>КИ</t>
        </is>
      </c>
      <c r="BM374" s="75">
        <f>IFERROR(X374*I374/H374,"0")</f>
        <v/>
      </c>
      <c r="BN374" s="75">
        <f>IFERROR(Y374*I374/H374,"0")</f>
        <v/>
      </c>
      <c r="BO374" s="75">
        <f>IFERROR(1/J374*(X374/H374),"0")</f>
        <v/>
      </c>
      <c r="BP374" s="75">
        <f>IFERROR(1/J374*(Y374/H374),"0")</f>
        <v/>
      </c>
    </row>
    <row r="375">
      <c r="A375" s="677" t="n"/>
      <c r="B375" s="941" t="n"/>
      <c r="C375" s="941" t="n"/>
      <c r="D375" s="941" t="n"/>
      <c r="E375" s="941" t="n"/>
      <c r="F375" s="941" t="n"/>
      <c r="G375" s="941" t="n"/>
      <c r="H375" s="941" t="n"/>
      <c r="I375" s="941" t="n"/>
      <c r="J375" s="941" t="n"/>
      <c r="K375" s="941" t="n"/>
      <c r="L375" s="941" t="n"/>
      <c r="M375" s="941" t="n"/>
      <c r="N375" s="941" t="n"/>
      <c r="O375" s="997" t="n"/>
      <c r="P375" s="998" t="inlineStr">
        <is>
          <t>Итого</t>
        </is>
      </c>
      <c r="Q375" s="959" t="n"/>
      <c r="R375" s="959" t="n"/>
      <c r="S375" s="959" t="n"/>
      <c r="T375" s="959" t="n"/>
      <c r="U375" s="959" t="n"/>
      <c r="V375" s="960" t="n"/>
      <c r="W375" s="40" t="inlineStr">
        <is>
          <t>кор</t>
        </is>
      </c>
      <c r="X375" s="999">
        <f>IFERROR(X372/H372,"0")+IFERROR(X373/H373,"0")+IFERROR(X374/H374,"0")</f>
        <v/>
      </c>
      <c r="Y375" s="999">
        <f>IFERROR(Y372/H372,"0")+IFERROR(Y373/H373,"0")+IFERROR(Y374/H374,"0")</f>
        <v/>
      </c>
      <c r="Z375" s="999">
        <f>IFERROR(IF(Z372="",0,Z372),"0")+IFERROR(IF(Z373="",0,Z373),"0")+IFERROR(IF(Z374="",0,Z374),"0")</f>
        <v/>
      </c>
      <c r="AA375" s="1000" t="n"/>
      <c r="AB375" s="1000" t="n"/>
      <c r="AC375" s="1000" t="n"/>
    </row>
    <row r="376">
      <c r="A376" s="941" t="n"/>
      <c r="B376" s="941" t="n"/>
      <c r="C376" s="941" t="n"/>
      <c r="D376" s="941" t="n"/>
      <c r="E376" s="941" t="n"/>
      <c r="F376" s="941" t="n"/>
      <c r="G376" s="941" t="n"/>
      <c r="H376" s="941" t="n"/>
      <c r="I376" s="941" t="n"/>
      <c r="J376" s="941" t="n"/>
      <c r="K376" s="941" t="n"/>
      <c r="L376" s="941" t="n"/>
      <c r="M376" s="941" t="n"/>
      <c r="N376" s="941" t="n"/>
      <c r="O376" s="997" t="n"/>
      <c r="P376" s="998" t="inlineStr">
        <is>
          <t>Итого</t>
        </is>
      </c>
      <c r="Q376" s="959" t="n"/>
      <c r="R376" s="959" t="n"/>
      <c r="S376" s="959" t="n"/>
      <c r="T376" s="959" t="n"/>
      <c r="U376" s="959" t="n"/>
      <c r="V376" s="960" t="n"/>
      <c r="W376" s="40" t="inlineStr">
        <is>
          <t>кг</t>
        </is>
      </c>
      <c r="X376" s="999">
        <f>IFERROR(SUM(X372:X374),"0")</f>
        <v/>
      </c>
      <c r="Y376" s="999">
        <f>IFERROR(SUM(Y372:Y374),"0")</f>
        <v/>
      </c>
      <c r="Z376" s="40" t="n"/>
      <c r="AA376" s="1000" t="n"/>
      <c r="AB376" s="1000" t="n"/>
      <c r="AC376" s="1000" t="n"/>
    </row>
    <row r="377" ht="14.25" customHeight="1">
      <c r="A377" s="667" t="inlineStr">
        <is>
          <t>Сырокопченые колбасы</t>
        </is>
      </c>
      <c r="B377" s="941" t="n"/>
      <c r="C377" s="941" t="n"/>
      <c r="D377" s="941" t="n"/>
      <c r="E377" s="941" t="n"/>
      <c r="F377" s="941" t="n"/>
      <c r="G377" s="941" t="n"/>
      <c r="H377" s="941" t="n"/>
      <c r="I377" s="941" t="n"/>
      <c r="J377" s="941" t="n"/>
      <c r="K377" s="941" t="n"/>
      <c r="L377" s="941" t="n"/>
      <c r="M377" s="941" t="n"/>
      <c r="N377" s="941" t="n"/>
      <c r="O377" s="941" t="n"/>
      <c r="P377" s="941" t="n"/>
      <c r="Q377" s="941" t="n"/>
      <c r="R377" s="941" t="n"/>
      <c r="S377" s="941" t="n"/>
      <c r="T377" s="941" t="n"/>
      <c r="U377" s="941" t="n"/>
      <c r="V377" s="941" t="n"/>
      <c r="W377" s="941" t="n"/>
      <c r="X377" s="941" t="n"/>
      <c r="Y377" s="941" t="n"/>
      <c r="Z377" s="941" t="n"/>
      <c r="AA377" s="667" t="n"/>
      <c r="AB377" s="667" t="n"/>
      <c r="AC377" s="667" t="n"/>
    </row>
    <row r="378" ht="27" customHeight="1">
      <c r="A378" s="60" t="inlineStr">
        <is>
          <t>SU001921</t>
        </is>
      </c>
      <c r="B378" s="60" t="inlineStr">
        <is>
          <t>P001916</t>
        </is>
      </c>
      <c r="C378" s="34" t="n">
        <v>4301030235</v>
      </c>
      <c r="D378" s="668" t="n">
        <v>4607091388381</v>
      </c>
      <c r="E378" s="951" t="n"/>
      <c r="F378" s="990" t="n">
        <v>0.38</v>
      </c>
      <c r="G378" s="35" t="n">
        <v>8</v>
      </c>
      <c r="H378" s="990" t="n">
        <v>3.04</v>
      </c>
      <c r="I378" s="990" t="n">
        <v>3.31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8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8" s="992" t="n"/>
      <c r="R378" s="992" t="n"/>
      <c r="S378" s="992" t="n"/>
      <c r="T378" s="993" t="n"/>
      <c r="U378" s="37" t="inlineStr"/>
      <c r="V378" s="37" t="inlineStr"/>
      <c r="W378" s="38" t="inlineStr">
        <is>
          <t>кг</t>
        </is>
      </c>
      <c r="X378" s="994" t="n">
        <v>0</v>
      </c>
      <c r="Y378" s="995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SU001920</t>
        </is>
      </c>
      <c r="B379" s="60" t="inlineStr">
        <is>
          <t>P001900</t>
        </is>
      </c>
      <c r="C379" s="34" t="n">
        <v>4301030232</v>
      </c>
      <c r="D379" s="668" t="n">
        <v>4607091388374</v>
      </c>
      <c r="E379" s="951" t="n"/>
      <c r="F379" s="990" t="n">
        <v>0.38</v>
      </c>
      <c r="G379" s="35" t="n">
        <v>8</v>
      </c>
      <c r="H379" s="990" t="n">
        <v>3.04</v>
      </c>
      <c r="I379" s="990" t="n">
        <v>3.27</v>
      </c>
      <c r="J379" s="35" t="n">
        <v>132</v>
      </c>
      <c r="K379" s="35" t="inlineStr">
        <is>
          <t>12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9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9" s="992" t="n"/>
      <c r="R379" s="992" t="n"/>
      <c r="S379" s="992" t="n"/>
      <c r="T379" s="993" t="n"/>
      <c r="U379" s="37" t="inlineStr"/>
      <c r="V379" s="37" t="inlineStr"/>
      <c r="W379" s="38" t="inlineStr">
        <is>
          <t>кг</t>
        </is>
      </c>
      <c r="X379" s="994" t="n">
        <v>0</v>
      </c>
      <c r="Y379" s="995">
        <f>IFERROR(IF(X379="",0,CEILING((X379/$H379),1)*$H379),"")</f>
        <v/>
      </c>
      <c r="Z379" s="39">
        <f>IFERROR(IF(Y379=0,"",ROUNDUP(Y379/H379,0)*0.00902),"")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SU002092</t>
        </is>
      </c>
      <c r="B380" s="60" t="inlineStr">
        <is>
          <t>P002290</t>
        </is>
      </c>
      <c r="C380" s="34" t="n">
        <v>4301032015</v>
      </c>
      <c r="D380" s="668" t="n">
        <v>4607091383102</v>
      </c>
      <c r="E380" s="951" t="n"/>
      <c r="F380" s="990" t="n">
        <v>0.17</v>
      </c>
      <c r="G380" s="35" t="n">
        <v>15</v>
      </c>
      <c r="H380" s="990" t="n">
        <v>2.55</v>
      </c>
      <c r="I380" s="990" t="n">
        <v>2.955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90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80" s="992" t="n"/>
      <c r="R380" s="992" t="n"/>
      <c r="S380" s="992" t="n"/>
      <c r="T380" s="993" t="n"/>
      <c r="U380" s="37" t="inlineStr"/>
      <c r="V380" s="37" t="inlineStr"/>
      <c r="W380" s="38" t="inlineStr">
        <is>
          <t>кг</t>
        </is>
      </c>
      <c r="X380" s="994" t="n">
        <v>0</v>
      </c>
      <c r="Y380" s="995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 ht="27" customHeight="1">
      <c r="A381" s="60" t="inlineStr">
        <is>
          <t>SU001869</t>
        </is>
      </c>
      <c r="B381" s="60" t="inlineStr">
        <is>
          <t>P001909</t>
        </is>
      </c>
      <c r="C381" s="34" t="n">
        <v>4301030233</v>
      </c>
      <c r="D381" s="668" t="n">
        <v>4607091388404</v>
      </c>
      <c r="E381" s="951" t="n"/>
      <c r="F381" s="990" t="n">
        <v>0.17</v>
      </c>
      <c r="G381" s="35" t="n">
        <v>15</v>
      </c>
      <c r="H381" s="990" t="n">
        <v>2.55</v>
      </c>
      <c r="I381" s="990" t="n">
        <v>2.88</v>
      </c>
      <c r="J381" s="35" t="n">
        <v>182</v>
      </c>
      <c r="K381" s="35" t="inlineStr">
        <is>
          <t>14</t>
        </is>
      </c>
      <c r="L381" s="35" t="inlineStr"/>
      <c r="M381" s="36" t="inlineStr">
        <is>
          <t>АК</t>
        </is>
      </c>
      <c r="N381" s="36" t="n"/>
      <c r="O381" s="35" t="n">
        <v>180</v>
      </c>
      <c r="P381" s="1191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1" s="992" t="n"/>
      <c r="R381" s="992" t="n"/>
      <c r="S381" s="992" t="n"/>
      <c r="T381" s="993" t="n"/>
      <c r="U381" s="37" t="inlineStr"/>
      <c r="V381" s="37" t="inlineStr"/>
      <c r="W381" s="38" t="inlineStr">
        <is>
          <t>кг</t>
        </is>
      </c>
      <c r="X381" s="994" t="n">
        <v>5.100000000000001</v>
      </c>
      <c r="Y381" s="995">
        <f>IFERROR(IF(X381="",0,CEILING((X381/$H381),1)*$H381),"")</f>
        <v/>
      </c>
      <c r="Z381" s="39">
        <f>IFERROR(IF(Y381=0,"",ROUNDUP(Y381/H381,0)*0.00651),"")</f>
        <v/>
      </c>
      <c r="AA381" s="65" t="inlineStr"/>
      <c r="AB381" s="66" t="inlineStr"/>
      <c r="AC381" s="465" t="inlineStr">
        <is>
          <t>ЕАЭС N RU Д-RU.РА01.В.12510/25</t>
        </is>
      </c>
      <c r="AG381" s="75" t="n"/>
      <c r="AJ381" s="79" t="inlineStr"/>
      <c r="AK381" s="79" t="n">
        <v>0</v>
      </c>
      <c r="BB381" s="466" t="inlineStr">
        <is>
          <t>КИ</t>
        </is>
      </c>
      <c r="BM381" s="75">
        <f>IFERROR(X381*I381/H381,"0")</f>
        <v/>
      </c>
      <c r="BN381" s="75">
        <f>IFERROR(Y381*I381/H381,"0")</f>
        <v/>
      </c>
      <c r="BO381" s="75">
        <f>IFERROR(1/J381*(X381/H381),"0")</f>
        <v/>
      </c>
      <c r="BP381" s="75">
        <f>IFERROR(1/J381*(Y381/H381),"0")</f>
        <v/>
      </c>
    </row>
    <row r="382">
      <c r="A382" s="677" t="n"/>
      <c r="B382" s="941" t="n"/>
      <c r="C382" s="941" t="n"/>
      <c r="D382" s="941" t="n"/>
      <c r="E382" s="941" t="n"/>
      <c r="F382" s="941" t="n"/>
      <c r="G382" s="941" t="n"/>
      <c r="H382" s="941" t="n"/>
      <c r="I382" s="941" t="n"/>
      <c r="J382" s="941" t="n"/>
      <c r="K382" s="941" t="n"/>
      <c r="L382" s="941" t="n"/>
      <c r="M382" s="941" t="n"/>
      <c r="N382" s="941" t="n"/>
      <c r="O382" s="997" t="n"/>
      <c r="P382" s="998" t="inlineStr">
        <is>
          <t>Итого</t>
        </is>
      </c>
      <c r="Q382" s="959" t="n"/>
      <c r="R382" s="959" t="n"/>
      <c r="S382" s="959" t="n"/>
      <c r="T382" s="959" t="n"/>
      <c r="U382" s="959" t="n"/>
      <c r="V382" s="960" t="n"/>
      <c r="W382" s="40" t="inlineStr">
        <is>
          <t>кор</t>
        </is>
      </c>
      <c r="X382" s="999">
        <f>IFERROR(X378/H378,"0")+IFERROR(X379/H379,"0")+IFERROR(X380/H380,"0")+IFERROR(X381/H381,"0")</f>
        <v/>
      </c>
      <c r="Y382" s="999">
        <f>IFERROR(Y378/H378,"0")+IFERROR(Y379/H379,"0")+IFERROR(Y380/H380,"0")+IFERROR(Y381/H381,"0")</f>
        <v/>
      </c>
      <c r="Z382" s="999">
        <f>IFERROR(IF(Z378="",0,Z378),"0")+IFERROR(IF(Z379="",0,Z379),"0")+IFERROR(IF(Z380="",0,Z380),"0")+IFERROR(IF(Z381="",0,Z381),"0")</f>
        <v/>
      </c>
      <c r="AA382" s="1000" t="n"/>
      <c r="AB382" s="1000" t="n"/>
      <c r="AC382" s="1000" t="n"/>
    </row>
    <row r="383">
      <c r="A383" s="941" t="n"/>
      <c r="B383" s="941" t="n"/>
      <c r="C383" s="941" t="n"/>
      <c r="D383" s="941" t="n"/>
      <c r="E383" s="941" t="n"/>
      <c r="F383" s="941" t="n"/>
      <c r="G383" s="941" t="n"/>
      <c r="H383" s="941" t="n"/>
      <c r="I383" s="941" t="n"/>
      <c r="J383" s="941" t="n"/>
      <c r="K383" s="941" t="n"/>
      <c r="L383" s="941" t="n"/>
      <c r="M383" s="941" t="n"/>
      <c r="N383" s="941" t="n"/>
      <c r="O383" s="997" t="n"/>
      <c r="P383" s="998" t="inlineStr">
        <is>
          <t>Итого</t>
        </is>
      </c>
      <c r="Q383" s="959" t="n"/>
      <c r="R383" s="959" t="n"/>
      <c r="S383" s="959" t="n"/>
      <c r="T383" s="959" t="n"/>
      <c r="U383" s="959" t="n"/>
      <c r="V383" s="960" t="n"/>
      <c r="W383" s="40" t="inlineStr">
        <is>
          <t>кг</t>
        </is>
      </c>
      <c r="X383" s="999">
        <f>IFERROR(SUM(X378:X381),"0")</f>
        <v/>
      </c>
      <c r="Y383" s="999">
        <f>IFERROR(SUM(Y378:Y381),"0")</f>
        <v/>
      </c>
      <c r="Z383" s="40" t="n"/>
      <c r="AA383" s="1000" t="n"/>
      <c r="AB383" s="1000" t="n"/>
      <c r="AC383" s="1000" t="n"/>
    </row>
    <row r="384" ht="14.25" customHeight="1">
      <c r="A384" s="667" t="inlineStr">
        <is>
          <t>Паштеты</t>
        </is>
      </c>
      <c r="B384" s="941" t="n"/>
      <c r="C384" s="941" t="n"/>
      <c r="D384" s="941" t="n"/>
      <c r="E384" s="941" t="n"/>
      <c r="F384" s="941" t="n"/>
      <c r="G384" s="941" t="n"/>
      <c r="H384" s="941" t="n"/>
      <c r="I384" s="941" t="n"/>
      <c r="J384" s="941" t="n"/>
      <c r="K384" s="941" t="n"/>
      <c r="L384" s="941" t="n"/>
      <c r="M384" s="941" t="n"/>
      <c r="N384" s="941" t="n"/>
      <c r="O384" s="941" t="n"/>
      <c r="P384" s="941" t="n"/>
      <c r="Q384" s="941" t="n"/>
      <c r="R384" s="941" t="n"/>
      <c r="S384" s="941" t="n"/>
      <c r="T384" s="941" t="n"/>
      <c r="U384" s="941" t="n"/>
      <c r="V384" s="941" t="n"/>
      <c r="W384" s="941" t="n"/>
      <c r="X384" s="941" t="n"/>
      <c r="Y384" s="941" t="n"/>
      <c r="Z384" s="941" t="n"/>
      <c r="AA384" s="667" t="n"/>
      <c r="AB384" s="667" t="n"/>
      <c r="AC384" s="667" t="n"/>
    </row>
    <row r="385" ht="16.5" customHeight="1">
      <c r="A385" s="60" t="inlineStr">
        <is>
          <t>SU002841</t>
        </is>
      </c>
      <c r="B385" s="60" t="inlineStr">
        <is>
          <t>P003253</t>
        </is>
      </c>
      <c r="C385" s="34" t="n">
        <v>4301180007</v>
      </c>
      <c r="D385" s="668" t="n">
        <v>4680115881808</v>
      </c>
      <c r="E385" s="951" t="n"/>
      <c r="F385" s="990" t="n">
        <v>0.1</v>
      </c>
      <c r="G385" s="35" t="n">
        <v>20</v>
      </c>
      <c r="H385" s="990" t="n">
        <v>2</v>
      </c>
      <c r="I385" s="990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92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5" s="992" t="n"/>
      <c r="R385" s="992" t="n"/>
      <c r="S385" s="992" t="n"/>
      <c r="T385" s="993" t="n"/>
      <c r="U385" s="37" t="inlineStr"/>
      <c r="V385" s="37" t="inlineStr"/>
      <c r="W385" s="38" t="inlineStr">
        <is>
          <t>кг</t>
        </is>
      </c>
      <c r="X385" s="994" t="n">
        <v>0</v>
      </c>
      <c r="Y385" s="995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SU002840</t>
        </is>
      </c>
      <c r="B386" s="60" t="inlineStr">
        <is>
          <t>P003252</t>
        </is>
      </c>
      <c r="C386" s="34" t="n">
        <v>4301180006</v>
      </c>
      <c r="D386" s="668" t="n">
        <v>4680115881822</v>
      </c>
      <c r="E386" s="951" t="n"/>
      <c r="F386" s="990" t="n">
        <v>0.1</v>
      </c>
      <c r="G386" s="35" t="n">
        <v>20</v>
      </c>
      <c r="H386" s="990" t="n">
        <v>2</v>
      </c>
      <c r="I386" s="990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3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6" s="992" t="n"/>
      <c r="R386" s="992" t="n"/>
      <c r="S386" s="992" t="n"/>
      <c r="T386" s="993" t="n"/>
      <c r="U386" s="37" t="inlineStr"/>
      <c r="V386" s="37" t="inlineStr"/>
      <c r="W386" s="38" t="inlineStr">
        <is>
          <t>кг</t>
        </is>
      </c>
      <c r="X386" s="994" t="n">
        <v>0</v>
      </c>
      <c r="Y386" s="995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 ht="27" customHeight="1">
      <c r="A387" s="60" t="inlineStr">
        <is>
          <t>SU002368</t>
        </is>
      </c>
      <c r="B387" s="60" t="inlineStr">
        <is>
          <t>P002648</t>
        </is>
      </c>
      <c r="C387" s="34" t="n">
        <v>4301180001</v>
      </c>
      <c r="D387" s="668" t="n">
        <v>4680115880016</v>
      </c>
      <c r="E387" s="951" t="n"/>
      <c r="F387" s="990" t="n">
        <v>0.1</v>
      </c>
      <c r="G387" s="35" t="n">
        <v>20</v>
      </c>
      <c r="H387" s="990" t="n">
        <v>2</v>
      </c>
      <c r="I387" s="990" t="n">
        <v>2.24</v>
      </c>
      <c r="J387" s="35" t="n">
        <v>238</v>
      </c>
      <c r="K387" s="35" t="inlineStr">
        <is>
          <t>14</t>
        </is>
      </c>
      <c r="L387" s="35" t="inlineStr"/>
      <c r="M387" s="36" t="inlineStr">
        <is>
          <t>РК</t>
        </is>
      </c>
      <c r="N387" s="36" t="n"/>
      <c r="O387" s="35" t="n">
        <v>731</v>
      </c>
      <c r="P387" s="1194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7" s="992" t="n"/>
      <c r="R387" s="992" t="n"/>
      <c r="S387" s="992" t="n"/>
      <c r="T387" s="993" t="n"/>
      <c r="U387" s="37" t="inlineStr"/>
      <c r="V387" s="37" t="inlineStr"/>
      <c r="W387" s="38" t="inlineStr">
        <is>
          <t>кг</t>
        </is>
      </c>
      <c r="X387" s="994" t="n">
        <v>0</v>
      </c>
      <c r="Y387" s="995">
        <f>IFERROR(IF(X387="",0,CEILING((X387/$H387),1)*$H387),"")</f>
        <v/>
      </c>
      <c r="Z387" s="39">
        <f>IFERROR(IF(Y387=0,"",ROUNDUP(Y387/H387,0)*0.00474),"")</f>
        <v/>
      </c>
      <c r="AA387" s="65" t="inlineStr"/>
      <c r="AB387" s="66" t="inlineStr"/>
      <c r="AC387" s="471" t="inlineStr">
        <is>
          <t>ЕАЭС N RU Д-RU.РА04.В.53299/22</t>
        </is>
      </c>
      <c r="AG387" s="75" t="n"/>
      <c r="AJ387" s="79" t="inlineStr"/>
      <c r="AK387" s="79" t="n">
        <v>0</v>
      </c>
      <c r="BB387" s="472" t="inlineStr">
        <is>
          <t>КИ</t>
        </is>
      </c>
      <c r="BM387" s="75">
        <f>IFERROR(X387*I387/H387,"0")</f>
        <v/>
      </c>
      <c r="BN387" s="75">
        <f>IFERROR(Y387*I387/H387,"0")</f>
        <v/>
      </c>
      <c r="BO387" s="75">
        <f>IFERROR(1/J387*(X387/H387),"0")</f>
        <v/>
      </c>
      <c r="BP387" s="75">
        <f>IFERROR(1/J387*(Y387/H387),"0")</f>
        <v/>
      </c>
    </row>
    <row r="388">
      <c r="A388" s="677" t="n"/>
      <c r="B388" s="941" t="n"/>
      <c r="C388" s="941" t="n"/>
      <c r="D388" s="941" t="n"/>
      <c r="E388" s="941" t="n"/>
      <c r="F388" s="941" t="n"/>
      <c r="G388" s="941" t="n"/>
      <c r="H388" s="941" t="n"/>
      <c r="I388" s="941" t="n"/>
      <c r="J388" s="941" t="n"/>
      <c r="K388" s="941" t="n"/>
      <c r="L388" s="941" t="n"/>
      <c r="M388" s="941" t="n"/>
      <c r="N388" s="941" t="n"/>
      <c r="O388" s="997" t="n"/>
      <c r="P388" s="998" t="inlineStr">
        <is>
          <t>Итого</t>
        </is>
      </c>
      <c r="Q388" s="959" t="n"/>
      <c r="R388" s="959" t="n"/>
      <c r="S388" s="959" t="n"/>
      <c r="T388" s="959" t="n"/>
      <c r="U388" s="959" t="n"/>
      <c r="V388" s="960" t="n"/>
      <c r="W388" s="40" t="inlineStr">
        <is>
          <t>кор</t>
        </is>
      </c>
      <c r="X388" s="999">
        <f>IFERROR(X385/H385,"0")+IFERROR(X386/H386,"0")+IFERROR(X387/H387,"0")</f>
        <v/>
      </c>
      <c r="Y388" s="999">
        <f>IFERROR(Y385/H385,"0")+IFERROR(Y386/H386,"0")+IFERROR(Y387/H387,"0")</f>
        <v/>
      </c>
      <c r="Z388" s="999">
        <f>IFERROR(IF(Z385="",0,Z385),"0")+IFERROR(IF(Z386="",0,Z386),"0")+IFERROR(IF(Z387="",0,Z387),"0")</f>
        <v/>
      </c>
      <c r="AA388" s="1000" t="n"/>
      <c r="AB388" s="1000" t="n"/>
      <c r="AC388" s="1000" t="n"/>
    </row>
    <row r="389">
      <c r="A389" s="941" t="n"/>
      <c r="B389" s="941" t="n"/>
      <c r="C389" s="941" t="n"/>
      <c r="D389" s="941" t="n"/>
      <c r="E389" s="941" t="n"/>
      <c r="F389" s="941" t="n"/>
      <c r="G389" s="941" t="n"/>
      <c r="H389" s="941" t="n"/>
      <c r="I389" s="941" t="n"/>
      <c r="J389" s="941" t="n"/>
      <c r="K389" s="941" t="n"/>
      <c r="L389" s="941" t="n"/>
      <c r="M389" s="941" t="n"/>
      <c r="N389" s="941" t="n"/>
      <c r="O389" s="997" t="n"/>
      <c r="P389" s="998" t="inlineStr">
        <is>
          <t>Итого</t>
        </is>
      </c>
      <c r="Q389" s="959" t="n"/>
      <c r="R389" s="959" t="n"/>
      <c r="S389" s="959" t="n"/>
      <c r="T389" s="959" t="n"/>
      <c r="U389" s="959" t="n"/>
      <c r="V389" s="960" t="n"/>
      <c r="W389" s="40" t="inlineStr">
        <is>
          <t>кг</t>
        </is>
      </c>
      <c r="X389" s="999">
        <f>IFERROR(SUM(X385:X387),"0")</f>
        <v/>
      </c>
      <c r="Y389" s="999">
        <f>IFERROR(SUM(Y385:Y387),"0")</f>
        <v/>
      </c>
      <c r="Z389" s="40" t="n"/>
      <c r="AA389" s="1000" t="n"/>
      <c r="AB389" s="1000" t="n"/>
      <c r="AC389" s="1000" t="n"/>
    </row>
    <row r="390" ht="16.5" customHeight="1">
      <c r="A390" s="666" t="inlineStr">
        <is>
          <t>Бавария</t>
        </is>
      </c>
      <c r="B390" s="941" t="n"/>
      <c r="C390" s="941" t="n"/>
      <c r="D390" s="941" t="n"/>
      <c r="E390" s="941" t="n"/>
      <c r="F390" s="941" t="n"/>
      <c r="G390" s="941" t="n"/>
      <c r="H390" s="941" t="n"/>
      <c r="I390" s="941" t="n"/>
      <c r="J390" s="941" t="n"/>
      <c r="K390" s="941" t="n"/>
      <c r="L390" s="941" t="n"/>
      <c r="M390" s="941" t="n"/>
      <c r="N390" s="941" t="n"/>
      <c r="O390" s="941" t="n"/>
      <c r="P390" s="941" t="n"/>
      <c r="Q390" s="941" t="n"/>
      <c r="R390" s="941" t="n"/>
      <c r="S390" s="941" t="n"/>
      <c r="T390" s="941" t="n"/>
      <c r="U390" s="941" t="n"/>
      <c r="V390" s="941" t="n"/>
      <c r="W390" s="941" t="n"/>
      <c r="X390" s="941" t="n"/>
      <c r="Y390" s="941" t="n"/>
      <c r="Z390" s="941" t="n"/>
      <c r="AA390" s="666" t="n"/>
      <c r="AB390" s="666" t="n"/>
      <c r="AC390" s="666" t="n"/>
    </row>
    <row r="391" ht="14.25" customHeight="1">
      <c r="A391" s="667" t="inlineStr">
        <is>
          <t>Сосиски</t>
        </is>
      </c>
      <c r="B391" s="941" t="n"/>
      <c r="C391" s="941" t="n"/>
      <c r="D391" s="941" t="n"/>
      <c r="E391" s="941" t="n"/>
      <c r="F391" s="941" t="n"/>
      <c r="G391" s="941" t="n"/>
      <c r="H391" s="941" t="n"/>
      <c r="I391" s="941" t="n"/>
      <c r="J391" s="941" t="n"/>
      <c r="K391" s="941" t="n"/>
      <c r="L391" s="941" t="n"/>
      <c r="M391" s="941" t="n"/>
      <c r="N391" s="941" t="n"/>
      <c r="O391" s="941" t="n"/>
      <c r="P391" s="941" t="n"/>
      <c r="Q391" s="941" t="n"/>
      <c r="R391" s="941" t="n"/>
      <c r="S391" s="941" t="n"/>
      <c r="T391" s="941" t="n"/>
      <c r="U391" s="941" t="n"/>
      <c r="V391" s="941" t="n"/>
      <c r="W391" s="941" t="n"/>
      <c r="X391" s="941" t="n"/>
      <c r="Y391" s="941" t="n"/>
      <c r="Z391" s="941" t="n"/>
      <c r="AA391" s="667" t="n"/>
      <c r="AB391" s="667" t="n"/>
      <c r="AC391" s="667" t="n"/>
    </row>
    <row r="392" ht="37.5" customHeight="1">
      <c r="A392" s="60" t="inlineStr">
        <is>
          <t>SU001835</t>
        </is>
      </c>
      <c r="B392" s="60" t="inlineStr">
        <is>
          <t>P002202</t>
        </is>
      </c>
      <c r="C392" s="34" t="n">
        <v>4301051489</v>
      </c>
      <c r="D392" s="668" t="n">
        <v>4607091387919</v>
      </c>
      <c r="E392" s="951" t="n"/>
      <c r="F392" s="990" t="n">
        <v>1.35</v>
      </c>
      <c r="G392" s="35" t="n">
        <v>6</v>
      </c>
      <c r="H392" s="990" t="n">
        <v>8.1</v>
      </c>
      <c r="I392" s="990" t="n">
        <v>8.593999999999999</v>
      </c>
      <c r="J392" s="35" t="n">
        <v>64</v>
      </c>
      <c r="K392" s="35" t="inlineStr">
        <is>
          <t>8</t>
        </is>
      </c>
      <c r="L392" s="35" t="inlineStr"/>
      <c r="M392" s="36" t="inlineStr">
        <is>
          <t>СК4</t>
        </is>
      </c>
      <c r="N392" s="36" t="n"/>
      <c r="O392" s="35" t="n">
        <v>45</v>
      </c>
      <c r="P392" s="1195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2" s="992" t="n"/>
      <c r="R392" s="992" t="n"/>
      <c r="S392" s="992" t="n"/>
      <c r="T392" s="993" t="n"/>
      <c r="U392" s="37" t="inlineStr"/>
      <c r="V392" s="37" t="inlineStr"/>
      <c r="W392" s="38" t="inlineStr">
        <is>
          <t>кг</t>
        </is>
      </c>
      <c r="X392" s="994" t="n">
        <v>8</v>
      </c>
      <c r="Y392" s="995">
        <f>IFERROR(IF(X392="",0,CEILING((X392/$H392),1)*$H392),"")</f>
        <v/>
      </c>
      <c r="Z392" s="39">
        <f>IFERROR(IF(Y392=0,"",ROUNDUP(Y392/H392,0)*0.01898),"")</f>
        <v/>
      </c>
      <c r="AA392" s="65" t="inlineStr"/>
      <c r="AB392" s="66" t="inlineStr"/>
      <c r="AC392" s="473" t="inlineStr">
        <is>
          <t>ЕАЭС N RU Д-RU.РА03.В.21237/26, ЕАЭС N RU Д-RU.РА04.В.57451/23, ЕАЭС N RU Д-RU.РА11.В.38696/25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37.5" customHeight="1">
      <c r="A393" s="60" t="inlineStr">
        <is>
          <t>SU003167</t>
        </is>
      </c>
      <c r="B393" s="60" t="inlineStr">
        <is>
          <t>P003363</t>
        </is>
      </c>
      <c r="C393" s="34" t="n">
        <v>4301051461</v>
      </c>
      <c r="D393" s="668" t="n">
        <v>4680115883604</v>
      </c>
      <c r="E393" s="951" t="n"/>
      <c r="F393" s="990" t="n">
        <v>0.35</v>
      </c>
      <c r="G393" s="35" t="n">
        <v>6</v>
      </c>
      <c r="H393" s="990" t="n">
        <v>2.1</v>
      </c>
      <c r="I393" s="990" t="n">
        <v>2.352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СК3</t>
        </is>
      </c>
      <c r="N393" s="36" t="n"/>
      <c r="O393" s="35" t="n">
        <v>45</v>
      </c>
      <c r="P393" s="1196">
        <f>HYPERLINK("https://abi.ru/products/Охлажденные/Стародворье/Бавария/Сосиски/P003363/","Сосиски «Баварские» Фикс.вес 0,35 П/а ТМ «Стародворье»")</f>
        <v/>
      </c>
      <c r="Q393" s="992" t="n"/>
      <c r="R393" s="992" t="n"/>
      <c r="S393" s="992" t="n"/>
      <c r="T393" s="993" t="n"/>
      <c r="U393" s="37" t="inlineStr"/>
      <c r="V393" s="37" t="inlineStr"/>
      <c r="W393" s="38" t="inlineStr">
        <is>
          <t>кг</t>
        </is>
      </c>
      <c r="X393" s="994" t="n">
        <v>38.5</v>
      </c>
      <c r="Y393" s="995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Д-RU.РА03.В.17858/26, ЕАЭС N RU Д-RU.РА03.В.17919/26, ЕАЭС N RU Д-RU.РА05.В.42627/23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 ht="27" customHeight="1">
      <c r="A394" s="60" t="inlineStr">
        <is>
          <t>SU003168</t>
        </is>
      </c>
      <c r="B394" s="60" t="inlineStr">
        <is>
          <t>P003364</t>
        </is>
      </c>
      <c r="C394" s="34" t="n">
        <v>4301051864</v>
      </c>
      <c r="D394" s="668" t="n">
        <v>4680115883567</v>
      </c>
      <c r="E394" s="951" t="n"/>
      <c r="F394" s="990" t="n">
        <v>0.35</v>
      </c>
      <c r="G394" s="35" t="n">
        <v>6</v>
      </c>
      <c r="H394" s="990" t="n">
        <v>2.1</v>
      </c>
      <c r="I394" s="990" t="n">
        <v>2.34</v>
      </c>
      <c r="J394" s="35" t="n">
        <v>182</v>
      </c>
      <c r="K394" s="35" t="inlineStr">
        <is>
          <t>14</t>
        </is>
      </c>
      <c r="L394" s="35" t="inlineStr"/>
      <c r="M394" s="36" t="inlineStr">
        <is>
          <t>СК4</t>
        </is>
      </c>
      <c r="N394" s="36" t="n"/>
      <c r="O394" s="35" t="n">
        <v>40</v>
      </c>
      <c r="P394" s="1197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4" s="992" t="n"/>
      <c r="R394" s="992" t="n"/>
      <c r="S394" s="992" t="n"/>
      <c r="T394" s="993" t="n"/>
      <c r="U394" s="37" t="inlineStr"/>
      <c r="V394" s="37" t="inlineStr"/>
      <c r="W394" s="38" t="inlineStr">
        <is>
          <t>кг</t>
        </is>
      </c>
      <c r="X394" s="994" t="n">
        <v>46.9</v>
      </c>
      <c r="Y394" s="995">
        <f>IFERROR(IF(X394="",0,CEILING((X394/$H394),1)*$H394),"")</f>
        <v/>
      </c>
      <c r="Z394" s="39">
        <f>IFERROR(IF(Y394=0,"",ROUNDUP(Y394/H394,0)*0.00651),"")</f>
        <v/>
      </c>
      <c r="AA394" s="65" t="inlineStr"/>
      <c r="AB394" s="66" t="inlineStr"/>
      <c r="AC394" s="477" t="inlineStr">
        <is>
          <t>ЕАЭС N RU Д-RU.РА03.В.16893/26, ЕАЭС N RU Д-RU.РА04.В.80100/25</t>
        </is>
      </c>
      <c r="AG394" s="75" t="n"/>
      <c r="AJ394" s="79" t="inlineStr"/>
      <c r="AK394" s="79" t="n">
        <v>0</v>
      </c>
      <c r="BB394" s="478" t="inlineStr">
        <is>
          <t>КИ</t>
        </is>
      </c>
      <c r="BM394" s="75">
        <f>IFERROR(X394*I394/H394,"0")</f>
        <v/>
      </c>
      <c r="BN394" s="75">
        <f>IFERROR(Y394*I394/H394,"0")</f>
        <v/>
      </c>
      <c r="BO394" s="75">
        <f>IFERROR(1/J394*(X394/H394),"0")</f>
        <v/>
      </c>
      <c r="BP394" s="75">
        <f>IFERROR(1/J394*(Y394/H394),"0")</f>
        <v/>
      </c>
    </row>
    <row r="395">
      <c r="A395" s="677" t="n"/>
      <c r="B395" s="941" t="n"/>
      <c r="C395" s="941" t="n"/>
      <c r="D395" s="941" t="n"/>
      <c r="E395" s="941" t="n"/>
      <c r="F395" s="941" t="n"/>
      <c r="G395" s="941" t="n"/>
      <c r="H395" s="941" t="n"/>
      <c r="I395" s="941" t="n"/>
      <c r="J395" s="941" t="n"/>
      <c r="K395" s="941" t="n"/>
      <c r="L395" s="941" t="n"/>
      <c r="M395" s="941" t="n"/>
      <c r="N395" s="941" t="n"/>
      <c r="O395" s="997" t="n"/>
      <c r="P395" s="998" t="inlineStr">
        <is>
          <t>Итого</t>
        </is>
      </c>
      <c r="Q395" s="959" t="n"/>
      <c r="R395" s="959" t="n"/>
      <c r="S395" s="959" t="n"/>
      <c r="T395" s="959" t="n"/>
      <c r="U395" s="959" t="n"/>
      <c r="V395" s="960" t="n"/>
      <c r="W395" s="40" t="inlineStr">
        <is>
          <t>кор</t>
        </is>
      </c>
      <c r="X395" s="999">
        <f>IFERROR(X392/H392,"0")+IFERROR(X393/H393,"0")+IFERROR(X394/H394,"0")</f>
        <v/>
      </c>
      <c r="Y395" s="999">
        <f>IFERROR(Y392/H392,"0")+IFERROR(Y393/H393,"0")+IFERROR(Y394/H394,"0")</f>
        <v/>
      </c>
      <c r="Z395" s="999">
        <f>IFERROR(IF(Z392="",0,Z392),"0")+IFERROR(IF(Z393="",0,Z393),"0")+IFERROR(IF(Z394="",0,Z394),"0")</f>
        <v/>
      </c>
      <c r="AA395" s="1000" t="n"/>
      <c r="AB395" s="1000" t="n"/>
      <c r="AC395" s="1000" t="n"/>
    </row>
    <row r="396">
      <c r="A396" s="941" t="n"/>
      <c r="B396" s="941" t="n"/>
      <c r="C396" s="941" t="n"/>
      <c r="D396" s="941" t="n"/>
      <c r="E396" s="941" t="n"/>
      <c r="F396" s="941" t="n"/>
      <c r="G396" s="941" t="n"/>
      <c r="H396" s="941" t="n"/>
      <c r="I396" s="941" t="n"/>
      <c r="J396" s="941" t="n"/>
      <c r="K396" s="941" t="n"/>
      <c r="L396" s="941" t="n"/>
      <c r="M396" s="941" t="n"/>
      <c r="N396" s="941" t="n"/>
      <c r="O396" s="997" t="n"/>
      <c r="P396" s="998" t="inlineStr">
        <is>
          <t>Итого</t>
        </is>
      </c>
      <c r="Q396" s="959" t="n"/>
      <c r="R396" s="959" t="n"/>
      <c r="S396" s="959" t="n"/>
      <c r="T396" s="959" t="n"/>
      <c r="U396" s="959" t="n"/>
      <c r="V396" s="960" t="n"/>
      <c r="W396" s="40" t="inlineStr">
        <is>
          <t>кг</t>
        </is>
      </c>
      <c r="X396" s="999">
        <f>IFERROR(SUM(X392:X394),"0")</f>
        <v/>
      </c>
      <c r="Y396" s="999">
        <f>IFERROR(SUM(Y392:Y394),"0")</f>
        <v/>
      </c>
      <c r="Z396" s="40" t="n"/>
      <c r="AA396" s="1000" t="n"/>
      <c r="AB396" s="1000" t="n"/>
      <c r="AC396" s="1000" t="n"/>
    </row>
    <row r="397" ht="27.75" customHeight="1">
      <c r="A397" s="665" t="inlineStr">
        <is>
          <t>Особый рецепт</t>
        </is>
      </c>
      <c r="B397" s="989" t="n"/>
      <c r="C397" s="989" t="n"/>
      <c r="D397" s="989" t="n"/>
      <c r="E397" s="989" t="n"/>
      <c r="F397" s="989" t="n"/>
      <c r="G397" s="989" t="n"/>
      <c r="H397" s="989" t="n"/>
      <c r="I397" s="989" t="n"/>
      <c r="J397" s="989" t="n"/>
      <c r="K397" s="989" t="n"/>
      <c r="L397" s="989" t="n"/>
      <c r="M397" s="989" t="n"/>
      <c r="N397" s="989" t="n"/>
      <c r="O397" s="989" t="n"/>
      <c r="P397" s="989" t="n"/>
      <c r="Q397" s="989" t="n"/>
      <c r="R397" s="989" t="n"/>
      <c r="S397" s="989" t="n"/>
      <c r="T397" s="989" t="n"/>
      <c r="U397" s="989" t="n"/>
      <c r="V397" s="989" t="n"/>
      <c r="W397" s="989" t="n"/>
      <c r="X397" s="989" t="n"/>
      <c r="Y397" s="989" t="n"/>
      <c r="Z397" s="989" t="n"/>
      <c r="AA397" s="52" t="n"/>
      <c r="AB397" s="52" t="n"/>
      <c r="AC397" s="52" t="n"/>
    </row>
    <row r="398" ht="16.5" customHeight="1">
      <c r="A398" s="666" t="inlineStr">
        <is>
          <t>Особая</t>
        </is>
      </c>
      <c r="B398" s="941" t="n"/>
      <c r="C398" s="941" t="n"/>
      <c r="D398" s="941" t="n"/>
      <c r="E398" s="941" t="n"/>
      <c r="F398" s="941" t="n"/>
      <c r="G398" s="941" t="n"/>
      <c r="H398" s="941" t="n"/>
      <c r="I398" s="941" t="n"/>
      <c r="J398" s="941" t="n"/>
      <c r="K398" s="941" t="n"/>
      <c r="L398" s="941" t="n"/>
      <c r="M398" s="941" t="n"/>
      <c r="N398" s="941" t="n"/>
      <c r="O398" s="941" t="n"/>
      <c r="P398" s="941" t="n"/>
      <c r="Q398" s="941" t="n"/>
      <c r="R398" s="941" t="n"/>
      <c r="S398" s="941" t="n"/>
      <c r="T398" s="941" t="n"/>
      <c r="U398" s="941" t="n"/>
      <c r="V398" s="941" t="n"/>
      <c r="W398" s="941" t="n"/>
      <c r="X398" s="941" t="n"/>
      <c r="Y398" s="941" t="n"/>
      <c r="Z398" s="941" t="n"/>
      <c r="AA398" s="666" t="n"/>
      <c r="AB398" s="666" t="n"/>
      <c r="AC398" s="666" t="n"/>
    </row>
    <row r="399" ht="14.25" customHeight="1">
      <c r="A399" s="667" t="inlineStr">
        <is>
          <t>Вареные колбасы</t>
        </is>
      </c>
      <c r="B399" s="941" t="n"/>
      <c r="C399" s="941" t="n"/>
      <c r="D399" s="941" t="n"/>
      <c r="E399" s="941" t="n"/>
      <c r="F399" s="941" t="n"/>
      <c r="G399" s="941" t="n"/>
      <c r="H399" s="941" t="n"/>
      <c r="I399" s="941" t="n"/>
      <c r="J399" s="941" t="n"/>
      <c r="K399" s="941" t="n"/>
      <c r="L399" s="941" t="n"/>
      <c r="M399" s="941" t="n"/>
      <c r="N399" s="941" t="n"/>
      <c r="O399" s="941" t="n"/>
      <c r="P399" s="941" t="n"/>
      <c r="Q399" s="941" t="n"/>
      <c r="R399" s="941" t="n"/>
      <c r="S399" s="941" t="n"/>
      <c r="T399" s="941" t="n"/>
      <c r="U399" s="941" t="n"/>
      <c r="V399" s="941" t="n"/>
      <c r="W399" s="941" t="n"/>
      <c r="X399" s="941" t="n"/>
      <c r="Y399" s="941" t="n"/>
      <c r="Z399" s="941" t="n"/>
      <c r="AA399" s="667" t="n"/>
      <c r="AB399" s="667" t="n"/>
      <c r="AC399" s="667" t="n"/>
    </row>
    <row r="400" ht="27" customHeight="1">
      <c r="A400" s="60" t="inlineStr">
        <is>
          <t>SU004131</t>
        </is>
      </c>
      <c r="B400" s="60" t="inlineStr">
        <is>
          <t>P005388</t>
        </is>
      </c>
      <c r="C400" s="34" t="n">
        <v>4301012332</v>
      </c>
      <c r="D400" s="668" t="n">
        <v>4680115888401</v>
      </c>
      <c r="E400" s="951" t="n"/>
      <c r="F400" s="990" t="n">
        <v>2.5</v>
      </c>
      <c r="G400" s="35" t="n">
        <v>6</v>
      </c>
      <c r="H400" s="990" t="n">
        <v>15</v>
      </c>
      <c r="I400" s="990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СК4</t>
        </is>
      </c>
      <c r="N400" s="36" t="n"/>
      <c r="O400" s="35" t="n">
        <v>60</v>
      </c>
      <c r="P400" s="1198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00" s="992" t="n"/>
      <c r="R400" s="992" t="n"/>
      <c r="S400" s="992" t="n"/>
      <c r="T400" s="993" t="n"/>
      <c r="U400" s="37" t="inlineStr"/>
      <c r="V400" s="37" t="inlineStr"/>
      <c r="W400" s="38" t="inlineStr">
        <is>
          <t>кг</t>
        </is>
      </c>
      <c r="X400" s="994" t="n">
        <v>0</v>
      </c>
      <c r="Y400" s="995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Д-RU.РА02.В.09568/26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37.5" customHeight="1">
      <c r="A401" s="60" t="inlineStr">
        <is>
          <t>SU003422</t>
        </is>
      </c>
      <c r="B401" s="60" t="inlineStr">
        <is>
          <t>P004256</t>
        </is>
      </c>
      <c r="C401" s="34" t="n">
        <v>4301011869</v>
      </c>
      <c r="D401" s="668" t="n">
        <v>4680115884847</v>
      </c>
      <c r="E401" s="951" t="n"/>
      <c r="F401" s="990" t="n">
        <v>2.5</v>
      </c>
      <c r="G401" s="35" t="n">
        <v>6</v>
      </c>
      <c r="H401" s="990" t="n">
        <v>15</v>
      </c>
      <c r="I401" s="990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СК2</t>
        </is>
      </c>
      <c r="N401" s="36" t="n"/>
      <c r="O401" s="35" t="n">
        <v>60</v>
      </c>
      <c r="P401" s="1199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1" s="992" t="n"/>
      <c r="R401" s="992" t="n"/>
      <c r="S401" s="992" t="n"/>
      <c r="T401" s="993" t="n"/>
      <c r="U401" s="37" t="inlineStr"/>
      <c r="V401" s="37" t="inlineStr"/>
      <c r="W401" s="38" t="inlineStr">
        <is>
          <t>кг</t>
        </is>
      </c>
      <c r="X401" s="994" t="n">
        <v>210</v>
      </c>
      <c r="Y401" s="995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Д-RU.РА08.В.47937/25, ЕАЭС N RU Д-RU.РА08.В.48219/25, ЕАЭС N RU Д-RU.РА08.В.48410/25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SU003423</t>
        </is>
      </c>
      <c r="B402" s="60" t="inlineStr">
        <is>
          <t>P004257</t>
        </is>
      </c>
      <c r="C402" s="34" t="n">
        <v>4301012083</v>
      </c>
      <c r="D402" s="668" t="n">
        <v>4680115884854</v>
      </c>
      <c r="E402" s="951" t="n"/>
      <c r="F402" s="990" t="n">
        <v>2.5</v>
      </c>
      <c r="G402" s="35" t="n">
        <v>6</v>
      </c>
      <c r="H402" s="990" t="n">
        <v>15</v>
      </c>
      <c r="I402" s="990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СК1</t>
        </is>
      </c>
      <c r="N402" s="36" t="n"/>
      <c r="O402" s="35" t="n">
        <v>60</v>
      </c>
      <c r="P402" s="1200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2" s="992" t="n"/>
      <c r="R402" s="992" t="n"/>
      <c r="S402" s="992" t="n"/>
      <c r="T402" s="993" t="n"/>
      <c r="U402" s="37" t="inlineStr"/>
      <c r="V402" s="37" t="inlineStr"/>
      <c r="W402" s="38" t="inlineStr">
        <is>
          <t>кг</t>
        </is>
      </c>
      <c r="X402" s="994" t="n">
        <v>785</v>
      </c>
      <c r="Y402" s="995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Д-RU.РА08.В.48516/25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SU003420</t>
        </is>
      </c>
      <c r="B403" s="60" t="inlineStr">
        <is>
          <t>P004252</t>
        </is>
      </c>
      <c r="C403" s="34" t="n">
        <v>4301011867</v>
      </c>
      <c r="D403" s="668" t="n">
        <v>4680115884830</v>
      </c>
      <c r="E403" s="951" t="n"/>
      <c r="F403" s="990" t="n">
        <v>2.5</v>
      </c>
      <c r="G403" s="35" t="n">
        <v>6</v>
      </c>
      <c r="H403" s="990" t="n">
        <v>15</v>
      </c>
      <c r="I403" s="990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СК2</t>
        </is>
      </c>
      <c r="N403" s="36" t="n"/>
      <c r="O403" s="35" t="n">
        <v>60</v>
      </c>
      <c r="P403" s="1201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3" s="992" t="n"/>
      <c r="R403" s="992" t="n"/>
      <c r="S403" s="992" t="n"/>
      <c r="T403" s="993" t="n"/>
      <c r="U403" s="37" t="inlineStr"/>
      <c r="V403" s="37" t="inlineStr"/>
      <c r="W403" s="38" t="inlineStr">
        <is>
          <t>кг</t>
        </is>
      </c>
      <c r="X403" s="994" t="n">
        <v>0</v>
      </c>
      <c r="Y403" s="995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Д-RU.РА09.В.21652/25, ЕАЭС N RU Д-RU.РА11.В.72187/25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SU004238</t>
        </is>
      </c>
      <c r="B404" s="60" t="inlineStr">
        <is>
          <t>P005467</t>
        </is>
      </c>
      <c r="C404" s="34" t="n">
        <v>4301012356</v>
      </c>
      <c r="D404" s="668" t="n">
        <v>4680115889231</v>
      </c>
      <c r="E404" s="951" t="n"/>
      <c r="F404" s="990" t="n">
        <v>2.5</v>
      </c>
      <c r="G404" s="35" t="n">
        <v>6</v>
      </c>
      <c r="H404" s="990" t="n">
        <v>15</v>
      </c>
      <c r="I404" s="990" t="n">
        <v>15.47</v>
      </c>
      <c r="J404" s="35" t="n">
        <v>48</v>
      </c>
      <c r="K404" s="35" t="inlineStr">
        <is>
          <t>8</t>
        </is>
      </c>
      <c r="L404" s="35" t="inlineStr"/>
      <c r="M404" s="36" t="inlineStr">
        <is>
          <t>СК4</t>
        </is>
      </c>
      <c r="N404" s="36" t="n"/>
      <c r="O404" s="35" t="n">
        <v>60</v>
      </c>
      <c r="P404" s="1202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4" s="992" t="n"/>
      <c r="R404" s="992" t="n"/>
      <c r="S404" s="992" t="n"/>
      <c r="T404" s="993" t="n"/>
      <c r="U404" s="37" t="inlineStr"/>
      <c r="V404" s="37" t="inlineStr"/>
      <c r="W404" s="38" t="inlineStr">
        <is>
          <t>кг</t>
        </is>
      </c>
      <c r="X404" s="994" t="n">
        <v>1500</v>
      </c>
      <c r="Y404" s="995">
        <f>IFERROR(IF(X404="",0,CEILING((X404/$H404),1)*$H404),"")</f>
        <v/>
      </c>
      <c r="Z404" s="39">
        <f>IFERROR(IF(Y404=0,"",ROUNDUP(Y404/H404,0)*0.02175),"")</f>
        <v/>
      </c>
      <c r="AA404" s="65" t="inlineStr"/>
      <c r="AB404" s="66" t="inlineStr"/>
      <c r="AC404" s="487" t="inlineStr">
        <is>
          <t>ЕАЭС N RU Д-RU.РА05.В.11079/26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SU002787</t>
        </is>
      </c>
      <c r="B405" s="60" t="inlineStr">
        <is>
          <t>P003189</t>
        </is>
      </c>
      <c r="C405" s="34" t="n">
        <v>4301011433</v>
      </c>
      <c r="D405" s="668" t="n">
        <v>4680115882638</v>
      </c>
      <c r="E405" s="951" t="n"/>
      <c r="F405" s="990" t="n">
        <v>0.4</v>
      </c>
      <c r="G405" s="35" t="n">
        <v>10</v>
      </c>
      <c r="H405" s="990" t="n">
        <v>4</v>
      </c>
      <c r="I405" s="990" t="n">
        <v>4.19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СК1</t>
        </is>
      </c>
      <c r="N405" s="36" t="n"/>
      <c r="O405" s="35" t="n">
        <v>90</v>
      </c>
      <c r="P405" s="1203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5" s="992" t="n"/>
      <c r="R405" s="992" t="n"/>
      <c r="S405" s="992" t="n"/>
      <c r="T405" s="993" t="n"/>
      <c r="U405" s="37" t="inlineStr"/>
      <c r="V405" s="37" t="inlineStr"/>
      <c r="W405" s="38" t="inlineStr">
        <is>
          <t>кг</t>
        </is>
      </c>
      <c r="X405" s="994" t="n">
        <v>0</v>
      </c>
      <c r="Y405" s="995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Д-RU.РА05.В.17033/23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27" customHeight="1">
      <c r="A406" s="60" t="inlineStr">
        <is>
          <t>SU003432</t>
        </is>
      </c>
      <c r="B406" s="60" t="inlineStr">
        <is>
          <t>P004347</t>
        </is>
      </c>
      <c r="C406" s="34" t="n">
        <v>4301011952</v>
      </c>
      <c r="D406" s="668" t="n">
        <v>4680115884922</v>
      </c>
      <c r="E406" s="951" t="n"/>
      <c r="F406" s="990" t="n">
        <v>0.5</v>
      </c>
      <c r="G406" s="35" t="n">
        <v>10</v>
      </c>
      <c r="H406" s="990" t="n">
        <v>5</v>
      </c>
      <c r="I406" s="990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4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6" s="992" t="n"/>
      <c r="R406" s="992" t="n"/>
      <c r="S406" s="992" t="n"/>
      <c r="T406" s="993" t="n"/>
      <c r="U406" s="37" t="inlineStr"/>
      <c r="V406" s="37" t="inlineStr"/>
      <c r="W406" s="38" t="inlineStr">
        <is>
          <t>кг</t>
        </is>
      </c>
      <c r="X406" s="994" t="n">
        <v>0</v>
      </c>
      <c r="Y406" s="995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Д-RU.РА02.В.61635/24, ЕАЭС N RU Д-RU.РА08.В.48516/25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 ht="37.5" customHeight="1">
      <c r="A407" s="60" t="inlineStr">
        <is>
          <t>SU003421</t>
        </is>
      </c>
      <c r="B407" s="60" t="inlineStr">
        <is>
          <t>P004253</t>
        </is>
      </c>
      <c r="C407" s="34" t="n">
        <v>4301011868</v>
      </c>
      <c r="D407" s="668" t="n">
        <v>4680115884861</v>
      </c>
      <c r="E407" s="951" t="n"/>
      <c r="F407" s="990" t="n">
        <v>0.5</v>
      </c>
      <c r="G407" s="35" t="n">
        <v>10</v>
      </c>
      <c r="H407" s="990" t="n">
        <v>5</v>
      </c>
      <c r="I407" s="990" t="n">
        <v>5.19</v>
      </c>
      <c r="J407" s="35" t="n">
        <v>132</v>
      </c>
      <c r="K407" s="35" t="inlineStr">
        <is>
          <t>12</t>
        </is>
      </c>
      <c r="L407" s="35" t="inlineStr"/>
      <c r="M407" s="36" t="inlineStr">
        <is>
          <t>СК2</t>
        </is>
      </c>
      <c r="N407" s="36" t="n"/>
      <c r="O407" s="35" t="n">
        <v>60</v>
      </c>
      <c r="P407" s="1205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7" s="992" t="n"/>
      <c r="R407" s="992" t="n"/>
      <c r="S407" s="992" t="n"/>
      <c r="T407" s="993" t="n"/>
      <c r="U407" s="37" t="inlineStr"/>
      <c r="V407" s="37" t="inlineStr"/>
      <c r="W407" s="38" t="inlineStr">
        <is>
          <t>кг</t>
        </is>
      </c>
      <c r="X407" s="994" t="n">
        <v>5</v>
      </c>
      <c r="Y407" s="995">
        <f>IFERROR(IF(X407="",0,CEILING((X407/$H407),1)*$H407),"")</f>
        <v/>
      </c>
      <c r="Z407" s="39">
        <f>IFERROR(IF(Y407=0,"",ROUNDUP(Y407/H407,0)*0.00902),"")</f>
        <v/>
      </c>
      <c r="AA407" s="65" t="inlineStr"/>
      <c r="AB407" s="66" t="inlineStr"/>
      <c r="AC407" s="493" t="inlineStr">
        <is>
          <t>ЕАЭС N RU Д-RU.РА03.В.08506/26, ЕАЭС N RU Д-RU.РА09.В.21652/25, ЕАЭС N RU Д-RU.РА11.В.72187/25</t>
        </is>
      </c>
      <c r="AG407" s="75" t="n"/>
      <c r="AJ407" s="79" t="inlineStr"/>
      <c r="AK407" s="79" t="n">
        <v>0</v>
      </c>
      <c r="BB407" s="494" t="inlineStr">
        <is>
          <t>КИ</t>
        </is>
      </c>
      <c r="BM407" s="75">
        <f>IFERROR(X407*I407/H407,"0")</f>
        <v/>
      </c>
      <c r="BN407" s="75">
        <f>IFERROR(Y407*I407/H407,"0")</f>
        <v/>
      </c>
      <c r="BO407" s="75">
        <f>IFERROR(1/J407*(X407/H407),"0")</f>
        <v/>
      </c>
      <c r="BP407" s="75">
        <f>IFERROR(1/J407*(Y407/H407),"0")</f>
        <v/>
      </c>
    </row>
    <row r="408">
      <c r="A408" s="677" t="n"/>
      <c r="B408" s="941" t="n"/>
      <c r="C408" s="941" t="n"/>
      <c r="D408" s="941" t="n"/>
      <c r="E408" s="941" t="n"/>
      <c r="F408" s="941" t="n"/>
      <c r="G408" s="941" t="n"/>
      <c r="H408" s="941" t="n"/>
      <c r="I408" s="941" t="n"/>
      <c r="J408" s="941" t="n"/>
      <c r="K408" s="941" t="n"/>
      <c r="L408" s="941" t="n"/>
      <c r="M408" s="941" t="n"/>
      <c r="N408" s="941" t="n"/>
      <c r="O408" s="997" t="n"/>
      <c r="P408" s="998" t="inlineStr">
        <is>
          <t>Итого</t>
        </is>
      </c>
      <c r="Q408" s="959" t="n"/>
      <c r="R408" s="959" t="n"/>
      <c r="S408" s="959" t="n"/>
      <c r="T408" s="959" t="n"/>
      <c r="U408" s="959" t="n"/>
      <c r="V408" s="960" t="n"/>
      <c r="W408" s="40" t="inlineStr">
        <is>
          <t>кор</t>
        </is>
      </c>
      <c r="X408" s="999">
        <f>IFERROR(X400/H400,"0")+IFERROR(X401/H401,"0")+IFERROR(X402/H402,"0")+IFERROR(X403/H403,"0")+IFERROR(X404/H404,"0")+IFERROR(X405/H405,"0")+IFERROR(X406/H406,"0")+IFERROR(X407/H407,"0")</f>
        <v/>
      </c>
      <c r="Y408" s="999">
        <f>IFERROR(Y400/H400,"0")+IFERROR(Y401/H401,"0")+IFERROR(Y402/H402,"0")+IFERROR(Y403/H403,"0")+IFERROR(Y404/H404,"0")+IFERROR(Y405/H405,"0")+IFERROR(Y406/H406,"0")+IFERROR(Y407/H407,"0")</f>
        <v/>
      </c>
      <c r="Z408" s="999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/>
      </c>
      <c r="AA408" s="1000" t="n"/>
      <c r="AB408" s="1000" t="n"/>
      <c r="AC408" s="1000" t="n"/>
    </row>
    <row r="409">
      <c r="A409" s="941" t="n"/>
      <c r="B409" s="941" t="n"/>
      <c r="C409" s="941" t="n"/>
      <c r="D409" s="941" t="n"/>
      <c r="E409" s="941" t="n"/>
      <c r="F409" s="941" t="n"/>
      <c r="G409" s="941" t="n"/>
      <c r="H409" s="941" t="n"/>
      <c r="I409" s="941" t="n"/>
      <c r="J409" s="941" t="n"/>
      <c r="K409" s="941" t="n"/>
      <c r="L409" s="941" t="n"/>
      <c r="M409" s="941" t="n"/>
      <c r="N409" s="941" t="n"/>
      <c r="O409" s="997" t="n"/>
      <c r="P409" s="998" t="inlineStr">
        <is>
          <t>Итого</t>
        </is>
      </c>
      <c r="Q409" s="959" t="n"/>
      <c r="R409" s="959" t="n"/>
      <c r="S409" s="959" t="n"/>
      <c r="T409" s="959" t="n"/>
      <c r="U409" s="959" t="n"/>
      <c r="V409" s="960" t="n"/>
      <c r="W409" s="40" t="inlineStr">
        <is>
          <t>кг</t>
        </is>
      </c>
      <c r="X409" s="999">
        <f>IFERROR(SUM(X400:X407),"0")</f>
        <v/>
      </c>
      <c r="Y409" s="999">
        <f>IFERROR(SUM(Y400:Y407),"0")</f>
        <v/>
      </c>
      <c r="Z409" s="40" t="n"/>
      <c r="AA409" s="1000" t="n"/>
      <c r="AB409" s="1000" t="n"/>
      <c r="AC409" s="1000" t="n"/>
    </row>
    <row r="410" ht="14.25" customHeight="1">
      <c r="A410" s="667" t="inlineStr">
        <is>
          <t>Ветчины</t>
        </is>
      </c>
      <c r="B410" s="941" t="n"/>
      <c r="C410" s="941" t="n"/>
      <c r="D410" s="941" t="n"/>
      <c r="E410" s="941" t="n"/>
      <c r="F410" s="941" t="n"/>
      <c r="G410" s="941" t="n"/>
      <c r="H410" s="941" t="n"/>
      <c r="I410" s="941" t="n"/>
      <c r="J410" s="941" t="n"/>
      <c r="K410" s="941" t="n"/>
      <c r="L410" s="941" t="n"/>
      <c r="M410" s="941" t="n"/>
      <c r="N410" s="941" t="n"/>
      <c r="O410" s="941" t="n"/>
      <c r="P410" s="941" t="n"/>
      <c r="Q410" s="941" t="n"/>
      <c r="R410" s="941" t="n"/>
      <c r="S410" s="941" t="n"/>
      <c r="T410" s="941" t="n"/>
      <c r="U410" s="941" t="n"/>
      <c r="V410" s="941" t="n"/>
      <c r="W410" s="941" t="n"/>
      <c r="X410" s="941" t="n"/>
      <c r="Y410" s="941" t="n"/>
      <c r="Z410" s="941" t="n"/>
      <c r="AA410" s="667" t="n"/>
      <c r="AB410" s="667" t="n"/>
      <c r="AC410" s="667" t="n"/>
    </row>
    <row r="411" ht="27" customHeight="1">
      <c r="A411" s="60" t="inlineStr">
        <is>
          <t>SU000126</t>
        </is>
      </c>
      <c r="B411" s="60" t="inlineStr">
        <is>
          <t>P002555</t>
        </is>
      </c>
      <c r="C411" s="34" t="n">
        <v>4301020178</v>
      </c>
      <c r="D411" s="668" t="n">
        <v>4607091383980</v>
      </c>
      <c r="E411" s="951" t="n"/>
      <c r="F411" s="990" t="n">
        <v>2.5</v>
      </c>
      <c r="G411" s="35" t="n">
        <v>6</v>
      </c>
      <c r="H411" s="990" t="n">
        <v>15</v>
      </c>
      <c r="I411" s="990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6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1" s="992" t="n"/>
      <c r="R411" s="992" t="n"/>
      <c r="S411" s="992" t="n"/>
      <c r="T411" s="993" t="n"/>
      <c r="U411" s="37" t="inlineStr"/>
      <c r="V411" s="37" t="inlineStr"/>
      <c r="W411" s="38" t="inlineStr">
        <is>
          <t>кг</t>
        </is>
      </c>
      <c r="X411" s="994" t="n">
        <v>620</v>
      </c>
      <c r="Y411" s="995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Д-RU.РА03.В.02703/25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SU003686</t>
        </is>
      </c>
      <c r="B412" s="60" t="inlineStr">
        <is>
          <t>P004675</t>
        </is>
      </c>
      <c r="C412" s="34" t="n">
        <v>4301020355</v>
      </c>
      <c r="D412" s="668" t="n">
        <v>4680115888425</v>
      </c>
      <c r="E412" s="951" t="n"/>
      <c r="F412" s="990" t="n">
        <v>2.5</v>
      </c>
      <c r="G412" s="35" t="n">
        <v>6</v>
      </c>
      <c r="H412" s="990" t="n">
        <v>15</v>
      </c>
      <c r="I412" s="990" t="n">
        <v>15.47</v>
      </c>
      <c r="J412" s="35" t="n">
        <v>48</v>
      </c>
      <c r="K412" s="35" t="inlineStr">
        <is>
          <t>8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7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2" s="992" t="n"/>
      <c r="R412" s="992" t="n"/>
      <c r="S412" s="992" t="n"/>
      <c r="T412" s="993" t="n"/>
      <c r="U412" s="37" t="inlineStr"/>
      <c r="V412" s="37" t="inlineStr"/>
      <c r="W412" s="38" t="inlineStr">
        <is>
          <t>кг</t>
        </is>
      </c>
      <c r="X412" s="994" t="n">
        <v>0</v>
      </c>
      <c r="Y412" s="995">
        <f>IFERROR(IF(X412="",0,CEILING((X412/$H412),1)*$H412),"")</f>
        <v/>
      </c>
      <c r="Z412" s="39">
        <f>IFERROR(IF(Y412=0,"",ROUNDUP(Y412/H412,0)*0.02175),"")</f>
        <v/>
      </c>
      <c r="AA412" s="65" t="inlineStr"/>
      <c r="AB412" s="66" t="inlineStr"/>
      <c r="AC412" s="497" t="inlineStr">
        <is>
          <t>ЕАЭС N RU Д-RU.РА02.В.10046/26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 ht="27" customHeight="1">
      <c r="A413" s="60" t="inlineStr">
        <is>
          <t>SU002027</t>
        </is>
      </c>
      <c r="B413" s="60" t="inlineStr">
        <is>
          <t>P002556</t>
        </is>
      </c>
      <c r="C413" s="34" t="n">
        <v>4301020179</v>
      </c>
      <c r="D413" s="668" t="n">
        <v>4607091384178</v>
      </c>
      <c r="E413" s="951" t="n"/>
      <c r="F413" s="990" t="n">
        <v>0.4</v>
      </c>
      <c r="G413" s="35" t="n">
        <v>10</v>
      </c>
      <c r="H413" s="990" t="n">
        <v>4</v>
      </c>
      <c r="I413" s="990" t="n">
        <v>4.19</v>
      </c>
      <c r="J413" s="35" t="n">
        <v>132</v>
      </c>
      <c r="K413" s="35" t="inlineStr">
        <is>
          <t>12</t>
        </is>
      </c>
      <c r="L413" s="35" t="inlineStr"/>
      <c r="M413" s="36" t="inlineStr">
        <is>
          <t>СК1</t>
        </is>
      </c>
      <c r="N413" s="36" t="n"/>
      <c r="O413" s="35" t="n">
        <v>50</v>
      </c>
      <c r="P413" s="1208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3" s="992" t="n"/>
      <c r="R413" s="992" t="n"/>
      <c r="S413" s="992" t="n"/>
      <c r="T413" s="993" t="n"/>
      <c r="U413" s="37" t="inlineStr"/>
      <c r="V413" s="37" t="inlineStr"/>
      <c r="W413" s="38" t="inlineStr">
        <is>
          <t>кг</t>
        </is>
      </c>
      <c r="X413" s="994" t="n">
        <v>4</v>
      </c>
      <c r="Y413" s="995">
        <f>IFERROR(IF(X413="",0,CEILING((X413/$H413),1)*$H413),"")</f>
        <v/>
      </c>
      <c r="Z413" s="39">
        <f>IFERROR(IF(Y413=0,"",ROUNDUP(Y413/H413,0)*0.00902),"")</f>
        <v/>
      </c>
      <c r="AA413" s="65" t="inlineStr"/>
      <c r="AB413" s="66" t="inlineStr"/>
      <c r="AC413" s="499" t="inlineStr">
        <is>
          <t>ЕАЭС N RU Д-RU.РА03.В.02703/25, ЕАЭС № RU Д- RU.АБ75.В.01032/20</t>
        </is>
      </c>
      <c r="AG413" s="75" t="n"/>
      <c r="AJ413" s="79" t="inlineStr"/>
      <c r="AK413" s="79" t="n">
        <v>0</v>
      </c>
      <c r="BB413" s="500" t="inlineStr">
        <is>
          <t>КИ</t>
        </is>
      </c>
      <c r="BM413" s="75">
        <f>IFERROR(X413*I413/H413,"0")</f>
        <v/>
      </c>
      <c r="BN413" s="75">
        <f>IFERROR(Y413*I413/H413,"0")</f>
        <v/>
      </c>
      <c r="BO413" s="75">
        <f>IFERROR(1/J413*(X413/H413),"0")</f>
        <v/>
      </c>
      <c r="BP413" s="75">
        <f>IFERROR(1/J413*(Y413/H413),"0")</f>
        <v/>
      </c>
    </row>
    <row r="414">
      <c r="A414" s="677" t="n"/>
      <c r="B414" s="941" t="n"/>
      <c r="C414" s="941" t="n"/>
      <c r="D414" s="941" t="n"/>
      <c r="E414" s="941" t="n"/>
      <c r="F414" s="941" t="n"/>
      <c r="G414" s="941" t="n"/>
      <c r="H414" s="941" t="n"/>
      <c r="I414" s="941" t="n"/>
      <c r="J414" s="941" t="n"/>
      <c r="K414" s="941" t="n"/>
      <c r="L414" s="941" t="n"/>
      <c r="M414" s="941" t="n"/>
      <c r="N414" s="941" t="n"/>
      <c r="O414" s="997" t="n"/>
      <c r="P414" s="998" t="inlineStr">
        <is>
          <t>Итого</t>
        </is>
      </c>
      <c r="Q414" s="959" t="n"/>
      <c r="R414" s="959" t="n"/>
      <c r="S414" s="959" t="n"/>
      <c r="T414" s="959" t="n"/>
      <c r="U414" s="959" t="n"/>
      <c r="V414" s="960" t="n"/>
      <c r="W414" s="40" t="inlineStr">
        <is>
          <t>кор</t>
        </is>
      </c>
      <c r="X414" s="999">
        <f>IFERROR(X411/H411,"0")+IFERROR(X412/H412,"0")+IFERROR(X413/H413,"0")</f>
        <v/>
      </c>
      <c r="Y414" s="999">
        <f>IFERROR(Y411/H411,"0")+IFERROR(Y412/H412,"0")+IFERROR(Y413/H413,"0")</f>
        <v/>
      </c>
      <c r="Z414" s="999">
        <f>IFERROR(IF(Z411="",0,Z411),"0")+IFERROR(IF(Z412="",0,Z412),"0")+IFERROR(IF(Z413="",0,Z413),"0")</f>
        <v/>
      </c>
      <c r="AA414" s="1000" t="n"/>
      <c r="AB414" s="1000" t="n"/>
      <c r="AC414" s="1000" t="n"/>
    </row>
    <row r="415">
      <c r="A415" s="941" t="n"/>
      <c r="B415" s="941" t="n"/>
      <c r="C415" s="941" t="n"/>
      <c r="D415" s="941" t="n"/>
      <c r="E415" s="941" t="n"/>
      <c r="F415" s="941" t="n"/>
      <c r="G415" s="941" t="n"/>
      <c r="H415" s="941" t="n"/>
      <c r="I415" s="941" t="n"/>
      <c r="J415" s="941" t="n"/>
      <c r="K415" s="941" t="n"/>
      <c r="L415" s="941" t="n"/>
      <c r="M415" s="941" t="n"/>
      <c r="N415" s="941" t="n"/>
      <c r="O415" s="997" t="n"/>
      <c r="P415" s="998" t="inlineStr">
        <is>
          <t>Итого</t>
        </is>
      </c>
      <c r="Q415" s="959" t="n"/>
      <c r="R415" s="959" t="n"/>
      <c r="S415" s="959" t="n"/>
      <c r="T415" s="959" t="n"/>
      <c r="U415" s="959" t="n"/>
      <c r="V415" s="960" t="n"/>
      <c r="W415" s="40" t="inlineStr">
        <is>
          <t>кг</t>
        </is>
      </c>
      <c r="X415" s="999">
        <f>IFERROR(SUM(X411:X413),"0")</f>
        <v/>
      </c>
      <c r="Y415" s="999">
        <f>IFERROR(SUM(Y411:Y413),"0")</f>
        <v/>
      </c>
      <c r="Z415" s="40" t="n"/>
      <c r="AA415" s="1000" t="n"/>
      <c r="AB415" s="1000" t="n"/>
      <c r="AC415" s="1000" t="n"/>
    </row>
    <row r="416" ht="14.25" customHeight="1">
      <c r="A416" s="667" t="inlineStr">
        <is>
          <t>Сосиски</t>
        </is>
      </c>
      <c r="B416" s="941" t="n"/>
      <c r="C416" s="941" t="n"/>
      <c r="D416" s="941" t="n"/>
      <c r="E416" s="941" t="n"/>
      <c r="F416" s="941" t="n"/>
      <c r="G416" s="941" t="n"/>
      <c r="H416" s="941" t="n"/>
      <c r="I416" s="941" t="n"/>
      <c r="J416" s="941" t="n"/>
      <c r="K416" s="941" t="n"/>
      <c r="L416" s="941" t="n"/>
      <c r="M416" s="941" t="n"/>
      <c r="N416" s="941" t="n"/>
      <c r="O416" s="941" t="n"/>
      <c r="P416" s="941" t="n"/>
      <c r="Q416" s="941" t="n"/>
      <c r="R416" s="941" t="n"/>
      <c r="S416" s="941" t="n"/>
      <c r="T416" s="941" t="n"/>
      <c r="U416" s="941" t="n"/>
      <c r="V416" s="941" t="n"/>
      <c r="W416" s="941" t="n"/>
      <c r="X416" s="941" t="n"/>
      <c r="Y416" s="941" t="n"/>
      <c r="Z416" s="941" t="n"/>
      <c r="AA416" s="667" t="n"/>
      <c r="AB416" s="667" t="n"/>
      <c r="AC416" s="667" t="n"/>
    </row>
    <row r="417" ht="27" customHeight="1">
      <c r="A417" s="60" t="inlineStr">
        <is>
          <t>SU003161</t>
        </is>
      </c>
      <c r="B417" s="60" t="inlineStr">
        <is>
          <t>P004847</t>
        </is>
      </c>
      <c r="C417" s="34" t="n">
        <v>4301051903</v>
      </c>
      <c r="D417" s="668" t="n">
        <v>4607091383928</v>
      </c>
      <c r="E417" s="951" t="n"/>
      <c r="F417" s="990" t="n">
        <v>1.5</v>
      </c>
      <c r="G417" s="35" t="n">
        <v>6</v>
      </c>
      <c r="H417" s="990" t="n">
        <v>9</v>
      </c>
      <c r="I417" s="990" t="n">
        <v>9.5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9">
        <f>HYPERLINK("https://abi.ru/products/Охлажденные/Особый рецепт/Особая/Сосиски/P004847/","Сосиски «Датские» Весовой п/а ТМ «Особый рецепт»")</f>
        <v/>
      </c>
      <c r="Q417" s="992" t="n"/>
      <c r="R417" s="992" t="n"/>
      <c r="S417" s="992" t="n"/>
      <c r="T417" s="993" t="n"/>
      <c r="U417" s="37" t="inlineStr"/>
      <c r="V417" s="37" t="inlineStr"/>
      <c r="W417" s="38" t="inlineStr">
        <is>
          <t>кг</t>
        </is>
      </c>
      <c r="X417" s="994" t="n">
        <v>0</v>
      </c>
      <c r="Y417" s="995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Д-RU.РА09.В.23245/25, ЕАЭС N RU Д-RU.РА09.В.23811/25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 ht="27" customHeight="1">
      <c r="A418" s="60" t="inlineStr">
        <is>
          <t>SU000246</t>
        </is>
      </c>
      <c r="B418" s="60" t="inlineStr">
        <is>
          <t>P004843</t>
        </is>
      </c>
      <c r="C418" s="34" t="n">
        <v>4301051897</v>
      </c>
      <c r="D418" s="668" t="n">
        <v>4607091384260</v>
      </c>
      <c r="E418" s="951" t="n"/>
      <c r="F418" s="990" t="n">
        <v>1.5</v>
      </c>
      <c r="G418" s="35" t="n">
        <v>6</v>
      </c>
      <c r="H418" s="990" t="n">
        <v>9</v>
      </c>
      <c r="I418" s="990" t="n">
        <v>9.494</v>
      </c>
      <c r="J418" s="35" t="n">
        <v>64</v>
      </c>
      <c r="K418" s="35" t="inlineStr">
        <is>
          <t>8</t>
        </is>
      </c>
      <c r="L418" s="35" t="inlineStr"/>
      <c r="M418" s="36" t="inlineStr">
        <is>
          <t>СК3</t>
        </is>
      </c>
      <c r="N418" s="36" t="n"/>
      <c r="O418" s="35" t="n">
        <v>40</v>
      </c>
      <c r="P418" s="1210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8" s="992" t="n"/>
      <c r="R418" s="992" t="n"/>
      <c r="S418" s="992" t="n"/>
      <c r="T418" s="993" t="n"/>
      <c r="U418" s="37" t="inlineStr"/>
      <c r="V418" s="37" t="inlineStr"/>
      <c r="W418" s="38" t="inlineStr">
        <is>
          <t>кг</t>
        </is>
      </c>
      <c r="X418" s="994" t="n">
        <v>0</v>
      </c>
      <c r="Y418" s="995">
        <f>IFERROR(IF(X418="",0,CEILING((X418/$H418),1)*$H418),"")</f>
        <v/>
      </c>
      <c r="Z418" s="39">
        <f>IFERROR(IF(Y418=0,"",ROUNDUP(Y418/H418,0)*0.01898),"")</f>
        <v/>
      </c>
      <c r="AA418" s="65" t="inlineStr"/>
      <c r="AB418" s="66" t="inlineStr"/>
      <c r="AC418" s="503" t="inlineStr">
        <is>
          <t>ЕАЭС N RU Д-RU.РА03.В.02278/26, ЕАЭС N RU Д-RU.РА11.В.65862/25</t>
        </is>
      </c>
      <c r="AG418" s="75" t="n"/>
      <c r="AJ418" s="79" t="inlineStr"/>
      <c r="AK418" s="79" t="n">
        <v>0</v>
      </c>
      <c r="BB418" s="504" t="inlineStr">
        <is>
          <t>КИ</t>
        </is>
      </c>
      <c r="BM418" s="75">
        <f>IFERROR(X418*I418/H418,"0")</f>
        <v/>
      </c>
      <c r="BN418" s="75">
        <f>IFERROR(Y418*I418/H418,"0")</f>
        <v/>
      </c>
      <c r="BO418" s="75">
        <f>IFERROR(1/J418*(X418/H418),"0")</f>
        <v/>
      </c>
      <c r="BP418" s="75">
        <f>IFERROR(1/J418*(Y418/H418),"0")</f>
        <v/>
      </c>
    </row>
    <row r="419">
      <c r="A419" s="677" t="n"/>
      <c r="B419" s="941" t="n"/>
      <c r="C419" s="941" t="n"/>
      <c r="D419" s="941" t="n"/>
      <c r="E419" s="941" t="n"/>
      <c r="F419" s="941" t="n"/>
      <c r="G419" s="941" t="n"/>
      <c r="H419" s="941" t="n"/>
      <c r="I419" s="941" t="n"/>
      <c r="J419" s="941" t="n"/>
      <c r="K419" s="941" t="n"/>
      <c r="L419" s="941" t="n"/>
      <c r="M419" s="941" t="n"/>
      <c r="N419" s="941" t="n"/>
      <c r="O419" s="997" t="n"/>
      <c r="P419" s="998" t="inlineStr">
        <is>
          <t>Итого</t>
        </is>
      </c>
      <c r="Q419" s="959" t="n"/>
      <c r="R419" s="959" t="n"/>
      <c r="S419" s="959" t="n"/>
      <c r="T419" s="959" t="n"/>
      <c r="U419" s="959" t="n"/>
      <c r="V419" s="960" t="n"/>
      <c r="W419" s="40" t="inlineStr">
        <is>
          <t>кор</t>
        </is>
      </c>
      <c r="X419" s="999">
        <f>IFERROR(X417/H417,"0")+IFERROR(X418/H418,"0")</f>
        <v/>
      </c>
      <c r="Y419" s="999">
        <f>IFERROR(Y417/H417,"0")+IFERROR(Y418/H418,"0")</f>
        <v/>
      </c>
      <c r="Z419" s="999">
        <f>IFERROR(IF(Z417="",0,Z417),"0")+IFERROR(IF(Z418="",0,Z418),"0")</f>
        <v/>
      </c>
      <c r="AA419" s="1000" t="n"/>
      <c r="AB419" s="1000" t="n"/>
      <c r="AC419" s="1000" t="n"/>
    </row>
    <row r="420">
      <c r="A420" s="941" t="n"/>
      <c r="B420" s="941" t="n"/>
      <c r="C420" s="941" t="n"/>
      <c r="D420" s="941" t="n"/>
      <c r="E420" s="941" t="n"/>
      <c r="F420" s="941" t="n"/>
      <c r="G420" s="941" t="n"/>
      <c r="H420" s="941" t="n"/>
      <c r="I420" s="941" t="n"/>
      <c r="J420" s="941" t="n"/>
      <c r="K420" s="941" t="n"/>
      <c r="L420" s="941" t="n"/>
      <c r="M420" s="941" t="n"/>
      <c r="N420" s="941" t="n"/>
      <c r="O420" s="997" t="n"/>
      <c r="P420" s="998" t="inlineStr">
        <is>
          <t>Итого</t>
        </is>
      </c>
      <c r="Q420" s="959" t="n"/>
      <c r="R420" s="959" t="n"/>
      <c r="S420" s="959" t="n"/>
      <c r="T420" s="959" t="n"/>
      <c r="U420" s="959" t="n"/>
      <c r="V420" s="960" t="n"/>
      <c r="W420" s="40" t="inlineStr">
        <is>
          <t>кг</t>
        </is>
      </c>
      <c r="X420" s="999">
        <f>IFERROR(SUM(X417:X418),"0")</f>
        <v/>
      </c>
      <c r="Y420" s="999">
        <f>IFERROR(SUM(Y417:Y418),"0")</f>
        <v/>
      </c>
      <c r="Z420" s="40" t="n"/>
      <c r="AA420" s="1000" t="n"/>
      <c r="AB420" s="1000" t="n"/>
      <c r="AC420" s="1000" t="n"/>
    </row>
    <row r="421" ht="14.25" customHeight="1">
      <c r="A421" s="667" t="inlineStr">
        <is>
          <t>Сардельки</t>
        </is>
      </c>
      <c r="B421" s="941" t="n"/>
      <c r="C421" s="941" t="n"/>
      <c r="D421" s="941" t="n"/>
      <c r="E421" s="941" t="n"/>
      <c r="F421" s="941" t="n"/>
      <c r="G421" s="941" t="n"/>
      <c r="H421" s="941" t="n"/>
      <c r="I421" s="941" t="n"/>
      <c r="J421" s="941" t="n"/>
      <c r="K421" s="941" t="n"/>
      <c r="L421" s="941" t="n"/>
      <c r="M421" s="941" t="n"/>
      <c r="N421" s="941" t="n"/>
      <c r="O421" s="941" t="n"/>
      <c r="P421" s="941" t="n"/>
      <c r="Q421" s="941" t="n"/>
      <c r="R421" s="941" t="n"/>
      <c r="S421" s="941" t="n"/>
      <c r="T421" s="941" t="n"/>
      <c r="U421" s="941" t="n"/>
      <c r="V421" s="941" t="n"/>
      <c r="W421" s="941" t="n"/>
      <c r="X421" s="941" t="n"/>
      <c r="Y421" s="941" t="n"/>
      <c r="Z421" s="941" t="n"/>
      <c r="AA421" s="667" t="n"/>
      <c r="AB421" s="667" t="n"/>
      <c r="AC421" s="667" t="n"/>
    </row>
    <row r="422" ht="16.5" customHeight="1">
      <c r="A422" s="60" t="inlineStr">
        <is>
          <t>SU002287</t>
        </is>
      </c>
      <c r="B422" s="60" t="inlineStr">
        <is>
          <t>P005080</t>
        </is>
      </c>
      <c r="C422" s="34" t="n">
        <v>4301060524</v>
      </c>
      <c r="D422" s="668" t="n">
        <v>4607091384673</v>
      </c>
      <c r="E422" s="951" t="n"/>
      <c r="F422" s="990" t="n">
        <v>1.5</v>
      </c>
      <c r="G422" s="35" t="n">
        <v>6</v>
      </c>
      <c r="H422" s="990" t="n">
        <v>9</v>
      </c>
      <c r="I422" s="990" t="n">
        <v>9.494</v>
      </c>
      <c r="J422" s="35" t="n">
        <v>64</v>
      </c>
      <c r="K422" s="35" t="inlineStr">
        <is>
          <t>8</t>
        </is>
      </c>
      <c r="L422" s="35" t="inlineStr"/>
      <c r="M422" s="36" t="inlineStr">
        <is>
          <t>СК3</t>
        </is>
      </c>
      <c r="N422" s="36" t="n"/>
      <c r="O422" s="35" t="n">
        <v>40</v>
      </c>
      <c r="P422" s="1211">
        <f>HYPERLINK("https://abi.ru/products/Охлажденные/Особый рецепт/Особая/Сардельки/P005080/","Сардельки «Сочные» Весовой п/а ТМ «Особый рецепт»")</f>
        <v/>
      </c>
      <c r="Q422" s="992" t="n"/>
      <c r="R422" s="992" t="n"/>
      <c r="S422" s="992" t="n"/>
      <c r="T422" s="993" t="n"/>
      <c r="U422" s="37" t="inlineStr"/>
      <c r="V422" s="37" t="inlineStr"/>
      <c r="W422" s="38" t="inlineStr">
        <is>
          <t>кг</t>
        </is>
      </c>
      <c r="X422" s="994" t="n">
        <v>0</v>
      </c>
      <c r="Y422" s="995">
        <f>IFERROR(IF(X422="",0,CEILING((X422/$H422),1)*$H422),"")</f>
        <v/>
      </c>
      <c r="Z422" s="39">
        <f>IFERROR(IF(Y422=0,"",ROUNDUP(Y422/H422,0)*0.01898),"")</f>
        <v/>
      </c>
      <c r="AA422" s="65" t="inlineStr"/>
      <c r="AB422" s="66" t="inlineStr"/>
      <c r="AC422" s="505" t="inlineStr">
        <is>
          <t>ЕАЭС N RU Д-RU.РА11.В.38897/25</t>
        </is>
      </c>
      <c r="AG422" s="75" t="n"/>
      <c r="AJ422" s="79" t="inlineStr"/>
      <c r="AK422" s="79" t="n">
        <v>0</v>
      </c>
      <c r="BB422" s="506" t="inlineStr">
        <is>
          <t>КИ</t>
        </is>
      </c>
      <c r="BM422" s="75">
        <f>IFERROR(X422*I422/H422,"0")</f>
        <v/>
      </c>
      <c r="BN422" s="75">
        <f>IFERROR(Y422*I422/H422,"0")</f>
        <v/>
      </c>
      <c r="BO422" s="75">
        <f>IFERROR(1/J422*(X422/H422),"0")</f>
        <v/>
      </c>
      <c r="BP422" s="75">
        <f>IFERROR(1/J422*(Y422/H422),"0")</f>
        <v/>
      </c>
    </row>
    <row r="423">
      <c r="A423" s="677" t="n"/>
      <c r="B423" s="941" t="n"/>
      <c r="C423" s="941" t="n"/>
      <c r="D423" s="941" t="n"/>
      <c r="E423" s="941" t="n"/>
      <c r="F423" s="941" t="n"/>
      <c r="G423" s="941" t="n"/>
      <c r="H423" s="941" t="n"/>
      <c r="I423" s="941" t="n"/>
      <c r="J423" s="941" t="n"/>
      <c r="K423" s="941" t="n"/>
      <c r="L423" s="941" t="n"/>
      <c r="M423" s="941" t="n"/>
      <c r="N423" s="941" t="n"/>
      <c r="O423" s="997" t="n"/>
      <c r="P423" s="998" t="inlineStr">
        <is>
          <t>Итого</t>
        </is>
      </c>
      <c r="Q423" s="959" t="n"/>
      <c r="R423" s="959" t="n"/>
      <c r="S423" s="959" t="n"/>
      <c r="T423" s="959" t="n"/>
      <c r="U423" s="959" t="n"/>
      <c r="V423" s="960" t="n"/>
      <c r="W423" s="40" t="inlineStr">
        <is>
          <t>кор</t>
        </is>
      </c>
      <c r="X423" s="999">
        <f>IFERROR(X422/H422,"0")</f>
        <v/>
      </c>
      <c r="Y423" s="999">
        <f>IFERROR(Y422/H422,"0")</f>
        <v/>
      </c>
      <c r="Z423" s="999">
        <f>IFERROR(IF(Z422="",0,Z422),"0")</f>
        <v/>
      </c>
      <c r="AA423" s="1000" t="n"/>
      <c r="AB423" s="1000" t="n"/>
      <c r="AC423" s="1000" t="n"/>
    </row>
    <row r="424">
      <c r="A424" s="941" t="n"/>
      <c r="B424" s="941" t="n"/>
      <c r="C424" s="941" t="n"/>
      <c r="D424" s="941" t="n"/>
      <c r="E424" s="941" t="n"/>
      <c r="F424" s="941" t="n"/>
      <c r="G424" s="941" t="n"/>
      <c r="H424" s="941" t="n"/>
      <c r="I424" s="941" t="n"/>
      <c r="J424" s="941" t="n"/>
      <c r="K424" s="941" t="n"/>
      <c r="L424" s="941" t="n"/>
      <c r="M424" s="941" t="n"/>
      <c r="N424" s="941" t="n"/>
      <c r="O424" s="997" t="n"/>
      <c r="P424" s="998" t="inlineStr">
        <is>
          <t>Итого</t>
        </is>
      </c>
      <c r="Q424" s="959" t="n"/>
      <c r="R424" s="959" t="n"/>
      <c r="S424" s="959" t="n"/>
      <c r="T424" s="959" t="n"/>
      <c r="U424" s="959" t="n"/>
      <c r="V424" s="960" t="n"/>
      <c r="W424" s="40" t="inlineStr">
        <is>
          <t>кг</t>
        </is>
      </c>
      <c r="X424" s="999">
        <f>IFERROR(SUM(X422:X422),"0")</f>
        <v/>
      </c>
      <c r="Y424" s="999">
        <f>IFERROR(SUM(Y422:Y422),"0")</f>
        <v/>
      </c>
      <c r="Z424" s="40" t="n"/>
      <c r="AA424" s="1000" t="n"/>
      <c r="AB424" s="1000" t="n"/>
      <c r="AC424" s="1000" t="n"/>
    </row>
    <row r="425" ht="16.5" customHeight="1">
      <c r="A425" s="666" t="inlineStr">
        <is>
          <t>Особая Без свинины</t>
        </is>
      </c>
      <c r="B425" s="941" t="n"/>
      <c r="C425" s="941" t="n"/>
      <c r="D425" s="941" t="n"/>
      <c r="E425" s="941" t="n"/>
      <c r="F425" s="941" t="n"/>
      <c r="G425" s="941" t="n"/>
      <c r="H425" s="941" t="n"/>
      <c r="I425" s="941" t="n"/>
      <c r="J425" s="941" t="n"/>
      <c r="K425" s="941" t="n"/>
      <c r="L425" s="941" t="n"/>
      <c r="M425" s="941" t="n"/>
      <c r="N425" s="941" t="n"/>
      <c r="O425" s="941" t="n"/>
      <c r="P425" s="941" t="n"/>
      <c r="Q425" s="941" t="n"/>
      <c r="R425" s="941" t="n"/>
      <c r="S425" s="941" t="n"/>
      <c r="T425" s="941" t="n"/>
      <c r="U425" s="941" t="n"/>
      <c r="V425" s="941" t="n"/>
      <c r="W425" s="941" t="n"/>
      <c r="X425" s="941" t="n"/>
      <c r="Y425" s="941" t="n"/>
      <c r="Z425" s="941" t="n"/>
      <c r="AA425" s="666" t="n"/>
      <c r="AB425" s="666" t="n"/>
      <c r="AC425" s="666" t="n"/>
    </row>
    <row r="426" ht="14.25" customHeight="1">
      <c r="A426" s="667" t="inlineStr">
        <is>
          <t>Вареные колбасы</t>
        </is>
      </c>
      <c r="B426" s="941" t="n"/>
      <c r="C426" s="941" t="n"/>
      <c r="D426" s="941" t="n"/>
      <c r="E426" s="941" t="n"/>
      <c r="F426" s="941" t="n"/>
      <c r="G426" s="941" t="n"/>
      <c r="H426" s="941" t="n"/>
      <c r="I426" s="941" t="n"/>
      <c r="J426" s="941" t="n"/>
      <c r="K426" s="941" t="n"/>
      <c r="L426" s="941" t="n"/>
      <c r="M426" s="941" t="n"/>
      <c r="N426" s="941" t="n"/>
      <c r="O426" s="941" t="n"/>
      <c r="P426" s="941" t="n"/>
      <c r="Q426" s="941" t="n"/>
      <c r="R426" s="941" t="n"/>
      <c r="S426" s="941" t="n"/>
      <c r="T426" s="941" t="n"/>
      <c r="U426" s="941" t="n"/>
      <c r="V426" s="941" t="n"/>
      <c r="W426" s="941" t="n"/>
      <c r="X426" s="941" t="n"/>
      <c r="Y426" s="941" t="n"/>
      <c r="Z426" s="941" t="n"/>
      <c r="AA426" s="667" t="n"/>
      <c r="AB426" s="667" t="n"/>
      <c r="AC426" s="667" t="n"/>
    </row>
    <row r="427" ht="27" customHeight="1">
      <c r="A427" s="60" t="inlineStr">
        <is>
          <t>SU003425</t>
        </is>
      </c>
      <c r="B427" s="60" t="inlineStr">
        <is>
          <t>P004273</t>
        </is>
      </c>
      <c r="C427" s="34" t="n">
        <v>4301011875</v>
      </c>
      <c r="D427" s="668" t="n">
        <v>4680115884885</v>
      </c>
      <c r="E427" s="951" t="n"/>
      <c r="F427" s="990" t="n">
        <v>0.8</v>
      </c>
      <c r="G427" s="35" t="n">
        <v>15</v>
      </c>
      <c r="H427" s="990" t="n">
        <v>12</v>
      </c>
      <c r="I427" s="990" t="n">
        <v>12.41</v>
      </c>
      <c r="J427" s="35" t="n">
        <v>64</v>
      </c>
      <c r="K427" s="35" t="inlineStr">
        <is>
          <t>8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12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7" s="992" t="n"/>
      <c r="R427" s="992" t="n"/>
      <c r="S427" s="992" t="n"/>
      <c r="T427" s="993" t="n"/>
      <c r="U427" s="37" t="inlineStr"/>
      <c r="V427" s="37" t="inlineStr"/>
      <c r="W427" s="38" t="inlineStr">
        <is>
          <t>кг</t>
        </is>
      </c>
      <c r="X427" s="994" t="n">
        <v>0</v>
      </c>
      <c r="Y427" s="995">
        <f>IFERROR(IF(X427="",0,CEILING((X427/$H427),1)*$H427),"")</f>
        <v/>
      </c>
      <c r="Z427" s="39">
        <f>IFERROR(IF(Y427=0,"",ROUNDUP(Y427/H427,0)*0.01898),"")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 ht="37.5" customHeight="1">
      <c r="A428" s="60" t="inlineStr">
        <is>
          <t>SU003426</t>
        </is>
      </c>
      <c r="B428" s="60" t="inlineStr">
        <is>
          <t>P004258</t>
        </is>
      </c>
      <c r="C428" s="34" t="n">
        <v>4301011871</v>
      </c>
      <c r="D428" s="668" t="n">
        <v>4680115884908</v>
      </c>
      <c r="E428" s="951" t="n"/>
      <c r="F428" s="990" t="n">
        <v>0.4</v>
      </c>
      <c r="G428" s="35" t="n">
        <v>10</v>
      </c>
      <c r="H428" s="990" t="n">
        <v>4</v>
      </c>
      <c r="I428" s="990" t="n">
        <v>4.19</v>
      </c>
      <c r="J428" s="35" t="n">
        <v>132</v>
      </c>
      <c r="K428" s="35" t="inlineStr">
        <is>
          <t>12</t>
        </is>
      </c>
      <c r="L428" s="35" t="inlineStr"/>
      <c r="M428" s="36" t="inlineStr">
        <is>
          <t>СК2</t>
        </is>
      </c>
      <c r="N428" s="36" t="n"/>
      <c r="O428" s="35" t="n">
        <v>60</v>
      </c>
      <c r="P428" s="1213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8" s="992" t="n"/>
      <c r="R428" s="992" t="n"/>
      <c r="S428" s="992" t="n"/>
      <c r="T428" s="993" t="n"/>
      <c r="U428" s="37" t="inlineStr"/>
      <c r="V428" s="37" t="inlineStr"/>
      <c r="W428" s="38" t="inlineStr">
        <is>
          <t>кг</t>
        </is>
      </c>
      <c r="X428" s="994" t="n">
        <v>0</v>
      </c>
      <c r="Y428" s="995">
        <f>IFERROR(IF(X428="",0,CEILING((X428/$H428),1)*$H428),"")</f>
        <v/>
      </c>
      <c r="Z428" s="39">
        <f>IFERROR(IF(Y428=0,"",ROUNDUP(Y428/H428,0)*0.00902),"")</f>
        <v/>
      </c>
      <c r="AA428" s="65" t="inlineStr"/>
      <c r="AB428" s="66" t="inlineStr"/>
      <c r="AC428" s="509" t="inlineStr">
        <is>
          <t>ЕАЭС N RU Д-RU.РА08.В.72086/25, ЕАЭС N RU Д-RU.РА09.В.20743/25</t>
        </is>
      </c>
      <c r="AG428" s="75" t="n"/>
      <c r="AJ428" s="79" t="inlineStr"/>
      <c r="AK428" s="79" t="n">
        <v>0</v>
      </c>
      <c r="BB428" s="510" t="inlineStr">
        <is>
          <t>КИ</t>
        </is>
      </c>
      <c r="BM428" s="75">
        <f>IFERROR(X428*I428/H428,"0")</f>
        <v/>
      </c>
      <c r="BN428" s="75">
        <f>IFERROR(Y428*I428/H428,"0")</f>
        <v/>
      </c>
      <c r="BO428" s="75">
        <f>IFERROR(1/J428*(X428/H428),"0")</f>
        <v/>
      </c>
      <c r="BP428" s="75">
        <f>IFERROR(1/J428*(Y428/H428),"0")</f>
        <v/>
      </c>
    </row>
    <row r="429">
      <c r="A429" s="677" t="n"/>
      <c r="B429" s="941" t="n"/>
      <c r="C429" s="941" t="n"/>
      <c r="D429" s="941" t="n"/>
      <c r="E429" s="941" t="n"/>
      <c r="F429" s="941" t="n"/>
      <c r="G429" s="941" t="n"/>
      <c r="H429" s="941" t="n"/>
      <c r="I429" s="941" t="n"/>
      <c r="J429" s="941" t="n"/>
      <c r="K429" s="941" t="n"/>
      <c r="L429" s="941" t="n"/>
      <c r="M429" s="941" t="n"/>
      <c r="N429" s="941" t="n"/>
      <c r="O429" s="997" t="n"/>
      <c r="P429" s="998" t="inlineStr">
        <is>
          <t>Итого</t>
        </is>
      </c>
      <c r="Q429" s="959" t="n"/>
      <c r="R429" s="959" t="n"/>
      <c r="S429" s="959" t="n"/>
      <c r="T429" s="959" t="n"/>
      <c r="U429" s="959" t="n"/>
      <c r="V429" s="960" t="n"/>
      <c r="W429" s="40" t="inlineStr">
        <is>
          <t>кор</t>
        </is>
      </c>
      <c r="X429" s="999">
        <f>IFERROR(X427/H427,"0")+IFERROR(X428/H428,"0")</f>
        <v/>
      </c>
      <c r="Y429" s="999">
        <f>IFERROR(Y427/H427,"0")+IFERROR(Y428/H428,"0")</f>
        <v/>
      </c>
      <c r="Z429" s="999">
        <f>IFERROR(IF(Z427="",0,Z427),"0")+IFERROR(IF(Z428="",0,Z428),"0")</f>
        <v/>
      </c>
      <c r="AA429" s="1000" t="n"/>
      <c r="AB429" s="1000" t="n"/>
      <c r="AC429" s="1000" t="n"/>
    </row>
    <row r="430">
      <c r="A430" s="941" t="n"/>
      <c r="B430" s="941" t="n"/>
      <c r="C430" s="941" t="n"/>
      <c r="D430" s="941" t="n"/>
      <c r="E430" s="941" t="n"/>
      <c r="F430" s="941" t="n"/>
      <c r="G430" s="941" t="n"/>
      <c r="H430" s="941" t="n"/>
      <c r="I430" s="941" t="n"/>
      <c r="J430" s="941" t="n"/>
      <c r="K430" s="941" t="n"/>
      <c r="L430" s="941" t="n"/>
      <c r="M430" s="941" t="n"/>
      <c r="N430" s="941" t="n"/>
      <c r="O430" s="997" t="n"/>
      <c r="P430" s="998" t="inlineStr">
        <is>
          <t>Итого</t>
        </is>
      </c>
      <c r="Q430" s="959" t="n"/>
      <c r="R430" s="959" t="n"/>
      <c r="S430" s="959" t="n"/>
      <c r="T430" s="959" t="n"/>
      <c r="U430" s="959" t="n"/>
      <c r="V430" s="960" t="n"/>
      <c r="W430" s="40" t="inlineStr">
        <is>
          <t>кг</t>
        </is>
      </c>
      <c r="X430" s="999">
        <f>IFERROR(SUM(X427:X428),"0")</f>
        <v/>
      </c>
      <c r="Y430" s="999">
        <f>IFERROR(SUM(Y427:Y428),"0")</f>
        <v/>
      </c>
      <c r="Z430" s="40" t="n"/>
      <c r="AA430" s="1000" t="n"/>
      <c r="AB430" s="1000" t="n"/>
      <c r="AC430" s="1000" t="n"/>
    </row>
    <row r="431" ht="14.25" customHeight="1">
      <c r="A431" s="667" t="inlineStr">
        <is>
          <t>Копченые колбасы</t>
        </is>
      </c>
      <c r="B431" s="941" t="n"/>
      <c r="C431" s="941" t="n"/>
      <c r="D431" s="941" t="n"/>
      <c r="E431" s="941" t="n"/>
      <c r="F431" s="941" t="n"/>
      <c r="G431" s="941" t="n"/>
      <c r="H431" s="941" t="n"/>
      <c r="I431" s="941" t="n"/>
      <c r="J431" s="941" t="n"/>
      <c r="K431" s="941" t="n"/>
      <c r="L431" s="941" t="n"/>
      <c r="M431" s="941" t="n"/>
      <c r="N431" s="941" t="n"/>
      <c r="O431" s="941" t="n"/>
      <c r="P431" s="941" t="n"/>
      <c r="Q431" s="941" t="n"/>
      <c r="R431" s="941" t="n"/>
      <c r="S431" s="941" t="n"/>
      <c r="T431" s="941" t="n"/>
      <c r="U431" s="941" t="n"/>
      <c r="V431" s="941" t="n"/>
      <c r="W431" s="941" t="n"/>
      <c r="X431" s="941" t="n"/>
      <c r="Y431" s="941" t="n"/>
      <c r="Z431" s="941" t="n"/>
      <c r="AA431" s="667" t="n"/>
      <c r="AB431" s="667" t="n"/>
      <c r="AC431" s="667" t="n"/>
    </row>
    <row r="432" ht="27" customHeight="1">
      <c r="A432" s="60" t="inlineStr">
        <is>
          <t>SU002360</t>
        </is>
      </c>
      <c r="B432" s="60" t="inlineStr">
        <is>
          <t>P005172</t>
        </is>
      </c>
      <c r="C432" s="34" t="n">
        <v>4301031457</v>
      </c>
      <c r="D432" s="668" t="n">
        <v>4607091384802</v>
      </c>
      <c r="E432" s="951" t="n"/>
      <c r="F432" s="990" t="n">
        <v>0.7</v>
      </c>
      <c r="G432" s="35" t="n">
        <v>6</v>
      </c>
      <c r="H432" s="990" t="n">
        <v>4.2</v>
      </c>
      <c r="I432" s="990" t="n">
        <v>4.45</v>
      </c>
      <c r="J432" s="35" t="n">
        <v>132</v>
      </c>
      <c r="K432" s="35" t="inlineStr">
        <is>
          <t>12</t>
        </is>
      </c>
      <c r="L432" s="35" t="inlineStr"/>
      <c r="M432" s="36" t="inlineStr">
        <is>
          <t>СК2</t>
        </is>
      </c>
      <c r="N432" s="36" t="n"/>
      <c r="O432" s="35" t="n">
        <v>50</v>
      </c>
      <c r="P432" s="1214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2" s="992" t="n"/>
      <c r="R432" s="992" t="n"/>
      <c r="S432" s="992" t="n"/>
      <c r="T432" s="993" t="n"/>
      <c r="U432" s="37" t="inlineStr"/>
      <c r="V432" s="37" t="inlineStr"/>
      <c r="W432" s="38" t="inlineStr">
        <is>
          <t>кг</t>
        </is>
      </c>
      <c r="X432" s="994" t="n">
        <v>0</v>
      </c>
      <c r="Y432" s="995">
        <f>IFERROR(IF(X432="",0,CEILING((X432/$H432),1)*$H432),"")</f>
        <v/>
      </c>
      <c r="Z432" s="39">
        <f>IFERROR(IF(Y432=0,"",ROUNDUP(Y432/H432,0)*0.00902),"")</f>
        <v/>
      </c>
      <c r="AA432" s="65" t="inlineStr"/>
      <c r="AB432" s="66" t="inlineStr"/>
      <c r="AC432" s="511" t="inlineStr">
        <is>
          <t>ЕАЭС N RU Д-RU.РА02.В.61652/24</t>
        </is>
      </c>
      <c r="AG432" s="75" t="n"/>
      <c r="AJ432" s="79" t="inlineStr"/>
      <c r="AK432" s="79" t="n">
        <v>0</v>
      </c>
      <c r="BB432" s="512" t="inlineStr">
        <is>
          <t>КИ</t>
        </is>
      </c>
      <c r="BM432" s="75">
        <f>IFERROR(X432*I432/H432,"0")</f>
        <v/>
      </c>
      <c r="BN432" s="75">
        <f>IFERROR(Y432*I432/H432,"0")</f>
        <v/>
      </c>
      <c r="BO432" s="75">
        <f>IFERROR(1/J432*(X432/H432),"0")</f>
        <v/>
      </c>
      <c r="BP432" s="75">
        <f>IFERROR(1/J432*(Y432/H432),"0")</f>
        <v/>
      </c>
    </row>
    <row r="433">
      <c r="A433" s="677" t="n"/>
      <c r="B433" s="941" t="n"/>
      <c r="C433" s="941" t="n"/>
      <c r="D433" s="941" t="n"/>
      <c r="E433" s="941" t="n"/>
      <c r="F433" s="941" t="n"/>
      <c r="G433" s="941" t="n"/>
      <c r="H433" s="941" t="n"/>
      <c r="I433" s="941" t="n"/>
      <c r="J433" s="941" t="n"/>
      <c r="K433" s="941" t="n"/>
      <c r="L433" s="941" t="n"/>
      <c r="M433" s="941" t="n"/>
      <c r="N433" s="941" t="n"/>
      <c r="O433" s="997" t="n"/>
      <c r="P433" s="998" t="inlineStr">
        <is>
          <t>Итого</t>
        </is>
      </c>
      <c r="Q433" s="959" t="n"/>
      <c r="R433" s="959" t="n"/>
      <c r="S433" s="959" t="n"/>
      <c r="T433" s="959" t="n"/>
      <c r="U433" s="959" t="n"/>
      <c r="V433" s="960" t="n"/>
      <c r="W433" s="40" t="inlineStr">
        <is>
          <t>кор</t>
        </is>
      </c>
      <c r="X433" s="999">
        <f>IFERROR(X432/H432,"0")</f>
        <v/>
      </c>
      <c r="Y433" s="999">
        <f>IFERROR(Y432/H432,"0")</f>
        <v/>
      </c>
      <c r="Z433" s="999">
        <f>IFERROR(IF(Z432="",0,Z432),"0")</f>
        <v/>
      </c>
      <c r="AA433" s="1000" t="n"/>
      <c r="AB433" s="1000" t="n"/>
      <c r="AC433" s="1000" t="n"/>
    </row>
    <row r="434">
      <c r="A434" s="941" t="n"/>
      <c r="B434" s="941" t="n"/>
      <c r="C434" s="941" t="n"/>
      <c r="D434" s="941" t="n"/>
      <c r="E434" s="941" t="n"/>
      <c r="F434" s="941" t="n"/>
      <c r="G434" s="941" t="n"/>
      <c r="H434" s="941" t="n"/>
      <c r="I434" s="941" t="n"/>
      <c r="J434" s="941" t="n"/>
      <c r="K434" s="941" t="n"/>
      <c r="L434" s="941" t="n"/>
      <c r="M434" s="941" t="n"/>
      <c r="N434" s="941" t="n"/>
      <c r="O434" s="997" t="n"/>
      <c r="P434" s="998" t="inlineStr">
        <is>
          <t>Итого</t>
        </is>
      </c>
      <c r="Q434" s="959" t="n"/>
      <c r="R434" s="959" t="n"/>
      <c r="S434" s="959" t="n"/>
      <c r="T434" s="959" t="n"/>
      <c r="U434" s="959" t="n"/>
      <c r="V434" s="960" t="n"/>
      <c r="W434" s="40" t="inlineStr">
        <is>
          <t>кг</t>
        </is>
      </c>
      <c r="X434" s="999">
        <f>IFERROR(SUM(X432:X432),"0")</f>
        <v/>
      </c>
      <c r="Y434" s="999">
        <f>IFERROR(SUM(Y432:Y432),"0")</f>
        <v/>
      </c>
      <c r="Z434" s="40" t="n"/>
      <c r="AA434" s="1000" t="n"/>
      <c r="AB434" s="1000" t="n"/>
      <c r="AC434" s="1000" t="n"/>
    </row>
    <row r="435" ht="14.25" customHeight="1">
      <c r="A435" s="667" t="inlineStr">
        <is>
          <t>Сосиски</t>
        </is>
      </c>
      <c r="B435" s="941" t="n"/>
      <c r="C435" s="941" t="n"/>
      <c r="D435" s="941" t="n"/>
      <c r="E435" s="941" t="n"/>
      <c r="F435" s="941" t="n"/>
      <c r="G435" s="941" t="n"/>
      <c r="H435" s="941" t="n"/>
      <c r="I435" s="941" t="n"/>
      <c r="J435" s="941" t="n"/>
      <c r="K435" s="941" t="n"/>
      <c r="L435" s="941" t="n"/>
      <c r="M435" s="941" t="n"/>
      <c r="N435" s="941" t="n"/>
      <c r="O435" s="941" t="n"/>
      <c r="P435" s="941" t="n"/>
      <c r="Q435" s="941" t="n"/>
      <c r="R435" s="941" t="n"/>
      <c r="S435" s="941" t="n"/>
      <c r="T435" s="941" t="n"/>
      <c r="U435" s="941" t="n"/>
      <c r="V435" s="941" t="n"/>
      <c r="W435" s="941" t="n"/>
      <c r="X435" s="941" t="n"/>
      <c r="Y435" s="941" t="n"/>
      <c r="Z435" s="941" t="n"/>
      <c r="AA435" s="667" t="n"/>
      <c r="AB435" s="667" t="n"/>
      <c r="AC435" s="667" t="n"/>
    </row>
    <row r="436" ht="27" customHeight="1">
      <c r="A436" s="60" t="inlineStr">
        <is>
          <t>SU002074</t>
        </is>
      </c>
      <c r="B436" s="60" t="inlineStr">
        <is>
          <t>P004844</t>
        </is>
      </c>
      <c r="C436" s="34" t="n">
        <v>4301051899</v>
      </c>
      <c r="D436" s="668" t="n">
        <v>4607091384246</v>
      </c>
      <c r="E436" s="951" t="n"/>
      <c r="F436" s="990" t="n">
        <v>1.5</v>
      </c>
      <c r="G436" s="35" t="n">
        <v>6</v>
      </c>
      <c r="H436" s="990" t="n">
        <v>9</v>
      </c>
      <c r="I436" s="990" t="n">
        <v>9.494</v>
      </c>
      <c r="J436" s="35" t="n">
        <v>64</v>
      </c>
      <c r="K436" s="35" t="inlineStr">
        <is>
          <t>8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5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6" s="992" t="n"/>
      <c r="R436" s="992" t="n"/>
      <c r="S436" s="992" t="n"/>
      <c r="T436" s="993" t="n"/>
      <c r="U436" s="37" t="inlineStr"/>
      <c r="V436" s="37" t="inlineStr"/>
      <c r="W436" s="38" t="inlineStr">
        <is>
          <t>кг</t>
        </is>
      </c>
      <c r="X436" s="994" t="n">
        <v>0</v>
      </c>
      <c r="Y436" s="995">
        <f>IFERROR(IF(X436="",0,CEILING((X436/$H436),1)*$H436),"")</f>
        <v/>
      </c>
      <c r="Z436" s="39">
        <f>IFERROR(IF(Y436=0,"",ROUNDUP(Y436/H436,0)*0.01898),"")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P003969</t>
        </is>
      </c>
      <c r="C437" s="34" t="n">
        <v>4301051660</v>
      </c>
      <c r="D437" s="668" t="n">
        <v>4607091384253</v>
      </c>
      <c r="E437" s="951" t="n"/>
      <c r="F437" s="990" t="n">
        <v>0.4</v>
      </c>
      <c r="G437" s="35" t="n">
        <v>6</v>
      </c>
      <c r="H437" s="990" t="n">
        <v>2.4</v>
      </c>
      <c r="I437" s="990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6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7" s="992" t="n"/>
      <c r="R437" s="992" t="n"/>
      <c r="S437" s="992" t="n"/>
      <c r="T437" s="993" t="n"/>
      <c r="U437" s="37" t="inlineStr"/>
      <c r="V437" s="37" t="inlineStr"/>
      <c r="W437" s="38" t="inlineStr">
        <is>
          <t>кг</t>
        </is>
      </c>
      <c r="X437" s="994" t="n">
        <v>0</v>
      </c>
      <c r="Y437" s="995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Д-RU.РА09.В.24006/25, ЕАЭС N RU Д-RU.РА09.В.26911/25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 ht="27" customHeight="1">
      <c r="A438" s="60" t="inlineStr">
        <is>
          <t>SU002205</t>
        </is>
      </c>
      <c r="B438" s="60" t="inlineStr">
        <is>
          <t>P005198</t>
        </is>
      </c>
      <c r="C438" s="34" t="n">
        <v>4301052069</v>
      </c>
      <c r="D438" s="668" t="n">
        <v>4607091384253</v>
      </c>
      <c r="E438" s="951" t="n"/>
      <c r="F438" s="990" t="n">
        <v>0.4</v>
      </c>
      <c r="G438" s="35" t="n">
        <v>6</v>
      </c>
      <c r="H438" s="990" t="n">
        <v>2.4</v>
      </c>
      <c r="I438" s="990" t="n">
        <v>2.664</v>
      </c>
      <c r="J438" s="35" t="n">
        <v>182</v>
      </c>
      <c r="K438" s="35" t="inlineStr">
        <is>
          <t>14</t>
        </is>
      </c>
      <c r="L438" s="35" t="inlineStr"/>
      <c r="M438" s="36" t="inlineStr">
        <is>
          <t>СК3</t>
        </is>
      </c>
      <c r="N438" s="36" t="n"/>
      <c r="O438" s="35" t="n">
        <v>40</v>
      </c>
      <c r="P438" s="1217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8" s="992" t="n"/>
      <c r="R438" s="992" t="n"/>
      <c r="S438" s="992" t="n"/>
      <c r="T438" s="993" t="n"/>
      <c r="U438" s="37" t="inlineStr"/>
      <c r="V438" s="37" t="inlineStr"/>
      <c r="W438" s="38" t="inlineStr">
        <is>
          <t>кг</t>
        </is>
      </c>
      <c r="X438" s="994" t="n">
        <v>0</v>
      </c>
      <c r="Y438" s="995">
        <f>IFERROR(IF(X438="",0,CEILING((X438/$H438),1)*$H438),"")</f>
        <v/>
      </c>
      <c r="Z438" s="39">
        <f>IFERROR(IF(Y438=0,"",ROUNDUP(Y438/H438,0)*0.00651),"")</f>
        <v/>
      </c>
      <c r="AA438" s="65" t="inlineStr"/>
      <c r="AB438" s="66" t="inlineStr"/>
      <c r="AC438" s="517" t="inlineStr">
        <is>
          <t>ЕАЭС N RU Д-RU.РА09.В.35629/22</t>
        </is>
      </c>
      <c r="AG438" s="75" t="n"/>
      <c r="AJ438" s="79" t="inlineStr"/>
      <c r="AK438" s="79" t="n">
        <v>0</v>
      </c>
      <c r="BB438" s="518" t="inlineStr">
        <is>
          <t>КИ</t>
        </is>
      </c>
      <c r="BM438" s="75">
        <f>IFERROR(X438*I438/H438,"0")</f>
        <v/>
      </c>
      <c r="BN438" s="75">
        <f>IFERROR(Y438*I438/H438,"0")</f>
        <v/>
      </c>
      <c r="BO438" s="75">
        <f>IFERROR(1/J438*(X438/H438),"0")</f>
        <v/>
      </c>
      <c r="BP438" s="75">
        <f>IFERROR(1/J438*(Y438/H438),"0")</f>
        <v/>
      </c>
    </row>
    <row r="439">
      <c r="A439" s="677" t="n"/>
      <c r="B439" s="941" t="n"/>
      <c r="C439" s="941" t="n"/>
      <c r="D439" s="941" t="n"/>
      <c r="E439" s="941" t="n"/>
      <c r="F439" s="941" t="n"/>
      <c r="G439" s="941" t="n"/>
      <c r="H439" s="941" t="n"/>
      <c r="I439" s="941" t="n"/>
      <c r="J439" s="941" t="n"/>
      <c r="K439" s="941" t="n"/>
      <c r="L439" s="941" t="n"/>
      <c r="M439" s="941" t="n"/>
      <c r="N439" s="941" t="n"/>
      <c r="O439" s="997" t="n"/>
      <c r="P439" s="998" t="inlineStr">
        <is>
          <t>Итого</t>
        </is>
      </c>
      <c r="Q439" s="959" t="n"/>
      <c r="R439" s="959" t="n"/>
      <c r="S439" s="959" t="n"/>
      <c r="T439" s="959" t="n"/>
      <c r="U439" s="959" t="n"/>
      <c r="V439" s="960" t="n"/>
      <c r="W439" s="40" t="inlineStr">
        <is>
          <t>кор</t>
        </is>
      </c>
      <c r="X439" s="999">
        <f>IFERROR(X436/H436,"0")+IFERROR(X437/H437,"0")+IFERROR(X438/H438,"0")</f>
        <v/>
      </c>
      <c r="Y439" s="999">
        <f>IFERROR(Y436/H436,"0")+IFERROR(Y437/H437,"0")+IFERROR(Y438/H438,"0")</f>
        <v/>
      </c>
      <c r="Z439" s="999">
        <f>IFERROR(IF(Z436="",0,Z436),"0")+IFERROR(IF(Z437="",0,Z437),"0")+IFERROR(IF(Z438="",0,Z438),"0")</f>
        <v/>
      </c>
      <c r="AA439" s="1000" t="n"/>
      <c r="AB439" s="1000" t="n"/>
      <c r="AC439" s="1000" t="n"/>
    </row>
    <row r="440">
      <c r="A440" s="941" t="n"/>
      <c r="B440" s="941" t="n"/>
      <c r="C440" s="941" t="n"/>
      <c r="D440" s="941" t="n"/>
      <c r="E440" s="941" t="n"/>
      <c r="F440" s="941" t="n"/>
      <c r="G440" s="941" t="n"/>
      <c r="H440" s="941" t="n"/>
      <c r="I440" s="941" t="n"/>
      <c r="J440" s="941" t="n"/>
      <c r="K440" s="941" t="n"/>
      <c r="L440" s="941" t="n"/>
      <c r="M440" s="941" t="n"/>
      <c r="N440" s="941" t="n"/>
      <c r="O440" s="997" t="n"/>
      <c r="P440" s="998" t="inlineStr">
        <is>
          <t>Итого</t>
        </is>
      </c>
      <c r="Q440" s="959" t="n"/>
      <c r="R440" s="959" t="n"/>
      <c r="S440" s="959" t="n"/>
      <c r="T440" s="959" t="n"/>
      <c r="U440" s="959" t="n"/>
      <c r="V440" s="960" t="n"/>
      <c r="W440" s="40" t="inlineStr">
        <is>
          <t>кг</t>
        </is>
      </c>
      <c r="X440" s="999">
        <f>IFERROR(SUM(X436:X438),"0")</f>
        <v/>
      </c>
      <c r="Y440" s="999">
        <f>IFERROR(SUM(Y436:Y438),"0")</f>
        <v/>
      </c>
      <c r="Z440" s="40" t="n"/>
      <c r="AA440" s="1000" t="n"/>
      <c r="AB440" s="1000" t="n"/>
      <c r="AC440" s="1000" t="n"/>
    </row>
    <row r="441" ht="27.75" customHeight="1">
      <c r="A441" s="665" t="inlineStr">
        <is>
          <t>Баварушка</t>
        </is>
      </c>
      <c r="B441" s="989" t="n"/>
      <c r="C441" s="989" t="n"/>
      <c r="D441" s="989" t="n"/>
      <c r="E441" s="989" t="n"/>
      <c r="F441" s="989" t="n"/>
      <c r="G441" s="989" t="n"/>
      <c r="H441" s="989" t="n"/>
      <c r="I441" s="989" t="n"/>
      <c r="J441" s="989" t="n"/>
      <c r="K441" s="989" t="n"/>
      <c r="L441" s="989" t="n"/>
      <c r="M441" s="989" t="n"/>
      <c r="N441" s="989" t="n"/>
      <c r="O441" s="989" t="n"/>
      <c r="P441" s="989" t="n"/>
      <c r="Q441" s="989" t="n"/>
      <c r="R441" s="989" t="n"/>
      <c r="S441" s="989" t="n"/>
      <c r="T441" s="989" t="n"/>
      <c r="U441" s="989" t="n"/>
      <c r="V441" s="989" t="n"/>
      <c r="W441" s="989" t="n"/>
      <c r="X441" s="989" t="n"/>
      <c r="Y441" s="989" t="n"/>
      <c r="Z441" s="989" t="n"/>
      <c r="AA441" s="52" t="n"/>
      <c r="AB441" s="52" t="n"/>
      <c r="AC441" s="52" t="n"/>
    </row>
    <row r="442" ht="16.5" customHeight="1">
      <c r="A442" s="666" t="inlineStr">
        <is>
          <t>Филейбургская</t>
        </is>
      </c>
      <c r="B442" s="941" t="n"/>
      <c r="C442" s="941" t="n"/>
      <c r="D442" s="941" t="n"/>
      <c r="E442" s="941" t="n"/>
      <c r="F442" s="941" t="n"/>
      <c r="G442" s="941" t="n"/>
      <c r="H442" s="941" t="n"/>
      <c r="I442" s="941" t="n"/>
      <c r="J442" s="941" t="n"/>
      <c r="K442" s="941" t="n"/>
      <c r="L442" s="941" t="n"/>
      <c r="M442" s="941" t="n"/>
      <c r="N442" s="941" t="n"/>
      <c r="O442" s="941" t="n"/>
      <c r="P442" s="941" t="n"/>
      <c r="Q442" s="941" t="n"/>
      <c r="R442" s="941" t="n"/>
      <c r="S442" s="941" t="n"/>
      <c r="T442" s="941" t="n"/>
      <c r="U442" s="941" t="n"/>
      <c r="V442" s="941" t="n"/>
      <c r="W442" s="941" t="n"/>
      <c r="X442" s="941" t="n"/>
      <c r="Y442" s="941" t="n"/>
      <c r="Z442" s="941" t="n"/>
      <c r="AA442" s="666" t="n"/>
      <c r="AB442" s="666" t="n"/>
      <c r="AC442" s="666" t="n"/>
    </row>
    <row r="443" ht="14.25" customHeight="1">
      <c r="A443" s="667" t="inlineStr">
        <is>
          <t>Копченые колбасы</t>
        </is>
      </c>
      <c r="B443" s="941" t="n"/>
      <c r="C443" s="941" t="n"/>
      <c r="D443" s="941" t="n"/>
      <c r="E443" s="941" t="n"/>
      <c r="F443" s="941" t="n"/>
      <c r="G443" s="941" t="n"/>
      <c r="H443" s="941" t="n"/>
      <c r="I443" s="941" t="n"/>
      <c r="J443" s="941" t="n"/>
      <c r="K443" s="941" t="n"/>
      <c r="L443" s="941" t="n"/>
      <c r="M443" s="941" t="n"/>
      <c r="N443" s="941" t="n"/>
      <c r="O443" s="941" t="n"/>
      <c r="P443" s="941" t="n"/>
      <c r="Q443" s="941" t="n"/>
      <c r="R443" s="941" t="n"/>
      <c r="S443" s="941" t="n"/>
      <c r="T443" s="941" t="n"/>
      <c r="U443" s="941" t="n"/>
      <c r="V443" s="941" t="n"/>
      <c r="W443" s="941" t="n"/>
      <c r="X443" s="941" t="n"/>
      <c r="Y443" s="941" t="n"/>
      <c r="Z443" s="941" t="n"/>
      <c r="AA443" s="667" t="n"/>
      <c r="AB443" s="667" t="n"/>
      <c r="AC443" s="667" t="n"/>
    </row>
    <row r="444" ht="27" customHeight="1">
      <c r="A444" s="60" t="inlineStr">
        <is>
          <t>SU002614</t>
        </is>
      </c>
      <c r="B444" s="60" t="inlineStr">
        <is>
          <t>P004898</t>
        </is>
      </c>
      <c r="C444" s="34" t="n">
        <v>4301031405</v>
      </c>
      <c r="D444" s="668" t="n">
        <v>4680115886100</v>
      </c>
      <c r="E444" s="951" t="n"/>
      <c r="F444" s="990" t="n">
        <v>0.9</v>
      </c>
      <c r="G444" s="35" t="n">
        <v>6</v>
      </c>
      <c r="H444" s="990" t="n">
        <v>5.4</v>
      </c>
      <c r="I444" s="990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8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4" s="992" t="n"/>
      <c r="R444" s="992" t="n"/>
      <c r="S444" s="992" t="n"/>
      <c r="T444" s="993" t="n"/>
      <c r="U444" s="37" t="inlineStr"/>
      <c r="V444" s="37" t="inlineStr"/>
      <c r="W444" s="38" t="inlineStr">
        <is>
          <t>кг</t>
        </is>
      </c>
      <c r="X444" s="994" t="n">
        <v>0</v>
      </c>
      <c r="Y444" s="995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Д-RU.РА11.В.30785/25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SU002613</t>
        </is>
      </c>
      <c r="B445" s="60" t="inlineStr">
        <is>
          <t>P004895</t>
        </is>
      </c>
      <c r="C445" s="34" t="n">
        <v>4301031402</v>
      </c>
      <c r="D445" s="668" t="n">
        <v>4680115886124</v>
      </c>
      <c r="E445" s="951" t="n"/>
      <c r="F445" s="990" t="n">
        <v>0.9</v>
      </c>
      <c r="G445" s="35" t="n">
        <v>6</v>
      </c>
      <c r="H445" s="990" t="n">
        <v>5.4</v>
      </c>
      <c r="I445" s="990" t="n">
        <v>5.59</v>
      </c>
      <c r="J445" s="35" t="n">
        <v>132</v>
      </c>
      <c r="K445" s="35" t="inlineStr">
        <is>
          <t>12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9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5" s="992" t="n"/>
      <c r="R445" s="992" t="n"/>
      <c r="S445" s="992" t="n"/>
      <c r="T445" s="993" t="n"/>
      <c r="U445" s="37" t="inlineStr"/>
      <c r="V445" s="37" t="inlineStr"/>
      <c r="W445" s="38" t="inlineStr">
        <is>
          <t>кг</t>
        </is>
      </c>
      <c r="X445" s="994" t="n">
        <v>0</v>
      </c>
      <c r="Y445" s="995">
        <f>IFERROR(IF(X445="",0,CEILING((X445/$H445),1)*$H445),"")</f>
        <v/>
      </c>
      <c r="Z445" s="39">
        <f>IFERROR(IF(Y445=0,"",ROUNDUP(Y445/H445,0)*0.00902),"")</f>
        <v/>
      </c>
      <c r="AA445" s="65" t="inlineStr"/>
      <c r="AB445" s="66" t="inlineStr"/>
      <c r="AC445" s="521" t="inlineStr">
        <is>
          <t>ЕАЭС N RU Д-RU.РА02.В.47033/26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SU002538</t>
        </is>
      </c>
      <c r="B446" s="60" t="inlineStr">
        <is>
          <t>P004517</t>
        </is>
      </c>
      <c r="C446" s="34" t="n">
        <v>4301031362</v>
      </c>
      <c r="D446" s="668" t="n">
        <v>4607091384338</v>
      </c>
      <c r="E446" s="951" t="n"/>
      <c r="F446" s="990" t="n">
        <v>0.35</v>
      </c>
      <c r="G446" s="35" t="n">
        <v>6</v>
      </c>
      <c r="H446" s="990" t="n">
        <v>2.1</v>
      </c>
      <c r="I446" s="990" t="n">
        <v>2.23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20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6" s="992" t="n"/>
      <c r="R446" s="992" t="n"/>
      <c r="S446" s="992" t="n"/>
      <c r="T446" s="993" t="n"/>
      <c r="U446" s="37" t="inlineStr"/>
      <c r="V446" s="37" t="inlineStr"/>
      <c r="W446" s="38" t="inlineStr">
        <is>
          <t>кг</t>
        </is>
      </c>
      <c r="X446" s="994" t="n">
        <v>4.199999999999999</v>
      </c>
      <c r="Y446" s="995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Д-RU.РА11.В.30785/25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SU003080</t>
        </is>
      </c>
      <c r="B447" s="60" t="inlineStr">
        <is>
          <t>P004525</t>
        </is>
      </c>
      <c r="C447" s="34" t="n">
        <v>4301031364</v>
      </c>
      <c r="D447" s="668" t="n">
        <v>4680115883161</v>
      </c>
      <c r="E447" s="951" t="n"/>
      <c r="F447" s="990" t="n">
        <v>0.28</v>
      </c>
      <c r="G447" s="35" t="n">
        <v>6</v>
      </c>
      <c r="H447" s="990" t="n">
        <v>1.68</v>
      </c>
      <c r="I447" s="990" t="n">
        <v>1.81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21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7" s="992" t="n"/>
      <c r="R447" s="992" t="n"/>
      <c r="S447" s="992" t="n"/>
      <c r="T447" s="993" t="n"/>
      <c r="U447" s="37" t="inlineStr"/>
      <c r="V447" s="37" t="inlineStr"/>
      <c r="W447" s="38" t="inlineStr">
        <is>
          <t>кг</t>
        </is>
      </c>
      <c r="X447" s="994" t="n">
        <v>0</v>
      </c>
      <c r="Y447" s="995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Д-RU.РА01.В.80532/26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27" customHeight="1">
      <c r="A448" s="60" t="inlineStr">
        <is>
          <t>SU002606</t>
        </is>
      </c>
      <c r="B448" s="60" t="inlineStr">
        <is>
          <t>P004521</t>
        </is>
      </c>
      <c r="C448" s="34" t="n">
        <v>4301031358</v>
      </c>
      <c r="D448" s="668" t="n">
        <v>4607091389531</v>
      </c>
      <c r="E448" s="951" t="n"/>
      <c r="F448" s="990" t="n">
        <v>0.35</v>
      </c>
      <c r="G448" s="35" t="n">
        <v>6</v>
      </c>
      <c r="H448" s="990" t="n">
        <v>2.1</v>
      </c>
      <c r="I448" s="990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22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8" s="992" t="n"/>
      <c r="R448" s="992" t="n"/>
      <c r="S448" s="992" t="n"/>
      <c r="T448" s="993" t="n"/>
      <c r="U448" s="37" t="inlineStr"/>
      <c r="V448" s="37" t="inlineStr"/>
      <c r="W448" s="38" t="inlineStr">
        <is>
          <t>кг</t>
        </is>
      </c>
      <c r="X448" s="994" t="n">
        <v>8.399999999999999</v>
      </c>
      <c r="Y448" s="995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Д-RU.РА02.В.39101/26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 ht="37.5" customHeight="1">
      <c r="A449" s="60" t="inlineStr">
        <is>
          <t>SU002603</t>
        </is>
      </c>
      <c r="B449" s="60" t="inlineStr">
        <is>
          <t>P004519</t>
        </is>
      </c>
      <c r="C449" s="34" t="n">
        <v>4301031360</v>
      </c>
      <c r="D449" s="668" t="n">
        <v>4607091384345</v>
      </c>
      <c r="E449" s="951" t="n"/>
      <c r="F449" s="990" t="n">
        <v>0.35</v>
      </c>
      <c r="G449" s="35" t="n">
        <v>6</v>
      </c>
      <c r="H449" s="990" t="n">
        <v>2.1</v>
      </c>
      <c r="I449" s="990" t="n">
        <v>2.23</v>
      </c>
      <c r="J449" s="35" t="n">
        <v>234</v>
      </c>
      <c r="K449" s="35" t="inlineStr">
        <is>
          <t>18</t>
        </is>
      </c>
      <c r="L449" s="35" t="inlineStr"/>
      <c r="M449" s="36" t="inlineStr">
        <is>
          <t>СК2</t>
        </is>
      </c>
      <c r="N449" s="36" t="n"/>
      <c r="O449" s="35" t="n">
        <v>50</v>
      </c>
      <c r="P449" s="1223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9" s="992" t="n"/>
      <c r="R449" s="992" t="n"/>
      <c r="S449" s="992" t="n"/>
      <c r="T449" s="993" t="n"/>
      <c r="U449" s="37" t="inlineStr"/>
      <c r="V449" s="37" t="inlineStr"/>
      <c r="W449" s="38" t="inlineStr">
        <is>
          <t>кг</t>
        </is>
      </c>
      <c r="X449" s="994" t="n">
        <v>4.199999999999999</v>
      </c>
      <c r="Y449" s="995">
        <f>IFERROR(IF(X449="",0,CEILING((X449/$H449),1)*$H449),"")</f>
        <v/>
      </c>
      <c r="Z449" s="39">
        <f>IFERROR(IF(Y449=0,"",ROUNDUP(Y449/H449,0)*0.00502),"")</f>
        <v/>
      </c>
      <c r="AA449" s="65" t="inlineStr"/>
      <c r="AB449" s="66" t="inlineStr"/>
      <c r="AC449" s="529" t="inlineStr">
        <is>
          <t>ЕАЭС N RU Д-RU.РА01.В.80532/26</t>
        </is>
      </c>
      <c r="AG449" s="75" t="n"/>
      <c r="AJ449" s="79" t="inlineStr"/>
      <c r="AK449" s="79" t="n">
        <v>0</v>
      </c>
      <c r="BB449" s="530" t="inlineStr">
        <is>
          <t>КИ</t>
        </is>
      </c>
      <c r="BM449" s="75">
        <f>IFERROR(X449*I449/H449,"0")</f>
        <v/>
      </c>
      <c r="BN449" s="75">
        <f>IFERROR(Y449*I449/H449,"0")</f>
        <v/>
      </c>
      <c r="BO449" s="75">
        <f>IFERROR(1/J449*(X449/H449),"0")</f>
        <v/>
      </c>
      <c r="BP449" s="75">
        <f>IFERROR(1/J449*(Y449/H449),"0")</f>
        <v/>
      </c>
    </row>
    <row r="450">
      <c r="A450" s="677" t="n"/>
      <c r="B450" s="941" t="n"/>
      <c r="C450" s="941" t="n"/>
      <c r="D450" s="941" t="n"/>
      <c r="E450" s="941" t="n"/>
      <c r="F450" s="941" t="n"/>
      <c r="G450" s="941" t="n"/>
      <c r="H450" s="941" t="n"/>
      <c r="I450" s="941" t="n"/>
      <c r="J450" s="941" t="n"/>
      <c r="K450" s="941" t="n"/>
      <c r="L450" s="941" t="n"/>
      <c r="M450" s="941" t="n"/>
      <c r="N450" s="941" t="n"/>
      <c r="O450" s="997" t="n"/>
      <c r="P450" s="998" t="inlineStr">
        <is>
          <t>Итого</t>
        </is>
      </c>
      <c r="Q450" s="959" t="n"/>
      <c r="R450" s="959" t="n"/>
      <c r="S450" s="959" t="n"/>
      <c r="T450" s="959" t="n"/>
      <c r="U450" s="959" t="n"/>
      <c r="V450" s="960" t="n"/>
      <c r="W450" s="40" t="inlineStr">
        <is>
          <t>кор</t>
        </is>
      </c>
      <c r="X450" s="999">
        <f>IFERROR(X444/H444,"0")+IFERROR(X445/H445,"0")+IFERROR(X446/H446,"0")+IFERROR(X447/H447,"0")+IFERROR(X448/H448,"0")+IFERROR(X449/H449,"0")</f>
        <v/>
      </c>
      <c r="Y450" s="999">
        <f>IFERROR(Y444/H444,"0")+IFERROR(Y445/H445,"0")+IFERROR(Y446/H446,"0")+IFERROR(Y447/H447,"0")+IFERROR(Y448/H448,"0")+IFERROR(Y449/H449,"0")</f>
        <v/>
      </c>
      <c r="Z450" s="999">
        <f>IFERROR(IF(Z444="",0,Z444),"0")+IFERROR(IF(Z445="",0,Z445),"0")+IFERROR(IF(Z446="",0,Z446),"0")+IFERROR(IF(Z447="",0,Z447),"0")+IFERROR(IF(Z448="",0,Z448),"0")+IFERROR(IF(Z449="",0,Z449),"0")</f>
        <v/>
      </c>
      <c r="AA450" s="1000" t="n"/>
      <c r="AB450" s="1000" t="n"/>
      <c r="AC450" s="1000" t="n"/>
    </row>
    <row r="451">
      <c r="A451" s="941" t="n"/>
      <c r="B451" s="941" t="n"/>
      <c r="C451" s="941" t="n"/>
      <c r="D451" s="941" t="n"/>
      <c r="E451" s="941" t="n"/>
      <c r="F451" s="941" t="n"/>
      <c r="G451" s="941" t="n"/>
      <c r="H451" s="941" t="n"/>
      <c r="I451" s="941" t="n"/>
      <c r="J451" s="941" t="n"/>
      <c r="K451" s="941" t="n"/>
      <c r="L451" s="941" t="n"/>
      <c r="M451" s="941" t="n"/>
      <c r="N451" s="941" t="n"/>
      <c r="O451" s="997" t="n"/>
      <c r="P451" s="998" t="inlineStr">
        <is>
          <t>Итого</t>
        </is>
      </c>
      <c r="Q451" s="959" t="n"/>
      <c r="R451" s="959" t="n"/>
      <c r="S451" s="959" t="n"/>
      <c r="T451" s="959" t="n"/>
      <c r="U451" s="959" t="n"/>
      <c r="V451" s="960" t="n"/>
      <c r="W451" s="40" t="inlineStr">
        <is>
          <t>кг</t>
        </is>
      </c>
      <c r="X451" s="999">
        <f>IFERROR(SUM(X444:X449),"0")</f>
        <v/>
      </c>
      <c r="Y451" s="999">
        <f>IFERROR(SUM(Y444:Y449),"0")</f>
        <v/>
      </c>
      <c r="Z451" s="40" t="n"/>
      <c r="AA451" s="1000" t="n"/>
      <c r="AB451" s="1000" t="n"/>
      <c r="AC451" s="1000" t="n"/>
    </row>
    <row r="452" ht="14.25" customHeight="1">
      <c r="A452" s="667" t="inlineStr">
        <is>
          <t>Сосиски</t>
        </is>
      </c>
      <c r="B452" s="941" t="n"/>
      <c r="C452" s="941" t="n"/>
      <c r="D452" s="941" t="n"/>
      <c r="E452" s="941" t="n"/>
      <c r="F452" s="941" t="n"/>
      <c r="G452" s="941" t="n"/>
      <c r="H452" s="941" t="n"/>
      <c r="I452" s="941" t="n"/>
      <c r="J452" s="941" t="n"/>
      <c r="K452" s="941" t="n"/>
      <c r="L452" s="941" t="n"/>
      <c r="M452" s="941" t="n"/>
      <c r="N452" s="941" t="n"/>
      <c r="O452" s="941" t="n"/>
      <c r="P452" s="941" t="n"/>
      <c r="Q452" s="941" t="n"/>
      <c r="R452" s="941" t="n"/>
      <c r="S452" s="941" t="n"/>
      <c r="T452" s="941" t="n"/>
      <c r="U452" s="941" t="n"/>
      <c r="V452" s="941" t="n"/>
      <c r="W452" s="941" t="n"/>
      <c r="X452" s="941" t="n"/>
      <c r="Y452" s="941" t="n"/>
      <c r="Z452" s="941" t="n"/>
      <c r="AA452" s="667" t="n"/>
      <c r="AB452" s="667" t="n"/>
      <c r="AC452" s="667" t="n"/>
    </row>
    <row r="453" ht="27" customHeight="1">
      <c r="A453" s="60" t="inlineStr">
        <is>
          <t>SU002285</t>
        </is>
      </c>
      <c r="B453" s="60" t="inlineStr">
        <is>
          <t>P002969</t>
        </is>
      </c>
      <c r="C453" s="34" t="n">
        <v>4301051284</v>
      </c>
      <c r="D453" s="668" t="n">
        <v>4607091384352</v>
      </c>
      <c r="E453" s="951" t="n"/>
      <c r="F453" s="990" t="n">
        <v>0.6</v>
      </c>
      <c r="G453" s="35" t="n">
        <v>4</v>
      </c>
      <c r="H453" s="990" t="n">
        <v>2.4</v>
      </c>
      <c r="I453" s="990" t="n">
        <v>2.626</v>
      </c>
      <c r="J453" s="35" t="n">
        <v>132</v>
      </c>
      <c r="K453" s="35" t="inlineStr">
        <is>
          <t>12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4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3" s="992" t="n"/>
      <c r="R453" s="992" t="n"/>
      <c r="S453" s="992" t="n"/>
      <c r="T453" s="993" t="n"/>
      <c r="U453" s="37" t="inlineStr"/>
      <c r="V453" s="37" t="inlineStr"/>
      <c r="W453" s="38" t="inlineStr">
        <is>
          <t>кг</t>
        </is>
      </c>
      <c r="X453" s="994" t="n">
        <v>0</v>
      </c>
      <c r="Y453" s="995">
        <f>IFERROR(IF(X453="",0,CEILING((X453/$H453),1)*$H453),"")</f>
        <v/>
      </c>
      <c r="Z453" s="39">
        <f>IFERROR(IF(Y453=0,"",ROUNDUP(Y453/H453,0)*0.00902),"")</f>
        <v/>
      </c>
      <c r="AA453" s="65" t="inlineStr"/>
      <c r="AB453" s="66" t="inlineStr"/>
      <c r="AC453" s="531" t="inlineStr">
        <is>
          <t>ЕАЭС N RU Д-RU.РА10.В.31132/25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 ht="27" customHeight="1">
      <c r="A454" s="60" t="inlineStr">
        <is>
          <t>SU002557</t>
        </is>
      </c>
      <c r="B454" s="60" t="inlineStr">
        <is>
          <t>P003318</t>
        </is>
      </c>
      <c r="C454" s="34" t="n">
        <v>4301051431</v>
      </c>
      <c r="D454" s="668" t="n">
        <v>4607091389654</v>
      </c>
      <c r="E454" s="951" t="n"/>
      <c r="F454" s="990" t="n">
        <v>0.33</v>
      </c>
      <c r="G454" s="35" t="n">
        <v>6</v>
      </c>
      <c r="H454" s="990" t="n">
        <v>1.98</v>
      </c>
      <c r="I454" s="990" t="n">
        <v>2.238</v>
      </c>
      <c r="J454" s="35" t="n">
        <v>182</v>
      </c>
      <c r="K454" s="35" t="inlineStr">
        <is>
          <t>14</t>
        </is>
      </c>
      <c r="L454" s="35" t="inlineStr"/>
      <c r="M454" s="36" t="inlineStr">
        <is>
          <t>СК3</t>
        </is>
      </c>
      <c r="N454" s="36" t="n"/>
      <c r="O454" s="35" t="n">
        <v>45</v>
      </c>
      <c r="P454" s="1225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4" s="992" t="n"/>
      <c r="R454" s="992" t="n"/>
      <c r="S454" s="992" t="n"/>
      <c r="T454" s="993" t="n"/>
      <c r="U454" s="37" t="inlineStr"/>
      <c r="V454" s="37" t="inlineStr"/>
      <c r="W454" s="38" t="inlineStr">
        <is>
          <t>кг</t>
        </is>
      </c>
      <c r="X454" s="994" t="n">
        <v>0</v>
      </c>
      <c r="Y454" s="995">
        <f>IFERROR(IF(X454="",0,CEILING((X454/$H454),1)*$H454),"")</f>
        <v/>
      </c>
      <c r="Z454" s="39">
        <f>IFERROR(IF(Y454=0,"",ROUNDUP(Y454/H454,0)*0.00651),"")</f>
        <v/>
      </c>
      <c r="AA454" s="65" t="inlineStr"/>
      <c r="AB454" s="66" t="inlineStr"/>
      <c r="AC454" s="533" t="inlineStr">
        <is>
          <t>ЕАЭС N RU Д-RU.РА07.В.45058/25</t>
        </is>
      </c>
      <c r="AG454" s="75" t="n"/>
      <c r="AJ454" s="79" t="inlineStr"/>
      <c r="AK454" s="79" t="n">
        <v>0</v>
      </c>
      <c r="BB454" s="534" t="inlineStr">
        <is>
          <t>КИ</t>
        </is>
      </c>
      <c r="BM454" s="75">
        <f>IFERROR(X454*I454/H454,"0")</f>
        <v/>
      </c>
      <c r="BN454" s="75">
        <f>IFERROR(Y454*I454/H454,"0")</f>
        <v/>
      </c>
      <c r="BO454" s="75">
        <f>IFERROR(1/J454*(X454/H454),"0")</f>
        <v/>
      </c>
      <c r="BP454" s="75">
        <f>IFERROR(1/J454*(Y454/H454),"0")</f>
        <v/>
      </c>
    </row>
    <row r="455">
      <c r="A455" s="677" t="n"/>
      <c r="B455" s="941" t="n"/>
      <c r="C455" s="941" t="n"/>
      <c r="D455" s="941" t="n"/>
      <c r="E455" s="941" t="n"/>
      <c r="F455" s="941" t="n"/>
      <c r="G455" s="941" t="n"/>
      <c r="H455" s="941" t="n"/>
      <c r="I455" s="941" t="n"/>
      <c r="J455" s="941" t="n"/>
      <c r="K455" s="941" t="n"/>
      <c r="L455" s="941" t="n"/>
      <c r="M455" s="941" t="n"/>
      <c r="N455" s="941" t="n"/>
      <c r="O455" s="997" t="n"/>
      <c r="P455" s="998" t="inlineStr">
        <is>
          <t>Итого</t>
        </is>
      </c>
      <c r="Q455" s="959" t="n"/>
      <c r="R455" s="959" t="n"/>
      <c r="S455" s="959" t="n"/>
      <c r="T455" s="959" t="n"/>
      <c r="U455" s="959" t="n"/>
      <c r="V455" s="960" t="n"/>
      <c r="W455" s="40" t="inlineStr">
        <is>
          <t>кор</t>
        </is>
      </c>
      <c r="X455" s="999">
        <f>IFERROR(X453/H453,"0")+IFERROR(X454/H454,"0")</f>
        <v/>
      </c>
      <c r="Y455" s="999">
        <f>IFERROR(Y453/H453,"0")+IFERROR(Y454/H454,"0")</f>
        <v/>
      </c>
      <c r="Z455" s="999">
        <f>IFERROR(IF(Z453="",0,Z453),"0")+IFERROR(IF(Z454="",0,Z454),"0")</f>
        <v/>
      </c>
      <c r="AA455" s="1000" t="n"/>
      <c r="AB455" s="1000" t="n"/>
      <c r="AC455" s="1000" t="n"/>
    </row>
    <row r="456">
      <c r="A456" s="941" t="n"/>
      <c r="B456" s="941" t="n"/>
      <c r="C456" s="941" t="n"/>
      <c r="D456" s="941" t="n"/>
      <c r="E456" s="941" t="n"/>
      <c r="F456" s="941" t="n"/>
      <c r="G456" s="941" t="n"/>
      <c r="H456" s="941" t="n"/>
      <c r="I456" s="941" t="n"/>
      <c r="J456" s="941" t="n"/>
      <c r="K456" s="941" t="n"/>
      <c r="L456" s="941" t="n"/>
      <c r="M456" s="941" t="n"/>
      <c r="N456" s="941" t="n"/>
      <c r="O456" s="997" t="n"/>
      <c r="P456" s="998" t="inlineStr">
        <is>
          <t>Итого</t>
        </is>
      </c>
      <c r="Q456" s="959" t="n"/>
      <c r="R456" s="959" t="n"/>
      <c r="S456" s="959" t="n"/>
      <c r="T456" s="959" t="n"/>
      <c r="U456" s="959" t="n"/>
      <c r="V456" s="960" t="n"/>
      <c r="W456" s="40" t="inlineStr">
        <is>
          <t>кг</t>
        </is>
      </c>
      <c r="X456" s="999">
        <f>IFERROR(SUM(X453:X454),"0")</f>
        <v/>
      </c>
      <c r="Y456" s="999">
        <f>IFERROR(SUM(Y453:Y454),"0")</f>
        <v/>
      </c>
      <c r="Z456" s="40" t="n"/>
      <c r="AA456" s="1000" t="n"/>
      <c r="AB456" s="1000" t="n"/>
      <c r="AC456" s="1000" t="n"/>
    </row>
    <row r="457" ht="16.5" customHeight="1">
      <c r="A457" s="666" t="inlineStr">
        <is>
          <t>Балыкбургская</t>
        </is>
      </c>
      <c r="B457" s="941" t="n"/>
      <c r="C457" s="941" t="n"/>
      <c r="D457" s="941" t="n"/>
      <c r="E457" s="941" t="n"/>
      <c r="F457" s="941" t="n"/>
      <c r="G457" s="941" t="n"/>
      <c r="H457" s="941" t="n"/>
      <c r="I457" s="941" t="n"/>
      <c r="J457" s="941" t="n"/>
      <c r="K457" s="941" t="n"/>
      <c r="L457" s="941" t="n"/>
      <c r="M457" s="941" t="n"/>
      <c r="N457" s="941" t="n"/>
      <c r="O457" s="941" t="n"/>
      <c r="P457" s="941" t="n"/>
      <c r="Q457" s="941" t="n"/>
      <c r="R457" s="941" t="n"/>
      <c r="S457" s="941" t="n"/>
      <c r="T457" s="941" t="n"/>
      <c r="U457" s="941" t="n"/>
      <c r="V457" s="941" t="n"/>
      <c r="W457" s="941" t="n"/>
      <c r="X457" s="941" t="n"/>
      <c r="Y457" s="941" t="n"/>
      <c r="Z457" s="941" t="n"/>
      <c r="AA457" s="666" t="n"/>
      <c r="AB457" s="666" t="n"/>
      <c r="AC457" s="666" t="n"/>
    </row>
    <row r="458" ht="14.25" customHeight="1">
      <c r="A458" s="667" t="inlineStr">
        <is>
          <t>Ветчины</t>
        </is>
      </c>
      <c r="B458" s="941" t="n"/>
      <c r="C458" s="941" t="n"/>
      <c r="D458" s="941" t="n"/>
      <c r="E458" s="941" t="n"/>
      <c r="F458" s="941" t="n"/>
      <c r="G458" s="941" t="n"/>
      <c r="H458" s="941" t="n"/>
      <c r="I458" s="941" t="n"/>
      <c r="J458" s="941" t="n"/>
      <c r="K458" s="941" t="n"/>
      <c r="L458" s="941" t="n"/>
      <c r="M458" s="941" t="n"/>
      <c r="N458" s="941" t="n"/>
      <c r="O458" s="941" t="n"/>
      <c r="P458" s="941" t="n"/>
      <c r="Q458" s="941" t="n"/>
      <c r="R458" s="941" t="n"/>
      <c r="S458" s="941" t="n"/>
      <c r="T458" s="941" t="n"/>
      <c r="U458" s="941" t="n"/>
      <c r="V458" s="941" t="n"/>
      <c r="W458" s="941" t="n"/>
      <c r="X458" s="941" t="n"/>
      <c r="Y458" s="941" t="n"/>
      <c r="Z458" s="941" t="n"/>
      <c r="AA458" s="667" t="n"/>
      <c r="AB458" s="667" t="n"/>
      <c r="AC458" s="667" t="n"/>
    </row>
    <row r="459" ht="27" customHeight="1">
      <c r="A459" s="60" t="inlineStr">
        <is>
          <t>SU003500</t>
        </is>
      </c>
      <c r="B459" s="60" t="inlineStr">
        <is>
          <t>P004400</t>
        </is>
      </c>
      <c r="C459" s="34" t="n">
        <v>4301020416</v>
      </c>
      <c r="D459" s="668" t="n">
        <v>4680115885240</v>
      </c>
      <c r="E459" s="951" t="n"/>
      <c r="F459" s="990" t="n">
        <v>0.35</v>
      </c>
      <c r="G459" s="35" t="n">
        <v>6</v>
      </c>
      <c r="H459" s="990" t="n">
        <v>2.1</v>
      </c>
      <c r="I459" s="990" t="n">
        <v>2.31</v>
      </c>
      <c r="J459" s="35" t="n">
        <v>182</v>
      </c>
      <c r="K459" s="35" t="inlineStr">
        <is>
          <t>14</t>
        </is>
      </c>
      <c r="L459" s="35" t="inlineStr"/>
      <c r="M459" s="36" t="inlineStr">
        <is>
          <t>СК2</t>
        </is>
      </c>
      <c r="N459" s="36" t="n"/>
      <c r="O459" s="35" t="n">
        <v>40</v>
      </c>
      <c r="P459" s="1226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9" s="992" t="n"/>
      <c r="R459" s="992" t="n"/>
      <c r="S459" s="992" t="n"/>
      <c r="T459" s="993" t="n"/>
      <c r="U459" s="37" t="inlineStr"/>
      <c r="V459" s="37" t="inlineStr"/>
      <c r="W459" s="38" t="inlineStr">
        <is>
          <t>кг</t>
        </is>
      </c>
      <c r="X459" s="994" t="n">
        <v>0</v>
      </c>
      <c r="Y459" s="995">
        <f>IFERROR(IF(X459="",0,CEILING((X459/$H459),1)*$H459),"")</f>
        <v/>
      </c>
      <c r="Z459" s="39">
        <f>IFERROR(IF(Y459=0,"",ROUNDUP(Y459/H459,0)*0.00651),"")</f>
        <v/>
      </c>
      <c r="AA459" s="65" t="inlineStr"/>
      <c r="AB459" s="66" t="inlineStr"/>
      <c r="AC459" s="535" t="inlineStr">
        <is>
          <t>ЕАЭС N RU Д-RU.РА04.В.08736/24</t>
        </is>
      </c>
      <c r="AG459" s="75" t="n"/>
      <c r="AJ459" s="79" t="inlineStr"/>
      <c r="AK459" s="79" t="n">
        <v>0</v>
      </c>
      <c r="BB459" s="536" t="inlineStr">
        <is>
          <t>КИ</t>
        </is>
      </c>
      <c r="BM459" s="75">
        <f>IFERROR(X459*I459/H459,"0")</f>
        <v/>
      </c>
      <c r="BN459" s="75">
        <f>IFERROR(Y459*I459/H459,"0")</f>
        <v/>
      </c>
      <c r="BO459" s="75">
        <f>IFERROR(1/J459*(X459/H459),"0")</f>
        <v/>
      </c>
      <c r="BP459" s="75">
        <f>IFERROR(1/J459*(Y459/H459),"0")</f>
        <v/>
      </c>
    </row>
    <row r="460">
      <c r="A460" s="677" t="n"/>
      <c r="B460" s="941" t="n"/>
      <c r="C460" s="941" t="n"/>
      <c r="D460" s="941" t="n"/>
      <c r="E460" s="941" t="n"/>
      <c r="F460" s="941" t="n"/>
      <c r="G460" s="941" t="n"/>
      <c r="H460" s="941" t="n"/>
      <c r="I460" s="941" t="n"/>
      <c r="J460" s="941" t="n"/>
      <c r="K460" s="941" t="n"/>
      <c r="L460" s="941" t="n"/>
      <c r="M460" s="941" t="n"/>
      <c r="N460" s="941" t="n"/>
      <c r="O460" s="997" t="n"/>
      <c r="P460" s="998" t="inlineStr">
        <is>
          <t>Итого</t>
        </is>
      </c>
      <c r="Q460" s="959" t="n"/>
      <c r="R460" s="959" t="n"/>
      <c r="S460" s="959" t="n"/>
      <c r="T460" s="959" t="n"/>
      <c r="U460" s="959" t="n"/>
      <c r="V460" s="960" t="n"/>
      <c r="W460" s="40" t="inlineStr">
        <is>
          <t>кор</t>
        </is>
      </c>
      <c r="X460" s="999">
        <f>IFERROR(X459/H459,"0")</f>
        <v/>
      </c>
      <c r="Y460" s="999">
        <f>IFERROR(Y459/H459,"0")</f>
        <v/>
      </c>
      <c r="Z460" s="999">
        <f>IFERROR(IF(Z459="",0,Z459),"0")</f>
        <v/>
      </c>
      <c r="AA460" s="1000" t="n"/>
      <c r="AB460" s="1000" t="n"/>
      <c r="AC460" s="1000" t="n"/>
    </row>
    <row r="461">
      <c r="A461" s="941" t="n"/>
      <c r="B461" s="941" t="n"/>
      <c r="C461" s="941" t="n"/>
      <c r="D461" s="941" t="n"/>
      <c r="E461" s="941" t="n"/>
      <c r="F461" s="941" t="n"/>
      <c r="G461" s="941" t="n"/>
      <c r="H461" s="941" t="n"/>
      <c r="I461" s="941" t="n"/>
      <c r="J461" s="941" t="n"/>
      <c r="K461" s="941" t="n"/>
      <c r="L461" s="941" t="n"/>
      <c r="M461" s="941" t="n"/>
      <c r="N461" s="941" t="n"/>
      <c r="O461" s="997" t="n"/>
      <c r="P461" s="998" t="inlineStr">
        <is>
          <t>Итого</t>
        </is>
      </c>
      <c r="Q461" s="959" t="n"/>
      <c r="R461" s="959" t="n"/>
      <c r="S461" s="959" t="n"/>
      <c r="T461" s="959" t="n"/>
      <c r="U461" s="959" t="n"/>
      <c r="V461" s="960" t="n"/>
      <c r="W461" s="40" t="inlineStr">
        <is>
          <t>кг</t>
        </is>
      </c>
      <c r="X461" s="999">
        <f>IFERROR(SUM(X459:X459),"0")</f>
        <v/>
      </c>
      <c r="Y461" s="999">
        <f>IFERROR(SUM(Y459:Y459),"0")</f>
        <v/>
      </c>
      <c r="Z461" s="40" t="n"/>
      <c r="AA461" s="1000" t="n"/>
      <c r="AB461" s="1000" t="n"/>
      <c r="AC461" s="1000" t="n"/>
    </row>
    <row r="462" ht="14.25" customHeight="1">
      <c r="A462" s="667" t="inlineStr">
        <is>
          <t>Копченые колбасы</t>
        </is>
      </c>
      <c r="B462" s="941" t="n"/>
      <c r="C462" s="941" t="n"/>
      <c r="D462" s="941" t="n"/>
      <c r="E462" s="941" t="n"/>
      <c r="F462" s="941" t="n"/>
      <c r="G462" s="941" t="n"/>
      <c r="H462" s="941" t="n"/>
      <c r="I462" s="941" t="n"/>
      <c r="J462" s="941" t="n"/>
      <c r="K462" s="941" t="n"/>
      <c r="L462" s="941" t="n"/>
      <c r="M462" s="941" t="n"/>
      <c r="N462" s="941" t="n"/>
      <c r="O462" s="941" t="n"/>
      <c r="P462" s="941" t="n"/>
      <c r="Q462" s="941" t="n"/>
      <c r="R462" s="941" t="n"/>
      <c r="S462" s="941" t="n"/>
      <c r="T462" s="941" t="n"/>
      <c r="U462" s="941" t="n"/>
      <c r="V462" s="941" t="n"/>
      <c r="W462" s="941" t="n"/>
      <c r="X462" s="941" t="n"/>
      <c r="Y462" s="941" t="n"/>
      <c r="Z462" s="941" t="n"/>
      <c r="AA462" s="667" t="n"/>
      <c r="AB462" s="667" t="n"/>
      <c r="AC462" s="667" t="n"/>
    </row>
    <row r="463" ht="27" customHeight="1">
      <c r="A463" s="60" t="inlineStr">
        <is>
          <t>SU002612</t>
        </is>
      </c>
      <c r="B463" s="60" t="inlineStr">
        <is>
          <t>P004896</t>
        </is>
      </c>
      <c r="C463" s="34" t="n">
        <v>4301031407</v>
      </c>
      <c r="D463" s="668" t="n">
        <v>4680115886094</v>
      </c>
      <c r="E463" s="951" t="n"/>
      <c r="F463" s="990" t="n">
        <v>0.9</v>
      </c>
      <c r="G463" s="35" t="n">
        <v>6</v>
      </c>
      <c r="H463" s="990" t="n">
        <v>5.4</v>
      </c>
      <c r="I463" s="990" t="n">
        <v>5.59</v>
      </c>
      <c r="J463" s="35" t="n">
        <v>132</v>
      </c>
      <c r="K463" s="35" t="inlineStr">
        <is>
          <t>12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7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3" s="992" t="n"/>
      <c r="R463" s="992" t="n"/>
      <c r="S463" s="992" t="n"/>
      <c r="T463" s="993" t="n"/>
      <c r="U463" s="37" t="inlineStr"/>
      <c r="V463" s="37" t="inlineStr"/>
      <c r="W463" s="38" t="inlineStr">
        <is>
          <t>кг</t>
        </is>
      </c>
      <c r="X463" s="994" t="n">
        <v>0</v>
      </c>
      <c r="Y463" s="995">
        <f>IFERROR(IF(X463="",0,CEILING((X463/$H463),1)*$H463),"")</f>
        <v/>
      </c>
      <c r="Z463" s="39">
        <f>IFERROR(IF(Y463=0,"",ROUNDUP(Y463/H463,0)*0.00902),"")</f>
        <v/>
      </c>
      <c r="AA463" s="65" t="inlineStr"/>
      <c r="AB463" s="66" t="inlineStr"/>
      <c r="AC463" s="537" t="inlineStr">
        <is>
          <t>ЕАЭС N RU Д-RU.РА02.В.38950/26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SU002726</t>
        </is>
      </c>
      <c r="B464" s="60" t="inlineStr">
        <is>
          <t>P004546</t>
        </is>
      </c>
      <c r="C464" s="34" t="n">
        <v>4301031373</v>
      </c>
      <c r="D464" s="668" t="n">
        <v>4680115880771</v>
      </c>
      <c r="E464" s="951" t="n"/>
      <c r="F464" s="990" t="n">
        <v>0.28</v>
      </c>
      <c r="G464" s="35" t="n">
        <v>6</v>
      </c>
      <c r="H464" s="990" t="n">
        <v>1.68</v>
      </c>
      <c r="I464" s="990" t="n">
        <v>1.81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8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4" s="992" t="n"/>
      <c r="R464" s="992" t="n"/>
      <c r="S464" s="992" t="n"/>
      <c r="T464" s="993" t="n"/>
      <c r="U464" s="37" t="inlineStr"/>
      <c r="V464" s="37" t="inlineStr"/>
      <c r="W464" s="38" t="inlineStr">
        <is>
          <t>кг</t>
        </is>
      </c>
      <c r="X464" s="994" t="n">
        <v>0</v>
      </c>
      <c r="Y464" s="995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 ht="27" customHeight="1">
      <c r="A465" s="60" t="inlineStr">
        <is>
          <t>SU002604</t>
        </is>
      </c>
      <c r="B465" s="60" t="inlineStr">
        <is>
          <t>P004520</t>
        </is>
      </c>
      <c r="C465" s="34" t="n">
        <v>4301031359</v>
      </c>
      <c r="D465" s="668" t="n">
        <v>4607091389500</v>
      </c>
      <c r="E465" s="951" t="n"/>
      <c r="F465" s="990" t="n">
        <v>0.35</v>
      </c>
      <c r="G465" s="35" t="n">
        <v>6</v>
      </c>
      <c r="H465" s="990" t="n">
        <v>2.1</v>
      </c>
      <c r="I465" s="990" t="n">
        <v>2.23</v>
      </c>
      <c r="J465" s="35" t="n">
        <v>234</v>
      </c>
      <c r="K465" s="35" t="inlineStr">
        <is>
          <t>18</t>
        </is>
      </c>
      <c r="L465" s="35" t="inlineStr"/>
      <c r="M465" s="36" t="inlineStr">
        <is>
          <t>СК2</t>
        </is>
      </c>
      <c r="N465" s="36" t="n"/>
      <c r="O465" s="35" t="n">
        <v>50</v>
      </c>
      <c r="P465" s="1229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5" s="992" t="n"/>
      <c r="R465" s="992" t="n"/>
      <c r="S465" s="992" t="n"/>
      <c r="T465" s="993" t="n"/>
      <c r="U465" s="37" t="inlineStr"/>
      <c r="V465" s="37" t="inlineStr"/>
      <c r="W465" s="38" t="inlineStr">
        <is>
          <t>кг</t>
        </is>
      </c>
      <c r="X465" s="994" t="n">
        <v>0</v>
      </c>
      <c r="Y465" s="995">
        <f>IFERROR(IF(X465="",0,CEILING((X465/$H465),1)*$H465),"")</f>
        <v/>
      </c>
      <c r="Z465" s="39">
        <f>IFERROR(IF(Y465=0,"",ROUNDUP(Y465/H465,0)*0.00502),"")</f>
        <v/>
      </c>
      <c r="AA465" s="65" t="inlineStr"/>
      <c r="AB465" s="66" t="inlineStr"/>
      <c r="AC465" s="541" t="inlineStr">
        <is>
          <t>ЕАЭС N RU Д-RU.РА03.В.99806/26</t>
        </is>
      </c>
      <c r="AG465" s="75" t="n"/>
      <c r="AJ465" s="79" t="inlineStr"/>
      <c r="AK465" s="79" t="n">
        <v>0</v>
      </c>
      <c r="BB465" s="542" t="inlineStr">
        <is>
          <t>КИ</t>
        </is>
      </c>
      <c r="BM465" s="75">
        <f>IFERROR(X465*I465/H465,"0")</f>
        <v/>
      </c>
      <c r="BN465" s="75">
        <f>IFERROR(Y465*I465/H465,"0")</f>
        <v/>
      </c>
      <c r="BO465" s="75">
        <f>IFERROR(1/J465*(X465/H465),"0")</f>
        <v/>
      </c>
      <c r="BP465" s="75">
        <f>IFERROR(1/J465*(Y465/H465),"0")</f>
        <v/>
      </c>
    </row>
    <row r="466">
      <c r="A466" s="677" t="n"/>
      <c r="B466" s="941" t="n"/>
      <c r="C466" s="941" t="n"/>
      <c r="D466" s="941" t="n"/>
      <c r="E466" s="941" t="n"/>
      <c r="F466" s="941" t="n"/>
      <c r="G466" s="941" t="n"/>
      <c r="H466" s="941" t="n"/>
      <c r="I466" s="941" t="n"/>
      <c r="J466" s="941" t="n"/>
      <c r="K466" s="941" t="n"/>
      <c r="L466" s="941" t="n"/>
      <c r="M466" s="941" t="n"/>
      <c r="N466" s="941" t="n"/>
      <c r="O466" s="997" t="n"/>
      <c r="P466" s="998" t="inlineStr">
        <is>
          <t>Итого</t>
        </is>
      </c>
      <c r="Q466" s="959" t="n"/>
      <c r="R466" s="959" t="n"/>
      <c r="S466" s="959" t="n"/>
      <c r="T466" s="959" t="n"/>
      <c r="U466" s="959" t="n"/>
      <c r="V466" s="960" t="n"/>
      <c r="W466" s="40" t="inlineStr">
        <is>
          <t>кор</t>
        </is>
      </c>
      <c r="X466" s="999">
        <f>IFERROR(X463/H463,"0")+IFERROR(X464/H464,"0")+IFERROR(X465/H465,"0")</f>
        <v/>
      </c>
      <c r="Y466" s="999">
        <f>IFERROR(Y463/H463,"0")+IFERROR(Y464/H464,"0")+IFERROR(Y465/H465,"0")</f>
        <v/>
      </c>
      <c r="Z466" s="999">
        <f>IFERROR(IF(Z463="",0,Z463),"0")+IFERROR(IF(Z464="",0,Z464),"0")+IFERROR(IF(Z465="",0,Z465),"0")</f>
        <v/>
      </c>
      <c r="AA466" s="1000" t="n"/>
      <c r="AB466" s="1000" t="n"/>
      <c r="AC466" s="1000" t="n"/>
    </row>
    <row r="467">
      <c r="A467" s="941" t="n"/>
      <c r="B467" s="941" t="n"/>
      <c r="C467" s="941" t="n"/>
      <c r="D467" s="941" t="n"/>
      <c r="E467" s="941" t="n"/>
      <c r="F467" s="941" t="n"/>
      <c r="G467" s="941" t="n"/>
      <c r="H467" s="941" t="n"/>
      <c r="I467" s="941" t="n"/>
      <c r="J467" s="941" t="n"/>
      <c r="K467" s="941" t="n"/>
      <c r="L467" s="941" t="n"/>
      <c r="M467" s="941" t="n"/>
      <c r="N467" s="941" t="n"/>
      <c r="O467" s="997" t="n"/>
      <c r="P467" s="998" t="inlineStr">
        <is>
          <t>Итого</t>
        </is>
      </c>
      <c r="Q467" s="959" t="n"/>
      <c r="R467" s="959" t="n"/>
      <c r="S467" s="959" t="n"/>
      <c r="T467" s="959" t="n"/>
      <c r="U467" s="959" t="n"/>
      <c r="V467" s="960" t="n"/>
      <c r="W467" s="40" t="inlineStr">
        <is>
          <t>кг</t>
        </is>
      </c>
      <c r="X467" s="999">
        <f>IFERROR(SUM(X463:X465),"0")</f>
        <v/>
      </c>
      <c r="Y467" s="999">
        <f>IFERROR(SUM(Y463:Y465),"0")</f>
        <v/>
      </c>
      <c r="Z467" s="40" t="n"/>
      <c r="AA467" s="1000" t="n"/>
      <c r="AB467" s="1000" t="n"/>
      <c r="AC467" s="1000" t="n"/>
    </row>
    <row r="468" ht="27.75" customHeight="1">
      <c r="A468" s="665" t="inlineStr">
        <is>
          <t>Дугушка</t>
        </is>
      </c>
      <c r="B468" s="989" t="n"/>
      <c r="C468" s="989" t="n"/>
      <c r="D468" s="989" t="n"/>
      <c r="E468" s="989" t="n"/>
      <c r="F468" s="989" t="n"/>
      <c r="G468" s="989" t="n"/>
      <c r="H468" s="989" t="n"/>
      <c r="I468" s="989" t="n"/>
      <c r="J468" s="989" t="n"/>
      <c r="K468" s="989" t="n"/>
      <c r="L468" s="989" t="n"/>
      <c r="M468" s="989" t="n"/>
      <c r="N468" s="989" t="n"/>
      <c r="O468" s="989" t="n"/>
      <c r="P468" s="989" t="n"/>
      <c r="Q468" s="989" t="n"/>
      <c r="R468" s="989" t="n"/>
      <c r="S468" s="989" t="n"/>
      <c r="T468" s="989" t="n"/>
      <c r="U468" s="989" t="n"/>
      <c r="V468" s="989" t="n"/>
      <c r="W468" s="989" t="n"/>
      <c r="X468" s="989" t="n"/>
      <c r="Y468" s="989" t="n"/>
      <c r="Z468" s="989" t="n"/>
      <c r="AA468" s="52" t="n"/>
      <c r="AB468" s="52" t="n"/>
      <c r="AC468" s="52" t="n"/>
    </row>
    <row r="469" ht="16.5" customHeight="1">
      <c r="A469" s="666" t="inlineStr">
        <is>
          <t>Дугушка</t>
        </is>
      </c>
      <c r="B469" s="941" t="n"/>
      <c r="C469" s="941" t="n"/>
      <c r="D469" s="941" t="n"/>
      <c r="E469" s="941" t="n"/>
      <c r="F469" s="941" t="n"/>
      <c r="G469" s="941" t="n"/>
      <c r="H469" s="941" t="n"/>
      <c r="I469" s="941" t="n"/>
      <c r="J469" s="941" t="n"/>
      <c r="K469" s="941" t="n"/>
      <c r="L469" s="941" t="n"/>
      <c r="M469" s="941" t="n"/>
      <c r="N469" s="941" t="n"/>
      <c r="O469" s="941" t="n"/>
      <c r="P469" s="941" t="n"/>
      <c r="Q469" s="941" t="n"/>
      <c r="R469" s="941" t="n"/>
      <c r="S469" s="941" t="n"/>
      <c r="T469" s="941" t="n"/>
      <c r="U469" s="941" t="n"/>
      <c r="V469" s="941" t="n"/>
      <c r="W469" s="941" t="n"/>
      <c r="X469" s="941" t="n"/>
      <c r="Y469" s="941" t="n"/>
      <c r="Z469" s="941" t="n"/>
      <c r="AA469" s="666" t="n"/>
      <c r="AB469" s="666" t="n"/>
      <c r="AC469" s="666" t="n"/>
    </row>
    <row r="470" ht="14.25" customHeight="1">
      <c r="A470" s="667" t="inlineStr">
        <is>
          <t>Вареные колбасы</t>
        </is>
      </c>
      <c r="B470" s="941" t="n"/>
      <c r="C470" s="941" t="n"/>
      <c r="D470" s="941" t="n"/>
      <c r="E470" s="941" t="n"/>
      <c r="F470" s="941" t="n"/>
      <c r="G470" s="941" t="n"/>
      <c r="H470" s="941" t="n"/>
      <c r="I470" s="941" t="n"/>
      <c r="J470" s="941" t="n"/>
      <c r="K470" s="941" t="n"/>
      <c r="L470" s="941" t="n"/>
      <c r="M470" s="941" t="n"/>
      <c r="N470" s="941" t="n"/>
      <c r="O470" s="941" t="n"/>
      <c r="P470" s="941" t="n"/>
      <c r="Q470" s="941" t="n"/>
      <c r="R470" s="941" t="n"/>
      <c r="S470" s="941" t="n"/>
      <c r="T470" s="941" t="n"/>
      <c r="U470" s="941" t="n"/>
      <c r="V470" s="941" t="n"/>
      <c r="W470" s="941" t="n"/>
      <c r="X470" s="941" t="n"/>
      <c r="Y470" s="941" t="n"/>
      <c r="Z470" s="941" t="n"/>
      <c r="AA470" s="667" t="n"/>
      <c r="AB470" s="667" t="n"/>
      <c r="AC470" s="667" t="n"/>
    </row>
    <row r="471" ht="27" customHeight="1">
      <c r="A471" s="60" t="inlineStr">
        <is>
          <t>SU002011</t>
        </is>
      </c>
      <c r="B471" s="60" t="inlineStr">
        <is>
          <t>P004028</t>
        </is>
      </c>
      <c r="C471" s="34" t="n">
        <v>4301011769</v>
      </c>
      <c r="D471" s="668" t="n">
        <v>4607091389067</v>
      </c>
      <c r="E471" s="951" t="n"/>
      <c r="F471" s="990" t="n">
        <v>0.88</v>
      </c>
      <c r="G471" s="35" t="n">
        <v>6</v>
      </c>
      <c r="H471" s="990" t="n">
        <v>5.28</v>
      </c>
      <c r="I471" s="990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СК3</t>
        </is>
      </c>
      <c r="N471" s="36" t="n"/>
      <c r="O471" s="35" t="n">
        <v>60</v>
      </c>
      <c r="P471" s="1230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1" s="992" t="n"/>
      <c r="R471" s="992" t="n"/>
      <c r="S471" s="992" t="n"/>
      <c r="T471" s="993" t="n"/>
      <c r="U471" s="37" t="inlineStr"/>
      <c r="V471" s="37" t="inlineStr"/>
      <c r="W471" s="38" t="inlineStr">
        <is>
          <t>кг</t>
        </is>
      </c>
      <c r="X471" s="994" t="n">
        <v>5</v>
      </c>
      <c r="Y471" s="995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Д-RU.РА08.В.45907/25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SU002094</t>
        </is>
      </c>
      <c r="B472" s="60" t="inlineStr">
        <is>
          <t>P005073</t>
        </is>
      </c>
      <c r="C472" s="34" t="n">
        <v>4301012210</v>
      </c>
      <c r="D472" s="668" t="n">
        <v>4607091383522</v>
      </c>
      <c r="E472" s="951" t="n"/>
      <c r="F472" s="990" t="n">
        <v>0.88</v>
      </c>
      <c r="G472" s="35" t="n">
        <v>6</v>
      </c>
      <c r="H472" s="990" t="n">
        <v>5.28</v>
      </c>
      <c r="I472" s="990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31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2" s="992" t="n"/>
      <c r="R472" s="992" t="n"/>
      <c r="S472" s="992" t="n"/>
      <c r="T472" s="993" t="n"/>
      <c r="U472" s="37" t="inlineStr"/>
      <c r="V472" s="37" t="inlineStr"/>
      <c r="W472" s="38" t="inlineStr">
        <is>
          <t>кг</t>
        </is>
      </c>
      <c r="X472" s="994" t="n">
        <v>0</v>
      </c>
      <c r="Y472" s="995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Д-RU.РА10.В.55647/24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SU002182</t>
        </is>
      </c>
      <c r="B473" s="60" t="inlineStr">
        <is>
          <t>P004406</t>
        </is>
      </c>
      <c r="C473" s="34" t="n">
        <v>4301011961</v>
      </c>
      <c r="D473" s="668" t="n">
        <v>4680115885271</v>
      </c>
      <c r="E473" s="951" t="n"/>
      <c r="F473" s="990" t="n">
        <v>0.88</v>
      </c>
      <c r="G473" s="35" t="n">
        <v>6</v>
      </c>
      <c r="H473" s="990" t="n">
        <v>5.28</v>
      </c>
      <c r="I473" s="990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32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3" s="992" t="n"/>
      <c r="R473" s="992" t="n"/>
      <c r="S473" s="992" t="n"/>
      <c r="T473" s="993" t="n"/>
      <c r="U473" s="37" t="inlineStr"/>
      <c r="V473" s="37" t="inlineStr"/>
      <c r="W473" s="38" t="inlineStr">
        <is>
          <t>кг</t>
        </is>
      </c>
      <c r="X473" s="994" t="n">
        <v>5</v>
      </c>
      <c r="Y473" s="995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Д-RU.РА01.В.49910/26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27" customHeight="1">
      <c r="A474" s="60" t="inlineStr">
        <is>
          <t>SU002634</t>
        </is>
      </c>
      <c r="B474" s="60" t="inlineStr">
        <is>
          <t>P002989</t>
        </is>
      </c>
      <c r="C474" s="34" t="n">
        <v>4301011369</v>
      </c>
      <c r="D474" s="668" t="n">
        <v>4680115885226</v>
      </c>
      <c r="E474" s="951" t="n"/>
      <c r="F474" s="990" t="n">
        <v>0.88</v>
      </c>
      <c r="G474" s="35" t="n">
        <v>6</v>
      </c>
      <c r="H474" s="990" t="n">
        <v>5.28</v>
      </c>
      <c r="I474" s="990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СК1</t>
        </is>
      </c>
      <c r="N474" s="36" t="n"/>
      <c r="O474" s="35" t="n">
        <v>60</v>
      </c>
      <c r="P474" s="1233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4" s="992" t="n"/>
      <c r="R474" s="992" t="n"/>
      <c r="S474" s="992" t="n"/>
      <c r="T474" s="993" t="n"/>
      <c r="U474" s="37" t="inlineStr"/>
      <c r="V474" s="37" t="inlineStr"/>
      <c r="W474" s="38" t="inlineStr">
        <is>
          <t>кг</t>
        </is>
      </c>
      <c r="X474" s="994" t="n">
        <v>0</v>
      </c>
      <c r="Y474" s="995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Д-RU.РА01.В.50299/26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16.5" customHeight="1">
      <c r="A475" s="60" t="inlineStr">
        <is>
          <t>SU002998</t>
        </is>
      </c>
      <c r="B475" s="60" t="inlineStr">
        <is>
          <t>P004033</t>
        </is>
      </c>
      <c r="C475" s="34" t="n">
        <v>4301011797</v>
      </c>
      <c r="D475" s="668" t="n">
        <v>4680115884502</v>
      </c>
      <c r="E475" s="951" t="n"/>
      <c r="F475" s="990" t="n">
        <v>0.88</v>
      </c>
      <c r="G475" s="35" t="n">
        <v>6</v>
      </c>
      <c r="H475" s="990" t="n">
        <v>5.28</v>
      </c>
      <c r="I475" s="990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СК3</t>
        </is>
      </c>
      <c r="N475" s="36" t="n"/>
      <c r="O475" s="35" t="n">
        <v>60</v>
      </c>
      <c r="P475" s="1234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5" s="992" t="n"/>
      <c r="R475" s="992" t="n"/>
      <c r="S475" s="992" t="n"/>
      <c r="T475" s="993" t="n"/>
      <c r="U475" s="37" t="inlineStr"/>
      <c r="V475" s="37" t="inlineStr"/>
      <c r="W475" s="38" t="inlineStr">
        <is>
          <t>кг</t>
        </is>
      </c>
      <c r="X475" s="994" t="n">
        <v>0</v>
      </c>
      <c r="Y475" s="995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Д-RU.РА03.В.87123/25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SU002010</t>
        </is>
      </c>
      <c r="B476" s="60" t="inlineStr">
        <is>
          <t>P004030</t>
        </is>
      </c>
      <c r="C476" s="34" t="n">
        <v>4301011771</v>
      </c>
      <c r="D476" s="668" t="n">
        <v>4607091389104</v>
      </c>
      <c r="E476" s="951" t="n"/>
      <c r="F476" s="990" t="n">
        <v>0.88</v>
      </c>
      <c r="G476" s="35" t="n">
        <v>6</v>
      </c>
      <c r="H476" s="990" t="n">
        <v>5.28</v>
      </c>
      <c r="I476" s="990" t="n">
        <v>5.63</v>
      </c>
      <c r="J476" s="35" t="n">
        <v>104</v>
      </c>
      <c r="K476" s="35" t="inlineStr">
        <is>
          <t>8</t>
        </is>
      </c>
      <c r="L476" s="35" t="inlineStr"/>
      <c r="M476" s="36" t="inlineStr">
        <is>
          <t>СК1</t>
        </is>
      </c>
      <c r="N476" s="36" t="n"/>
      <c r="O476" s="35" t="n">
        <v>60</v>
      </c>
      <c r="P476" s="1235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6" s="992" t="n"/>
      <c r="R476" s="992" t="n"/>
      <c r="S476" s="992" t="n"/>
      <c r="T476" s="993" t="n"/>
      <c r="U476" s="37" t="inlineStr"/>
      <c r="V476" s="37" t="inlineStr"/>
      <c r="W476" s="38" t="inlineStr">
        <is>
          <t>кг</t>
        </is>
      </c>
      <c r="X476" s="994" t="n">
        <v>20</v>
      </c>
      <c r="Y476" s="995">
        <f>IFERROR(IF(X476="",0,CEILING((X476/$H476),1)*$H476),"")</f>
        <v/>
      </c>
      <c r="Z476" s="39">
        <f>IFERROR(IF(Y476=0,"",ROUNDUP(Y476/H476,0)*0.01196),"")</f>
        <v/>
      </c>
      <c r="AA476" s="65" t="inlineStr"/>
      <c r="AB476" s="66" t="inlineStr"/>
      <c r="AC476" s="553" t="inlineStr">
        <is>
          <t>ЕАЭС N RU Д-RU.РА07.В.46175/25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SU003847</t>
        </is>
      </c>
      <c r="B477" s="60" t="inlineStr">
        <is>
          <t>P004917</t>
        </is>
      </c>
      <c r="C477" s="34" t="n">
        <v>4301012125</v>
      </c>
      <c r="D477" s="668" t="n">
        <v>4680115886391</v>
      </c>
      <c r="E477" s="951" t="n"/>
      <c r="F477" s="990" t="n">
        <v>0.4</v>
      </c>
      <c r="G477" s="35" t="n">
        <v>6</v>
      </c>
      <c r="H477" s="990" t="n">
        <v>2.4</v>
      </c>
      <c r="I477" s="990" t="n">
        <v>2.58</v>
      </c>
      <c r="J477" s="35" t="n">
        <v>182</v>
      </c>
      <c r="K477" s="35" t="inlineStr">
        <is>
          <t>14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6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7" s="992" t="n"/>
      <c r="R477" s="992" t="n"/>
      <c r="S477" s="992" t="n"/>
      <c r="T477" s="993" t="n"/>
      <c r="U477" s="37" t="inlineStr"/>
      <c r="V477" s="37" t="inlineStr"/>
      <c r="W477" s="38" t="inlineStr">
        <is>
          <t>кг</t>
        </is>
      </c>
      <c r="X477" s="994" t="n">
        <v>0</v>
      </c>
      <c r="Y477" s="995">
        <f>IFERROR(IF(X477="",0,CEILING((X477/$H477),1)*$H477),"")</f>
        <v/>
      </c>
      <c r="Z477" s="39">
        <f>IFERROR(IF(Y477=0,"",ROUNDUP(Y477/H477,0)*0.00651),"")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SU002632</t>
        </is>
      </c>
      <c r="B478" s="60" t="inlineStr">
        <is>
          <t>P004689</t>
        </is>
      </c>
      <c r="C478" s="34" t="n">
        <v>4301012048</v>
      </c>
      <c r="D478" s="668" t="n">
        <v>4680115880603</v>
      </c>
      <c r="E478" s="951" t="n"/>
      <c r="F478" s="990" t="n">
        <v>0.6</v>
      </c>
      <c r="G478" s="35" t="n">
        <v>8</v>
      </c>
      <c r="H478" s="990" t="n">
        <v>4.8</v>
      </c>
      <c r="I478" s="990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СК3</t>
        </is>
      </c>
      <c r="N478" s="36" t="n"/>
      <c r="O478" s="35" t="n">
        <v>60</v>
      </c>
      <c r="P478" s="1237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8" s="992" t="n"/>
      <c r="R478" s="992" t="n"/>
      <c r="S478" s="992" t="n"/>
      <c r="T478" s="993" t="n"/>
      <c r="U478" s="37" t="inlineStr"/>
      <c r="V478" s="37" t="inlineStr"/>
      <c r="W478" s="38" t="inlineStr">
        <is>
          <t>кг</t>
        </is>
      </c>
      <c r="X478" s="994" t="n">
        <v>0</v>
      </c>
      <c r="Y478" s="995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Д-RU.РА08.В.45907/25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 ht="27" customHeight="1">
      <c r="A479" s="60" t="inlineStr">
        <is>
          <t>SU002631</t>
        </is>
      </c>
      <c r="B479" s="60" t="inlineStr">
        <is>
          <t>P004688</t>
        </is>
      </c>
      <c r="C479" s="34" t="n">
        <v>4301012034</v>
      </c>
      <c r="D479" s="668" t="n">
        <v>4607091389982</v>
      </c>
      <c r="E479" s="951" t="n"/>
      <c r="F479" s="990" t="n">
        <v>0.6</v>
      </c>
      <c r="G479" s="35" t="n">
        <v>8</v>
      </c>
      <c r="H479" s="990" t="n">
        <v>4.8</v>
      </c>
      <c r="I479" s="990" t="n">
        <v>6.91</v>
      </c>
      <c r="J479" s="35" t="n">
        <v>132</v>
      </c>
      <c r="K479" s="35" t="inlineStr">
        <is>
          <t>12</t>
        </is>
      </c>
      <c r="L479" s="35" t="inlineStr"/>
      <c r="M479" s="36" t="inlineStr">
        <is>
          <t>СК1</t>
        </is>
      </c>
      <c r="N479" s="36" t="n"/>
      <c r="O479" s="35" t="n">
        <v>60</v>
      </c>
      <c r="P479" s="1238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9" s="992" t="n"/>
      <c r="R479" s="992" t="n"/>
      <c r="S479" s="992" t="n"/>
      <c r="T479" s="993" t="n"/>
      <c r="U479" s="37" t="inlineStr"/>
      <c r="V479" s="37" t="inlineStr"/>
      <c r="W479" s="38" t="inlineStr">
        <is>
          <t>кг</t>
        </is>
      </c>
      <c r="X479" s="994" t="n">
        <v>0</v>
      </c>
      <c r="Y479" s="995">
        <f>IFERROR(IF(X479="",0,CEILING((X479/$H479),1)*$H479),"")</f>
        <v/>
      </c>
      <c r="Z479" s="39">
        <f>IFERROR(IF(Y479=0,"",ROUNDUP(Y479/H479,0)*0.00902),"")</f>
        <v/>
      </c>
      <c r="AA479" s="65" t="inlineStr"/>
      <c r="AB479" s="66" t="inlineStr"/>
      <c r="AC479" s="559" t="inlineStr">
        <is>
          <t>ЕАЭС N RU Д-RU.РА07.В.46175/25</t>
        </is>
      </c>
      <c r="AG479" s="75" t="n"/>
      <c r="AJ479" s="79" t="inlineStr"/>
      <c r="AK479" s="79" t="n">
        <v>0</v>
      </c>
      <c r="BB479" s="560" t="inlineStr">
        <is>
          <t>КИ</t>
        </is>
      </c>
      <c r="BM479" s="75">
        <f>IFERROR(X479*I479/H479,"0")</f>
        <v/>
      </c>
      <c r="BN479" s="75">
        <f>IFERROR(Y479*I479/H479,"0")</f>
        <v/>
      </c>
      <c r="BO479" s="75">
        <f>IFERROR(1/J479*(X479/H479),"0")</f>
        <v/>
      </c>
      <c r="BP479" s="75">
        <f>IFERROR(1/J479*(Y479/H479),"0")</f>
        <v/>
      </c>
    </row>
    <row r="480">
      <c r="A480" s="677" t="n"/>
      <c r="B480" s="941" t="n"/>
      <c r="C480" s="941" t="n"/>
      <c r="D480" s="941" t="n"/>
      <c r="E480" s="941" t="n"/>
      <c r="F480" s="941" t="n"/>
      <c r="G480" s="941" t="n"/>
      <c r="H480" s="941" t="n"/>
      <c r="I480" s="941" t="n"/>
      <c r="J480" s="941" t="n"/>
      <c r="K480" s="941" t="n"/>
      <c r="L480" s="941" t="n"/>
      <c r="M480" s="941" t="n"/>
      <c r="N480" s="941" t="n"/>
      <c r="O480" s="997" t="n"/>
      <c r="P480" s="998" t="inlineStr">
        <is>
          <t>Итого</t>
        </is>
      </c>
      <c r="Q480" s="959" t="n"/>
      <c r="R480" s="959" t="n"/>
      <c r="S480" s="959" t="n"/>
      <c r="T480" s="959" t="n"/>
      <c r="U480" s="959" t="n"/>
      <c r="V480" s="960" t="n"/>
      <c r="W480" s="40" t="inlineStr">
        <is>
          <t>кор</t>
        </is>
      </c>
      <c r="X480" s="999">
        <f>IFERROR(X471/H471,"0")+IFERROR(X472/H472,"0")+IFERROR(X473/H473,"0")+IFERROR(X474/H474,"0")+IFERROR(X475/H475,"0")+IFERROR(X476/H476,"0")+IFERROR(X477/H477,"0")+IFERROR(X478/H478,"0")+IFERROR(X479/H479,"0")</f>
        <v/>
      </c>
      <c r="Y480" s="999">
        <f>IFERROR(Y471/H471,"0")+IFERROR(Y472/H472,"0")+IFERROR(Y473/H473,"0")+IFERROR(Y474/H474,"0")+IFERROR(Y475/H475,"0")+IFERROR(Y476/H476,"0")+IFERROR(Y477/H477,"0")+IFERROR(Y478/H478,"0")+IFERROR(Y479/H479,"0")</f>
        <v/>
      </c>
      <c r="Z480" s="999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/>
      </c>
      <c r="AA480" s="1000" t="n"/>
      <c r="AB480" s="1000" t="n"/>
      <c r="AC480" s="1000" t="n"/>
    </row>
    <row r="481">
      <c r="A481" s="941" t="n"/>
      <c r="B481" s="941" t="n"/>
      <c r="C481" s="941" t="n"/>
      <c r="D481" s="941" t="n"/>
      <c r="E481" s="941" t="n"/>
      <c r="F481" s="941" t="n"/>
      <c r="G481" s="941" t="n"/>
      <c r="H481" s="941" t="n"/>
      <c r="I481" s="941" t="n"/>
      <c r="J481" s="941" t="n"/>
      <c r="K481" s="941" t="n"/>
      <c r="L481" s="941" t="n"/>
      <c r="M481" s="941" t="n"/>
      <c r="N481" s="941" t="n"/>
      <c r="O481" s="997" t="n"/>
      <c r="P481" s="998" t="inlineStr">
        <is>
          <t>Итого</t>
        </is>
      </c>
      <c r="Q481" s="959" t="n"/>
      <c r="R481" s="959" t="n"/>
      <c r="S481" s="959" t="n"/>
      <c r="T481" s="959" t="n"/>
      <c r="U481" s="959" t="n"/>
      <c r="V481" s="960" t="n"/>
      <c r="W481" s="40" t="inlineStr">
        <is>
          <t>кг</t>
        </is>
      </c>
      <c r="X481" s="999">
        <f>IFERROR(SUM(X471:X479),"0")</f>
        <v/>
      </c>
      <c r="Y481" s="999">
        <f>IFERROR(SUM(Y471:Y479),"0")</f>
        <v/>
      </c>
      <c r="Z481" s="40" t="n"/>
      <c r="AA481" s="1000" t="n"/>
      <c r="AB481" s="1000" t="n"/>
      <c r="AC481" s="1000" t="n"/>
    </row>
    <row r="482" ht="14.25" customHeight="1">
      <c r="A482" s="667" t="inlineStr">
        <is>
          <t>Ветчины</t>
        </is>
      </c>
      <c r="B482" s="941" t="n"/>
      <c r="C482" s="941" t="n"/>
      <c r="D482" s="941" t="n"/>
      <c r="E482" s="941" t="n"/>
      <c r="F482" s="941" t="n"/>
      <c r="G482" s="941" t="n"/>
      <c r="H482" s="941" t="n"/>
      <c r="I482" s="941" t="n"/>
      <c r="J482" s="941" t="n"/>
      <c r="K482" s="941" t="n"/>
      <c r="L482" s="941" t="n"/>
      <c r="M482" s="941" t="n"/>
      <c r="N482" s="941" t="n"/>
      <c r="O482" s="941" t="n"/>
      <c r="P482" s="941" t="n"/>
      <c r="Q482" s="941" t="n"/>
      <c r="R482" s="941" t="n"/>
      <c r="S482" s="941" t="n"/>
      <c r="T482" s="941" t="n"/>
      <c r="U482" s="941" t="n"/>
      <c r="V482" s="941" t="n"/>
      <c r="W482" s="941" t="n"/>
      <c r="X482" s="941" t="n"/>
      <c r="Y482" s="941" t="n"/>
      <c r="Z482" s="941" t="n"/>
      <c r="AA482" s="667" t="n"/>
      <c r="AB482" s="667" t="n"/>
      <c r="AC482" s="667" t="n"/>
    </row>
    <row r="483" ht="16.5" customHeight="1">
      <c r="A483" s="60" t="inlineStr">
        <is>
          <t>SU002035</t>
        </is>
      </c>
      <c r="B483" s="60" t="inlineStr">
        <is>
          <t>P004460</t>
        </is>
      </c>
      <c r="C483" s="34" t="n">
        <v>4301020334</v>
      </c>
      <c r="D483" s="668" t="n">
        <v>4607091388930</v>
      </c>
      <c r="E483" s="951" t="n"/>
      <c r="F483" s="990" t="n">
        <v>0.88</v>
      </c>
      <c r="G483" s="35" t="n">
        <v>6</v>
      </c>
      <c r="H483" s="990" t="n">
        <v>5.28</v>
      </c>
      <c r="I483" s="990" t="n">
        <v>5.63</v>
      </c>
      <c r="J483" s="35" t="n">
        <v>104</v>
      </c>
      <c r="K483" s="35" t="inlineStr">
        <is>
          <t>8</t>
        </is>
      </c>
      <c r="L483" s="35" t="inlineStr"/>
      <c r="M483" s="36" t="inlineStr">
        <is>
          <t>СК3</t>
        </is>
      </c>
      <c r="N483" s="36" t="n"/>
      <c r="O483" s="35" t="n">
        <v>70</v>
      </c>
      <c r="P483" s="1239">
        <f>HYPERLINK("https://abi.ru/products/Охлажденные/Дугушка/Дугушка/Ветчины/P004460/","Ветчины Дугушка Дугушка Вес б/о Дугушка")</f>
        <v/>
      </c>
      <c r="Q483" s="992" t="n"/>
      <c r="R483" s="992" t="n"/>
      <c r="S483" s="992" t="n"/>
      <c r="T483" s="993" t="n"/>
      <c r="U483" s="37" t="inlineStr"/>
      <c r="V483" s="37" t="inlineStr"/>
      <c r="W483" s="38" t="inlineStr">
        <is>
          <t>кг</t>
        </is>
      </c>
      <c r="X483" s="994" t="n">
        <v>185</v>
      </c>
      <c r="Y483" s="995">
        <f>IFERROR(IF(X483="",0,CEILING((X483/$H483),1)*$H483),"")</f>
        <v/>
      </c>
      <c r="Z483" s="39">
        <f>IFERROR(IF(Y483=0,"",ROUNDUP(Y483/H483,0)*0.01196),"")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SU003742</t>
        </is>
      </c>
      <c r="B484" s="60" t="inlineStr">
        <is>
          <t>P004757</t>
        </is>
      </c>
      <c r="C484" s="34" t="n">
        <v>4301020374</v>
      </c>
      <c r="D484" s="668" t="n">
        <v>4680115886407</v>
      </c>
      <c r="E484" s="951" t="n"/>
      <c r="F484" s="990" t="n">
        <v>0.4</v>
      </c>
      <c r="G484" s="35" t="n">
        <v>6</v>
      </c>
      <c r="H484" s="990" t="n">
        <v>2.4</v>
      </c>
      <c r="I484" s="990" t="n">
        <v>2.58</v>
      </c>
      <c r="J484" s="35" t="n">
        <v>182</v>
      </c>
      <c r="K484" s="35" t="inlineStr">
        <is>
          <t>14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40">
        <f>HYPERLINK("https://abi.ru/products/Охлажденные/Дугушка/Дугушка/Ветчины/P004757/","Ветчины «Дугушка» Фикс.вес 0,4 полиамид ТМ «Стародворье»")</f>
        <v/>
      </c>
      <c r="Q484" s="992" t="n"/>
      <c r="R484" s="992" t="n"/>
      <c r="S484" s="992" t="n"/>
      <c r="T484" s="993" t="n"/>
      <c r="U484" s="37" t="inlineStr"/>
      <c r="V484" s="37" t="inlineStr"/>
      <c r="W484" s="38" t="inlineStr">
        <is>
          <t>кг</t>
        </is>
      </c>
      <c r="X484" s="994" t="n">
        <v>0</v>
      </c>
      <c r="Y484" s="995">
        <f>IFERROR(IF(X484="",0,CEILING((X484/$H484),1)*$H484),"")</f>
        <v/>
      </c>
      <c r="Z484" s="39">
        <f>IFERROR(IF(Y484=0,"",ROUNDUP(Y484/H484,0)*0.00651),"")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 ht="16.5" customHeight="1">
      <c r="A485" s="60" t="inlineStr">
        <is>
          <t>SU002643</t>
        </is>
      </c>
      <c r="B485" s="60" t="inlineStr">
        <is>
          <t>P004923</t>
        </is>
      </c>
      <c r="C485" s="34" t="n">
        <v>4301020385</v>
      </c>
      <c r="D485" s="668" t="n">
        <v>4680115880054</v>
      </c>
      <c r="E485" s="951" t="n"/>
      <c r="F485" s="990" t="n">
        <v>0.6</v>
      </c>
      <c r="G485" s="35" t="n">
        <v>8</v>
      </c>
      <c r="H485" s="990" t="n">
        <v>4.8</v>
      </c>
      <c r="I485" s="990" t="n">
        <v>6.91</v>
      </c>
      <c r="J485" s="35" t="n">
        <v>132</v>
      </c>
      <c r="K485" s="35" t="inlineStr">
        <is>
          <t>12</t>
        </is>
      </c>
      <c r="L485" s="35" t="inlineStr"/>
      <c r="M485" s="36" t="inlineStr">
        <is>
          <t>СК1</t>
        </is>
      </c>
      <c r="N485" s="36" t="n"/>
      <c r="O485" s="35" t="n">
        <v>70</v>
      </c>
      <c r="P485" s="1241">
        <f>HYPERLINK("https://abi.ru/products/Охлажденные/Дугушка/Дугушка/Ветчины/P004923/","Ветчины «Дугушка» Фикс.вес 0,6 полиамид ТМ «Дугушка»")</f>
        <v/>
      </c>
      <c r="Q485" s="992" t="n"/>
      <c r="R485" s="992" t="n"/>
      <c r="S485" s="992" t="n"/>
      <c r="T485" s="993" t="n"/>
      <c r="U485" s="37" t="inlineStr"/>
      <c r="V485" s="37" t="inlineStr"/>
      <c r="W485" s="38" t="inlineStr">
        <is>
          <t>кг</t>
        </is>
      </c>
      <c r="X485" s="994" t="n">
        <v>0</v>
      </c>
      <c r="Y485" s="995">
        <f>IFERROR(IF(X485="",0,CEILING((X485/$H485),1)*$H485),"")</f>
        <v/>
      </c>
      <c r="Z485" s="39">
        <f>IFERROR(IF(Y485=0,"",ROUNDUP(Y485/H485,0)*0.00902),"")</f>
        <v/>
      </c>
      <c r="AA485" s="65" t="inlineStr"/>
      <c r="AB485" s="66" t="inlineStr"/>
      <c r="AC485" s="565" t="inlineStr">
        <is>
          <t>ЕАЭС N RU Д-RU.РА03.В.04088/26</t>
        </is>
      </c>
      <c r="AG485" s="75" t="n"/>
      <c r="AJ485" s="79" t="inlineStr"/>
      <c r="AK485" s="79" t="n">
        <v>0</v>
      </c>
      <c r="BB485" s="566" t="inlineStr">
        <is>
          <t>КИ</t>
        </is>
      </c>
      <c r="BM485" s="75">
        <f>IFERROR(X485*I485/H485,"0")</f>
        <v/>
      </c>
      <c r="BN485" s="75">
        <f>IFERROR(Y485*I485/H485,"0")</f>
        <v/>
      </c>
      <c r="BO485" s="75">
        <f>IFERROR(1/J485*(X485/H485),"0")</f>
        <v/>
      </c>
      <c r="BP485" s="75">
        <f>IFERROR(1/J485*(Y485/H485),"0")</f>
        <v/>
      </c>
    </row>
    <row r="486">
      <c r="A486" s="677" t="n"/>
      <c r="B486" s="941" t="n"/>
      <c r="C486" s="941" t="n"/>
      <c r="D486" s="941" t="n"/>
      <c r="E486" s="941" t="n"/>
      <c r="F486" s="941" t="n"/>
      <c r="G486" s="941" t="n"/>
      <c r="H486" s="941" t="n"/>
      <c r="I486" s="941" t="n"/>
      <c r="J486" s="941" t="n"/>
      <c r="K486" s="941" t="n"/>
      <c r="L486" s="941" t="n"/>
      <c r="M486" s="941" t="n"/>
      <c r="N486" s="941" t="n"/>
      <c r="O486" s="997" t="n"/>
      <c r="P486" s="998" t="inlineStr">
        <is>
          <t>Итого</t>
        </is>
      </c>
      <c r="Q486" s="959" t="n"/>
      <c r="R486" s="959" t="n"/>
      <c r="S486" s="959" t="n"/>
      <c r="T486" s="959" t="n"/>
      <c r="U486" s="959" t="n"/>
      <c r="V486" s="960" t="n"/>
      <c r="W486" s="40" t="inlineStr">
        <is>
          <t>кор</t>
        </is>
      </c>
      <c r="X486" s="999">
        <f>IFERROR(X483/H483,"0")+IFERROR(X484/H484,"0")+IFERROR(X485/H485,"0")</f>
        <v/>
      </c>
      <c r="Y486" s="999">
        <f>IFERROR(Y483/H483,"0")+IFERROR(Y484/H484,"0")+IFERROR(Y485/H485,"0")</f>
        <v/>
      </c>
      <c r="Z486" s="999">
        <f>IFERROR(IF(Z483="",0,Z483),"0")+IFERROR(IF(Z484="",0,Z484),"0")+IFERROR(IF(Z485="",0,Z485),"0")</f>
        <v/>
      </c>
      <c r="AA486" s="1000" t="n"/>
      <c r="AB486" s="1000" t="n"/>
      <c r="AC486" s="1000" t="n"/>
    </row>
    <row r="487">
      <c r="A487" s="941" t="n"/>
      <c r="B487" s="941" t="n"/>
      <c r="C487" s="941" t="n"/>
      <c r="D487" s="941" t="n"/>
      <c r="E487" s="941" t="n"/>
      <c r="F487" s="941" t="n"/>
      <c r="G487" s="941" t="n"/>
      <c r="H487" s="941" t="n"/>
      <c r="I487" s="941" t="n"/>
      <c r="J487" s="941" t="n"/>
      <c r="K487" s="941" t="n"/>
      <c r="L487" s="941" t="n"/>
      <c r="M487" s="941" t="n"/>
      <c r="N487" s="941" t="n"/>
      <c r="O487" s="997" t="n"/>
      <c r="P487" s="998" t="inlineStr">
        <is>
          <t>Итого</t>
        </is>
      </c>
      <c r="Q487" s="959" t="n"/>
      <c r="R487" s="959" t="n"/>
      <c r="S487" s="959" t="n"/>
      <c r="T487" s="959" t="n"/>
      <c r="U487" s="959" t="n"/>
      <c r="V487" s="960" t="n"/>
      <c r="W487" s="40" t="inlineStr">
        <is>
          <t>кг</t>
        </is>
      </c>
      <c r="X487" s="999">
        <f>IFERROR(SUM(X483:X485),"0")</f>
        <v/>
      </c>
      <c r="Y487" s="999">
        <f>IFERROR(SUM(Y483:Y485),"0")</f>
        <v/>
      </c>
      <c r="Z487" s="40" t="n"/>
      <c r="AA487" s="1000" t="n"/>
      <c r="AB487" s="1000" t="n"/>
      <c r="AC487" s="1000" t="n"/>
    </row>
    <row r="488" ht="14.25" customHeight="1">
      <c r="A488" s="667" t="inlineStr">
        <is>
          <t>Копченые колбасы</t>
        </is>
      </c>
      <c r="B488" s="941" t="n"/>
      <c r="C488" s="941" t="n"/>
      <c r="D488" s="941" t="n"/>
      <c r="E488" s="941" t="n"/>
      <c r="F488" s="941" t="n"/>
      <c r="G488" s="941" t="n"/>
      <c r="H488" s="941" t="n"/>
      <c r="I488" s="941" t="n"/>
      <c r="J488" s="941" t="n"/>
      <c r="K488" s="941" t="n"/>
      <c r="L488" s="941" t="n"/>
      <c r="M488" s="941" t="n"/>
      <c r="N488" s="941" t="n"/>
      <c r="O488" s="941" t="n"/>
      <c r="P488" s="941" t="n"/>
      <c r="Q488" s="941" t="n"/>
      <c r="R488" s="941" t="n"/>
      <c r="S488" s="941" t="n"/>
      <c r="T488" s="941" t="n"/>
      <c r="U488" s="941" t="n"/>
      <c r="V488" s="941" t="n"/>
      <c r="W488" s="941" t="n"/>
      <c r="X488" s="941" t="n"/>
      <c r="Y488" s="941" t="n"/>
      <c r="Z488" s="941" t="n"/>
      <c r="AA488" s="667" t="n"/>
      <c r="AB488" s="667" t="n"/>
      <c r="AC488" s="667" t="n"/>
    </row>
    <row r="489" ht="27" customHeight="1">
      <c r="A489" s="60" t="inlineStr">
        <is>
          <t>SU002150</t>
        </is>
      </c>
      <c r="B489" s="60" t="inlineStr">
        <is>
          <t>P004465</t>
        </is>
      </c>
      <c r="C489" s="34" t="n">
        <v>4301031349</v>
      </c>
      <c r="D489" s="668" t="n">
        <v>4680115883116</v>
      </c>
      <c r="E489" s="951" t="n"/>
      <c r="F489" s="990" t="n">
        <v>0.88</v>
      </c>
      <c r="G489" s="35" t="n">
        <v>6</v>
      </c>
      <c r="H489" s="990" t="n">
        <v>5.28</v>
      </c>
      <c r="I489" s="990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СК1</t>
        </is>
      </c>
      <c r="N489" s="36" t="n"/>
      <c r="O489" s="35" t="n">
        <v>70</v>
      </c>
      <c r="P489" s="1242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9" s="992" t="n"/>
      <c r="R489" s="992" t="n"/>
      <c r="S489" s="992" t="n"/>
      <c r="T489" s="993" t="n"/>
      <c r="U489" s="37" t="inlineStr"/>
      <c r="V489" s="37" t="inlineStr"/>
      <c r="W489" s="38" t="inlineStr">
        <is>
          <t>кг</t>
        </is>
      </c>
      <c r="X489" s="994" t="n">
        <v>5</v>
      </c>
      <c r="Y489" s="995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Д-RU.РА09.В.59606/25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SU002158</t>
        </is>
      </c>
      <c r="B490" s="60" t="inlineStr">
        <is>
          <t>P004466</t>
        </is>
      </c>
      <c r="C490" s="34" t="n">
        <v>4301031350</v>
      </c>
      <c r="D490" s="668" t="n">
        <v>4680115883093</v>
      </c>
      <c r="E490" s="951" t="n"/>
      <c r="F490" s="990" t="n">
        <v>0.88</v>
      </c>
      <c r="G490" s="35" t="n">
        <v>6</v>
      </c>
      <c r="H490" s="990" t="n">
        <v>5.28</v>
      </c>
      <c r="I490" s="990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3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90" s="992" t="n"/>
      <c r="R490" s="992" t="n"/>
      <c r="S490" s="992" t="n"/>
      <c r="T490" s="993" t="n"/>
      <c r="U490" s="37" t="inlineStr"/>
      <c r="V490" s="37" t="inlineStr"/>
      <c r="W490" s="38" t="inlineStr">
        <is>
          <t>кг</t>
        </is>
      </c>
      <c r="X490" s="994" t="n">
        <v>30</v>
      </c>
      <c r="Y490" s="995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Д-RU.РА02.В.80229/26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SU002151</t>
        </is>
      </c>
      <c r="B491" s="60" t="inlineStr">
        <is>
          <t>P004470</t>
        </is>
      </c>
      <c r="C491" s="34" t="n">
        <v>4301031353</v>
      </c>
      <c r="D491" s="668" t="n">
        <v>4680115883109</v>
      </c>
      <c r="E491" s="951" t="n"/>
      <c r="F491" s="990" t="n">
        <v>0.88</v>
      </c>
      <c r="G491" s="35" t="n">
        <v>6</v>
      </c>
      <c r="H491" s="990" t="n">
        <v>5.28</v>
      </c>
      <c r="I491" s="990" t="n">
        <v>5.63</v>
      </c>
      <c r="J491" s="35" t="n">
        <v>104</v>
      </c>
      <c r="K491" s="35" t="inlineStr">
        <is>
          <t>8</t>
        </is>
      </c>
      <c r="L491" s="35" t="inlineStr"/>
      <c r="M491" s="36" t="inlineStr">
        <is>
          <t>СК2</t>
        </is>
      </c>
      <c r="N491" s="36" t="n"/>
      <c r="O491" s="35" t="n">
        <v>70</v>
      </c>
      <c r="P491" s="1244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1" s="992" t="n"/>
      <c r="R491" s="992" t="n"/>
      <c r="S491" s="992" t="n"/>
      <c r="T491" s="993" t="n"/>
      <c r="U491" s="37" t="inlineStr"/>
      <c r="V491" s="37" t="inlineStr"/>
      <c r="W491" s="38" t="inlineStr">
        <is>
          <t>кг</t>
        </is>
      </c>
      <c r="X491" s="994" t="n">
        <v>15</v>
      </c>
      <c r="Y491" s="995">
        <f>IFERROR(IF(X491="",0,CEILING((X491/$H491),1)*$H491),"")</f>
        <v/>
      </c>
      <c r="Z491" s="39">
        <f>IFERROR(IF(Y491=0,"",ROUNDUP(Y491/H491,0)*0.01196),"")</f>
        <v/>
      </c>
      <c r="AA491" s="65" t="inlineStr"/>
      <c r="AB491" s="66" t="inlineStr"/>
      <c r="AC491" s="571" t="inlineStr">
        <is>
          <t>ЕАЭС N RU Д-RU.РА02.В.80013/26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SU002916</t>
        </is>
      </c>
      <c r="B492" s="60" t="inlineStr">
        <is>
          <t>P004934</t>
        </is>
      </c>
      <c r="C492" s="34" t="n">
        <v>4301031419</v>
      </c>
      <c r="D492" s="668" t="n">
        <v>4680115882072</v>
      </c>
      <c r="E492" s="951" t="n"/>
      <c r="F492" s="990" t="n">
        <v>0.6</v>
      </c>
      <c r="G492" s="35" t="n">
        <v>8</v>
      </c>
      <c r="H492" s="990" t="n">
        <v>4.8</v>
      </c>
      <c r="I492" s="990" t="n">
        <v>6.91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СК1</t>
        </is>
      </c>
      <c r="N492" s="36" t="n"/>
      <c r="O492" s="35" t="n">
        <v>70</v>
      </c>
      <c r="P492" s="1245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2" s="992" t="n"/>
      <c r="R492" s="992" t="n"/>
      <c r="S492" s="992" t="n"/>
      <c r="T492" s="993" t="n"/>
      <c r="U492" s="37" t="inlineStr"/>
      <c r="V492" s="37" t="inlineStr"/>
      <c r="W492" s="38" t="inlineStr">
        <is>
          <t>кг</t>
        </is>
      </c>
      <c r="X492" s="994" t="n">
        <v>0</v>
      </c>
      <c r="Y492" s="995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Д-RU.РА09.В.59606/25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P004469</t>
        </is>
      </c>
      <c r="C493" s="34" t="n">
        <v>4301031352</v>
      </c>
      <c r="D493" s="668" t="n">
        <v>4680115882102</v>
      </c>
      <c r="E493" s="951" t="n"/>
      <c r="F493" s="990" t="n">
        <v>0.6</v>
      </c>
      <c r="G493" s="35" t="n">
        <v>6</v>
      </c>
      <c r="H493" s="990" t="n">
        <v>3.6</v>
      </c>
      <c r="I493" s="990" t="n">
        <v>3.79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6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3" s="992" t="n"/>
      <c r="R493" s="992" t="n"/>
      <c r="S493" s="992" t="n"/>
      <c r="T493" s="993" t="n"/>
      <c r="U493" s="37" t="inlineStr"/>
      <c r="V493" s="37" t="inlineStr"/>
      <c r="W493" s="38" t="inlineStr">
        <is>
          <t>кг</t>
        </is>
      </c>
      <c r="X493" s="994" t="n">
        <v>0</v>
      </c>
      <c r="Y493" s="995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SU002919</t>
        </is>
      </c>
      <c r="B494" s="60" t="inlineStr">
        <is>
          <t>P004930</t>
        </is>
      </c>
      <c r="C494" s="34" t="n">
        <v>4301031418</v>
      </c>
      <c r="D494" s="668" t="n">
        <v>4680115882102</v>
      </c>
      <c r="E494" s="951" t="n"/>
      <c r="F494" s="990" t="n">
        <v>0.6</v>
      </c>
      <c r="G494" s="35" t="n">
        <v>8</v>
      </c>
      <c r="H494" s="990" t="n">
        <v>4.8</v>
      </c>
      <c r="I494" s="990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7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4" s="992" t="n"/>
      <c r="R494" s="992" t="n"/>
      <c r="S494" s="992" t="n"/>
      <c r="T494" s="993" t="n"/>
      <c r="U494" s="37" t="inlineStr"/>
      <c r="V494" s="37" t="inlineStr"/>
      <c r="W494" s="38" t="inlineStr">
        <is>
          <t>кг</t>
        </is>
      </c>
      <c r="X494" s="994" t="n">
        <v>0</v>
      </c>
      <c r="Y494" s="995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Д-RU.РА02.В.80229/26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 ht="27" customHeight="1">
      <c r="A495" s="60" t="inlineStr">
        <is>
          <t>SU002918</t>
        </is>
      </c>
      <c r="B495" s="60" t="inlineStr">
        <is>
          <t>P004929</t>
        </is>
      </c>
      <c r="C495" s="34" t="n">
        <v>4301031417</v>
      </c>
      <c r="D495" s="668" t="n">
        <v>4680115882096</v>
      </c>
      <c r="E495" s="951" t="n"/>
      <c r="F495" s="990" t="n">
        <v>0.6</v>
      </c>
      <c r="G495" s="35" t="n">
        <v>8</v>
      </c>
      <c r="H495" s="990" t="n">
        <v>4.8</v>
      </c>
      <c r="I495" s="990" t="n">
        <v>6.67</v>
      </c>
      <c r="J495" s="35" t="n">
        <v>132</v>
      </c>
      <c r="K495" s="35" t="inlineStr">
        <is>
          <t>12</t>
        </is>
      </c>
      <c r="L495" s="35" t="inlineStr"/>
      <c r="M495" s="36" t="inlineStr">
        <is>
          <t>СК2</t>
        </is>
      </c>
      <c r="N495" s="36" t="n"/>
      <c r="O495" s="35" t="n">
        <v>70</v>
      </c>
      <c r="P495" s="1248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5" s="992" t="n"/>
      <c r="R495" s="992" t="n"/>
      <c r="S495" s="992" t="n"/>
      <c r="T495" s="993" t="n"/>
      <c r="U495" s="37" t="inlineStr"/>
      <c r="V495" s="37" t="inlineStr"/>
      <c r="W495" s="38" t="inlineStr">
        <is>
          <t>кг</t>
        </is>
      </c>
      <c r="X495" s="994" t="n">
        <v>0</v>
      </c>
      <c r="Y495" s="995">
        <f>IFERROR(IF(X495="",0,CEILING((X495/$H495),1)*$H495),"")</f>
        <v/>
      </c>
      <c r="Z495" s="39">
        <f>IFERROR(IF(Y495=0,"",ROUNDUP(Y495/H495,0)*0.00902),"")</f>
        <v/>
      </c>
      <c r="AA495" s="65" t="inlineStr"/>
      <c r="AB495" s="66" t="inlineStr"/>
      <c r="AC495" s="579" t="inlineStr">
        <is>
          <t>ЕАЭС N RU Д-RU.РА02.В.80013/26</t>
        </is>
      </c>
      <c r="AG495" s="75" t="n"/>
      <c r="AJ495" s="79" t="inlineStr"/>
      <c r="AK495" s="79" t="n">
        <v>0</v>
      </c>
      <c r="BB495" s="580" t="inlineStr">
        <is>
          <t>КИ</t>
        </is>
      </c>
      <c r="BM495" s="75">
        <f>IFERROR(X495*I495/H495,"0")</f>
        <v/>
      </c>
      <c r="BN495" s="75">
        <f>IFERROR(Y495*I495/H495,"0")</f>
        <v/>
      </c>
      <c r="BO495" s="75">
        <f>IFERROR(1/J495*(X495/H495),"0")</f>
        <v/>
      </c>
      <c r="BP495" s="75">
        <f>IFERROR(1/J495*(Y495/H495),"0")</f>
        <v/>
      </c>
    </row>
    <row r="496">
      <c r="A496" s="677" t="n"/>
      <c r="B496" s="941" t="n"/>
      <c r="C496" s="941" t="n"/>
      <c r="D496" s="941" t="n"/>
      <c r="E496" s="941" t="n"/>
      <c r="F496" s="941" t="n"/>
      <c r="G496" s="941" t="n"/>
      <c r="H496" s="941" t="n"/>
      <c r="I496" s="941" t="n"/>
      <c r="J496" s="941" t="n"/>
      <c r="K496" s="941" t="n"/>
      <c r="L496" s="941" t="n"/>
      <c r="M496" s="941" t="n"/>
      <c r="N496" s="941" t="n"/>
      <c r="O496" s="997" t="n"/>
      <c r="P496" s="998" t="inlineStr">
        <is>
          <t>Итого</t>
        </is>
      </c>
      <c r="Q496" s="959" t="n"/>
      <c r="R496" s="959" t="n"/>
      <c r="S496" s="959" t="n"/>
      <c r="T496" s="959" t="n"/>
      <c r="U496" s="959" t="n"/>
      <c r="V496" s="960" t="n"/>
      <c r="W496" s="40" t="inlineStr">
        <is>
          <t>кор</t>
        </is>
      </c>
      <c r="X496" s="999">
        <f>IFERROR(X489/H489,"0")+IFERROR(X490/H490,"0")+IFERROR(X491/H491,"0")+IFERROR(X492/H492,"0")+IFERROR(X493/H493,"0")+IFERROR(X494/H494,"0")+IFERROR(X495/H495,"0")</f>
        <v/>
      </c>
      <c r="Y496" s="999">
        <f>IFERROR(Y489/H489,"0")+IFERROR(Y490/H490,"0")+IFERROR(Y491/H491,"0")+IFERROR(Y492/H492,"0")+IFERROR(Y493/H493,"0")+IFERROR(Y494/H494,"0")+IFERROR(Y495/H495,"0")</f>
        <v/>
      </c>
      <c r="Z496" s="999">
        <f>IFERROR(IF(Z489="",0,Z489),"0")+IFERROR(IF(Z490="",0,Z490),"0")+IFERROR(IF(Z491="",0,Z491),"0")+IFERROR(IF(Z492="",0,Z492),"0")+IFERROR(IF(Z493="",0,Z493),"0")+IFERROR(IF(Z494="",0,Z494),"0")+IFERROR(IF(Z495="",0,Z495),"0")</f>
        <v/>
      </c>
      <c r="AA496" s="1000" t="n"/>
      <c r="AB496" s="1000" t="n"/>
      <c r="AC496" s="1000" t="n"/>
    </row>
    <row r="497">
      <c r="A497" s="941" t="n"/>
      <c r="B497" s="941" t="n"/>
      <c r="C497" s="941" t="n"/>
      <c r="D497" s="941" t="n"/>
      <c r="E497" s="941" t="n"/>
      <c r="F497" s="941" t="n"/>
      <c r="G497" s="941" t="n"/>
      <c r="H497" s="941" t="n"/>
      <c r="I497" s="941" t="n"/>
      <c r="J497" s="941" t="n"/>
      <c r="K497" s="941" t="n"/>
      <c r="L497" s="941" t="n"/>
      <c r="M497" s="941" t="n"/>
      <c r="N497" s="941" t="n"/>
      <c r="O497" s="997" t="n"/>
      <c r="P497" s="998" t="inlineStr">
        <is>
          <t>Итого</t>
        </is>
      </c>
      <c r="Q497" s="959" t="n"/>
      <c r="R497" s="959" t="n"/>
      <c r="S497" s="959" t="n"/>
      <c r="T497" s="959" t="n"/>
      <c r="U497" s="959" t="n"/>
      <c r="V497" s="960" t="n"/>
      <c r="W497" s="40" t="inlineStr">
        <is>
          <t>кг</t>
        </is>
      </c>
      <c r="X497" s="999">
        <f>IFERROR(SUM(X489:X495),"0")</f>
        <v/>
      </c>
      <c r="Y497" s="999">
        <f>IFERROR(SUM(Y489:Y495),"0")</f>
        <v/>
      </c>
      <c r="Z497" s="40" t="n"/>
      <c r="AA497" s="1000" t="n"/>
      <c r="AB497" s="1000" t="n"/>
      <c r="AC497" s="1000" t="n"/>
    </row>
    <row r="498" ht="27.75" customHeight="1">
      <c r="A498" s="665" t="inlineStr">
        <is>
          <t>Зареченские продукты</t>
        </is>
      </c>
      <c r="B498" s="989" t="n"/>
      <c r="C498" s="989" t="n"/>
      <c r="D498" s="989" t="n"/>
      <c r="E498" s="989" t="n"/>
      <c r="F498" s="989" t="n"/>
      <c r="G498" s="989" t="n"/>
      <c r="H498" s="989" t="n"/>
      <c r="I498" s="989" t="n"/>
      <c r="J498" s="989" t="n"/>
      <c r="K498" s="989" t="n"/>
      <c r="L498" s="989" t="n"/>
      <c r="M498" s="989" t="n"/>
      <c r="N498" s="989" t="n"/>
      <c r="O498" s="989" t="n"/>
      <c r="P498" s="989" t="n"/>
      <c r="Q498" s="989" t="n"/>
      <c r="R498" s="989" t="n"/>
      <c r="S498" s="989" t="n"/>
      <c r="T498" s="989" t="n"/>
      <c r="U498" s="989" t="n"/>
      <c r="V498" s="989" t="n"/>
      <c r="W498" s="989" t="n"/>
      <c r="X498" s="989" t="n"/>
      <c r="Y498" s="989" t="n"/>
      <c r="Z498" s="989" t="n"/>
      <c r="AA498" s="52" t="n"/>
      <c r="AB498" s="52" t="n"/>
      <c r="AC498" s="52" t="n"/>
    </row>
    <row r="499" ht="16.5" customHeight="1">
      <c r="A499" s="666" t="inlineStr">
        <is>
          <t>Зареченские продукты</t>
        </is>
      </c>
      <c r="B499" s="941" t="n"/>
      <c r="C499" s="941" t="n"/>
      <c r="D499" s="941" t="n"/>
      <c r="E499" s="941" t="n"/>
      <c r="F499" s="941" t="n"/>
      <c r="G499" s="941" t="n"/>
      <c r="H499" s="941" t="n"/>
      <c r="I499" s="941" t="n"/>
      <c r="J499" s="941" t="n"/>
      <c r="K499" s="941" t="n"/>
      <c r="L499" s="941" t="n"/>
      <c r="M499" s="941" t="n"/>
      <c r="N499" s="941" t="n"/>
      <c r="O499" s="941" t="n"/>
      <c r="P499" s="941" t="n"/>
      <c r="Q499" s="941" t="n"/>
      <c r="R499" s="941" t="n"/>
      <c r="S499" s="941" t="n"/>
      <c r="T499" s="941" t="n"/>
      <c r="U499" s="941" t="n"/>
      <c r="V499" s="941" t="n"/>
      <c r="W499" s="941" t="n"/>
      <c r="X499" s="941" t="n"/>
      <c r="Y499" s="941" t="n"/>
      <c r="Z499" s="941" t="n"/>
      <c r="AA499" s="666" t="n"/>
      <c r="AB499" s="666" t="n"/>
      <c r="AC499" s="666" t="n"/>
    </row>
    <row r="500" ht="14.25" customHeight="1">
      <c r="A500" s="667" t="inlineStr">
        <is>
          <t>Вареные колбасы</t>
        </is>
      </c>
      <c r="B500" s="941" t="n"/>
      <c r="C500" s="941" t="n"/>
      <c r="D500" s="941" t="n"/>
      <c r="E500" s="941" t="n"/>
      <c r="F500" s="941" t="n"/>
      <c r="G500" s="941" t="n"/>
      <c r="H500" s="941" t="n"/>
      <c r="I500" s="941" t="n"/>
      <c r="J500" s="941" t="n"/>
      <c r="K500" s="941" t="n"/>
      <c r="L500" s="941" t="n"/>
      <c r="M500" s="941" t="n"/>
      <c r="N500" s="941" t="n"/>
      <c r="O500" s="941" t="n"/>
      <c r="P500" s="941" t="n"/>
      <c r="Q500" s="941" t="n"/>
      <c r="R500" s="941" t="n"/>
      <c r="S500" s="941" t="n"/>
      <c r="T500" s="941" t="n"/>
      <c r="U500" s="941" t="n"/>
      <c r="V500" s="941" t="n"/>
      <c r="W500" s="941" t="n"/>
      <c r="X500" s="941" t="n"/>
      <c r="Y500" s="941" t="n"/>
      <c r="Z500" s="941" t="n"/>
      <c r="AA500" s="667" t="n"/>
      <c r="AB500" s="667" t="n"/>
      <c r="AC500" s="667" t="n"/>
    </row>
    <row r="501" ht="27" customHeight="1">
      <c r="A501" s="60" t="inlineStr">
        <is>
          <t>SU002808</t>
        </is>
      </c>
      <c r="B501" s="60" t="inlineStr">
        <is>
          <t>P003582</t>
        </is>
      </c>
      <c r="C501" s="34" t="n">
        <v>4301011584</v>
      </c>
      <c r="D501" s="668" t="n">
        <v>4640242180564</v>
      </c>
      <c r="E501" s="951" t="n"/>
      <c r="F501" s="990" t="n">
        <v>1.5</v>
      </c>
      <c r="G501" s="35" t="n">
        <v>8</v>
      </c>
      <c r="H501" s="990" t="n">
        <v>12</v>
      </c>
      <c r="I501" s="990" t="n">
        <v>12.41</v>
      </c>
      <c r="J501" s="35" t="n">
        <v>64</v>
      </c>
      <c r="K501" s="35" t="inlineStr">
        <is>
          <t>8</t>
        </is>
      </c>
      <c r="L501" s="35" t="inlineStr"/>
      <c r="M501" s="36" t="inlineStr">
        <is>
          <t>СК1</t>
        </is>
      </c>
      <c r="N501" s="36" t="n"/>
      <c r="O501" s="35" t="n">
        <v>50</v>
      </c>
      <c r="P501" s="1249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1" s="992" t="n"/>
      <c r="R501" s="992" t="n"/>
      <c r="S501" s="992" t="n"/>
      <c r="T501" s="993" t="n"/>
      <c r="U501" s="37" t="inlineStr"/>
      <c r="V501" s="37" t="inlineStr"/>
      <c r="W501" s="38" t="inlineStr">
        <is>
          <t>кг</t>
        </is>
      </c>
      <c r="X501" s="994" t="n">
        <v>20</v>
      </c>
      <c r="Y501" s="995">
        <f>IFERROR(IF(X501="",0,CEILING((X501/$H501),1)*$H501),"")</f>
        <v/>
      </c>
      <c r="Z501" s="39">
        <f>IFERROR(IF(Y501=0,"",ROUNDUP(Y501/H501,0)*0.01898),"")</f>
        <v/>
      </c>
      <c r="AA501" s="65" t="inlineStr"/>
      <c r="AB501" s="66" t="inlineStr"/>
      <c r="AC501" s="581" t="inlineStr">
        <is>
          <t>ЕАЭС N RU Д-RU.РА05.В.95257/23</t>
        </is>
      </c>
      <c r="AG501" s="75" t="n"/>
      <c r="AJ501" s="79" t="inlineStr"/>
      <c r="AK501" s="79" t="n">
        <v>0</v>
      </c>
      <c r="BB501" s="582" t="inlineStr">
        <is>
          <t>КИ</t>
        </is>
      </c>
      <c r="BM501" s="75">
        <f>IFERROR(X501*I501/H501,"0")</f>
        <v/>
      </c>
      <c r="BN501" s="75">
        <f>IFERROR(Y501*I501/H501,"0")</f>
        <v/>
      </c>
      <c r="BO501" s="75">
        <f>IFERROR(1/J501*(X501/H501),"0")</f>
        <v/>
      </c>
      <c r="BP501" s="75">
        <f>IFERROR(1/J501*(Y501/H501),"0")</f>
        <v/>
      </c>
    </row>
    <row r="502">
      <c r="A502" s="677" t="n"/>
      <c r="B502" s="941" t="n"/>
      <c r="C502" s="941" t="n"/>
      <c r="D502" s="941" t="n"/>
      <c r="E502" s="941" t="n"/>
      <c r="F502" s="941" t="n"/>
      <c r="G502" s="941" t="n"/>
      <c r="H502" s="941" t="n"/>
      <c r="I502" s="941" t="n"/>
      <c r="J502" s="941" t="n"/>
      <c r="K502" s="941" t="n"/>
      <c r="L502" s="941" t="n"/>
      <c r="M502" s="941" t="n"/>
      <c r="N502" s="941" t="n"/>
      <c r="O502" s="997" t="n"/>
      <c r="P502" s="998" t="inlineStr">
        <is>
          <t>Итого</t>
        </is>
      </c>
      <c r="Q502" s="959" t="n"/>
      <c r="R502" s="959" t="n"/>
      <c r="S502" s="959" t="n"/>
      <c r="T502" s="959" t="n"/>
      <c r="U502" s="959" t="n"/>
      <c r="V502" s="960" t="n"/>
      <c r="W502" s="40" t="inlineStr">
        <is>
          <t>кор</t>
        </is>
      </c>
      <c r="X502" s="999">
        <f>IFERROR(X501/H501,"0")</f>
        <v/>
      </c>
      <c r="Y502" s="999">
        <f>IFERROR(Y501/H501,"0")</f>
        <v/>
      </c>
      <c r="Z502" s="999">
        <f>IFERROR(IF(Z501="",0,Z501),"0")</f>
        <v/>
      </c>
      <c r="AA502" s="1000" t="n"/>
      <c r="AB502" s="1000" t="n"/>
      <c r="AC502" s="1000" t="n"/>
    </row>
    <row r="503">
      <c r="A503" s="941" t="n"/>
      <c r="B503" s="941" t="n"/>
      <c r="C503" s="941" t="n"/>
      <c r="D503" s="941" t="n"/>
      <c r="E503" s="941" t="n"/>
      <c r="F503" s="941" t="n"/>
      <c r="G503" s="941" t="n"/>
      <c r="H503" s="941" t="n"/>
      <c r="I503" s="941" t="n"/>
      <c r="J503" s="941" t="n"/>
      <c r="K503" s="941" t="n"/>
      <c r="L503" s="941" t="n"/>
      <c r="M503" s="941" t="n"/>
      <c r="N503" s="941" t="n"/>
      <c r="O503" s="997" t="n"/>
      <c r="P503" s="998" t="inlineStr">
        <is>
          <t>Итого</t>
        </is>
      </c>
      <c r="Q503" s="959" t="n"/>
      <c r="R503" s="959" t="n"/>
      <c r="S503" s="959" t="n"/>
      <c r="T503" s="959" t="n"/>
      <c r="U503" s="959" t="n"/>
      <c r="V503" s="960" t="n"/>
      <c r="W503" s="40" t="inlineStr">
        <is>
          <t>кг</t>
        </is>
      </c>
      <c r="X503" s="999">
        <f>IFERROR(SUM(X501:X501),"0")</f>
        <v/>
      </c>
      <c r="Y503" s="999">
        <f>IFERROR(SUM(Y501:Y501),"0")</f>
        <v/>
      </c>
      <c r="Z503" s="40" t="n"/>
      <c r="AA503" s="1000" t="n"/>
      <c r="AB503" s="1000" t="n"/>
      <c r="AC503" s="1000" t="n"/>
    </row>
    <row r="504" ht="14.25" customHeight="1">
      <c r="A504" s="667" t="inlineStr">
        <is>
          <t>Ветчины</t>
        </is>
      </c>
      <c r="B504" s="941" t="n"/>
      <c r="C504" s="941" t="n"/>
      <c r="D504" s="941" t="n"/>
      <c r="E504" s="941" t="n"/>
      <c r="F504" s="941" t="n"/>
      <c r="G504" s="941" t="n"/>
      <c r="H504" s="941" t="n"/>
      <c r="I504" s="941" t="n"/>
      <c r="J504" s="941" t="n"/>
      <c r="K504" s="941" t="n"/>
      <c r="L504" s="941" t="n"/>
      <c r="M504" s="941" t="n"/>
      <c r="N504" s="941" t="n"/>
      <c r="O504" s="941" t="n"/>
      <c r="P504" s="941" t="n"/>
      <c r="Q504" s="941" t="n"/>
      <c r="R504" s="941" t="n"/>
      <c r="S504" s="941" t="n"/>
      <c r="T504" s="941" t="n"/>
      <c r="U504" s="941" t="n"/>
      <c r="V504" s="941" t="n"/>
      <c r="W504" s="941" t="n"/>
      <c r="X504" s="941" t="n"/>
      <c r="Y504" s="941" t="n"/>
      <c r="Z504" s="941" t="n"/>
      <c r="AA504" s="667" t="n"/>
      <c r="AB504" s="667" t="n"/>
      <c r="AC504" s="667" t="n"/>
    </row>
    <row r="505" ht="27" customHeight="1">
      <c r="A505" s="60" t="inlineStr">
        <is>
          <t>SU002806</t>
        </is>
      </c>
      <c r="B505" s="60" t="inlineStr">
        <is>
          <t>P005012</t>
        </is>
      </c>
      <c r="C505" s="34" t="n">
        <v>4301020400</v>
      </c>
      <c r="D505" s="668" t="n">
        <v>4640242180519</v>
      </c>
      <c r="E505" s="951" t="n"/>
      <c r="F505" s="990" t="n">
        <v>1.5</v>
      </c>
      <c r="G505" s="35" t="n">
        <v>8</v>
      </c>
      <c r="H505" s="990" t="n">
        <v>12</v>
      </c>
      <c r="I505" s="990" t="n">
        <v>12.41</v>
      </c>
      <c r="J505" s="35" t="n">
        <v>64</v>
      </c>
      <c r="K505" s="35" t="inlineStr">
        <is>
          <t>8</t>
        </is>
      </c>
      <c r="L505" s="35" t="inlineStr"/>
      <c r="M505" s="36" t="inlineStr">
        <is>
          <t>СК1</t>
        </is>
      </c>
      <c r="N505" s="36" t="n"/>
      <c r="O505" s="35" t="n">
        <v>50</v>
      </c>
      <c r="P505" s="1250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5" s="992" t="n"/>
      <c r="R505" s="992" t="n"/>
      <c r="S505" s="992" t="n"/>
      <c r="T505" s="993" t="n"/>
      <c r="U505" s="37" t="inlineStr"/>
      <c r="V505" s="37" t="inlineStr"/>
      <c r="W505" s="38" t="inlineStr">
        <is>
          <t>кг</t>
        </is>
      </c>
      <c r="X505" s="994" t="n">
        <v>0</v>
      </c>
      <c r="Y505" s="995">
        <f>IFERROR(IF(X505="",0,CEILING((X505/$H505),1)*$H505),"")</f>
        <v/>
      </c>
      <c r="Z505" s="39">
        <f>IFERROR(IF(Y505=0,"",ROUNDUP(Y505/H505,0)*0.01898),"")</f>
        <v/>
      </c>
      <c r="AA505" s="65" t="inlineStr"/>
      <c r="AB505" s="66" t="inlineStr"/>
      <c r="AC505" s="583" t="inlineStr">
        <is>
          <t>ЕАЭС N RU Д-RU.РА05.В.93655/23</t>
        </is>
      </c>
      <c r="AG505" s="75" t="n"/>
      <c r="AJ505" s="79" t="inlineStr"/>
      <c r="AK505" s="79" t="n">
        <v>0</v>
      </c>
      <c r="BB505" s="584" t="inlineStr">
        <is>
          <t>КИ</t>
        </is>
      </c>
      <c r="BM505" s="75">
        <f>IFERROR(X505*I505/H505,"0")</f>
        <v/>
      </c>
      <c r="BN505" s="75">
        <f>IFERROR(Y505*I505/H505,"0")</f>
        <v/>
      </c>
      <c r="BO505" s="75">
        <f>IFERROR(1/J505*(X505/H505),"0")</f>
        <v/>
      </c>
      <c r="BP505" s="75">
        <f>IFERROR(1/J505*(Y505/H505),"0")</f>
        <v/>
      </c>
    </row>
    <row r="506">
      <c r="A506" s="677" t="n"/>
      <c r="B506" s="941" t="n"/>
      <c r="C506" s="941" t="n"/>
      <c r="D506" s="941" t="n"/>
      <c r="E506" s="941" t="n"/>
      <c r="F506" s="941" t="n"/>
      <c r="G506" s="941" t="n"/>
      <c r="H506" s="941" t="n"/>
      <c r="I506" s="941" t="n"/>
      <c r="J506" s="941" t="n"/>
      <c r="K506" s="941" t="n"/>
      <c r="L506" s="941" t="n"/>
      <c r="M506" s="941" t="n"/>
      <c r="N506" s="941" t="n"/>
      <c r="O506" s="997" t="n"/>
      <c r="P506" s="998" t="inlineStr">
        <is>
          <t>Итого</t>
        </is>
      </c>
      <c r="Q506" s="959" t="n"/>
      <c r="R506" s="959" t="n"/>
      <c r="S506" s="959" t="n"/>
      <c r="T506" s="959" t="n"/>
      <c r="U506" s="959" t="n"/>
      <c r="V506" s="960" t="n"/>
      <c r="W506" s="40" t="inlineStr">
        <is>
          <t>кор</t>
        </is>
      </c>
      <c r="X506" s="999">
        <f>IFERROR(X505/H505,"0")</f>
        <v/>
      </c>
      <c r="Y506" s="999">
        <f>IFERROR(Y505/H505,"0")</f>
        <v/>
      </c>
      <c r="Z506" s="999">
        <f>IFERROR(IF(Z505="",0,Z505),"0")</f>
        <v/>
      </c>
      <c r="AA506" s="1000" t="n"/>
      <c r="AB506" s="1000" t="n"/>
      <c r="AC506" s="1000" t="n"/>
    </row>
    <row r="507">
      <c r="A507" s="941" t="n"/>
      <c r="B507" s="941" t="n"/>
      <c r="C507" s="941" t="n"/>
      <c r="D507" s="941" t="n"/>
      <c r="E507" s="941" t="n"/>
      <c r="F507" s="941" t="n"/>
      <c r="G507" s="941" t="n"/>
      <c r="H507" s="941" t="n"/>
      <c r="I507" s="941" t="n"/>
      <c r="J507" s="941" t="n"/>
      <c r="K507" s="941" t="n"/>
      <c r="L507" s="941" t="n"/>
      <c r="M507" s="941" t="n"/>
      <c r="N507" s="941" t="n"/>
      <c r="O507" s="997" t="n"/>
      <c r="P507" s="998" t="inlineStr">
        <is>
          <t>Итого</t>
        </is>
      </c>
      <c r="Q507" s="959" t="n"/>
      <c r="R507" s="959" t="n"/>
      <c r="S507" s="959" t="n"/>
      <c r="T507" s="959" t="n"/>
      <c r="U507" s="959" t="n"/>
      <c r="V507" s="960" t="n"/>
      <c r="W507" s="40" t="inlineStr">
        <is>
          <t>кг</t>
        </is>
      </c>
      <c r="X507" s="999">
        <f>IFERROR(SUM(X505:X505),"0")</f>
        <v/>
      </c>
      <c r="Y507" s="999">
        <f>IFERROR(SUM(Y505:Y505),"0")</f>
        <v/>
      </c>
      <c r="Z507" s="40" t="n"/>
      <c r="AA507" s="1000" t="n"/>
      <c r="AB507" s="1000" t="n"/>
      <c r="AC507" s="1000" t="n"/>
    </row>
    <row r="508" ht="14.25" customHeight="1">
      <c r="A508" s="667" t="inlineStr">
        <is>
          <t>Копченые колбасы</t>
        </is>
      </c>
      <c r="B508" s="941" t="n"/>
      <c r="C508" s="941" t="n"/>
      <c r="D508" s="941" t="n"/>
      <c r="E508" s="941" t="n"/>
      <c r="F508" s="941" t="n"/>
      <c r="G508" s="941" t="n"/>
      <c r="H508" s="941" t="n"/>
      <c r="I508" s="941" t="n"/>
      <c r="J508" s="941" t="n"/>
      <c r="K508" s="941" t="n"/>
      <c r="L508" s="941" t="n"/>
      <c r="M508" s="941" t="n"/>
      <c r="N508" s="941" t="n"/>
      <c r="O508" s="941" t="n"/>
      <c r="P508" s="941" t="n"/>
      <c r="Q508" s="941" t="n"/>
      <c r="R508" s="941" t="n"/>
      <c r="S508" s="941" t="n"/>
      <c r="T508" s="941" t="n"/>
      <c r="U508" s="941" t="n"/>
      <c r="V508" s="941" t="n"/>
      <c r="W508" s="941" t="n"/>
      <c r="X508" s="941" t="n"/>
      <c r="Y508" s="941" t="n"/>
      <c r="Z508" s="941" t="n"/>
      <c r="AA508" s="667" t="n"/>
      <c r="AB508" s="667" t="n"/>
      <c r="AC508" s="667" t="n"/>
    </row>
    <row r="509" ht="27" customHeight="1">
      <c r="A509" s="60" t="inlineStr">
        <is>
          <t>SU002809</t>
        </is>
      </c>
      <c r="B509" s="60" t="inlineStr">
        <is>
          <t>P005250</t>
        </is>
      </c>
      <c r="C509" s="34" t="n">
        <v>4301031467</v>
      </c>
      <c r="D509" s="668" t="n">
        <v>4640242180595</v>
      </c>
      <c r="E509" s="951" t="n"/>
      <c r="F509" s="990" t="n">
        <v>0.8</v>
      </c>
      <c r="G509" s="35" t="n">
        <v>6</v>
      </c>
      <c r="H509" s="990" t="n">
        <v>4.8</v>
      </c>
      <c r="I509" s="990" t="n">
        <v>5.05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51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9" s="992" t="n"/>
      <c r="R509" s="992" t="n"/>
      <c r="S509" s="992" t="n"/>
      <c r="T509" s="993" t="n"/>
      <c r="U509" s="37" t="inlineStr"/>
      <c r="V509" s="37" t="inlineStr"/>
      <c r="W509" s="38" t="inlineStr">
        <is>
          <t>кг</t>
        </is>
      </c>
      <c r="X509" s="994" t="n">
        <v>140</v>
      </c>
      <c r="Y509" s="995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Д-RU.РА11.В.92741/24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 ht="27" customHeight="1">
      <c r="A510" s="60" t="inlineStr">
        <is>
          <t>SU002809</t>
        </is>
      </c>
      <c r="B510" s="60" t="inlineStr">
        <is>
          <t>P005407</t>
        </is>
      </c>
      <c r="C510" s="34" t="n">
        <v>4301031500</v>
      </c>
      <c r="D510" s="668" t="n">
        <v>4640242180595</v>
      </c>
      <c r="E510" s="951" t="n"/>
      <c r="F510" s="990" t="n">
        <v>0.7</v>
      </c>
      <c r="G510" s="35" t="n">
        <v>6</v>
      </c>
      <c r="H510" s="990" t="n">
        <v>4.2</v>
      </c>
      <c r="I510" s="990" t="n">
        <v>4.45</v>
      </c>
      <c r="J510" s="35" t="n">
        <v>132</v>
      </c>
      <c r="K510" s="35" t="inlineStr">
        <is>
          <t>12</t>
        </is>
      </c>
      <c r="L510" s="35" t="inlineStr"/>
      <c r="M510" s="36" t="inlineStr">
        <is>
          <t>СК2</t>
        </is>
      </c>
      <c r="N510" s="36" t="n"/>
      <c r="O510" s="35" t="n">
        <v>40</v>
      </c>
      <c r="P510" s="1252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10" s="992" t="n"/>
      <c r="R510" s="992" t="n"/>
      <c r="S510" s="992" t="n"/>
      <c r="T510" s="993" t="n"/>
      <c r="U510" s="37" t="inlineStr"/>
      <c r="V510" s="37" t="inlineStr"/>
      <c r="W510" s="38" t="inlineStr">
        <is>
          <t>кг</t>
        </is>
      </c>
      <c r="X510" s="994" t="n">
        <v>0</v>
      </c>
      <c r="Y510" s="995">
        <f>IFERROR(IF(X510="",0,CEILING((X510/$H510),1)*$H510),"")</f>
        <v/>
      </c>
      <c r="Z510" s="39">
        <f>IFERROR(IF(Y510=0,"",ROUNDUP(Y510/H510,0)*0.00902),"")</f>
        <v/>
      </c>
      <c r="AA510" s="65" t="inlineStr"/>
      <c r="AB510" s="66" t="inlineStr"/>
      <c r="AC510" s="587" t="inlineStr">
        <is>
          <t>ЕАЭС N RU Д-RU.РА01.В.02454/26</t>
        </is>
      </c>
      <c r="AG510" s="75" t="n"/>
      <c r="AJ510" s="79" t="inlineStr"/>
      <c r="AK510" s="79" t="n">
        <v>0</v>
      </c>
      <c r="BB510" s="588" t="inlineStr">
        <is>
          <t>КИ</t>
        </is>
      </c>
      <c r="BM510" s="75">
        <f>IFERROR(X510*I510/H510,"0")</f>
        <v/>
      </c>
      <c r="BN510" s="75">
        <f>IFERROR(Y510*I510/H510,"0")</f>
        <v/>
      </c>
      <c r="BO510" s="75">
        <f>IFERROR(1/J510*(X510/H510),"0")</f>
        <v/>
      </c>
      <c r="BP510" s="75">
        <f>IFERROR(1/J510*(Y510/H510),"0")</f>
        <v/>
      </c>
    </row>
    <row r="511">
      <c r="A511" s="677" t="n"/>
      <c r="B511" s="941" t="n"/>
      <c r="C511" s="941" t="n"/>
      <c r="D511" s="941" t="n"/>
      <c r="E511" s="941" t="n"/>
      <c r="F511" s="941" t="n"/>
      <c r="G511" s="941" t="n"/>
      <c r="H511" s="941" t="n"/>
      <c r="I511" s="941" t="n"/>
      <c r="J511" s="941" t="n"/>
      <c r="K511" s="941" t="n"/>
      <c r="L511" s="941" t="n"/>
      <c r="M511" s="941" t="n"/>
      <c r="N511" s="941" t="n"/>
      <c r="O511" s="997" t="n"/>
      <c r="P511" s="998" t="inlineStr">
        <is>
          <t>Итого</t>
        </is>
      </c>
      <c r="Q511" s="959" t="n"/>
      <c r="R511" s="959" t="n"/>
      <c r="S511" s="959" t="n"/>
      <c r="T511" s="959" t="n"/>
      <c r="U511" s="959" t="n"/>
      <c r="V511" s="960" t="n"/>
      <c r="W511" s="40" t="inlineStr">
        <is>
          <t>кор</t>
        </is>
      </c>
      <c r="X511" s="999">
        <f>IFERROR(X509/H509,"0")+IFERROR(X510/H510,"0")</f>
        <v/>
      </c>
      <c r="Y511" s="999">
        <f>IFERROR(Y509/H509,"0")+IFERROR(Y510/H510,"0")</f>
        <v/>
      </c>
      <c r="Z511" s="999">
        <f>IFERROR(IF(Z509="",0,Z509),"0")+IFERROR(IF(Z510="",0,Z510),"0")</f>
        <v/>
      </c>
      <c r="AA511" s="1000" t="n"/>
      <c r="AB511" s="1000" t="n"/>
      <c r="AC511" s="1000" t="n"/>
    </row>
    <row r="512">
      <c r="A512" s="941" t="n"/>
      <c r="B512" s="941" t="n"/>
      <c r="C512" s="941" t="n"/>
      <c r="D512" s="941" t="n"/>
      <c r="E512" s="941" t="n"/>
      <c r="F512" s="941" t="n"/>
      <c r="G512" s="941" t="n"/>
      <c r="H512" s="941" t="n"/>
      <c r="I512" s="941" t="n"/>
      <c r="J512" s="941" t="n"/>
      <c r="K512" s="941" t="n"/>
      <c r="L512" s="941" t="n"/>
      <c r="M512" s="941" t="n"/>
      <c r="N512" s="941" t="n"/>
      <c r="O512" s="997" t="n"/>
      <c r="P512" s="998" t="inlineStr">
        <is>
          <t>Итого</t>
        </is>
      </c>
      <c r="Q512" s="959" t="n"/>
      <c r="R512" s="959" t="n"/>
      <c r="S512" s="959" t="n"/>
      <c r="T512" s="959" t="n"/>
      <c r="U512" s="959" t="n"/>
      <c r="V512" s="960" t="n"/>
      <c r="W512" s="40" t="inlineStr">
        <is>
          <t>кг</t>
        </is>
      </c>
      <c r="X512" s="999">
        <f>IFERROR(SUM(X509:X510),"0")</f>
        <v/>
      </c>
      <c r="Y512" s="999">
        <f>IFERROR(SUM(Y509:Y510),"0")</f>
        <v/>
      </c>
      <c r="Z512" s="40" t="n"/>
      <c r="AA512" s="1000" t="n"/>
      <c r="AB512" s="1000" t="n"/>
      <c r="AC512" s="1000" t="n"/>
    </row>
    <row r="513" ht="14.25" customHeight="1">
      <c r="A513" s="667" t="inlineStr">
        <is>
          <t>Сосиски</t>
        </is>
      </c>
      <c r="B513" s="941" t="n"/>
      <c r="C513" s="941" t="n"/>
      <c r="D513" s="941" t="n"/>
      <c r="E513" s="941" t="n"/>
      <c r="F513" s="941" t="n"/>
      <c r="G513" s="941" t="n"/>
      <c r="H513" s="941" t="n"/>
      <c r="I513" s="941" t="n"/>
      <c r="J513" s="941" t="n"/>
      <c r="K513" s="941" t="n"/>
      <c r="L513" s="941" t="n"/>
      <c r="M513" s="941" t="n"/>
      <c r="N513" s="941" t="n"/>
      <c r="O513" s="941" t="n"/>
      <c r="P513" s="941" t="n"/>
      <c r="Q513" s="941" t="n"/>
      <c r="R513" s="941" t="n"/>
      <c r="S513" s="941" t="n"/>
      <c r="T513" s="941" t="n"/>
      <c r="U513" s="941" t="n"/>
      <c r="V513" s="941" t="n"/>
      <c r="W513" s="941" t="n"/>
      <c r="X513" s="941" t="n"/>
      <c r="Y513" s="941" t="n"/>
      <c r="Z513" s="941" t="n"/>
      <c r="AA513" s="667" t="n"/>
      <c r="AB513" s="667" t="n"/>
      <c r="AC513" s="667" t="n"/>
    </row>
    <row r="514" ht="27" customHeight="1">
      <c r="A514" s="60" t="inlineStr">
        <is>
          <t>SU002655</t>
        </is>
      </c>
      <c r="B514" s="60" t="inlineStr">
        <is>
          <t>P004991</t>
        </is>
      </c>
      <c r="C514" s="34" t="n">
        <v>4301052046</v>
      </c>
      <c r="D514" s="668" t="n">
        <v>4640242180533</v>
      </c>
      <c r="E514" s="951" t="n"/>
      <c r="F514" s="990" t="n">
        <v>1.5</v>
      </c>
      <c r="G514" s="35" t="n">
        <v>6</v>
      </c>
      <c r="H514" s="990" t="n">
        <v>9</v>
      </c>
      <c r="I514" s="990" t="n">
        <v>9.494</v>
      </c>
      <c r="J514" s="35" t="n">
        <v>64</v>
      </c>
      <c r="K514" s="35" t="inlineStr">
        <is>
          <t>8</t>
        </is>
      </c>
      <c r="L514" s="35" t="inlineStr"/>
      <c r="M514" s="36" t="inlineStr">
        <is>
          <t>СК4</t>
        </is>
      </c>
      <c r="N514" s="36" t="n"/>
      <c r="O514" s="35" t="n">
        <v>45</v>
      </c>
      <c r="P514" s="1253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4" s="992" t="n"/>
      <c r="R514" s="992" t="n"/>
      <c r="S514" s="992" t="n"/>
      <c r="T514" s="993" t="n"/>
      <c r="U514" s="37" t="inlineStr"/>
      <c r="V514" s="37" t="inlineStr"/>
      <c r="W514" s="38" t="inlineStr">
        <is>
          <t>кг</t>
        </is>
      </c>
      <c r="X514" s="994" t="n">
        <v>40</v>
      </c>
      <c r="Y514" s="995">
        <f>IFERROR(IF(X514="",0,CEILING((X514/$H514),1)*$H514),"")</f>
        <v/>
      </c>
      <c r="Z514" s="39">
        <f>IFERROR(IF(Y514=0,"",ROUNDUP(Y514/H514,0)*0.01898),"")</f>
        <v/>
      </c>
      <c r="AA514" s="65" t="inlineStr"/>
      <c r="AB514" s="66" t="inlineStr"/>
      <c r="AC514" s="589" t="inlineStr">
        <is>
          <t>ЕАЭС N RU Д-RU.РА05.В.94085/23</t>
        </is>
      </c>
      <c r="AG514" s="75" t="n"/>
      <c r="AJ514" s="79" t="inlineStr"/>
      <c r="AK514" s="79" t="n">
        <v>0</v>
      </c>
      <c r="BB514" s="590" t="inlineStr">
        <is>
          <t>КИ</t>
        </is>
      </c>
      <c r="BM514" s="75">
        <f>IFERROR(X514*I514/H514,"0")</f>
        <v/>
      </c>
      <c r="BN514" s="75">
        <f>IFERROR(Y514*I514/H514,"0")</f>
        <v/>
      </c>
      <c r="BO514" s="75">
        <f>IFERROR(1/J514*(X514/H514),"0")</f>
        <v/>
      </c>
      <c r="BP514" s="75">
        <f>IFERROR(1/J514*(Y514/H514),"0")</f>
        <v/>
      </c>
    </row>
    <row r="515">
      <c r="A515" s="677" t="n"/>
      <c r="B515" s="941" t="n"/>
      <c r="C515" s="941" t="n"/>
      <c r="D515" s="941" t="n"/>
      <c r="E515" s="941" t="n"/>
      <c r="F515" s="941" t="n"/>
      <c r="G515" s="941" t="n"/>
      <c r="H515" s="941" t="n"/>
      <c r="I515" s="941" t="n"/>
      <c r="J515" s="941" t="n"/>
      <c r="K515" s="941" t="n"/>
      <c r="L515" s="941" t="n"/>
      <c r="M515" s="941" t="n"/>
      <c r="N515" s="941" t="n"/>
      <c r="O515" s="997" t="n"/>
      <c r="P515" s="998" t="inlineStr">
        <is>
          <t>Итого</t>
        </is>
      </c>
      <c r="Q515" s="959" t="n"/>
      <c r="R515" s="959" t="n"/>
      <c r="S515" s="959" t="n"/>
      <c r="T515" s="959" t="n"/>
      <c r="U515" s="959" t="n"/>
      <c r="V515" s="960" t="n"/>
      <c r="W515" s="40" t="inlineStr">
        <is>
          <t>кор</t>
        </is>
      </c>
      <c r="X515" s="999">
        <f>IFERROR(X514/H514,"0")</f>
        <v/>
      </c>
      <c r="Y515" s="999">
        <f>IFERROR(Y514/H514,"0")</f>
        <v/>
      </c>
      <c r="Z515" s="999">
        <f>IFERROR(IF(Z514="",0,Z514),"0")</f>
        <v/>
      </c>
      <c r="AA515" s="1000" t="n"/>
      <c r="AB515" s="1000" t="n"/>
      <c r="AC515" s="1000" t="n"/>
    </row>
    <row r="516">
      <c r="A516" s="941" t="n"/>
      <c r="B516" s="941" t="n"/>
      <c r="C516" s="941" t="n"/>
      <c r="D516" s="941" t="n"/>
      <c r="E516" s="941" t="n"/>
      <c r="F516" s="941" t="n"/>
      <c r="G516" s="941" t="n"/>
      <c r="H516" s="941" t="n"/>
      <c r="I516" s="941" t="n"/>
      <c r="J516" s="941" t="n"/>
      <c r="K516" s="941" t="n"/>
      <c r="L516" s="941" t="n"/>
      <c r="M516" s="941" t="n"/>
      <c r="N516" s="941" t="n"/>
      <c r="O516" s="997" t="n"/>
      <c r="P516" s="998" t="inlineStr">
        <is>
          <t>Итого</t>
        </is>
      </c>
      <c r="Q516" s="959" t="n"/>
      <c r="R516" s="959" t="n"/>
      <c r="S516" s="959" t="n"/>
      <c r="T516" s="959" t="n"/>
      <c r="U516" s="959" t="n"/>
      <c r="V516" s="960" t="n"/>
      <c r="W516" s="40" t="inlineStr">
        <is>
          <t>кг</t>
        </is>
      </c>
      <c r="X516" s="999">
        <f>IFERROR(SUM(X514:X514),"0")</f>
        <v/>
      </c>
      <c r="Y516" s="999">
        <f>IFERROR(SUM(Y514:Y514),"0")</f>
        <v/>
      </c>
      <c r="Z516" s="40" t="n"/>
      <c r="AA516" s="1000" t="n"/>
      <c r="AB516" s="1000" t="n"/>
      <c r="AC516" s="1000" t="n"/>
    </row>
    <row r="517" ht="14.25" customHeight="1">
      <c r="A517" s="667" t="inlineStr">
        <is>
          <t>Сардельки</t>
        </is>
      </c>
      <c r="B517" s="941" t="n"/>
      <c r="C517" s="941" t="n"/>
      <c r="D517" s="941" t="n"/>
      <c r="E517" s="941" t="n"/>
      <c r="F517" s="941" t="n"/>
      <c r="G517" s="941" t="n"/>
      <c r="H517" s="941" t="n"/>
      <c r="I517" s="941" t="n"/>
      <c r="J517" s="941" t="n"/>
      <c r="K517" s="941" t="n"/>
      <c r="L517" s="941" t="n"/>
      <c r="M517" s="941" t="n"/>
      <c r="N517" s="941" t="n"/>
      <c r="O517" s="941" t="n"/>
      <c r="P517" s="941" t="n"/>
      <c r="Q517" s="941" t="n"/>
      <c r="R517" s="941" t="n"/>
      <c r="S517" s="941" t="n"/>
      <c r="T517" s="941" t="n"/>
      <c r="U517" s="941" t="n"/>
      <c r="V517" s="941" t="n"/>
      <c r="W517" s="941" t="n"/>
      <c r="X517" s="941" t="n"/>
      <c r="Y517" s="941" t="n"/>
      <c r="Z517" s="941" t="n"/>
      <c r="AA517" s="667" t="n"/>
      <c r="AB517" s="667" t="n"/>
      <c r="AC517" s="667" t="n"/>
    </row>
    <row r="518" ht="27" customHeight="1">
      <c r="A518" s="60" t="inlineStr">
        <is>
          <t>SU002970</t>
        </is>
      </c>
      <c r="B518" s="60" t="inlineStr">
        <is>
          <t>P005413</t>
        </is>
      </c>
      <c r="C518" s="34" t="n">
        <v>4301060535</v>
      </c>
      <c r="D518" s="668" t="n">
        <v>4640242180120</v>
      </c>
      <c r="E518" s="951" t="n"/>
      <c r="F518" s="990" t="n">
        <v>1.5</v>
      </c>
      <c r="G518" s="35" t="n">
        <v>6</v>
      </c>
      <c r="H518" s="990" t="n">
        <v>9</v>
      </c>
      <c r="I518" s="990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4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8" s="992" t="n"/>
      <c r="R518" s="992" t="n"/>
      <c r="S518" s="992" t="n"/>
      <c r="T518" s="993" t="n"/>
      <c r="U518" s="37" t="inlineStr"/>
      <c r="V518" s="37" t="inlineStr"/>
      <c r="W518" s="38" t="inlineStr">
        <is>
          <t>кг</t>
        </is>
      </c>
      <c r="X518" s="994" t="n">
        <v>0</v>
      </c>
      <c r="Y518" s="995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Д-RU.РА03.В.14135/26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 ht="27" customHeight="1">
      <c r="A519" s="60" t="inlineStr">
        <is>
          <t>SU002971</t>
        </is>
      </c>
      <c r="B519" s="60" t="inlineStr">
        <is>
          <t>P005414</t>
        </is>
      </c>
      <c r="C519" s="34" t="n">
        <v>4301060536</v>
      </c>
      <c r="D519" s="668" t="n">
        <v>4640242180137</v>
      </c>
      <c r="E519" s="951" t="n"/>
      <c r="F519" s="990" t="n">
        <v>1.5</v>
      </c>
      <c r="G519" s="35" t="n">
        <v>6</v>
      </c>
      <c r="H519" s="990" t="n">
        <v>9</v>
      </c>
      <c r="I519" s="990" t="n">
        <v>9.41</v>
      </c>
      <c r="J519" s="35" t="n">
        <v>64</v>
      </c>
      <c r="K519" s="35" t="inlineStr">
        <is>
          <t>8</t>
        </is>
      </c>
      <c r="L519" s="35" t="inlineStr"/>
      <c r="M519" s="36" t="inlineStr">
        <is>
          <t>СК3</t>
        </is>
      </c>
      <c r="N519" s="36" t="n"/>
      <c r="O519" s="35" t="n">
        <v>40</v>
      </c>
      <c r="P519" s="1255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9" s="992" t="n"/>
      <c r="R519" s="992" t="n"/>
      <c r="S519" s="992" t="n"/>
      <c r="T519" s="993" t="n"/>
      <c r="U519" s="37" t="inlineStr"/>
      <c r="V519" s="37" t="inlineStr"/>
      <c r="W519" s="38" t="inlineStr">
        <is>
          <t>кг</t>
        </is>
      </c>
      <c r="X519" s="994" t="n">
        <v>0</v>
      </c>
      <c r="Y519" s="995">
        <f>IFERROR(IF(X519="",0,CEILING((X519/$H519),1)*$H519),"")</f>
        <v/>
      </c>
      <c r="Z519" s="39">
        <f>IFERROR(IF(Y519=0,"",ROUNDUP(Y519/H519,0)*0.01898),"")</f>
        <v/>
      </c>
      <c r="AA519" s="65" t="inlineStr"/>
      <c r="AB519" s="66" t="inlineStr"/>
      <c r="AC519" s="593" t="inlineStr">
        <is>
          <t>ЕАЭС N RU Д-RU.РА03.В.14244/26</t>
        </is>
      </c>
      <c r="AG519" s="75" t="n"/>
      <c r="AJ519" s="79" t="inlineStr"/>
      <c r="AK519" s="79" t="n">
        <v>0</v>
      </c>
      <c r="BB519" s="594" t="inlineStr">
        <is>
          <t>КИ</t>
        </is>
      </c>
      <c r="BM519" s="75">
        <f>IFERROR(X519*I519/H519,"0")</f>
        <v/>
      </c>
      <c r="BN519" s="75">
        <f>IFERROR(Y519*I519/H519,"0")</f>
        <v/>
      </c>
      <c r="BO519" s="75">
        <f>IFERROR(1/J519*(X519/H519),"0")</f>
        <v/>
      </c>
      <c r="BP519" s="75">
        <f>IFERROR(1/J519*(Y519/H519),"0")</f>
        <v/>
      </c>
    </row>
    <row r="520">
      <c r="A520" s="677" t="n"/>
      <c r="B520" s="941" t="n"/>
      <c r="C520" s="941" t="n"/>
      <c r="D520" s="941" t="n"/>
      <c r="E520" s="941" t="n"/>
      <c r="F520" s="941" t="n"/>
      <c r="G520" s="941" t="n"/>
      <c r="H520" s="941" t="n"/>
      <c r="I520" s="941" t="n"/>
      <c r="J520" s="941" t="n"/>
      <c r="K520" s="941" t="n"/>
      <c r="L520" s="941" t="n"/>
      <c r="M520" s="941" t="n"/>
      <c r="N520" s="941" t="n"/>
      <c r="O520" s="997" t="n"/>
      <c r="P520" s="998" t="inlineStr">
        <is>
          <t>Итого</t>
        </is>
      </c>
      <c r="Q520" s="959" t="n"/>
      <c r="R520" s="959" t="n"/>
      <c r="S520" s="959" t="n"/>
      <c r="T520" s="959" t="n"/>
      <c r="U520" s="959" t="n"/>
      <c r="V520" s="960" t="n"/>
      <c r="W520" s="40" t="inlineStr">
        <is>
          <t>кор</t>
        </is>
      </c>
      <c r="X520" s="999">
        <f>IFERROR(X518/H518,"0")+IFERROR(X519/H519,"0")</f>
        <v/>
      </c>
      <c r="Y520" s="999">
        <f>IFERROR(Y518/H518,"0")+IFERROR(Y519/H519,"0")</f>
        <v/>
      </c>
      <c r="Z520" s="999">
        <f>IFERROR(IF(Z518="",0,Z518),"0")+IFERROR(IF(Z519="",0,Z519),"0")</f>
        <v/>
      </c>
      <c r="AA520" s="1000" t="n"/>
      <c r="AB520" s="1000" t="n"/>
      <c r="AC520" s="1000" t="n"/>
    </row>
    <row r="521">
      <c r="A521" s="941" t="n"/>
      <c r="B521" s="941" t="n"/>
      <c r="C521" s="941" t="n"/>
      <c r="D521" s="941" t="n"/>
      <c r="E521" s="941" t="n"/>
      <c r="F521" s="941" t="n"/>
      <c r="G521" s="941" t="n"/>
      <c r="H521" s="941" t="n"/>
      <c r="I521" s="941" t="n"/>
      <c r="J521" s="941" t="n"/>
      <c r="K521" s="941" t="n"/>
      <c r="L521" s="941" t="n"/>
      <c r="M521" s="941" t="n"/>
      <c r="N521" s="941" t="n"/>
      <c r="O521" s="997" t="n"/>
      <c r="P521" s="998" t="inlineStr">
        <is>
          <t>Итого</t>
        </is>
      </c>
      <c r="Q521" s="959" t="n"/>
      <c r="R521" s="959" t="n"/>
      <c r="S521" s="959" t="n"/>
      <c r="T521" s="959" t="n"/>
      <c r="U521" s="959" t="n"/>
      <c r="V521" s="960" t="n"/>
      <c r="W521" s="40" t="inlineStr">
        <is>
          <t>кг</t>
        </is>
      </c>
      <c r="X521" s="999">
        <f>IFERROR(SUM(X518:X519),"0")</f>
        <v/>
      </c>
      <c r="Y521" s="999">
        <f>IFERROR(SUM(Y518:Y519),"0")</f>
        <v/>
      </c>
      <c r="Z521" s="40" t="n"/>
      <c r="AA521" s="1000" t="n"/>
      <c r="AB521" s="1000" t="n"/>
      <c r="AC521" s="1000" t="n"/>
    </row>
    <row r="522" ht="16.5" customHeight="1">
      <c r="A522" s="666" t="inlineStr">
        <is>
          <t>Зареченские продукты Светофор</t>
        </is>
      </c>
      <c r="B522" s="941" t="n"/>
      <c r="C522" s="941" t="n"/>
      <c r="D522" s="941" t="n"/>
      <c r="E522" s="941" t="n"/>
      <c r="F522" s="941" t="n"/>
      <c r="G522" s="941" t="n"/>
      <c r="H522" s="941" t="n"/>
      <c r="I522" s="941" t="n"/>
      <c r="J522" s="941" t="n"/>
      <c r="K522" s="941" t="n"/>
      <c r="L522" s="941" t="n"/>
      <c r="M522" s="941" t="n"/>
      <c r="N522" s="941" t="n"/>
      <c r="O522" s="941" t="n"/>
      <c r="P522" s="941" t="n"/>
      <c r="Q522" s="941" t="n"/>
      <c r="R522" s="941" t="n"/>
      <c r="S522" s="941" t="n"/>
      <c r="T522" s="941" t="n"/>
      <c r="U522" s="941" t="n"/>
      <c r="V522" s="941" t="n"/>
      <c r="W522" s="941" t="n"/>
      <c r="X522" s="941" t="n"/>
      <c r="Y522" s="941" t="n"/>
      <c r="Z522" s="941" t="n"/>
      <c r="AA522" s="666" t="n"/>
      <c r="AB522" s="666" t="n"/>
      <c r="AC522" s="666" t="n"/>
    </row>
    <row r="523" ht="14.25" customHeight="1">
      <c r="A523" s="667" t="inlineStr">
        <is>
          <t>Ветчины</t>
        </is>
      </c>
      <c r="B523" s="941" t="n"/>
      <c r="C523" s="941" t="n"/>
      <c r="D523" s="941" t="n"/>
      <c r="E523" s="941" t="n"/>
      <c r="F523" s="941" t="n"/>
      <c r="G523" s="941" t="n"/>
      <c r="H523" s="941" t="n"/>
      <c r="I523" s="941" t="n"/>
      <c r="J523" s="941" t="n"/>
      <c r="K523" s="941" t="n"/>
      <c r="L523" s="941" t="n"/>
      <c r="M523" s="941" t="n"/>
      <c r="N523" s="941" t="n"/>
      <c r="O523" s="941" t="n"/>
      <c r="P523" s="941" t="n"/>
      <c r="Q523" s="941" t="n"/>
      <c r="R523" s="941" t="n"/>
      <c r="S523" s="941" t="n"/>
      <c r="T523" s="941" t="n"/>
      <c r="U523" s="941" t="n"/>
      <c r="V523" s="941" t="n"/>
      <c r="W523" s="941" t="n"/>
      <c r="X523" s="941" t="n"/>
      <c r="Y523" s="941" t="n"/>
      <c r="Z523" s="941" t="n"/>
      <c r="AA523" s="667" t="n"/>
      <c r="AB523" s="667" t="n"/>
      <c r="AC523" s="667" t="n"/>
    </row>
    <row r="524" ht="27" customHeight="1">
      <c r="A524" s="60" t="inlineStr">
        <is>
          <t>SU002967</t>
        </is>
      </c>
      <c r="B524" s="60" t="inlineStr">
        <is>
          <t>P005390</t>
        </is>
      </c>
      <c r="C524" s="34" t="n">
        <v>4301020428</v>
      </c>
      <c r="D524" s="668" t="n">
        <v>4640242180090</v>
      </c>
      <c r="E524" s="951" t="n"/>
      <c r="F524" s="990" t="n">
        <v>1.5</v>
      </c>
      <c r="G524" s="35" t="n">
        <v>8</v>
      </c>
      <c r="H524" s="990" t="n">
        <v>12</v>
      </c>
      <c r="I524" s="990" t="n">
        <v>12.41</v>
      </c>
      <c r="J524" s="35" t="n">
        <v>64</v>
      </c>
      <c r="K524" s="35" t="inlineStr">
        <is>
          <t>8</t>
        </is>
      </c>
      <c r="L524" s="35" t="inlineStr"/>
      <c r="M524" s="36" t="inlineStr">
        <is>
          <t>СК1</t>
        </is>
      </c>
      <c r="N524" s="36" t="n"/>
      <c r="O524" s="35" t="n">
        <v>50</v>
      </c>
      <c r="P524" s="1256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4" s="992" t="n"/>
      <c r="R524" s="992" t="n"/>
      <c r="S524" s="992" t="n"/>
      <c r="T524" s="993" t="n"/>
      <c r="U524" s="37" t="inlineStr"/>
      <c r="V524" s="37" t="inlineStr"/>
      <c r="W524" s="38" t="inlineStr">
        <is>
          <t>кг</t>
        </is>
      </c>
      <c r="X524" s="994" t="n">
        <v>0</v>
      </c>
      <c r="Y524" s="995">
        <f>IFERROR(IF(X524="",0,CEILING((X524/$H524),1)*$H524),"")</f>
        <v/>
      </c>
      <c r="Z524" s="39">
        <f>IFERROR(IF(Y524=0,"",ROUNDUP(Y524/H524,0)*0.01898),"")</f>
        <v/>
      </c>
      <c r="AA524" s="65" t="inlineStr"/>
      <c r="AB524" s="66" t="inlineStr"/>
      <c r="AC524" s="595" t="inlineStr">
        <is>
          <t>ЕАЭС N RU Д-RU.РА05.В.11990/23</t>
        </is>
      </c>
      <c r="AG524" s="75" t="n"/>
      <c r="AJ524" s="79" t="inlineStr"/>
      <c r="AK524" s="79" t="n">
        <v>0</v>
      </c>
      <c r="BB524" s="596" t="inlineStr">
        <is>
          <t>КИ</t>
        </is>
      </c>
      <c r="BM524" s="75">
        <f>IFERROR(X524*I524/H524,"0")</f>
        <v/>
      </c>
      <c r="BN524" s="75">
        <f>IFERROR(Y524*I524/H524,"0")</f>
        <v/>
      </c>
      <c r="BO524" s="75">
        <f>IFERROR(1/J524*(X524/H524),"0")</f>
        <v/>
      </c>
      <c r="BP524" s="75">
        <f>IFERROR(1/J524*(Y524/H524),"0")</f>
        <v/>
      </c>
    </row>
    <row r="525">
      <c r="A525" s="677" t="n"/>
      <c r="B525" s="941" t="n"/>
      <c r="C525" s="941" t="n"/>
      <c r="D525" s="941" t="n"/>
      <c r="E525" s="941" t="n"/>
      <c r="F525" s="941" t="n"/>
      <c r="G525" s="941" t="n"/>
      <c r="H525" s="941" t="n"/>
      <c r="I525" s="941" t="n"/>
      <c r="J525" s="941" t="n"/>
      <c r="K525" s="941" t="n"/>
      <c r="L525" s="941" t="n"/>
      <c r="M525" s="941" t="n"/>
      <c r="N525" s="941" t="n"/>
      <c r="O525" s="997" t="n"/>
      <c r="P525" s="998" t="inlineStr">
        <is>
          <t>Итого</t>
        </is>
      </c>
      <c r="Q525" s="959" t="n"/>
      <c r="R525" s="959" t="n"/>
      <c r="S525" s="959" t="n"/>
      <c r="T525" s="959" t="n"/>
      <c r="U525" s="959" t="n"/>
      <c r="V525" s="960" t="n"/>
      <c r="W525" s="40" t="inlineStr">
        <is>
          <t>кор</t>
        </is>
      </c>
      <c r="X525" s="999">
        <f>IFERROR(X524/H524,"0")</f>
        <v/>
      </c>
      <c r="Y525" s="999">
        <f>IFERROR(Y524/H524,"0")</f>
        <v/>
      </c>
      <c r="Z525" s="999">
        <f>IFERROR(IF(Z524="",0,Z524),"0")</f>
        <v/>
      </c>
      <c r="AA525" s="1000" t="n"/>
      <c r="AB525" s="1000" t="n"/>
      <c r="AC525" s="1000" t="n"/>
    </row>
    <row r="526">
      <c r="A526" s="941" t="n"/>
      <c r="B526" s="941" t="n"/>
      <c r="C526" s="941" t="n"/>
      <c r="D526" s="941" t="n"/>
      <c r="E526" s="941" t="n"/>
      <c r="F526" s="941" t="n"/>
      <c r="G526" s="941" t="n"/>
      <c r="H526" s="941" t="n"/>
      <c r="I526" s="941" t="n"/>
      <c r="J526" s="941" t="n"/>
      <c r="K526" s="941" t="n"/>
      <c r="L526" s="941" t="n"/>
      <c r="M526" s="941" t="n"/>
      <c r="N526" s="941" t="n"/>
      <c r="O526" s="997" t="n"/>
      <c r="P526" s="998" t="inlineStr">
        <is>
          <t>Итого</t>
        </is>
      </c>
      <c r="Q526" s="959" t="n"/>
      <c r="R526" s="959" t="n"/>
      <c r="S526" s="959" t="n"/>
      <c r="T526" s="959" t="n"/>
      <c r="U526" s="959" t="n"/>
      <c r="V526" s="960" t="n"/>
      <c r="W526" s="40" t="inlineStr">
        <is>
          <t>кг</t>
        </is>
      </c>
      <c r="X526" s="999">
        <f>IFERROR(SUM(X524:X524),"0")</f>
        <v/>
      </c>
      <c r="Y526" s="999">
        <f>IFERROR(SUM(Y524:Y524),"0")</f>
        <v/>
      </c>
      <c r="Z526" s="40" t="n"/>
      <c r="AA526" s="1000" t="n"/>
      <c r="AB526" s="1000" t="n"/>
      <c r="AC526" s="1000" t="n"/>
    </row>
    <row r="527" ht="15" customHeight="1">
      <c r="A527" s="937" t="n"/>
      <c r="B527" s="941" t="n"/>
      <c r="C527" s="941" t="n"/>
      <c r="D527" s="941" t="n"/>
      <c r="E527" s="941" t="n"/>
      <c r="F527" s="941" t="n"/>
      <c r="G527" s="941" t="n"/>
      <c r="H527" s="941" t="n"/>
      <c r="I527" s="941" t="n"/>
      <c r="J527" s="941" t="n"/>
      <c r="K527" s="941" t="n"/>
      <c r="L527" s="941" t="n"/>
      <c r="M527" s="941" t="n"/>
      <c r="N527" s="941" t="n"/>
      <c r="O527" s="948" t="n"/>
      <c r="P527" s="1257" t="inlineStr">
        <is>
          <t>ИТОГО НЕТТО</t>
        </is>
      </c>
      <c r="Q527" s="942" t="n"/>
      <c r="R527" s="942" t="n"/>
      <c r="S527" s="942" t="n"/>
      <c r="T527" s="942" t="n"/>
      <c r="U527" s="942" t="n"/>
      <c r="V527" s="943" t="n"/>
      <c r="W527" s="40" t="inlineStr">
        <is>
          <t>кг</t>
        </is>
      </c>
      <c r="X527" s="999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/>
      </c>
      <c r="Y527" s="999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/>
      </c>
      <c r="Z527" s="40" t="n"/>
      <c r="AA527" s="1000" t="n"/>
      <c r="AB527" s="1000" t="n"/>
      <c r="AC527" s="1000" t="n"/>
    </row>
    <row r="528">
      <c r="A528" s="941" t="n"/>
      <c r="B528" s="941" t="n"/>
      <c r="C528" s="941" t="n"/>
      <c r="D528" s="941" t="n"/>
      <c r="E528" s="941" t="n"/>
      <c r="F528" s="941" t="n"/>
      <c r="G528" s="941" t="n"/>
      <c r="H528" s="941" t="n"/>
      <c r="I528" s="941" t="n"/>
      <c r="J528" s="941" t="n"/>
      <c r="K528" s="941" t="n"/>
      <c r="L528" s="941" t="n"/>
      <c r="M528" s="941" t="n"/>
      <c r="N528" s="941" t="n"/>
      <c r="O528" s="948" t="n"/>
      <c r="P528" s="1257" t="inlineStr">
        <is>
          <t>ИТОГО БРУТТО</t>
        </is>
      </c>
      <c r="Q528" s="942" t="n"/>
      <c r="R528" s="942" t="n"/>
      <c r="S528" s="942" t="n"/>
      <c r="T528" s="942" t="n"/>
      <c r="U528" s="942" t="n"/>
      <c r="V528" s="943" t="n"/>
      <c r="W528" s="40" t="inlineStr">
        <is>
          <t>кг</t>
        </is>
      </c>
      <c r="X528" s="999">
        <f>IFERROR(SUM(BM22:BM524),"0")</f>
        <v/>
      </c>
      <c r="Y528" s="999">
        <f>IFERROR(SUM(BN22:BN524),"0")</f>
        <v/>
      </c>
      <c r="Z528" s="40" t="n"/>
      <c r="AA528" s="1000" t="n"/>
      <c r="AB528" s="1000" t="n"/>
      <c r="AC528" s="1000" t="n"/>
    </row>
    <row r="529">
      <c r="A529" s="941" t="n"/>
      <c r="B529" s="941" t="n"/>
      <c r="C529" s="941" t="n"/>
      <c r="D529" s="941" t="n"/>
      <c r="E529" s="941" t="n"/>
      <c r="F529" s="941" t="n"/>
      <c r="G529" s="941" t="n"/>
      <c r="H529" s="941" t="n"/>
      <c r="I529" s="941" t="n"/>
      <c r="J529" s="941" t="n"/>
      <c r="K529" s="941" t="n"/>
      <c r="L529" s="941" t="n"/>
      <c r="M529" s="941" t="n"/>
      <c r="N529" s="941" t="n"/>
      <c r="O529" s="948" t="n"/>
      <c r="P529" s="1257" t="inlineStr">
        <is>
          <t>Кол-во паллет</t>
        </is>
      </c>
      <c r="Q529" s="942" t="n"/>
      <c r="R529" s="942" t="n"/>
      <c r="S529" s="942" t="n"/>
      <c r="T529" s="942" t="n"/>
      <c r="U529" s="942" t="n"/>
      <c r="V529" s="943" t="n"/>
      <c r="W529" s="40" t="inlineStr">
        <is>
          <t>шт</t>
        </is>
      </c>
      <c r="X529" s="42">
        <f>ROUNDUP(SUM(BO22:BO524),0)</f>
        <v/>
      </c>
      <c r="Y529" s="42">
        <f>ROUNDUP(SUM(BP22:BP524),0)</f>
        <v/>
      </c>
      <c r="Z529" s="40" t="n"/>
      <c r="AA529" s="1000" t="n"/>
      <c r="AB529" s="1000" t="n"/>
      <c r="AC529" s="1000" t="n"/>
    </row>
    <row r="530">
      <c r="A530" s="941" t="n"/>
      <c r="B530" s="941" t="n"/>
      <c r="C530" s="941" t="n"/>
      <c r="D530" s="941" t="n"/>
      <c r="E530" s="941" t="n"/>
      <c r="F530" s="941" t="n"/>
      <c r="G530" s="941" t="n"/>
      <c r="H530" s="941" t="n"/>
      <c r="I530" s="941" t="n"/>
      <c r="J530" s="941" t="n"/>
      <c r="K530" s="941" t="n"/>
      <c r="L530" s="941" t="n"/>
      <c r="M530" s="941" t="n"/>
      <c r="N530" s="941" t="n"/>
      <c r="O530" s="948" t="n"/>
      <c r="P530" s="1257" t="inlineStr">
        <is>
          <t>Вес брутто  с паллетами</t>
        </is>
      </c>
      <c r="Q530" s="942" t="n"/>
      <c r="R530" s="942" t="n"/>
      <c r="S530" s="942" t="n"/>
      <c r="T530" s="942" t="n"/>
      <c r="U530" s="942" t="n"/>
      <c r="V530" s="943" t="n"/>
      <c r="W530" s="40" t="inlineStr">
        <is>
          <t>кг</t>
        </is>
      </c>
      <c r="X530" s="999">
        <f>GrossWeightTotal+PalletQtyTotal*25</f>
        <v/>
      </c>
      <c r="Y530" s="999">
        <f>GrossWeightTotalR+PalletQtyTotalR*25</f>
        <v/>
      </c>
      <c r="Z530" s="40" t="n"/>
      <c r="AA530" s="1000" t="n"/>
      <c r="AB530" s="1000" t="n"/>
      <c r="AC530" s="1000" t="n"/>
    </row>
    <row r="531">
      <c r="A531" s="941" t="n"/>
      <c r="B531" s="941" t="n"/>
      <c r="C531" s="941" t="n"/>
      <c r="D531" s="941" t="n"/>
      <c r="E531" s="941" t="n"/>
      <c r="F531" s="941" t="n"/>
      <c r="G531" s="941" t="n"/>
      <c r="H531" s="941" t="n"/>
      <c r="I531" s="941" t="n"/>
      <c r="J531" s="941" t="n"/>
      <c r="K531" s="941" t="n"/>
      <c r="L531" s="941" t="n"/>
      <c r="M531" s="941" t="n"/>
      <c r="N531" s="941" t="n"/>
      <c r="O531" s="948" t="n"/>
      <c r="P531" s="1257" t="inlineStr">
        <is>
          <t>Кол-во коробок</t>
        </is>
      </c>
      <c r="Q531" s="942" t="n"/>
      <c r="R531" s="942" t="n"/>
      <c r="S531" s="942" t="n"/>
      <c r="T531" s="942" t="n"/>
      <c r="U531" s="942" t="n"/>
      <c r="V531" s="943" t="n"/>
      <c r="W531" s="40" t="inlineStr">
        <is>
          <t>шт</t>
        </is>
      </c>
      <c r="X531" s="999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/>
      </c>
      <c r="Y531" s="999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/>
      </c>
      <c r="Z531" s="40" t="n"/>
      <c r="AA531" s="1000" t="n"/>
      <c r="AB531" s="1000" t="n"/>
      <c r="AC531" s="1000" t="n"/>
    </row>
    <row r="532" ht="14.25" customHeight="1">
      <c r="A532" s="941" t="n"/>
      <c r="B532" s="941" t="n"/>
      <c r="C532" s="941" t="n"/>
      <c r="D532" s="941" t="n"/>
      <c r="E532" s="941" t="n"/>
      <c r="F532" s="941" t="n"/>
      <c r="G532" s="941" t="n"/>
      <c r="H532" s="941" t="n"/>
      <c r="I532" s="941" t="n"/>
      <c r="J532" s="941" t="n"/>
      <c r="K532" s="941" t="n"/>
      <c r="L532" s="941" t="n"/>
      <c r="M532" s="941" t="n"/>
      <c r="N532" s="941" t="n"/>
      <c r="O532" s="948" t="n"/>
      <c r="P532" s="1257" t="inlineStr">
        <is>
          <t>Объем заказа</t>
        </is>
      </c>
      <c r="Q532" s="942" t="n"/>
      <c r="R532" s="942" t="n"/>
      <c r="S532" s="942" t="n"/>
      <c r="T532" s="942" t="n"/>
      <c r="U532" s="942" t="n"/>
      <c r="V532" s="943" t="n"/>
      <c r="W532" s="43" t="inlineStr">
        <is>
          <t>м3</t>
        </is>
      </c>
      <c r="X532" s="40" t="n"/>
      <c r="Y532" s="40" t="n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/>
      </c>
      <c r="AA532" s="1000" t="n"/>
      <c r="AB532" s="1000" t="n"/>
      <c r="AC532" s="1000" t="n"/>
    </row>
    <row r="533" ht="13.5" customHeight="1" thickBot="1"/>
    <row r="534" ht="27" customHeight="1" thickBot="1" thickTop="1">
      <c r="A534" s="44" t="inlineStr">
        <is>
          <t>ТОРГОВАЯ МАРКА</t>
        </is>
      </c>
      <c r="B534" s="940" t="inlineStr">
        <is>
          <t>Ядрена копоть</t>
        </is>
      </c>
      <c r="C534" s="940" t="inlineStr">
        <is>
          <t>Горячая штучка</t>
        </is>
      </c>
      <c r="D534" s="940" t="inlineStr">
        <is>
          <t>Вязанка</t>
        </is>
      </c>
      <c r="E534" s="1258" t="n"/>
      <c r="F534" s="1258" t="n"/>
      <c r="G534" s="1258" t="n"/>
      <c r="H534" s="1258" t="n"/>
      <c r="I534" s="1258" t="n"/>
      <c r="J534" s="1259" t="n"/>
      <c r="K534" s="940" t="inlineStr">
        <is>
          <t>Стародворье</t>
        </is>
      </c>
      <c r="L534" s="1258" t="n"/>
      <c r="M534" s="1258" t="n"/>
      <c r="N534" s="1258" t="n"/>
      <c r="O534" s="1258" t="n"/>
      <c r="P534" s="1258" t="n"/>
      <c r="Q534" s="1258" t="n"/>
      <c r="R534" s="1258" t="n"/>
      <c r="S534" s="1258" t="n"/>
      <c r="T534" s="1258" t="n"/>
      <c r="U534" s="1259" t="n"/>
      <c r="V534" s="940" t="inlineStr">
        <is>
          <t>Особый рецепт</t>
        </is>
      </c>
      <c r="W534" s="1259" t="n"/>
      <c r="X534" s="940" t="inlineStr">
        <is>
          <t>Баварушка</t>
        </is>
      </c>
      <c r="Y534" s="1259" t="n"/>
      <c r="Z534" s="940" t="inlineStr">
        <is>
          <t>Дугушка</t>
        </is>
      </c>
      <c r="AA534" s="940" t="inlineStr">
        <is>
          <t>Зареченские продукты</t>
        </is>
      </c>
      <c r="AB534" s="1259" t="n"/>
      <c r="AC534" s="9" t="n"/>
      <c r="AF534" s="941" t="n"/>
    </row>
    <row r="535" ht="14.25" customHeight="1" thickTop="1">
      <c r="A535" s="938" t="inlineStr">
        <is>
          <t>СЕРИЯ</t>
        </is>
      </c>
      <c r="B535" s="940" t="inlineStr">
        <is>
          <t>Ядрена копоть</t>
        </is>
      </c>
      <c r="C535" s="940" t="inlineStr">
        <is>
          <t>Горячая штучка КИ</t>
        </is>
      </c>
      <c r="D535" s="940" t="inlineStr">
        <is>
          <t>ГОСТ</t>
        </is>
      </c>
      <c r="E535" s="940" t="inlineStr">
        <is>
          <t>Филейская</t>
        </is>
      </c>
      <c r="F535" s="940" t="inlineStr">
        <is>
          <t>Молокуша</t>
        </is>
      </c>
      <c r="G535" s="940" t="inlineStr">
        <is>
          <t>Сливушка</t>
        </is>
      </c>
      <c r="H535" s="940" t="inlineStr">
        <is>
          <t>Халяль</t>
        </is>
      </c>
      <c r="I535" s="940" t="inlineStr">
        <is>
          <t>Хайперсы</t>
        </is>
      </c>
      <c r="J535" s="940" t="inlineStr">
        <is>
          <t>Вязанка</t>
        </is>
      </c>
      <c r="K535" s="940" t="inlineStr">
        <is>
          <t>Золоченная в печи</t>
        </is>
      </c>
      <c r="L535" s="940" t="inlineStr">
        <is>
          <t>Мясорубская</t>
        </is>
      </c>
      <c r="M535" s="940" t="inlineStr">
        <is>
          <t>Сочинка</t>
        </is>
      </c>
      <c r="N535" s="941" t="n"/>
      <c r="O535" s="940" t="inlineStr">
        <is>
          <t>Стародворская</t>
        </is>
      </c>
      <c r="P535" s="940" t="inlineStr">
        <is>
          <t>Филедворская по-стародворски</t>
        </is>
      </c>
      <c r="Q535" s="940" t="inlineStr">
        <is>
          <t>Сочинка по-баварски</t>
        </is>
      </c>
      <c r="R535" s="940" t="inlineStr">
        <is>
          <t>Стародворская EDLP/EDPP</t>
        </is>
      </c>
      <c r="S535" s="940" t="inlineStr">
        <is>
          <t>Тамбовская в обвязке</t>
        </is>
      </c>
      <c r="T535" s="940" t="inlineStr">
        <is>
          <t>Бордо</t>
        </is>
      </c>
      <c r="U535" s="940" t="inlineStr">
        <is>
          <t>Бавария</t>
        </is>
      </c>
      <c r="V535" s="940" t="inlineStr">
        <is>
          <t>Особая</t>
        </is>
      </c>
      <c r="W535" s="940" t="inlineStr">
        <is>
          <t>Особая Без свинины</t>
        </is>
      </c>
      <c r="X535" s="940" t="inlineStr">
        <is>
          <t>Филейбургская</t>
        </is>
      </c>
      <c r="Y535" s="940" t="inlineStr">
        <is>
          <t>Балыкбургская</t>
        </is>
      </c>
      <c r="Z535" s="940" t="inlineStr">
        <is>
          <t>Дугушка</t>
        </is>
      </c>
      <c r="AA535" s="940" t="inlineStr">
        <is>
          <t>Зареченские продукты</t>
        </is>
      </c>
      <c r="AB535" s="940" t="inlineStr">
        <is>
          <t>Зареченские продукты Светофор</t>
        </is>
      </c>
      <c r="AC535" s="9" t="n"/>
      <c r="AF535" s="941" t="n"/>
    </row>
    <row r="536" ht="13.5" customHeight="1" thickBot="1">
      <c r="A536" s="1260" t="n"/>
      <c r="B536" s="1261" t="n"/>
      <c r="C536" s="1261" t="n"/>
      <c r="D536" s="1261" t="n"/>
      <c r="E536" s="1261" t="n"/>
      <c r="F536" s="1261" t="n"/>
      <c r="G536" s="1261" t="n"/>
      <c r="H536" s="1261" t="n"/>
      <c r="I536" s="1261" t="n"/>
      <c r="J536" s="1261" t="n"/>
      <c r="K536" s="1261" t="n"/>
      <c r="L536" s="1261" t="n"/>
      <c r="M536" s="1261" t="n"/>
      <c r="N536" s="941" t="n"/>
      <c r="O536" s="1261" t="n"/>
      <c r="P536" s="1261" t="n"/>
      <c r="Q536" s="1261" t="n"/>
      <c r="R536" s="1261" t="n"/>
      <c r="S536" s="1261" t="n"/>
      <c r="T536" s="1261" t="n"/>
      <c r="U536" s="1261" t="n"/>
      <c r="V536" s="1261" t="n"/>
      <c r="W536" s="1261" t="n"/>
      <c r="X536" s="1261" t="n"/>
      <c r="Y536" s="1261" t="n"/>
      <c r="Z536" s="1261" t="n"/>
      <c r="AA536" s="1261" t="n"/>
      <c r="AB536" s="1261" t="n"/>
      <c r="AC536" s="9" t="n"/>
      <c r="AF536" s="941" t="n"/>
    </row>
    <row r="537" ht="18" customHeight="1" thickBot="1" thickTop="1">
      <c r="A537" s="44" t="inlineStr">
        <is>
          <t>ИТОГО, кг</t>
        </is>
      </c>
      <c r="B537" s="50">
        <f>IFERROR(Y22*1,"0")+IFERROR(Y23*1,"0")+IFERROR(Y27*1,"0")+IFERROR(Y28*1,"0")+IFERROR(Y29*1,"0")+IFERROR(Y30*1,"0")+IFERROR(Y31*1,"0")+IFERROR(Y32*1,"0")+IFERROR(Y36*1,"0")</f>
        <v/>
      </c>
      <c r="C537" s="50">
        <f>IFERROR(Y42*1,"0")+IFERROR(Y43*1,"0")+IFERROR(Y44*1,"0")+IFERROR(Y45*1,"0")</f>
        <v/>
      </c>
      <c r="D537" s="50">
        <f>IFERROR(Y51*1,"0")+IFERROR(Y52*1,"0")+IFERROR(Y53*1,"0")+IFERROR(Y54*1,"0")</f>
        <v/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7" s="50">
        <f>IFERROR(Y87*1,"0")+IFERROR(Y88*1,"0")+IFERROR(Y89*1,"0")+IFERROR(Y90*1,"0")+IFERROR(Y94*1,"0")+IFERROR(Y95*1,"0")+IFERROR(Y96*1,"0")+IFERROR(Y97*1,"0")</f>
        <v/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7" s="50">
        <f>IFERROR(Y133*1,"0")+IFERROR(Y134*1,"0")+IFERROR(Y138*1,"0")+IFERROR(Y139*1,"0")+IFERROR(Y143*1,"0")+IFERROR(Y144*1,"0")</f>
        <v/>
      </c>
      <c r="I537" s="50">
        <f>IFERROR(Y149*1,"0")+IFERROR(Y150*1,"0")+IFERROR(Y151*1,"0")+IFERROR(Y152*1,"0")</f>
        <v/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7" s="50">
        <f>IFERROR(Y196*1,"0")+IFERROR(Y197*1,"0")+IFERROR(Y198*1,"0")+IFERROR(Y199*1,"0")</f>
        <v/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7" s="941" t="n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7" s="50">
        <f>IFERROR(Y309*1,"0")+IFERROR(Y310*1,"0")+IFERROR(Y311*1,"0")+IFERROR(Y312*1,"0")+IFERROR(Y313*1,"0")</f>
        <v/>
      </c>
      <c r="Q537" s="50">
        <f>IFERROR(Y318*1,"0")+IFERROR(Y319*1,"0")+IFERROR(Y320*1,"0")</f>
        <v/>
      </c>
      <c r="R537" s="50">
        <f>IFERROR(Y325*1,"0")+IFERROR(Y326*1,"0")+IFERROR(Y327*1,"0")+IFERROR(Y328*1,"0")+IFERROR(Y329*1,"0")+IFERROR(Y333*1,"0")+IFERROR(Y334*1,"0")</f>
        <v/>
      </c>
      <c r="S537" s="50">
        <f>IFERROR(Y339*1,"0")+IFERROR(Y340*1,"0")+IFERROR(Y341*1,"0")</f>
        <v/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/>
      </c>
      <c r="U537" s="50">
        <f>IFERROR(Y392*1,"0")+IFERROR(Y393*1,"0")+IFERROR(Y394*1,"0")</f>
        <v/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/>
      </c>
      <c r="W537" s="50">
        <f>IFERROR(Y427*1,"0")+IFERROR(Y428*1,"0")+IFERROR(Y432*1,"0")+IFERROR(Y436*1,"0")+IFERROR(Y437*1,"0")+IFERROR(Y438*1,"0")</f>
        <v/>
      </c>
      <c r="X537" s="50">
        <f>IFERROR(Y444*1,"0")+IFERROR(Y445*1,"0")+IFERROR(Y446*1,"0")+IFERROR(Y447*1,"0")+IFERROR(Y448*1,"0")+IFERROR(Y449*1,"0")+IFERROR(Y453*1,"0")+IFERROR(Y454*1,"0")</f>
        <v/>
      </c>
      <c r="Y537" s="50">
        <f>IFERROR(Y459*1,"0")+IFERROR(Y463*1,"0")+IFERROR(Y464*1,"0")+IFERROR(Y465*1,"0")</f>
        <v/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/>
      </c>
      <c r="AA537" s="50">
        <f>IFERROR(Y501*1,"0")+IFERROR(Y505*1,"0")+IFERROR(Y509*1,"0")+IFERROR(Y510*1,"0")+IFERROR(Y514*1,"0")+IFERROR(Y518*1,"0")+IFERROR(Y519*1,"0")</f>
        <v/>
      </c>
      <c r="AB537" s="50">
        <f>IFERROR(Y524*1,"0")</f>
        <v/>
      </c>
      <c r="AC537" s="9" t="n"/>
      <c r="AF537" s="941" t="n"/>
    </row>
    <row r="538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SFctwdYjkgDzZTc5giy0Zw==" formatRows="1" sort="0" spinCount="100000" hashValue="nSCAnlF5WSqXgUTixSfF06ufBIEd7lrevC7hYToQQP1wjuHiG7Ztq9Bt0HZvzote+8bf7xokjQ9hY3gsI++4JQ=="/>
  <autoFilter ref="A18:AF53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3">
    <mergeCell ref="D473:E473"/>
    <mergeCell ref="D60:E60"/>
    <mergeCell ref="P437:T437"/>
    <mergeCell ref="P144:T144"/>
    <mergeCell ref="P231:T231"/>
    <mergeCell ref="P302:T302"/>
    <mergeCell ref="D174:E174"/>
    <mergeCell ref="D472:E472"/>
    <mergeCell ref="P451:V451"/>
    <mergeCell ref="A276:Z276"/>
    <mergeCell ref="A441:Z441"/>
    <mergeCell ref="P516:V516"/>
    <mergeCell ref="H9:I9"/>
    <mergeCell ref="D45:E45"/>
    <mergeCell ref="P24:V24"/>
    <mergeCell ref="A49:Z49"/>
    <mergeCell ref="P322:V322"/>
    <mergeCell ref="P260:V260"/>
    <mergeCell ref="P454:T454"/>
    <mergeCell ref="D297:E297"/>
    <mergeCell ref="P259:V259"/>
    <mergeCell ref="P153:V153"/>
    <mergeCell ref="D70:E70"/>
    <mergeCell ref="D312:E312"/>
    <mergeCell ref="P511:V511"/>
    <mergeCell ref="D505:E505"/>
    <mergeCell ref="P518:T518"/>
    <mergeCell ref="D263:E263"/>
    <mergeCell ref="P220:T220"/>
    <mergeCell ref="P328:T328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D71:E71"/>
    <mergeCell ref="P392:T392"/>
    <mergeCell ref="P326:T326"/>
    <mergeCell ref="P221:T221"/>
    <mergeCell ref="P386:T386"/>
    <mergeCell ref="P215:T215"/>
    <mergeCell ref="A145:O146"/>
    <mergeCell ref="P28:T28"/>
    <mergeCell ref="A46:O47"/>
    <mergeCell ref="P432:T432"/>
    <mergeCell ref="P152:T152"/>
    <mergeCell ref="P30:T30"/>
    <mergeCell ref="P375:V375"/>
    <mergeCell ref="P141:V141"/>
    <mergeCell ref="A140:O141"/>
    <mergeCell ref="P206:V206"/>
    <mergeCell ref="A202:Z202"/>
    <mergeCell ref="P233:V233"/>
    <mergeCell ref="A58:Z58"/>
    <mergeCell ref="A500:Z500"/>
    <mergeCell ref="P37:V37"/>
    <mergeCell ref="P104:T104"/>
    <mergeCell ref="P466:V466"/>
    <mergeCell ref="B17:B18"/>
    <mergeCell ref="D479:E479"/>
    <mergeCell ref="P248:V248"/>
    <mergeCell ref="A431:Z431"/>
    <mergeCell ref="P506:V506"/>
    <mergeCell ref="D258:E258"/>
    <mergeCell ref="D494:E494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P299:V299"/>
    <mergeCell ref="P366:T366"/>
    <mergeCell ref="D287:E287"/>
    <mergeCell ref="P170:T170"/>
    <mergeCell ref="D474:E474"/>
    <mergeCell ref="D197:E197"/>
    <mergeCell ref="P381:T381"/>
    <mergeCell ref="D253:E253"/>
    <mergeCell ref="D53:E53"/>
    <mergeCell ref="D351:E351"/>
    <mergeCell ref="B535:B536"/>
    <mergeCell ref="D411:E411"/>
    <mergeCell ref="P330:V330"/>
    <mergeCell ref="D289:E289"/>
    <mergeCell ref="P159:V159"/>
    <mergeCell ref="P395:V395"/>
    <mergeCell ref="P209:T209"/>
    <mergeCell ref="K534:U534"/>
    <mergeCell ref="P445:T445"/>
    <mergeCell ref="A50:Z50"/>
    <mergeCell ref="W17:W18"/>
    <mergeCell ref="P532:V532"/>
    <mergeCell ref="P503:V503"/>
    <mergeCell ref="P388:V388"/>
    <mergeCell ref="A384:Z384"/>
    <mergeCell ref="A86:Z86"/>
    <mergeCell ref="P154:V154"/>
    <mergeCell ref="A513:Z513"/>
    <mergeCell ref="D378:E378"/>
    <mergeCell ref="D7:M7"/>
    <mergeCell ref="D365:E365"/>
    <mergeCell ref="P91:V91"/>
    <mergeCell ref="P236:T236"/>
    <mergeCell ref="P334:T334"/>
    <mergeCell ref="P394:T394"/>
    <mergeCell ref="D144:E144"/>
    <mergeCell ref="W535:W536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79:E379"/>
    <mergeCell ref="D208:E208"/>
    <mergeCell ref="D8:M8"/>
    <mergeCell ref="A382:O383"/>
    <mergeCell ref="D366:E366"/>
    <mergeCell ref="P44:T44"/>
    <mergeCell ref="P279:V279"/>
    <mergeCell ref="P31:T31"/>
    <mergeCell ref="P473:T473"/>
    <mergeCell ref="A462:Z462"/>
    <mergeCell ref="P329:T329"/>
    <mergeCell ref="P158:T158"/>
    <mergeCell ref="D139:E139"/>
    <mergeCell ref="D406:E406"/>
    <mergeCell ref="P118:V118"/>
    <mergeCell ref="P487:V487"/>
    <mergeCell ref="A511:O512"/>
    <mergeCell ref="P343:V343"/>
    <mergeCell ref="A98:O99"/>
    <mergeCell ref="P266:T266"/>
    <mergeCell ref="P530:V530"/>
    <mergeCell ref="P95:T95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D501:E501"/>
    <mergeCell ref="A237:O238"/>
    <mergeCell ref="D495:E495"/>
    <mergeCell ref="A66:O67"/>
    <mergeCell ref="A101:Z101"/>
    <mergeCell ref="P405:T405"/>
    <mergeCell ref="D326:E326"/>
    <mergeCell ref="P476:T476"/>
    <mergeCell ref="D28:E28"/>
    <mergeCell ref="D313:E313"/>
    <mergeCell ref="D432:E432"/>
    <mergeCell ref="D236:E236"/>
    <mergeCell ref="D117:E117"/>
    <mergeCell ref="P171:T171"/>
    <mergeCell ref="P413:T413"/>
    <mergeCell ref="P242:T242"/>
    <mergeCell ref="D524:E524"/>
    <mergeCell ref="P407:T407"/>
    <mergeCell ref="D30:E30"/>
    <mergeCell ref="D5:E5"/>
    <mergeCell ref="D303:E303"/>
    <mergeCell ref="P453:T453"/>
    <mergeCell ref="P42:T42"/>
    <mergeCell ref="D94:E94"/>
    <mergeCell ref="D361:E361"/>
    <mergeCell ref="D417:E417"/>
    <mergeCell ref="P471:T471"/>
    <mergeCell ref="P396:V396"/>
    <mergeCell ref="P98:V98"/>
    <mergeCell ref="A395:O396"/>
    <mergeCell ref="D69:E69"/>
    <mergeCell ref="A109:O110"/>
    <mergeCell ref="R535:R536"/>
    <mergeCell ref="T535:T536"/>
    <mergeCell ref="AA534:AB534"/>
    <mergeCell ref="P460:V460"/>
    <mergeCell ref="P177:V177"/>
    <mergeCell ref="P33:V33"/>
    <mergeCell ref="D356:E356"/>
    <mergeCell ref="A300:Z300"/>
    <mergeCell ref="P335:V335"/>
    <mergeCell ref="A535:A536"/>
    <mergeCell ref="P164:V164"/>
    <mergeCell ref="C535:C536"/>
    <mergeCell ref="A458:Z458"/>
    <mergeCell ref="A452:Z452"/>
    <mergeCell ref="A281:Z281"/>
    <mergeCell ref="A523:Z523"/>
    <mergeCell ref="P273:T273"/>
    <mergeCell ref="P526:V526"/>
    <mergeCell ref="D387:E387"/>
    <mergeCell ref="P400:T400"/>
    <mergeCell ref="D272:E272"/>
    <mergeCell ref="D514:E514"/>
    <mergeCell ref="D381:E381"/>
    <mergeCell ref="A345:Z345"/>
    <mergeCell ref="A316:Z316"/>
    <mergeCell ref="D210:E210"/>
    <mergeCell ref="D380:E380"/>
    <mergeCell ref="D209:E209"/>
    <mergeCell ref="A282:Z282"/>
    <mergeCell ref="P464:T464"/>
    <mergeCell ref="A187:O188"/>
    <mergeCell ref="D445:E445"/>
    <mergeCell ref="P402:T402"/>
    <mergeCell ref="D301:E301"/>
    <mergeCell ref="P188:V188"/>
    <mergeCell ref="A423:O424"/>
    <mergeCell ref="D122:E122"/>
    <mergeCell ref="P116:T116"/>
    <mergeCell ref="P32:T32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P409:V409"/>
    <mergeCell ref="J17:J18"/>
    <mergeCell ref="A91:O92"/>
    <mergeCell ref="D82:E82"/>
    <mergeCell ref="L17:L18"/>
    <mergeCell ref="A184:Z184"/>
    <mergeCell ref="P255:T255"/>
    <mergeCell ref="A100:Z100"/>
    <mergeCell ref="A371:Z371"/>
    <mergeCell ref="A165:Z165"/>
    <mergeCell ref="D334:E334"/>
    <mergeCell ref="P321:V321"/>
    <mergeCell ref="P125:V125"/>
    <mergeCell ref="A308:Z308"/>
    <mergeCell ref="P428:T428"/>
    <mergeCell ref="A414:O415"/>
    <mergeCell ref="P284:T284"/>
    <mergeCell ref="A344:Z344"/>
    <mergeCell ref="A229:Z229"/>
    <mergeCell ref="P17:T18"/>
    <mergeCell ref="P113:T113"/>
    <mergeCell ref="A148:Z148"/>
    <mergeCell ref="P63:T63"/>
    <mergeCell ref="P492:T492"/>
    <mergeCell ref="D31:E31"/>
    <mergeCell ref="D329:E329"/>
    <mergeCell ref="P286:T286"/>
    <mergeCell ref="P479:T479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A480:O481"/>
    <mergeCell ref="P350:T350"/>
    <mergeCell ref="P201:V201"/>
    <mergeCell ref="I17:I18"/>
    <mergeCell ref="P176:V176"/>
    <mergeCell ref="P424:V424"/>
    <mergeCell ref="P287:T287"/>
    <mergeCell ref="A522:Z522"/>
    <mergeCell ref="D72:E72"/>
    <mergeCell ref="P295:V295"/>
    <mergeCell ref="A120:Z120"/>
    <mergeCell ref="P34:V34"/>
    <mergeCell ref="A239:Z239"/>
    <mergeCell ref="Q9:R9"/>
    <mergeCell ref="P312:T312"/>
    <mergeCell ref="D255:E255"/>
    <mergeCell ref="Q535:Q536"/>
    <mergeCell ref="A37:O38"/>
    <mergeCell ref="S535:S536"/>
    <mergeCell ref="I535:I536"/>
    <mergeCell ref="Q11:R11"/>
    <mergeCell ref="K535:K536"/>
    <mergeCell ref="D453:E453"/>
    <mergeCell ref="A6:C6"/>
    <mergeCell ref="D309:E309"/>
    <mergeCell ref="D113:E113"/>
    <mergeCell ref="P415:V415"/>
    <mergeCell ref="P180:T180"/>
    <mergeCell ref="P167:T167"/>
    <mergeCell ref="P336:V336"/>
    <mergeCell ref="A332:Z332"/>
    <mergeCell ref="A161:Z161"/>
    <mergeCell ref="D88:E88"/>
    <mergeCell ref="P403:T403"/>
    <mergeCell ref="P378:T378"/>
    <mergeCell ref="A259:O260"/>
    <mergeCell ref="P117:T117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06:T406"/>
    <mergeCell ref="P340:T340"/>
    <mergeCell ref="P135:V135"/>
    <mergeCell ref="P362:V362"/>
    <mergeCell ref="P191:V191"/>
    <mergeCell ref="D179:E179"/>
    <mergeCell ref="P420:V420"/>
    <mergeCell ref="D166:E166"/>
    <mergeCell ref="A410:Z410"/>
    <mergeCell ref="D464:E464"/>
    <mergeCell ref="D402:E402"/>
    <mergeCell ref="A17:A18"/>
    <mergeCell ref="K17:K18"/>
    <mergeCell ref="A189:Z189"/>
    <mergeCell ref="P493:T493"/>
    <mergeCell ref="C17:C18"/>
    <mergeCell ref="D103:E103"/>
    <mergeCell ref="D401:E401"/>
    <mergeCell ref="P358:T358"/>
    <mergeCell ref="D339:E339"/>
    <mergeCell ref="D230:E230"/>
    <mergeCell ref="D168:E168"/>
    <mergeCell ref="D180:E180"/>
    <mergeCell ref="D9:E9"/>
    <mergeCell ref="P197:T197"/>
    <mergeCell ref="F9:G9"/>
    <mergeCell ref="P53:T53"/>
    <mergeCell ref="P495:T495"/>
    <mergeCell ref="D167:E167"/>
    <mergeCell ref="P351:T351"/>
    <mergeCell ref="A419:O420"/>
    <mergeCell ref="P422:T422"/>
    <mergeCell ref="P289:T289"/>
    <mergeCell ref="D403:E403"/>
    <mergeCell ref="A248:O249"/>
    <mergeCell ref="D232:E232"/>
    <mergeCell ref="P238:V238"/>
    <mergeCell ref="P67:V67"/>
    <mergeCell ref="P264:T264"/>
    <mergeCell ref="D169:E169"/>
    <mergeCell ref="P524:T524"/>
    <mergeCell ref="P440:V440"/>
    <mergeCell ref="P303:T303"/>
    <mergeCell ref="P486:V486"/>
    <mergeCell ref="P342:V342"/>
    <mergeCell ref="A314:O315"/>
    <mergeCell ref="P146:V146"/>
    <mergeCell ref="D63:E63"/>
    <mergeCell ref="D492:E492"/>
    <mergeCell ref="A421:Z421"/>
    <mergeCell ref="D96:E96"/>
    <mergeCell ref="P515:V515"/>
    <mergeCell ref="P306:V306"/>
    <mergeCell ref="D52:E52"/>
    <mergeCell ref="D350:E350"/>
    <mergeCell ref="Y535:Y536"/>
    <mergeCell ref="P110:V110"/>
    <mergeCell ref="D27:E27"/>
    <mergeCell ref="P408:V408"/>
    <mergeCell ref="D325:E325"/>
    <mergeCell ref="P208:T208"/>
    <mergeCell ref="A398:Z398"/>
    <mergeCell ref="P15:T16"/>
    <mergeCell ref="A496:O497"/>
    <mergeCell ref="D116:E116"/>
    <mergeCell ref="P219:T219"/>
    <mergeCell ref="P23:T23"/>
    <mergeCell ref="D162:E162"/>
    <mergeCell ref="P272:T272"/>
    <mergeCell ref="H535:H536"/>
    <mergeCell ref="D327:E327"/>
    <mergeCell ref="P439:V439"/>
    <mergeCell ref="J535:J536"/>
    <mergeCell ref="D454:E454"/>
    <mergeCell ref="P433:V433"/>
    <mergeCell ref="L535:L536"/>
    <mergeCell ref="P210:T210"/>
    <mergeCell ref="P185:T185"/>
    <mergeCell ref="D106:E106"/>
    <mergeCell ref="P427:T427"/>
    <mergeCell ref="P283:T283"/>
    <mergeCell ref="D264:E264"/>
    <mergeCell ref="P277:T277"/>
    <mergeCell ref="P519:T519"/>
    <mergeCell ref="D220:E220"/>
    <mergeCell ref="P370:V370"/>
    <mergeCell ref="A195:Z195"/>
    <mergeCell ref="A369:O370"/>
    <mergeCell ref="P497:V497"/>
    <mergeCell ref="P122:T122"/>
    <mergeCell ref="P291:V291"/>
    <mergeCell ref="P43:T43"/>
    <mergeCell ref="D328:E328"/>
    <mergeCell ref="P285:T285"/>
    <mergeCell ref="D157:E157"/>
    <mergeCell ref="P136:V136"/>
    <mergeCell ref="A135:O136"/>
    <mergeCell ref="P434:V434"/>
    <mergeCell ref="A433:O434"/>
    <mergeCell ref="P501:T501"/>
    <mergeCell ref="D251:E251"/>
    <mergeCell ref="A324:Z324"/>
    <mergeCell ref="P228:V228"/>
    <mergeCell ref="A12:M12"/>
    <mergeCell ref="A240:Z240"/>
    <mergeCell ref="A482:Z482"/>
    <mergeCell ref="A416:Z416"/>
    <mergeCell ref="P200:V200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P138:T138"/>
    <mergeCell ref="T5:U5"/>
    <mergeCell ref="P76:T76"/>
    <mergeCell ref="D190:E190"/>
    <mergeCell ref="P374:T374"/>
    <mergeCell ref="D246:E246"/>
    <mergeCell ref="P294:V294"/>
    <mergeCell ref="A48:Z48"/>
    <mergeCell ref="V5:W5"/>
    <mergeCell ref="A466:O467"/>
    <mergeCell ref="P361:T361"/>
    <mergeCell ref="A142:Z142"/>
    <mergeCell ref="Q8:R8"/>
    <mergeCell ref="P69:T69"/>
    <mergeCell ref="P311:T311"/>
    <mergeCell ref="P438:T438"/>
    <mergeCell ref="D444:E444"/>
    <mergeCell ref="P267:T267"/>
    <mergeCell ref="D219:E219"/>
    <mergeCell ref="D104:E104"/>
    <mergeCell ref="P83:V83"/>
    <mergeCell ref="D340:E340"/>
    <mergeCell ref="T6:U9"/>
    <mergeCell ref="P512:V512"/>
    <mergeCell ref="Q10:R10"/>
    <mergeCell ref="A442:Z442"/>
    <mergeCell ref="D95:E95"/>
    <mergeCell ref="D185:E185"/>
    <mergeCell ref="A486:O487"/>
    <mergeCell ref="P356:T356"/>
    <mergeCell ref="D277:E277"/>
    <mergeCell ref="P25:V25"/>
    <mergeCell ref="AA535:AA536"/>
    <mergeCell ref="P383:V383"/>
    <mergeCell ref="A137:Z137"/>
    <mergeCell ref="E535:E536"/>
    <mergeCell ref="P84:V84"/>
    <mergeCell ref="D43:E43"/>
    <mergeCell ref="D485:E485"/>
    <mergeCell ref="P314:V314"/>
    <mergeCell ref="A443:Z443"/>
    <mergeCell ref="P387:T387"/>
    <mergeCell ref="P216:T216"/>
    <mergeCell ref="P514:T514"/>
    <mergeCell ref="D422:E422"/>
    <mergeCell ref="P489:T489"/>
    <mergeCell ref="P87:T87"/>
    <mergeCell ref="D372:E372"/>
    <mergeCell ref="A470:Z470"/>
    <mergeCell ref="A203:Z203"/>
    <mergeCell ref="A375:O376"/>
    <mergeCell ref="P126:V126"/>
    <mergeCell ref="P491:T491"/>
    <mergeCell ref="P211:T211"/>
    <mergeCell ref="P89:T89"/>
    <mergeCell ref="A439:O440"/>
    <mergeCell ref="P309:T309"/>
    <mergeCell ref="D59:E59"/>
    <mergeCell ref="D172:E172"/>
    <mergeCell ref="P88:T88"/>
    <mergeCell ref="P51:T51"/>
    <mergeCell ref="P461:V461"/>
    <mergeCell ref="Z535:Z536"/>
    <mergeCell ref="D463:E463"/>
    <mergeCell ref="A261:Z261"/>
    <mergeCell ref="P507:V507"/>
    <mergeCell ref="A506:O507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A354:Z354"/>
    <mergeCell ref="D490:E490"/>
    <mergeCell ref="D346:E346"/>
    <mergeCell ref="D477:E477"/>
    <mergeCell ref="A153:O154"/>
    <mergeCell ref="P77:T77"/>
    <mergeCell ref="A193:Z193"/>
    <mergeCell ref="P204:T204"/>
    <mergeCell ref="P179:T179"/>
    <mergeCell ref="P446:T446"/>
    <mergeCell ref="J9:M9"/>
    <mergeCell ref="D283:E283"/>
    <mergeCell ref="D112:E112"/>
    <mergeCell ref="D519:E519"/>
    <mergeCell ref="P389:V389"/>
    <mergeCell ref="A388:O389"/>
    <mergeCell ref="D348:E348"/>
    <mergeCell ref="D62:E62"/>
    <mergeCell ref="D491:E491"/>
    <mergeCell ref="P448:T448"/>
    <mergeCell ref="D347:E347"/>
    <mergeCell ref="P304:T304"/>
    <mergeCell ref="A298:O299"/>
    <mergeCell ref="D285:E285"/>
    <mergeCell ref="D114:E114"/>
    <mergeCell ref="D412:E412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147:Z147"/>
    <mergeCell ref="P249:V249"/>
    <mergeCell ref="P520:V520"/>
    <mergeCell ref="D138:E138"/>
    <mergeCell ref="A40:Z40"/>
    <mergeCell ref="P393:T393"/>
    <mergeCell ref="D374:E374"/>
    <mergeCell ref="A338:Z338"/>
    <mergeCell ref="P232:T232"/>
    <mergeCell ref="D438:E438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P459:T459"/>
    <mergeCell ref="D465:E465"/>
    <mergeCell ref="D269:E269"/>
    <mergeCell ref="D198:E198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A520:O521"/>
    <mergeCell ref="D181:E181"/>
    <mergeCell ref="D273:E273"/>
    <mergeCell ref="P327:T327"/>
    <mergeCell ref="P56:V56"/>
    <mergeCell ref="P99:V99"/>
    <mergeCell ref="P212:T212"/>
    <mergeCell ref="AA17:AA18"/>
    <mergeCell ref="A377:Z377"/>
    <mergeCell ref="AC17:AC18"/>
    <mergeCell ref="P485:T485"/>
    <mergeCell ref="H10:M10"/>
    <mergeCell ref="P108:T108"/>
    <mergeCell ref="D418:E418"/>
    <mergeCell ref="P472:T472"/>
    <mergeCell ref="D393:E393"/>
    <mergeCell ref="A224:Z224"/>
    <mergeCell ref="D89:E89"/>
    <mergeCell ref="P254:T254"/>
    <mergeCell ref="P251:T251"/>
    <mergeCell ref="A435:Z435"/>
    <mergeCell ref="P45:T45"/>
    <mergeCell ref="A460:O461"/>
    <mergeCell ref="P430:V430"/>
    <mergeCell ref="P318:T318"/>
    <mergeCell ref="P256:T256"/>
    <mergeCell ref="D128:E128"/>
    <mergeCell ref="D199:E199"/>
    <mergeCell ref="V6:W9"/>
    <mergeCell ref="P234:V234"/>
    <mergeCell ref="D186:E186"/>
    <mergeCell ref="D413:E413"/>
    <mergeCell ref="D217:E217"/>
    <mergeCell ref="D484:E484"/>
    <mergeCell ref="D65:E65"/>
    <mergeCell ref="P22:T22"/>
    <mergeCell ref="P320:T320"/>
    <mergeCell ref="D428:E428"/>
    <mergeCell ref="P92:V92"/>
    <mergeCell ref="V534:W534"/>
    <mergeCell ref="A455:O456"/>
    <mergeCell ref="X534:Y534"/>
    <mergeCell ref="P257:T257"/>
    <mergeCell ref="P521:V521"/>
    <mergeCell ref="A517:Z517"/>
    <mergeCell ref="Z17:Z18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D510:E510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D368:E368"/>
    <mergeCell ref="AB535:AB536"/>
    <mergeCell ref="A515:O516"/>
    <mergeCell ref="P106:T106"/>
    <mergeCell ref="P475:T475"/>
    <mergeCell ref="P226:T226"/>
    <mergeCell ref="A294:O295"/>
    <mergeCell ref="D256:E256"/>
    <mergeCell ref="A321:O322"/>
    <mergeCell ref="P269:T269"/>
    <mergeCell ref="D534:J534"/>
    <mergeCell ref="G17:G18"/>
    <mergeCell ref="P333:T333"/>
    <mergeCell ref="A450:O451"/>
    <mergeCell ref="P382:V382"/>
    <mergeCell ref="A207:Z207"/>
    <mergeCell ref="A296:Z296"/>
    <mergeCell ref="D459:E459"/>
    <mergeCell ref="D288:E288"/>
    <mergeCell ref="P59:T59"/>
    <mergeCell ref="P190:T190"/>
    <mergeCell ref="A176:O177"/>
    <mergeCell ref="D225:E225"/>
    <mergeCell ref="P61:T61"/>
    <mergeCell ref="P359:T359"/>
    <mergeCell ref="D436:E436"/>
    <mergeCell ref="P490:T490"/>
    <mergeCell ref="A305:O306"/>
    <mergeCell ref="P346:T346"/>
    <mergeCell ref="A243:O244"/>
    <mergeCell ref="A527:O532"/>
    <mergeCell ref="A9:C9"/>
    <mergeCell ref="D373:E373"/>
    <mergeCell ref="P112:T112"/>
    <mergeCell ref="P348:T348"/>
    <mergeCell ref="U535:U536"/>
    <mergeCell ref="D231:E231"/>
    <mergeCell ref="D358:E358"/>
    <mergeCell ref="A156:Z156"/>
    <mergeCell ref="A155:Z155"/>
    <mergeCell ref="D535:D536"/>
    <mergeCell ref="A93:Z93"/>
    <mergeCell ref="D318:E318"/>
    <mergeCell ref="F535:F536"/>
    <mergeCell ref="A391:Z391"/>
    <mergeCell ref="P139:T139"/>
    <mergeCell ref="A125:O126"/>
    <mergeCell ref="A33:O34"/>
    <mergeCell ref="Q13:R13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P341:T341"/>
    <mergeCell ref="A457:Z457"/>
    <mergeCell ref="D213:E213"/>
    <mergeCell ref="A362:O363"/>
    <mergeCell ref="D449:E449"/>
    <mergeCell ref="A191:O192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P465:T465"/>
    <mergeCell ref="D386:E386"/>
    <mergeCell ref="D215:E215"/>
    <mergeCell ref="A75:Z75"/>
    <mergeCell ref="A317:Z317"/>
    <mergeCell ref="M17:M18"/>
    <mergeCell ref="A469:Z469"/>
    <mergeCell ref="O17:O18"/>
    <mergeCell ref="P187:V187"/>
    <mergeCell ref="P429:V429"/>
    <mergeCell ref="P423:V423"/>
    <mergeCell ref="P223:V223"/>
    <mergeCell ref="A235:Z235"/>
    <mergeCell ref="P481:V481"/>
    <mergeCell ref="P417:T417"/>
    <mergeCell ref="P102:T102"/>
    <mergeCell ref="P456:V456"/>
    <mergeCell ref="P196:T196"/>
    <mergeCell ref="A508:Z508"/>
    <mergeCell ref="P414:V414"/>
    <mergeCell ref="D226:E226"/>
    <mergeCell ref="P352:V352"/>
    <mergeCell ref="P365:T365"/>
    <mergeCell ref="P62:T62"/>
    <mergeCell ref="P2:W3"/>
    <mergeCell ref="P133:T133"/>
    <mergeCell ref="A323:Z323"/>
    <mergeCell ref="D437:E437"/>
    <mergeCell ref="D241:E241"/>
    <mergeCell ref="P198:T198"/>
    <mergeCell ref="P347:T347"/>
    <mergeCell ref="P54:T54"/>
    <mergeCell ref="P418:T418"/>
    <mergeCell ref="P412:T412"/>
    <mergeCell ref="A342:O343"/>
    <mergeCell ref="D404:E404"/>
    <mergeCell ref="D333:E333"/>
    <mergeCell ref="D10:E10"/>
    <mergeCell ref="P64:T64"/>
    <mergeCell ref="F10:G10"/>
    <mergeCell ref="P349:T349"/>
    <mergeCell ref="D270:E270"/>
    <mergeCell ref="P78:V78"/>
    <mergeCell ref="P376:V376"/>
    <mergeCell ref="P205:V205"/>
    <mergeCell ref="P128:T128"/>
    <mergeCell ref="P363:V363"/>
    <mergeCell ref="D310:E310"/>
    <mergeCell ref="AD17:AF18"/>
    <mergeCell ref="P166:T166"/>
    <mergeCell ref="A399:Z399"/>
    <mergeCell ref="A132:Z132"/>
    <mergeCell ref="D76:E76"/>
    <mergeCell ref="F5:G5"/>
    <mergeCell ref="P55:V55"/>
    <mergeCell ref="A488:Z488"/>
    <mergeCell ref="A352:O353"/>
    <mergeCell ref="P467:V467"/>
    <mergeCell ref="P509:T509"/>
    <mergeCell ref="P119:V119"/>
    <mergeCell ref="D175:E175"/>
    <mergeCell ref="P186:T186"/>
    <mergeCell ref="V535:V536"/>
    <mergeCell ref="X535:X536"/>
    <mergeCell ref="D392:E392"/>
    <mergeCell ref="P253:T253"/>
    <mergeCell ref="P535:P536"/>
    <mergeCell ref="D221:E221"/>
    <mergeCell ref="P82:T82"/>
    <mergeCell ref="V11:W11"/>
    <mergeCell ref="P367:T367"/>
    <mergeCell ref="D475:E475"/>
    <mergeCell ref="A205:O206"/>
    <mergeCell ref="D152:E152"/>
    <mergeCell ref="D394:E394"/>
    <mergeCell ref="G535:G536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252:E252"/>
    <mergeCell ref="P123:T123"/>
    <mergeCell ref="P529:V529"/>
    <mergeCell ref="P66:V66"/>
    <mergeCell ref="D218:E218"/>
    <mergeCell ref="D247:E247"/>
    <mergeCell ref="A127:Z127"/>
    <mergeCell ref="A8:C8"/>
    <mergeCell ref="P262:T262"/>
    <mergeCell ref="D105:E105"/>
    <mergeCell ref="P353:V353"/>
    <mergeCell ref="A178:Z178"/>
    <mergeCell ref="A83:O84"/>
    <mergeCell ref="A525:O526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D278:E278"/>
    <mergeCell ref="D107:E107"/>
    <mergeCell ref="P484:T484"/>
    <mergeCell ref="D405:E405"/>
    <mergeCell ref="P288:T288"/>
    <mergeCell ref="A408:O409"/>
    <mergeCell ref="P65:T65"/>
    <mergeCell ref="A24:O25"/>
    <mergeCell ref="P70:T70"/>
    <mergeCell ref="P305:V305"/>
    <mergeCell ref="P263:T263"/>
    <mergeCell ref="A429:O430"/>
    <mergeCell ref="D171:E171"/>
    <mergeCell ref="P355:T355"/>
    <mergeCell ref="P293:T293"/>
    <mergeCell ref="D407:E407"/>
    <mergeCell ref="Q6:R6"/>
    <mergeCell ref="P134:T134"/>
    <mergeCell ref="P436:T436"/>
    <mergeCell ref="A425:Z425"/>
    <mergeCell ref="A118:O119"/>
    <mergeCell ref="D102:E102"/>
    <mergeCell ref="P450:V450"/>
    <mergeCell ref="D196:E196"/>
    <mergeCell ref="A55:O56"/>
    <mergeCell ref="P419:V419"/>
    <mergeCell ref="P145:V145"/>
    <mergeCell ref="D133:E133"/>
    <mergeCell ref="A35:Z35"/>
    <mergeCell ref="P510:T510"/>
    <mergeCell ref="A504:Z504"/>
    <mergeCell ref="D54:E54"/>
    <mergeCell ref="P160:V160"/>
    <mergeCell ref="D483:E483"/>
    <mergeCell ref="D271:E271"/>
    <mergeCell ref="V12:W12"/>
    <mergeCell ref="P319:T319"/>
    <mergeCell ref="A200:O201"/>
    <mergeCell ref="D262:E262"/>
    <mergeCell ref="P368:T368"/>
    <mergeCell ref="A245:Z245"/>
    <mergeCell ref="A39:Z39"/>
    <mergeCell ref="A337:Z337"/>
    <mergeCell ref="P60:T60"/>
    <mergeCell ref="A279:O280"/>
    <mergeCell ref="D266:E266"/>
    <mergeCell ref="P74:V74"/>
    <mergeCell ref="P174:T174"/>
    <mergeCell ref="A73:O74"/>
    <mergeCell ref="Y17:Y18"/>
    <mergeCell ref="U17:V17"/>
    <mergeCell ref="P149:T149"/>
    <mergeCell ref="P447:T447"/>
    <mergeCell ref="M535:M536"/>
    <mergeCell ref="P385:T385"/>
    <mergeCell ref="O535:O536"/>
    <mergeCell ref="P124:T124"/>
    <mergeCell ref="D355:E355"/>
    <mergeCell ref="A502:O503"/>
    <mergeCell ref="D293:E293"/>
    <mergeCell ref="P163:V163"/>
    <mergeCell ref="P360:T360"/>
    <mergeCell ref="D32:E32"/>
    <mergeCell ref="D268:E268"/>
    <mergeCell ref="P151:T151"/>
    <mergeCell ref="D97:E97"/>
    <mergeCell ref="P449:T449"/>
    <mergeCell ref="P496:V496"/>
    <mergeCell ref="A426:Z426"/>
    <mergeCell ref="A10:C10"/>
    <mergeCell ref="A364:Z364"/>
    <mergeCell ref="P218:T218"/>
    <mergeCell ref="P140:V140"/>
    <mergeCell ref="A335:O336"/>
    <mergeCell ref="A21:Z21"/>
    <mergeCell ref="P505:T505"/>
    <mergeCell ref="A57:Z57"/>
    <mergeCell ref="A499:Z499"/>
    <mergeCell ref="D121:E121"/>
    <mergeCell ref="A194:Z194"/>
    <mergeCell ref="P527:V527"/>
    <mergeCell ref="D42:E42"/>
    <mergeCell ref="D173:E173"/>
    <mergeCell ref="D17:E18"/>
    <mergeCell ref="D471:E471"/>
    <mergeCell ref="P71:T71"/>
    <mergeCell ref="A131:Z131"/>
    <mergeCell ref="P313:T313"/>
    <mergeCell ref="P373:T373"/>
    <mergeCell ref="D123:E123"/>
    <mergeCell ref="P444:T444"/>
    <mergeCell ref="A163:O164"/>
    <mergeCell ref="X17:X18"/>
    <mergeCell ref="D44:E44"/>
    <mergeCell ref="D286:E286"/>
  </mergeCells>
  <conditionalFormatting sqref="A8:N10">
    <cfRule type="expression" priority="3" dxfId="0" stopIfTrue="1">
      <formula>IF($V$5="самовывоз",1,0)</formula>
    </cfRule>
  </conditionalFormatting>
  <conditionalFormatting sqref="P5:R6">
    <cfRule type="expression" priority="2" dxfId="1" stopIfTrue="1">
      <formula>IF($V$5="доставка",1,0)</formula>
    </cfRule>
  </conditionalFormatting>
  <conditionalFormatting sqref="P8:R8">
    <cfRule type="expression" priority="1" dxfId="1" stopIfTrue="1">
      <formula>IF($V$5="доставка",1,0)</formula>
    </cfRule>
  </conditionalFormatting>
  <conditionalFormatting sqref="P9:R13">
    <cfRule type="expression" priority="14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ЛП, ООО, Крым Респ, Симферополь г, Данилова ул, 43В, лит В, офис 4,</t>
        </is>
      </c>
      <c r="C6" s="51" t="inlineStr">
        <is>
          <t>590704_1</t>
        </is>
      </c>
      <c r="D6" s="51" t="inlineStr">
        <is>
          <t>1</t>
        </is>
      </c>
      <c r="E6" s="51" t="inlineStr"/>
    </row>
    <row r="7">
      <c r="B7" s="51" t="inlineStr">
        <is>
          <t>ЛП, ООО, Крым Респ, Симферополь г, Данилова ул, д. 43В, лит В, офис 4</t>
        </is>
      </c>
      <c r="C7" s="51" t="inlineStr">
        <is>
          <t>590704_5</t>
        </is>
      </c>
      <c r="D7" s="51" t="inlineStr">
        <is>
          <t>2</t>
        </is>
      </c>
      <c r="E7" s="51" t="inlineStr"/>
    </row>
    <row r="8">
      <c r="B8" s="51" t="inlineStr">
        <is>
          <t>ЛП, ООО, Краснодарский край, Сочи г, Строительный пер, д. 10А,</t>
        </is>
      </c>
      <c r="C8" s="51" t="inlineStr">
        <is>
          <t>590704_7</t>
        </is>
      </c>
      <c r="D8" s="51" t="inlineStr">
        <is>
          <t>3</t>
        </is>
      </c>
      <c r="E8" s="51" t="inlineStr"/>
    </row>
    <row r="10">
      <c r="B10" s="51" t="inlineStr">
        <is>
          <t>295021Российская Федерация, Крым Респ, Симферополь г, Данилова ул, 43В, лит В, офис 4,</t>
        </is>
      </c>
      <c r="C10" s="51" t="inlineStr">
        <is>
          <t>590704_1</t>
        </is>
      </c>
      <c r="D10" s="51" t="inlineStr"/>
      <c r="E10" s="51" t="inlineStr"/>
    </row>
    <row r="12">
      <c r="B12" s="51" t="inlineStr">
        <is>
          <t>295021Российская Федерация, Крым Респ, Симферополь г, Данилова ул, д. 43В, лит В, офис 4</t>
        </is>
      </c>
      <c r="C12" s="51" t="inlineStr">
        <is>
          <t>590704_5</t>
        </is>
      </c>
      <c r="D12" s="51" t="inlineStr"/>
      <c r="E12" s="51" t="inlineStr"/>
    </row>
    <row r="14">
      <c r="B14" s="51" t="inlineStr">
        <is>
          <t>354068Российская Федерация, Краснодарский край, Сочи г, Строительный пер, д. 10А,</t>
        </is>
      </c>
      <c r="C14" s="51" t="inlineStr">
        <is>
          <t>590704_7</t>
        </is>
      </c>
      <c r="D14" s="51" t="inlineStr"/>
      <c r="E14" s="51" t="inlineStr"/>
    </row>
    <row r="16">
      <c r="B16" s="51" t="inlineStr">
        <is>
          <t>CFR</t>
        </is>
      </c>
      <c r="C16" s="51" t="inlineStr"/>
      <c r="D16" s="51" t="inlineStr"/>
      <c r="E16" s="51" t="inlineStr"/>
    </row>
    <row r="17">
      <c r="B17" s="51" t="inlineStr">
        <is>
          <t>CIF</t>
        </is>
      </c>
      <c r="C17" s="51" t="inlineStr"/>
      <c r="D17" s="51" t="inlineStr"/>
      <c r="E17" s="51" t="inlineStr"/>
    </row>
    <row r="18">
      <c r="B18" s="51" t="inlineStr">
        <is>
          <t>CIP</t>
        </is>
      </c>
      <c r="C18" s="51" t="inlineStr"/>
      <c r="D18" s="51" t="inlineStr"/>
      <c r="E18" s="51" t="inlineStr"/>
    </row>
    <row r="19">
      <c r="B19" s="51" t="inlineStr">
        <is>
          <t>CPT</t>
        </is>
      </c>
      <c r="C19" s="51" t="inlineStr"/>
      <c r="D19" s="51" t="inlineStr"/>
      <c r="E19" s="51" t="inlineStr"/>
    </row>
    <row r="20">
      <c r="B20" s="51" t="inlineStr">
        <is>
          <t>DAP</t>
        </is>
      </c>
      <c r="C20" s="51" t="inlineStr"/>
      <c r="D20" s="51" t="inlineStr"/>
      <c r="E20" s="51" t="inlineStr"/>
    </row>
    <row r="21">
      <c r="B21" s="51" t="inlineStr">
        <is>
          <t>DAT</t>
        </is>
      </c>
      <c r="C21" s="51" t="inlineStr"/>
      <c r="D21" s="51" t="inlineStr"/>
      <c r="E21" s="51" t="inlineStr"/>
    </row>
    <row r="22">
      <c r="B22" s="51" t="inlineStr">
        <is>
          <t>DDP</t>
        </is>
      </c>
      <c r="C22" s="51" t="inlineStr"/>
      <c r="D22" s="51" t="inlineStr"/>
      <c r="E22" s="51" t="inlineStr"/>
    </row>
    <row r="23">
      <c r="B23" s="51" t="inlineStr">
        <is>
          <t>EXW</t>
        </is>
      </c>
      <c r="C23" s="51" t="inlineStr"/>
      <c r="D23" s="51" t="inlineStr"/>
      <c r="E23" s="51" t="inlineStr"/>
    </row>
    <row r="24">
      <c r="B24" s="51" t="inlineStr">
        <is>
          <t>FAS</t>
        </is>
      </c>
      <c r="C24" s="51" t="inlineStr"/>
      <c r="D24" s="51" t="inlineStr"/>
      <c r="E24" s="51" t="inlineStr"/>
    </row>
    <row r="25">
      <c r="B25" s="51" t="inlineStr">
        <is>
          <t>FCA</t>
        </is>
      </c>
      <c r="C25" s="51" t="inlineStr"/>
      <c r="D25" s="51" t="inlineStr"/>
      <c r="E25" s="51" t="inlineStr"/>
    </row>
    <row r="26">
      <c r="B26" s="51" t="inlineStr">
        <is>
          <t>FOB</t>
        </is>
      </c>
      <c r="C26" s="51" t="inlineStr"/>
      <c r="D26" s="51" t="inlineStr"/>
      <c r="E26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EvOZM9ktax1cypf5AQuDog==" formatRows="1" sort="0" spinCount="100000" hashValue="pmpqRyQYLq8OpaN5adiOxt0MYw38PSnb+YxvHUeg5D11N5WAzRn6t68Yw7c+rR1ijc4l8DzmumGeR5dKUMOg0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2026-06-29T10:51:45Z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