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8478FDB4-BD77-4712-80E5-0E0C62C77AF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Z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P467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Z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O437" i="2"/>
  <c r="BM437" i="2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Y428" i="2"/>
  <c r="X428" i="2"/>
  <c r="Y427" i="2"/>
  <c r="X427" i="2"/>
  <c r="BO426" i="2"/>
  <c r="BM426" i="2"/>
  <c r="Y426" i="2"/>
  <c r="BN426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P414" i="2"/>
  <c r="BO414" i="2"/>
  <c r="BN414" i="2"/>
  <c r="BM414" i="2"/>
  <c r="Z414" i="2"/>
  <c r="Y414" i="2"/>
  <c r="P414" i="2"/>
  <c r="BO413" i="2"/>
  <c r="BM413" i="2"/>
  <c r="Z413" i="2"/>
  <c r="Y413" i="2"/>
  <c r="BN413" i="2" s="1"/>
  <c r="P413" i="2"/>
  <c r="BO412" i="2"/>
  <c r="BM412" i="2"/>
  <c r="Y412" i="2"/>
  <c r="BP412" i="2" s="1"/>
  <c r="P412" i="2"/>
  <c r="BO411" i="2"/>
  <c r="BM411" i="2"/>
  <c r="Z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X404" i="2"/>
  <c r="X403" i="2"/>
  <c r="BP402" i="2"/>
  <c r="BO402" i="2"/>
  <c r="BN402" i="2"/>
  <c r="BM402" i="2"/>
  <c r="Z402" i="2"/>
  <c r="Y402" i="2"/>
  <c r="P402" i="2"/>
  <c r="BO401" i="2"/>
  <c r="BM401" i="2"/>
  <c r="Z401" i="2"/>
  <c r="Y401" i="2"/>
  <c r="P401" i="2"/>
  <c r="BO400" i="2"/>
  <c r="BM400" i="2"/>
  <c r="Y400" i="2"/>
  <c r="BP400" i="2" s="1"/>
  <c r="P400" i="2"/>
  <c r="Y398" i="2"/>
  <c r="X398" i="2"/>
  <c r="X397" i="2"/>
  <c r="BO396" i="2"/>
  <c r="BM396" i="2"/>
  <c r="Y396" i="2"/>
  <c r="BP396" i="2" s="1"/>
  <c r="P396" i="2"/>
  <c r="X394" i="2"/>
  <c r="X393" i="2"/>
  <c r="BO392" i="2"/>
  <c r="BM392" i="2"/>
  <c r="Y392" i="2"/>
  <c r="Z392" i="2" s="1"/>
  <c r="P392" i="2"/>
  <c r="BO391" i="2"/>
  <c r="BM391" i="2"/>
  <c r="Y391" i="2"/>
  <c r="U512" i="2" s="1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P371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M352" i="2"/>
  <c r="Y352" i="2"/>
  <c r="BP352" i="2" s="1"/>
  <c r="P352" i="2"/>
  <c r="BP351" i="2"/>
  <c r="BO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Y333" i="2"/>
  <c r="BN333" i="2" s="1"/>
  <c r="P333" i="2"/>
  <c r="BO332" i="2"/>
  <c r="BM332" i="2"/>
  <c r="Y332" i="2"/>
  <c r="Y335" i="2" s="1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M317" i="2"/>
  <c r="Y317" i="2"/>
  <c r="BP317" i="2" s="1"/>
  <c r="P317" i="2"/>
  <c r="BP316" i="2"/>
  <c r="BO316" i="2"/>
  <c r="BM316" i="2"/>
  <c r="Y316" i="2"/>
  <c r="BN316" i="2" s="1"/>
  <c r="BO315" i="2"/>
  <c r="BM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BP312" i="2" s="1"/>
  <c r="BO311" i="2"/>
  <c r="BM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Z304" i="2"/>
  <c r="Y304" i="2"/>
  <c r="P304" i="2"/>
  <c r="X302" i="2"/>
  <c r="X301" i="2"/>
  <c r="BO300" i="2"/>
  <c r="BM300" i="2"/>
  <c r="Z300" i="2"/>
  <c r="Y300" i="2"/>
  <c r="BP300" i="2" s="1"/>
  <c r="P300" i="2"/>
  <c r="BO299" i="2"/>
  <c r="BM299" i="2"/>
  <c r="Z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Z283" i="2"/>
  <c r="Y283" i="2"/>
  <c r="BP283" i="2" s="1"/>
  <c r="P283" i="2"/>
  <c r="BO282" i="2"/>
  <c r="BM282" i="2"/>
  <c r="Y282" i="2"/>
  <c r="P282" i="2"/>
  <c r="X279" i="2"/>
  <c r="X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Z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Y240" i="2"/>
  <c r="BN240" i="2" s="1"/>
  <c r="P240" i="2"/>
  <c r="X238" i="2"/>
  <c r="X237" i="2"/>
  <c r="BO236" i="2"/>
  <c r="BM236" i="2"/>
  <c r="Z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Z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Z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Z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N190" i="2"/>
  <c r="BM190" i="2"/>
  <c r="Z190" i="2"/>
  <c r="Y190" i="2"/>
  <c r="BP190" i="2" s="1"/>
  <c r="P190" i="2"/>
  <c r="BO189" i="2"/>
  <c r="BM189" i="2"/>
  <c r="Z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Z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Z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Z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Z113" i="2"/>
  <c r="Y113" i="2"/>
  <c r="BN113" i="2" s="1"/>
  <c r="P113" i="2"/>
  <c r="BO112" i="2"/>
  <c r="BM112" i="2"/>
  <c r="Y112" i="2"/>
  <c r="P112" i="2"/>
  <c r="BO111" i="2"/>
  <c r="BM111" i="2"/>
  <c r="Y111" i="2"/>
  <c r="BN111" i="2" s="1"/>
  <c r="P111" i="2"/>
  <c r="X109" i="2"/>
  <c r="X108" i="2"/>
  <c r="BP107" i="2"/>
  <c r="BO107" i="2"/>
  <c r="BN107" i="2"/>
  <c r="BM107" i="2"/>
  <c r="Z107" i="2"/>
  <c r="Y107" i="2"/>
  <c r="P107" i="2"/>
  <c r="BO106" i="2"/>
  <c r="BM106" i="2"/>
  <c r="Z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P60" i="2"/>
  <c r="BO60" i="2"/>
  <c r="BM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Y24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3" i="2" l="1"/>
  <c r="BN28" i="2"/>
  <c r="Z30" i="2"/>
  <c r="Z31" i="2"/>
  <c r="BN31" i="2"/>
  <c r="Z67" i="2"/>
  <c r="BN67" i="2"/>
  <c r="Z90" i="2"/>
  <c r="BN98" i="2"/>
  <c r="BP106" i="2"/>
  <c r="Z111" i="2"/>
  <c r="Y115" i="2"/>
  <c r="Z121" i="2"/>
  <c r="Z140" i="2"/>
  <c r="Z146" i="2"/>
  <c r="BP182" i="2"/>
  <c r="BN185" i="2"/>
  <c r="BP189" i="2"/>
  <c r="Z196" i="2"/>
  <c r="Z212" i="2"/>
  <c r="Z222" i="2"/>
  <c r="BN222" i="2"/>
  <c r="Z240" i="2"/>
  <c r="Z248" i="2"/>
  <c r="BN248" i="2"/>
  <c r="BP251" i="2"/>
  <c r="Y257" i="2"/>
  <c r="Z267" i="2"/>
  <c r="BN267" i="2"/>
  <c r="BP277" i="2"/>
  <c r="Z285" i="2"/>
  <c r="BN285" i="2"/>
  <c r="BP299" i="2"/>
  <c r="Y307" i="2"/>
  <c r="Z311" i="2"/>
  <c r="BN314" i="2"/>
  <c r="Z315" i="2"/>
  <c r="Z317" i="2"/>
  <c r="BN317" i="2"/>
  <c r="BN331" i="2"/>
  <c r="Z333" i="2"/>
  <c r="Z352" i="2"/>
  <c r="BN352" i="2"/>
  <c r="Z372" i="2"/>
  <c r="Y387" i="2"/>
  <c r="Y404" i="2"/>
  <c r="BP401" i="2"/>
  <c r="Z409" i="2"/>
  <c r="BP413" i="2"/>
  <c r="Z437" i="2"/>
  <c r="Z438" i="2" s="1"/>
  <c r="BN437" i="2"/>
  <c r="BP437" i="2"/>
  <c r="BN481" i="2"/>
  <c r="BP30" i="2"/>
  <c r="BP90" i="2"/>
  <c r="BN104" i="2"/>
  <c r="Y143" i="2"/>
  <c r="BN187" i="2"/>
  <c r="BP212" i="2"/>
  <c r="BN231" i="2"/>
  <c r="BP240" i="2"/>
  <c r="Y301" i="2"/>
  <c r="BP315" i="2"/>
  <c r="BN327" i="2"/>
  <c r="BP333" i="2"/>
  <c r="BN358" i="2"/>
  <c r="BN400" i="2"/>
  <c r="BN412" i="2"/>
  <c r="BN416" i="2"/>
  <c r="BN449" i="2"/>
  <c r="BN459" i="2"/>
  <c r="BN468" i="2"/>
  <c r="Y486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Z403" i="2" s="1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Z422" i="2" s="1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Z478" i="2" s="1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Z198" i="2" s="1"/>
  <c r="Y209" i="2"/>
  <c r="Z218" i="2"/>
  <c r="Z228" i="2"/>
  <c r="Y269" i="2"/>
  <c r="Z305" i="2"/>
  <c r="Z306" i="2" s="1"/>
  <c r="Z346" i="2"/>
  <c r="Z381" i="2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3" i="2" s="1"/>
  <c r="Z69" i="2"/>
  <c r="Y74" i="2"/>
  <c r="Z131" i="2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01" i="2" l="1"/>
  <c r="Z132" i="2"/>
  <c r="Z383" i="2"/>
  <c r="Z335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<sst xmlns="http://schemas.openxmlformats.org/spreadsheetml/2006/main" count="3741" uniqueCount="802">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</sst>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8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63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2"/>
  <sheetViews>
    <sheetView showGridLines="0" tabSelected="1" topLeftCell="G451" zoomScaleNormal="100" zoomScaleSheetLayoutView="100" workbookViewId="0">
      <selection activeCell="X490" sqref="X49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91" t="s">
        <v>26</v>
      </c>
      <c r="E1" s="891"/>
      <c r="F1" s="891"/>
      <c r="G1" s="14" t="s">
        <v>67</v>
      </c>
      <c r="H1" s="891" t="s">
        <v>47</v>
      </c>
      <c r="I1" s="891"/>
      <c r="J1" s="891"/>
      <c r="K1" s="891"/>
      <c r="L1" s="891"/>
      <c r="M1" s="891"/>
      <c r="N1" s="891"/>
      <c r="O1" s="891"/>
      <c r="P1" s="891"/>
      <c r="Q1" s="891"/>
      <c r="R1" s="892" t="s">
        <v>68</v>
      </c>
      <c r="S1" s="893"/>
      <c r="T1" s="8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94"/>
      <c r="R2" s="894"/>
      <c r="S2" s="894"/>
      <c r="T2" s="894"/>
      <c r="U2" s="894"/>
      <c r="V2" s="894"/>
      <c r="W2" s="8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94"/>
      <c r="Q3" s="894"/>
      <c r="R3" s="894"/>
      <c r="S3" s="894"/>
      <c r="T3" s="894"/>
      <c r="U3" s="894"/>
      <c r="V3" s="894"/>
      <c r="W3" s="8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73" t="s">
        <v>8</v>
      </c>
      <c r="B5" s="873"/>
      <c r="C5" s="873"/>
      <c r="D5" s="895"/>
      <c r="E5" s="895"/>
      <c r="F5" s="896" t="s">
        <v>14</v>
      </c>
      <c r="G5" s="896"/>
      <c r="H5" s="895"/>
      <c r="I5" s="895"/>
      <c r="J5" s="895"/>
      <c r="K5" s="895"/>
      <c r="L5" s="895"/>
      <c r="M5" s="895"/>
      <c r="N5" s="72"/>
      <c r="P5" s="27" t="s">
        <v>4</v>
      </c>
      <c r="Q5" s="897">
        <v>46118</v>
      </c>
      <c r="R5" s="897"/>
      <c r="T5" s="898" t="s">
        <v>3</v>
      </c>
      <c r="U5" s="899"/>
      <c r="V5" s="900" t="s">
        <v>783</v>
      </c>
      <c r="W5" s="901"/>
      <c r="AB5" s="59"/>
      <c r="AC5" s="59"/>
      <c r="AD5" s="59"/>
      <c r="AE5" s="59"/>
    </row>
    <row r="6" spans="1:32" s="17" customFormat="1" ht="24" customHeight="1" x14ac:dyDescent="0.2">
      <c r="A6" s="873" t="s">
        <v>1</v>
      </c>
      <c r="B6" s="873"/>
      <c r="C6" s="873"/>
      <c r="D6" s="874" t="s">
        <v>784</v>
      </c>
      <c r="E6" s="874"/>
      <c r="F6" s="874"/>
      <c r="G6" s="874"/>
      <c r="H6" s="874"/>
      <c r="I6" s="874"/>
      <c r="J6" s="874"/>
      <c r="K6" s="874"/>
      <c r="L6" s="874"/>
      <c r="M6" s="874"/>
      <c r="N6" s="73"/>
      <c r="P6" s="27" t="s">
        <v>27</v>
      </c>
      <c r="Q6" s="875" t="str">
        <f>IF(Q5=0," ",CHOOSE(WEEKDAY(Q5,2),"Понедельник","Вторник","Среда","Четверг","Пятница","Суббота","Воскресенье"))</f>
        <v>Понедельник</v>
      </c>
      <c r="R6" s="875"/>
      <c r="T6" s="876" t="s">
        <v>5</v>
      </c>
      <c r="U6" s="877"/>
      <c r="V6" s="878" t="s">
        <v>70</v>
      </c>
      <c r="W6" s="8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84" t="str">
        <f>IFERROR(VLOOKUP(DeliveryAddress,Table,3,0),1)</f>
        <v>1</v>
      </c>
      <c r="E7" s="885"/>
      <c r="F7" s="885"/>
      <c r="G7" s="885"/>
      <c r="H7" s="885"/>
      <c r="I7" s="885"/>
      <c r="J7" s="885"/>
      <c r="K7" s="885"/>
      <c r="L7" s="885"/>
      <c r="M7" s="886"/>
      <c r="N7" s="74"/>
      <c r="P7" s="29"/>
      <c r="Q7" s="48"/>
      <c r="R7" s="48"/>
      <c r="T7" s="876"/>
      <c r="U7" s="877"/>
      <c r="V7" s="880"/>
      <c r="W7" s="881"/>
      <c r="AB7" s="59"/>
      <c r="AC7" s="59"/>
      <c r="AD7" s="59"/>
      <c r="AE7" s="59"/>
    </row>
    <row r="8" spans="1:32" s="17" customFormat="1" ht="25.5" customHeight="1" x14ac:dyDescent="0.2">
      <c r="A8" s="887" t="s">
        <v>58</v>
      </c>
      <c r="B8" s="887"/>
      <c r="C8" s="887"/>
      <c r="D8" s="888"/>
      <c r="E8" s="888"/>
      <c r="F8" s="888"/>
      <c r="G8" s="888"/>
      <c r="H8" s="888"/>
      <c r="I8" s="888"/>
      <c r="J8" s="888"/>
      <c r="K8" s="888"/>
      <c r="L8" s="888"/>
      <c r="M8" s="888"/>
      <c r="N8" s="75"/>
      <c r="P8" s="27" t="s">
        <v>11</v>
      </c>
      <c r="Q8" s="871">
        <v>0.375</v>
      </c>
      <c r="R8" s="871"/>
      <c r="T8" s="876"/>
      <c r="U8" s="877"/>
      <c r="V8" s="880"/>
      <c r="W8" s="881"/>
      <c r="AB8" s="59"/>
      <c r="AC8" s="59"/>
      <c r="AD8" s="59"/>
      <c r="AE8" s="59"/>
    </row>
    <row r="9" spans="1:32" s="17" customFormat="1" ht="39.950000000000003" customHeight="1" x14ac:dyDescent="0.2">
      <c r="A9" s="8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63"/>
      <c r="C9" s="863"/>
      <c r="D9" s="864" t="s">
        <v>46</v>
      </c>
      <c r="E9" s="865"/>
      <c r="F9" s="8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63"/>
      <c r="H9" s="889" t="str">
        <f>IF(AND($A$9="Тип доверенности/получателя при получении в адресе перегруза:",$D$9="Разовая доверенность"),"Введите ФИО","")</f>
        <v/>
      </c>
      <c r="I9" s="889"/>
      <c r="J9" s="8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89"/>
      <c r="L9" s="889"/>
      <c r="M9" s="889"/>
      <c r="N9" s="70"/>
      <c r="P9" s="31" t="s">
        <v>15</v>
      </c>
      <c r="Q9" s="890"/>
      <c r="R9" s="890"/>
      <c r="T9" s="876"/>
      <c r="U9" s="877"/>
      <c r="V9" s="882"/>
      <c r="W9" s="8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63"/>
      <c r="C10" s="863"/>
      <c r="D10" s="864"/>
      <c r="E10" s="865"/>
      <c r="F10" s="8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63"/>
      <c r="H10" s="866" t="str">
        <f>IFERROR(VLOOKUP($D$10,Proxy,2,FALSE),"")</f>
        <v/>
      </c>
      <c r="I10" s="866"/>
      <c r="J10" s="866"/>
      <c r="K10" s="866"/>
      <c r="L10" s="866"/>
      <c r="M10" s="866"/>
      <c r="N10" s="71"/>
      <c r="P10" s="31" t="s">
        <v>32</v>
      </c>
      <c r="Q10" s="867"/>
      <c r="R10" s="867"/>
      <c r="U10" s="29" t="s">
        <v>12</v>
      </c>
      <c r="V10" s="868" t="s">
        <v>71</v>
      </c>
      <c r="W10" s="86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70"/>
      <c r="R11" s="870"/>
      <c r="U11" s="29" t="s">
        <v>28</v>
      </c>
      <c r="V11" s="849" t="s">
        <v>55</v>
      </c>
      <c r="W11" s="84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48" t="s">
        <v>72</v>
      </c>
      <c r="B12" s="848"/>
      <c r="C12" s="848"/>
      <c r="D12" s="848"/>
      <c r="E12" s="848"/>
      <c r="F12" s="848"/>
      <c r="G12" s="848"/>
      <c r="H12" s="848"/>
      <c r="I12" s="848"/>
      <c r="J12" s="848"/>
      <c r="K12" s="848"/>
      <c r="L12" s="848"/>
      <c r="M12" s="848"/>
      <c r="N12" s="76"/>
      <c r="P12" s="27" t="s">
        <v>30</v>
      </c>
      <c r="Q12" s="871"/>
      <c r="R12" s="871"/>
      <c r="S12" s="28"/>
      <c r="T12"/>
      <c r="U12" s="29" t="s">
        <v>46</v>
      </c>
      <c r="V12" s="872"/>
      <c r="W12" s="872"/>
      <c r="X12"/>
      <c r="AB12" s="59"/>
      <c r="AC12" s="59"/>
      <c r="AD12" s="59"/>
      <c r="AE12" s="59"/>
    </row>
    <row r="13" spans="1:32" s="17" customFormat="1" ht="23.25" customHeight="1" x14ac:dyDescent="0.2">
      <c r="A13" s="848" t="s">
        <v>73</v>
      </c>
      <c r="B13" s="848"/>
      <c r="C13" s="848"/>
      <c r="D13" s="848"/>
      <c r="E13" s="848"/>
      <c r="F13" s="848"/>
      <c r="G13" s="848"/>
      <c r="H13" s="848"/>
      <c r="I13" s="848"/>
      <c r="J13" s="848"/>
      <c r="K13" s="848"/>
      <c r="L13" s="848"/>
      <c r="M13" s="848"/>
      <c r="N13" s="76"/>
      <c r="O13" s="31"/>
      <c r="P13" s="31" t="s">
        <v>31</v>
      </c>
      <c r="Q13" s="849"/>
      <c r="R13" s="84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48" t="s">
        <v>74</v>
      </c>
      <c r="B14" s="848"/>
      <c r="C14" s="848"/>
      <c r="D14" s="848"/>
      <c r="E14" s="848"/>
      <c r="F14" s="848"/>
      <c r="G14" s="848"/>
      <c r="H14" s="848"/>
      <c r="I14" s="848"/>
      <c r="J14" s="848"/>
      <c r="K14" s="848"/>
      <c r="L14" s="848"/>
      <c r="M14" s="84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50" t="s">
        <v>75</v>
      </c>
      <c r="B15" s="850"/>
      <c r="C15" s="850"/>
      <c r="D15" s="850"/>
      <c r="E15" s="850"/>
      <c r="F15" s="850"/>
      <c r="G15" s="850"/>
      <c r="H15" s="850"/>
      <c r="I15" s="850"/>
      <c r="J15" s="850"/>
      <c r="K15" s="850"/>
      <c r="L15" s="850"/>
      <c r="M15" s="850"/>
      <c r="N15" s="77"/>
      <c r="O15"/>
      <c r="P15" s="851" t="s">
        <v>61</v>
      </c>
      <c r="Q15" s="851"/>
      <c r="R15" s="851"/>
      <c r="S15" s="851"/>
      <c r="T15" s="85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52"/>
      <c r="Q16" s="852"/>
      <c r="R16" s="852"/>
      <c r="S16" s="852"/>
      <c r="T16" s="85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34" t="s">
        <v>59</v>
      </c>
      <c r="B17" s="834" t="s">
        <v>49</v>
      </c>
      <c r="C17" s="855" t="s">
        <v>48</v>
      </c>
      <c r="D17" s="857" t="s">
        <v>50</v>
      </c>
      <c r="E17" s="858"/>
      <c r="F17" s="834" t="s">
        <v>21</v>
      </c>
      <c r="G17" s="834" t="s">
        <v>24</v>
      </c>
      <c r="H17" s="834" t="s">
        <v>22</v>
      </c>
      <c r="I17" s="834" t="s">
        <v>23</v>
      </c>
      <c r="J17" s="834" t="s">
        <v>16</v>
      </c>
      <c r="K17" s="834" t="s">
        <v>66</v>
      </c>
      <c r="L17" s="834" t="s">
        <v>64</v>
      </c>
      <c r="M17" s="834" t="s">
        <v>2</v>
      </c>
      <c r="N17" s="834" t="s">
        <v>63</v>
      </c>
      <c r="O17" s="834" t="s">
        <v>25</v>
      </c>
      <c r="P17" s="857" t="s">
        <v>17</v>
      </c>
      <c r="Q17" s="861"/>
      <c r="R17" s="861"/>
      <c r="S17" s="861"/>
      <c r="T17" s="858"/>
      <c r="U17" s="853" t="s">
        <v>56</v>
      </c>
      <c r="V17" s="854"/>
      <c r="W17" s="834" t="s">
        <v>6</v>
      </c>
      <c r="X17" s="834" t="s">
        <v>41</v>
      </c>
      <c r="Y17" s="836" t="s">
        <v>54</v>
      </c>
      <c r="Z17" s="838" t="s">
        <v>18</v>
      </c>
      <c r="AA17" s="840" t="s">
        <v>60</v>
      </c>
      <c r="AB17" s="840" t="s">
        <v>19</v>
      </c>
      <c r="AC17" s="840" t="s">
        <v>65</v>
      </c>
      <c r="AD17" s="842" t="s">
        <v>57</v>
      </c>
      <c r="AE17" s="843"/>
      <c r="AF17" s="844"/>
      <c r="AG17" s="82"/>
      <c r="BD17" s="81" t="s">
        <v>62</v>
      </c>
    </row>
    <row r="18" spans="1:68" ht="14.25" customHeight="1" x14ac:dyDescent="0.2">
      <c r="A18" s="835"/>
      <c r="B18" s="835"/>
      <c r="C18" s="856"/>
      <c r="D18" s="859"/>
      <c r="E18" s="860"/>
      <c r="F18" s="835"/>
      <c r="G18" s="835"/>
      <c r="H18" s="835"/>
      <c r="I18" s="835"/>
      <c r="J18" s="835"/>
      <c r="K18" s="835"/>
      <c r="L18" s="835"/>
      <c r="M18" s="835"/>
      <c r="N18" s="835"/>
      <c r="O18" s="835"/>
      <c r="P18" s="859"/>
      <c r="Q18" s="862"/>
      <c r="R18" s="862"/>
      <c r="S18" s="862"/>
      <c r="T18" s="860"/>
      <c r="U18" s="83" t="s">
        <v>44</v>
      </c>
      <c r="V18" s="83" t="s">
        <v>43</v>
      </c>
      <c r="W18" s="835"/>
      <c r="X18" s="835"/>
      <c r="Y18" s="837"/>
      <c r="Z18" s="839"/>
      <c r="AA18" s="841"/>
      <c r="AB18" s="841"/>
      <c r="AC18" s="841"/>
      <c r="AD18" s="845"/>
      <c r="AE18" s="846"/>
      <c r="AF18" s="847"/>
      <c r="AG18" s="82"/>
      <c r="BD18" s="81"/>
    </row>
    <row r="19" spans="1:68" ht="27.75" customHeight="1" x14ac:dyDescent="0.2">
      <c r="A19" s="599" t="s">
        <v>76</v>
      </c>
      <c r="B19" s="599"/>
      <c r="C19" s="599"/>
      <c r="D19" s="599"/>
      <c r="E19" s="599"/>
      <c r="F19" s="599"/>
      <c r="G19" s="599"/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599"/>
      <c r="T19" s="599"/>
      <c r="U19" s="599"/>
      <c r="V19" s="599"/>
      <c r="W19" s="599"/>
      <c r="X19" s="599"/>
      <c r="Y19" s="599"/>
      <c r="Z19" s="599"/>
      <c r="AA19" s="54"/>
      <c r="AB19" s="54"/>
      <c r="AC19" s="54"/>
    </row>
    <row r="20" spans="1:68" ht="16.5" customHeight="1" x14ac:dyDescent="0.25">
      <c r="A20" s="589" t="s">
        <v>76</v>
      </c>
      <c r="B20" s="589"/>
      <c r="C20" s="589"/>
      <c r="D20" s="589"/>
      <c r="E20" s="589"/>
      <c r="F20" s="589"/>
      <c r="G20" s="589"/>
      <c r="H20" s="589"/>
      <c r="I20" s="589"/>
      <c r="J20" s="589"/>
      <c r="K20" s="589"/>
      <c r="L20" s="589"/>
      <c r="M20" s="589"/>
      <c r="N20" s="589"/>
      <c r="O20" s="589"/>
      <c r="P20" s="589"/>
      <c r="Q20" s="589"/>
      <c r="R20" s="589"/>
      <c r="S20" s="589"/>
      <c r="T20" s="589"/>
      <c r="U20" s="589"/>
      <c r="V20" s="589"/>
      <c r="W20" s="589"/>
      <c r="X20" s="589"/>
      <c r="Y20" s="589"/>
      <c r="Z20" s="589"/>
      <c r="AA20" s="65"/>
      <c r="AB20" s="65"/>
      <c r="AC20" s="79"/>
    </row>
    <row r="21" spans="1:68" ht="14.25" customHeight="1" x14ac:dyDescent="0.25">
      <c r="A21" s="590" t="s">
        <v>77</v>
      </c>
      <c r="B21" s="590"/>
      <c r="C21" s="590"/>
      <c r="D21" s="590"/>
      <c r="E21" s="590"/>
      <c r="F21" s="590"/>
      <c r="G21" s="590"/>
      <c r="H21" s="590"/>
      <c r="I21" s="590"/>
      <c r="J21" s="590"/>
      <c r="K21" s="590"/>
      <c r="L21" s="590"/>
      <c r="M21" s="590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585">
        <v>4680115887510</v>
      </c>
      <c r="E22" s="58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3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87"/>
      <c r="R22" s="587"/>
      <c r="S22" s="587"/>
      <c r="T22" s="58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585">
        <v>4680115886643</v>
      </c>
      <c r="E23" s="58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8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87"/>
      <c r="R23" s="587"/>
      <c r="S23" s="587"/>
      <c r="T23" s="58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9"/>
      <c r="B24" s="579"/>
      <c r="C24" s="579"/>
      <c r="D24" s="579"/>
      <c r="E24" s="579"/>
      <c r="F24" s="579"/>
      <c r="G24" s="579"/>
      <c r="H24" s="579"/>
      <c r="I24" s="579"/>
      <c r="J24" s="579"/>
      <c r="K24" s="579"/>
      <c r="L24" s="579"/>
      <c r="M24" s="579"/>
      <c r="N24" s="579"/>
      <c r="O24" s="580"/>
      <c r="P24" s="576" t="s">
        <v>40</v>
      </c>
      <c r="Q24" s="577"/>
      <c r="R24" s="577"/>
      <c r="S24" s="577"/>
      <c r="T24" s="577"/>
      <c r="U24" s="577"/>
      <c r="V24" s="57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9"/>
      <c r="B25" s="579"/>
      <c r="C25" s="579"/>
      <c r="D25" s="579"/>
      <c r="E25" s="579"/>
      <c r="F25" s="579"/>
      <c r="G25" s="579"/>
      <c r="H25" s="579"/>
      <c r="I25" s="579"/>
      <c r="J25" s="579"/>
      <c r="K25" s="579"/>
      <c r="L25" s="579"/>
      <c r="M25" s="579"/>
      <c r="N25" s="579"/>
      <c r="O25" s="580"/>
      <c r="P25" s="576" t="s">
        <v>40</v>
      </c>
      <c r="Q25" s="577"/>
      <c r="R25" s="577"/>
      <c r="S25" s="577"/>
      <c r="T25" s="577"/>
      <c r="U25" s="577"/>
      <c r="V25" s="57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90" t="s">
        <v>87</v>
      </c>
      <c r="B26" s="590"/>
      <c r="C26" s="590"/>
      <c r="D26" s="590"/>
      <c r="E26" s="590"/>
      <c r="F26" s="590"/>
      <c r="G26" s="590"/>
      <c r="H26" s="590"/>
      <c r="I26" s="590"/>
      <c r="J26" s="590"/>
      <c r="K26" s="590"/>
      <c r="L26" s="590"/>
      <c r="M26" s="590"/>
      <c r="N26" s="590"/>
      <c r="O26" s="590"/>
      <c r="P26" s="590"/>
      <c r="Q26" s="590"/>
      <c r="R26" s="590"/>
      <c r="S26" s="590"/>
      <c r="T26" s="590"/>
      <c r="U26" s="590"/>
      <c r="V26" s="590"/>
      <c r="W26" s="590"/>
      <c r="X26" s="590"/>
      <c r="Y26" s="590"/>
      <c r="Z26" s="590"/>
      <c r="AA26" s="66"/>
      <c r="AB26" s="66"/>
      <c r="AC26" s="80"/>
    </row>
    <row r="27" spans="1:68" ht="27" customHeight="1" x14ac:dyDescent="0.25">
      <c r="A27" s="63" t="s">
        <v>88</v>
      </c>
      <c r="B27" s="63" t="s">
        <v>89</v>
      </c>
      <c r="C27" s="36">
        <v>4301051866</v>
      </c>
      <c r="D27" s="585">
        <v>4680115885912</v>
      </c>
      <c r="E27" s="58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87"/>
      <c r="R27" s="587"/>
      <c r="S27" s="587"/>
      <c r="T27" s="588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585">
        <v>4607091388237</v>
      </c>
      <c r="E28" s="58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8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87"/>
      <c r="R28" s="587"/>
      <c r="S28" s="587"/>
      <c r="T28" s="588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585">
        <v>4680115887350</v>
      </c>
      <c r="E29" s="58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8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87"/>
      <c r="R29" s="587"/>
      <c r="S29" s="587"/>
      <c r="T29" s="588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585">
        <v>4680115885905</v>
      </c>
      <c r="E30" s="58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8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87"/>
      <c r="R30" s="587"/>
      <c r="S30" s="587"/>
      <c r="T30" s="588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585">
        <v>4680115887657</v>
      </c>
      <c r="E31" s="58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82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87"/>
      <c r="R31" s="587"/>
      <c r="S31" s="587"/>
      <c r="T31" s="588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4301052197</v>
      </c>
      <c r="D32" s="585">
        <v>4680115888326</v>
      </c>
      <c r="E32" s="58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826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587"/>
      <c r="R32" s="587"/>
      <c r="S32" s="587"/>
      <c r="T32" s="588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107</v>
      </c>
      <c r="B33" s="63" t="s">
        <v>108</v>
      </c>
      <c r="C33" s="36">
        <v>4301052071</v>
      </c>
      <c r="D33" s="585">
        <v>4680115887619</v>
      </c>
      <c r="E33" s="585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8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587"/>
      <c r="R33" s="587"/>
      <c r="S33" s="587"/>
      <c r="T33" s="588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x14ac:dyDescent="0.2">
      <c r="A34" s="579"/>
      <c r="B34" s="579"/>
      <c r="C34" s="579"/>
      <c r="D34" s="579"/>
      <c r="E34" s="579"/>
      <c r="F34" s="579"/>
      <c r="G34" s="579"/>
      <c r="H34" s="579"/>
      <c r="I34" s="579"/>
      <c r="J34" s="579"/>
      <c r="K34" s="579"/>
      <c r="L34" s="579"/>
      <c r="M34" s="579"/>
      <c r="N34" s="579"/>
      <c r="O34" s="580"/>
      <c r="P34" s="576" t="s">
        <v>40</v>
      </c>
      <c r="Q34" s="577"/>
      <c r="R34" s="577"/>
      <c r="S34" s="577"/>
      <c r="T34" s="577"/>
      <c r="U34" s="577"/>
      <c r="V34" s="578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x14ac:dyDescent="0.2">
      <c r="A35" s="579"/>
      <c r="B35" s="579"/>
      <c r="C35" s="579"/>
      <c r="D35" s="579"/>
      <c r="E35" s="579"/>
      <c r="F35" s="579"/>
      <c r="G35" s="579"/>
      <c r="H35" s="579"/>
      <c r="I35" s="579"/>
      <c r="J35" s="579"/>
      <c r="K35" s="579"/>
      <c r="L35" s="579"/>
      <c r="M35" s="579"/>
      <c r="N35" s="579"/>
      <c r="O35" s="580"/>
      <c r="P35" s="576" t="s">
        <v>40</v>
      </c>
      <c r="Q35" s="577"/>
      <c r="R35" s="577"/>
      <c r="S35" s="577"/>
      <c r="T35" s="577"/>
      <c r="U35" s="577"/>
      <c r="V35" s="578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customHeight="1" x14ac:dyDescent="0.25">
      <c r="A36" s="590" t="s">
        <v>110</v>
      </c>
      <c r="B36" s="590"/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0"/>
      <c r="N36" s="590"/>
      <c r="O36" s="590"/>
      <c r="P36" s="590"/>
      <c r="Q36" s="590"/>
      <c r="R36" s="590"/>
      <c r="S36" s="590"/>
      <c r="T36" s="590"/>
      <c r="U36" s="590"/>
      <c r="V36" s="590"/>
      <c r="W36" s="590"/>
      <c r="X36" s="590"/>
      <c r="Y36" s="590"/>
      <c r="Z36" s="590"/>
      <c r="AA36" s="66"/>
      <c r="AB36" s="66"/>
      <c r="AC36" s="80"/>
    </row>
    <row r="37" spans="1:68" ht="27" customHeight="1" x14ac:dyDescent="0.25">
      <c r="A37" s="63" t="s">
        <v>111</v>
      </c>
      <c r="B37" s="63" t="s">
        <v>112</v>
      </c>
      <c r="C37" s="36">
        <v>4301032013</v>
      </c>
      <c r="D37" s="585">
        <v>4607091388503</v>
      </c>
      <c r="E37" s="585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8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587"/>
      <c r="R37" s="587"/>
      <c r="S37" s="587"/>
      <c r="T37" s="58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x14ac:dyDescent="0.2">
      <c r="A38" s="579"/>
      <c r="B38" s="579"/>
      <c r="C38" s="579"/>
      <c r="D38" s="579"/>
      <c r="E38" s="579"/>
      <c r="F38" s="579"/>
      <c r="G38" s="579"/>
      <c r="H38" s="579"/>
      <c r="I38" s="579"/>
      <c r="J38" s="579"/>
      <c r="K38" s="579"/>
      <c r="L38" s="579"/>
      <c r="M38" s="579"/>
      <c r="N38" s="579"/>
      <c r="O38" s="580"/>
      <c r="P38" s="576" t="s">
        <v>40</v>
      </c>
      <c r="Q38" s="577"/>
      <c r="R38" s="577"/>
      <c r="S38" s="577"/>
      <c r="T38" s="577"/>
      <c r="U38" s="577"/>
      <c r="V38" s="578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x14ac:dyDescent="0.2">
      <c r="A39" s="579"/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80"/>
      <c r="P39" s="576" t="s">
        <v>40</v>
      </c>
      <c r="Q39" s="577"/>
      <c r="R39" s="577"/>
      <c r="S39" s="577"/>
      <c r="T39" s="577"/>
      <c r="U39" s="577"/>
      <c r="V39" s="578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customHeight="1" x14ac:dyDescent="0.2">
      <c r="A40" s="599" t="s">
        <v>45</v>
      </c>
      <c r="B40" s="599"/>
      <c r="C40" s="599"/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599"/>
      <c r="O40" s="599"/>
      <c r="P40" s="599"/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4"/>
      <c r="AB40" s="54"/>
      <c r="AC40" s="54"/>
    </row>
    <row r="41" spans="1:68" ht="16.5" customHeight="1" x14ac:dyDescent="0.25">
      <c r="A41" s="589" t="s">
        <v>116</v>
      </c>
      <c r="B41" s="589"/>
      <c r="C41" s="589"/>
      <c r="D41" s="589"/>
      <c r="E41" s="589"/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P41" s="589"/>
      <c r="Q41" s="589"/>
      <c r="R41" s="589"/>
      <c r="S41" s="589"/>
      <c r="T41" s="589"/>
      <c r="U41" s="589"/>
      <c r="V41" s="589"/>
      <c r="W41" s="589"/>
      <c r="X41" s="589"/>
      <c r="Y41" s="589"/>
      <c r="Z41" s="589"/>
      <c r="AA41" s="65"/>
      <c r="AB41" s="65"/>
      <c r="AC41" s="79"/>
    </row>
    <row r="42" spans="1:68" ht="14.25" customHeight="1" x14ac:dyDescent="0.25">
      <c r="A42" s="590" t="s">
        <v>87</v>
      </c>
      <c r="B42" s="590"/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  <c r="O42" s="590"/>
      <c r="P42" s="590"/>
      <c r="Q42" s="590"/>
      <c r="R42" s="590"/>
      <c r="S42" s="590"/>
      <c r="T42" s="590"/>
      <c r="U42" s="590"/>
      <c r="V42" s="590"/>
      <c r="W42" s="590"/>
      <c r="X42" s="590"/>
      <c r="Y42" s="590"/>
      <c r="Z42" s="590"/>
      <c r="AA42" s="66"/>
      <c r="AB42" s="66"/>
      <c r="AC42" s="80"/>
    </row>
    <row r="43" spans="1:68" ht="27" customHeight="1" x14ac:dyDescent="0.25">
      <c r="A43" s="63" t="s">
        <v>117</v>
      </c>
      <c r="B43" s="63" t="s">
        <v>118</v>
      </c>
      <c r="C43" s="36">
        <v>4301052184</v>
      </c>
      <c r="D43" s="585">
        <v>4680115888272</v>
      </c>
      <c r="E43" s="585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8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587"/>
      <c r="R43" s="587"/>
      <c r="S43" s="587"/>
      <c r="T43" s="588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579"/>
      <c r="B44" s="579"/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80"/>
      <c r="P44" s="576" t="s">
        <v>40</v>
      </c>
      <c r="Q44" s="577"/>
      <c r="R44" s="577"/>
      <c r="S44" s="577"/>
      <c r="T44" s="577"/>
      <c r="U44" s="577"/>
      <c r="V44" s="578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x14ac:dyDescent="0.2">
      <c r="A45" s="579"/>
      <c r="B45" s="579"/>
      <c r="C45" s="579"/>
      <c r="D45" s="579"/>
      <c r="E45" s="579"/>
      <c r="F45" s="579"/>
      <c r="G45" s="579"/>
      <c r="H45" s="579"/>
      <c r="I45" s="579"/>
      <c r="J45" s="579"/>
      <c r="K45" s="579"/>
      <c r="L45" s="579"/>
      <c r="M45" s="579"/>
      <c r="N45" s="579"/>
      <c r="O45" s="580"/>
      <c r="P45" s="576" t="s">
        <v>40</v>
      </c>
      <c r="Q45" s="577"/>
      <c r="R45" s="577"/>
      <c r="S45" s="577"/>
      <c r="T45" s="577"/>
      <c r="U45" s="577"/>
      <c r="V45" s="578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customHeight="1" x14ac:dyDescent="0.2">
      <c r="A46" s="599" t="s">
        <v>120</v>
      </c>
      <c r="B46" s="599"/>
      <c r="C46" s="599"/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599"/>
      <c r="O46" s="599"/>
      <c r="P46" s="599"/>
      <c r="Q46" s="599"/>
      <c r="R46" s="599"/>
      <c r="S46" s="599"/>
      <c r="T46" s="599"/>
      <c r="U46" s="599"/>
      <c r="V46" s="599"/>
      <c r="W46" s="599"/>
      <c r="X46" s="599"/>
      <c r="Y46" s="599"/>
      <c r="Z46" s="599"/>
      <c r="AA46" s="54"/>
      <c r="AB46" s="54"/>
      <c r="AC46" s="54"/>
    </row>
    <row r="47" spans="1:68" ht="16.5" customHeight="1" x14ac:dyDescent="0.25">
      <c r="A47" s="589" t="s">
        <v>121</v>
      </c>
      <c r="B47" s="589"/>
      <c r="C47" s="589"/>
      <c r="D47" s="589"/>
      <c r="E47" s="589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  <c r="R47" s="589"/>
      <c r="S47" s="589"/>
      <c r="T47" s="589"/>
      <c r="U47" s="589"/>
      <c r="V47" s="589"/>
      <c r="W47" s="589"/>
      <c r="X47" s="589"/>
      <c r="Y47" s="589"/>
      <c r="Z47" s="589"/>
      <c r="AA47" s="65"/>
      <c r="AB47" s="65"/>
      <c r="AC47" s="79"/>
    </row>
    <row r="48" spans="1:68" ht="14.25" customHeight="1" x14ac:dyDescent="0.25">
      <c r="A48" s="590" t="s">
        <v>122</v>
      </c>
      <c r="B48" s="590"/>
      <c r="C48" s="590"/>
      <c r="D48" s="590"/>
      <c r="E48" s="590"/>
      <c r="F48" s="590"/>
      <c r="G48" s="590"/>
      <c r="H48" s="590"/>
      <c r="I48" s="590"/>
      <c r="J48" s="590"/>
      <c r="K48" s="590"/>
      <c r="L48" s="590"/>
      <c r="M48" s="590"/>
      <c r="N48" s="590"/>
      <c r="O48" s="590"/>
      <c r="P48" s="590"/>
      <c r="Q48" s="590"/>
      <c r="R48" s="590"/>
      <c r="S48" s="590"/>
      <c r="T48" s="590"/>
      <c r="U48" s="590"/>
      <c r="V48" s="590"/>
      <c r="W48" s="590"/>
      <c r="X48" s="590"/>
      <c r="Y48" s="590"/>
      <c r="Z48" s="590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585">
        <v>4607091385670</v>
      </c>
      <c r="E49" s="585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82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587"/>
      <c r="R49" s="587"/>
      <c r="S49" s="587"/>
      <c r="T49" s="588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21.6</v>
      </c>
      <c r="Z49" s="41">
        <f>IFERROR(IF(Y49=0,"",ROUNDUP(Y49/H49,0)*0.01898),"")</f>
        <v>3.7960000000000001E-2</v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20.75925925925926</v>
      </c>
      <c r="BN49" s="78">
        <f>IFERROR(Y49*I49/H49,"0")</f>
        <v>22.42</v>
      </c>
      <c r="BO49" s="78">
        <f>IFERROR(1/J49*(X49/H49),"0")</f>
        <v>2.8935185185185182E-2</v>
      </c>
      <c r="BP49" s="78">
        <f>IFERROR(1/J49*(Y49/H49),"0")</f>
        <v>3.125E-2</v>
      </c>
    </row>
    <row r="50" spans="1:68" ht="27" customHeight="1" x14ac:dyDescent="0.25">
      <c r="A50" s="63" t="s">
        <v>128</v>
      </c>
      <c r="B50" s="63" t="s">
        <v>129</v>
      </c>
      <c r="C50" s="36">
        <v>4301012053</v>
      </c>
      <c r="D50" s="585">
        <v>4680115887725</v>
      </c>
      <c r="E50" s="585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8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587"/>
      <c r="R50" s="587"/>
      <c r="S50" s="587"/>
      <c r="T50" s="58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132</v>
      </c>
      <c r="B51" s="63" t="s">
        <v>133</v>
      </c>
      <c r="C51" s="36">
        <v>4301011382</v>
      </c>
      <c r="D51" s="585">
        <v>4607091385687</v>
      </c>
      <c r="E51" s="585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8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587"/>
      <c r="R51" s="587"/>
      <c r="S51" s="587"/>
      <c r="T51" s="58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4301011565</v>
      </c>
      <c r="D52" s="585">
        <v>4680115882539</v>
      </c>
      <c r="E52" s="585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8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587"/>
      <c r="R52" s="587"/>
      <c r="S52" s="587"/>
      <c r="T52" s="58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">
      <c r="A53" s="579"/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80"/>
      <c r="P53" s="576" t="s">
        <v>40</v>
      </c>
      <c r="Q53" s="577"/>
      <c r="R53" s="577"/>
      <c r="S53" s="577"/>
      <c r="T53" s="577"/>
      <c r="U53" s="577"/>
      <c r="V53" s="578"/>
      <c r="W53" s="42" t="s">
        <v>39</v>
      </c>
      <c r="X53" s="43">
        <f>IFERROR(X49/H49,"0")+IFERROR(X50/H50,"0")+IFERROR(X51/H51,"0")+IFERROR(X52/H52,"0")</f>
        <v>1.8518518518518516</v>
      </c>
      <c r="Y53" s="43">
        <f>IFERROR(Y49/H49,"0")+IFERROR(Y50/H50,"0")+IFERROR(Y51/H51,"0")+IFERROR(Y52/H52,"0")</f>
        <v>2</v>
      </c>
      <c r="Z53" s="43">
        <f>IFERROR(IF(Z49="",0,Z49),"0")+IFERROR(IF(Z50="",0,Z50),"0")+IFERROR(IF(Z51="",0,Z51),"0")+IFERROR(IF(Z52="",0,Z52),"0")</f>
        <v>3.7960000000000001E-2</v>
      </c>
      <c r="AA53" s="67"/>
      <c r="AB53" s="67"/>
      <c r="AC53" s="67"/>
    </row>
    <row r="54" spans="1:68" x14ac:dyDescent="0.2">
      <c r="A54" s="579"/>
      <c r="B54" s="579"/>
      <c r="C54" s="579"/>
      <c r="D54" s="579"/>
      <c r="E54" s="579"/>
      <c r="F54" s="579"/>
      <c r="G54" s="579"/>
      <c r="H54" s="579"/>
      <c r="I54" s="579"/>
      <c r="J54" s="579"/>
      <c r="K54" s="579"/>
      <c r="L54" s="579"/>
      <c r="M54" s="579"/>
      <c r="N54" s="579"/>
      <c r="O54" s="580"/>
      <c r="P54" s="576" t="s">
        <v>40</v>
      </c>
      <c r="Q54" s="577"/>
      <c r="R54" s="577"/>
      <c r="S54" s="577"/>
      <c r="T54" s="577"/>
      <c r="U54" s="577"/>
      <c r="V54" s="578"/>
      <c r="W54" s="42" t="s">
        <v>0</v>
      </c>
      <c r="X54" s="43">
        <f>IFERROR(SUM(X49:X52),"0")</f>
        <v>20</v>
      </c>
      <c r="Y54" s="43">
        <f>IFERROR(SUM(Y49:Y52),"0")</f>
        <v>21.6</v>
      </c>
      <c r="Z54" s="42"/>
      <c r="AA54" s="67"/>
      <c r="AB54" s="67"/>
      <c r="AC54" s="67"/>
    </row>
    <row r="55" spans="1:68" ht="16.5" customHeight="1" x14ac:dyDescent="0.25">
      <c r="A55" s="589" t="s">
        <v>137</v>
      </c>
      <c r="B55" s="589"/>
      <c r="C55" s="589"/>
      <c r="D55" s="589"/>
      <c r="E55" s="589"/>
      <c r="F55" s="589"/>
      <c r="G55" s="589"/>
      <c r="H55" s="589"/>
      <c r="I55" s="589"/>
      <c r="J55" s="589"/>
      <c r="K55" s="589"/>
      <c r="L55" s="589"/>
      <c r="M55" s="589"/>
      <c r="N55" s="589"/>
      <c r="O55" s="589"/>
      <c r="P55" s="589"/>
      <c r="Q55" s="589"/>
      <c r="R55" s="589"/>
      <c r="S55" s="589"/>
      <c r="T55" s="589"/>
      <c r="U55" s="589"/>
      <c r="V55" s="589"/>
      <c r="W55" s="589"/>
      <c r="X55" s="589"/>
      <c r="Y55" s="589"/>
      <c r="Z55" s="589"/>
      <c r="AA55" s="65"/>
      <c r="AB55" s="65"/>
      <c r="AC55" s="79"/>
    </row>
    <row r="56" spans="1:68" ht="14.25" customHeight="1" x14ac:dyDescent="0.25">
      <c r="A56" s="590" t="s">
        <v>122</v>
      </c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  <c r="M56" s="590"/>
      <c r="N56" s="590"/>
      <c r="O56" s="590"/>
      <c r="P56" s="590"/>
      <c r="Q56" s="590"/>
      <c r="R56" s="590"/>
      <c r="S56" s="590"/>
      <c r="T56" s="590"/>
      <c r="U56" s="590"/>
      <c r="V56" s="590"/>
      <c r="W56" s="590"/>
      <c r="X56" s="590"/>
      <c r="Y56" s="590"/>
      <c r="Z56" s="590"/>
      <c r="AA56" s="66"/>
      <c r="AB56" s="66"/>
      <c r="AC56" s="80"/>
    </row>
    <row r="57" spans="1:68" ht="27" customHeight="1" x14ac:dyDescent="0.25">
      <c r="A57" s="63" t="s">
        <v>138</v>
      </c>
      <c r="B57" s="63" t="s">
        <v>139</v>
      </c>
      <c r="C57" s="36">
        <v>4301012030</v>
      </c>
      <c r="D57" s="585">
        <v>4680115885882</v>
      </c>
      <c r="E57" s="585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8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587"/>
      <c r="R57" s="587"/>
      <c r="S57" s="587"/>
      <c r="T57" s="58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585">
        <v>4680115881426</v>
      </c>
      <c r="E58" s="585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8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587"/>
      <c r="R58" s="587"/>
      <c r="S58" s="587"/>
      <c r="T58" s="588"/>
      <c r="U58" s="39" t="s">
        <v>46</v>
      </c>
      <c r="V58" s="39" t="s">
        <v>46</v>
      </c>
      <c r="W58" s="40" t="s">
        <v>0</v>
      </c>
      <c r="X58" s="58"/>
      <c r="Y58" s="55">
        <f t="shared" si="6"/>
        <v>0</v>
      </c>
      <c r="Z58" s="41" t="str">
        <f>IFERROR(IF(Y58=0,"",ROUNDUP(Y58/H58,0)*0.01898),"")</f>
        <v/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144</v>
      </c>
      <c r="B59" s="63" t="s">
        <v>145</v>
      </c>
      <c r="C59" s="36">
        <v>4301011386</v>
      </c>
      <c r="D59" s="585">
        <v>4680115880283</v>
      </c>
      <c r="E59" s="58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8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587"/>
      <c r="R59" s="587"/>
      <c r="S59" s="587"/>
      <c r="T59" s="58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147</v>
      </c>
      <c r="B60" s="63" t="s">
        <v>148</v>
      </c>
      <c r="C60" s="36">
        <v>4301011806</v>
      </c>
      <c r="D60" s="585">
        <v>4680115881525</v>
      </c>
      <c r="E60" s="58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8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587"/>
      <c r="R60" s="587"/>
      <c r="S60" s="587"/>
      <c r="T60" s="58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4301011589</v>
      </c>
      <c r="D61" s="585">
        <v>4680115885899</v>
      </c>
      <c r="E61" s="58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81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587"/>
      <c r="R61" s="587"/>
      <c r="S61" s="587"/>
      <c r="T61" s="58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585">
        <v>4680115881419</v>
      </c>
      <c r="E62" s="58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8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587"/>
      <c r="R62" s="587"/>
      <c r="S62" s="587"/>
      <c r="T62" s="588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">
      <c r="A63" s="579"/>
      <c r="B63" s="579"/>
      <c r="C63" s="579"/>
      <c r="D63" s="579"/>
      <c r="E63" s="579"/>
      <c r="F63" s="579"/>
      <c r="G63" s="579"/>
      <c r="H63" s="579"/>
      <c r="I63" s="579"/>
      <c r="J63" s="579"/>
      <c r="K63" s="579"/>
      <c r="L63" s="579"/>
      <c r="M63" s="579"/>
      <c r="N63" s="579"/>
      <c r="O63" s="580"/>
      <c r="P63" s="576" t="s">
        <v>40</v>
      </c>
      <c r="Q63" s="577"/>
      <c r="R63" s="577"/>
      <c r="S63" s="577"/>
      <c r="T63" s="577"/>
      <c r="U63" s="577"/>
      <c r="V63" s="578"/>
      <c r="W63" s="42" t="s">
        <v>39</v>
      </c>
      <c r="X63" s="43">
        <f>IFERROR(X57/H57,"0")+IFERROR(X58/H58,"0")+IFERROR(X59/H59,"0")+IFERROR(X60/H60,"0")+IFERROR(X61/H61,"0")+IFERROR(X62/H62,"0")</f>
        <v>10</v>
      </c>
      <c r="Y63" s="43">
        <f>IFERROR(Y57/H57,"0")+IFERROR(Y58/H58,"0")+IFERROR(Y59/H59,"0")+IFERROR(Y60/H60,"0")+IFERROR(Y61/H61,"0")+IFERROR(Y62/H62,"0")</f>
        <v>10</v>
      </c>
      <c r="Z63" s="43">
        <f>IFERROR(IF(Z57="",0,Z57),"0")+IFERROR(IF(Z58="",0,Z58),"0")+IFERROR(IF(Z59="",0,Z59),"0")+IFERROR(IF(Z60="",0,Z60),"0")+IFERROR(IF(Z61="",0,Z61),"0")+IFERROR(IF(Z62="",0,Z62),"0")</f>
        <v>9.0200000000000002E-2</v>
      </c>
      <c r="AA63" s="67"/>
      <c r="AB63" s="67"/>
      <c r="AC63" s="67"/>
    </row>
    <row r="64" spans="1:68" x14ac:dyDescent="0.2">
      <c r="A64" s="579"/>
      <c r="B64" s="579"/>
      <c r="C64" s="579"/>
      <c r="D64" s="579"/>
      <c r="E64" s="579"/>
      <c r="F64" s="579"/>
      <c r="G64" s="579"/>
      <c r="H64" s="579"/>
      <c r="I64" s="579"/>
      <c r="J64" s="579"/>
      <c r="K64" s="579"/>
      <c r="L64" s="579"/>
      <c r="M64" s="579"/>
      <c r="N64" s="579"/>
      <c r="O64" s="580"/>
      <c r="P64" s="576" t="s">
        <v>40</v>
      </c>
      <c r="Q64" s="577"/>
      <c r="R64" s="577"/>
      <c r="S64" s="577"/>
      <c r="T64" s="577"/>
      <c r="U64" s="577"/>
      <c r="V64" s="578"/>
      <c r="W64" s="42" t="s">
        <v>0</v>
      </c>
      <c r="X64" s="43">
        <f>IFERROR(SUM(X57:X62),"0")</f>
        <v>45</v>
      </c>
      <c r="Y64" s="43">
        <f>IFERROR(SUM(Y57:Y62),"0")</f>
        <v>45</v>
      </c>
      <c r="Z64" s="42"/>
      <c r="AA64" s="67"/>
      <c r="AB64" s="67"/>
      <c r="AC64" s="67"/>
    </row>
    <row r="65" spans="1:68" ht="14.25" customHeight="1" x14ac:dyDescent="0.25">
      <c r="A65" s="590" t="s">
        <v>156</v>
      </c>
      <c r="B65" s="590"/>
      <c r="C65" s="590"/>
      <c r="D65" s="590"/>
      <c r="E65" s="590"/>
      <c r="F65" s="590"/>
      <c r="G65" s="590"/>
      <c r="H65" s="590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Y65" s="590"/>
      <c r="Z65" s="590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585">
        <v>4680115881440</v>
      </c>
      <c r="E66" s="58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587"/>
      <c r="R66" s="587"/>
      <c r="S66" s="587"/>
      <c r="T66" s="588"/>
      <c r="U66" s="39" t="s">
        <v>46</v>
      </c>
      <c r="V66" s="39" t="s">
        <v>46</v>
      </c>
      <c r="W66" s="40" t="s">
        <v>0</v>
      </c>
      <c r="X66" s="58"/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160</v>
      </c>
      <c r="B67" s="63" t="s">
        <v>161</v>
      </c>
      <c r="C67" s="36">
        <v>4301020358</v>
      </c>
      <c r="D67" s="585">
        <v>4680115885950</v>
      </c>
      <c r="E67" s="58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8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587"/>
      <c r="R67" s="587"/>
      <c r="S67" s="587"/>
      <c r="T67" s="58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162</v>
      </c>
      <c r="B68" s="63" t="s">
        <v>163</v>
      </c>
      <c r="C68" s="36">
        <v>4301020371</v>
      </c>
      <c r="D68" s="585">
        <v>4680115887688</v>
      </c>
      <c r="E68" s="58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8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587"/>
      <c r="R68" s="587"/>
      <c r="S68" s="587"/>
      <c r="T68" s="58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165</v>
      </c>
      <c r="B69" s="63" t="s">
        <v>166</v>
      </c>
      <c r="C69" s="36">
        <v>4301020296</v>
      </c>
      <c r="D69" s="585">
        <v>4680115881433</v>
      </c>
      <c r="E69" s="58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8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587"/>
      <c r="R69" s="587"/>
      <c r="S69" s="587"/>
      <c r="T69" s="58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79"/>
      <c r="B70" s="579"/>
      <c r="C70" s="579"/>
      <c r="D70" s="579"/>
      <c r="E70" s="579"/>
      <c r="F70" s="579"/>
      <c r="G70" s="579"/>
      <c r="H70" s="579"/>
      <c r="I70" s="579"/>
      <c r="J70" s="579"/>
      <c r="K70" s="579"/>
      <c r="L70" s="579"/>
      <c r="M70" s="579"/>
      <c r="N70" s="579"/>
      <c r="O70" s="580"/>
      <c r="P70" s="576" t="s">
        <v>40</v>
      </c>
      <c r="Q70" s="577"/>
      <c r="R70" s="577"/>
      <c r="S70" s="577"/>
      <c r="T70" s="577"/>
      <c r="U70" s="577"/>
      <c r="V70" s="57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579"/>
      <c r="B71" s="579"/>
      <c r="C71" s="579"/>
      <c r="D71" s="579"/>
      <c r="E71" s="579"/>
      <c r="F71" s="579"/>
      <c r="G71" s="579"/>
      <c r="H71" s="579"/>
      <c r="I71" s="579"/>
      <c r="J71" s="579"/>
      <c r="K71" s="579"/>
      <c r="L71" s="579"/>
      <c r="M71" s="579"/>
      <c r="N71" s="579"/>
      <c r="O71" s="580"/>
      <c r="P71" s="576" t="s">
        <v>40</v>
      </c>
      <c r="Q71" s="577"/>
      <c r="R71" s="577"/>
      <c r="S71" s="577"/>
      <c r="T71" s="577"/>
      <c r="U71" s="577"/>
      <c r="V71" s="57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590" t="s">
        <v>77</v>
      </c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0"/>
      <c r="N72" s="590"/>
      <c r="O72" s="590"/>
      <c r="P72" s="590"/>
      <c r="Q72" s="590"/>
      <c r="R72" s="590"/>
      <c r="S72" s="590"/>
      <c r="T72" s="590"/>
      <c r="U72" s="590"/>
      <c r="V72" s="590"/>
      <c r="W72" s="590"/>
      <c r="X72" s="590"/>
      <c r="Y72" s="590"/>
      <c r="Z72" s="590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4301031316</v>
      </c>
      <c r="D73" s="585">
        <v>4680115885097</v>
      </c>
      <c r="E73" s="585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8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587"/>
      <c r="R73" s="587"/>
      <c r="S73" s="587"/>
      <c r="T73" s="58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579"/>
      <c r="B74" s="579"/>
      <c r="C74" s="579"/>
      <c r="D74" s="579"/>
      <c r="E74" s="579"/>
      <c r="F74" s="579"/>
      <c r="G74" s="579"/>
      <c r="H74" s="579"/>
      <c r="I74" s="579"/>
      <c r="J74" s="579"/>
      <c r="K74" s="579"/>
      <c r="L74" s="579"/>
      <c r="M74" s="579"/>
      <c r="N74" s="579"/>
      <c r="O74" s="580"/>
      <c r="P74" s="576" t="s">
        <v>40</v>
      </c>
      <c r="Q74" s="577"/>
      <c r="R74" s="577"/>
      <c r="S74" s="577"/>
      <c r="T74" s="577"/>
      <c r="U74" s="577"/>
      <c r="V74" s="578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x14ac:dyDescent="0.2">
      <c r="A75" s="579"/>
      <c r="B75" s="579"/>
      <c r="C75" s="579"/>
      <c r="D75" s="579"/>
      <c r="E75" s="579"/>
      <c r="F75" s="579"/>
      <c r="G75" s="579"/>
      <c r="H75" s="579"/>
      <c r="I75" s="579"/>
      <c r="J75" s="579"/>
      <c r="K75" s="579"/>
      <c r="L75" s="579"/>
      <c r="M75" s="579"/>
      <c r="N75" s="579"/>
      <c r="O75" s="580"/>
      <c r="P75" s="576" t="s">
        <v>40</v>
      </c>
      <c r="Q75" s="577"/>
      <c r="R75" s="577"/>
      <c r="S75" s="577"/>
      <c r="T75" s="577"/>
      <c r="U75" s="577"/>
      <c r="V75" s="578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customHeight="1" x14ac:dyDescent="0.25">
      <c r="A76" s="590" t="s">
        <v>87</v>
      </c>
      <c r="B76" s="590"/>
      <c r="C76" s="590"/>
      <c r="D76" s="590"/>
      <c r="E76" s="590"/>
      <c r="F76" s="590"/>
      <c r="G76" s="590"/>
      <c r="H76" s="590"/>
      <c r="I76" s="590"/>
      <c r="J76" s="590"/>
      <c r="K76" s="590"/>
      <c r="L76" s="590"/>
      <c r="M76" s="590"/>
      <c r="N76" s="590"/>
      <c r="O76" s="590"/>
      <c r="P76" s="590"/>
      <c r="Q76" s="590"/>
      <c r="R76" s="590"/>
      <c r="S76" s="590"/>
      <c r="T76" s="590"/>
      <c r="U76" s="590"/>
      <c r="V76" s="590"/>
      <c r="W76" s="590"/>
      <c r="X76" s="590"/>
      <c r="Y76" s="590"/>
      <c r="Z76" s="590"/>
      <c r="AA76" s="66"/>
      <c r="AB76" s="66"/>
      <c r="AC76" s="80"/>
    </row>
    <row r="77" spans="1:68" ht="16.5" customHeight="1" x14ac:dyDescent="0.25">
      <c r="A77" s="63" t="s">
        <v>170</v>
      </c>
      <c r="B77" s="63" t="s">
        <v>171</v>
      </c>
      <c r="C77" s="36">
        <v>4301051837</v>
      </c>
      <c r="D77" s="585">
        <v>4680115884311</v>
      </c>
      <c r="E77" s="58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587"/>
      <c r="R77" s="587"/>
      <c r="S77" s="587"/>
      <c r="T77" s="58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174</v>
      </c>
      <c r="C78" s="36">
        <v>4301051929</v>
      </c>
      <c r="D78" s="585">
        <v>4680115884403</v>
      </c>
      <c r="E78" s="58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8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587"/>
      <c r="R78" s="587"/>
      <c r="S78" s="587"/>
      <c r="T78" s="58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579"/>
      <c r="B79" s="579"/>
      <c r="C79" s="579"/>
      <c r="D79" s="579"/>
      <c r="E79" s="579"/>
      <c r="F79" s="579"/>
      <c r="G79" s="579"/>
      <c r="H79" s="579"/>
      <c r="I79" s="579"/>
      <c r="J79" s="579"/>
      <c r="K79" s="579"/>
      <c r="L79" s="579"/>
      <c r="M79" s="579"/>
      <c r="N79" s="579"/>
      <c r="O79" s="580"/>
      <c r="P79" s="576" t="s">
        <v>40</v>
      </c>
      <c r="Q79" s="577"/>
      <c r="R79" s="577"/>
      <c r="S79" s="577"/>
      <c r="T79" s="577"/>
      <c r="U79" s="577"/>
      <c r="V79" s="57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579"/>
      <c r="B80" s="579"/>
      <c r="C80" s="579"/>
      <c r="D80" s="579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80"/>
      <c r="P80" s="576" t="s">
        <v>40</v>
      </c>
      <c r="Q80" s="577"/>
      <c r="R80" s="577"/>
      <c r="S80" s="577"/>
      <c r="T80" s="577"/>
      <c r="U80" s="577"/>
      <c r="V80" s="57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590" t="s">
        <v>176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590"/>
      <c r="N81" s="590"/>
      <c r="O81" s="590"/>
      <c r="P81" s="590"/>
      <c r="Q81" s="590"/>
      <c r="R81" s="590"/>
      <c r="S81" s="590"/>
      <c r="T81" s="590"/>
      <c r="U81" s="590"/>
      <c r="V81" s="590"/>
      <c r="W81" s="590"/>
      <c r="X81" s="590"/>
      <c r="Y81" s="590"/>
      <c r="Z81" s="590"/>
      <c r="AA81" s="66"/>
      <c r="AB81" s="66"/>
      <c r="AC81" s="80"/>
    </row>
    <row r="82" spans="1:68" ht="27" customHeight="1" x14ac:dyDescent="0.25">
      <c r="A82" s="63" t="s">
        <v>177</v>
      </c>
      <c r="B82" s="63" t="s">
        <v>178</v>
      </c>
      <c r="C82" s="36">
        <v>4301060455</v>
      </c>
      <c r="D82" s="585">
        <v>4680115881532</v>
      </c>
      <c r="E82" s="58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8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587"/>
      <c r="R82" s="587"/>
      <c r="S82" s="587"/>
      <c r="T82" s="588"/>
      <c r="U82" s="39" t="s">
        <v>46</v>
      </c>
      <c r="V82" s="39" t="s">
        <v>46</v>
      </c>
      <c r="W82" s="40" t="s">
        <v>0</v>
      </c>
      <c r="X82" s="58">
        <v>15</v>
      </c>
      <c r="Y82" s="55">
        <f>IFERROR(IF(X82="",0,CEILING((X82/$H82),1)*$H82),"")</f>
        <v>15.6</v>
      </c>
      <c r="Z82" s="41">
        <f>IFERROR(IF(Y82=0,"",ROUNDUP(Y82/H82,0)*0.01898),"")</f>
        <v>3.7960000000000001E-2</v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15.78846153846154</v>
      </c>
      <c r="BN82" s="78">
        <f>IFERROR(Y82*I82/H82,"0")</f>
        <v>16.420000000000002</v>
      </c>
      <c r="BO82" s="78">
        <f>IFERROR(1/J82*(X82/H82),"0")</f>
        <v>3.0048076923076924E-2</v>
      </c>
      <c r="BP82" s="78">
        <f>IFERROR(1/J82*(Y82/H82),"0")</f>
        <v>3.125E-2</v>
      </c>
    </row>
    <row r="83" spans="1:68" ht="27" customHeight="1" x14ac:dyDescent="0.25">
      <c r="A83" s="63" t="s">
        <v>180</v>
      </c>
      <c r="B83" s="63" t="s">
        <v>181</v>
      </c>
      <c r="C83" s="36">
        <v>4301060351</v>
      </c>
      <c r="D83" s="585">
        <v>4680115881464</v>
      </c>
      <c r="E83" s="58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8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587"/>
      <c r="R83" s="587"/>
      <c r="S83" s="587"/>
      <c r="T83" s="58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579"/>
      <c r="B84" s="579"/>
      <c r="C84" s="579"/>
      <c r="D84" s="579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80"/>
      <c r="P84" s="576" t="s">
        <v>40</v>
      </c>
      <c r="Q84" s="577"/>
      <c r="R84" s="577"/>
      <c r="S84" s="577"/>
      <c r="T84" s="577"/>
      <c r="U84" s="577"/>
      <c r="V84" s="578"/>
      <c r="W84" s="42" t="s">
        <v>39</v>
      </c>
      <c r="X84" s="43">
        <f>IFERROR(X82/H82,"0")+IFERROR(X83/H83,"0")</f>
        <v>1.9230769230769231</v>
      </c>
      <c r="Y84" s="43">
        <f>IFERROR(Y82/H82,"0")+IFERROR(Y83/H83,"0")</f>
        <v>2</v>
      </c>
      <c r="Z84" s="43">
        <f>IFERROR(IF(Z82="",0,Z82),"0")+IFERROR(IF(Z83="",0,Z83),"0")</f>
        <v>3.7960000000000001E-2</v>
      </c>
      <c r="AA84" s="67"/>
      <c r="AB84" s="67"/>
      <c r="AC84" s="67"/>
    </row>
    <row r="85" spans="1:68" x14ac:dyDescent="0.2">
      <c r="A85" s="579"/>
      <c r="B85" s="579"/>
      <c r="C85" s="579"/>
      <c r="D85" s="579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80"/>
      <c r="P85" s="576" t="s">
        <v>40</v>
      </c>
      <c r="Q85" s="577"/>
      <c r="R85" s="577"/>
      <c r="S85" s="577"/>
      <c r="T85" s="577"/>
      <c r="U85" s="577"/>
      <c r="V85" s="578"/>
      <c r="W85" s="42" t="s">
        <v>0</v>
      </c>
      <c r="X85" s="43">
        <f>IFERROR(SUM(X82:X83),"0")</f>
        <v>15</v>
      </c>
      <c r="Y85" s="43">
        <f>IFERROR(SUM(Y82:Y83),"0")</f>
        <v>15.6</v>
      </c>
      <c r="Z85" s="42"/>
      <c r="AA85" s="67"/>
      <c r="AB85" s="67"/>
      <c r="AC85" s="67"/>
    </row>
    <row r="86" spans="1:68" ht="16.5" customHeight="1" x14ac:dyDescent="0.25">
      <c r="A86" s="589" t="s">
        <v>183</v>
      </c>
      <c r="B86" s="589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89"/>
      <c r="Q86" s="589"/>
      <c r="R86" s="589"/>
      <c r="S86" s="589"/>
      <c r="T86" s="589"/>
      <c r="U86" s="589"/>
      <c r="V86" s="589"/>
      <c r="W86" s="589"/>
      <c r="X86" s="589"/>
      <c r="Y86" s="589"/>
      <c r="Z86" s="589"/>
      <c r="AA86" s="65"/>
      <c r="AB86" s="65"/>
      <c r="AC86" s="79"/>
    </row>
    <row r="87" spans="1:68" ht="14.25" customHeight="1" x14ac:dyDescent="0.25">
      <c r="A87" s="590" t="s">
        <v>122</v>
      </c>
      <c r="B87" s="590"/>
      <c r="C87" s="590"/>
      <c r="D87" s="590"/>
      <c r="E87" s="590"/>
      <c r="F87" s="590"/>
      <c r="G87" s="590"/>
      <c r="H87" s="590"/>
      <c r="I87" s="590"/>
      <c r="J87" s="590"/>
      <c r="K87" s="590"/>
      <c r="L87" s="590"/>
      <c r="M87" s="590"/>
      <c r="N87" s="590"/>
      <c r="O87" s="590"/>
      <c r="P87" s="590"/>
      <c r="Q87" s="590"/>
      <c r="R87" s="590"/>
      <c r="S87" s="590"/>
      <c r="T87" s="590"/>
      <c r="U87" s="590"/>
      <c r="V87" s="590"/>
      <c r="W87" s="590"/>
      <c r="X87" s="590"/>
      <c r="Y87" s="590"/>
      <c r="Z87" s="590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585">
        <v>4680115881327</v>
      </c>
      <c r="E88" s="58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8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587"/>
      <c r="R88" s="587"/>
      <c r="S88" s="587"/>
      <c r="T88" s="588"/>
      <c r="U88" s="39" t="s">
        <v>46</v>
      </c>
      <c r="V88" s="39" t="s">
        <v>46</v>
      </c>
      <c r="W88" s="40" t="s">
        <v>0</v>
      </c>
      <c r="X88" s="58"/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187</v>
      </c>
      <c r="B89" s="63" t="s">
        <v>188</v>
      </c>
      <c r="C89" s="36">
        <v>4301011261</v>
      </c>
      <c r="D89" s="585">
        <v>4680115887732</v>
      </c>
      <c r="E89" s="585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587"/>
      <c r="R89" s="587"/>
      <c r="S89" s="587"/>
      <c r="T89" s="58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190</v>
      </c>
      <c r="B90" s="63" t="s">
        <v>191</v>
      </c>
      <c r="C90" s="36">
        <v>4301011476</v>
      </c>
      <c r="D90" s="585">
        <v>4680115881518</v>
      </c>
      <c r="E90" s="58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587"/>
      <c r="R90" s="587"/>
      <c r="S90" s="587"/>
      <c r="T90" s="58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585">
        <v>4680115881303</v>
      </c>
      <c r="E91" s="585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8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587"/>
      <c r="R91" s="587"/>
      <c r="S91" s="587"/>
      <c r="T91" s="588"/>
      <c r="U91" s="39" t="s">
        <v>46</v>
      </c>
      <c r="V91" s="39" t="s">
        <v>46</v>
      </c>
      <c r="W91" s="40" t="s">
        <v>0</v>
      </c>
      <c r="X91" s="58"/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579"/>
      <c r="B92" s="579"/>
      <c r="C92" s="579"/>
      <c r="D92" s="579"/>
      <c r="E92" s="579"/>
      <c r="F92" s="579"/>
      <c r="G92" s="579"/>
      <c r="H92" s="579"/>
      <c r="I92" s="579"/>
      <c r="J92" s="579"/>
      <c r="K92" s="579"/>
      <c r="L92" s="579"/>
      <c r="M92" s="579"/>
      <c r="N92" s="579"/>
      <c r="O92" s="580"/>
      <c r="P92" s="576" t="s">
        <v>40</v>
      </c>
      <c r="Q92" s="577"/>
      <c r="R92" s="577"/>
      <c r="S92" s="577"/>
      <c r="T92" s="577"/>
      <c r="U92" s="577"/>
      <c r="V92" s="578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579"/>
      <c r="B93" s="579"/>
      <c r="C93" s="579"/>
      <c r="D93" s="579"/>
      <c r="E93" s="579"/>
      <c r="F93" s="579"/>
      <c r="G93" s="579"/>
      <c r="H93" s="579"/>
      <c r="I93" s="579"/>
      <c r="J93" s="579"/>
      <c r="K93" s="579"/>
      <c r="L93" s="579"/>
      <c r="M93" s="579"/>
      <c r="N93" s="579"/>
      <c r="O93" s="580"/>
      <c r="P93" s="576" t="s">
        <v>40</v>
      </c>
      <c r="Q93" s="577"/>
      <c r="R93" s="577"/>
      <c r="S93" s="577"/>
      <c r="T93" s="577"/>
      <c r="U93" s="577"/>
      <c r="V93" s="578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590" t="s">
        <v>87</v>
      </c>
      <c r="B94" s="590"/>
      <c r="C94" s="590"/>
      <c r="D94" s="590"/>
      <c r="E94" s="590"/>
      <c r="F94" s="590"/>
      <c r="G94" s="590"/>
      <c r="H94" s="590"/>
      <c r="I94" s="590"/>
      <c r="J94" s="590"/>
      <c r="K94" s="590"/>
      <c r="L94" s="590"/>
      <c r="M94" s="590"/>
      <c r="N94" s="590"/>
      <c r="O94" s="590"/>
      <c r="P94" s="590"/>
      <c r="Q94" s="590"/>
      <c r="R94" s="590"/>
      <c r="S94" s="590"/>
      <c r="T94" s="590"/>
      <c r="U94" s="590"/>
      <c r="V94" s="590"/>
      <c r="W94" s="590"/>
      <c r="X94" s="590"/>
      <c r="Y94" s="590"/>
      <c r="Z94" s="590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585">
        <v>4607091386967</v>
      </c>
      <c r="E95" s="585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8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587"/>
      <c r="R95" s="587"/>
      <c r="S95" s="587"/>
      <c r="T95" s="588"/>
      <c r="U95" s="39" t="s">
        <v>46</v>
      </c>
      <c r="V95" s="39" t="s">
        <v>46</v>
      </c>
      <c r="W95" s="40" t="s">
        <v>0</v>
      </c>
      <c r="X95" s="58">
        <v>8</v>
      </c>
      <c r="Y95" s="55">
        <f>IFERROR(IF(X95="",0,CEILING((X95/$H95),1)*$H95),"")</f>
        <v>8.1</v>
      </c>
      <c r="Z95" s="41">
        <f>IFERROR(IF(Y95=0,"",ROUNDUP(Y95/H95,0)*0.01898),"")</f>
        <v>1.898E-2</v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8.4879012345679019</v>
      </c>
      <c r="BN95" s="78">
        <f>IFERROR(Y95*I95/H95,"0")</f>
        <v>8.5939999999999994</v>
      </c>
      <c r="BO95" s="78">
        <f>IFERROR(1/J95*(X95/H95),"0")</f>
        <v>1.54320987654321E-2</v>
      </c>
      <c r="BP95" s="78">
        <f>IFERROR(1/J95*(Y95/H95),"0")</f>
        <v>1.5625E-2</v>
      </c>
    </row>
    <row r="96" spans="1:68" ht="27" customHeight="1" x14ac:dyDescent="0.25">
      <c r="A96" s="63" t="s">
        <v>197</v>
      </c>
      <c r="B96" s="63" t="s">
        <v>198</v>
      </c>
      <c r="C96" s="36">
        <v>4301051788</v>
      </c>
      <c r="D96" s="585">
        <v>4680115884953</v>
      </c>
      <c r="E96" s="585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587"/>
      <c r="R96" s="587"/>
      <c r="S96" s="587"/>
      <c r="T96" s="58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199</v>
      </c>
      <c r="B97" s="63" t="s">
        <v>200</v>
      </c>
      <c r="C97" s="36">
        <v>4301051718</v>
      </c>
      <c r="D97" s="585">
        <v>4607091385731</v>
      </c>
      <c r="E97" s="58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587"/>
      <c r="R97" s="587"/>
      <c r="S97" s="587"/>
      <c r="T97" s="588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201</v>
      </c>
      <c r="B98" s="63" t="s">
        <v>202</v>
      </c>
      <c r="C98" s="36">
        <v>4301052092</v>
      </c>
      <c r="D98" s="585">
        <v>4680115880894</v>
      </c>
      <c r="E98" s="58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798" t="s">
        <v>203</v>
      </c>
      <c r="Q98" s="587"/>
      <c r="R98" s="587"/>
      <c r="S98" s="587"/>
      <c r="T98" s="58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579"/>
      <c r="B99" s="579"/>
      <c r="C99" s="579"/>
      <c r="D99" s="579"/>
      <c r="E99" s="579"/>
      <c r="F99" s="579"/>
      <c r="G99" s="579"/>
      <c r="H99" s="579"/>
      <c r="I99" s="579"/>
      <c r="J99" s="579"/>
      <c r="K99" s="579"/>
      <c r="L99" s="579"/>
      <c r="M99" s="579"/>
      <c r="N99" s="579"/>
      <c r="O99" s="580"/>
      <c r="P99" s="576" t="s">
        <v>40</v>
      </c>
      <c r="Q99" s="577"/>
      <c r="R99" s="577"/>
      <c r="S99" s="577"/>
      <c r="T99" s="577"/>
      <c r="U99" s="577"/>
      <c r="V99" s="578"/>
      <c r="W99" s="42" t="s">
        <v>39</v>
      </c>
      <c r="X99" s="43">
        <f>IFERROR(X95/H95,"0")+IFERROR(X96/H96,"0")+IFERROR(X97/H97,"0")+IFERROR(X98/H98,"0")</f>
        <v>2.9876543209876543</v>
      </c>
      <c r="Y99" s="43">
        <f>IFERROR(Y95/H95,"0")+IFERROR(Y96/H96,"0")+IFERROR(Y97/H97,"0")+IFERROR(Y98/H98,"0")</f>
        <v>3</v>
      </c>
      <c r="Z99" s="43">
        <f>IFERROR(IF(Z95="",0,Z95),"0")+IFERROR(IF(Z96="",0,Z96),"0")+IFERROR(IF(Z97="",0,Z97),"0")+IFERROR(IF(Z98="",0,Z98),"0")</f>
        <v>3.2000000000000001E-2</v>
      </c>
      <c r="AA99" s="67"/>
      <c r="AB99" s="67"/>
      <c r="AC99" s="67"/>
    </row>
    <row r="100" spans="1:68" x14ac:dyDescent="0.2">
      <c r="A100" s="579"/>
      <c r="B100" s="579"/>
      <c r="C100" s="579"/>
      <c r="D100" s="579"/>
      <c r="E100" s="579"/>
      <c r="F100" s="579"/>
      <c r="G100" s="579"/>
      <c r="H100" s="579"/>
      <c r="I100" s="579"/>
      <c r="J100" s="579"/>
      <c r="K100" s="579"/>
      <c r="L100" s="579"/>
      <c r="M100" s="579"/>
      <c r="N100" s="579"/>
      <c r="O100" s="580"/>
      <c r="P100" s="576" t="s">
        <v>40</v>
      </c>
      <c r="Q100" s="577"/>
      <c r="R100" s="577"/>
      <c r="S100" s="577"/>
      <c r="T100" s="577"/>
      <c r="U100" s="577"/>
      <c r="V100" s="578"/>
      <c r="W100" s="42" t="s">
        <v>0</v>
      </c>
      <c r="X100" s="43">
        <f>IFERROR(SUM(X95:X98),"0")</f>
        <v>13.4</v>
      </c>
      <c r="Y100" s="43">
        <f>IFERROR(SUM(Y95:Y98),"0")</f>
        <v>13.5</v>
      </c>
      <c r="Z100" s="42"/>
      <c r="AA100" s="67"/>
      <c r="AB100" s="67"/>
      <c r="AC100" s="67"/>
    </row>
    <row r="101" spans="1:68" ht="16.5" customHeight="1" x14ac:dyDescent="0.25">
      <c r="A101" s="589" t="s">
        <v>205</v>
      </c>
      <c r="B101" s="589"/>
      <c r="C101" s="589"/>
      <c r="D101" s="589"/>
      <c r="E101" s="589"/>
      <c r="F101" s="589"/>
      <c r="G101" s="589"/>
      <c r="H101" s="589"/>
      <c r="I101" s="589"/>
      <c r="J101" s="589"/>
      <c r="K101" s="589"/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65"/>
      <c r="AB101" s="65"/>
      <c r="AC101" s="79"/>
    </row>
    <row r="102" spans="1:68" ht="14.25" customHeight="1" x14ac:dyDescent="0.25">
      <c r="A102" s="590" t="s">
        <v>122</v>
      </c>
      <c r="B102" s="590"/>
      <c r="C102" s="590"/>
      <c r="D102" s="590"/>
      <c r="E102" s="590"/>
      <c r="F102" s="590"/>
      <c r="G102" s="590"/>
      <c r="H102" s="590"/>
      <c r="I102" s="590"/>
      <c r="J102" s="590"/>
      <c r="K102" s="590"/>
      <c r="L102" s="590"/>
      <c r="M102" s="590"/>
      <c r="N102" s="590"/>
      <c r="O102" s="590"/>
      <c r="P102" s="590"/>
      <c r="Q102" s="590"/>
      <c r="R102" s="590"/>
      <c r="S102" s="590"/>
      <c r="T102" s="590"/>
      <c r="U102" s="590"/>
      <c r="V102" s="590"/>
      <c r="W102" s="590"/>
      <c r="X102" s="590"/>
      <c r="Y102" s="590"/>
      <c r="Z102" s="590"/>
      <c r="AA102" s="66"/>
      <c r="AB102" s="66"/>
      <c r="AC102" s="80"/>
    </row>
    <row r="103" spans="1:68" ht="37.5" customHeight="1" x14ac:dyDescent="0.25">
      <c r="A103" s="63" t="s">
        <v>206</v>
      </c>
      <c r="B103" s="63" t="s">
        <v>207</v>
      </c>
      <c r="C103" s="36">
        <v>4301011514</v>
      </c>
      <c r="D103" s="585">
        <v>4680115882133</v>
      </c>
      <c r="E103" s="58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587"/>
      <c r="R103" s="587"/>
      <c r="S103" s="587"/>
      <c r="T103" s="588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customHeight="1" x14ac:dyDescent="0.25">
      <c r="A104" s="63" t="s">
        <v>209</v>
      </c>
      <c r="B104" s="63" t="s">
        <v>210</v>
      </c>
      <c r="C104" s="36">
        <v>4301012051</v>
      </c>
      <c r="D104" s="585">
        <v>4680115887718</v>
      </c>
      <c r="E104" s="58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9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87"/>
      <c r="R104" s="587"/>
      <c r="S104" s="587"/>
      <c r="T104" s="588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4301011417</v>
      </c>
      <c r="D105" s="585">
        <v>4680115880269</v>
      </c>
      <c r="E105" s="585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7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587"/>
      <c r="R105" s="587"/>
      <c r="S105" s="587"/>
      <c r="T105" s="588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customHeight="1" x14ac:dyDescent="0.25">
      <c r="A106" s="63" t="s">
        <v>214</v>
      </c>
      <c r="B106" s="63" t="s">
        <v>215</v>
      </c>
      <c r="C106" s="36">
        <v>4301011415</v>
      </c>
      <c r="D106" s="585">
        <v>4680115880429</v>
      </c>
      <c r="E106" s="585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7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587"/>
      <c r="R106" s="587"/>
      <c r="S106" s="587"/>
      <c r="T106" s="588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customHeight="1" x14ac:dyDescent="0.25">
      <c r="A107" s="63" t="s">
        <v>216</v>
      </c>
      <c r="B107" s="63" t="s">
        <v>217</v>
      </c>
      <c r="C107" s="36">
        <v>4301011462</v>
      </c>
      <c r="D107" s="585">
        <v>4680115881457</v>
      </c>
      <c r="E107" s="585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7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587"/>
      <c r="R107" s="587"/>
      <c r="S107" s="587"/>
      <c r="T107" s="588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x14ac:dyDescent="0.2">
      <c r="A108" s="579"/>
      <c r="B108" s="579"/>
      <c r="C108" s="579"/>
      <c r="D108" s="579"/>
      <c r="E108" s="579"/>
      <c r="F108" s="579"/>
      <c r="G108" s="579"/>
      <c r="H108" s="579"/>
      <c r="I108" s="579"/>
      <c r="J108" s="579"/>
      <c r="K108" s="579"/>
      <c r="L108" s="579"/>
      <c r="M108" s="579"/>
      <c r="N108" s="579"/>
      <c r="O108" s="580"/>
      <c r="P108" s="576" t="s">
        <v>40</v>
      </c>
      <c r="Q108" s="577"/>
      <c r="R108" s="577"/>
      <c r="S108" s="577"/>
      <c r="T108" s="577"/>
      <c r="U108" s="577"/>
      <c r="V108" s="578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579"/>
      <c r="B109" s="579"/>
      <c r="C109" s="579"/>
      <c r="D109" s="579"/>
      <c r="E109" s="579"/>
      <c r="F109" s="579"/>
      <c r="G109" s="579"/>
      <c r="H109" s="579"/>
      <c r="I109" s="579"/>
      <c r="J109" s="579"/>
      <c r="K109" s="579"/>
      <c r="L109" s="579"/>
      <c r="M109" s="579"/>
      <c r="N109" s="579"/>
      <c r="O109" s="580"/>
      <c r="P109" s="576" t="s">
        <v>40</v>
      </c>
      <c r="Q109" s="577"/>
      <c r="R109" s="577"/>
      <c r="S109" s="577"/>
      <c r="T109" s="577"/>
      <c r="U109" s="577"/>
      <c r="V109" s="578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customHeight="1" x14ac:dyDescent="0.25">
      <c r="A110" s="590" t="s">
        <v>156</v>
      </c>
      <c r="B110" s="590"/>
      <c r="C110" s="590"/>
      <c r="D110" s="590"/>
      <c r="E110" s="590"/>
      <c r="F110" s="590"/>
      <c r="G110" s="590"/>
      <c r="H110" s="590"/>
      <c r="I110" s="590"/>
      <c r="J110" s="590"/>
      <c r="K110" s="590"/>
      <c r="L110" s="590"/>
      <c r="M110" s="590"/>
      <c r="N110" s="590"/>
      <c r="O110" s="590"/>
      <c r="P110" s="590"/>
      <c r="Q110" s="590"/>
      <c r="R110" s="590"/>
      <c r="S110" s="590"/>
      <c r="T110" s="590"/>
      <c r="U110" s="590"/>
      <c r="V110" s="590"/>
      <c r="W110" s="590"/>
      <c r="X110" s="590"/>
      <c r="Y110" s="590"/>
      <c r="Z110" s="590"/>
      <c r="AA110" s="66"/>
      <c r="AB110" s="66"/>
      <c r="AC110" s="80"/>
    </row>
    <row r="111" spans="1:68" ht="16.5" customHeight="1" x14ac:dyDescent="0.25">
      <c r="A111" s="63" t="s">
        <v>218</v>
      </c>
      <c r="B111" s="63" t="s">
        <v>219</v>
      </c>
      <c r="C111" s="36">
        <v>4301020345</v>
      </c>
      <c r="D111" s="585">
        <v>4680115881488</v>
      </c>
      <c r="E111" s="585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587"/>
      <c r="R111" s="587"/>
      <c r="S111" s="587"/>
      <c r="T111" s="588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221</v>
      </c>
      <c r="B112" s="63" t="s">
        <v>222</v>
      </c>
      <c r="C112" s="36">
        <v>4301020186</v>
      </c>
      <c r="D112" s="585">
        <v>4680115887664</v>
      </c>
      <c r="E112" s="585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7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587"/>
      <c r="R112" s="587"/>
      <c r="S112" s="587"/>
      <c r="T112" s="58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customHeight="1" x14ac:dyDescent="0.25">
      <c r="A113" s="63" t="s">
        <v>225</v>
      </c>
      <c r="B113" s="63" t="s">
        <v>226</v>
      </c>
      <c r="C113" s="36">
        <v>4301020346</v>
      </c>
      <c r="D113" s="585">
        <v>4680115882775</v>
      </c>
      <c r="E113" s="585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587"/>
      <c r="R113" s="587"/>
      <c r="S113" s="587"/>
      <c r="T113" s="58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customHeight="1" x14ac:dyDescent="0.25">
      <c r="A114" s="63" t="s">
        <v>227</v>
      </c>
      <c r="B114" s="63" t="s">
        <v>228</v>
      </c>
      <c r="C114" s="36">
        <v>4301020344</v>
      </c>
      <c r="D114" s="585">
        <v>4680115880658</v>
      </c>
      <c r="E114" s="585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587"/>
      <c r="R114" s="587"/>
      <c r="S114" s="587"/>
      <c r="T114" s="58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579"/>
      <c r="B115" s="579"/>
      <c r="C115" s="579"/>
      <c r="D115" s="579"/>
      <c r="E115" s="579"/>
      <c r="F115" s="579"/>
      <c r="G115" s="579"/>
      <c r="H115" s="579"/>
      <c r="I115" s="579"/>
      <c r="J115" s="579"/>
      <c r="K115" s="579"/>
      <c r="L115" s="579"/>
      <c r="M115" s="579"/>
      <c r="N115" s="579"/>
      <c r="O115" s="580"/>
      <c r="P115" s="576" t="s">
        <v>40</v>
      </c>
      <c r="Q115" s="577"/>
      <c r="R115" s="577"/>
      <c r="S115" s="577"/>
      <c r="T115" s="577"/>
      <c r="U115" s="577"/>
      <c r="V115" s="578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x14ac:dyDescent="0.2">
      <c r="A116" s="579"/>
      <c r="B116" s="579"/>
      <c r="C116" s="579"/>
      <c r="D116" s="579"/>
      <c r="E116" s="579"/>
      <c r="F116" s="579"/>
      <c r="G116" s="579"/>
      <c r="H116" s="579"/>
      <c r="I116" s="579"/>
      <c r="J116" s="579"/>
      <c r="K116" s="579"/>
      <c r="L116" s="579"/>
      <c r="M116" s="579"/>
      <c r="N116" s="579"/>
      <c r="O116" s="580"/>
      <c r="P116" s="576" t="s">
        <v>40</v>
      </c>
      <c r="Q116" s="577"/>
      <c r="R116" s="577"/>
      <c r="S116" s="577"/>
      <c r="T116" s="577"/>
      <c r="U116" s="577"/>
      <c r="V116" s="578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customHeight="1" x14ac:dyDescent="0.25">
      <c r="A117" s="590" t="s">
        <v>87</v>
      </c>
      <c r="B117" s="590"/>
      <c r="C117" s="590"/>
      <c r="D117" s="590"/>
      <c r="E117" s="590"/>
      <c r="F117" s="590"/>
      <c r="G117" s="590"/>
      <c r="H117" s="590"/>
      <c r="I117" s="590"/>
      <c r="J117" s="590"/>
      <c r="K117" s="590"/>
      <c r="L117" s="590"/>
      <c r="M117" s="590"/>
      <c r="N117" s="590"/>
      <c r="O117" s="590"/>
      <c r="P117" s="590"/>
      <c r="Q117" s="590"/>
      <c r="R117" s="590"/>
      <c r="S117" s="590"/>
      <c r="T117" s="590"/>
      <c r="U117" s="590"/>
      <c r="V117" s="590"/>
      <c r="W117" s="590"/>
      <c r="X117" s="590"/>
      <c r="Y117" s="590"/>
      <c r="Z117" s="590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585">
        <v>4607091385168</v>
      </c>
      <c r="E118" s="585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587"/>
      <c r="R118" s="587"/>
      <c r="S118" s="587"/>
      <c r="T118" s="588"/>
      <c r="U118" s="39" t="s">
        <v>46</v>
      </c>
      <c r="V118" s="39" t="s">
        <v>46</v>
      </c>
      <c r="W118" s="40" t="s">
        <v>0</v>
      </c>
      <c r="X118" s="58">
        <v>60</v>
      </c>
      <c r="Y118" s="55">
        <f>IFERROR(IF(X118="",0,CEILING((X118/$H118),1)*$H118),"")</f>
        <v>64.8</v>
      </c>
      <c r="Z118" s="41">
        <f>IFERROR(IF(Y118=0,"",ROUNDUP(Y118/H118,0)*0.01898),"")</f>
        <v>0.15184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63.614814814814814</v>
      </c>
      <c r="BN118" s="78">
        <f>IFERROR(Y118*I118/H118,"0")</f>
        <v>68.703999999999994</v>
      </c>
      <c r="BO118" s="78">
        <f>IFERROR(1/J118*(X118/H118),"0")</f>
        <v>0.11574074074074074</v>
      </c>
      <c r="BP118" s="78">
        <f>IFERROR(1/J118*(Y118/H118),"0")</f>
        <v>0.125</v>
      </c>
    </row>
    <row r="119" spans="1:68" ht="27" customHeight="1" x14ac:dyDescent="0.25">
      <c r="A119" s="63" t="s">
        <v>232</v>
      </c>
      <c r="B119" s="63" t="s">
        <v>233</v>
      </c>
      <c r="C119" s="36">
        <v>4301051730</v>
      </c>
      <c r="D119" s="585">
        <v>4607091383256</v>
      </c>
      <c r="E119" s="585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7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587"/>
      <c r="R119" s="587"/>
      <c r="S119" s="587"/>
      <c r="T119" s="58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585">
        <v>4607091385748</v>
      </c>
      <c r="E120" s="585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587"/>
      <c r="R120" s="587"/>
      <c r="S120" s="587"/>
      <c r="T120" s="588"/>
      <c r="U120" s="39" t="s">
        <v>46</v>
      </c>
      <c r="V120" s="39" t="s">
        <v>46</v>
      </c>
      <c r="W120" s="40" t="s">
        <v>0</v>
      </c>
      <c r="X120" s="58">
        <v>21.6</v>
      </c>
      <c r="Y120" s="55">
        <f>IFERROR(IF(X120="",0,CEILING((X120/$H120),1)*$H120),"")</f>
        <v>21.6</v>
      </c>
      <c r="Z120" s="41">
        <f>IFERROR(IF(Y120=0,"",ROUNDUP(Y120/H120,0)*0.00651),"")</f>
        <v>5.2080000000000001E-2</v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23.616</v>
      </c>
      <c r="BN120" s="78">
        <f>IFERROR(Y120*I120/H120,"0")</f>
        <v>23.616</v>
      </c>
      <c r="BO120" s="78">
        <f>IFERROR(1/J120*(X120/H120),"0")</f>
        <v>4.3956043956043959E-2</v>
      </c>
      <c r="BP120" s="78">
        <f>IFERROR(1/J120*(Y120/H120),"0")</f>
        <v>4.3956043956043959E-2</v>
      </c>
    </row>
    <row r="121" spans="1:68" ht="16.5" customHeight="1" x14ac:dyDescent="0.25">
      <c r="A121" s="63" t="s">
        <v>236</v>
      </c>
      <c r="B121" s="63" t="s">
        <v>237</v>
      </c>
      <c r="C121" s="36">
        <v>4301051740</v>
      </c>
      <c r="D121" s="585">
        <v>4680115884533</v>
      </c>
      <c r="E121" s="585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587"/>
      <c r="R121" s="587"/>
      <c r="S121" s="587"/>
      <c r="T121" s="58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9"/>
      <c r="B122" s="579"/>
      <c r="C122" s="579"/>
      <c r="D122" s="579"/>
      <c r="E122" s="579"/>
      <c r="F122" s="579"/>
      <c r="G122" s="579"/>
      <c r="H122" s="579"/>
      <c r="I122" s="579"/>
      <c r="J122" s="579"/>
      <c r="K122" s="579"/>
      <c r="L122" s="579"/>
      <c r="M122" s="579"/>
      <c r="N122" s="579"/>
      <c r="O122" s="580"/>
      <c r="P122" s="576" t="s">
        <v>40</v>
      </c>
      <c r="Q122" s="577"/>
      <c r="R122" s="577"/>
      <c r="S122" s="577"/>
      <c r="T122" s="577"/>
      <c r="U122" s="577"/>
      <c r="V122" s="578"/>
      <c r="W122" s="42" t="s">
        <v>39</v>
      </c>
      <c r="X122" s="43">
        <f>IFERROR(X118/H118,"0")+IFERROR(X119/H119,"0")+IFERROR(X120/H120,"0")+IFERROR(X121/H121,"0")</f>
        <v>15.407407407407408</v>
      </c>
      <c r="Y122" s="43">
        <f>IFERROR(Y118/H118,"0")+IFERROR(Y119/H119,"0")+IFERROR(Y120/H120,"0")+IFERROR(Y121/H121,"0")</f>
        <v>16</v>
      </c>
      <c r="Z122" s="43">
        <f>IFERROR(IF(Z118="",0,Z118),"0")+IFERROR(IF(Z119="",0,Z119),"0")+IFERROR(IF(Z120="",0,Z120),"0")+IFERROR(IF(Z121="",0,Z121),"0")</f>
        <v>0.20391999999999999</v>
      </c>
      <c r="AA122" s="67"/>
      <c r="AB122" s="67"/>
      <c r="AC122" s="67"/>
    </row>
    <row r="123" spans="1:68" x14ac:dyDescent="0.2">
      <c r="A123" s="579"/>
      <c r="B123" s="579"/>
      <c r="C123" s="579"/>
      <c r="D123" s="579"/>
      <c r="E123" s="579"/>
      <c r="F123" s="579"/>
      <c r="G123" s="579"/>
      <c r="H123" s="579"/>
      <c r="I123" s="579"/>
      <c r="J123" s="579"/>
      <c r="K123" s="579"/>
      <c r="L123" s="579"/>
      <c r="M123" s="579"/>
      <c r="N123" s="579"/>
      <c r="O123" s="580"/>
      <c r="P123" s="576" t="s">
        <v>40</v>
      </c>
      <c r="Q123" s="577"/>
      <c r="R123" s="577"/>
      <c r="S123" s="577"/>
      <c r="T123" s="577"/>
      <c r="U123" s="577"/>
      <c r="V123" s="578"/>
      <c r="W123" s="42" t="s">
        <v>0</v>
      </c>
      <c r="X123" s="43">
        <f>IFERROR(SUM(X118:X121),"0")</f>
        <v>81.599999999999994</v>
      </c>
      <c r="Y123" s="43">
        <f>IFERROR(SUM(Y118:Y121),"0")</f>
        <v>86.4</v>
      </c>
      <c r="Z123" s="42"/>
      <c r="AA123" s="67"/>
      <c r="AB123" s="67"/>
      <c r="AC123" s="67"/>
    </row>
    <row r="124" spans="1:68" ht="14.25" customHeight="1" x14ac:dyDescent="0.25">
      <c r="A124" s="590" t="s">
        <v>176</v>
      </c>
      <c r="B124" s="590"/>
      <c r="C124" s="590"/>
      <c r="D124" s="590"/>
      <c r="E124" s="590"/>
      <c r="F124" s="590"/>
      <c r="G124" s="590"/>
      <c r="H124" s="590"/>
      <c r="I124" s="590"/>
      <c r="J124" s="590"/>
      <c r="K124" s="590"/>
      <c r="L124" s="590"/>
      <c r="M124" s="590"/>
      <c r="N124" s="590"/>
      <c r="O124" s="590"/>
      <c r="P124" s="590"/>
      <c r="Q124" s="590"/>
      <c r="R124" s="590"/>
      <c r="S124" s="590"/>
      <c r="T124" s="590"/>
      <c r="U124" s="590"/>
      <c r="V124" s="590"/>
      <c r="W124" s="590"/>
      <c r="X124" s="590"/>
      <c r="Y124" s="590"/>
      <c r="Z124" s="590"/>
      <c r="AA124" s="66"/>
      <c r="AB124" s="66"/>
      <c r="AC124" s="80"/>
    </row>
    <row r="125" spans="1:68" ht="16.5" customHeight="1" x14ac:dyDescent="0.25">
      <c r="A125" s="63" t="s">
        <v>239</v>
      </c>
      <c r="B125" s="63" t="s">
        <v>240</v>
      </c>
      <c r="C125" s="36">
        <v>4301060317</v>
      </c>
      <c r="D125" s="585">
        <v>4680115880238</v>
      </c>
      <c r="E125" s="585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587"/>
      <c r="R125" s="587"/>
      <c r="S125" s="587"/>
      <c r="T125" s="58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579"/>
      <c r="B126" s="579"/>
      <c r="C126" s="579"/>
      <c r="D126" s="579"/>
      <c r="E126" s="579"/>
      <c r="F126" s="579"/>
      <c r="G126" s="579"/>
      <c r="H126" s="579"/>
      <c r="I126" s="579"/>
      <c r="J126" s="579"/>
      <c r="K126" s="579"/>
      <c r="L126" s="579"/>
      <c r="M126" s="579"/>
      <c r="N126" s="579"/>
      <c r="O126" s="580"/>
      <c r="P126" s="576" t="s">
        <v>40</v>
      </c>
      <c r="Q126" s="577"/>
      <c r="R126" s="577"/>
      <c r="S126" s="577"/>
      <c r="T126" s="577"/>
      <c r="U126" s="577"/>
      <c r="V126" s="578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579"/>
      <c r="B127" s="579"/>
      <c r="C127" s="579"/>
      <c r="D127" s="579"/>
      <c r="E127" s="579"/>
      <c r="F127" s="579"/>
      <c r="G127" s="579"/>
      <c r="H127" s="579"/>
      <c r="I127" s="579"/>
      <c r="J127" s="579"/>
      <c r="K127" s="579"/>
      <c r="L127" s="579"/>
      <c r="M127" s="579"/>
      <c r="N127" s="579"/>
      <c r="O127" s="580"/>
      <c r="P127" s="576" t="s">
        <v>40</v>
      </c>
      <c r="Q127" s="577"/>
      <c r="R127" s="577"/>
      <c r="S127" s="577"/>
      <c r="T127" s="577"/>
      <c r="U127" s="577"/>
      <c r="V127" s="578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589" t="s">
        <v>242</v>
      </c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65"/>
      <c r="AB128" s="65"/>
      <c r="AC128" s="79"/>
    </row>
    <row r="129" spans="1:68" ht="14.25" customHeight="1" x14ac:dyDescent="0.25">
      <c r="A129" s="590" t="s">
        <v>122</v>
      </c>
      <c r="B129" s="590"/>
      <c r="C129" s="590"/>
      <c r="D129" s="590"/>
      <c r="E129" s="590"/>
      <c r="F129" s="590"/>
      <c r="G129" s="590"/>
      <c r="H129" s="590"/>
      <c r="I129" s="590"/>
      <c r="J129" s="590"/>
      <c r="K129" s="590"/>
      <c r="L129" s="590"/>
      <c r="M129" s="590"/>
      <c r="N129" s="590"/>
      <c r="O129" s="590"/>
      <c r="P129" s="590"/>
      <c r="Q129" s="590"/>
      <c r="R129" s="590"/>
      <c r="S129" s="590"/>
      <c r="T129" s="590"/>
      <c r="U129" s="590"/>
      <c r="V129" s="590"/>
      <c r="W129" s="590"/>
      <c r="X129" s="590"/>
      <c r="Y129" s="590"/>
      <c r="Z129" s="590"/>
      <c r="AA129" s="66"/>
      <c r="AB129" s="66"/>
      <c r="AC129" s="80"/>
    </row>
    <row r="130" spans="1:68" ht="27" customHeight="1" x14ac:dyDescent="0.25">
      <c r="A130" s="63" t="s">
        <v>243</v>
      </c>
      <c r="B130" s="63" t="s">
        <v>244</v>
      </c>
      <c r="C130" s="36">
        <v>4301011564</v>
      </c>
      <c r="D130" s="585">
        <v>4680115882577</v>
      </c>
      <c r="E130" s="58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587"/>
      <c r="R130" s="587"/>
      <c r="S130" s="587"/>
      <c r="T130" s="58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243</v>
      </c>
      <c r="B131" s="63" t="s">
        <v>246</v>
      </c>
      <c r="C131" s="36">
        <v>4301011562</v>
      </c>
      <c r="D131" s="585">
        <v>4680115882577</v>
      </c>
      <c r="E131" s="58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587"/>
      <c r="R131" s="587"/>
      <c r="S131" s="587"/>
      <c r="T131" s="58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579"/>
      <c r="B132" s="579"/>
      <c r="C132" s="579"/>
      <c r="D132" s="579"/>
      <c r="E132" s="579"/>
      <c r="F132" s="579"/>
      <c r="G132" s="579"/>
      <c r="H132" s="579"/>
      <c r="I132" s="579"/>
      <c r="J132" s="579"/>
      <c r="K132" s="579"/>
      <c r="L132" s="579"/>
      <c r="M132" s="579"/>
      <c r="N132" s="579"/>
      <c r="O132" s="580"/>
      <c r="P132" s="576" t="s">
        <v>40</v>
      </c>
      <c r="Q132" s="577"/>
      <c r="R132" s="577"/>
      <c r="S132" s="577"/>
      <c r="T132" s="577"/>
      <c r="U132" s="577"/>
      <c r="V132" s="57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579"/>
      <c r="B133" s="579"/>
      <c r="C133" s="579"/>
      <c r="D133" s="579"/>
      <c r="E133" s="579"/>
      <c r="F133" s="579"/>
      <c r="G133" s="579"/>
      <c r="H133" s="579"/>
      <c r="I133" s="579"/>
      <c r="J133" s="579"/>
      <c r="K133" s="579"/>
      <c r="L133" s="579"/>
      <c r="M133" s="579"/>
      <c r="N133" s="579"/>
      <c r="O133" s="580"/>
      <c r="P133" s="576" t="s">
        <v>40</v>
      </c>
      <c r="Q133" s="577"/>
      <c r="R133" s="577"/>
      <c r="S133" s="577"/>
      <c r="T133" s="577"/>
      <c r="U133" s="577"/>
      <c r="V133" s="57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590" t="s">
        <v>77</v>
      </c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  <c r="M134" s="590"/>
      <c r="N134" s="590"/>
      <c r="O134" s="590"/>
      <c r="P134" s="590"/>
      <c r="Q134" s="590"/>
      <c r="R134" s="590"/>
      <c r="S134" s="590"/>
      <c r="T134" s="590"/>
      <c r="U134" s="590"/>
      <c r="V134" s="590"/>
      <c r="W134" s="590"/>
      <c r="X134" s="590"/>
      <c r="Y134" s="590"/>
      <c r="Z134" s="590"/>
      <c r="AA134" s="66"/>
      <c r="AB134" s="66"/>
      <c r="AC134" s="80"/>
    </row>
    <row r="135" spans="1:68" ht="27" customHeight="1" x14ac:dyDescent="0.25">
      <c r="A135" s="63" t="s">
        <v>247</v>
      </c>
      <c r="B135" s="63" t="s">
        <v>248</v>
      </c>
      <c r="C135" s="36">
        <v>4301031234</v>
      </c>
      <c r="D135" s="585">
        <v>4680115883444</v>
      </c>
      <c r="E135" s="585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587"/>
      <c r="R135" s="587"/>
      <c r="S135" s="587"/>
      <c r="T135" s="58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247</v>
      </c>
      <c r="B136" s="63" t="s">
        <v>250</v>
      </c>
      <c r="C136" s="36">
        <v>4301031235</v>
      </c>
      <c r="D136" s="585">
        <v>4680115883444</v>
      </c>
      <c r="E136" s="58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587"/>
      <c r="R136" s="587"/>
      <c r="S136" s="587"/>
      <c r="T136" s="58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579"/>
      <c r="B137" s="579"/>
      <c r="C137" s="579"/>
      <c r="D137" s="579"/>
      <c r="E137" s="579"/>
      <c r="F137" s="579"/>
      <c r="G137" s="579"/>
      <c r="H137" s="579"/>
      <c r="I137" s="579"/>
      <c r="J137" s="579"/>
      <c r="K137" s="579"/>
      <c r="L137" s="579"/>
      <c r="M137" s="579"/>
      <c r="N137" s="579"/>
      <c r="O137" s="580"/>
      <c r="P137" s="576" t="s">
        <v>40</v>
      </c>
      <c r="Q137" s="577"/>
      <c r="R137" s="577"/>
      <c r="S137" s="577"/>
      <c r="T137" s="577"/>
      <c r="U137" s="577"/>
      <c r="V137" s="57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579"/>
      <c r="B138" s="579"/>
      <c r="C138" s="579"/>
      <c r="D138" s="579"/>
      <c r="E138" s="579"/>
      <c r="F138" s="579"/>
      <c r="G138" s="579"/>
      <c r="H138" s="579"/>
      <c r="I138" s="579"/>
      <c r="J138" s="579"/>
      <c r="K138" s="579"/>
      <c r="L138" s="579"/>
      <c r="M138" s="579"/>
      <c r="N138" s="579"/>
      <c r="O138" s="580"/>
      <c r="P138" s="576" t="s">
        <v>40</v>
      </c>
      <c r="Q138" s="577"/>
      <c r="R138" s="577"/>
      <c r="S138" s="577"/>
      <c r="T138" s="577"/>
      <c r="U138" s="577"/>
      <c r="V138" s="57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590" t="s">
        <v>87</v>
      </c>
      <c r="B139" s="590"/>
      <c r="C139" s="590"/>
      <c r="D139" s="590"/>
      <c r="E139" s="590"/>
      <c r="F139" s="590"/>
      <c r="G139" s="590"/>
      <c r="H139" s="590"/>
      <c r="I139" s="590"/>
      <c r="J139" s="590"/>
      <c r="K139" s="590"/>
      <c r="L139" s="590"/>
      <c r="M139" s="590"/>
      <c r="N139" s="590"/>
      <c r="O139" s="590"/>
      <c r="P139" s="590"/>
      <c r="Q139" s="590"/>
      <c r="R139" s="590"/>
      <c r="S139" s="590"/>
      <c r="T139" s="590"/>
      <c r="U139" s="590"/>
      <c r="V139" s="590"/>
      <c r="W139" s="590"/>
      <c r="X139" s="590"/>
      <c r="Y139" s="590"/>
      <c r="Z139" s="590"/>
      <c r="AA139" s="66"/>
      <c r="AB139" s="66"/>
      <c r="AC139" s="80"/>
    </row>
    <row r="140" spans="1:68" ht="16.5" customHeight="1" x14ac:dyDescent="0.25">
      <c r="A140" s="63" t="s">
        <v>251</v>
      </c>
      <c r="B140" s="63" t="s">
        <v>252</v>
      </c>
      <c r="C140" s="36">
        <v>4301051477</v>
      </c>
      <c r="D140" s="585">
        <v>4680115882584</v>
      </c>
      <c r="E140" s="585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587"/>
      <c r="R140" s="587"/>
      <c r="S140" s="587"/>
      <c r="T140" s="58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251</v>
      </c>
      <c r="B141" s="63" t="s">
        <v>253</v>
      </c>
      <c r="C141" s="36">
        <v>4301051476</v>
      </c>
      <c r="D141" s="585">
        <v>4680115882584</v>
      </c>
      <c r="E141" s="585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587"/>
      <c r="R141" s="587"/>
      <c r="S141" s="587"/>
      <c r="T141" s="58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579"/>
      <c r="B142" s="579"/>
      <c r="C142" s="579"/>
      <c r="D142" s="579"/>
      <c r="E142" s="579"/>
      <c r="F142" s="579"/>
      <c r="G142" s="579"/>
      <c r="H142" s="579"/>
      <c r="I142" s="579"/>
      <c r="J142" s="579"/>
      <c r="K142" s="579"/>
      <c r="L142" s="579"/>
      <c r="M142" s="579"/>
      <c r="N142" s="579"/>
      <c r="O142" s="580"/>
      <c r="P142" s="576" t="s">
        <v>40</v>
      </c>
      <c r="Q142" s="577"/>
      <c r="R142" s="577"/>
      <c r="S142" s="577"/>
      <c r="T142" s="577"/>
      <c r="U142" s="577"/>
      <c r="V142" s="57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579"/>
      <c r="B143" s="579"/>
      <c r="C143" s="579"/>
      <c r="D143" s="579"/>
      <c r="E143" s="579"/>
      <c r="F143" s="579"/>
      <c r="G143" s="579"/>
      <c r="H143" s="579"/>
      <c r="I143" s="579"/>
      <c r="J143" s="579"/>
      <c r="K143" s="579"/>
      <c r="L143" s="579"/>
      <c r="M143" s="579"/>
      <c r="N143" s="579"/>
      <c r="O143" s="580"/>
      <c r="P143" s="576" t="s">
        <v>40</v>
      </c>
      <c r="Q143" s="577"/>
      <c r="R143" s="577"/>
      <c r="S143" s="577"/>
      <c r="T143" s="577"/>
      <c r="U143" s="577"/>
      <c r="V143" s="57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589" t="s">
        <v>120</v>
      </c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65"/>
      <c r="AB144" s="65"/>
      <c r="AC144" s="79"/>
    </row>
    <row r="145" spans="1:68" ht="14.25" customHeight="1" x14ac:dyDescent="0.25">
      <c r="A145" s="590" t="s">
        <v>122</v>
      </c>
      <c r="B145" s="590"/>
      <c r="C145" s="590"/>
      <c r="D145" s="590"/>
      <c r="E145" s="590"/>
      <c r="F145" s="590"/>
      <c r="G145" s="590"/>
      <c r="H145" s="590"/>
      <c r="I145" s="590"/>
      <c r="J145" s="590"/>
      <c r="K145" s="590"/>
      <c r="L145" s="590"/>
      <c r="M145" s="590"/>
      <c r="N145" s="590"/>
      <c r="O145" s="590"/>
      <c r="P145" s="590"/>
      <c r="Q145" s="590"/>
      <c r="R145" s="590"/>
      <c r="S145" s="590"/>
      <c r="T145" s="590"/>
      <c r="U145" s="590"/>
      <c r="V145" s="590"/>
      <c r="W145" s="590"/>
      <c r="X145" s="590"/>
      <c r="Y145" s="590"/>
      <c r="Z145" s="590"/>
      <c r="AA145" s="66"/>
      <c r="AB145" s="66"/>
      <c r="AC145" s="80"/>
    </row>
    <row r="146" spans="1:68" ht="27" customHeight="1" x14ac:dyDescent="0.25">
      <c r="A146" s="63" t="s">
        <v>254</v>
      </c>
      <c r="B146" s="63" t="s">
        <v>255</v>
      </c>
      <c r="C146" s="36">
        <v>4301012244</v>
      </c>
      <c r="D146" s="585">
        <v>4680115887374</v>
      </c>
      <c r="E146" s="585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587"/>
      <c r="R146" s="587"/>
      <c r="S146" s="587"/>
      <c r="T146" s="58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257</v>
      </c>
      <c r="B147" s="63" t="s">
        <v>258</v>
      </c>
      <c r="C147" s="36">
        <v>4301011705</v>
      </c>
      <c r="D147" s="585">
        <v>4607091384604</v>
      </c>
      <c r="E147" s="585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587"/>
      <c r="R147" s="587"/>
      <c r="S147" s="587"/>
      <c r="T147" s="58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579"/>
      <c r="B148" s="579"/>
      <c r="C148" s="579"/>
      <c r="D148" s="579"/>
      <c r="E148" s="579"/>
      <c r="F148" s="579"/>
      <c r="G148" s="579"/>
      <c r="H148" s="579"/>
      <c r="I148" s="579"/>
      <c r="J148" s="579"/>
      <c r="K148" s="579"/>
      <c r="L148" s="579"/>
      <c r="M148" s="579"/>
      <c r="N148" s="579"/>
      <c r="O148" s="580"/>
      <c r="P148" s="576" t="s">
        <v>40</v>
      </c>
      <c r="Q148" s="577"/>
      <c r="R148" s="577"/>
      <c r="S148" s="577"/>
      <c r="T148" s="577"/>
      <c r="U148" s="577"/>
      <c r="V148" s="578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579"/>
      <c r="B149" s="579"/>
      <c r="C149" s="579"/>
      <c r="D149" s="579"/>
      <c r="E149" s="579"/>
      <c r="F149" s="579"/>
      <c r="G149" s="579"/>
      <c r="H149" s="579"/>
      <c r="I149" s="579"/>
      <c r="J149" s="579"/>
      <c r="K149" s="579"/>
      <c r="L149" s="579"/>
      <c r="M149" s="579"/>
      <c r="N149" s="579"/>
      <c r="O149" s="580"/>
      <c r="P149" s="576" t="s">
        <v>40</v>
      </c>
      <c r="Q149" s="577"/>
      <c r="R149" s="577"/>
      <c r="S149" s="577"/>
      <c r="T149" s="577"/>
      <c r="U149" s="577"/>
      <c r="V149" s="578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customHeight="1" x14ac:dyDescent="0.25">
      <c r="A150" s="590" t="s">
        <v>156</v>
      </c>
      <c r="B150" s="590"/>
      <c r="C150" s="590"/>
      <c r="D150" s="590"/>
      <c r="E150" s="590"/>
      <c r="F150" s="590"/>
      <c r="G150" s="590"/>
      <c r="H150" s="590"/>
      <c r="I150" s="590"/>
      <c r="J150" s="590"/>
      <c r="K150" s="590"/>
      <c r="L150" s="590"/>
      <c r="M150" s="590"/>
      <c r="N150" s="590"/>
      <c r="O150" s="590"/>
      <c r="P150" s="590"/>
      <c r="Q150" s="590"/>
      <c r="R150" s="590"/>
      <c r="S150" s="590"/>
      <c r="T150" s="590"/>
      <c r="U150" s="590"/>
      <c r="V150" s="590"/>
      <c r="W150" s="590"/>
      <c r="X150" s="590"/>
      <c r="Y150" s="590"/>
      <c r="Z150" s="590"/>
      <c r="AA150" s="66"/>
      <c r="AB150" s="66"/>
      <c r="AC150" s="80"/>
    </row>
    <row r="151" spans="1:68" ht="16.5" customHeight="1" x14ac:dyDescent="0.25">
      <c r="A151" s="63" t="s">
        <v>260</v>
      </c>
      <c r="B151" s="63" t="s">
        <v>261</v>
      </c>
      <c r="C151" s="36">
        <v>4301020410</v>
      </c>
      <c r="D151" s="585">
        <v>4680115887695</v>
      </c>
      <c r="E151" s="585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7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587"/>
      <c r="R151" s="587"/>
      <c r="S151" s="587"/>
      <c r="T151" s="588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579"/>
      <c r="B152" s="579"/>
      <c r="C152" s="579"/>
      <c r="D152" s="579"/>
      <c r="E152" s="579"/>
      <c r="F152" s="579"/>
      <c r="G152" s="579"/>
      <c r="H152" s="579"/>
      <c r="I152" s="579"/>
      <c r="J152" s="579"/>
      <c r="K152" s="579"/>
      <c r="L152" s="579"/>
      <c r="M152" s="579"/>
      <c r="N152" s="579"/>
      <c r="O152" s="580"/>
      <c r="P152" s="576" t="s">
        <v>40</v>
      </c>
      <c r="Q152" s="577"/>
      <c r="R152" s="577"/>
      <c r="S152" s="577"/>
      <c r="T152" s="577"/>
      <c r="U152" s="577"/>
      <c r="V152" s="578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579"/>
      <c r="B153" s="579"/>
      <c r="C153" s="579"/>
      <c r="D153" s="579"/>
      <c r="E153" s="579"/>
      <c r="F153" s="579"/>
      <c r="G153" s="579"/>
      <c r="H153" s="579"/>
      <c r="I153" s="579"/>
      <c r="J153" s="579"/>
      <c r="K153" s="579"/>
      <c r="L153" s="579"/>
      <c r="M153" s="579"/>
      <c r="N153" s="579"/>
      <c r="O153" s="580"/>
      <c r="P153" s="576" t="s">
        <v>40</v>
      </c>
      <c r="Q153" s="577"/>
      <c r="R153" s="577"/>
      <c r="S153" s="577"/>
      <c r="T153" s="577"/>
      <c r="U153" s="577"/>
      <c r="V153" s="578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customHeight="1" x14ac:dyDescent="0.25">
      <c r="A154" s="590" t="s">
        <v>77</v>
      </c>
      <c r="B154" s="590"/>
      <c r="C154" s="590"/>
      <c r="D154" s="590"/>
      <c r="E154" s="590"/>
      <c r="F154" s="590"/>
      <c r="G154" s="590"/>
      <c r="H154" s="590"/>
      <c r="I154" s="590"/>
      <c r="J154" s="590"/>
      <c r="K154" s="590"/>
      <c r="L154" s="590"/>
      <c r="M154" s="590"/>
      <c r="N154" s="590"/>
      <c r="O154" s="590"/>
      <c r="P154" s="590"/>
      <c r="Q154" s="590"/>
      <c r="R154" s="590"/>
      <c r="S154" s="590"/>
      <c r="T154" s="590"/>
      <c r="U154" s="590"/>
      <c r="V154" s="590"/>
      <c r="W154" s="590"/>
      <c r="X154" s="590"/>
      <c r="Y154" s="590"/>
      <c r="Z154" s="590"/>
      <c r="AA154" s="66"/>
      <c r="AB154" s="66"/>
      <c r="AC154" s="80"/>
    </row>
    <row r="155" spans="1:68" ht="27" customHeight="1" x14ac:dyDescent="0.25">
      <c r="A155" s="63" t="s">
        <v>263</v>
      </c>
      <c r="B155" s="63" t="s">
        <v>264</v>
      </c>
      <c r="C155" s="36">
        <v>4301031450</v>
      </c>
      <c r="D155" s="585">
        <v>4680115887428</v>
      </c>
      <c r="E155" s="585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7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587"/>
      <c r="R155" s="587"/>
      <c r="S155" s="587"/>
      <c r="T155" s="588"/>
      <c r="U155" s="39" t="s">
        <v>46</v>
      </c>
      <c r="V155" s="39" t="s">
        <v>46</v>
      </c>
      <c r="W155" s="40" t="s">
        <v>0</v>
      </c>
      <c r="X155" s="58">
        <v>27</v>
      </c>
      <c r="Y155" s="55">
        <f t="shared" ref="Y155:Y164" si="11">IFERROR(IF(X155="",0,CEILING((X155/$H155),1)*$H155),"")</f>
        <v>29.400000000000002</v>
      </c>
      <c r="Z155" s="41">
        <f>IFERROR(IF(Y155=0,"",ROUNDUP(Y155/H155,0)*0.00902),"")</f>
        <v>6.3140000000000002E-2</v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28.221428571428568</v>
      </c>
      <c r="BN155" s="78">
        <f t="shared" ref="BN155:BN164" si="13">IFERROR(Y155*I155/H155,"0")</f>
        <v>30.73</v>
      </c>
      <c r="BO155" s="78">
        <f t="shared" ref="BO155:BO164" si="14">IFERROR(1/J155*(X155/H155),"0")</f>
        <v>4.8701298701298697E-2</v>
      </c>
      <c r="BP155" s="78">
        <f t="shared" ref="BP155:BP164" si="15">IFERROR(1/J155*(Y155/H155),"0")</f>
        <v>5.3030303030303032E-2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585">
        <v>4680115887336</v>
      </c>
      <c r="E156" s="585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587"/>
      <c r="R156" s="587"/>
      <c r="S156" s="587"/>
      <c r="T156" s="588"/>
      <c r="U156" s="39" t="s">
        <v>46</v>
      </c>
      <c r="V156" s="39" t="s">
        <v>46</v>
      </c>
      <c r="W156" s="40" t="s">
        <v>0</v>
      </c>
      <c r="X156" s="58">
        <v>15</v>
      </c>
      <c r="Y156" s="55">
        <f t="shared" si="11"/>
        <v>16.8</v>
      </c>
      <c r="Z156" s="41">
        <f>IFERROR(IF(Y156=0,"",ROUNDUP(Y156/H156,0)*0.00902),"")</f>
        <v>3.6080000000000001E-2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15.678571428571427</v>
      </c>
      <c r="BN156" s="78">
        <f t="shared" si="13"/>
        <v>17.559999999999999</v>
      </c>
      <c r="BO156" s="78">
        <f t="shared" si="14"/>
        <v>2.7056277056277056E-2</v>
      </c>
      <c r="BP156" s="78">
        <f t="shared" si="15"/>
        <v>3.0303030303030304E-2</v>
      </c>
    </row>
    <row r="157" spans="1:68" ht="27" customHeight="1" x14ac:dyDescent="0.25">
      <c r="A157" s="63" t="s">
        <v>269</v>
      </c>
      <c r="B157" s="63" t="s">
        <v>270</v>
      </c>
      <c r="C157" s="36">
        <v>4301030963</v>
      </c>
      <c r="D157" s="585">
        <v>4607091382426</v>
      </c>
      <c r="E157" s="585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587"/>
      <c r="R157" s="587"/>
      <c r="S157" s="587"/>
      <c r="T157" s="588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customHeight="1" x14ac:dyDescent="0.25">
      <c r="A158" s="63" t="s">
        <v>272</v>
      </c>
      <c r="B158" s="63" t="s">
        <v>273</v>
      </c>
      <c r="C158" s="36">
        <v>4301031456</v>
      </c>
      <c r="D158" s="585">
        <v>4680115887398</v>
      </c>
      <c r="E158" s="585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6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587"/>
      <c r="R158" s="587"/>
      <c r="S158" s="587"/>
      <c r="T158" s="588"/>
      <c r="U158" s="39" t="s">
        <v>46</v>
      </c>
      <c r="V158" s="39" t="s">
        <v>46</v>
      </c>
      <c r="W158" s="40" t="s">
        <v>0</v>
      </c>
      <c r="X158" s="58">
        <v>8</v>
      </c>
      <c r="Y158" s="55">
        <f t="shared" si="11"/>
        <v>8.4</v>
      </c>
      <c r="Z158" s="41">
        <f>IFERROR(IF(Y158=0,"",ROUNDUP(Y158/H158,0)*0.00902),"")</f>
        <v>1.804E-2</v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8.3619047619047606</v>
      </c>
      <c r="BN158" s="78">
        <f t="shared" si="13"/>
        <v>8.7799999999999994</v>
      </c>
      <c r="BO158" s="78">
        <f t="shared" si="14"/>
        <v>1.443001443001443E-2</v>
      </c>
      <c r="BP158" s="78">
        <f t="shared" si="15"/>
        <v>1.5151515151515152E-2</v>
      </c>
    </row>
    <row r="159" spans="1:68" ht="16.5" customHeight="1" x14ac:dyDescent="0.25">
      <c r="A159" s="63" t="s">
        <v>275</v>
      </c>
      <c r="B159" s="63" t="s">
        <v>276</v>
      </c>
      <c r="C159" s="36">
        <v>4301032049</v>
      </c>
      <c r="D159" s="585">
        <v>4680115887787</v>
      </c>
      <c r="E159" s="585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587"/>
      <c r="R159" s="587"/>
      <c r="S159" s="587"/>
      <c r="T159" s="58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585">
        <v>4680115887503</v>
      </c>
      <c r="E160" s="585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587"/>
      <c r="R160" s="587"/>
      <c r="S160" s="587"/>
      <c r="T160" s="588"/>
      <c r="U160" s="39" t="s">
        <v>46</v>
      </c>
      <c r="V160" s="39" t="s">
        <v>46</v>
      </c>
      <c r="W160" s="40" t="s">
        <v>0</v>
      </c>
      <c r="X160" s="58">
        <v>9.24</v>
      </c>
      <c r="Y160" s="55">
        <f t="shared" si="11"/>
        <v>10.08</v>
      </c>
      <c r="Z160" s="41">
        <f>IFERROR(IF(Y160=0,"",ROUNDUP(Y160/H160,0)*0.00502),"")</f>
        <v>3.0120000000000001E-2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9.7900000000000009</v>
      </c>
      <c r="BN160" s="78">
        <f t="shared" si="13"/>
        <v>10.68</v>
      </c>
      <c r="BO160" s="78">
        <f t="shared" si="14"/>
        <v>2.3504273504273508E-2</v>
      </c>
      <c r="BP160" s="78">
        <f t="shared" si="15"/>
        <v>2.5641025641025644E-2</v>
      </c>
    </row>
    <row r="161" spans="1:68" ht="27" customHeight="1" x14ac:dyDescent="0.25">
      <c r="A161" s="63" t="s">
        <v>280</v>
      </c>
      <c r="B161" s="63" t="s">
        <v>281</v>
      </c>
      <c r="C161" s="36">
        <v>4301031389</v>
      </c>
      <c r="D161" s="585">
        <v>4680115887763</v>
      </c>
      <c r="E161" s="585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587"/>
      <c r="R161" s="587"/>
      <c r="S161" s="587"/>
      <c r="T161" s="588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585">
        <v>4680115887480</v>
      </c>
      <c r="E162" s="585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6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587"/>
      <c r="R162" s="587"/>
      <c r="S162" s="587"/>
      <c r="T162" s="588"/>
      <c r="U162" s="39" t="s">
        <v>46</v>
      </c>
      <c r="V162" s="39" t="s">
        <v>46</v>
      </c>
      <c r="W162" s="40" t="s">
        <v>0</v>
      </c>
      <c r="X162" s="58">
        <v>3</v>
      </c>
      <c r="Y162" s="55">
        <f t="shared" si="11"/>
        <v>3.36</v>
      </c>
      <c r="Z162" s="41">
        <f>IFERROR(IF(Y162=0,"",ROUNDUP(Y162/H162,0)*0.00502),"")</f>
        <v>1.004E-2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3.1785714285714288</v>
      </c>
      <c r="BN162" s="78">
        <f t="shared" si="13"/>
        <v>3.5599999999999996</v>
      </c>
      <c r="BO162" s="78">
        <f t="shared" si="14"/>
        <v>7.6312576312576328E-3</v>
      </c>
      <c r="BP162" s="78">
        <f t="shared" si="15"/>
        <v>8.5470085470085479E-3</v>
      </c>
    </row>
    <row r="163" spans="1:68" ht="27" customHeight="1" x14ac:dyDescent="0.25">
      <c r="A163" s="63" t="s">
        <v>285</v>
      </c>
      <c r="B163" s="63" t="s">
        <v>286</v>
      </c>
      <c r="C163" s="36">
        <v>4301031434</v>
      </c>
      <c r="D163" s="585">
        <v>4680115888067</v>
      </c>
      <c r="E163" s="585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587"/>
      <c r="R163" s="587"/>
      <c r="S163" s="587"/>
      <c r="T163" s="588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585">
        <v>4680115887435</v>
      </c>
      <c r="E164" s="585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6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587"/>
      <c r="R164" s="587"/>
      <c r="S164" s="587"/>
      <c r="T164" s="588"/>
      <c r="U164" s="39" t="s">
        <v>46</v>
      </c>
      <c r="V164" s="39" t="s">
        <v>46</v>
      </c>
      <c r="W164" s="40" t="s">
        <v>0</v>
      </c>
      <c r="X164" s="58">
        <v>3</v>
      </c>
      <c r="Y164" s="55">
        <f t="shared" si="11"/>
        <v>3.36</v>
      </c>
      <c r="Z164" s="41">
        <f>IFERROR(IF(Y164=0,"",ROUNDUP(Y164/H164,0)*0.00502),"")</f>
        <v>1.004E-2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3.1785714285714288</v>
      </c>
      <c r="BN164" s="78">
        <f t="shared" si="13"/>
        <v>3.5599999999999996</v>
      </c>
      <c r="BO164" s="78">
        <f t="shared" si="14"/>
        <v>7.6312576312576328E-3</v>
      </c>
      <c r="BP164" s="78">
        <f t="shared" si="15"/>
        <v>8.5470085470085479E-3</v>
      </c>
    </row>
    <row r="165" spans="1:68" x14ac:dyDescent="0.2">
      <c r="A165" s="579"/>
      <c r="B165" s="579"/>
      <c r="C165" s="579"/>
      <c r="D165" s="579"/>
      <c r="E165" s="579"/>
      <c r="F165" s="579"/>
      <c r="G165" s="579"/>
      <c r="H165" s="579"/>
      <c r="I165" s="579"/>
      <c r="J165" s="579"/>
      <c r="K165" s="579"/>
      <c r="L165" s="579"/>
      <c r="M165" s="579"/>
      <c r="N165" s="579"/>
      <c r="O165" s="580"/>
      <c r="P165" s="576" t="s">
        <v>40</v>
      </c>
      <c r="Q165" s="577"/>
      <c r="R165" s="577"/>
      <c r="S165" s="577"/>
      <c r="T165" s="577"/>
      <c r="U165" s="577"/>
      <c r="V165" s="578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20.976190476190474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23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0.16746</v>
      </c>
      <c r="AA165" s="67"/>
      <c r="AB165" s="67"/>
      <c r="AC165" s="67"/>
    </row>
    <row r="166" spans="1:68" x14ac:dyDescent="0.2">
      <c r="A166" s="579"/>
      <c r="B166" s="579"/>
      <c r="C166" s="579"/>
      <c r="D166" s="579"/>
      <c r="E166" s="579"/>
      <c r="F166" s="579"/>
      <c r="G166" s="579"/>
      <c r="H166" s="579"/>
      <c r="I166" s="579"/>
      <c r="J166" s="579"/>
      <c r="K166" s="579"/>
      <c r="L166" s="579"/>
      <c r="M166" s="579"/>
      <c r="N166" s="579"/>
      <c r="O166" s="580"/>
      <c r="P166" s="576" t="s">
        <v>40</v>
      </c>
      <c r="Q166" s="577"/>
      <c r="R166" s="577"/>
      <c r="S166" s="577"/>
      <c r="T166" s="577"/>
      <c r="U166" s="577"/>
      <c r="V166" s="578"/>
      <c r="W166" s="42" t="s">
        <v>0</v>
      </c>
      <c r="X166" s="43">
        <f>IFERROR(SUM(X155:X164),"0")</f>
        <v>65.240000000000009</v>
      </c>
      <c r="Y166" s="43">
        <f>IFERROR(SUM(Y155:Y164),"0")</f>
        <v>71.400000000000006</v>
      </c>
      <c r="Z166" s="42"/>
      <c r="AA166" s="67"/>
      <c r="AB166" s="67"/>
      <c r="AC166" s="67"/>
    </row>
    <row r="167" spans="1:68" ht="14.25" customHeight="1" x14ac:dyDescent="0.25">
      <c r="A167" s="590" t="s">
        <v>87</v>
      </c>
      <c r="B167" s="590"/>
      <c r="C167" s="590"/>
      <c r="D167" s="590"/>
      <c r="E167" s="590"/>
      <c r="F167" s="590"/>
      <c r="G167" s="590"/>
      <c r="H167" s="590"/>
      <c r="I167" s="590"/>
      <c r="J167" s="590"/>
      <c r="K167" s="590"/>
      <c r="L167" s="590"/>
      <c r="M167" s="590"/>
      <c r="N167" s="590"/>
      <c r="O167" s="590"/>
      <c r="P167" s="590"/>
      <c r="Q167" s="590"/>
      <c r="R167" s="590"/>
      <c r="S167" s="590"/>
      <c r="T167" s="590"/>
      <c r="U167" s="590"/>
      <c r="V167" s="590"/>
      <c r="W167" s="590"/>
      <c r="X167" s="590"/>
      <c r="Y167" s="590"/>
      <c r="Z167" s="59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4301052064</v>
      </c>
      <c r="D168" s="585">
        <v>4680115887459</v>
      </c>
      <c r="E168" s="585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587"/>
      <c r="R168" s="587"/>
      <c r="S168" s="587"/>
      <c r="T168" s="588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579"/>
      <c r="B169" s="579"/>
      <c r="C169" s="579"/>
      <c r="D169" s="579"/>
      <c r="E169" s="579"/>
      <c r="F169" s="579"/>
      <c r="G169" s="579"/>
      <c r="H169" s="579"/>
      <c r="I169" s="579"/>
      <c r="J169" s="579"/>
      <c r="K169" s="579"/>
      <c r="L169" s="579"/>
      <c r="M169" s="579"/>
      <c r="N169" s="579"/>
      <c r="O169" s="580"/>
      <c r="P169" s="576" t="s">
        <v>40</v>
      </c>
      <c r="Q169" s="577"/>
      <c r="R169" s="577"/>
      <c r="S169" s="577"/>
      <c r="T169" s="577"/>
      <c r="U169" s="577"/>
      <c r="V169" s="578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579"/>
      <c r="B170" s="579"/>
      <c r="C170" s="579"/>
      <c r="D170" s="579"/>
      <c r="E170" s="579"/>
      <c r="F170" s="579"/>
      <c r="G170" s="579"/>
      <c r="H170" s="579"/>
      <c r="I170" s="579"/>
      <c r="J170" s="579"/>
      <c r="K170" s="579"/>
      <c r="L170" s="579"/>
      <c r="M170" s="579"/>
      <c r="N170" s="579"/>
      <c r="O170" s="580"/>
      <c r="P170" s="576" t="s">
        <v>40</v>
      </c>
      <c r="Q170" s="577"/>
      <c r="R170" s="577"/>
      <c r="S170" s="577"/>
      <c r="T170" s="577"/>
      <c r="U170" s="577"/>
      <c r="V170" s="578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customHeight="1" x14ac:dyDescent="0.2">
      <c r="A171" s="599" t="s">
        <v>293</v>
      </c>
      <c r="B171" s="599"/>
      <c r="C171" s="599"/>
      <c r="D171" s="599"/>
      <c r="E171" s="599"/>
      <c r="F171" s="599"/>
      <c r="G171" s="599"/>
      <c r="H171" s="599"/>
      <c r="I171" s="599"/>
      <c r="J171" s="599"/>
      <c r="K171" s="599"/>
      <c r="L171" s="599"/>
      <c r="M171" s="599"/>
      <c r="N171" s="599"/>
      <c r="O171" s="599"/>
      <c r="P171" s="599"/>
      <c r="Q171" s="599"/>
      <c r="R171" s="599"/>
      <c r="S171" s="599"/>
      <c r="T171" s="599"/>
      <c r="U171" s="599"/>
      <c r="V171" s="599"/>
      <c r="W171" s="599"/>
      <c r="X171" s="599"/>
      <c r="Y171" s="599"/>
      <c r="Z171" s="599"/>
      <c r="AA171" s="54"/>
      <c r="AB171" s="54"/>
      <c r="AC171" s="54"/>
    </row>
    <row r="172" spans="1:68" ht="16.5" customHeight="1" x14ac:dyDescent="0.25">
      <c r="A172" s="589" t="s">
        <v>294</v>
      </c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65"/>
      <c r="AB172" s="65"/>
      <c r="AC172" s="79"/>
    </row>
    <row r="173" spans="1:68" ht="14.25" customHeight="1" x14ac:dyDescent="0.25">
      <c r="A173" s="590" t="s">
        <v>156</v>
      </c>
      <c r="B173" s="590"/>
      <c r="C173" s="590"/>
      <c r="D173" s="590"/>
      <c r="E173" s="590"/>
      <c r="F173" s="590"/>
      <c r="G173" s="590"/>
      <c r="H173" s="590"/>
      <c r="I173" s="590"/>
      <c r="J173" s="590"/>
      <c r="K173" s="590"/>
      <c r="L173" s="590"/>
      <c r="M173" s="590"/>
      <c r="N173" s="590"/>
      <c r="O173" s="590"/>
      <c r="P173" s="590"/>
      <c r="Q173" s="590"/>
      <c r="R173" s="590"/>
      <c r="S173" s="590"/>
      <c r="T173" s="590"/>
      <c r="U173" s="590"/>
      <c r="V173" s="590"/>
      <c r="W173" s="590"/>
      <c r="X173" s="590"/>
      <c r="Y173" s="590"/>
      <c r="Z173" s="590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4301020323</v>
      </c>
      <c r="D174" s="585">
        <v>4680115886223</v>
      </c>
      <c r="E174" s="585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5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587"/>
      <c r="R174" s="587"/>
      <c r="S174" s="587"/>
      <c r="T174" s="588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">
      <c r="A175" s="579"/>
      <c r="B175" s="579"/>
      <c r="C175" s="579"/>
      <c r="D175" s="579"/>
      <c r="E175" s="579"/>
      <c r="F175" s="579"/>
      <c r="G175" s="579"/>
      <c r="H175" s="579"/>
      <c r="I175" s="579"/>
      <c r="J175" s="579"/>
      <c r="K175" s="579"/>
      <c r="L175" s="579"/>
      <c r="M175" s="579"/>
      <c r="N175" s="579"/>
      <c r="O175" s="580"/>
      <c r="P175" s="576" t="s">
        <v>40</v>
      </c>
      <c r="Q175" s="577"/>
      <c r="R175" s="577"/>
      <c r="S175" s="577"/>
      <c r="T175" s="577"/>
      <c r="U175" s="577"/>
      <c r="V175" s="578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579"/>
      <c r="B176" s="579"/>
      <c r="C176" s="579"/>
      <c r="D176" s="579"/>
      <c r="E176" s="579"/>
      <c r="F176" s="579"/>
      <c r="G176" s="579"/>
      <c r="H176" s="579"/>
      <c r="I176" s="579"/>
      <c r="J176" s="579"/>
      <c r="K176" s="579"/>
      <c r="L176" s="579"/>
      <c r="M176" s="579"/>
      <c r="N176" s="579"/>
      <c r="O176" s="580"/>
      <c r="P176" s="576" t="s">
        <v>40</v>
      </c>
      <c r="Q176" s="577"/>
      <c r="R176" s="577"/>
      <c r="S176" s="577"/>
      <c r="T176" s="577"/>
      <c r="U176" s="577"/>
      <c r="V176" s="578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customHeight="1" x14ac:dyDescent="0.25">
      <c r="A177" s="590" t="s">
        <v>77</v>
      </c>
      <c r="B177" s="590"/>
      <c r="C177" s="590"/>
      <c r="D177" s="590"/>
      <c r="E177" s="590"/>
      <c r="F177" s="590"/>
      <c r="G177" s="590"/>
      <c r="H177" s="590"/>
      <c r="I177" s="590"/>
      <c r="J177" s="590"/>
      <c r="K177" s="590"/>
      <c r="L177" s="590"/>
      <c r="M177" s="590"/>
      <c r="N177" s="590"/>
      <c r="O177" s="590"/>
      <c r="P177" s="590"/>
      <c r="Q177" s="590"/>
      <c r="R177" s="590"/>
      <c r="S177" s="590"/>
      <c r="T177" s="590"/>
      <c r="U177" s="590"/>
      <c r="V177" s="590"/>
      <c r="W177" s="590"/>
      <c r="X177" s="590"/>
      <c r="Y177" s="590"/>
      <c r="Z177" s="590"/>
      <c r="AA177" s="66"/>
      <c r="AB177" s="66"/>
      <c r="AC177" s="80"/>
    </row>
    <row r="178" spans="1:68" ht="27" customHeight="1" x14ac:dyDescent="0.25">
      <c r="A178" s="63" t="s">
        <v>298</v>
      </c>
      <c r="B178" s="63" t="s">
        <v>299</v>
      </c>
      <c r="C178" s="36">
        <v>4301031191</v>
      </c>
      <c r="D178" s="585">
        <v>4680115880993</v>
      </c>
      <c r="E178" s="585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6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587"/>
      <c r="R178" s="587"/>
      <c r="S178" s="587"/>
      <c r="T178" s="58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customHeight="1" x14ac:dyDescent="0.25">
      <c r="A179" s="63" t="s">
        <v>301</v>
      </c>
      <c r="B179" s="63" t="s">
        <v>302</v>
      </c>
      <c r="C179" s="36">
        <v>4301031204</v>
      </c>
      <c r="D179" s="585">
        <v>4680115881761</v>
      </c>
      <c r="E179" s="585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587"/>
      <c r="R179" s="587"/>
      <c r="S179" s="587"/>
      <c r="T179" s="58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304</v>
      </c>
      <c r="B180" s="63" t="s">
        <v>305</v>
      </c>
      <c r="C180" s="36">
        <v>4301031201</v>
      </c>
      <c r="D180" s="585">
        <v>4680115881563</v>
      </c>
      <c r="E180" s="585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587"/>
      <c r="R180" s="587"/>
      <c r="S180" s="587"/>
      <c r="T180" s="58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customHeight="1" x14ac:dyDescent="0.25">
      <c r="A181" s="63" t="s">
        <v>307</v>
      </c>
      <c r="B181" s="63" t="s">
        <v>308</v>
      </c>
      <c r="C181" s="36">
        <v>4301031447</v>
      </c>
      <c r="D181" s="585">
        <v>4680115887565</v>
      </c>
      <c r="E181" s="585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587"/>
      <c r="R181" s="587"/>
      <c r="S181" s="587"/>
      <c r="T181" s="58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310</v>
      </c>
      <c r="B182" s="63" t="s">
        <v>311</v>
      </c>
      <c r="C182" s="36">
        <v>4301031199</v>
      </c>
      <c r="D182" s="585">
        <v>4680115880986</v>
      </c>
      <c r="E182" s="585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587"/>
      <c r="R182" s="587"/>
      <c r="S182" s="587"/>
      <c r="T182" s="58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312</v>
      </c>
      <c r="B183" s="63" t="s">
        <v>313</v>
      </c>
      <c r="C183" s="36">
        <v>4301031443</v>
      </c>
      <c r="D183" s="585">
        <v>4680115887213</v>
      </c>
      <c r="E183" s="585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587"/>
      <c r="R183" s="587"/>
      <c r="S183" s="587"/>
      <c r="T183" s="58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315</v>
      </c>
      <c r="B184" s="63" t="s">
        <v>316</v>
      </c>
      <c r="C184" s="36">
        <v>4301031205</v>
      </c>
      <c r="D184" s="585">
        <v>4680115881785</v>
      </c>
      <c r="E184" s="585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5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587"/>
      <c r="R184" s="587"/>
      <c r="S184" s="587"/>
      <c r="T184" s="58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317</v>
      </c>
      <c r="B185" s="63" t="s">
        <v>318</v>
      </c>
      <c r="C185" s="36">
        <v>4301031499</v>
      </c>
      <c r="D185" s="585">
        <v>4680115888432</v>
      </c>
      <c r="E185" s="585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49" t="s">
        <v>319</v>
      </c>
      <c r="Q185" s="587"/>
      <c r="R185" s="587"/>
      <c r="S185" s="587"/>
      <c r="T185" s="58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customHeight="1" x14ac:dyDescent="0.25">
      <c r="A186" s="63" t="s">
        <v>321</v>
      </c>
      <c r="B186" s="63" t="s">
        <v>322</v>
      </c>
      <c r="C186" s="36">
        <v>4301031427</v>
      </c>
      <c r="D186" s="585">
        <v>4680115888104</v>
      </c>
      <c r="E186" s="585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587"/>
      <c r="R186" s="587"/>
      <c r="S186" s="587"/>
      <c r="T186" s="58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customHeight="1" x14ac:dyDescent="0.25">
      <c r="A187" s="63" t="s">
        <v>324</v>
      </c>
      <c r="B187" s="63" t="s">
        <v>325</v>
      </c>
      <c r="C187" s="36">
        <v>4301031399</v>
      </c>
      <c r="D187" s="585">
        <v>4680115886537</v>
      </c>
      <c r="E187" s="585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587"/>
      <c r="R187" s="587"/>
      <c r="S187" s="587"/>
      <c r="T187" s="58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customHeight="1" x14ac:dyDescent="0.25">
      <c r="A188" s="63" t="s">
        <v>327</v>
      </c>
      <c r="B188" s="63" t="s">
        <v>328</v>
      </c>
      <c r="C188" s="36">
        <v>4301031279</v>
      </c>
      <c r="D188" s="585">
        <v>4680115887596</v>
      </c>
      <c r="E188" s="585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5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587"/>
      <c r="R188" s="587"/>
      <c r="S188" s="587"/>
      <c r="T188" s="58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customHeight="1" x14ac:dyDescent="0.25">
      <c r="A189" s="63" t="s">
        <v>330</v>
      </c>
      <c r="B189" s="63" t="s">
        <v>331</v>
      </c>
      <c r="C189" s="36">
        <v>4301031202</v>
      </c>
      <c r="D189" s="585">
        <v>4680115881679</v>
      </c>
      <c r="E189" s="585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587"/>
      <c r="R189" s="587"/>
      <c r="S189" s="587"/>
      <c r="T189" s="58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customHeight="1" x14ac:dyDescent="0.25">
      <c r="A190" s="63" t="s">
        <v>332</v>
      </c>
      <c r="B190" s="63" t="s">
        <v>333</v>
      </c>
      <c r="C190" s="36">
        <v>4301031158</v>
      </c>
      <c r="D190" s="585">
        <v>4680115880191</v>
      </c>
      <c r="E190" s="585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587"/>
      <c r="R190" s="587"/>
      <c r="S190" s="587"/>
      <c r="T190" s="58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4301031245</v>
      </c>
      <c r="D191" s="585">
        <v>4680115883963</v>
      </c>
      <c r="E191" s="58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587"/>
      <c r="R191" s="587"/>
      <c r="S191" s="587"/>
      <c r="T191" s="58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x14ac:dyDescent="0.2">
      <c r="A192" s="579"/>
      <c r="B192" s="579"/>
      <c r="C192" s="579"/>
      <c r="D192" s="579"/>
      <c r="E192" s="579"/>
      <c r="F192" s="579"/>
      <c r="G192" s="579"/>
      <c r="H192" s="579"/>
      <c r="I192" s="579"/>
      <c r="J192" s="579"/>
      <c r="K192" s="579"/>
      <c r="L192" s="579"/>
      <c r="M192" s="579"/>
      <c r="N192" s="579"/>
      <c r="O192" s="580"/>
      <c r="P192" s="576" t="s">
        <v>40</v>
      </c>
      <c r="Q192" s="577"/>
      <c r="R192" s="577"/>
      <c r="S192" s="577"/>
      <c r="T192" s="577"/>
      <c r="U192" s="577"/>
      <c r="V192" s="578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579"/>
      <c r="B193" s="579"/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79"/>
      <c r="O193" s="580"/>
      <c r="P193" s="576" t="s">
        <v>40</v>
      </c>
      <c r="Q193" s="577"/>
      <c r="R193" s="577"/>
      <c r="S193" s="577"/>
      <c r="T193" s="577"/>
      <c r="U193" s="577"/>
      <c r="V193" s="578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customHeight="1" x14ac:dyDescent="0.25">
      <c r="A194" s="590" t="s">
        <v>110</v>
      </c>
      <c r="B194" s="590"/>
      <c r="C194" s="590"/>
      <c r="D194" s="590"/>
      <c r="E194" s="590"/>
      <c r="F194" s="590"/>
      <c r="G194" s="590"/>
      <c r="H194" s="590"/>
      <c r="I194" s="590"/>
      <c r="J194" s="590"/>
      <c r="K194" s="590"/>
      <c r="L194" s="590"/>
      <c r="M194" s="590"/>
      <c r="N194" s="590"/>
      <c r="O194" s="590"/>
      <c r="P194" s="590"/>
      <c r="Q194" s="590"/>
      <c r="R194" s="590"/>
      <c r="S194" s="590"/>
      <c r="T194" s="590"/>
      <c r="U194" s="590"/>
      <c r="V194" s="590"/>
      <c r="W194" s="590"/>
      <c r="X194" s="590"/>
      <c r="Y194" s="590"/>
      <c r="Z194" s="590"/>
      <c r="AA194" s="66"/>
      <c r="AB194" s="66"/>
      <c r="AC194" s="80"/>
    </row>
    <row r="195" spans="1:68" ht="27" customHeight="1" x14ac:dyDescent="0.25">
      <c r="A195" s="63" t="s">
        <v>337</v>
      </c>
      <c r="B195" s="63" t="s">
        <v>338</v>
      </c>
      <c r="C195" s="36">
        <v>4301032053</v>
      </c>
      <c r="D195" s="585">
        <v>4680115886780</v>
      </c>
      <c r="E195" s="585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587"/>
      <c r="R195" s="587"/>
      <c r="S195" s="587"/>
      <c r="T195" s="58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4301032051</v>
      </c>
      <c r="D196" s="585">
        <v>4680115886742</v>
      </c>
      <c r="E196" s="585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587"/>
      <c r="R196" s="587"/>
      <c r="S196" s="587"/>
      <c r="T196" s="58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345</v>
      </c>
      <c r="B197" s="63" t="s">
        <v>346</v>
      </c>
      <c r="C197" s="36">
        <v>4301032052</v>
      </c>
      <c r="D197" s="585">
        <v>4680115886766</v>
      </c>
      <c r="E197" s="585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587"/>
      <c r="R197" s="587"/>
      <c r="S197" s="587"/>
      <c r="T197" s="58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579"/>
      <c r="B198" s="579"/>
      <c r="C198" s="579"/>
      <c r="D198" s="579"/>
      <c r="E198" s="579"/>
      <c r="F198" s="579"/>
      <c r="G198" s="579"/>
      <c r="H198" s="579"/>
      <c r="I198" s="579"/>
      <c r="J198" s="579"/>
      <c r="K198" s="579"/>
      <c r="L198" s="579"/>
      <c r="M198" s="579"/>
      <c r="N198" s="579"/>
      <c r="O198" s="580"/>
      <c r="P198" s="576" t="s">
        <v>40</v>
      </c>
      <c r="Q198" s="577"/>
      <c r="R198" s="577"/>
      <c r="S198" s="577"/>
      <c r="T198" s="577"/>
      <c r="U198" s="577"/>
      <c r="V198" s="578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579"/>
      <c r="B199" s="579"/>
      <c r="C199" s="579"/>
      <c r="D199" s="579"/>
      <c r="E199" s="579"/>
      <c r="F199" s="579"/>
      <c r="G199" s="579"/>
      <c r="H199" s="579"/>
      <c r="I199" s="579"/>
      <c r="J199" s="579"/>
      <c r="K199" s="579"/>
      <c r="L199" s="579"/>
      <c r="M199" s="579"/>
      <c r="N199" s="579"/>
      <c r="O199" s="580"/>
      <c r="P199" s="576" t="s">
        <v>40</v>
      </c>
      <c r="Q199" s="577"/>
      <c r="R199" s="577"/>
      <c r="S199" s="577"/>
      <c r="T199" s="577"/>
      <c r="U199" s="577"/>
      <c r="V199" s="578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590" t="s">
        <v>347</v>
      </c>
      <c r="B200" s="590"/>
      <c r="C200" s="590"/>
      <c r="D200" s="590"/>
      <c r="E200" s="590"/>
      <c r="F200" s="590"/>
      <c r="G200" s="590"/>
      <c r="H200" s="590"/>
      <c r="I200" s="590"/>
      <c r="J200" s="590"/>
      <c r="K200" s="590"/>
      <c r="L200" s="590"/>
      <c r="M200" s="590"/>
      <c r="N200" s="590"/>
      <c r="O200" s="590"/>
      <c r="P200" s="590"/>
      <c r="Q200" s="590"/>
      <c r="R200" s="590"/>
      <c r="S200" s="590"/>
      <c r="T200" s="590"/>
      <c r="U200" s="590"/>
      <c r="V200" s="590"/>
      <c r="W200" s="590"/>
      <c r="X200" s="590"/>
      <c r="Y200" s="590"/>
      <c r="Z200" s="590"/>
      <c r="AA200" s="66"/>
      <c r="AB200" s="66"/>
      <c r="AC200" s="80"/>
    </row>
    <row r="201" spans="1:68" ht="27" customHeight="1" x14ac:dyDescent="0.25">
      <c r="A201" s="63" t="s">
        <v>348</v>
      </c>
      <c r="B201" s="63" t="s">
        <v>349</v>
      </c>
      <c r="C201" s="36">
        <v>4301170013</v>
      </c>
      <c r="D201" s="585">
        <v>4680115886797</v>
      </c>
      <c r="E201" s="585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587"/>
      <c r="R201" s="587"/>
      <c r="S201" s="587"/>
      <c r="T201" s="58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579"/>
      <c r="B202" s="579"/>
      <c r="C202" s="579"/>
      <c r="D202" s="579"/>
      <c r="E202" s="579"/>
      <c r="F202" s="579"/>
      <c r="G202" s="579"/>
      <c r="H202" s="579"/>
      <c r="I202" s="579"/>
      <c r="J202" s="579"/>
      <c r="K202" s="579"/>
      <c r="L202" s="579"/>
      <c r="M202" s="579"/>
      <c r="N202" s="579"/>
      <c r="O202" s="580"/>
      <c r="P202" s="576" t="s">
        <v>40</v>
      </c>
      <c r="Q202" s="577"/>
      <c r="R202" s="577"/>
      <c r="S202" s="577"/>
      <c r="T202" s="577"/>
      <c r="U202" s="577"/>
      <c r="V202" s="578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579"/>
      <c r="B203" s="579"/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79"/>
      <c r="O203" s="580"/>
      <c r="P203" s="576" t="s">
        <v>40</v>
      </c>
      <c r="Q203" s="577"/>
      <c r="R203" s="577"/>
      <c r="S203" s="577"/>
      <c r="T203" s="577"/>
      <c r="U203" s="577"/>
      <c r="V203" s="578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customHeight="1" x14ac:dyDescent="0.25">
      <c r="A204" s="589" t="s">
        <v>350</v>
      </c>
      <c r="B204" s="589"/>
      <c r="C204" s="589"/>
      <c r="D204" s="589"/>
      <c r="E204" s="589"/>
      <c r="F204" s="589"/>
      <c r="G204" s="589"/>
      <c r="H204" s="589"/>
      <c r="I204" s="589"/>
      <c r="J204" s="589"/>
      <c r="K204" s="589"/>
      <c r="L204" s="589"/>
      <c r="M204" s="589"/>
      <c r="N204" s="589"/>
      <c r="O204" s="589"/>
      <c r="P204" s="589"/>
      <c r="Q204" s="589"/>
      <c r="R204" s="589"/>
      <c r="S204" s="589"/>
      <c r="T204" s="589"/>
      <c r="U204" s="589"/>
      <c r="V204" s="589"/>
      <c r="W204" s="589"/>
      <c r="X204" s="589"/>
      <c r="Y204" s="589"/>
      <c r="Z204" s="589"/>
      <c r="AA204" s="65"/>
      <c r="AB204" s="65"/>
      <c r="AC204" s="79"/>
    </row>
    <row r="205" spans="1:68" ht="14.25" customHeight="1" x14ac:dyDescent="0.25">
      <c r="A205" s="590" t="s">
        <v>122</v>
      </c>
      <c r="B205" s="590"/>
      <c r="C205" s="590"/>
      <c r="D205" s="590"/>
      <c r="E205" s="590"/>
      <c r="F205" s="590"/>
      <c r="G205" s="590"/>
      <c r="H205" s="590"/>
      <c r="I205" s="590"/>
      <c r="J205" s="590"/>
      <c r="K205" s="590"/>
      <c r="L205" s="590"/>
      <c r="M205" s="590"/>
      <c r="N205" s="590"/>
      <c r="O205" s="590"/>
      <c r="P205" s="590"/>
      <c r="Q205" s="590"/>
      <c r="R205" s="590"/>
      <c r="S205" s="590"/>
      <c r="T205" s="590"/>
      <c r="U205" s="590"/>
      <c r="V205" s="590"/>
      <c r="W205" s="590"/>
      <c r="X205" s="590"/>
      <c r="Y205" s="590"/>
      <c r="Z205" s="590"/>
      <c r="AA205" s="66"/>
      <c r="AB205" s="66"/>
      <c r="AC205" s="80"/>
    </row>
    <row r="206" spans="1:68" ht="27" customHeight="1" x14ac:dyDescent="0.25">
      <c r="A206" s="63" t="s">
        <v>351</v>
      </c>
      <c r="B206" s="63" t="s">
        <v>352</v>
      </c>
      <c r="C206" s="36">
        <v>4301011450</v>
      </c>
      <c r="D206" s="585">
        <v>4680115881402</v>
      </c>
      <c r="E206" s="585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587"/>
      <c r="R206" s="587"/>
      <c r="S206" s="587"/>
      <c r="T206" s="588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customHeight="1" x14ac:dyDescent="0.25">
      <c r="A207" s="63" t="s">
        <v>354</v>
      </c>
      <c r="B207" s="63" t="s">
        <v>355</v>
      </c>
      <c r="C207" s="36">
        <v>4301011768</v>
      </c>
      <c r="D207" s="585">
        <v>4680115881396</v>
      </c>
      <c r="E207" s="585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587"/>
      <c r="R207" s="587"/>
      <c r="S207" s="587"/>
      <c r="T207" s="588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579"/>
      <c r="B208" s="579"/>
      <c r="C208" s="579"/>
      <c r="D208" s="579"/>
      <c r="E208" s="579"/>
      <c r="F208" s="579"/>
      <c r="G208" s="579"/>
      <c r="H208" s="579"/>
      <c r="I208" s="579"/>
      <c r="J208" s="579"/>
      <c r="K208" s="579"/>
      <c r="L208" s="579"/>
      <c r="M208" s="579"/>
      <c r="N208" s="579"/>
      <c r="O208" s="580"/>
      <c r="P208" s="576" t="s">
        <v>40</v>
      </c>
      <c r="Q208" s="577"/>
      <c r="R208" s="577"/>
      <c r="S208" s="577"/>
      <c r="T208" s="577"/>
      <c r="U208" s="577"/>
      <c r="V208" s="578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x14ac:dyDescent="0.2">
      <c r="A209" s="579"/>
      <c r="B209" s="579"/>
      <c r="C209" s="579"/>
      <c r="D209" s="579"/>
      <c r="E209" s="579"/>
      <c r="F209" s="579"/>
      <c r="G209" s="579"/>
      <c r="H209" s="579"/>
      <c r="I209" s="579"/>
      <c r="J209" s="579"/>
      <c r="K209" s="579"/>
      <c r="L209" s="579"/>
      <c r="M209" s="579"/>
      <c r="N209" s="579"/>
      <c r="O209" s="580"/>
      <c r="P209" s="576" t="s">
        <v>40</v>
      </c>
      <c r="Q209" s="577"/>
      <c r="R209" s="577"/>
      <c r="S209" s="577"/>
      <c r="T209" s="577"/>
      <c r="U209" s="577"/>
      <c r="V209" s="578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customHeight="1" x14ac:dyDescent="0.25">
      <c r="A210" s="590" t="s">
        <v>156</v>
      </c>
      <c r="B210" s="590"/>
      <c r="C210" s="590"/>
      <c r="D210" s="590"/>
      <c r="E210" s="590"/>
      <c r="F210" s="590"/>
      <c r="G210" s="590"/>
      <c r="H210" s="590"/>
      <c r="I210" s="590"/>
      <c r="J210" s="590"/>
      <c r="K210" s="590"/>
      <c r="L210" s="590"/>
      <c r="M210" s="590"/>
      <c r="N210" s="590"/>
      <c r="O210" s="590"/>
      <c r="P210" s="590"/>
      <c r="Q210" s="590"/>
      <c r="R210" s="590"/>
      <c r="S210" s="590"/>
      <c r="T210" s="590"/>
      <c r="U210" s="590"/>
      <c r="V210" s="590"/>
      <c r="W210" s="590"/>
      <c r="X210" s="590"/>
      <c r="Y210" s="590"/>
      <c r="Z210" s="590"/>
      <c r="AA210" s="66"/>
      <c r="AB210" s="66"/>
      <c r="AC210" s="80"/>
    </row>
    <row r="211" spans="1:68" ht="16.5" customHeight="1" x14ac:dyDescent="0.25">
      <c r="A211" s="63" t="s">
        <v>356</v>
      </c>
      <c r="B211" s="63" t="s">
        <v>357</v>
      </c>
      <c r="C211" s="36">
        <v>4301020261</v>
      </c>
      <c r="D211" s="585">
        <v>4680115882935</v>
      </c>
      <c r="E211" s="58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587"/>
      <c r="R211" s="587"/>
      <c r="S211" s="587"/>
      <c r="T211" s="588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customHeight="1" x14ac:dyDescent="0.25">
      <c r="A212" s="63" t="s">
        <v>359</v>
      </c>
      <c r="B212" s="63" t="s">
        <v>360</v>
      </c>
      <c r="C212" s="36">
        <v>4301020220</v>
      </c>
      <c r="D212" s="585">
        <v>4680115880764</v>
      </c>
      <c r="E212" s="585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587"/>
      <c r="R212" s="587"/>
      <c r="S212" s="587"/>
      <c r="T212" s="588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x14ac:dyDescent="0.2">
      <c r="A213" s="579"/>
      <c r="B213" s="579"/>
      <c r="C213" s="579"/>
      <c r="D213" s="579"/>
      <c r="E213" s="579"/>
      <c r="F213" s="579"/>
      <c r="G213" s="579"/>
      <c r="H213" s="579"/>
      <c r="I213" s="579"/>
      <c r="J213" s="579"/>
      <c r="K213" s="579"/>
      <c r="L213" s="579"/>
      <c r="M213" s="579"/>
      <c r="N213" s="579"/>
      <c r="O213" s="580"/>
      <c r="P213" s="576" t="s">
        <v>40</v>
      </c>
      <c r="Q213" s="577"/>
      <c r="R213" s="577"/>
      <c r="S213" s="577"/>
      <c r="T213" s="577"/>
      <c r="U213" s="577"/>
      <c r="V213" s="578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579"/>
      <c r="B214" s="579"/>
      <c r="C214" s="579"/>
      <c r="D214" s="579"/>
      <c r="E214" s="579"/>
      <c r="F214" s="579"/>
      <c r="G214" s="579"/>
      <c r="H214" s="579"/>
      <c r="I214" s="579"/>
      <c r="J214" s="579"/>
      <c r="K214" s="579"/>
      <c r="L214" s="579"/>
      <c r="M214" s="579"/>
      <c r="N214" s="579"/>
      <c r="O214" s="580"/>
      <c r="P214" s="576" t="s">
        <v>40</v>
      </c>
      <c r="Q214" s="577"/>
      <c r="R214" s="577"/>
      <c r="S214" s="577"/>
      <c r="T214" s="577"/>
      <c r="U214" s="577"/>
      <c r="V214" s="578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customHeight="1" x14ac:dyDescent="0.25">
      <c r="A215" s="590" t="s">
        <v>77</v>
      </c>
      <c r="B215" s="590"/>
      <c r="C215" s="590"/>
      <c r="D215" s="590"/>
      <c r="E215" s="590"/>
      <c r="F215" s="590"/>
      <c r="G215" s="590"/>
      <c r="H215" s="590"/>
      <c r="I215" s="590"/>
      <c r="J215" s="590"/>
      <c r="K215" s="590"/>
      <c r="L215" s="590"/>
      <c r="M215" s="590"/>
      <c r="N215" s="590"/>
      <c r="O215" s="590"/>
      <c r="P215" s="590"/>
      <c r="Q215" s="590"/>
      <c r="R215" s="590"/>
      <c r="S215" s="590"/>
      <c r="T215" s="590"/>
      <c r="U215" s="590"/>
      <c r="V215" s="590"/>
      <c r="W215" s="590"/>
      <c r="X215" s="590"/>
      <c r="Y215" s="590"/>
      <c r="Z215" s="590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585">
        <v>4680115882683</v>
      </c>
      <c r="E216" s="585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587"/>
      <c r="R216" s="587"/>
      <c r="S216" s="587"/>
      <c r="T216" s="588"/>
      <c r="U216" s="39" t="s">
        <v>46</v>
      </c>
      <c r="V216" s="39" t="s">
        <v>46</v>
      </c>
      <c r="W216" s="40" t="s">
        <v>0</v>
      </c>
      <c r="X216" s="58"/>
      <c r="Y216" s="55">
        <f t="shared" ref="Y216:Y223" si="22">IFERROR(IF(X216="",0,CEILING((X216/$H216),1)*$H216),"")</f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0</v>
      </c>
      <c r="BN216" s="78">
        <f t="shared" ref="BN216:BN223" si="24">IFERROR(Y216*I216/H216,"0")</f>
        <v>0</v>
      </c>
      <c r="BO216" s="78">
        <f t="shared" ref="BO216:BO223" si="25">IFERROR(1/J216*(X216/H216),"0")</f>
        <v>0</v>
      </c>
      <c r="BP216" s="78">
        <f t="shared" ref="BP216:BP223" si="26">IFERROR(1/J216*(Y216/H216),"0")</f>
        <v>0</v>
      </c>
    </row>
    <row r="217" spans="1:68" ht="27" customHeight="1" x14ac:dyDescent="0.25">
      <c r="A217" s="63" t="s">
        <v>364</v>
      </c>
      <c r="B217" s="63" t="s">
        <v>365</v>
      </c>
      <c r="C217" s="36">
        <v>4301031230</v>
      </c>
      <c r="D217" s="585">
        <v>4680115882690</v>
      </c>
      <c r="E217" s="585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587"/>
      <c r="R217" s="587"/>
      <c r="S217" s="587"/>
      <c r="T217" s="588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customHeight="1" x14ac:dyDescent="0.25">
      <c r="A218" s="63" t="s">
        <v>367</v>
      </c>
      <c r="B218" s="63" t="s">
        <v>368</v>
      </c>
      <c r="C218" s="36">
        <v>4301031220</v>
      </c>
      <c r="D218" s="585">
        <v>4680115882669</v>
      </c>
      <c r="E218" s="585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587"/>
      <c r="R218" s="587"/>
      <c r="S218" s="587"/>
      <c r="T218" s="588"/>
      <c r="U218" s="39" t="s">
        <v>46</v>
      </c>
      <c r="V218" s="39" t="s">
        <v>46</v>
      </c>
      <c r="W218" s="40" t="s">
        <v>0</v>
      </c>
      <c r="X218" s="58">
        <v>20</v>
      </c>
      <c r="Y218" s="55">
        <f t="shared" si="22"/>
        <v>21.6</v>
      </c>
      <c r="Z218" s="41">
        <f>IFERROR(IF(Y218=0,"",ROUNDUP(Y218/H218,0)*0.00902),"")</f>
        <v>3.6080000000000001E-2</v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20.703703703703702</v>
      </c>
      <c r="BN218" s="78">
        <f t="shared" si="24"/>
        <v>22.36</v>
      </c>
      <c r="BO218" s="78">
        <f t="shared" si="25"/>
        <v>2.8058361391694722E-2</v>
      </c>
      <c r="BP218" s="78">
        <f t="shared" si="26"/>
        <v>3.0303030303030304E-2</v>
      </c>
    </row>
    <row r="219" spans="1:68" ht="27" customHeight="1" x14ac:dyDescent="0.25">
      <c r="A219" s="63" t="s">
        <v>370</v>
      </c>
      <c r="B219" s="63" t="s">
        <v>371</v>
      </c>
      <c r="C219" s="36">
        <v>4301031221</v>
      </c>
      <c r="D219" s="585">
        <v>4680115882676</v>
      </c>
      <c r="E219" s="585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587"/>
      <c r="R219" s="587"/>
      <c r="S219" s="587"/>
      <c r="T219" s="588"/>
      <c r="U219" s="39" t="s">
        <v>46</v>
      </c>
      <c r="V219" s="39" t="s">
        <v>46</v>
      </c>
      <c r="W219" s="40" t="s">
        <v>0</v>
      </c>
      <c r="X219" s="58">
        <v>30</v>
      </c>
      <c r="Y219" s="55">
        <f t="shared" si="22"/>
        <v>32.400000000000006</v>
      </c>
      <c r="Z219" s="41">
        <f>IFERROR(IF(Y219=0,"",ROUNDUP(Y219/H219,0)*0.00902),"")</f>
        <v>5.4120000000000001E-2</v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31.05555555555555</v>
      </c>
      <c r="BN219" s="78">
        <f t="shared" si="24"/>
        <v>33.54</v>
      </c>
      <c r="BO219" s="78">
        <f t="shared" si="25"/>
        <v>4.208754208754209E-2</v>
      </c>
      <c r="BP219" s="78">
        <f t="shared" si="26"/>
        <v>4.5454545454545463E-2</v>
      </c>
    </row>
    <row r="220" spans="1:68" ht="27" customHeight="1" x14ac:dyDescent="0.25">
      <c r="A220" s="63" t="s">
        <v>373</v>
      </c>
      <c r="B220" s="63" t="s">
        <v>374</v>
      </c>
      <c r="C220" s="36">
        <v>4301031223</v>
      </c>
      <c r="D220" s="585">
        <v>4680115884014</v>
      </c>
      <c r="E220" s="58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587"/>
      <c r="R220" s="587"/>
      <c r="S220" s="587"/>
      <c r="T220" s="58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customHeight="1" x14ac:dyDescent="0.25">
      <c r="A221" s="63" t="s">
        <v>375</v>
      </c>
      <c r="B221" s="63" t="s">
        <v>376</v>
      </c>
      <c r="C221" s="36">
        <v>4301031222</v>
      </c>
      <c r="D221" s="585">
        <v>4680115884007</v>
      </c>
      <c r="E221" s="585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587"/>
      <c r="R221" s="587"/>
      <c r="S221" s="587"/>
      <c r="T221" s="58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4301031229</v>
      </c>
      <c r="D222" s="585">
        <v>4680115884038</v>
      </c>
      <c r="E222" s="585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587"/>
      <c r="R222" s="587"/>
      <c r="S222" s="587"/>
      <c r="T222" s="58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customHeight="1" x14ac:dyDescent="0.25">
      <c r="A223" s="63" t="s">
        <v>379</v>
      </c>
      <c r="B223" s="63" t="s">
        <v>380</v>
      </c>
      <c r="C223" s="36">
        <v>4301031225</v>
      </c>
      <c r="D223" s="585">
        <v>4680115884021</v>
      </c>
      <c r="E223" s="585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587"/>
      <c r="R223" s="587"/>
      <c r="S223" s="587"/>
      <c r="T223" s="58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579"/>
      <c r="B224" s="579"/>
      <c r="C224" s="579"/>
      <c r="D224" s="579"/>
      <c r="E224" s="579"/>
      <c r="F224" s="579"/>
      <c r="G224" s="579"/>
      <c r="H224" s="579"/>
      <c r="I224" s="579"/>
      <c r="J224" s="579"/>
      <c r="K224" s="579"/>
      <c r="L224" s="579"/>
      <c r="M224" s="579"/>
      <c r="N224" s="579"/>
      <c r="O224" s="580"/>
      <c r="P224" s="576" t="s">
        <v>40</v>
      </c>
      <c r="Q224" s="577"/>
      <c r="R224" s="577"/>
      <c r="S224" s="577"/>
      <c r="T224" s="577"/>
      <c r="U224" s="577"/>
      <c r="V224" s="578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9.2592592592592595</v>
      </c>
      <c r="Y224" s="43">
        <f>IFERROR(Y216/H216,"0")+IFERROR(Y217/H217,"0")+IFERROR(Y218/H218,"0")+IFERROR(Y219/H219,"0")+IFERROR(Y220/H220,"0")+IFERROR(Y221/H221,"0")+IFERROR(Y222/H222,"0")+IFERROR(Y223/H223,"0")</f>
        <v>10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9.0200000000000002E-2</v>
      </c>
      <c r="AA224" s="67"/>
      <c r="AB224" s="67"/>
      <c r="AC224" s="67"/>
    </row>
    <row r="225" spans="1:68" x14ac:dyDescent="0.2">
      <c r="A225" s="579"/>
      <c r="B225" s="579"/>
      <c r="C225" s="579"/>
      <c r="D225" s="579"/>
      <c r="E225" s="579"/>
      <c r="F225" s="579"/>
      <c r="G225" s="579"/>
      <c r="H225" s="579"/>
      <c r="I225" s="579"/>
      <c r="J225" s="579"/>
      <c r="K225" s="579"/>
      <c r="L225" s="579"/>
      <c r="M225" s="579"/>
      <c r="N225" s="579"/>
      <c r="O225" s="580"/>
      <c r="P225" s="576" t="s">
        <v>40</v>
      </c>
      <c r="Q225" s="577"/>
      <c r="R225" s="577"/>
      <c r="S225" s="577"/>
      <c r="T225" s="577"/>
      <c r="U225" s="577"/>
      <c r="V225" s="578"/>
      <c r="W225" s="42" t="s">
        <v>0</v>
      </c>
      <c r="X225" s="43">
        <f>IFERROR(SUM(X216:X223),"0")</f>
        <v>50</v>
      </c>
      <c r="Y225" s="43">
        <f>IFERROR(SUM(Y216:Y223),"0")</f>
        <v>54.000000000000007</v>
      </c>
      <c r="Z225" s="42"/>
      <c r="AA225" s="67"/>
      <c r="AB225" s="67"/>
      <c r="AC225" s="67"/>
    </row>
    <row r="226" spans="1:68" ht="14.25" customHeight="1" x14ac:dyDescent="0.25">
      <c r="A226" s="590" t="s">
        <v>87</v>
      </c>
      <c r="B226" s="590"/>
      <c r="C226" s="590"/>
      <c r="D226" s="590"/>
      <c r="E226" s="590"/>
      <c r="F226" s="590"/>
      <c r="G226" s="590"/>
      <c r="H226" s="590"/>
      <c r="I226" s="590"/>
      <c r="J226" s="590"/>
      <c r="K226" s="590"/>
      <c r="L226" s="590"/>
      <c r="M226" s="590"/>
      <c r="N226" s="590"/>
      <c r="O226" s="590"/>
      <c r="P226" s="590"/>
      <c r="Q226" s="590"/>
      <c r="R226" s="590"/>
      <c r="S226" s="590"/>
      <c r="T226" s="590"/>
      <c r="U226" s="590"/>
      <c r="V226" s="590"/>
      <c r="W226" s="590"/>
      <c r="X226" s="590"/>
      <c r="Y226" s="590"/>
      <c r="Z226" s="590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585">
        <v>4680115881594</v>
      </c>
      <c r="E227" s="585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587"/>
      <c r="R227" s="587"/>
      <c r="S227" s="587"/>
      <c r="T227" s="588"/>
      <c r="U227" s="39" t="s">
        <v>46</v>
      </c>
      <c r="V227" s="39" t="s">
        <v>46</v>
      </c>
      <c r="W227" s="40" t="s">
        <v>0</v>
      </c>
      <c r="X227" s="58"/>
      <c r="Y227" s="55">
        <f t="shared" ref="Y227:Y236" si="27">IFERROR(IF(X227="",0,CEILING((X227/$H227),1)*$H227),"")</f>
        <v>0</v>
      </c>
      <c r="Z227" s="41" t="str">
        <f>IFERROR(IF(Y227=0,"",ROUNDUP(Y227/H227,0)*0.01898),"")</f>
        <v/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0</v>
      </c>
      <c r="BN227" s="78">
        <f t="shared" ref="BN227:BN236" si="29">IFERROR(Y227*I227/H227,"0")</f>
        <v>0</v>
      </c>
      <c r="BO227" s="78">
        <f t="shared" ref="BO227:BO236" si="30">IFERROR(1/J227*(X227/H227),"0")</f>
        <v>0</v>
      </c>
      <c r="BP227" s="78">
        <f t="shared" ref="BP227:BP236" si="31">IFERROR(1/J227*(Y227/H227),"0")</f>
        <v>0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585">
        <v>4680115881617</v>
      </c>
      <c r="E228" s="585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587"/>
      <c r="R228" s="587"/>
      <c r="S228" s="587"/>
      <c r="T228" s="588"/>
      <c r="U228" s="39" t="s">
        <v>46</v>
      </c>
      <c r="V228" s="39" t="s">
        <v>46</v>
      </c>
      <c r="W228" s="40" t="s">
        <v>0</v>
      </c>
      <c r="X228" s="58">
        <v>16</v>
      </c>
      <c r="Y228" s="55">
        <f t="shared" si="27"/>
        <v>16.2</v>
      </c>
      <c r="Z228" s="41">
        <f>IFERROR(IF(Y228=0,"",ROUNDUP(Y228/H228,0)*0.01898),"")</f>
        <v>3.7960000000000001E-2</v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16.94024691358025</v>
      </c>
      <c r="BN228" s="78">
        <f t="shared" si="29"/>
        <v>17.152000000000001</v>
      </c>
      <c r="BO228" s="78">
        <f t="shared" si="30"/>
        <v>3.0864197530864199E-2</v>
      </c>
      <c r="BP228" s="78">
        <f t="shared" si="31"/>
        <v>3.125E-2</v>
      </c>
    </row>
    <row r="229" spans="1:68" ht="27" customHeight="1" x14ac:dyDescent="0.25">
      <c r="A229" s="63" t="s">
        <v>387</v>
      </c>
      <c r="B229" s="63" t="s">
        <v>388</v>
      </c>
      <c r="C229" s="36">
        <v>4301051656</v>
      </c>
      <c r="D229" s="585">
        <v>4680115880573</v>
      </c>
      <c r="E229" s="585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587"/>
      <c r="R229" s="587"/>
      <c r="S229" s="587"/>
      <c r="T229" s="58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4301051407</v>
      </c>
      <c r="D230" s="585">
        <v>4680115882195</v>
      </c>
      <c r="E230" s="585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587"/>
      <c r="R230" s="587"/>
      <c r="S230" s="587"/>
      <c r="T230" s="588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392</v>
      </c>
      <c r="B231" s="63" t="s">
        <v>393</v>
      </c>
      <c r="C231" s="36">
        <v>4301051752</v>
      </c>
      <c r="D231" s="585">
        <v>4680115882607</v>
      </c>
      <c r="E231" s="585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587"/>
      <c r="R231" s="587"/>
      <c r="S231" s="587"/>
      <c r="T231" s="58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394</v>
      </c>
      <c r="B232" s="63" t="s">
        <v>395</v>
      </c>
      <c r="C232" s="36">
        <v>4301051666</v>
      </c>
      <c r="D232" s="585">
        <v>4680115880092</v>
      </c>
      <c r="E232" s="585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587"/>
      <c r="R232" s="587"/>
      <c r="S232" s="587"/>
      <c r="T232" s="588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396</v>
      </c>
      <c r="B233" s="63" t="s">
        <v>397</v>
      </c>
      <c r="C233" s="36">
        <v>4301051668</v>
      </c>
      <c r="D233" s="585">
        <v>4680115880221</v>
      </c>
      <c r="E233" s="585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587"/>
      <c r="R233" s="587"/>
      <c r="S233" s="587"/>
      <c r="T233" s="58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398</v>
      </c>
      <c r="B234" s="63" t="s">
        <v>399</v>
      </c>
      <c r="C234" s="36">
        <v>4301051945</v>
      </c>
      <c r="D234" s="585">
        <v>4680115880504</v>
      </c>
      <c r="E234" s="585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587"/>
      <c r="R234" s="587"/>
      <c r="S234" s="587"/>
      <c r="T234" s="58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customHeight="1" x14ac:dyDescent="0.25">
      <c r="A235" s="63" t="s">
        <v>401</v>
      </c>
      <c r="B235" s="63" t="s">
        <v>402</v>
      </c>
      <c r="C235" s="36">
        <v>4301051410</v>
      </c>
      <c r="D235" s="585">
        <v>4680115882164</v>
      </c>
      <c r="E235" s="585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587"/>
      <c r="R235" s="587"/>
      <c r="S235" s="587"/>
      <c r="T235" s="58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customHeight="1" x14ac:dyDescent="0.25">
      <c r="A236" s="63" t="s">
        <v>404</v>
      </c>
      <c r="B236" s="63" t="s">
        <v>405</v>
      </c>
      <c r="C236" s="36">
        <v>4301052180</v>
      </c>
      <c r="D236" s="585">
        <v>4680115888340</v>
      </c>
      <c r="E236" s="585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19" t="s">
        <v>406</v>
      </c>
      <c r="Q236" s="587"/>
      <c r="R236" s="587"/>
      <c r="S236" s="587"/>
      <c r="T236" s="58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579"/>
      <c r="B237" s="579"/>
      <c r="C237" s="579"/>
      <c r="D237" s="579"/>
      <c r="E237" s="579"/>
      <c r="F237" s="579"/>
      <c r="G237" s="579"/>
      <c r="H237" s="579"/>
      <c r="I237" s="579"/>
      <c r="J237" s="579"/>
      <c r="K237" s="579"/>
      <c r="L237" s="579"/>
      <c r="M237" s="579"/>
      <c r="N237" s="579"/>
      <c r="O237" s="580"/>
      <c r="P237" s="576" t="s">
        <v>40</v>
      </c>
      <c r="Q237" s="577"/>
      <c r="R237" s="577"/>
      <c r="S237" s="577"/>
      <c r="T237" s="577"/>
      <c r="U237" s="577"/>
      <c r="V237" s="578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1.9753086419753088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2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3.7960000000000001E-2</v>
      </c>
      <c r="AA237" s="67"/>
      <c r="AB237" s="67"/>
      <c r="AC237" s="67"/>
    </row>
    <row r="238" spans="1:68" x14ac:dyDescent="0.2">
      <c r="A238" s="579"/>
      <c r="B238" s="579"/>
      <c r="C238" s="579"/>
      <c r="D238" s="579"/>
      <c r="E238" s="579"/>
      <c r="F238" s="579"/>
      <c r="G238" s="579"/>
      <c r="H238" s="579"/>
      <c r="I238" s="579"/>
      <c r="J238" s="579"/>
      <c r="K238" s="579"/>
      <c r="L238" s="579"/>
      <c r="M238" s="579"/>
      <c r="N238" s="579"/>
      <c r="O238" s="580"/>
      <c r="P238" s="576" t="s">
        <v>40</v>
      </c>
      <c r="Q238" s="577"/>
      <c r="R238" s="577"/>
      <c r="S238" s="577"/>
      <c r="T238" s="577"/>
      <c r="U238" s="577"/>
      <c r="V238" s="578"/>
      <c r="W238" s="42" t="s">
        <v>0</v>
      </c>
      <c r="X238" s="43">
        <f>IFERROR(SUM(X227:X236),"0")</f>
        <v>16</v>
      </c>
      <c r="Y238" s="43">
        <f>IFERROR(SUM(Y227:Y236),"0")</f>
        <v>16.2</v>
      </c>
      <c r="Z238" s="42"/>
      <c r="AA238" s="67"/>
      <c r="AB238" s="67"/>
      <c r="AC238" s="67"/>
    </row>
    <row r="239" spans="1:68" ht="14.25" customHeight="1" x14ac:dyDescent="0.25">
      <c r="A239" s="590" t="s">
        <v>176</v>
      </c>
      <c r="B239" s="590"/>
      <c r="C239" s="590"/>
      <c r="D239" s="590"/>
      <c r="E239" s="590"/>
      <c r="F239" s="590"/>
      <c r="G239" s="590"/>
      <c r="H239" s="590"/>
      <c r="I239" s="590"/>
      <c r="J239" s="590"/>
      <c r="K239" s="590"/>
      <c r="L239" s="590"/>
      <c r="M239" s="590"/>
      <c r="N239" s="590"/>
      <c r="O239" s="590"/>
      <c r="P239" s="590"/>
      <c r="Q239" s="590"/>
      <c r="R239" s="590"/>
      <c r="S239" s="590"/>
      <c r="T239" s="590"/>
      <c r="U239" s="590"/>
      <c r="V239" s="590"/>
      <c r="W239" s="590"/>
      <c r="X239" s="590"/>
      <c r="Y239" s="590"/>
      <c r="Z239" s="590"/>
      <c r="AA239" s="66"/>
      <c r="AB239" s="66"/>
      <c r="AC239" s="80"/>
    </row>
    <row r="240" spans="1:68" ht="27" customHeight="1" x14ac:dyDescent="0.25">
      <c r="A240" s="63" t="s">
        <v>408</v>
      </c>
      <c r="B240" s="63" t="s">
        <v>409</v>
      </c>
      <c r="C240" s="36">
        <v>4301060463</v>
      </c>
      <c r="D240" s="585">
        <v>4680115880818</v>
      </c>
      <c r="E240" s="585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2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587"/>
      <c r="R240" s="587"/>
      <c r="S240" s="587"/>
      <c r="T240" s="58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customHeight="1" x14ac:dyDescent="0.25">
      <c r="A241" s="63" t="s">
        <v>411</v>
      </c>
      <c r="B241" s="63" t="s">
        <v>412</v>
      </c>
      <c r="C241" s="36">
        <v>4301060389</v>
      </c>
      <c r="D241" s="585">
        <v>4680115880801</v>
      </c>
      <c r="E241" s="585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587"/>
      <c r="R241" s="587"/>
      <c r="S241" s="587"/>
      <c r="T241" s="58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579"/>
      <c r="B242" s="579"/>
      <c r="C242" s="579"/>
      <c r="D242" s="579"/>
      <c r="E242" s="579"/>
      <c r="F242" s="579"/>
      <c r="G242" s="579"/>
      <c r="H242" s="579"/>
      <c r="I242" s="579"/>
      <c r="J242" s="579"/>
      <c r="K242" s="579"/>
      <c r="L242" s="579"/>
      <c r="M242" s="579"/>
      <c r="N242" s="579"/>
      <c r="O242" s="580"/>
      <c r="P242" s="576" t="s">
        <v>40</v>
      </c>
      <c r="Q242" s="577"/>
      <c r="R242" s="577"/>
      <c r="S242" s="577"/>
      <c r="T242" s="577"/>
      <c r="U242" s="577"/>
      <c r="V242" s="578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579"/>
      <c r="B243" s="579"/>
      <c r="C243" s="579"/>
      <c r="D243" s="579"/>
      <c r="E243" s="579"/>
      <c r="F243" s="579"/>
      <c r="G243" s="579"/>
      <c r="H243" s="579"/>
      <c r="I243" s="579"/>
      <c r="J243" s="579"/>
      <c r="K243" s="579"/>
      <c r="L243" s="579"/>
      <c r="M243" s="579"/>
      <c r="N243" s="579"/>
      <c r="O243" s="580"/>
      <c r="P243" s="576" t="s">
        <v>40</v>
      </c>
      <c r="Q243" s="577"/>
      <c r="R243" s="577"/>
      <c r="S243" s="577"/>
      <c r="T243" s="577"/>
      <c r="U243" s="577"/>
      <c r="V243" s="578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customHeight="1" x14ac:dyDescent="0.25">
      <c r="A244" s="589" t="s">
        <v>414</v>
      </c>
      <c r="B244" s="589"/>
      <c r="C244" s="589"/>
      <c r="D244" s="589"/>
      <c r="E244" s="589"/>
      <c r="F244" s="589"/>
      <c r="G244" s="589"/>
      <c r="H244" s="589"/>
      <c r="I244" s="589"/>
      <c r="J244" s="589"/>
      <c r="K244" s="589"/>
      <c r="L244" s="589"/>
      <c r="M244" s="589"/>
      <c r="N244" s="589"/>
      <c r="O244" s="589"/>
      <c r="P244" s="589"/>
      <c r="Q244" s="589"/>
      <c r="R244" s="589"/>
      <c r="S244" s="589"/>
      <c r="T244" s="589"/>
      <c r="U244" s="589"/>
      <c r="V244" s="589"/>
      <c r="W244" s="589"/>
      <c r="X244" s="589"/>
      <c r="Y244" s="589"/>
      <c r="Z244" s="589"/>
      <c r="AA244" s="65"/>
      <c r="AB244" s="65"/>
      <c r="AC244" s="79"/>
    </row>
    <row r="245" spans="1:68" ht="14.25" customHeight="1" x14ac:dyDescent="0.25">
      <c r="A245" s="590" t="s">
        <v>122</v>
      </c>
      <c r="B245" s="590"/>
      <c r="C245" s="590"/>
      <c r="D245" s="590"/>
      <c r="E245" s="590"/>
      <c r="F245" s="590"/>
      <c r="G245" s="590"/>
      <c r="H245" s="590"/>
      <c r="I245" s="590"/>
      <c r="J245" s="590"/>
      <c r="K245" s="590"/>
      <c r="L245" s="590"/>
      <c r="M245" s="590"/>
      <c r="N245" s="590"/>
      <c r="O245" s="590"/>
      <c r="P245" s="590"/>
      <c r="Q245" s="590"/>
      <c r="R245" s="590"/>
      <c r="S245" s="590"/>
      <c r="T245" s="590"/>
      <c r="U245" s="590"/>
      <c r="V245" s="590"/>
      <c r="W245" s="590"/>
      <c r="X245" s="590"/>
      <c r="Y245" s="590"/>
      <c r="Z245" s="590"/>
      <c r="AA245" s="66"/>
      <c r="AB245" s="66"/>
      <c r="AC245" s="80"/>
    </row>
    <row r="246" spans="1:68" ht="27" customHeight="1" x14ac:dyDescent="0.25">
      <c r="A246" s="63" t="s">
        <v>415</v>
      </c>
      <c r="B246" s="63" t="s">
        <v>416</v>
      </c>
      <c r="C246" s="36">
        <v>4301011826</v>
      </c>
      <c r="D246" s="585">
        <v>4680115884137</v>
      </c>
      <c r="E246" s="585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587"/>
      <c r="R246" s="587"/>
      <c r="S246" s="587"/>
      <c r="T246" s="58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customHeight="1" x14ac:dyDescent="0.25">
      <c r="A247" s="63" t="s">
        <v>418</v>
      </c>
      <c r="B247" s="63" t="s">
        <v>419</v>
      </c>
      <c r="C247" s="36">
        <v>4301011724</v>
      </c>
      <c r="D247" s="585">
        <v>4680115884236</v>
      </c>
      <c r="E247" s="585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587"/>
      <c r="R247" s="587"/>
      <c r="S247" s="587"/>
      <c r="T247" s="58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customHeight="1" x14ac:dyDescent="0.25">
      <c r="A248" s="63" t="s">
        <v>421</v>
      </c>
      <c r="B248" s="63" t="s">
        <v>422</v>
      </c>
      <c r="C248" s="36">
        <v>4301011721</v>
      </c>
      <c r="D248" s="585">
        <v>4680115884175</v>
      </c>
      <c r="E248" s="585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1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587"/>
      <c r="R248" s="587"/>
      <c r="S248" s="587"/>
      <c r="T248" s="588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customHeight="1" x14ac:dyDescent="0.25">
      <c r="A249" s="63" t="s">
        <v>424</v>
      </c>
      <c r="B249" s="63" t="s">
        <v>425</v>
      </c>
      <c r="C249" s="36">
        <v>4301011824</v>
      </c>
      <c r="D249" s="585">
        <v>4680115884144</v>
      </c>
      <c r="E249" s="585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587"/>
      <c r="R249" s="587"/>
      <c r="S249" s="587"/>
      <c r="T249" s="588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customHeight="1" x14ac:dyDescent="0.25">
      <c r="A250" s="63" t="s">
        <v>426</v>
      </c>
      <c r="B250" s="63" t="s">
        <v>427</v>
      </c>
      <c r="C250" s="36">
        <v>4301012149</v>
      </c>
      <c r="D250" s="585">
        <v>4680115886551</v>
      </c>
      <c r="E250" s="585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587"/>
      <c r="R250" s="587"/>
      <c r="S250" s="587"/>
      <c r="T250" s="588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customHeight="1" x14ac:dyDescent="0.25">
      <c r="A251" s="63" t="s">
        <v>429</v>
      </c>
      <c r="B251" s="63" t="s">
        <v>430</v>
      </c>
      <c r="C251" s="36">
        <v>4301012228</v>
      </c>
      <c r="D251" s="585">
        <v>4680115887282</v>
      </c>
      <c r="E251" s="585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1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587"/>
      <c r="R251" s="587"/>
      <c r="S251" s="587"/>
      <c r="T251" s="588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customHeight="1" x14ac:dyDescent="0.25">
      <c r="A252" s="63" t="s">
        <v>432</v>
      </c>
      <c r="B252" s="63" t="s">
        <v>433</v>
      </c>
      <c r="C252" s="36">
        <v>4301011722</v>
      </c>
      <c r="D252" s="585">
        <v>4680115884205</v>
      </c>
      <c r="E252" s="585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587"/>
      <c r="R252" s="587"/>
      <c r="S252" s="587"/>
      <c r="T252" s="588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x14ac:dyDescent="0.2">
      <c r="A253" s="579"/>
      <c r="B253" s="579"/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79"/>
      <c r="O253" s="580"/>
      <c r="P253" s="576" t="s">
        <v>40</v>
      </c>
      <c r="Q253" s="577"/>
      <c r="R253" s="577"/>
      <c r="S253" s="577"/>
      <c r="T253" s="577"/>
      <c r="U253" s="577"/>
      <c r="V253" s="578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579"/>
      <c r="B254" s="579"/>
      <c r="C254" s="579"/>
      <c r="D254" s="579"/>
      <c r="E254" s="579"/>
      <c r="F254" s="579"/>
      <c r="G254" s="579"/>
      <c r="H254" s="579"/>
      <c r="I254" s="579"/>
      <c r="J254" s="579"/>
      <c r="K254" s="579"/>
      <c r="L254" s="579"/>
      <c r="M254" s="579"/>
      <c r="N254" s="579"/>
      <c r="O254" s="580"/>
      <c r="P254" s="576" t="s">
        <v>40</v>
      </c>
      <c r="Q254" s="577"/>
      <c r="R254" s="577"/>
      <c r="S254" s="577"/>
      <c r="T254" s="577"/>
      <c r="U254" s="577"/>
      <c r="V254" s="578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590" t="s">
        <v>156</v>
      </c>
      <c r="B255" s="590"/>
      <c r="C255" s="590"/>
      <c r="D255" s="590"/>
      <c r="E255" s="590"/>
      <c r="F255" s="590"/>
      <c r="G255" s="590"/>
      <c r="H255" s="590"/>
      <c r="I255" s="590"/>
      <c r="J255" s="590"/>
      <c r="K255" s="590"/>
      <c r="L255" s="590"/>
      <c r="M255" s="590"/>
      <c r="N255" s="590"/>
      <c r="O255" s="590"/>
      <c r="P255" s="590"/>
      <c r="Q255" s="590"/>
      <c r="R255" s="590"/>
      <c r="S255" s="590"/>
      <c r="T255" s="590"/>
      <c r="U255" s="590"/>
      <c r="V255" s="590"/>
      <c r="W255" s="590"/>
      <c r="X255" s="590"/>
      <c r="Y255" s="590"/>
      <c r="Z255" s="590"/>
      <c r="AA255" s="66"/>
      <c r="AB255" s="66"/>
      <c r="AC255" s="80"/>
    </row>
    <row r="256" spans="1:68" ht="27" customHeight="1" x14ac:dyDescent="0.25">
      <c r="A256" s="63" t="s">
        <v>434</v>
      </c>
      <c r="B256" s="63" t="s">
        <v>435</v>
      </c>
      <c r="C256" s="36">
        <v>4301020377</v>
      </c>
      <c r="D256" s="585">
        <v>4680115885981</v>
      </c>
      <c r="E256" s="585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587"/>
      <c r="R256" s="587"/>
      <c r="S256" s="587"/>
      <c r="T256" s="58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579"/>
      <c r="B257" s="579"/>
      <c r="C257" s="579"/>
      <c r="D257" s="579"/>
      <c r="E257" s="579"/>
      <c r="F257" s="579"/>
      <c r="G257" s="579"/>
      <c r="H257" s="579"/>
      <c r="I257" s="579"/>
      <c r="J257" s="579"/>
      <c r="K257" s="579"/>
      <c r="L257" s="579"/>
      <c r="M257" s="579"/>
      <c r="N257" s="579"/>
      <c r="O257" s="580"/>
      <c r="P257" s="576" t="s">
        <v>40</v>
      </c>
      <c r="Q257" s="577"/>
      <c r="R257" s="577"/>
      <c r="S257" s="577"/>
      <c r="T257" s="577"/>
      <c r="U257" s="577"/>
      <c r="V257" s="578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579"/>
      <c r="B258" s="579"/>
      <c r="C258" s="579"/>
      <c r="D258" s="579"/>
      <c r="E258" s="579"/>
      <c r="F258" s="579"/>
      <c r="G258" s="579"/>
      <c r="H258" s="579"/>
      <c r="I258" s="579"/>
      <c r="J258" s="579"/>
      <c r="K258" s="579"/>
      <c r="L258" s="579"/>
      <c r="M258" s="579"/>
      <c r="N258" s="579"/>
      <c r="O258" s="580"/>
      <c r="P258" s="576" t="s">
        <v>40</v>
      </c>
      <c r="Q258" s="577"/>
      <c r="R258" s="577"/>
      <c r="S258" s="577"/>
      <c r="T258" s="577"/>
      <c r="U258" s="577"/>
      <c r="V258" s="578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customHeight="1" x14ac:dyDescent="0.25">
      <c r="A259" s="590" t="s">
        <v>437</v>
      </c>
      <c r="B259" s="590"/>
      <c r="C259" s="590"/>
      <c r="D259" s="590"/>
      <c r="E259" s="590"/>
      <c r="F259" s="590"/>
      <c r="G259" s="590"/>
      <c r="H259" s="590"/>
      <c r="I259" s="590"/>
      <c r="J259" s="590"/>
      <c r="K259" s="590"/>
      <c r="L259" s="590"/>
      <c r="M259" s="590"/>
      <c r="N259" s="590"/>
      <c r="O259" s="590"/>
      <c r="P259" s="590"/>
      <c r="Q259" s="590"/>
      <c r="R259" s="590"/>
      <c r="S259" s="590"/>
      <c r="T259" s="590"/>
      <c r="U259" s="590"/>
      <c r="V259" s="590"/>
      <c r="W259" s="590"/>
      <c r="X259" s="590"/>
      <c r="Y259" s="590"/>
      <c r="Z259" s="590"/>
      <c r="AA259" s="66"/>
      <c r="AB259" s="66"/>
      <c r="AC259" s="80"/>
    </row>
    <row r="260" spans="1:68" ht="27" customHeight="1" x14ac:dyDescent="0.25">
      <c r="A260" s="63" t="s">
        <v>438</v>
      </c>
      <c r="B260" s="63" t="s">
        <v>439</v>
      </c>
      <c r="C260" s="36">
        <v>4301040362</v>
      </c>
      <c r="D260" s="585">
        <v>4680115886803</v>
      </c>
      <c r="E260" s="585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587"/>
      <c r="R260" s="587"/>
      <c r="S260" s="587"/>
      <c r="T260" s="58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579"/>
      <c r="B261" s="579"/>
      <c r="C261" s="579"/>
      <c r="D261" s="579"/>
      <c r="E261" s="579"/>
      <c r="F261" s="579"/>
      <c r="G261" s="579"/>
      <c r="H261" s="579"/>
      <c r="I261" s="579"/>
      <c r="J261" s="579"/>
      <c r="K261" s="579"/>
      <c r="L261" s="579"/>
      <c r="M261" s="579"/>
      <c r="N261" s="579"/>
      <c r="O261" s="580"/>
      <c r="P261" s="576" t="s">
        <v>40</v>
      </c>
      <c r="Q261" s="577"/>
      <c r="R261" s="577"/>
      <c r="S261" s="577"/>
      <c r="T261" s="577"/>
      <c r="U261" s="577"/>
      <c r="V261" s="578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579"/>
      <c r="B262" s="579"/>
      <c r="C262" s="579"/>
      <c r="D262" s="579"/>
      <c r="E262" s="579"/>
      <c r="F262" s="579"/>
      <c r="G262" s="579"/>
      <c r="H262" s="579"/>
      <c r="I262" s="579"/>
      <c r="J262" s="579"/>
      <c r="K262" s="579"/>
      <c r="L262" s="579"/>
      <c r="M262" s="579"/>
      <c r="N262" s="579"/>
      <c r="O262" s="580"/>
      <c r="P262" s="576" t="s">
        <v>40</v>
      </c>
      <c r="Q262" s="577"/>
      <c r="R262" s="577"/>
      <c r="S262" s="577"/>
      <c r="T262" s="577"/>
      <c r="U262" s="577"/>
      <c r="V262" s="578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customHeight="1" x14ac:dyDescent="0.25">
      <c r="A263" s="590" t="s">
        <v>441</v>
      </c>
      <c r="B263" s="590"/>
      <c r="C263" s="590"/>
      <c r="D263" s="590"/>
      <c r="E263" s="590"/>
      <c r="F263" s="590"/>
      <c r="G263" s="590"/>
      <c r="H263" s="590"/>
      <c r="I263" s="590"/>
      <c r="J263" s="590"/>
      <c r="K263" s="590"/>
      <c r="L263" s="590"/>
      <c r="M263" s="590"/>
      <c r="N263" s="590"/>
      <c r="O263" s="590"/>
      <c r="P263" s="590"/>
      <c r="Q263" s="590"/>
      <c r="R263" s="590"/>
      <c r="S263" s="590"/>
      <c r="T263" s="590"/>
      <c r="U263" s="590"/>
      <c r="V263" s="590"/>
      <c r="W263" s="590"/>
      <c r="X263" s="590"/>
      <c r="Y263" s="590"/>
      <c r="Z263" s="590"/>
      <c r="AA263" s="66"/>
      <c r="AB263" s="66"/>
      <c r="AC263" s="80"/>
    </row>
    <row r="264" spans="1:68" ht="27" customHeight="1" x14ac:dyDescent="0.25">
      <c r="A264" s="63" t="s">
        <v>442</v>
      </c>
      <c r="B264" s="63" t="s">
        <v>443</v>
      </c>
      <c r="C264" s="36">
        <v>4301041004</v>
      </c>
      <c r="D264" s="585">
        <v>4680115886704</v>
      </c>
      <c r="E264" s="585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587"/>
      <c r="R264" s="587"/>
      <c r="S264" s="587"/>
      <c r="T264" s="588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445</v>
      </c>
      <c r="B265" s="63" t="s">
        <v>446</v>
      </c>
      <c r="C265" s="36">
        <v>4301041008</v>
      </c>
      <c r="D265" s="585">
        <v>4680115886681</v>
      </c>
      <c r="E265" s="585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587"/>
      <c r="R265" s="587"/>
      <c r="S265" s="587"/>
      <c r="T265" s="588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4301041007</v>
      </c>
      <c r="D266" s="585">
        <v>4680115886735</v>
      </c>
      <c r="E266" s="585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0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587"/>
      <c r="R266" s="587"/>
      <c r="S266" s="587"/>
      <c r="T266" s="588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4301041006</v>
      </c>
      <c r="D267" s="585">
        <v>4680115886728</v>
      </c>
      <c r="E267" s="585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0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587"/>
      <c r="R267" s="587"/>
      <c r="S267" s="587"/>
      <c r="T267" s="58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451</v>
      </c>
      <c r="B268" s="63" t="s">
        <v>452</v>
      </c>
      <c r="C268" s="36">
        <v>4301041005</v>
      </c>
      <c r="D268" s="585">
        <v>4680115886711</v>
      </c>
      <c r="E268" s="585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0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587"/>
      <c r="R268" s="587"/>
      <c r="S268" s="587"/>
      <c r="T268" s="58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579"/>
      <c r="B269" s="579"/>
      <c r="C269" s="579"/>
      <c r="D269" s="579"/>
      <c r="E269" s="579"/>
      <c r="F269" s="579"/>
      <c r="G269" s="579"/>
      <c r="H269" s="579"/>
      <c r="I269" s="579"/>
      <c r="J269" s="579"/>
      <c r="K269" s="579"/>
      <c r="L269" s="579"/>
      <c r="M269" s="579"/>
      <c r="N269" s="579"/>
      <c r="O269" s="580"/>
      <c r="P269" s="576" t="s">
        <v>40</v>
      </c>
      <c r="Q269" s="577"/>
      <c r="R269" s="577"/>
      <c r="S269" s="577"/>
      <c r="T269" s="577"/>
      <c r="U269" s="577"/>
      <c r="V269" s="578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579"/>
      <c r="B270" s="579"/>
      <c r="C270" s="579"/>
      <c r="D270" s="579"/>
      <c r="E270" s="579"/>
      <c r="F270" s="579"/>
      <c r="G270" s="579"/>
      <c r="H270" s="579"/>
      <c r="I270" s="579"/>
      <c r="J270" s="579"/>
      <c r="K270" s="579"/>
      <c r="L270" s="579"/>
      <c r="M270" s="579"/>
      <c r="N270" s="579"/>
      <c r="O270" s="580"/>
      <c r="P270" s="576" t="s">
        <v>40</v>
      </c>
      <c r="Q270" s="577"/>
      <c r="R270" s="577"/>
      <c r="S270" s="577"/>
      <c r="T270" s="577"/>
      <c r="U270" s="577"/>
      <c r="V270" s="578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customHeight="1" x14ac:dyDescent="0.25">
      <c r="A271" s="589" t="s">
        <v>453</v>
      </c>
      <c r="B271" s="589"/>
      <c r="C271" s="589"/>
      <c r="D271" s="589"/>
      <c r="E271" s="589"/>
      <c r="F271" s="589"/>
      <c r="G271" s="589"/>
      <c r="H271" s="589"/>
      <c r="I271" s="589"/>
      <c r="J271" s="589"/>
      <c r="K271" s="589"/>
      <c r="L271" s="589"/>
      <c r="M271" s="589"/>
      <c r="N271" s="589"/>
      <c r="O271" s="589"/>
      <c r="P271" s="589"/>
      <c r="Q271" s="589"/>
      <c r="R271" s="589"/>
      <c r="S271" s="589"/>
      <c r="T271" s="589"/>
      <c r="U271" s="589"/>
      <c r="V271" s="589"/>
      <c r="W271" s="589"/>
      <c r="X271" s="589"/>
      <c r="Y271" s="589"/>
      <c r="Z271" s="589"/>
      <c r="AA271" s="65"/>
      <c r="AB271" s="65"/>
      <c r="AC271" s="79"/>
    </row>
    <row r="272" spans="1:68" ht="14.25" customHeight="1" x14ac:dyDescent="0.25">
      <c r="A272" s="590" t="s">
        <v>122</v>
      </c>
      <c r="B272" s="590"/>
      <c r="C272" s="590"/>
      <c r="D272" s="590"/>
      <c r="E272" s="590"/>
      <c r="F272" s="590"/>
      <c r="G272" s="590"/>
      <c r="H272" s="590"/>
      <c r="I272" s="590"/>
      <c r="J272" s="590"/>
      <c r="K272" s="590"/>
      <c r="L272" s="590"/>
      <c r="M272" s="590"/>
      <c r="N272" s="590"/>
      <c r="O272" s="590"/>
      <c r="P272" s="590"/>
      <c r="Q272" s="590"/>
      <c r="R272" s="590"/>
      <c r="S272" s="590"/>
      <c r="T272" s="590"/>
      <c r="U272" s="590"/>
      <c r="V272" s="590"/>
      <c r="W272" s="590"/>
      <c r="X272" s="590"/>
      <c r="Y272" s="590"/>
      <c r="Z272" s="590"/>
      <c r="AA272" s="66"/>
      <c r="AB272" s="66"/>
      <c r="AC272" s="80"/>
    </row>
    <row r="273" spans="1:68" ht="27" customHeight="1" x14ac:dyDescent="0.25">
      <c r="A273" s="63" t="s">
        <v>454</v>
      </c>
      <c r="B273" s="63" t="s">
        <v>455</v>
      </c>
      <c r="C273" s="36">
        <v>4301011855</v>
      </c>
      <c r="D273" s="585">
        <v>4680115885837</v>
      </c>
      <c r="E273" s="58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587"/>
      <c r="R273" s="587"/>
      <c r="S273" s="587"/>
      <c r="T273" s="588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457</v>
      </c>
      <c r="B274" s="63" t="s">
        <v>458</v>
      </c>
      <c r="C274" s="36">
        <v>4301012234</v>
      </c>
      <c r="D274" s="585">
        <v>4680115887237</v>
      </c>
      <c r="E274" s="585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587"/>
      <c r="R274" s="587"/>
      <c r="S274" s="587"/>
      <c r="T274" s="588"/>
      <c r="U274" s="39" t="s">
        <v>46</v>
      </c>
      <c r="V274" s="39" t="s">
        <v>46</v>
      </c>
      <c r="W274" s="40" t="s">
        <v>0</v>
      </c>
      <c r="X274" s="58">
        <v>10</v>
      </c>
      <c r="Y274" s="55">
        <f>IFERROR(IF(X274="",0,CEILING((X274/$H274),1)*$H274),"")</f>
        <v>10.8</v>
      </c>
      <c r="Z274" s="41">
        <f>IFERROR(IF(Y274=0,"",ROUNDUP(Y274/H274,0)*0.01898),"")</f>
        <v>1.898E-2</v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10.37962962962963</v>
      </c>
      <c r="BN274" s="78">
        <f>IFERROR(Y274*I274/H274,"0")</f>
        <v>11.21</v>
      </c>
      <c r="BO274" s="78">
        <f>IFERROR(1/J274*(X274/H274),"0")</f>
        <v>1.4467592592592591E-2</v>
      </c>
      <c r="BP274" s="78">
        <f>IFERROR(1/J274*(Y274/H274),"0")</f>
        <v>1.5625E-2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585">
        <v>4680115885806</v>
      </c>
      <c r="E275" s="585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587"/>
      <c r="R275" s="587"/>
      <c r="S275" s="587"/>
      <c r="T275" s="588"/>
      <c r="U275" s="39" t="s">
        <v>46</v>
      </c>
      <c r="V275" s="39" t="s">
        <v>46</v>
      </c>
      <c r="W275" s="40" t="s">
        <v>0</v>
      </c>
      <c r="X275" s="58">
        <v>50</v>
      </c>
      <c r="Y275" s="55">
        <f>IFERROR(IF(X275="",0,CEILING((X275/$H275),1)*$H275),"")</f>
        <v>54</v>
      </c>
      <c r="Z275" s="41">
        <f>IFERROR(IF(Y275=0,"",ROUNDUP(Y275/H275,0)*0.01898),"")</f>
        <v>9.4899999999999998E-2</v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51.898148148148145</v>
      </c>
      <c r="BN275" s="78">
        <f>IFERROR(Y275*I275/H275,"0")</f>
        <v>56.05</v>
      </c>
      <c r="BO275" s="78">
        <f>IFERROR(1/J275*(X275/H275),"0")</f>
        <v>7.2337962962962965E-2</v>
      </c>
      <c r="BP275" s="78">
        <f>IFERROR(1/J275*(Y275/H275),"0")</f>
        <v>7.8125E-2</v>
      </c>
    </row>
    <row r="276" spans="1:68" ht="27" customHeight="1" x14ac:dyDescent="0.25">
      <c r="A276" s="63" t="s">
        <v>463</v>
      </c>
      <c r="B276" s="63" t="s">
        <v>464</v>
      </c>
      <c r="C276" s="36">
        <v>4301011852</v>
      </c>
      <c r="D276" s="585">
        <v>4680115885844</v>
      </c>
      <c r="E276" s="585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587"/>
      <c r="R276" s="587"/>
      <c r="S276" s="587"/>
      <c r="T276" s="588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customHeight="1" x14ac:dyDescent="0.25">
      <c r="A277" s="63" t="s">
        <v>466</v>
      </c>
      <c r="B277" s="63" t="s">
        <v>467</v>
      </c>
      <c r="C277" s="36">
        <v>4301011851</v>
      </c>
      <c r="D277" s="585">
        <v>4680115885820</v>
      </c>
      <c r="E277" s="585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6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587"/>
      <c r="R277" s="587"/>
      <c r="S277" s="587"/>
      <c r="T277" s="588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579"/>
      <c r="B278" s="579"/>
      <c r="C278" s="579"/>
      <c r="D278" s="579"/>
      <c r="E278" s="579"/>
      <c r="F278" s="579"/>
      <c r="G278" s="579"/>
      <c r="H278" s="579"/>
      <c r="I278" s="579"/>
      <c r="J278" s="579"/>
      <c r="K278" s="579"/>
      <c r="L278" s="579"/>
      <c r="M278" s="579"/>
      <c r="N278" s="579"/>
      <c r="O278" s="580"/>
      <c r="P278" s="576" t="s">
        <v>40</v>
      </c>
      <c r="Q278" s="577"/>
      <c r="R278" s="577"/>
      <c r="S278" s="577"/>
      <c r="T278" s="577"/>
      <c r="U278" s="577"/>
      <c r="V278" s="578"/>
      <c r="W278" s="42" t="s">
        <v>39</v>
      </c>
      <c r="X278" s="43">
        <f>IFERROR(X273/H273,"0")+IFERROR(X274/H274,"0")+IFERROR(X275/H275,"0")+IFERROR(X276/H276,"0")+IFERROR(X277/H277,"0")</f>
        <v>5.5555555555555554</v>
      </c>
      <c r="Y278" s="43">
        <f>IFERROR(Y273/H273,"0")+IFERROR(Y274/H274,"0")+IFERROR(Y275/H275,"0")+IFERROR(Y276/H276,"0")+IFERROR(Y277/H277,"0")</f>
        <v>6</v>
      </c>
      <c r="Z278" s="43">
        <f>IFERROR(IF(Z273="",0,Z273),"0")+IFERROR(IF(Z274="",0,Z274),"0")+IFERROR(IF(Z275="",0,Z275),"0")+IFERROR(IF(Z276="",0,Z276),"0")+IFERROR(IF(Z277="",0,Z277),"0")</f>
        <v>0.11388</v>
      </c>
      <c r="AA278" s="67"/>
      <c r="AB278" s="67"/>
      <c r="AC278" s="67"/>
    </row>
    <row r="279" spans="1:68" x14ac:dyDescent="0.2">
      <c r="A279" s="579"/>
      <c r="B279" s="579"/>
      <c r="C279" s="579"/>
      <c r="D279" s="579"/>
      <c r="E279" s="579"/>
      <c r="F279" s="579"/>
      <c r="G279" s="579"/>
      <c r="H279" s="579"/>
      <c r="I279" s="579"/>
      <c r="J279" s="579"/>
      <c r="K279" s="579"/>
      <c r="L279" s="579"/>
      <c r="M279" s="579"/>
      <c r="N279" s="579"/>
      <c r="O279" s="580"/>
      <c r="P279" s="576" t="s">
        <v>40</v>
      </c>
      <c r="Q279" s="577"/>
      <c r="R279" s="577"/>
      <c r="S279" s="577"/>
      <c r="T279" s="577"/>
      <c r="U279" s="577"/>
      <c r="V279" s="578"/>
      <c r="W279" s="42" t="s">
        <v>0</v>
      </c>
      <c r="X279" s="43">
        <f>IFERROR(SUM(X273:X277),"0")</f>
        <v>60</v>
      </c>
      <c r="Y279" s="43">
        <f>IFERROR(SUM(Y273:Y277),"0")</f>
        <v>64.8</v>
      </c>
      <c r="Z279" s="42"/>
      <c r="AA279" s="67"/>
      <c r="AB279" s="67"/>
      <c r="AC279" s="67"/>
    </row>
    <row r="280" spans="1:68" ht="16.5" customHeight="1" x14ac:dyDescent="0.25">
      <c r="A280" s="589" t="s">
        <v>469</v>
      </c>
      <c r="B280" s="589"/>
      <c r="C280" s="589"/>
      <c r="D280" s="589"/>
      <c r="E280" s="589"/>
      <c r="F280" s="589"/>
      <c r="G280" s="589"/>
      <c r="H280" s="589"/>
      <c r="I280" s="589"/>
      <c r="J280" s="589"/>
      <c r="K280" s="589"/>
      <c r="L280" s="589"/>
      <c r="M280" s="589"/>
      <c r="N280" s="589"/>
      <c r="O280" s="589"/>
      <c r="P280" s="589"/>
      <c r="Q280" s="589"/>
      <c r="R280" s="589"/>
      <c r="S280" s="589"/>
      <c r="T280" s="589"/>
      <c r="U280" s="589"/>
      <c r="V280" s="589"/>
      <c r="W280" s="589"/>
      <c r="X280" s="589"/>
      <c r="Y280" s="589"/>
      <c r="Z280" s="589"/>
      <c r="AA280" s="65"/>
      <c r="AB280" s="65"/>
      <c r="AC280" s="79"/>
    </row>
    <row r="281" spans="1:68" ht="14.25" customHeight="1" x14ac:dyDescent="0.25">
      <c r="A281" s="590" t="s">
        <v>122</v>
      </c>
      <c r="B281" s="590"/>
      <c r="C281" s="590"/>
      <c r="D281" s="590"/>
      <c r="E281" s="590"/>
      <c r="F281" s="590"/>
      <c r="G281" s="590"/>
      <c r="H281" s="590"/>
      <c r="I281" s="590"/>
      <c r="J281" s="590"/>
      <c r="K281" s="590"/>
      <c r="L281" s="590"/>
      <c r="M281" s="590"/>
      <c r="N281" s="590"/>
      <c r="O281" s="590"/>
      <c r="P281" s="590"/>
      <c r="Q281" s="590"/>
      <c r="R281" s="590"/>
      <c r="S281" s="590"/>
      <c r="T281" s="590"/>
      <c r="U281" s="590"/>
      <c r="V281" s="590"/>
      <c r="W281" s="590"/>
      <c r="X281" s="590"/>
      <c r="Y281" s="590"/>
      <c r="Z281" s="590"/>
      <c r="AA281" s="66"/>
      <c r="AB281" s="66"/>
      <c r="AC281" s="80"/>
    </row>
    <row r="282" spans="1:68" ht="27" customHeight="1" x14ac:dyDescent="0.25">
      <c r="A282" s="63" t="s">
        <v>470</v>
      </c>
      <c r="B282" s="63" t="s">
        <v>471</v>
      </c>
      <c r="C282" s="36">
        <v>4301011223</v>
      </c>
      <c r="D282" s="585">
        <v>4607091383423</v>
      </c>
      <c r="E282" s="585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0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587"/>
      <c r="R282" s="587"/>
      <c r="S282" s="587"/>
      <c r="T282" s="588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customHeight="1" x14ac:dyDescent="0.25">
      <c r="A283" s="63" t="s">
        <v>472</v>
      </c>
      <c r="B283" s="63" t="s">
        <v>473</v>
      </c>
      <c r="C283" s="36">
        <v>4301012199</v>
      </c>
      <c r="D283" s="585">
        <v>4680115886957</v>
      </c>
      <c r="E283" s="585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6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587"/>
      <c r="R283" s="587"/>
      <c r="S283" s="587"/>
      <c r="T283" s="588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475</v>
      </c>
      <c r="B284" s="63" t="s">
        <v>476</v>
      </c>
      <c r="C284" s="36">
        <v>4301012098</v>
      </c>
      <c r="D284" s="585">
        <v>4680115885660</v>
      </c>
      <c r="E284" s="585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6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587"/>
      <c r="R284" s="587"/>
      <c r="S284" s="587"/>
      <c r="T284" s="588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477</v>
      </c>
      <c r="B285" s="63" t="s">
        <v>478</v>
      </c>
      <c r="C285" s="36">
        <v>4301012176</v>
      </c>
      <c r="D285" s="585">
        <v>4680115886773</v>
      </c>
      <c r="E285" s="585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69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587"/>
      <c r="R285" s="587"/>
      <c r="S285" s="587"/>
      <c r="T285" s="588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579"/>
      <c r="B286" s="579"/>
      <c r="C286" s="579"/>
      <c r="D286" s="579"/>
      <c r="E286" s="579"/>
      <c r="F286" s="579"/>
      <c r="G286" s="579"/>
      <c r="H286" s="579"/>
      <c r="I286" s="579"/>
      <c r="J286" s="579"/>
      <c r="K286" s="579"/>
      <c r="L286" s="579"/>
      <c r="M286" s="579"/>
      <c r="N286" s="579"/>
      <c r="O286" s="580"/>
      <c r="P286" s="576" t="s">
        <v>40</v>
      </c>
      <c r="Q286" s="577"/>
      <c r="R286" s="577"/>
      <c r="S286" s="577"/>
      <c r="T286" s="577"/>
      <c r="U286" s="577"/>
      <c r="V286" s="578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579"/>
      <c r="B287" s="579"/>
      <c r="C287" s="579"/>
      <c r="D287" s="579"/>
      <c r="E287" s="579"/>
      <c r="F287" s="579"/>
      <c r="G287" s="579"/>
      <c r="H287" s="579"/>
      <c r="I287" s="579"/>
      <c r="J287" s="579"/>
      <c r="K287" s="579"/>
      <c r="L287" s="579"/>
      <c r="M287" s="579"/>
      <c r="N287" s="579"/>
      <c r="O287" s="580"/>
      <c r="P287" s="576" t="s">
        <v>40</v>
      </c>
      <c r="Q287" s="577"/>
      <c r="R287" s="577"/>
      <c r="S287" s="577"/>
      <c r="T287" s="577"/>
      <c r="U287" s="577"/>
      <c r="V287" s="578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customHeight="1" x14ac:dyDescent="0.25">
      <c r="A288" s="589" t="s">
        <v>480</v>
      </c>
      <c r="B288" s="589"/>
      <c r="C288" s="589"/>
      <c r="D288" s="589"/>
      <c r="E288" s="589"/>
      <c r="F288" s="589"/>
      <c r="G288" s="589"/>
      <c r="H288" s="589"/>
      <c r="I288" s="589"/>
      <c r="J288" s="589"/>
      <c r="K288" s="589"/>
      <c r="L288" s="589"/>
      <c r="M288" s="589"/>
      <c r="N288" s="589"/>
      <c r="O288" s="589"/>
      <c r="P288" s="589"/>
      <c r="Q288" s="589"/>
      <c r="R288" s="589"/>
      <c r="S288" s="589"/>
      <c r="T288" s="589"/>
      <c r="U288" s="589"/>
      <c r="V288" s="589"/>
      <c r="W288" s="589"/>
      <c r="X288" s="589"/>
      <c r="Y288" s="589"/>
      <c r="Z288" s="589"/>
      <c r="AA288" s="65"/>
      <c r="AB288" s="65"/>
      <c r="AC288" s="79"/>
    </row>
    <row r="289" spans="1:68" ht="14.25" customHeight="1" x14ac:dyDescent="0.25">
      <c r="A289" s="590" t="s">
        <v>87</v>
      </c>
      <c r="B289" s="590"/>
      <c r="C289" s="590"/>
      <c r="D289" s="590"/>
      <c r="E289" s="590"/>
      <c r="F289" s="590"/>
      <c r="G289" s="590"/>
      <c r="H289" s="590"/>
      <c r="I289" s="590"/>
      <c r="J289" s="590"/>
      <c r="K289" s="590"/>
      <c r="L289" s="590"/>
      <c r="M289" s="590"/>
      <c r="N289" s="590"/>
      <c r="O289" s="590"/>
      <c r="P289" s="590"/>
      <c r="Q289" s="590"/>
      <c r="R289" s="590"/>
      <c r="S289" s="590"/>
      <c r="T289" s="590"/>
      <c r="U289" s="590"/>
      <c r="V289" s="590"/>
      <c r="W289" s="590"/>
      <c r="X289" s="590"/>
      <c r="Y289" s="590"/>
      <c r="Z289" s="590"/>
      <c r="AA289" s="66"/>
      <c r="AB289" s="66"/>
      <c r="AC289" s="80"/>
    </row>
    <row r="290" spans="1:68" ht="27" customHeight="1" x14ac:dyDescent="0.25">
      <c r="A290" s="63" t="s">
        <v>481</v>
      </c>
      <c r="B290" s="63" t="s">
        <v>482</v>
      </c>
      <c r="C290" s="36">
        <v>4301051893</v>
      </c>
      <c r="D290" s="585">
        <v>4680115886186</v>
      </c>
      <c r="E290" s="585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69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587"/>
      <c r="R290" s="587"/>
      <c r="S290" s="587"/>
      <c r="T290" s="588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484</v>
      </c>
      <c r="B291" s="63" t="s">
        <v>485</v>
      </c>
      <c r="C291" s="36">
        <v>4301051795</v>
      </c>
      <c r="D291" s="585">
        <v>4680115881228</v>
      </c>
      <c r="E291" s="58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69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587"/>
      <c r="R291" s="587"/>
      <c r="S291" s="587"/>
      <c r="T291" s="58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487</v>
      </c>
      <c r="B292" s="63" t="s">
        <v>488</v>
      </c>
      <c r="C292" s="36">
        <v>4301051388</v>
      </c>
      <c r="D292" s="585">
        <v>4680115881211</v>
      </c>
      <c r="E292" s="585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6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587"/>
      <c r="R292" s="587"/>
      <c r="S292" s="587"/>
      <c r="T292" s="58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79"/>
      <c r="B293" s="579"/>
      <c r="C293" s="579"/>
      <c r="D293" s="579"/>
      <c r="E293" s="579"/>
      <c r="F293" s="579"/>
      <c r="G293" s="579"/>
      <c r="H293" s="579"/>
      <c r="I293" s="579"/>
      <c r="J293" s="579"/>
      <c r="K293" s="579"/>
      <c r="L293" s="579"/>
      <c r="M293" s="579"/>
      <c r="N293" s="579"/>
      <c r="O293" s="580"/>
      <c r="P293" s="576" t="s">
        <v>40</v>
      </c>
      <c r="Q293" s="577"/>
      <c r="R293" s="577"/>
      <c r="S293" s="577"/>
      <c r="T293" s="577"/>
      <c r="U293" s="577"/>
      <c r="V293" s="578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579"/>
      <c r="B294" s="579"/>
      <c r="C294" s="579"/>
      <c r="D294" s="579"/>
      <c r="E294" s="579"/>
      <c r="F294" s="579"/>
      <c r="G294" s="579"/>
      <c r="H294" s="579"/>
      <c r="I294" s="579"/>
      <c r="J294" s="579"/>
      <c r="K294" s="579"/>
      <c r="L294" s="579"/>
      <c r="M294" s="579"/>
      <c r="N294" s="579"/>
      <c r="O294" s="580"/>
      <c r="P294" s="576" t="s">
        <v>40</v>
      </c>
      <c r="Q294" s="577"/>
      <c r="R294" s="577"/>
      <c r="S294" s="577"/>
      <c r="T294" s="577"/>
      <c r="U294" s="577"/>
      <c r="V294" s="578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customHeight="1" x14ac:dyDescent="0.25">
      <c r="A295" s="589" t="s">
        <v>489</v>
      </c>
      <c r="B295" s="589"/>
      <c r="C295" s="589"/>
      <c r="D295" s="589"/>
      <c r="E295" s="589"/>
      <c r="F295" s="589"/>
      <c r="G295" s="589"/>
      <c r="H295" s="589"/>
      <c r="I295" s="589"/>
      <c r="J295" s="589"/>
      <c r="K295" s="589"/>
      <c r="L295" s="589"/>
      <c r="M295" s="589"/>
      <c r="N295" s="589"/>
      <c r="O295" s="589"/>
      <c r="P295" s="589"/>
      <c r="Q295" s="589"/>
      <c r="R295" s="589"/>
      <c r="S295" s="589"/>
      <c r="T295" s="589"/>
      <c r="U295" s="589"/>
      <c r="V295" s="589"/>
      <c r="W295" s="589"/>
      <c r="X295" s="589"/>
      <c r="Y295" s="589"/>
      <c r="Z295" s="589"/>
      <c r="AA295" s="65"/>
      <c r="AB295" s="65"/>
      <c r="AC295" s="79"/>
    </row>
    <row r="296" spans="1:68" ht="14.25" customHeight="1" x14ac:dyDescent="0.25">
      <c r="A296" s="590" t="s">
        <v>77</v>
      </c>
      <c r="B296" s="590"/>
      <c r="C296" s="590"/>
      <c r="D296" s="590"/>
      <c r="E296" s="590"/>
      <c r="F296" s="590"/>
      <c r="G296" s="590"/>
      <c r="H296" s="590"/>
      <c r="I296" s="590"/>
      <c r="J296" s="590"/>
      <c r="K296" s="590"/>
      <c r="L296" s="590"/>
      <c r="M296" s="590"/>
      <c r="N296" s="590"/>
      <c r="O296" s="590"/>
      <c r="P296" s="590"/>
      <c r="Q296" s="590"/>
      <c r="R296" s="590"/>
      <c r="S296" s="590"/>
      <c r="T296" s="590"/>
      <c r="U296" s="590"/>
      <c r="V296" s="590"/>
      <c r="W296" s="590"/>
      <c r="X296" s="590"/>
      <c r="Y296" s="590"/>
      <c r="Z296" s="590"/>
      <c r="AA296" s="66"/>
      <c r="AB296" s="66"/>
      <c r="AC296" s="80"/>
    </row>
    <row r="297" spans="1:68" ht="27" customHeight="1" x14ac:dyDescent="0.25">
      <c r="A297" s="63" t="s">
        <v>490</v>
      </c>
      <c r="B297" s="63" t="s">
        <v>491</v>
      </c>
      <c r="C297" s="36">
        <v>4301031445</v>
      </c>
      <c r="D297" s="585">
        <v>4680115888319</v>
      </c>
      <c r="E297" s="585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689" t="s">
        <v>492</v>
      </c>
      <c r="Q297" s="587"/>
      <c r="R297" s="587"/>
      <c r="S297" s="587"/>
      <c r="T297" s="588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493</v>
      </c>
      <c r="B298" s="63" t="s">
        <v>494</v>
      </c>
      <c r="C298" s="36">
        <v>4301031424</v>
      </c>
      <c r="D298" s="585">
        <v>4680115884700</v>
      </c>
      <c r="E298" s="585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690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587"/>
      <c r="R298" s="587"/>
      <c r="S298" s="587"/>
      <c r="T298" s="58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496</v>
      </c>
      <c r="B299" s="63" t="s">
        <v>497</v>
      </c>
      <c r="C299" s="36">
        <v>4301031307</v>
      </c>
      <c r="D299" s="585">
        <v>4680115880344</v>
      </c>
      <c r="E299" s="585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6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587"/>
      <c r="R299" s="587"/>
      <c r="S299" s="587"/>
      <c r="T299" s="58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499</v>
      </c>
      <c r="B300" s="63" t="s">
        <v>500</v>
      </c>
      <c r="C300" s="36">
        <v>4301031429</v>
      </c>
      <c r="D300" s="585">
        <v>4680115886919</v>
      </c>
      <c r="E300" s="585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69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587"/>
      <c r="R300" s="587"/>
      <c r="S300" s="587"/>
      <c r="T300" s="588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579"/>
      <c r="B301" s="579"/>
      <c r="C301" s="579"/>
      <c r="D301" s="579"/>
      <c r="E301" s="579"/>
      <c r="F301" s="579"/>
      <c r="G301" s="579"/>
      <c r="H301" s="579"/>
      <c r="I301" s="579"/>
      <c r="J301" s="579"/>
      <c r="K301" s="579"/>
      <c r="L301" s="579"/>
      <c r="M301" s="579"/>
      <c r="N301" s="579"/>
      <c r="O301" s="580"/>
      <c r="P301" s="576" t="s">
        <v>40</v>
      </c>
      <c r="Q301" s="577"/>
      <c r="R301" s="577"/>
      <c r="S301" s="577"/>
      <c r="T301" s="577"/>
      <c r="U301" s="577"/>
      <c r="V301" s="578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579"/>
      <c r="B302" s="579"/>
      <c r="C302" s="579"/>
      <c r="D302" s="579"/>
      <c r="E302" s="579"/>
      <c r="F302" s="579"/>
      <c r="G302" s="579"/>
      <c r="H302" s="579"/>
      <c r="I302" s="579"/>
      <c r="J302" s="579"/>
      <c r="K302" s="579"/>
      <c r="L302" s="579"/>
      <c r="M302" s="579"/>
      <c r="N302" s="579"/>
      <c r="O302" s="580"/>
      <c r="P302" s="576" t="s">
        <v>40</v>
      </c>
      <c r="Q302" s="577"/>
      <c r="R302" s="577"/>
      <c r="S302" s="577"/>
      <c r="T302" s="577"/>
      <c r="U302" s="577"/>
      <c r="V302" s="578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customHeight="1" x14ac:dyDescent="0.25">
      <c r="A303" s="590" t="s">
        <v>87</v>
      </c>
      <c r="B303" s="590"/>
      <c r="C303" s="590"/>
      <c r="D303" s="590"/>
      <c r="E303" s="590"/>
      <c r="F303" s="590"/>
      <c r="G303" s="590"/>
      <c r="H303" s="590"/>
      <c r="I303" s="590"/>
      <c r="J303" s="590"/>
      <c r="K303" s="590"/>
      <c r="L303" s="590"/>
      <c r="M303" s="590"/>
      <c r="N303" s="590"/>
      <c r="O303" s="590"/>
      <c r="P303" s="590"/>
      <c r="Q303" s="590"/>
      <c r="R303" s="590"/>
      <c r="S303" s="590"/>
      <c r="T303" s="590"/>
      <c r="U303" s="590"/>
      <c r="V303" s="590"/>
      <c r="W303" s="590"/>
      <c r="X303" s="590"/>
      <c r="Y303" s="590"/>
      <c r="Z303" s="590"/>
      <c r="AA303" s="66"/>
      <c r="AB303" s="66"/>
      <c r="AC303" s="80"/>
    </row>
    <row r="304" spans="1:68" ht="37.5" customHeight="1" x14ac:dyDescent="0.25">
      <c r="A304" s="63" t="s">
        <v>502</v>
      </c>
      <c r="B304" s="63" t="s">
        <v>503</v>
      </c>
      <c r="C304" s="36">
        <v>4301051782</v>
      </c>
      <c r="D304" s="585">
        <v>4680115884618</v>
      </c>
      <c r="E304" s="585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6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587"/>
      <c r="R304" s="587"/>
      <c r="S304" s="587"/>
      <c r="T304" s="588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505</v>
      </c>
      <c r="B305" s="63" t="s">
        <v>506</v>
      </c>
      <c r="C305" s="36">
        <v>4301052057</v>
      </c>
      <c r="D305" s="585">
        <v>4680115887114</v>
      </c>
      <c r="E305" s="585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6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587"/>
      <c r="R305" s="587"/>
      <c r="S305" s="587"/>
      <c r="T305" s="58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579"/>
      <c r="B306" s="579"/>
      <c r="C306" s="579"/>
      <c r="D306" s="579"/>
      <c r="E306" s="579"/>
      <c r="F306" s="579"/>
      <c r="G306" s="579"/>
      <c r="H306" s="579"/>
      <c r="I306" s="579"/>
      <c r="J306" s="579"/>
      <c r="K306" s="579"/>
      <c r="L306" s="579"/>
      <c r="M306" s="579"/>
      <c r="N306" s="579"/>
      <c r="O306" s="580"/>
      <c r="P306" s="576" t="s">
        <v>40</v>
      </c>
      <c r="Q306" s="577"/>
      <c r="R306" s="577"/>
      <c r="S306" s="577"/>
      <c r="T306" s="577"/>
      <c r="U306" s="577"/>
      <c r="V306" s="578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x14ac:dyDescent="0.2">
      <c r="A307" s="579"/>
      <c r="B307" s="579"/>
      <c r="C307" s="579"/>
      <c r="D307" s="579"/>
      <c r="E307" s="579"/>
      <c r="F307" s="579"/>
      <c r="G307" s="579"/>
      <c r="H307" s="579"/>
      <c r="I307" s="579"/>
      <c r="J307" s="579"/>
      <c r="K307" s="579"/>
      <c r="L307" s="579"/>
      <c r="M307" s="579"/>
      <c r="N307" s="579"/>
      <c r="O307" s="580"/>
      <c r="P307" s="576" t="s">
        <v>40</v>
      </c>
      <c r="Q307" s="577"/>
      <c r="R307" s="577"/>
      <c r="S307" s="577"/>
      <c r="T307" s="577"/>
      <c r="U307" s="577"/>
      <c r="V307" s="578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customHeight="1" x14ac:dyDescent="0.25">
      <c r="A308" s="589" t="s">
        <v>508</v>
      </c>
      <c r="B308" s="589"/>
      <c r="C308" s="589"/>
      <c r="D308" s="589"/>
      <c r="E308" s="589"/>
      <c r="F308" s="589"/>
      <c r="G308" s="589"/>
      <c r="H308" s="589"/>
      <c r="I308" s="589"/>
      <c r="J308" s="589"/>
      <c r="K308" s="589"/>
      <c r="L308" s="589"/>
      <c r="M308" s="589"/>
      <c r="N308" s="589"/>
      <c r="O308" s="589"/>
      <c r="P308" s="589"/>
      <c r="Q308" s="589"/>
      <c r="R308" s="589"/>
      <c r="S308" s="589"/>
      <c r="T308" s="589"/>
      <c r="U308" s="589"/>
      <c r="V308" s="589"/>
      <c r="W308" s="589"/>
      <c r="X308" s="589"/>
      <c r="Y308" s="589"/>
      <c r="Z308" s="589"/>
      <c r="AA308" s="65"/>
      <c r="AB308" s="65"/>
      <c r="AC308" s="79"/>
    </row>
    <row r="309" spans="1:68" ht="14.25" customHeight="1" x14ac:dyDescent="0.25">
      <c r="A309" s="590" t="s">
        <v>122</v>
      </c>
      <c r="B309" s="590"/>
      <c r="C309" s="590"/>
      <c r="D309" s="590"/>
      <c r="E309" s="590"/>
      <c r="F309" s="590"/>
      <c r="G309" s="590"/>
      <c r="H309" s="590"/>
      <c r="I309" s="590"/>
      <c r="J309" s="590"/>
      <c r="K309" s="590"/>
      <c r="L309" s="590"/>
      <c r="M309" s="590"/>
      <c r="N309" s="590"/>
      <c r="O309" s="590"/>
      <c r="P309" s="590"/>
      <c r="Q309" s="590"/>
      <c r="R309" s="590"/>
      <c r="S309" s="590"/>
      <c r="T309" s="590"/>
      <c r="U309" s="590"/>
      <c r="V309" s="590"/>
      <c r="W309" s="590"/>
      <c r="X309" s="590"/>
      <c r="Y309" s="590"/>
      <c r="Z309" s="590"/>
      <c r="AA309" s="66"/>
      <c r="AB309" s="66"/>
      <c r="AC309" s="80"/>
    </row>
    <row r="310" spans="1:68" ht="27" customHeight="1" x14ac:dyDescent="0.25">
      <c r="A310" s="63" t="s">
        <v>509</v>
      </c>
      <c r="B310" s="63" t="s">
        <v>510</v>
      </c>
      <c r="C310" s="36">
        <v>4301012126</v>
      </c>
      <c r="D310" s="585">
        <v>4607091386004</v>
      </c>
      <c r="E310" s="585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6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587"/>
      <c r="R310" s="587"/>
      <c r="S310" s="587"/>
      <c r="T310" s="58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customHeight="1" x14ac:dyDescent="0.25">
      <c r="A311" s="63" t="s">
        <v>512</v>
      </c>
      <c r="B311" s="63" t="s">
        <v>513</v>
      </c>
      <c r="C311" s="36">
        <v>4301012024</v>
      </c>
      <c r="D311" s="585">
        <v>4680115885615</v>
      </c>
      <c r="E311" s="585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6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587"/>
      <c r="R311" s="587"/>
      <c r="S311" s="587"/>
      <c r="T311" s="588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4301012235</v>
      </c>
      <c r="D312" s="585">
        <v>4680115887190</v>
      </c>
      <c r="E312" s="585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685" t="s">
        <v>517</v>
      </c>
      <c r="Q312" s="587"/>
      <c r="R312" s="587"/>
      <c r="S312" s="587"/>
      <c r="T312" s="588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customHeight="1" x14ac:dyDescent="0.25">
      <c r="A313" s="63" t="s">
        <v>519</v>
      </c>
      <c r="B313" s="63" t="s">
        <v>520</v>
      </c>
      <c r="C313" s="36">
        <v>4301012233</v>
      </c>
      <c r="D313" s="585">
        <v>4680115887138</v>
      </c>
      <c r="E313" s="585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68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587"/>
      <c r="R313" s="587"/>
      <c r="S313" s="587"/>
      <c r="T313" s="588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customHeight="1" x14ac:dyDescent="0.25">
      <c r="A314" s="63" t="s">
        <v>522</v>
      </c>
      <c r="B314" s="63" t="s">
        <v>523</v>
      </c>
      <c r="C314" s="36">
        <v>4301012016</v>
      </c>
      <c r="D314" s="585">
        <v>4680115885554</v>
      </c>
      <c r="E314" s="585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6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587"/>
      <c r="R314" s="587"/>
      <c r="S314" s="587"/>
      <c r="T314" s="588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customHeight="1" x14ac:dyDescent="0.25">
      <c r="A315" s="63" t="s">
        <v>525</v>
      </c>
      <c r="B315" s="63" t="s">
        <v>526</v>
      </c>
      <c r="C315" s="36">
        <v>4301011857</v>
      </c>
      <c r="D315" s="585">
        <v>4680115885622</v>
      </c>
      <c r="E315" s="585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68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587"/>
      <c r="R315" s="587"/>
      <c r="S315" s="587"/>
      <c r="T315" s="588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customHeight="1" x14ac:dyDescent="0.25">
      <c r="A316" s="63" t="s">
        <v>527</v>
      </c>
      <c r="B316" s="63" t="s">
        <v>528</v>
      </c>
      <c r="C316" s="36">
        <v>4301012236</v>
      </c>
      <c r="D316" s="585">
        <v>4680115887220</v>
      </c>
      <c r="E316" s="585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681" t="s">
        <v>529</v>
      </c>
      <c r="Q316" s="587"/>
      <c r="R316" s="587"/>
      <c r="S316" s="587"/>
      <c r="T316" s="588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customHeight="1" x14ac:dyDescent="0.25">
      <c r="A317" s="63" t="s">
        <v>530</v>
      </c>
      <c r="B317" s="63" t="s">
        <v>531</v>
      </c>
      <c r="C317" s="36">
        <v>4301011859</v>
      </c>
      <c r="D317" s="585">
        <v>4680115885608</v>
      </c>
      <c r="E317" s="585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6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587"/>
      <c r="R317" s="587"/>
      <c r="S317" s="587"/>
      <c r="T317" s="588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x14ac:dyDescent="0.2">
      <c r="A318" s="579"/>
      <c r="B318" s="579"/>
      <c r="C318" s="579"/>
      <c r="D318" s="579"/>
      <c r="E318" s="579"/>
      <c r="F318" s="579"/>
      <c r="G318" s="579"/>
      <c r="H318" s="579"/>
      <c r="I318" s="579"/>
      <c r="J318" s="579"/>
      <c r="K318" s="579"/>
      <c r="L318" s="579"/>
      <c r="M318" s="579"/>
      <c r="N318" s="579"/>
      <c r="O318" s="580"/>
      <c r="P318" s="576" t="s">
        <v>40</v>
      </c>
      <c r="Q318" s="577"/>
      <c r="R318" s="577"/>
      <c r="S318" s="577"/>
      <c r="T318" s="577"/>
      <c r="U318" s="577"/>
      <c r="V318" s="578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79"/>
      <c r="B319" s="579"/>
      <c r="C319" s="579"/>
      <c r="D319" s="579"/>
      <c r="E319" s="579"/>
      <c r="F319" s="579"/>
      <c r="G319" s="579"/>
      <c r="H319" s="579"/>
      <c r="I319" s="579"/>
      <c r="J319" s="579"/>
      <c r="K319" s="579"/>
      <c r="L319" s="579"/>
      <c r="M319" s="579"/>
      <c r="N319" s="579"/>
      <c r="O319" s="580"/>
      <c r="P319" s="576" t="s">
        <v>40</v>
      </c>
      <c r="Q319" s="577"/>
      <c r="R319" s="577"/>
      <c r="S319" s="577"/>
      <c r="T319" s="577"/>
      <c r="U319" s="577"/>
      <c r="V319" s="578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customHeight="1" x14ac:dyDescent="0.25">
      <c r="A320" s="590" t="s">
        <v>77</v>
      </c>
      <c r="B320" s="590"/>
      <c r="C320" s="590"/>
      <c r="D320" s="590"/>
      <c r="E320" s="590"/>
      <c r="F320" s="590"/>
      <c r="G320" s="590"/>
      <c r="H320" s="590"/>
      <c r="I320" s="590"/>
      <c r="J320" s="590"/>
      <c r="K320" s="590"/>
      <c r="L320" s="590"/>
      <c r="M320" s="590"/>
      <c r="N320" s="590"/>
      <c r="O320" s="590"/>
      <c r="P320" s="590"/>
      <c r="Q320" s="590"/>
      <c r="R320" s="590"/>
      <c r="S320" s="590"/>
      <c r="T320" s="590"/>
      <c r="U320" s="590"/>
      <c r="V320" s="590"/>
      <c r="W320" s="590"/>
      <c r="X320" s="590"/>
      <c r="Y320" s="590"/>
      <c r="Z320" s="590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585">
        <v>4607091387193</v>
      </c>
      <c r="E321" s="585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67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587"/>
      <c r="R321" s="587"/>
      <c r="S321" s="587"/>
      <c r="T321" s="588"/>
      <c r="U321" s="39" t="s">
        <v>46</v>
      </c>
      <c r="V321" s="39" t="s">
        <v>46</v>
      </c>
      <c r="W321" s="40" t="s">
        <v>0</v>
      </c>
      <c r="X321" s="58">
        <v>8</v>
      </c>
      <c r="Y321" s="55">
        <f t="shared" ref="Y321:Y327" si="43">IFERROR(IF(X321="",0,CEILING((X321/$H321),1)*$H321),"")</f>
        <v>8.4</v>
      </c>
      <c r="Z321" s="41">
        <f>IFERROR(IF(Y321=0,"",ROUNDUP(Y321/H321,0)*0.00902),"")</f>
        <v>1.804E-2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8.4761904761904763</v>
      </c>
      <c r="BN321" s="78">
        <f t="shared" ref="BN321:BN327" si="45">IFERROR(Y321*I321/H321,"0")</f>
        <v>8.9</v>
      </c>
      <c r="BO321" s="78">
        <f t="shared" ref="BO321:BO327" si="46">IFERROR(1/J321*(X321/H321),"0")</f>
        <v>1.443001443001443E-2</v>
      </c>
      <c r="BP321" s="78">
        <f t="shared" ref="BP321:BP327" si="47">IFERROR(1/J321*(Y321/H321),"0")</f>
        <v>1.5151515151515152E-2</v>
      </c>
    </row>
    <row r="322" spans="1:68" ht="27" customHeight="1" x14ac:dyDescent="0.25">
      <c r="A322" s="63" t="s">
        <v>536</v>
      </c>
      <c r="B322" s="63" t="s">
        <v>537</v>
      </c>
      <c r="C322" s="36">
        <v>4301031153</v>
      </c>
      <c r="D322" s="585">
        <v>4607091387230</v>
      </c>
      <c r="E322" s="585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6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587"/>
      <c r="R322" s="587"/>
      <c r="S322" s="587"/>
      <c r="T322" s="588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4301031154</v>
      </c>
      <c r="D323" s="585">
        <v>4607091387292</v>
      </c>
      <c r="E323" s="585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67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587"/>
      <c r="R323" s="587"/>
      <c r="S323" s="587"/>
      <c r="T323" s="58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customHeight="1" x14ac:dyDescent="0.25">
      <c r="A324" s="63" t="s">
        <v>542</v>
      </c>
      <c r="B324" s="63" t="s">
        <v>543</v>
      </c>
      <c r="C324" s="36">
        <v>4301031152</v>
      </c>
      <c r="D324" s="585">
        <v>4607091387285</v>
      </c>
      <c r="E324" s="585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6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587"/>
      <c r="R324" s="587"/>
      <c r="S324" s="587"/>
      <c r="T324" s="58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4301031305</v>
      </c>
      <c r="D325" s="585">
        <v>4607091389845</v>
      </c>
      <c r="E325" s="585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6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587"/>
      <c r="R325" s="587"/>
      <c r="S325" s="587"/>
      <c r="T325" s="58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customHeight="1" x14ac:dyDescent="0.25">
      <c r="A326" s="63" t="s">
        <v>547</v>
      </c>
      <c r="B326" s="63" t="s">
        <v>548</v>
      </c>
      <c r="C326" s="36">
        <v>4301031460</v>
      </c>
      <c r="D326" s="585">
        <v>4680115887442</v>
      </c>
      <c r="E326" s="585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67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587"/>
      <c r="R326" s="587"/>
      <c r="S326" s="587"/>
      <c r="T326" s="58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4301031066</v>
      </c>
      <c r="D327" s="585">
        <v>4607091383836</v>
      </c>
      <c r="E327" s="585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6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587"/>
      <c r="R327" s="587"/>
      <c r="S327" s="587"/>
      <c r="T327" s="58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579"/>
      <c r="B328" s="579"/>
      <c r="C328" s="579"/>
      <c r="D328" s="579"/>
      <c r="E328" s="579"/>
      <c r="F328" s="579"/>
      <c r="G328" s="579"/>
      <c r="H328" s="579"/>
      <c r="I328" s="579"/>
      <c r="J328" s="579"/>
      <c r="K328" s="579"/>
      <c r="L328" s="579"/>
      <c r="M328" s="579"/>
      <c r="N328" s="579"/>
      <c r="O328" s="580"/>
      <c r="P328" s="576" t="s">
        <v>40</v>
      </c>
      <c r="Q328" s="577"/>
      <c r="R328" s="577"/>
      <c r="S328" s="577"/>
      <c r="T328" s="577"/>
      <c r="U328" s="577"/>
      <c r="V328" s="578"/>
      <c r="W328" s="42" t="s">
        <v>39</v>
      </c>
      <c r="X328" s="43">
        <f>IFERROR(X321/H321,"0")+IFERROR(X322/H322,"0")+IFERROR(X323/H323,"0")+IFERROR(X324/H324,"0")+IFERROR(X325/H325,"0")+IFERROR(X326/H326,"0")+IFERROR(X327/H327,"0")</f>
        <v>1.9047619047619047</v>
      </c>
      <c r="Y328" s="43">
        <f>IFERROR(Y321/H321,"0")+IFERROR(Y322/H322,"0")+IFERROR(Y323/H323,"0")+IFERROR(Y324/H324,"0")+IFERROR(Y325/H325,"0")+IFERROR(Y326/H326,"0")+IFERROR(Y327/H327,"0")</f>
        <v>2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1.804E-2</v>
      </c>
      <c r="AA328" s="67"/>
      <c r="AB328" s="67"/>
      <c r="AC328" s="67"/>
    </row>
    <row r="329" spans="1:68" x14ac:dyDescent="0.2">
      <c r="A329" s="579"/>
      <c r="B329" s="579"/>
      <c r="C329" s="579"/>
      <c r="D329" s="579"/>
      <c r="E329" s="579"/>
      <c r="F329" s="579"/>
      <c r="G329" s="579"/>
      <c r="H329" s="579"/>
      <c r="I329" s="579"/>
      <c r="J329" s="579"/>
      <c r="K329" s="579"/>
      <c r="L329" s="579"/>
      <c r="M329" s="579"/>
      <c r="N329" s="579"/>
      <c r="O329" s="580"/>
      <c r="P329" s="576" t="s">
        <v>40</v>
      </c>
      <c r="Q329" s="577"/>
      <c r="R329" s="577"/>
      <c r="S329" s="577"/>
      <c r="T329" s="577"/>
      <c r="U329" s="577"/>
      <c r="V329" s="578"/>
      <c r="W329" s="42" t="s">
        <v>0</v>
      </c>
      <c r="X329" s="43">
        <f>IFERROR(SUM(X321:X327),"0")</f>
        <v>8</v>
      </c>
      <c r="Y329" s="43">
        <f>IFERROR(SUM(Y321:Y327),"0")</f>
        <v>8.4</v>
      </c>
      <c r="Z329" s="42"/>
      <c r="AA329" s="67"/>
      <c r="AB329" s="67"/>
      <c r="AC329" s="67"/>
    </row>
    <row r="330" spans="1:68" ht="14.25" customHeight="1" x14ac:dyDescent="0.25">
      <c r="A330" s="590" t="s">
        <v>87</v>
      </c>
      <c r="B330" s="590"/>
      <c r="C330" s="590"/>
      <c r="D330" s="590"/>
      <c r="E330" s="590"/>
      <c r="F330" s="590"/>
      <c r="G330" s="590"/>
      <c r="H330" s="590"/>
      <c r="I330" s="590"/>
      <c r="J330" s="590"/>
      <c r="K330" s="590"/>
      <c r="L330" s="590"/>
      <c r="M330" s="590"/>
      <c r="N330" s="590"/>
      <c r="O330" s="590"/>
      <c r="P330" s="590"/>
      <c r="Q330" s="590"/>
      <c r="R330" s="590"/>
      <c r="S330" s="590"/>
      <c r="T330" s="590"/>
      <c r="U330" s="590"/>
      <c r="V330" s="590"/>
      <c r="W330" s="590"/>
      <c r="X330" s="590"/>
      <c r="Y330" s="590"/>
      <c r="Z330" s="590"/>
      <c r="AA330" s="66"/>
      <c r="AB330" s="66"/>
      <c r="AC330" s="80"/>
    </row>
    <row r="331" spans="1:68" ht="27" customHeight="1" x14ac:dyDescent="0.25">
      <c r="A331" s="63" t="s">
        <v>552</v>
      </c>
      <c r="B331" s="63" t="s">
        <v>553</v>
      </c>
      <c r="C331" s="36">
        <v>4301051100</v>
      </c>
      <c r="D331" s="585">
        <v>4607091387766</v>
      </c>
      <c r="E331" s="585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6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587"/>
      <c r="R331" s="587"/>
      <c r="S331" s="587"/>
      <c r="T331" s="58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4301051818</v>
      </c>
      <c r="D332" s="585">
        <v>4607091387957</v>
      </c>
      <c r="E332" s="585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587"/>
      <c r="R332" s="587"/>
      <c r="S332" s="587"/>
      <c r="T332" s="58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4301051819</v>
      </c>
      <c r="D333" s="585">
        <v>4607091387964</v>
      </c>
      <c r="E333" s="585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67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587"/>
      <c r="R333" s="587"/>
      <c r="S333" s="587"/>
      <c r="T333" s="58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561</v>
      </c>
      <c r="B334" s="63" t="s">
        <v>562</v>
      </c>
      <c r="C334" s="36">
        <v>4301051734</v>
      </c>
      <c r="D334" s="585">
        <v>4680115884588</v>
      </c>
      <c r="E334" s="585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587"/>
      <c r="R334" s="587"/>
      <c r="S334" s="587"/>
      <c r="T334" s="58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579"/>
      <c r="B335" s="579"/>
      <c r="C335" s="579"/>
      <c r="D335" s="579"/>
      <c r="E335" s="579"/>
      <c r="F335" s="579"/>
      <c r="G335" s="579"/>
      <c r="H335" s="579"/>
      <c r="I335" s="579"/>
      <c r="J335" s="579"/>
      <c r="K335" s="579"/>
      <c r="L335" s="579"/>
      <c r="M335" s="579"/>
      <c r="N335" s="579"/>
      <c r="O335" s="580"/>
      <c r="P335" s="576" t="s">
        <v>40</v>
      </c>
      <c r="Q335" s="577"/>
      <c r="R335" s="577"/>
      <c r="S335" s="577"/>
      <c r="T335" s="577"/>
      <c r="U335" s="577"/>
      <c r="V335" s="578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579"/>
      <c r="B336" s="579"/>
      <c r="C336" s="579"/>
      <c r="D336" s="579"/>
      <c r="E336" s="579"/>
      <c r="F336" s="579"/>
      <c r="G336" s="579"/>
      <c r="H336" s="579"/>
      <c r="I336" s="579"/>
      <c r="J336" s="579"/>
      <c r="K336" s="579"/>
      <c r="L336" s="579"/>
      <c r="M336" s="579"/>
      <c r="N336" s="579"/>
      <c r="O336" s="580"/>
      <c r="P336" s="576" t="s">
        <v>40</v>
      </c>
      <c r="Q336" s="577"/>
      <c r="R336" s="577"/>
      <c r="S336" s="577"/>
      <c r="T336" s="577"/>
      <c r="U336" s="577"/>
      <c r="V336" s="578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customHeight="1" x14ac:dyDescent="0.25">
      <c r="A337" s="590" t="s">
        <v>176</v>
      </c>
      <c r="B337" s="590"/>
      <c r="C337" s="590"/>
      <c r="D337" s="590"/>
      <c r="E337" s="590"/>
      <c r="F337" s="590"/>
      <c r="G337" s="590"/>
      <c r="H337" s="590"/>
      <c r="I337" s="590"/>
      <c r="J337" s="590"/>
      <c r="K337" s="590"/>
      <c r="L337" s="590"/>
      <c r="M337" s="590"/>
      <c r="N337" s="590"/>
      <c r="O337" s="590"/>
      <c r="P337" s="590"/>
      <c r="Q337" s="590"/>
      <c r="R337" s="590"/>
      <c r="S337" s="590"/>
      <c r="T337" s="590"/>
      <c r="U337" s="590"/>
      <c r="V337" s="590"/>
      <c r="W337" s="590"/>
      <c r="X337" s="590"/>
      <c r="Y337" s="590"/>
      <c r="Z337" s="590"/>
      <c r="AA337" s="66"/>
      <c r="AB337" s="66"/>
      <c r="AC337" s="80"/>
    </row>
    <row r="338" spans="1:68" ht="27" customHeight="1" x14ac:dyDescent="0.25">
      <c r="A338" s="63" t="s">
        <v>564</v>
      </c>
      <c r="B338" s="63" t="s">
        <v>565</v>
      </c>
      <c r="C338" s="36">
        <v>4301060387</v>
      </c>
      <c r="D338" s="585">
        <v>4607091380880</v>
      </c>
      <c r="E338" s="585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6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587"/>
      <c r="R338" s="587"/>
      <c r="S338" s="587"/>
      <c r="T338" s="58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585">
        <v>4607091384482</v>
      </c>
      <c r="E339" s="585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6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587"/>
      <c r="R339" s="587"/>
      <c r="S339" s="587"/>
      <c r="T339" s="588"/>
      <c r="U339" s="39" t="s">
        <v>46</v>
      </c>
      <c r="V339" s="39" t="s">
        <v>46</v>
      </c>
      <c r="W339" s="40" t="s">
        <v>0</v>
      </c>
      <c r="X339" s="58">
        <v>50</v>
      </c>
      <c r="Y339" s="55">
        <f>IFERROR(IF(X339="",0,CEILING((X339/$H339),1)*$H339),"")</f>
        <v>54.6</v>
      </c>
      <c r="Z339" s="41">
        <f>IFERROR(IF(Y339=0,"",ROUNDUP(Y339/H339,0)*0.01898),"")</f>
        <v>0.13286000000000001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53.166666666666671</v>
      </c>
      <c r="BN339" s="78">
        <f>IFERROR(Y339*I339/H339,"0")</f>
        <v>58.058000000000007</v>
      </c>
      <c r="BO339" s="78">
        <f>IFERROR(1/J339*(X339/H339),"0")</f>
        <v>0.10016025641025642</v>
      </c>
      <c r="BP339" s="78">
        <f>IFERROR(1/J339*(Y339/H339),"0")</f>
        <v>0.109375</v>
      </c>
    </row>
    <row r="340" spans="1:68" ht="16.5" customHeight="1" x14ac:dyDescent="0.25">
      <c r="A340" s="63" t="s">
        <v>570</v>
      </c>
      <c r="B340" s="63" t="s">
        <v>571</v>
      </c>
      <c r="C340" s="36">
        <v>4301060484</v>
      </c>
      <c r="D340" s="585">
        <v>4607091380897</v>
      </c>
      <c r="E340" s="585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587"/>
      <c r="R340" s="587"/>
      <c r="S340" s="587"/>
      <c r="T340" s="588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579"/>
      <c r="B341" s="579"/>
      <c r="C341" s="579"/>
      <c r="D341" s="579"/>
      <c r="E341" s="579"/>
      <c r="F341" s="579"/>
      <c r="G341" s="579"/>
      <c r="H341" s="579"/>
      <c r="I341" s="579"/>
      <c r="J341" s="579"/>
      <c r="K341" s="579"/>
      <c r="L341" s="579"/>
      <c r="M341" s="579"/>
      <c r="N341" s="579"/>
      <c r="O341" s="580"/>
      <c r="P341" s="576" t="s">
        <v>40</v>
      </c>
      <c r="Q341" s="577"/>
      <c r="R341" s="577"/>
      <c r="S341" s="577"/>
      <c r="T341" s="577"/>
      <c r="U341" s="577"/>
      <c r="V341" s="578"/>
      <c r="W341" s="42" t="s">
        <v>39</v>
      </c>
      <c r="X341" s="43">
        <f>IFERROR(X338/H338,"0")+IFERROR(X339/H339,"0")+IFERROR(X340/H340,"0")</f>
        <v>6.4102564102564106</v>
      </c>
      <c r="Y341" s="43">
        <f>IFERROR(Y338/H338,"0")+IFERROR(Y339/H339,"0")+IFERROR(Y340/H340,"0")</f>
        <v>7</v>
      </c>
      <c r="Z341" s="43">
        <f>IFERROR(IF(Z338="",0,Z338),"0")+IFERROR(IF(Z339="",0,Z339),"0")+IFERROR(IF(Z340="",0,Z340),"0")</f>
        <v>0.13286000000000001</v>
      </c>
      <c r="AA341" s="67"/>
      <c r="AB341" s="67"/>
      <c r="AC341" s="67"/>
    </row>
    <row r="342" spans="1:68" x14ac:dyDescent="0.2">
      <c r="A342" s="579"/>
      <c r="B342" s="579"/>
      <c r="C342" s="579"/>
      <c r="D342" s="579"/>
      <c r="E342" s="579"/>
      <c r="F342" s="579"/>
      <c r="G342" s="579"/>
      <c r="H342" s="579"/>
      <c r="I342" s="579"/>
      <c r="J342" s="579"/>
      <c r="K342" s="579"/>
      <c r="L342" s="579"/>
      <c r="M342" s="579"/>
      <c r="N342" s="579"/>
      <c r="O342" s="580"/>
      <c r="P342" s="576" t="s">
        <v>40</v>
      </c>
      <c r="Q342" s="577"/>
      <c r="R342" s="577"/>
      <c r="S342" s="577"/>
      <c r="T342" s="577"/>
      <c r="U342" s="577"/>
      <c r="V342" s="578"/>
      <c r="W342" s="42" t="s">
        <v>0</v>
      </c>
      <c r="X342" s="43">
        <f>IFERROR(SUM(X338:X340),"0")</f>
        <v>50</v>
      </c>
      <c r="Y342" s="43">
        <f>IFERROR(SUM(Y338:Y340),"0")</f>
        <v>54.6</v>
      </c>
      <c r="Z342" s="42"/>
      <c r="AA342" s="67"/>
      <c r="AB342" s="67"/>
      <c r="AC342" s="67"/>
    </row>
    <row r="343" spans="1:68" ht="14.25" customHeight="1" x14ac:dyDescent="0.25">
      <c r="A343" s="590" t="s">
        <v>110</v>
      </c>
      <c r="B343" s="590"/>
      <c r="C343" s="590"/>
      <c r="D343" s="590"/>
      <c r="E343" s="590"/>
      <c r="F343" s="590"/>
      <c r="G343" s="590"/>
      <c r="H343" s="590"/>
      <c r="I343" s="590"/>
      <c r="J343" s="590"/>
      <c r="K343" s="590"/>
      <c r="L343" s="590"/>
      <c r="M343" s="590"/>
      <c r="N343" s="590"/>
      <c r="O343" s="590"/>
      <c r="P343" s="590"/>
      <c r="Q343" s="590"/>
      <c r="R343" s="590"/>
      <c r="S343" s="590"/>
      <c r="T343" s="590"/>
      <c r="U343" s="590"/>
      <c r="V343" s="590"/>
      <c r="W343" s="590"/>
      <c r="X343" s="590"/>
      <c r="Y343" s="590"/>
      <c r="Z343" s="590"/>
      <c r="AA343" s="66"/>
      <c r="AB343" s="66"/>
      <c r="AC343" s="80"/>
    </row>
    <row r="344" spans="1:68" ht="27" customHeight="1" x14ac:dyDescent="0.25">
      <c r="A344" s="63" t="s">
        <v>573</v>
      </c>
      <c r="B344" s="63" t="s">
        <v>574</v>
      </c>
      <c r="C344" s="36">
        <v>4301030235</v>
      </c>
      <c r="D344" s="585">
        <v>4607091388381</v>
      </c>
      <c r="E344" s="585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6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587"/>
      <c r="R344" s="587"/>
      <c r="S344" s="587"/>
      <c r="T344" s="588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576</v>
      </c>
      <c r="B345" s="63" t="s">
        <v>577</v>
      </c>
      <c r="C345" s="36">
        <v>4301030232</v>
      </c>
      <c r="D345" s="585">
        <v>4607091388374</v>
      </c>
      <c r="E345" s="585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66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587"/>
      <c r="R345" s="587"/>
      <c r="S345" s="587"/>
      <c r="T345" s="588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4301032015</v>
      </c>
      <c r="D346" s="585">
        <v>4607091383102</v>
      </c>
      <c r="E346" s="585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587"/>
      <c r="R346" s="587"/>
      <c r="S346" s="587"/>
      <c r="T346" s="58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580</v>
      </c>
      <c r="B347" s="63" t="s">
        <v>581</v>
      </c>
      <c r="C347" s="36">
        <v>4301030233</v>
      </c>
      <c r="D347" s="585">
        <v>4607091388404</v>
      </c>
      <c r="E347" s="585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6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587"/>
      <c r="R347" s="587"/>
      <c r="S347" s="587"/>
      <c r="T347" s="58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579"/>
      <c r="B348" s="579"/>
      <c r="C348" s="579"/>
      <c r="D348" s="579"/>
      <c r="E348" s="579"/>
      <c r="F348" s="579"/>
      <c r="G348" s="579"/>
      <c r="H348" s="579"/>
      <c r="I348" s="579"/>
      <c r="J348" s="579"/>
      <c r="K348" s="579"/>
      <c r="L348" s="579"/>
      <c r="M348" s="579"/>
      <c r="N348" s="579"/>
      <c r="O348" s="580"/>
      <c r="P348" s="576" t="s">
        <v>40</v>
      </c>
      <c r="Q348" s="577"/>
      <c r="R348" s="577"/>
      <c r="S348" s="577"/>
      <c r="T348" s="577"/>
      <c r="U348" s="577"/>
      <c r="V348" s="578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">
      <c r="A349" s="579"/>
      <c r="B349" s="579"/>
      <c r="C349" s="579"/>
      <c r="D349" s="579"/>
      <c r="E349" s="579"/>
      <c r="F349" s="579"/>
      <c r="G349" s="579"/>
      <c r="H349" s="579"/>
      <c r="I349" s="579"/>
      <c r="J349" s="579"/>
      <c r="K349" s="579"/>
      <c r="L349" s="579"/>
      <c r="M349" s="579"/>
      <c r="N349" s="579"/>
      <c r="O349" s="580"/>
      <c r="P349" s="576" t="s">
        <v>40</v>
      </c>
      <c r="Q349" s="577"/>
      <c r="R349" s="577"/>
      <c r="S349" s="577"/>
      <c r="T349" s="577"/>
      <c r="U349" s="577"/>
      <c r="V349" s="578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customHeight="1" x14ac:dyDescent="0.25">
      <c r="A350" s="590" t="s">
        <v>582</v>
      </c>
      <c r="B350" s="590"/>
      <c r="C350" s="590"/>
      <c r="D350" s="590"/>
      <c r="E350" s="590"/>
      <c r="F350" s="590"/>
      <c r="G350" s="590"/>
      <c r="H350" s="590"/>
      <c r="I350" s="590"/>
      <c r="J350" s="590"/>
      <c r="K350" s="590"/>
      <c r="L350" s="590"/>
      <c r="M350" s="590"/>
      <c r="N350" s="590"/>
      <c r="O350" s="590"/>
      <c r="P350" s="590"/>
      <c r="Q350" s="590"/>
      <c r="R350" s="590"/>
      <c r="S350" s="590"/>
      <c r="T350" s="590"/>
      <c r="U350" s="590"/>
      <c r="V350" s="590"/>
      <c r="W350" s="590"/>
      <c r="X350" s="590"/>
      <c r="Y350" s="590"/>
      <c r="Z350" s="590"/>
      <c r="AA350" s="66"/>
      <c r="AB350" s="66"/>
      <c r="AC350" s="80"/>
    </row>
    <row r="351" spans="1:68" ht="16.5" customHeight="1" x14ac:dyDescent="0.25">
      <c r="A351" s="63" t="s">
        <v>583</v>
      </c>
      <c r="B351" s="63" t="s">
        <v>584</v>
      </c>
      <c r="C351" s="36">
        <v>4301180007</v>
      </c>
      <c r="D351" s="585">
        <v>4680115881808</v>
      </c>
      <c r="E351" s="585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66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587"/>
      <c r="R351" s="587"/>
      <c r="S351" s="587"/>
      <c r="T351" s="588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587</v>
      </c>
      <c r="B352" s="63" t="s">
        <v>588</v>
      </c>
      <c r="C352" s="36">
        <v>4301180006</v>
      </c>
      <c r="D352" s="585">
        <v>4680115881822</v>
      </c>
      <c r="E352" s="585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6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587"/>
      <c r="R352" s="587"/>
      <c r="S352" s="587"/>
      <c r="T352" s="58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589</v>
      </c>
      <c r="B353" s="63" t="s">
        <v>590</v>
      </c>
      <c r="C353" s="36">
        <v>4301180001</v>
      </c>
      <c r="D353" s="585">
        <v>4680115880016</v>
      </c>
      <c r="E353" s="585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6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587"/>
      <c r="R353" s="587"/>
      <c r="S353" s="587"/>
      <c r="T353" s="58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579"/>
      <c r="B354" s="579"/>
      <c r="C354" s="579"/>
      <c r="D354" s="579"/>
      <c r="E354" s="579"/>
      <c r="F354" s="579"/>
      <c r="G354" s="579"/>
      <c r="H354" s="579"/>
      <c r="I354" s="579"/>
      <c r="J354" s="579"/>
      <c r="K354" s="579"/>
      <c r="L354" s="579"/>
      <c r="M354" s="579"/>
      <c r="N354" s="579"/>
      <c r="O354" s="580"/>
      <c r="P354" s="576" t="s">
        <v>40</v>
      </c>
      <c r="Q354" s="577"/>
      <c r="R354" s="577"/>
      <c r="S354" s="577"/>
      <c r="T354" s="577"/>
      <c r="U354" s="577"/>
      <c r="V354" s="578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579"/>
      <c r="B355" s="579"/>
      <c r="C355" s="579"/>
      <c r="D355" s="579"/>
      <c r="E355" s="579"/>
      <c r="F355" s="579"/>
      <c r="G355" s="579"/>
      <c r="H355" s="579"/>
      <c r="I355" s="579"/>
      <c r="J355" s="579"/>
      <c r="K355" s="579"/>
      <c r="L355" s="579"/>
      <c r="M355" s="579"/>
      <c r="N355" s="579"/>
      <c r="O355" s="580"/>
      <c r="P355" s="576" t="s">
        <v>40</v>
      </c>
      <c r="Q355" s="577"/>
      <c r="R355" s="577"/>
      <c r="S355" s="577"/>
      <c r="T355" s="577"/>
      <c r="U355" s="577"/>
      <c r="V355" s="578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customHeight="1" x14ac:dyDescent="0.25">
      <c r="A356" s="589" t="s">
        <v>591</v>
      </c>
      <c r="B356" s="589"/>
      <c r="C356" s="589"/>
      <c r="D356" s="589"/>
      <c r="E356" s="589"/>
      <c r="F356" s="589"/>
      <c r="G356" s="589"/>
      <c r="H356" s="589"/>
      <c r="I356" s="589"/>
      <c r="J356" s="589"/>
      <c r="K356" s="589"/>
      <c r="L356" s="589"/>
      <c r="M356" s="589"/>
      <c r="N356" s="589"/>
      <c r="O356" s="589"/>
      <c r="P356" s="589"/>
      <c r="Q356" s="589"/>
      <c r="R356" s="589"/>
      <c r="S356" s="589"/>
      <c r="T356" s="589"/>
      <c r="U356" s="589"/>
      <c r="V356" s="589"/>
      <c r="W356" s="589"/>
      <c r="X356" s="589"/>
      <c r="Y356" s="589"/>
      <c r="Z356" s="589"/>
      <c r="AA356" s="65"/>
      <c r="AB356" s="65"/>
      <c r="AC356" s="79"/>
    </row>
    <row r="357" spans="1:68" ht="14.25" customHeight="1" x14ac:dyDescent="0.25">
      <c r="A357" s="590" t="s">
        <v>87</v>
      </c>
      <c r="B357" s="590"/>
      <c r="C357" s="590"/>
      <c r="D357" s="590"/>
      <c r="E357" s="590"/>
      <c r="F357" s="590"/>
      <c r="G357" s="590"/>
      <c r="H357" s="590"/>
      <c r="I357" s="590"/>
      <c r="J357" s="590"/>
      <c r="K357" s="590"/>
      <c r="L357" s="590"/>
      <c r="M357" s="590"/>
      <c r="N357" s="590"/>
      <c r="O357" s="590"/>
      <c r="P357" s="590"/>
      <c r="Q357" s="590"/>
      <c r="R357" s="590"/>
      <c r="S357" s="590"/>
      <c r="T357" s="590"/>
      <c r="U357" s="590"/>
      <c r="V357" s="590"/>
      <c r="W357" s="590"/>
      <c r="X357" s="590"/>
      <c r="Y357" s="590"/>
      <c r="Z357" s="590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4301051489</v>
      </c>
      <c r="D358" s="585">
        <v>4607091387919</v>
      </c>
      <c r="E358" s="585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6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587"/>
      <c r="R358" s="587"/>
      <c r="S358" s="587"/>
      <c r="T358" s="58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585">
        <v>4680115883604</v>
      </c>
      <c r="E359" s="585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6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587"/>
      <c r="R359" s="587"/>
      <c r="S359" s="587"/>
      <c r="T359" s="588"/>
      <c r="U359" s="39" t="s">
        <v>46</v>
      </c>
      <c r="V359" s="39" t="s">
        <v>46</v>
      </c>
      <c r="W359" s="40" t="s">
        <v>0</v>
      </c>
      <c r="X359" s="58">
        <v>8.75</v>
      </c>
      <c r="Y359" s="55">
        <f>IFERROR(IF(X359="",0,CEILING((X359/$H359),1)*$H359),"")</f>
        <v>10.5</v>
      </c>
      <c r="Z359" s="41">
        <f>IFERROR(IF(Y359=0,"",ROUNDUP(Y359/H359,0)*0.00651),"")</f>
        <v>3.2550000000000003E-2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9.7999999999999989</v>
      </c>
      <c r="BN359" s="78">
        <f>IFERROR(Y359*I359/H359,"0")</f>
        <v>11.759999999999998</v>
      </c>
      <c r="BO359" s="78">
        <f>IFERROR(1/J359*(X359/H359),"0")</f>
        <v>2.2893772893772892E-2</v>
      </c>
      <c r="BP359" s="78">
        <f>IFERROR(1/J359*(Y359/H359),"0")</f>
        <v>2.7472527472527476E-2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585">
        <v>4680115883567</v>
      </c>
      <c r="E360" s="585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6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587"/>
      <c r="R360" s="587"/>
      <c r="S360" s="587"/>
      <c r="T360" s="588"/>
      <c r="U360" s="39" t="s">
        <v>46</v>
      </c>
      <c r="V360" s="39" t="s">
        <v>46</v>
      </c>
      <c r="W360" s="40" t="s">
        <v>0</v>
      </c>
      <c r="X360" s="58">
        <v>2.1</v>
      </c>
      <c r="Y360" s="55">
        <f>IFERROR(IF(X360="",0,CEILING((X360/$H360),1)*$H360),"")</f>
        <v>2.1</v>
      </c>
      <c r="Z360" s="41">
        <f>IFERROR(IF(Y360=0,"",ROUNDUP(Y360/H360,0)*0.00651),"")</f>
        <v>6.5100000000000002E-3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2.34</v>
      </c>
      <c r="BN360" s="78">
        <f>IFERROR(Y360*I360/H360,"0")</f>
        <v>2.34</v>
      </c>
      <c r="BO360" s="78">
        <f>IFERROR(1/J360*(X360/H360),"0")</f>
        <v>5.4945054945054949E-3</v>
      </c>
      <c r="BP360" s="78">
        <f>IFERROR(1/J360*(Y360/H360),"0")</f>
        <v>5.4945054945054949E-3</v>
      </c>
    </row>
    <row r="361" spans="1:68" x14ac:dyDescent="0.2">
      <c r="A361" s="579"/>
      <c r="B361" s="579"/>
      <c r="C361" s="579"/>
      <c r="D361" s="579"/>
      <c r="E361" s="579"/>
      <c r="F361" s="579"/>
      <c r="G361" s="579"/>
      <c r="H361" s="579"/>
      <c r="I361" s="579"/>
      <c r="J361" s="579"/>
      <c r="K361" s="579"/>
      <c r="L361" s="579"/>
      <c r="M361" s="579"/>
      <c r="N361" s="579"/>
      <c r="O361" s="580"/>
      <c r="P361" s="576" t="s">
        <v>40</v>
      </c>
      <c r="Q361" s="577"/>
      <c r="R361" s="577"/>
      <c r="S361" s="577"/>
      <c r="T361" s="577"/>
      <c r="U361" s="577"/>
      <c r="V361" s="578"/>
      <c r="W361" s="42" t="s">
        <v>39</v>
      </c>
      <c r="X361" s="43">
        <f>IFERROR(X358/H358,"0")+IFERROR(X359/H359,"0")+IFERROR(X360/H360,"0")</f>
        <v>5.1666666666666661</v>
      </c>
      <c r="Y361" s="43">
        <f>IFERROR(Y358/H358,"0")+IFERROR(Y359/H359,"0")+IFERROR(Y360/H360,"0")</f>
        <v>6</v>
      </c>
      <c r="Z361" s="43">
        <f>IFERROR(IF(Z358="",0,Z358),"0")+IFERROR(IF(Z359="",0,Z359),"0")+IFERROR(IF(Z360="",0,Z360),"0")</f>
        <v>3.9060000000000004E-2</v>
      </c>
      <c r="AA361" s="67"/>
      <c r="AB361" s="67"/>
      <c r="AC361" s="67"/>
    </row>
    <row r="362" spans="1:68" x14ac:dyDescent="0.2">
      <c r="A362" s="579"/>
      <c r="B362" s="579"/>
      <c r="C362" s="579"/>
      <c r="D362" s="579"/>
      <c r="E362" s="579"/>
      <c r="F362" s="579"/>
      <c r="G362" s="579"/>
      <c r="H362" s="579"/>
      <c r="I362" s="579"/>
      <c r="J362" s="579"/>
      <c r="K362" s="579"/>
      <c r="L362" s="579"/>
      <c r="M362" s="579"/>
      <c r="N362" s="579"/>
      <c r="O362" s="580"/>
      <c r="P362" s="576" t="s">
        <v>40</v>
      </c>
      <c r="Q362" s="577"/>
      <c r="R362" s="577"/>
      <c r="S362" s="577"/>
      <c r="T362" s="577"/>
      <c r="U362" s="577"/>
      <c r="V362" s="578"/>
      <c r="W362" s="42" t="s">
        <v>0</v>
      </c>
      <c r="X362" s="43">
        <f>IFERROR(SUM(X358:X360),"0")</f>
        <v>10.85</v>
      </c>
      <c r="Y362" s="43">
        <f>IFERROR(SUM(Y358:Y360),"0")</f>
        <v>12.6</v>
      </c>
      <c r="Z362" s="42"/>
      <c r="AA362" s="67"/>
      <c r="AB362" s="67"/>
      <c r="AC362" s="67"/>
    </row>
    <row r="363" spans="1:68" ht="27.75" customHeight="1" x14ac:dyDescent="0.2">
      <c r="A363" s="599" t="s">
        <v>601</v>
      </c>
      <c r="B363" s="599"/>
      <c r="C363" s="599"/>
      <c r="D363" s="599"/>
      <c r="E363" s="599"/>
      <c r="F363" s="599"/>
      <c r="G363" s="599"/>
      <c r="H363" s="599"/>
      <c r="I363" s="599"/>
      <c r="J363" s="599"/>
      <c r="K363" s="599"/>
      <c r="L363" s="599"/>
      <c r="M363" s="599"/>
      <c r="N363" s="599"/>
      <c r="O363" s="599"/>
      <c r="P363" s="599"/>
      <c r="Q363" s="599"/>
      <c r="R363" s="599"/>
      <c r="S363" s="599"/>
      <c r="T363" s="599"/>
      <c r="U363" s="599"/>
      <c r="V363" s="599"/>
      <c r="W363" s="599"/>
      <c r="X363" s="599"/>
      <c r="Y363" s="599"/>
      <c r="Z363" s="599"/>
      <c r="AA363" s="54"/>
      <c r="AB363" s="54"/>
      <c r="AC363" s="54"/>
    </row>
    <row r="364" spans="1:68" ht="16.5" customHeight="1" x14ac:dyDescent="0.25">
      <c r="A364" s="589" t="s">
        <v>602</v>
      </c>
      <c r="B364" s="589"/>
      <c r="C364" s="589"/>
      <c r="D364" s="589"/>
      <c r="E364" s="589"/>
      <c r="F364" s="589"/>
      <c r="G364" s="589"/>
      <c r="H364" s="589"/>
      <c r="I364" s="589"/>
      <c r="J364" s="589"/>
      <c r="K364" s="589"/>
      <c r="L364" s="589"/>
      <c r="M364" s="589"/>
      <c r="N364" s="589"/>
      <c r="O364" s="589"/>
      <c r="P364" s="589"/>
      <c r="Q364" s="589"/>
      <c r="R364" s="589"/>
      <c r="S364" s="589"/>
      <c r="T364" s="589"/>
      <c r="U364" s="589"/>
      <c r="V364" s="589"/>
      <c r="W364" s="589"/>
      <c r="X364" s="589"/>
      <c r="Y364" s="589"/>
      <c r="Z364" s="589"/>
      <c r="AA364" s="65"/>
      <c r="AB364" s="65"/>
      <c r="AC364" s="79"/>
    </row>
    <row r="365" spans="1:68" ht="14.25" customHeight="1" x14ac:dyDescent="0.25">
      <c r="A365" s="590" t="s">
        <v>122</v>
      </c>
      <c r="B365" s="590"/>
      <c r="C365" s="590"/>
      <c r="D365" s="590"/>
      <c r="E365" s="590"/>
      <c r="F365" s="590"/>
      <c r="G365" s="590"/>
      <c r="H365" s="590"/>
      <c r="I365" s="590"/>
      <c r="J365" s="590"/>
      <c r="K365" s="590"/>
      <c r="L365" s="590"/>
      <c r="M365" s="590"/>
      <c r="N365" s="590"/>
      <c r="O365" s="590"/>
      <c r="P365" s="590"/>
      <c r="Q365" s="590"/>
      <c r="R365" s="590"/>
      <c r="S365" s="590"/>
      <c r="T365" s="590"/>
      <c r="U365" s="590"/>
      <c r="V365" s="590"/>
      <c r="W365" s="590"/>
      <c r="X365" s="590"/>
      <c r="Y365" s="590"/>
      <c r="Z365" s="590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585">
        <v>4680115884847</v>
      </c>
      <c r="E366" s="585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6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587"/>
      <c r="R366" s="587"/>
      <c r="S366" s="587"/>
      <c r="T366" s="588"/>
      <c r="U366" s="39" t="s">
        <v>46</v>
      </c>
      <c r="V366" s="39" t="s">
        <v>46</v>
      </c>
      <c r="W366" s="40" t="s">
        <v>0</v>
      </c>
      <c r="X366" s="58"/>
      <c r="Y366" s="55">
        <f t="shared" ref="Y366:Y372" si="48">IFERROR(IF(X366="",0,CEILING((X366/$H366),1)*$H366),"")</f>
        <v>0</v>
      </c>
      <c r="Z366" s="41" t="str">
        <f>IFERROR(IF(Y366=0,"",ROUNDUP(Y366/H366,0)*0.02175),"")</f>
        <v/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0</v>
      </c>
      <c r="BN366" s="78">
        <f t="shared" ref="BN366:BN372" si="50">IFERROR(Y366*I366/H366,"0")</f>
        <v>0</v>
      </c>
      <c r="BO366" s="78">
        <f t="shared" ref="BO366:BO372" si="51">IFERROR(1/J366*(X366/H366),"0")</f>
        <v>0</v>
      </c>
      <c r="BP366" s="78">
        <f t="shared" ref="BP366:BP372" si="52">IFERROR(1/J366*(Y366/H366),"0")</f>
        <v>0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585">
        <v>4680115884854</v>
      </c>
      <c r="E367" s="585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6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587"/>
      <c r="R367" s="587"/>
      <c r="S367" s="587"/>
      <c r="T367" s="588"/>
      <c r="U367" s="39" t="s">
        <v>46</v>
      </c>
      <c r="V367" s="39" t="s">
        <v>46</v>
      </c>
      <c r="W367" s="40" t="s">
        <v>0</v>
      </c>
      <c r="X367" s="58"/>
      <c r="Y367" s="55">
        <f t="shared" si="48"/>
        <v>0</v>
      </c>
      <c r="Z367" s="41" t="str">
        <f>IFERROR(IF(Y367=0,"",ROUNDUP(Y367/H367,0)*0.02175),"")</f>
        <v/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0</v>
      </c>
      <c r="BN367" s="78">
        <f t="shared" si="50"/>
        <v>0</v>
      </c>
      <c r="BO367" s="78">
        <f t="shared" si="51"/>
        <v>0</v>
      </c>
      <c r="BP367" s="78">
        <f t="shared" si="52"/>
        <v>0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585">
        <v>4680115884830</v>
      </c>
      <c r="E368" s="585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6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587"/>
      <c r="R368" s="587"/>
      <c r="S368" s="587"/>
      <c r="T368" s="588"/>
      <c r="U368" s="39" t="s">
        <v>46</v>
      </c>
      <c r="V368" s="39" t="s">
        <v>46</v>
      </c>
      <c r="W368" s="40" t="s">
        <v>0</v>
      </c>
      <c r="X368" s="58">
        <v>200</v>
      </c>
      <c r="Y368" s="55">
        <f t="shared" si="48"/>
        <v>210</v>
      </c>
      <c r="Z368" s="41">
        <f>IFERROR(IF(Y368=0,"",ROUNDUP(Y368/H368,0)*0.02175),"")</f>
        <v>0.30449999999999999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206.26666666666668</v>
      </c>
      <c r="BN368" s="78">
        <f t="shared" si="50"/>
        <v>216.58</v>
      </c>
      <c r="BO368" s="78">
        <f t="shared" si="51"/>
        <v>0.27777777777777779</v>
      </c>
      <c r="BP368" s="78">
        <f t="shared" si="52"/>
        <v>0.29166666666666663</v>
      </c>
    </row>
    <row r="369" spans="1:68" ht="27" customHeight="1" x14ac:dyDescent="0.25">
      <c r="A369" s="63" t="s">
        <v>612</v>
      </c>
      <c r="B369" s="63" t="s">
        <v>613</v>
      </c>
      <c r="C369" s="36">
        <v>4301012215</v>
      </c>
      <c r="D369" s="585">
        <v>4680115887046</v>
      </c>
      <c r="E369" s="585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6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587"/>
      <c r="R369" s="587"/>
      <c r="S369" s="587"/>
      <c r="T369" s="58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4301011433</v>
      </c>
      <c r="D370" s="585">
        <v>4680115882638</v>
      </c>
      <c r="E370" s="58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6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587"/>
      <c r="R370" s="587"/>
      <c r="S370" s="587"/>
      <c r="T370" s="58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4301011952</v>
      </c>
      <c r="D371" s="585">
        <v>4680115884922</v>
      </c>
      <c r="E371" s="585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6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587"/>
      <c r="R371" s="587"/>
      <c r="S371" s="587"/>
      <c r="T371" s="58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customHeight="1" x14ac:dyDescent="0.25">
      <c r="A372" s="63" t="s">
        <v>621</v>
      </c>
      <c r="B372" s="63" t="s">
        <v>622</v>
      </c>
      <c r="C372" s="36">
        <v>4301011868</v>
      </c>
      <c r="D372" s="585">
        <v>4680115884861</v>
      </c>
      <c r="E372" s="585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587"/>
      <c r="R372" s="587"/>
      <c r="S372" s="587"/>
      <c r="T372" s="58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579"/>
      <c r="B373" s="579"/>
      <c r="C373" s="579"/>
      <c r="D373" s="579"/>
      <c r="E373" s="579"/>
      <c r="F373" s="579"/>
      <c r="G373" s="579"/>
      <c r="H373" s="579"/>
      <c r="I373" s="579"/>
      <c r="J373" s="579"/>
      <c r="K373" s="579"/>
      <c r="L373" s="579"/>
      <c r="M373" s="579"/>
      <c r="N373" s="579"/>
      <c r="O373" s="580"/>
      <c r="P373" s="576" t="s">
        <v>40</v>
      </c>
      <c r="Q373" s="577"/>
      <c r="R373" s="577"/>
      <c r="S373" s="577"/>
      <c r="T373" s="577"/>
      <c r="U373" s="577"/>
      <c r="V373" s="578"/>
      <c r="W373" s="42" t="s">
        <v>39</v>
      </c>
      <c r="X373" s="43">
        <f>IFERROR(X366/H366,"0")+IFERROR(X367/H367,"0")+IFERROR(X368/H368,"0")+IFERROR(X369/H369,"0")+IFERROR(X370/H370,"0")+IFERROR(X371/H371,"0")+IFERROR(X372/H372,"0")</f>
        <v>13.333333333333334</v>
      </c>
      <c r="Y373" s="43">
        <f>IFERROR(Y366/H366,"0")+IFERROR(Y367/H367,"0")+IFERROR(Y368/H368,"0")+IFERROR(Y369/H369,"0")+IFERROR(Y370/H370,"0")+IFERROR(Y371/H371,"0")+IFERROR(Y372/H372,"0")</f>
        <v>14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0.30449999999999999</v>
      </c>
      <c r="AA373" s="67"/>
      <c r="AB373" s="67"/>
      <c r="AC373" s="67"/>
    </row>
    <row r="374" spans="1:68" x14ac:dyDescent="0.2">
      <c r="A374" s="579"/>
      <c r="B374" s="579"/>
      <c r="C374" s="579"/>
      <c r="D374" s="579"/>
      <c r="E374" s="579"/>
      <c r="F374" s="579"/>
      <c r="G374" s="579"/>
      <c r="H374" s="579"/>
      <c r="I374" s="579"/>
      <c r="J374" s="579"/>
      <c r="K374" s="579"/>
      <c r="L374" s="579"/>
      <c r="M374" s="579"/>
      <c r="N374" s="579"/>
      <c r="O374" s="580"/>
      <c r="P374" s="576" t="s">
        <v>40</v>
      </c>
      <c r="Q374" s="577"/>
      <c r="R374" s="577"/>
      <c r="S374" s="577"/>
      <c r="T374" s="577"/>
      <c r="U374" s="577"/>
      <c r="V374" s="578"/>
      <c r="W374" s="42" t="s">
        <v>0</v>
      </c>
      <c r="X374" s="43">
        <f>IFERROR(SUM(X366:X372),"0")</f>
        <v>200</v>
      </c>
      <c r="Y374" s="43">
        <f>IFERROR(SUM(Y366:Y372),"0")</f>
        <v>210</v>
      </c>
      <c r="Z374" s="42"/>
      <c r="AA374" s="67"/>
      <c r="AB374" s="67"/>
      <c r="AC374" s="67"/>
    </row>
    <row r="375" spans="1:68" ht="14.25" customHeight="1" x14ac:dyDescent="0.25">
      <c r="A375" s="590" t="s">
        <v>156</v>
      </c>
      <c r="B375" s="590"/>
      <c r="C375" s="590"/>
      <c r="D375" s="590"/>
      <c r="E375" s="590"/>
      <c r="F375" s="590"/>
      <c r="G375" s="590"/>
      <c r="H375" s="590"/>
      <c r="I375" s="590"/>
      <c r="J375" s="590"/>
      <c r="K375" s="590"/>
      <c r="L375" s="590"/>
      <c r="M375" s="590"/>
      <c r="N375" s="590"/>
      <c r="O375" s="590"/>
      <c r="P375" s="590"/>
      <c r="Q375" s="590"/>
      <c r="R375" s="590"/>
      <c r="S375" s="590"/>
      <c r="T375" s="590"/>
      <c r="U375" s="590"/>
      <c r="V375" s="590"/>
      <c r="W375" s="590"/>
      <c r="X375" s="590"/>
      <c r="Y375" s="590"/>
      <c r="Z375" s="590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585">
        <v>4607091383980</v>
      </c>
      <c r="E376" s="585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6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587"/>
      <c r="R376" s="587"/>
      <c r="S376" s="587"/>
      <c r="T376" s="588"/>
      <c r="U376" s="39" t="s">
        <v>46</v>
      </c>
      <c r="V376" s="39" t="s">
        <v>46</v>
      </c>
      <c r="W376" s="40" t="s">
        <v>0</v>
      </c>
      <c r="X376" s="58">
        <v>200</v>
      </c>
      <c r="Y376" s="55">
        <f>IFERROR(IF(X376="",0,CEILING((X376/$H376),1)*$H376),"")</f>
        <v>210</v>
      </c>
      <c r="Z376" s="41">
        <f>IFERROR(IF(Y376=0,"",ROUNDUP(Y376/H376,0)*0.02175),"")</f>
        <v>0.30449999999999999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206.26666666666668</v>
      </c>
      <c r="BN376" s="78">
        <f>IFERROR(Y376*I376/H376,"0")</f>
        <v>216.58</v>
      </c>
      <c r="BO376" s="78">
        <f>IFERROR(1/J376*(X376/H376),"0")</f>
        <v>0.27777777777777779</v>
      </c>
      <c r="BP376" s="78">
        <f>IFERROR(1/J376*(Y376/H376),"0")</f>
        <v>0.29166666666666663</v>
      </c>
    </row>
    <row r="377" spans="1:68" ht="27" customHeight="1" x14ac:dyDescent="0.25">
      <c r="A377" s="63" t="s">
        <v>626</v>
      </c>
      <c r="B377" s="63" t="s">
        <v>627</v>
      </c>
      <c r="C377" s="36">
        <v>4301020179</v>
      </c>
      <c r="D377" s="585">
        <v>4607091384178</v>
      </c>
      <c r="E377" s="58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6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587"/>
      <c r="R377" s="587"/>
      <c r="S377" s="587"/>
      <c r="T377" s="588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579"/>
      <c r="B378" s="579"/>
      <c r="C378" s="579"/>
      <c r="D378" s="579"/>
      <c r="E378" s="579"/>
      <c r="F378" s="579"/>
      <c r="G378" s="579"/>
      <c r="H378" s="579"/>
      <c r="I378" s="579"/>
      <c r="J378" s="579"/>
      <c r="K378" s="579"/>
      <c r="L378" s="579"/>
      <c r="M378" s="579"/>
      <c r="N378" s="579"/>
      <c r="O378" s="580"/>
      <c r="P378" s="576" t="s">
        <v>40</v>
      </c>
      <c r="Q378" s="577"/>
      <c r="R378" s="577"/>
      <c r="S378" s="577"/>
      <c r="T378" s="577"/>
      <c r="U378" s="577"/>
      <c r="V378" s="578"/>
      <c r="W378" s="42" t="s">
        <v>39</v>
      </c>
      <c r="X378" s="43">
        <f>IFERROR(X376/H376,"0")+IFERROR(X377/H377,"0")</f>
        <v>13.333333333333334</v>
      </c>
      <c r="Y378" s="43">
        <f>IFERROR(Y376/H376,"0")+IFERROR(Y377/H377,"0")</f>
        <v>14</v>
      </c>
      <c r="Z378" s="43">
        <f>IFERROR(IF(Z376="",0,Z376),"0")+IFERROR(IF(Z377="",0,Z377),"0")</f>
        <v>0.30449999999999999</v>
      </c>
      <c r="AA378" s="67"/>
      <c r="AB378" s="67"/>
      <c r="AC378" s="67"/>
    </row>
    <row r="379" spans="1:68" x14ac:dyDescent="0.2">
      <c r="A379" s="579"/>
      <c r="B379" s="579"/>
      <c r="C379" s="579"/>
      <c r="D379" s="579"/>
      <c r="E379" s="579"/>
      <c r="F379" s="579"/>
      <c r="G379" s="579"/>
      <c r="H379" s="579"/>
      <c r="I379" s="579"/>
      <c r="J379" s="579"/>
      <c r="K379" s="579"/>
      <c r="L379" s="579"/>
      <c r="M379" s="579"/>
      <c r="N379" s="579"/>
      <c r="O379" s="580"/>
      <c r="P379" s="576" t="s">
        <v>40</v>
      </c>
      <c r="Q379" s="577"/>
      <c r="R379" s="577"/>
      <c r="S379" s="577"/>
      <c r="T379" s="577"/>
      <c r="U379" s="577"/>
      <c r="V379" s="578"/>
      <c r="W379" s="42" t="s">
        <v>0</v>
      </c>
      <c r="X379" s="43">
        <f>IFERROR(SUM(X376:X377),"0")</f>
        <v>200</v>
      </c>
      <c r="Y379" s="43">
        <f>IFERROR(SUM(Y376:Y377),"0")</f>
        <v>210</v>
      </c>
      <c r="Z379" s="42"/>
      <c r="AA379" s="67"/>
      <c r="AB379" s="67"/>
      <c r="AC379" s="67"/>
    </row>
    <row r="380" spans="1:68" ht="14.25" customHeight="1" x14ac:dyDescent="0.25">
      <c r="A380" s="590" t="s">
        <v>87</v>
      </c>
      <c r="B380" s="590"/>
      <c r="C380" s="590"/>
      <c r="D380" s="590"/>
      <c r="E380" s="590"/>
      <c r="F380" s="590"/>
      <c r="G380" s="590"/>
      <c r="H380" s="590"/>
      <c r="I380" s="590"/>
      <c r="J380" s="590"/>
      <c r="K380" s="590"/>
      <c r="L380" s="590"/>
      <c r="M380" s="590"/>
      <c r="N380" s="590"/>
      <c r="O380" s="590"/>
      <c r="P380" s="590"/>
      <c r="Q380" s="590"/>
      <c r="R380" s="590"/>
      <c r="S380" s="590"/>
      <c r="T380" s="590"/>
      <c r="U380" s="590"/>
      <c r="V380" s="590"/>
      <c r="W380" s="590"/>
      <c r="X380" s="590"/>
      <c r="Y380" s="590"/>
      <c r="Z380" s="590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4301051903</v>
      </c>
      <c r="D381" s="585">
        <v>4607091383928</v>
      </c>
      <c r="E381" s="585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64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587"/>
      <c r="R381" s="587"/>
      <c r="S381" s="587"/>
      <c r="T381" s="58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4301051897</v>
      </c>
      <c r="D382" s="585">
        <v>4607091384260</v>
      </c>
      <c r="E382" s="585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64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587"/>
      <c r="R382" s="587"/>
      <c r="S382" s="587"/>
      <c r="T382" s="58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579"/>
      <c r="B383" s="579"/>
      <c r="C383" s="579"/>
      <c r="D383" s="579"/>
      <c r="E383" s="579"/>
      <c r="F383" s="579"/>
      <c r="G383" s="579"/>
      <c r="H383" s="579"/>
      <c r="I383" s="579"/>
      <c r="J383" s="579"/>
      <c r="K383" s="579"/>
      <c r="L383" s="579"/>
      <c r="M383" s="579"/>
      <c r="N383" s="579"/>
      <c r="O383" s="580"/>
      <c r="P383" s="576" t="s">
        <v>40</v>
      </c>
      <c r="Q383" s="577"/>
      <c r="R383" s="577"/>
      <c r="S383" s="577"/>
      <c r="T383" s="577"/>
      <c r="U383" s="577"/>
      <c r="V383" s="578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579"/>
      <c r="B384" s="579"/>
      <c r="C384" s="579"/>
      <c r="D384" s="579"/>
      <c r="E384" s="579"/>
      <c r="F384" s="579"/>
      <c r="G384" s="579"/>
      <c r="H384" s="579"/>
      <c r="I384" s="579"/>
      <c r="J384" s="579"/>
      <c r="K384" s="579"/>
      <c r="L384" s="579"/>
      <c r="M384" s="579"/>
      <c r="N384" s="579"/>
      <c r="O384" s="580"/>
      <c r="P384" s="576" t="s">
        <v>40</v>
      </c>
      <c r="Q384" s="577"/>
      <c r="R384" s="577"/>
      <c r="S384" s="577"/>
      <c r="T384" s="577"/>
      <c r="U384" s="577"/>
      <c r="V384" s="578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590" t="s">
        <v>176</v>
      </c>
      <c r="B385" s="590"/>
      <c r="C385" s="590"/>
      <c r="D385" s="590"/>
      <c r="E385" s="590"/>
      <c r="F385" s="590"/>
      <c r="G385" s="590"/>
      <c r="H385" s="590"/>
      <c r="I385" s="590"/>
      <c r="J385" s="590"/>
      <c r="K385" s="590"/>
      <c r="L385" s="590"/>
      <c r="M385" s="590"/>
      <c r="N385" s="590"/>
      <c r="O385" s="590"/>
      <c r="P385" s="590"/>
      <c r="Q385" s="590"/>
      <c r="R385" s="590"/>
      <c r="S385" s="590"/>
      <c r="T385" s="590"/>
      <c r="U385" s="590"/>
      <c r="V385" s="590"/>
      <c r="W385" s="590"/>
      <c r="X385" s="590"/>
      <c r="Y385" s="590"/>
      <c r="Z385" s="590"/>
      <c r="AA385" s="66"/>
      <c r="AB385" s="66"/>
      <c r="AC385" s="80"/>
    </row>
    <row r="386" spans="1:68" ht="16.5" customHeight="1" x14ac:dyDescent="0.25">
      <c r="A386" s="63" t="s">
        <v>635</v>
      </c>
      <c r="B386" s="63" t="s">
        <v>636</v>
      </c>
      <c r="C386" s="36">
        <v>4301060524</v>
      </c>
      <c r="D386" s="585">
        <v>4607091384673</v>
      </c>
      <c r="E386" s="585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6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587"/>
      <c r="R386" s="587"/>
      <c r="S386" s="587"/>
      <c r="T386" s="58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79"/>
      <c r="B387" s="579"/>
      <c r="C387" s="579"/>
      <c r="D387" s="579"/>
      <c r="E387" s="579"/>
      <c r="F387" s="579"/>
      <c r="G387" s="579"/>
      <c r="H387" s="579"/>
      <c r="I387" s="579"/>
      <c r="J387" s="579"/>
      <c r="K387" s="579"/>
      <c r="L387" s="579"/>
      <c r="M387" s="579"/>
      <c r="N387" s="579"/>
      <c r="O387" s="580"/>
      <c r="P387" s="576" t="s">
        <v>40</v>
      </c>
      <c r="Q387" s="577"/>
      <c r="R387" s="577"/>
      <c r="S387" s="577"/>
      <c r="T387" s="577"/>
      <c r="U387" s="577"/>
      <c r="V387" s="578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x14ac:dyDescent="0.2">
      <c r="A388" s="579"/>
      <c r="B388" s="579"/>
      <c r="C388" s="579"/>
      <c r="D388" s="579"/>
      <c r="E388" s="579"/>
      <c r="F388" s="579"/>
      <c r="G388" s="579"/>
      <c r="H388" s="579"/>
      <c r="I388" s="579"/>
      <c r="J388" s="579"/>
      <c r="K388" s="579"/>
      <c r="L388" s="579"/>
      <c r="M388" s="579"/>
      <c r="N388" s="579"/>
      <c r="O388" s="580"/>
      <c r="P388" s="576" t="s">
        <v>40</v>
      </c>
      <c r="Q388" s="577"/>
      <c r="R388" s="577"/>
      <c r="S388" s="577"/>
      <c r="T388" s="577"/>
      <c r="U388" s="577"/>
      <c r="V388" s="578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customHeight="1" x14ac:dyDescent="0.25">
      <c r="A389" s="589" t="s">
        <v>638</v>
      </c>
      <c r="B389" s="589"/>
      <c r="C389" s="589"/>
      <c r="D389" s="589"/>
      <c r="E389" s="589"/>
      <c r="F389" s="589"/>
      <c r="G389" s="589"/>
      <c r="H389" s="589"/>
      <c r="I389" s="589"/>
      <c r="J389" s="589"/>
      <c r="K389" s="589"/>
      <c r="L389" s="589"/>
      <c r="M389" s="589"/>
      <c r="N389" s="589"/>
      <c r="O389" s="589"/>
      <c r="P389" s="589"/>
      <c r="Q389" s="589"/>
      <c r="R389" s="589"/>
      <c r="S389" s="589"/>
      <c r="T389" s="589"/>
      <c r="U389" s="589"/>
      <c r="V389" s="589"/>
      <c r="W389" s="589"/>
      <c r="X389" s="589"/>
      <c r="Y389" s="589"/>
      <c r="Z389" s="589"/>
      <c r="AA389" s="65"/>
      <c r="AB389" s="65"/>
      <c r="AC389" s="79"/>
    </row>
    <row r="390" spans="1:68" ht="14.25" customHeight="1" x14ac:dyDescent="0.25">
      <c r="A390" s="590" t="s">
        <v>122</v>
      </c>
      <c r="B390" s="590"/>
      <c r="C390" s="590"/>
      <c r="D390" s="590"/>
      <c r="E390" s="590"/>
      <c r="F390" s="590"/>
      <c r="G390" s="590"/>
      <c r="H390" s="590"/>
      <c r="I390" s="590"/>
      <c r="J390" s="590"/>
      <c r="K390" s="590"/>
      <c r="L390" s="590"/>
      <c r="M390" s="590"/>
      <c r="N390" s="590"/>
      <c r="O390" s="590"/>
      <c r="P390" s="590"/>
      <c r="Q390" s="590"/>
      <c r="R390" s="590"/>
      <c r="S390" s="590"/>
      <c r="T390" s="590"/>
      <c r="U390" s="590"/>
      <c r="V390" s="590"/>
      <c r="W390" s="590"/>
      <c r="X390" s="590"/>
      <c r="Y390" s="590"/>
      <c r="Z390" s="590"/>
      <c r="AA390" s="66"/>
      <c r="AB390" s="66"/>
      <c r="AC390" s="80"/>
    </row>
    <row r="391" spans="1:68" ht="37.5" customHeight="1" x14ac:dyDescent="0.25">
      <c r="A391" s="63" t="s">
        <v>639</v>
      </c>
      <c r="B391" s="63" t="s">
        <v>640</v>
      </c>
      <c r="C391" s="36">
        <v>4301011875</v>
      </c>
      <c r="D391" s="585">
        <v>4680115884885</v>
      </c>
      <c r="E391" s="585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6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587"/>
      <c r="R391" s="587"/>
      <c r="S391" s="587"/>
      <c r="T391" s="588"/>
      <c r="U391" s="39" t="s">
        <v>46</v>
      </c>
      <c r="V391" s="39" t="s">
        <v>46</v>
      </c>
      <c r="W391" s="40" t="s">
        <v>0</v>
      </c>
      <c r="X391" s="58">
        <v>20</v>
      </c>
      <c r="Y391" s="55">
        <f>IFERROR(IF(X391="",0,CEILING((X391/$H391),1)*$H391),"")</f>
        <v>24</v>
      </c>
      <c r="Z391" s="41">
        <f>IFERROR(IF(Y391=0,"",ROUNDUP(Y391/H391,0)*0.01898),"")</f>
        <v>3.7960000000000001E-2</v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20.683333333333334</v>
      </c>
      <c r="BN391" s="78">
        <f>IFERROR(Y391*I391/H391,"0")</f>
        <v>24.820000000000004</v>
      </c>
      <c r="BO391" s="78">
        <f>IFERROR(1/J391*(X391/H391),"0")</f>
        <v>2.6041666666666668E-2</v>
      </c>
      <c r="BP391" s="78">
        <f>IFERROR(1/J391*(Y391/H391),"0")</f>
        <v>3.125E-2</v>
      </c>
    </row>
    <row r="392" spans="1:68" ht="37.5" customHeight="1" x14ac:dyDescent="0.25">
      <c r="A392" s="63" t="s">
        <v>642</v>
      </c>
      <c r="B392" s="63" t="s">
        <v>643</v>
      </c>
      <c r="C392" s="36">
        <v>4301011871</v>
      </c>
      <c r="D392" s="585">
        <v>4680115884908</v>
      </c>
      <c r="E392" s="585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6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587"/>
      <c r="R392" s="587"/>
      <c r="S392" s="587"/>
      <c r="T392" s="58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579"/>
      <c r="B393" s="579"/>
      <c r="C393" s="579"/>
      <c r="D393" s="579"/>
      <c r="E393" s="579"/>
      <c r="F393" s="579"/>
      <c r="G393" s="579"/>
      <c r="H393" s="579"/>
      <c r="I393" s="579"/>
      <c r="J393" s="579"/>
      <c r="K393" s="579"/>
      <c r="L393" s="579"/>
      <c r="M393" s="579"/>
      <c r="N393" s="579"/>
      <c r="O393" s="580"/>
      <c r="P393" s="576" t="s">
        <v>40</v>
      </c>
      <c r="Q393" s="577"/>
      <c r="R393" s="577"/>
      <c r="S393" s="577"/>
      <c r="T393" s="577"/>
      <c r="U393" s="577"/>
      <c r="V393" s="578"/>
      <c r="W393" s="42" t="s">
        <v>39</v>
      </c>
      <c r="X393" s="43">
        <f>IFERROR(X391/H391,"0")+IFERROR(X392/H392,"0")</f>
        <v>1.6666666666666667</v>
      </c>
      <c r="Y393" s="43">
        <f>IFERROR(Y391/H391,"0")+IFERROR(Y392/H392,"0")</f>
        <v>2</v>
      </c>
      <c r="Z393" s="43">
        <f>IFERROR(IF(Z391="",0,Z391),"0")+IFERROR(IF(Z392="",0,Z392),"0")</f>
        <v>3.7960000000000001E-2</v>
      </c>
      <c r="AA393" s="67"/>
      <c r="AB393" s="67"/>
      <c r="AC393" s="67"/>
    </row>
    <row r="394" spans="1:68" x14ac:dyDescent="0.2">
      <c r="A394" s="579"/>
      <c r="B394" s="579"/>
      <c r="C394" s="579"/>
      <c r="D394" s="579"/>
      <c r="E394" s="579"/>
      <c r="F394" s="579"/>
      <c r="G394" s="579"/>
      <c r="H394" s="579"/>
      <c r="I394" s="579"/>
      <c r="J394" s="579"/>
      <c r="K394" s="579"/>
      <c r="L394" s="579"/>
      <c r="M394" s="579"/>
      <c r="N394" s="579"/>
      <c r="O394" s="580"/>
      <c r="P394" s="576" t="s">
        <v>40</v>
      </c>
      <c r="Q394" s="577"/>
      <c r="R394" s="577"/>
      <c r="S394" s="577"/>
      <c r="T394" s="577"/>
      <c r="U394" s="577"/>
      <c r="V394" s="578"/>
      <c r="W394" s="42" t="s">
        <v>0</v>
      </c>
      <c r="X394" s="43">
        <f>IFERROR(SUM(X391:X392),"0")</f>
        <v>20</v>
      </c>
      <c r="Y394" s="43">
        <f>IFERROR(SUM(Y391:Y392),"0")</f>
        <v>24</v>
      </c>
      <c r="Z394" s="42"/>
      <c r="AA394" s="67"/>
      <c r="AB394" s="67"/>
      <c r="AC394" s="67"/>
    </row>
    <row r="395" spans="1:68" ht="14.25" customHeight="1" x14ac:dyDescent="0.25">
      <c r="A395" s="590" t="s">
        <v>77</v>
      </c>
      <c r="B395" s="590"/>
      <c r="C395" s="590"/>
      <c r="D395" s="590"/>
      <c r="E395" s="590"/>
      <c r="F395" s="590"/>
      <c r="G395" s="590"/>
      <c r="H395" s="590"/>
      <c r="I395" s="590"/>
      <c r="J395" s="590"/>
      <c r="K395" s="590"/>
      <c r="L395" s="590"/>
      <c r="M395" s="590"/>
      <c r="N395" s="590"/>
      <c r="O395" s="590"/>
      <c r="P395" s="590"/>
      <c r="Q395" s="590"/>
      <c r="R395" s="590"/>
      <c r="S395" s="590"/>
      <c r="T395" s="590"/>
      <c r="U395" s="590"/>
      <c r="V395" s="590"/>
      <c r="W395" s="590"/>
      <c r="X395" s="590"/>
      <c r="Y395" s="590"/>
      <c r="Z395" s="590"/>
      <c r="AA395" s="66"/>
      <c r="AB395" s="66"/>
      <c r="AC395" s="80"/>
    </row>
    <row r="396" spans="1:68" ht="27" customHeight="1" x14ac:dyDescent="0.25">
      <c r="A396" s="63" t="s">
        <v>644</v>
      </c>
      <c r="B396" s="63" t="s">
        <v>645</v>
      </c>
      <c r="C396" s="36">
        <v>4301031457</v>
      </c>
      <c r="D396" s="585">
        <v>4607091384802</v>
      </c>
      <c r="E396" s="585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6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587"/>
      <c r="R396" s="587"/>
      <c r="S396" s="587"/>
      <c r="T396" s="58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579"/>
      <c r="B397" s="579"/>
      <c r="C397" s="579"/>
      <c r="D397" s="579"/>
      <c r="E397" s="579"/>
      <c r="F397" s="579"/>
      <c r="G397" s="579"/>
      <c r="H397" s="579"/>
      <c r="I397" s="579"/>
      <c r="J397" s="579"/>
      <c r="K397" s="579"/>
      <c r="L397" s="579"/>
      <c r="M397" s="579"/>
      <c r="N397" s="579"/>
      <c r="O397" s="580"/>
      <c r="P397" s="576" t="s">
        <v>40</v>
      </c>
      <c r="Q397" s="577"/>
      <c r="R397" s="577"/>
      <c r="S397" s="577"/>
      <c r="T397" s="577"/>
      <c r="U397" s="577"/>
      <c r="V397" s="578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x14ac:dyDescent="0.2">
      <c r="A398" s="579"/>
      <c r="B398" s="579"/>
      <c r="C398" s="579"/>
      <c r="D398" s="579"/>
      <c r="E398" s="579"/>
      <c r="F398" s="579"/>
      <c r="G398" s="579"/>
      <c r="H398" s="579"/>
      <c r="I398" s="579"/>
      <c r="J398" s="579"/>
      <c r="K398" s="579"/>
      <c r="L398" s="579"/>
      <c r="M398" s="579"/>
      <c r="N398" s="579"/>
      <c r="O398" s="580"/>
      <c r="P398" s="576" t="s">
        <v>40</v>
      </c>
      <c r="Q398" s="577"/>
      <c r="R398" s="577"/>
      <c r="S398" s="577"/>
      <c r="T398" s="577"/>
      <c r="U398" s="577"/>
      <c r="V398" s="578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customHeight="1" x14ac:dyDescent="0.25">
      <c r="A399" s="590" t="s">
        <v>87</v>
      </c>
      <c r="B399" s="590"/>
      <c r="C399" s="590"/>
      <c r="D399" s="590"/>
      <c r="E399" s="590"/>
      <c r="F399" s="590"/>
      <c r="G399" s="590"/>
      <c r="H399" s="590"/>
      <c r="I399" s="590"/>
      <c r="J399" s="590"/>
      <c r="K399" s="590"/>
      <c r="L399" s="590"/>
      <c r="M399" s="590"/>
      <c r="N399" s="590"/>
      <c r="O399" s="590"/>
      <c r="P399" s="590"/>
      <c r="Q399" s="590"/>
      <c r="R399" s="590"/>
      <c r="S399" s="590"/>
      <c r="T399" s="590"/>
      <c r="U399" s="590"/>
      <c r="V399" s="590"/>
      <c r="W399" s="590"/>
      <c r="X399" s="590"/>
      <c r="Y399" s="590"/>
      <c r="Z399" s="590"/>
      <c r="AA399" s="66"/>
      <c r="AB399" s="66"/>
      <c r="AC399" s="80"/>
    </row>
    <row r="400" spans="1:68" ht="27" customHeight="1" x14ac:dyDescent="0.25">
      <c r="A400" s="63" t="s">
        <v>647</v>
      </c>
      <c r="B400" s="63" t="s">
        <v>648</v>
      </c>
      <c r="C400" s="36">
        <v>4301051899</v>
      </c>
      <c r="D400" s="585">
        <v>4607091384246</v>
      </c>
      <c r="E400" s="585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6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587"/>
      <c r="R400" s="587"/>
      <c r="S400" s="587"/>
      <c r="T400" s="58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650</v>
      </c>
      <c r="B401" s="63" t="s">
        <v>651</v>
      </c>
      <c r="C401" s="36">
        <v>4301051660</v>
      </c>
      <c r="D401" s="585">
        <v>4607091384253</v>
      </c>
      <c r="E401" s="585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6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587"/>
      <c r="R401" s="587"/>
      <c r="S401" s="587"/>
      <c r="T401" s="58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650</v>
      </c>
      <c r="B402" s="63" t="s">
        <v>652</v>
      </c>
      <c r="C402" s="36">
        <v>4301052069</v>
      </c>
      <c r="D402" s="585">
        <v>4607091384253</v>
      </c>
      <c r="E402" s="585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63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587"/>
      <c r="R402" s="587"/>
      <c r="S402" s="587"/>
      <c r="T402" s="58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579"/>
      <c r="B403" s="579"/>
      <c r="C403" s="579"/>
      <c r="D403" s="579"/>
      <c r="E403" s="579"/>
      <c r="F403" s="579"/>
      <c r="G403" s="579"/>
      <c r="H403" s="579"/>
      <c r="I403" s="579"/>
      <c r="J403" s="579"/>
      <c r="K403" s="579"/>
      <c r="L403" s="579"/>
      <c r="M403" s="579"/>
      <c r="N403" s="579"/>
      <c r="O403" s="580"/>
      <c r="P403" s="576" t="s">
        <v>40</v>
      </c>
      <c r="Q403" s="577"/>
      <c r="R403" s="577"/>
      <c r="S403" s="577"/>
      <c r="T403" s="577"/>
      <c r="U403" s="577"/>
      <c r="V403" s="578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579"/>
      <c r="B404" s="579"/>
      <c r="C404" s="579"/>
      <c r="D404" s="579"/>
      <c r="E404" s="579"/>
      <c r="F404" s="579"/>
      <c r="G404" s="579"/>
      <c r="H404" s="579"/>
      <c r="I404" s="579"/>
      <c r="J404" s="579"/>
      <c r="K404" s="579"/>
      <c r="L404" s="579"/>
      <c r="M404" s="579"/>
      <c r="N404" s="579"/>
      <c r="O404" s="580"/>
      <c r="P404" s="576" t="s">
        <v>40</v>
      </c>
      <c r="Q404" s="577"/>
      <c r="R404" s="577"/>
      <c r="S404" s="577"/>
      <c r="T404" s="577"/>
      <c r="U404" s="577"/>
      <c r="V404" s="578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customHeight="1" x14ac:dyDescent="0.2">
      <c r="A405" s="599" t="s">
        <v>654</v>
      </c>
      <c r="B405" s="599"/>
      <c r="C405" s="599"/>
      <c r="D405" s="599"/>
      <c r="E405" s="599"/>
      <c r="F405" s="599"/>
      <c r="G405" s="599"/>
      <c r="H405" s="599"/>
      <c r="I405" s="599"/>
      <c r="J405" s="599"/>
      <c r="K405" s="599"/>
      <c r="L405" s="599"/>
      <c r="M405" s="599"/>
      <c r="N405" s="599"/>
      <c r="O405" s="599"/>
      <c r="P405" s="599"/>
      <c r="Q405" s="599"/>
      <c r="R405" s="599"/>
      <c r="S405" s="599"/>
      <c r="T405" s="599"/>
      <c r="U405" s="599"/>
      <c r="V405" s="599"/>
      <c r="W405" s="599"/>
      <c r="X405" s="599"/>
      <c r="Y405" s="599"/>
      <c r="Z405" s="599"/>
      <c r="AA405" s="54"/>
      <c r="AB405" s="54"/>
      <c r="AC405" s="54"/>
    </row>
    <row r="406" spans="1:68" ht="16.5" customHeight="1" x14ac:dyDescent="0.25">
      <c r="A406" s="589" t="s">
        <v>655</v>
      </c>
      <c r="B406" s="589"/>
      <c r="C406" s="589"/>
      <c r="D406" s="589"/>
      <c r="E406" s="589"/>
      <c r="F406" s="589"/>
      <c r="G406" s="589"/>
      <c r="H406" s="589"/>
      <c r="I406" s="589"/>
      <c r="J406" s="589"/>
      <c r="K406" s="589"/>
      <c r="L406" s="589"/>
      <c r="M406" s="589"/>
      <c r="N406" s="589"/>
      <c r="O406" s="589"/>
      <c r="P406" s="589"/>
      <c r="Q406" s="589"/>
      <c r="R406" s="589"/>
      <c r="S406" s="589"/>
      <c r="T406" s="589"/>
      <c r="U406" s="589"/>
      <c r="V406" s="589"/>
      <c r="W406" s="589"/>
      <c r="X406" s="589"/>
      <c r="Y406" s="589"/>
      <c r="Z406" s="589"/>
      <c r="AA406" s="65"/>
      <c r="AB406" s="65"/>
      <c r="AC406" s="79"/>
    </row>
    <row r="407" spans="1:68" ht="14.25" customHeight="1" x14ac:dyDescent="0.25">
      <c r="A407" s="590" t="s">
        <v>77</v>
      </c>
      <c r="B407" s="590"/>
      <c r="C407" s="590"/>
      <c r="D407" s="590"/>
      <c r="E407" s="590"/>
      <c r="F407" s="590"/>
      <c r="G407" s="590"/>
      <c r="H407" s="590"/>
      <c r="I407" s="590"/>
      <c r="J407" s="590"/>
      <c r="K407" s="590"/>
      <c r="L407" s="590"/>
      <c r="M407" s="590"/>
      <c r="N407" s="590"/>
      <c r="O407" s="590"/>
      <c r="P407" s="590"/>
      <c r="Q407" s="590"/>
      <c r="R407" s="590"/>
      <c r="S407" s="590"/>
      <c r="T407" s="590"/>
      <c r="U407" s="590"/>
      <c r="V407" s="590"/>
      <c r="W407" s="590"/>
      <c r="X407" s="590"/>
      <c r="Y407" s="590"/>
      <c r="Z407" s="590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585">
        <v>4680115886100</v>
      </c>
      <c r="E408" s="585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63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587"/>
      <c r="R408" s="587"/>
      <c r="S408" s="587"/>
      <c r="T408" s="588"/>
      <c r="U408" s="39" t="s">
        <v>46</v>
      </c>
      <c r="V408" s="39" t="s">
        <v>46</v>
      </c>
      <c r="W408" s="40" t="s">
        <v>0</v>
      </c>
      <c r="X408" s="58"/>
      <c r="Y408" s="55">
        <f t="shared" ref="Y408:Y416" si="53">IFERROR(IF(X408="",0,CEILING((X408/$H408),1)*$H408),"")</f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0</v>
      </c>
      <c r="BN408" s="78">
        <f t="shared" ref="BN408:BN416" si="55">IFERROR(Y408*I408/H408,"0")</f>
        <v>0</v>
      </c>
      <c r="BO408" s="78">
        <f t="shared" ref="BO408:BO416" si="56">IFERROR(1/J408*(X408/H408),"0")</f>
        <v>0</v>
      </c>
      <c r="BP408" s="78">
        <f t="shared" ref="BP408:BP416" si="57">IFERROR(1/J408*(Y408/H408),"0")</f>
        <v>0</v>
      </c>
    </row>
    <row r="409" spans="1:68" ht="27" customHeight="1" x14ac:dyDescent="0.25">
      <c r="A409" s="63" t="s">
        <v>659</v>
      </c>
      <c r="B409" s="63" t="s">
        <v>660</v>
      </c>
      <c r="C409" s="36">
        <v>4301031406</v>
      </c>
      <c r="D409" s="585">
        <v>4680115886117</v>
      </c>
      <c r="E409" s="585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63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587"/>
      <c r="R409" s="587"/>
      <c r="S409" s="587"/>
      <c r="T409" s="588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585">
        <v>4680115886124</v>
      </c>
      <c r="E410" s="585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6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587"/>
      <c r="R410" s="587"/>
      <c r="S410" s="587"/>
      <c r="T410" s="588"/>
      <c r="U410" s="39" t="s">
        <v>46</v>
      </c>
      <c r="V410" s="39" t="s">
        <v>46</v>
      </c>
      <c r="W410" s="40" t="s">
        <v>0</v>
      </c>
      <c r="X410" s="58">
        <v>10</v>
      </c>
      <c r="Y410" s="55">
        <f t="shared" si="53"/>
        <v>10.8</v>
      </c>
      <c r="Z410" s="41">
        <f>IFERROR(IF(Y410=0,"",ROUNDUP(Y410/H410,0)*0.00902),"")</f>
        <v>1.804E-2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10.351851851851851</v>
      </c>
      <c r="BN410" s="78">
        <f t="shared" si="55"/>
        <v>11.18</v>
      </c>
      <c r="BO410" s="78">
        <f t="shared" si="56"/>
        <v>1.4029180695847361E-2</v>
      </c>
      <c r="BP410" s="78">
        <f t="shared" si="57"/>
        <v>1.5151515151515152E-2</v>
      </c>
    </row>
    <row r="411" spans="1:68" ht="27" customHeight="1" x14ac:dyDescent="0.25">
      <c r="A411" s="63" t="s">
        <v>665</v>
      </c>
      <c r="B411" s="63" t="s">
        <v>666</v>
      </c>
      <c r="C411" s="36">
        <v>4301031366</v>
      </c>
      <c r="D411" s="585">
        <v>4680115883147</v>
      </c>
      <c r="E411" s="585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62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587"/>
      <c r="R411" s="587"/>
      <c r="S411" s="587"/>
      <c r="T411" s="588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customHeight="1" x14ac:dyDescent="0.25">
      <c r="A412" s="63" t="s">
        <v>667</v>
      </c>
      <c r="B412" s="63" t="s">
        <v>668</v>
      </c>
      <c r="C412" s="36">
        <v>4301031362</v>
      </c>
      <c r="D412" s="585">
        <v>4607091384338</v>
      </c>
      <c r="E412" s="58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6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587"/>
      <c r="R412" s="587"/>
      <c r="S412" s="587"/>
      <c r="T412" s="588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customHeight="1" x14ac:dyDescent="0.25">
      <c r="A413" s="63" t="s">
        <v>669</v>
      </c>
      <c r="B413" s="63" t="s">
        <v>670</v>
      </c>
      <c r="C413" s="36">
        <v>4301031361</v>
      </c>
      <c r="D413" s="585">
        <v>4607091389524</v>
      </c>
      <c r="E413" s="585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63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587"/>
      <c r="R413" s="587"/>
      <c r="S413" s="587"/>
      <c r="T413" s="588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customHeight="1" x14ac:dyDescent="0.25">
      <c r="A414" s="63" t="s">
        <v>672</v>
      </c>
      <c r="B414" s="63" t="s">
        <v>673</v>
      </c>
      <c r="C414" s="36">
        <v>4301031364</v>
      </c>
      <c r="D414" s="585">
        <v>4680115883161</v>
      </c>
      <c r="E414" s="585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63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587"/>
      <c r="R414" s="587"/>
      <c r="S414" s="587"/>
      <c r="T414" s="588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 x14ac:dyDescent="0.25">
      <c r="A415" s="63" t="s">
        <v>675</v>
      </c>
      <c r="B415" s="63" t="s">
        <v>676</v>
      </c>
      <c r="C415" s="36">
        <v>4301031358</v>
      </c>
      <c r="D415" s="585">
        <v>4607091389531</v>
      </c>
      <c r="E415" s="585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6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587"/>
      <c r="R415" s="587"/>
      <c r="S415" s="587"/>
      <c r="T415" s="588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customHeight="1" x14ac:dyDescent="0.25">
      <c r="A416" s="63" t="s">
        <v>678</v>
      </c>
      <c r="B416" s="63" t="s">
        <v>679</v>
      </c>
      <c r="C416" s="36">
        <v>4301031360</v>
      </c>
      <c r="D416" s="585">
        <v>4607091384345</v>
      </c>
      <c r="E416" s="58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6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587"/>
      <c r="R416" s="587"/>
      <c r="S416" s="587"/>
      <c r="T416" s="588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579"/>
      <c r="B417" s="579"/>
      <c r="C417" s="579"/>
      <c r="D417" s="579"/>
      <c r="E417" s="579"/>
      <c r="F417" s="579"/>
      <c r="G417" s="579"/>
      <c r="H417" s="579"/>
      <c r="I417" s="579"/>
      <c r="J417" s="579"/>
      <c r="K417" s="579"/>
      <c r="L417" s="579"/>
      <c r="M417" s="579"/>
      <c r="N417" s="579"/>
      <c r="O417" s="580"/>
      <c r="P417" s="576" t="s">
        <v>40</v>
      </c>
      <c r="Q417" s="577"/>
      <c r="R417" s="577"/>
      <c r="S417" s="577"/>
      <c r="T417" s="577"/>
      <c r="U417" s="577"/>
      <c r="V417" s="578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1.8518518518518516</v>
      </c>
      <c r="Y417" s="43">
        <f>IFERROR(Y408/H408,"0")+IFERROR(Y409/H409,"0")+IFERROR(Y410/H410,"0")+IFERROR(Y411/H411,"0")+IFERROR(Y412/H412,"0")+IFERROR(Y413/H413,"0")+IFERROR(Y414/H414,"0")+IFERROR(Y415/H415,"0")+IFERROR(Y416/H416,"0")</f>
        <v>2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1.804E-2</v>
      </c>
      <c r="AA417" s="67"/>
      <c r="AB417" s="67"/>
      <c r="AC417" s="67"/>
    </row>
    <row r="418" spans="1:68" x14ac:dyDescent="0.2">
      <c r="A418" s="579"/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80"/>
      <c r="P418" s="576" t="s">
        <v>40</v>
      </c>
      <c r="Q418" s="577"/>
      <c r="R418" s="577"/>
      <c r="S418" s="577"/>
      <c r="T418" s="577"/>
      <c r="U418" s="577"/>
      <c r="V418" s="578"/>
      <c r="W418" s="42" t="s">
        <v>0</v>
      </c>
      <c r="X418" s="43">
        <f>IFERROR(SUM(X408:X416),"0")</f>
        <v>10</v>
      </c>
      <c r="Y418" s="43">
        <f>IFERROR(SUM(Y408:Y416),"0")</f>
        <v>10.8</v>
      </c>
      <c r="Z418" s="42"/>
      <c r="AA418" s="67"/>
      <c r="AB418" s="67"/>
      <c r="AC418" s="67"/>
    </row>
    <row r="419" spans="1:68" ht="14.25" customHeight="1" x14ac:dyDescent="0.25">
      <c r="A419" s="590" t="s">
        <v>87</v>
      </c>
      <c r="B419" s="590"/>
      <c r="C419" s="590"/>
      <c r="D419" s="590"/>
      <c r="E419" s="590"/>
      <c r="F419" s="590"/>
      <c r="G419" s="590"/>
      <c r="H419" s="590"/>
      <c r="I419" s="590"/>
      <c r="J419" s="590"/>
      <c r="K419" s="590"/>
      <c r="L419" s="590"/>
      <c r="M419" s="590"/>
      <c r="N419" s="590"/>
      <c r="O419" s="590"/>
      <c r="P419" s="590"/>
      <c r="Q419" s="590"/>
      <c r="R419" s="590"/>
      <c r="S419" s="590"/>
      <c r="T419" s="590"/>
      <c r="U419" s="590"/>
      <c r="V419" s="590"/>
      <c r="W419" s="590"/>
      <c r="X419" s="590"/>
      <c r="Y419" s="590"/>
      <c r="Z419" s="590"/>
      <c r="AA419" s="66"/>
      <c r="AB419" s="66"/>
      <c r="AC419" s="80"/>
    </row>
    <row r="420" spans="1:68" ht="27" customHeight="1" x14ac:dyDescent="0.25">
      <c r="A420" s="63" t="s">
        <v>680</v>
      </c>
      <c r="B420" s="63" t="s">
        <v>681</v>
      </c>
      <c r="C420" s="36">
        <v>4301051284</v>
      </c>
      <c r="D420" s="585">
        <v>4607091384352</v>
      </c>
      <c r="E420" s="585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6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587"/>
      <c r="R420" s="587"/>
      <c r="S420" s="587"/>
      <c r="T420" s="58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683</v>
      </c>
      <c r="B421" s="63" t="s">
        <v>684</v>
      </c>
      <c r="C421" s="36">
        <v>4301051431</v>
      </c>
      <c r="D421" s="585">
        <v>4607091389654</v>
      </c>
      <c r="E421" s="585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587"/>
      <c r="R421" s="587"/>
      <c r="S421" s="587"/>
      <c r="T421" s="58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579"/>
      <c r="B422" s="579"/>
      <c r="C422" s="579"/>
      <c r="D422" s="579"/>
      <c r="E422" s="579"/>
      <c r="F422" s="579"/>
      <c r="G422" s="579"/>
      <c r="H422" s="579"/>
      <c r="I422" s="579"/>
      <c r="J422" s="579"/>
      <c r="K422" s="579"/>
      <c r="L422" s="579"/>
      <c r="M422" s="579"/>
      <c r="N422" s="579"/>
      <c r="O422" s="580"/>
      <c r="P422" s="576" t="s">
        <v>40</v>
      </c>
      <c r="Q422" s="577"/>
      <c r="R422" s="577"/>
      <c r="S422" s="577"/>
      <c r="T422" s="577"/>
      <c r="U422" s="577"/>
      <c r="V422" s="578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579"/>
      <c r="B423" s="579"/>
      <c r="C423" s="579"/>
      <c r="D423" s="579"/>
      <c r="E423" s="579"/>
      <c r="F423" s="579"/>
      <c r="G423" s="579"/>
      <c r="H423" s="579"/>
      <c r="I423" s="579"/>
      <c r="J423" s="579"/>
      <c r="K423" s="579"/>
      <c r="L423" s="579"/>
      <c r="M423" s="579"/>
      <c r="N423" s="579"/>
      <c r="O423" s="580"/>
      <c r="P423" s="576" t="s">
        <v>40</v>
      </c>
      <c r="Q423" s="577"/>
      <c r="R423" s="577"/>
      <c r="S423" s="577"/>
      <c r="T423" s="577"/>
      <c r="U423" s="577"/>
      <c r="V423" s="578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customHeight="1" x14ac:dyDescent="0.25">
      <c r="A424" s="589" t="s">
        <v>686</v>
      </c>
      <c r="B424" s="589"/>
      <c r="C424" s="589"/>
      <c r="D424" s="589"/>
      <c r="E424" s="589"/>
      <c r="F424" s="589"/>
      <c r="G424" s="589"/>
      <c r="H424" s="589"/>
      <c r="I424" s="589"/>
      <c r="J424" s="589"/>
      <c r="K424" s="589"/>
      <c r="L424" s="589"/>
      <c r="M424" s="589"/>
      <c r="N424" s="589"/>
      <c r="O424" s="589"/>
      <c r="P424" s="589"/>
      <c r="Q424" s="589"/>
      <c r="R424" s="589"/>
      <c r="S424" s="589"/>
      <c r="T424" s="589"/>
      <c r="U424" s="589"/>
      <c r="V424" s="589"/>
      <c r="W424" s="589"/>
      <c r="X424" s="589"/>
      <c r="Y424" s="589"/>
      <c r="Z424" s="589"/>
      <c r="AA424" s="65"/>
      <c r="AB424" s="65"/>
      <c r="AC424" s="79"/>
    </row>
    <row r="425" spans="1:68" ht="14.25" customHeight="1" x14ac:dyDescent="0.25">
      <c r="A425" s="590" t="s">
        <v>156</v>
      </c>
      <c r="B425" s="590"/>
      <c r="C425" s="590"/>
      <c r="D425" s="590"/>
      <c r="E425" s="590"/>
      <c r="F425" s="590"/>
      <c r="G425" s="590"/>
      <c r="H425" s="590"/>
      <c r="I425" s="590"/>
      <c r="J425" s="590"/>
      <c r="K425" s="590"/>
      <c r="L425" s="590"/>
      <c r="M425" s="590"/>
      <c r="N425" s="590"/>
      <c r="O425" s="590"/>
      <c r="P425" s="590"/>
      <c r="Q425" s="590"/>
      <c r="R425" s="590"/>
      <c r="S425" s="590"/>
      <c r="T425" s="590"/>
      <c r="U425" s="590"/>
      <c r="V425" s="590"/>
      <c r="W425" s="590"/>
      <c r="X425" s="590"/>
      <c r="Y425" s="590"/>
      <c r="Z425" s="590"/>
      <c r="AA425" s="66"/>
      <c r="AB425" s="66"/>
      <c r="AC425" s="80"/>
    </row>
    <row r="426" spans="1:68" ht="27" customHeight="1" x14ac:dyDescent="0.25">
      <c r="A426" s="63" t="s">
        <v>687</v>
      </c>
      <c r="B426" s="63" t="s">
        <v>688</v>
      </c>
      <c r="C426" s="36">
        <v>4301020416</v>
      </c>
      <c r="D426" s="585">
        <v>4680115885240</v>
      </c>
      <c r="E426" s="585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6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587"/>
      <c r="R426" s="587"/>
      <c r="S426" s="587"/>
      <c r="T426" s="58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579"/>
      <c r="B427" s="579"/>
      <c r="C427" s="579"/>
      <c r="D427" s="579"/>
      <c r="E427" s="579"/>
      <c r="F427" s="579"/>
      <c r="G427" s="579"/>
      <c r="H427" s="579"/>
      <c r="I427" s="579"/>
      <c r="J427" s="579"/>
      <c r="K427" s="579"/>
      <c r="L427" s="579"/>
      <c r="M427" s="579"/>
      <c r="N427" s="579"/>
      <c r="O427" s="580"/>
      <c r="P427" s="576" t="s">
        <v>40</v>
      </c>
      <c r="Q427" s="577"/>
      <c r="R427" s="577"/>
      <c r="S427" s="577"/>
      <c r="T427" s="577"/>
      <c r="U427" s="577"/>
      <c r="V427" s="578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579"/>
      <c r="B428" s="579"/>
      <c r="C428" s="579"/>
      <c r="D428" s="579"/>
      <c r="E428" s="579"/>
      <c r="F428" s="579"/>
      <c r="G428" s="579"/>
      <c r="H428" s="579"/>
      <c r="I428" s="579"/>
      <c r="J428" s="579"/>
      <c r="K428" s="579"/>
      <c r="L428" s="579"/>
      <c r="M428" s="579"/>
      <c r="N428" s="579"/>
      <c r="O428" s="580"/>
      <c r="P428" s="576" t="s">
        <v>40</v>
      </c>
      <c r="Q428" s="577"/>
      <c r="R428" s="577"/>
      <c r="S428" s="577"/>
      <c r="T428" s="577"/>
      <c r="U428" s="577"/>
      <c r="V428" s="578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customHeight="1" x14ac:dyDescent="0.25">
      <c r="A429" s="590" t="s">
        <v>77</v>
      </c>
      <c r="B429" s="590"/>
      <c r="C429" s="590"/>
      <c r="D429" s="590"/>
      <c r="E429" s="590"/>
      <c r="F429" s="590"/>
      <c r="G429" s="590"/>
      <c r="H429" s="590"/>
      <c r="I429" s="590"/>
      <c r="J429" s="590"/>
      <c r="K429" s="590"/>
      <c r="L429" s="590"/>
      <c r="M429" s="590"/>
      <c r="N429" s="590"/>
      <c r="O429" s="590"/>
      <c r="P429" s="590"/>
      <c r="Q429" s="590"/>
      <c r="R429" s="590"/>
      <c r="S429" s="590"/>
      <c r="T429" s="590"/>
      <c r="U429" s="590"/>
      <c r="V429" s="590"/>
      <c r="W429" s="590"/>
      <c r="X429" s="590"/>
      <c r="Y429" s="590"/>
      <c r="Z429" s="590"/>
      <c r="AA429" s="66"/>
      <c r="AB429" s="66"/>
      <c r="AC429" s="80"/>
    </row>
    <row r="430" spans="1:68" ht="27" customHeight="1" x14ac:dyDescent="0.25">
      <c r="A430" s="63" t="s">
        <v>690</v>
      </c>
      <c r="B430" s="63" t="s">
        <v>691</v>
      </c>
      <c r="C430" s="36">
        <v>4301031407</v>
      </c>
      <c r="D430" s="585">
        <v>4680115886094</v>
      </c>
      <c r="E430" s="585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6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587"/>
      <c r="R430" s="587"/>
      <c r="S430" s="587"/>
      <c r="T430" s="588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693</v>
      </c>
      <c r="B431" s="63" t="s">
        <v>694</v>
      </c>
      <c r="C431" s="36">
        <v>4301031373</v>
      </c>
      <c r="D431" s="585">
        <v>4680115880771</v>
      </c>
      <c r="E431" s="585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6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587"/>
      <c r="R431" s="587"/>
      <c r="S431" s="587"/>
      <c r="T431" s="58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696</v>
      </c>
      <c r="B432" s="63" t="s">
        <v>697</v>
      </c>
      <c r="C432" s="36">
        <v>4301031359</v>
      </c>
      <c r="D432" s="585">
        <v>4607091389500</v>
      </c>
      <c r="E432" s="585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6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587"/>
      <c r="R432" s="587"/>
      <c r="S432" s="587"/>
      <c r="T432" s="58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579"/>
      <c r="B433" s="579"/>
      <c r="C433" s="579"/>
      <c r="D433" s="579"/>
      <c r="E433" s="579"/>
      <c r="F433" s="579"/>
      <c r="G433" s="579"/>
      <c r="H433" s="579"/>
      <c r="I433" s="579"/>
      <c r="J433" s="579"/>
      <c r="K433" s="579"/>
      <c r="L433" s="579"/>
      <c r="M433" s="579"/>
      <c r="N433" s="579"/>
      <c r="O433" s="580"/>
      <c r="P433" s="576" t="s">
        <v>40</v>
      </c>
      <c r="Q433" s="577"/>
      <c r="R433" s="577"/>
      <c r="S433" s="577"/>
      <c r="T433" s="577"/>
      <c r="U433" s="577"/>
      <c r="V433" s="57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579"/>
      <c r="B434" s="579"/>
      <c r="C434" s="579"/>
      <c r="D434" s="579"/>
      <c r="E434" s="579"/>
      <c r="F434" s="579"/>
      <c r="G434" s="579"/>
      <c r="H434" s="579"/>
      <c r="I434" s="579"/>
      <c r="J434" s="579"/>
      <c r="K434" s="579"/>
      <c r="L434" s="579"/>
      <c r="M434" s="579"/>
      <c r="N434" s="579"/>
      <c r="O434" s="580"/>
      <c r="P434" s="576" t="s">
        <v>40</v>
      </c>
      <c r="Q434" s="577"/>
      <c r="R434" s="577"/>
      <c r="S434" s="577"/>
      <c r="T434" s="577"/>
      <c r="U434" s="577"/>
      <c r="V434" s="57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customHeight="1" x14ac:dyDescent="0.25">
      <c r="A435" s="589" t="s">
        <v>698</v>
      </c>
      <c r="B435" s="589"/>
      <c r="C435" s="589"/>
      <c r="D435" s="589"/>
      <c r="E435" s="589"/>
      <c r="F435" s="589"/>
      <c r="G435" s="589"/>
      <c r="H435" s="589"/>
      <c r="I435" s="589"/>
      <c r="J435" s="589"/>
      <c r="K435" s="589"/>
      <c r="L435" s="589"/>
      <c r="M435" s="589"/>
      <c r="N435" s="589"/>
      <c r="O435" s="589"/>
      <c r="P435" s="589"/>
      <c r="Q435" s="589"/>
      <c r="R435" s="589"/>
      <c r="S435" s="589"/>
      <c r="T435" s="589"/>
      <c r="U435" s="589"/>
      <c r="V435" s="589"/>
      <c r="W435" s="589"/>
      <c r="X435" s="589"/>
      <c r="Y435" s="589"/>
      <c r="Z435" s="589"/>
      <c r="AA435" s="65"/>
      <c r="AB435" s="65"/>
      <c r="AC435" s="79"/>
    </row>
    <row r="436" spans="1:68" ht="14.25" customHeight="1" x14ac:dyDescent="0.25">
      <c r="A436" s="590" t="s">
        <v>77</v>
      </c>
      <c r="B436" s="590"/>
      <c r="C436" s="590"/>
      <c r="D436" s="590"/>
      <c r="E436" s="590"/>
      <c r="F436" s="590"/>
      <c r="G436" s="590"/>
      <c r="H436" s="590"/>
      <c r="I436" s="590"/>
      <c r="J436" s="590"/>
      <c r="K436" s="590"/>
      <c r="L436" s="590"/>
      <c r="M436" s="590"/>
      <c r="N436" s="590"/>
      <c r="O436" s="590"/>
      <c r="P436" s="590"/>
      <c r="Q436" s="590"/>
      <c r="R436" s="590"/>
      <c r="S436" s="590"/>
      <c r="T436" s="590"/>
      <c r="U436" s="590"/>
      <c r="V436" s="590"/>
      <c r="W436" s="590"/>
      <c r="X436" s="590"/>
      <c r="Y436" s="590"/>
      <c r="Z436" s="590"/>
      <c r="AA436" s="66"/>
      <c r="AB436" s="66"/>
      <c r="AC436" s="80"/>
    </row>
    <row r="437" spans="1:68" ht="27" customHeight="1" x14ac:dyDescent="0.25">
      <c r="A437" s="63" t="s">
        <v>699</v>
      </c>
      <c r="B437" s="63" t="s">
        <v>700</v>
      </c>
      <c r="C437" s="36">
        <v>4301031347</v>
      </c>
      <c r="D437" s="585">
        <v>4680115885110</v>
      </c>
      <c r="E437" s="585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6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587"/>
      <c r="R437" s="587"/>
      <c r="S437" s="587"/>
      <c r="T437" s="58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579"/>
      <c r="B438" s="579"/>
      <c r="C438" s="579"/>
      <c r="D438" s="579"/>
      <c r="E438" s="579"/>
      <c r="F438" s="579"/>
      <c r="G438" s="579"/>
      <c r="H438" s="579"/>
      <c r="I438" s="579"/>
      <c r="J438" s="579"/>
      <c r="K438" s="579"/>
      <c r="L438" s="579"/>
      <c r="M438" s="579"/>
      <c r="N438" s="579"/>
      <c r="O438" s="580"/>
      <c r="P438" s="576" t="s">
        <v>40</v>
      </c>
      <c r="Q438" s="577"/>
      <c r="R438" s="577"/>
      <c r="S438" s="577"/>
      <c r="T438" s="577"/>
      <c r="U438" s="577"/>
      <c r="V438" s="578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x14ac:dyDescent="0.2">
      <c r="A439" s="579"/>
      <c r="B439" s="579"/>
      <c r="C439" s="579"/>
      <c r="D439" s="579"/>
      <c r="E439" s="579"/>
      <c r="F439" s="579"/>
      <c r="G439" s="579"/>
      <c r="H439" s="579"/>
      <c r="I439" s="579"/>
      <c r="J439" s="579"/>
      <c r="K439" s="579"/>
      <c r="L439" s="579"/>
      <c r="M439" s="579"/>
      <c r="N439" s="579"/>
      <c r="O439" s="580"/>
      <c r="P439" s="576" t="s">
        <v>40</v>
      </c>
      <c r="Q439" s="577"/>
      <c r="R439" s="577"/>
      <c r="S439" s="577"/>
      <c r="T439" s="577"/>
      <c r="U439" s="577"/>
      <c r="V439" s="578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customHeight="1" x14ac:dyDescent="0.2">
      <c r="A440" s="599" t="s">
        <v>702</v>
      </c>
      <c r="B440" s="599"/>
      <c r="C440" s="599"/>
      <c r="D440" s="599"/>
      <c r="E440" s="599"/>
      <c r="F440" s="599"/>
      <c r="G440" s="599"/>
      <c r="H440" s="599"/>
      <c r="I440" s="599"/>
      <c r="J440" s="599"/>
      <c r="K440" s="599"/>
      <c r="L440" s="599"/>
      <c r="M440" s="599"/>
      <c r="N440" s="599"/>
      <c r="O440" s="599"/>
      <c r="P440" s="599"/>
      <c r="Q440" s="599"/>
      <c r="R440" s="599"/>
      <c r="S440" s="599"/>
      <c r="T440" s="599"/>
      <c r="U440" s="599"/>
      <c r="V440" s="599"/>
      <c r="W440" s="599"/>
      <c r="X440" s="599"/>
      <c r="Y440" s="599"/>
      <c r="Z440" s="599"/>
      <c r="AA440" s="54"/>
      <c r="AB440" s="54"/>
      <c r="AC440" s="54"/>
    </row>
    <row r="441" spans="1:68" ht="16.5" customHeight="1" x14ac:dyDescent="0.25">
      <c r="A441" s="589" t="s">
        <v>702</v>
      </c>
      <c r="B441" s="589"/>
      <c r="C441" s="589"/>
      <c r="D441" s="589"/>
      <c r="E441" s="589"/>
      <c r="F441" s="589"/>
      <c r="G441" s="589"/>
      <c r="H441" s="589"/>
      <c r="I441" s="589"/>
      <c r="J441" s="589"/>
      <c r="K441" s="589"/>
      <c r="L441" s="589"/>
      <c r="M441" s="589"/>
      <c r="N441" s="589"/>
      <c r="O441" s="589"/>
      <c r="P441" s="589"/>
      <c r="Q441" s="589"/>
      <c r="R441" s="589"/>
      <c r="S441" s="589"/>
      <c r="T441" s="589"/>
      <c r="U441" s="589"/>
      <c r="V441" s="589"/>
      <c r="W441" s="589"/>
      <c r="X441" s="589"/>
      <c r="Y441" s="589"/>
      <c r="Z441" s="589"/>
      <c r="AA441" s="65"/>
      <c r="AB441" s="65"/>
      <c r="AC441" s="79"/>
    </row>
    <row r="442" spans="1:68" ht="14.25" customHeight="1" x14ac:dyDescent="0.25">
      <c r="A442" s="590" t="s">
        <v>122</v>
      </c>
      <c r="B442" s="590"/>
      <c r="C442" s="590"/>
      <c r="D442" s="590"/>
      <c r="E442" s="590"/>
      <c r="F442" s="590"/>
      <c r="G442" s="590"/>
      <c r="H442" s="590"/>
      <c r="I442" s="590"/>
      <c r="J442" s="590"/>
      <c r="K442" s="590"/>
      <c r="L442" s="590"/>
      <c r="M442" s="590"/>
      <c r="N442" s="590"/>
      <c r="O442" s="590"/>
      <c r="P442" s="590"/>
      <c r="Q442" s="590"/>
      <c r="R442" s="590"/>
      <c r="S442" s="590"/>
      <c r="T442" s="590"/>
      <c r="U442" s="590"/>
      <c r="V442" s="590"/>
      <c r="W442" s="590"/>
      <c r="X442" s="590"/>
      <c r="Y442" s="590"/>
      <c r="Z442" s="590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585">
        <v>4607091389067</v>
      </c>
      <c r="E443" s="585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6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587"/>
      <c r="R443" s="587"/>
      <c r="S443" s="587"/>
      <c r="T443" s="588"/>
      <c r="U443" s="39" t="s">
        <v>46</v>
      </c>
      <c r="V443" s="39" t="s">
        <v>46</v>
      </c>
      <c r="W443" s="40" t="s">
        <v>0</v>
      </c>
      <c r="X443" s="58">
        <v>20</v>
      </c>
      <c r="Y443" s="55">
        <f t="shared" ref="Y443:Y453" si="59">IFERROR(IF(X443="",0,CEILING((X443/$H443),1)*$H443),"")</f>
        <v>21.12</v>
      </c>
      <c r="Z443" s="41">
        <f t="shared" ref="Z443:Z448" si="60">IFERROR(IF(Y443=0,"",ROUNDUP(Y443/H443,0)*0.01196),"")</f>
        <v>4.7840000000000001E-2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21.325757575757574</v>
      </c>
      <c r="BN443" s="78">
        <f t="shared" ref="BN443:BN453" si="62">IFERROR(Y443*I443/H443,"0")</f>
        <v>22.52</v>
      </c>
      <c r="BO443" s="78">
        <f t="shared" ref="BO443:BO453" si="63">IFERROR(1/J443*(X443/H443),"0")</f>
        <v>3.6421911421911424E-2</v>
      </c>
      <c r="BP443" s="78">
        <f t="shared" ref="BP443:BP453" si="64">IFERROR(1/J443*(Y443/H443),"0")</f>
        <v>3.8461538461538464E-2</v>
      </c>
    </row>
    <row r="444" spans="1:68" ht="27" customHeight="1" x14ac:dyDescent="0.25">
      <c r="A444" s="63" t="s">
        <v>705</v>
      </c>
      <c r="B444" s="63" t="s">
        <v>706</v>
      </c>
      <c r="C444" s="36">
        <v>4301012210</v>
      </c>
      <c r="D444" s="585">
        <v>4607091383522</v>
      </c>
      <c r="E444" s="585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587"/>
      <c r="R444" s="587"/>
      <c r="S444" s="587"/>
      <c r="T444" s="58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585">
        <v>4680115885271</v>
      </c>
      <c r="E445" s="58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6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587"/>
      <c r="R445" s="587"/>
      <c r="S445" s="587"/>
      <c r="T445" s="588"/>
      <c r="U445" s="39" t="s">
        <v>46</v>
      </c>
      <c r="V445" s="39" t="s">
        <v>46</v>
      </c>
      <c r="W445" s="40" t="s">
        <v>0</v>
      </c>
      <c r="X445" s="58">
        <v>5</v>
      </c>
      <c r="Y445" s="55">
        <f t="shared" si="59"/>
        <v>5.28</v>
      </c>
      <c r="Z445" s="41">
        <f t="shared" si="60"/>
        <v>1.196E-2</v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5.3314393939393936</v>
      </c>
      <c r="BN445" s="78">
        <f t="shared" si="62"/>
        <v>5.63</v>
      </c>
      <c r="BO445" s="78">
        <f t="shared" si="63"/>
        <v>9.1054778554778559E-3</v>
      </c>
      <c r="BP445" s="78">
        <f t="shared" si="64"/>
        <v>9.6153846153846159E-3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585">
        <v>4680115885226</v>
      </c>
      <c r="E446" s="58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6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587"/>
      <c r="R446" s="587"/>
      <c r="S446" s="587"/>
      <c r="T446" s="588"/>
      <c r="U446" s="39" t="s">
        <v>46</v>
      </c>
      <c r="V446" s="39" t="s">
        <v>46</v>
      </c>
      <c r="W446" s="40" t="s">
        <v>0</v>
      </c>
      <c r="X446" s="58">
        <v>50</v>
      </c>
      <c r="Y446" s="55">
        <f t="shared" si="59"/>
        <v>52.800000000000004</v>
      </c>
      <c r="Z446" s="41">
        <f t="shared" si="60"/>
        <v>0.1196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53.314393939393938</v>
      </c>
      <c r="BN446" s="78">
        <f t="shared" si="62"/>
        <v>56.3</v>
      </c>
      <c r="BO446" s="78">
        <f t="shared" si="63"/>
        <v>9.1054778554778545E-2</v>
      </c>
      <c r="BP446" s="78">
        <f t="shared" si="64"/>
        <v>9.6153846153846159E-2</v>
      </c>
    </row>
    <row r="447" spans="1:68" ht="16.5" customHeight="1" x14ac:dyDescent="0.25">
      <c r="A447" s="63" t="s">
        <v>714</v>
      </c>
      <c r="B447" s="63" t="s">
        <v>715</v>
      </c>
      <c r="C447" s="36">
        <v>4301011797</v>
      </c>
      <c r="D447" s="585">
        <v>4680115884502</v>
      </c>
      <c r="E447" s="58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6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587"/>
      <c r="R447" s="587"/>
      <c r="S447" s="587"/>
      <c r="T447" s="588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585">
        <v>4607091389104</v>
      </c>
      <c r="E448" s="58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61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587"/>
      <c r="R448" s="587"/>
      <c r="S448" s="587"/>
      <c r="T448" s="588"/>
      <c r="U448" s="39" t="s">
        <v>46</v>
      </c>
      <c r="V448" s="39" t="s">
        <v>46</v>
      </c>
      <c r="W448" s="40" t="s">
        <v>0</v>
      </c>
      <c r="X448" s="58">
        <v>50</v>
      </c>
      <c r="Y448" s="55">
        <f t="shared" si="59"/>
        <v>52.800000000000004</v>
      </c>
      <c r="Z448" s="41">
        <f t="shared" si="60"/>
        <v>0.1196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53.314393939393938</v>
      </c>
      <c r="BN448" s="78">
        <f t="shared" si="62"/>
        <v>56.3</v>
      </c>
      <c r="BO448" s="78">
        <f t="shared" si="63"/>
        <v>9.1054778554778545E-2</v>
      </c>
      <c r="BP448" s="78">
        <f t="shared" si="64"/>
        <v>9.6153846153846159E-2</v>
      </c>
    </row>
    <row r="449" spans="1:68" ht="27" customHeight="1" x14ac:dyDescent="0.25">
      <c r="A449" s="63" t="s">
        <v>720</v>
      </c>
      <c r="B449" s="63" t="s">
        <v>721</v>
      </c>
      <c r="C449" s="36">
        <v>4301012125</v>
      </c>
      <c r="D449" s="585">
        <v>4680115886391</v>
      </c>
      <c r="E449" s="585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61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587"/>
      <c r="R449" s="587"/>
      <c r="S449" s="587"/>
      <c r="T449" s="588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customHeight="1" x14ac:dyDescent="0.25">
      <c r="A450" s="63" t="s">
        <v>722</v>
      </c>
      <c r="B450" s="63" t="s">
        <v>723</v>
      </c>
      <c r="C450" s="36">
        <v>4301012048</v>
      </c>
      <c r="D450" s="585">
        <v>4680115880603</v>
      </c>
      <c r="E450" s="585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6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587"/>
      <c r="R450" s="587"/>
      <c r="S450" s="587"/>
      <c r="T450" s="588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customHeight="1" x14ac:dyDescent="0.25">
      <c r="A451" s="63" t="s">
        <v>724</v>
      </c>
      <c r="B451" s="63" t="s">
        <v>725</v>
      </c>
      <c r="C451" s="36">
        <v>4301012036</v>
      </c>
      <c r="D451" s="585">
        <v>4680115882782</v>
      </c>
      <c r="E451" s="58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61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587"/>
      <c r="R451" s="587"/>
      <c r="S451" s="587"/>
      <c r="T451" s="588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customHeight="1" x14ac:dyDescent="0.25">
      <c r="A452" s="63" t="s">
        <v>726</v>
      </c>
      <c r="B452" s="63" t="s">
        <v>727</v>
      </c>
      <c r="C452" s="36">
        <v>4301012050</v>
      </c>
      <c r="D452" s="585">
        <v>4680115885479</v>
      </c>
      <c r="E452" s="585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6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587"/>
      <c r="R452" s="587"/>
      <c r="S452" s="587"/>
      <c r="T452" s="588"/>
      <c r="U452" s="39" t="s">
        <v>46</v>
      </c>
      <c r="V452" s="39" t="s">
        <v>46</v>
      </c>
      <c r="W452" s="40" t="s">
        <v>0</v>
      </c>
      <c r="X452" s="58"/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customHeight="1" x14ac:dyDescent="0.25">
      <c r="A453" s="63" t="s">
        <v>728</v>
      </c>
      <c r="B453" s="63" t="s">
        <v>729</v>
      </c>
      <c r="C453" s="36">
        <v>4301012034</v>
      </c>
      <c r="D453" s="585">
        <v>4607091389982</v>
      </c>
      <c r="E453" s="585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6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587"/>
      <c r="R453" s="587"/>
      <c r="S453" s="587"/>
      <c r="T453" s="588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579"/>
      <c r="B454" s="579"/>
      <c r="C454" s="579"/>
      <c r="D454" s="579"/>
      <c r="E454" s="579"/>
      <c r="F454" s="579"/>
      <c r="G454" s="579"/>
      <c r="H454" s="579"/>
      <c r="I454" s="579"/>
      <c r="J454" s="579"/>
      <c r="K454" s="579"/>
      <c r="L454" s="579"/>
      <c r="M454" s="579"/>
      <c r="N454" s="579"/>
      <c r="O454" s="580"/>
      <c r="P454" s="576" t="s">
        <v>40</v>
      </c>
      <c r="Q454" s="577"/>
      <c r="R454" s="577"/>
      <c r="S454" s="577"/>
      <c r="T454" s="577"/>
      <c r="U454" s="577"/>
      <c r="V454" s="578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23.674242424242422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25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0.29899999999999999</v>
      </c>
      <c r="AA454" s="67"/>
      <c r="AB454" s="67"/>
      <c r="AC454" s="67"/>
    </row>
    <row r="455" spans="1:68" x14ac:dyDescent="0.2">
      <c r="A455" s="579"/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80"/>
      <c r="P455" s="576" t="s">
        <v>40</v>
      </c>
      <c r="Q455" s="577"/>
      <c r="R455" s="577"/>
      <c r="S455" s="577"/>
      <c r="T455" s="577"/>
      <c r="U455" s="577"/>
      <c r="V455" s="578"/>
      <c r="W455" s="42" t="s">
        <v>0</v>
      </c>
      <c r="X455" s="43">
        <f>IFERROR(SUM(X443:X453),"0")</f>
        <v>125</v>
      </c>
      <c r="Y455" s="43">
        <f>IFERROR(SUM(Y443:Y453),"0")</f>
        <v>132</v>
      </c>
      <c r="Z455" s="42"/>
      <c r="AA455" s="67"/>
      <c r="AB455" s="67"/>
      <c r="AC455" s="67"/>
    </row>
    <row r="456" spans="1:68" ht="14.25" customHeight="1" x14ac:dyDescent="0.25">
      <c r="A456" s="590" t="s">
        <v>156</v>
      </c>
      <c r="B456" s="590"/>
      <c r="C456" s="590"/>
      <c r="D456" s="590"/>
      <c r="E456" s="590"/>
      <c r="F456" s="590"/>
      <c r="G456" s="590"/>
      <c r="H456" s="590"/>
      <c r="I456" s="590"/>
      <c r="J456" s="590"/>
      <c r="K456" s="590"/>
      <c r="L456" s="590"/>
      <c r="M456" s="590"/>
      <c r="N456" s="590"/>
      <c r="O456" s="590"/>
      <c r="P456" s="590"/>
      <c r="Q456" s="590"/>
      <c r="R456" s="590"/>
      <c r="S456" s="590"/>
      <c r="T456" s="590"/>
      <c r="U456" s="590"/>
      <c r="V456" s="590"/>
      <c r="W456" s="590"/>
      <c r="X456" s="590"/>
      <c r="Y456" s="590"/>
      <c r="Z456" s="590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585">
        <v>4607091388930</v>
      </c>
      <c r="E457" s="585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6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587"/>
      <c r="R457" s="587"/>
      <c r="S457" s="587"/>
      <c r="T457" s="588"/>
      <c r="U457" s="39" t="s">
        <v>46</v>
      </c>
      <c r="V457" s="39" t="s">
        <v>46</v>
      </c>
      <c r="W457" s="40" t="s">
        <v>0</v>
      </c>
      <c r="X457" s="58">
        <v>100</v>
      </c>
      <c r="Y457" s="55">
        <f>IFERROR(IF(X457="",0,CEILING((X457/$H457),1)*$H457),"")</f>
        <v>100.32000000000001</v>
      </c>
      <c r="Z457" s="41">
        <f>IFERROR(IF(Y457=0,"",ROUNDUP(Y457/H457,0)*0.01196),"")</f>
        <v>0.22724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106.62878787878788</v>
      </c>
      <c r="BN457" s="78">
        <f>IFERROR(Y457*I457/H457,"0")</f>
        <v>106.97</v>
      </c>
      <c r="BO457" s="78">
        <f>IFERROR(1/J457*(X457/H457),"0")</f>
        <v>0.18210955710955709</v>
      </c>
      <c r="BP457" s="78">
        <f>IFERROR(1/J457*(Y457/H457),"0")</f>
        <v>0.18269230769230771</v>
      </c>
    </row>
    <row r="458" spans="1:68" ht="16.5" customHeight="1" x14ac:dyDescent="0.25">
      <c r="A458" s="63" t="s">
        <v>733</v>
      </c>
      <c r="B458" s="63" t="s">
        <v>734</v>
      </c>
      <c r="C458" s="36">
        <v>4301020374</v>
      </c>
      <c r="D458" s="585">
        <v>4680115886407</v>
      </c>
      <c r="E458" s="585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60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587"/>
      <c r="R458" s="587"/>
      <c r="S458" s="587"/>
      <c r="T458" s="588"/>
      <c r="U458" s="39" t="s">
        <v>46</v>
      </c>
      <c r="V458" s="39" t="s">
        <v>46</v>
      </c>
      <c r="W458" s="40" t="s">
        <v>0</v>
      </c>
      <c r="X458" s="58"/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 x14ac:dyDescent="0.25">
      <c r="A459" s="63" t="s">
        <v>735</v>
      </c>
      <c r="B459" s="63" t="s">
        <v>736</v>
      </c>
      <c r="C459" s="36">
        <v>4301020385</v>
      </c>
      <c r="D459" s="585">
        <v>4680115880054</v>
      </c>
      <c r="E459" s="585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587"/>
      <c r="R459" s="587"/>
      <c r="S459" s="587"/>
      <c r="T459" s="58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579"/>
      <c r="B460" s="579"/>
      <c r="C460" s="579"/>
      <c r="D460" s="579"/>
      <c r="E460" s="579"/>
      <c r="F460" s="579"/>
      <c r="G460" s="579"/>
      <c r="H460" s="579"/>
      <c r="I460" s="579"/>
      <c r="J460" s="579"/>
      <c r="K460" s="579"/>
      <c r="L460" s="579"/>
      <c r="M460" s="579"/>
      <c r="N460" s="579"/>
      <c r="O460" s="580"/>
      <c r="P460" s="576" t="s">
        <v>40</v>
      </c>
      <c r="Q460" s="577"/>
      <c r="R460" s="577"/>
      <c r="S460" s="577"/>
      <c r="T460" s="577"/>
      <c r="U460" s="577"/>
      <c r="V460" s="578"/>
      <c r="W460" s="42" t="s">
        <v>39</v>
      </c>
      <c r="X460" s="43">
        <f>IFERROR(X457/H457,"0")+IFERROR(X458/H458,"0")+IFERROR(X459/H459,"0")</f>
        <v>18.939393939393938</v>
      </c>
      <c r="Y460" s="43">
        <f>IFERROR(Y457/H457,"0")+IFERROR(Y458/H458,"0")+IFERROR(Y459/H459,"0")</f>
        <v>19</v>
      </c>
      <c r="Z460" s="43">
        <f>IFERROR(IF(Z457="",0,Z457),"0")+IFERROR(IF(Z458="",0,Z458),"0")+IFERROR(IF(Z459="",0,Z459),"0")</f>
        <v>0.22724</v>
      </c>
      <c r="AA460" s="67"/>
      <c r="AB460" s="67"/>
      <c r="AC460" s="67"/>
    </row>
    <row r="461" spans="1:68" x14ac:dyDescent="0.2">
      <c r="A461" s="579"/>
      <c r="B461" s="579"/>
      <c r="C461" s="579"/>
      <c r="D461" s="579"/>
      <c r="E461" s="579"/>
      <c r="F461" s="579"/>
      <c r="G461" s="579"/>
      <c r="H461" s="579"/>
      <c r="I461" s="579"/>
      <c r="J461" s="579"/>
      <c r="K461" s="579"/>
      <c r="L461" s="579"/>
      <c r="M461" s="579"/>
      <c r="N461" s="579"/>
      <c r="O461" s="580"/>
      <c r="P461" s="576" t="s">
        <v>40</v>
      </c>
      <c r="Q461" s="577"/>
      <c r="R461" s="577"/>
      <c r="S461" s="577"/>
      <c r="T461" s="577"/>
      <c r="U461" s="577"/>
      <c r="V461" s="578"/>
      <c r="W461" s="42" t="s">
        <v>0</v>
      </c>
      <c r="X461" s="43">
        <f>IFERROR(SUM(X457:X459),"0")</f>
        <v>100</v>
      </c>
      <c r="Y461" s="43">
        <f>IFERROR(SUM(Y457:Y459),"0")</f>
        <v>100.32000000000001</v>
      </c>
      <c r="Z461" s="42"/>
      <c r="AA461" s="67"/>
      <c r="AB461" s="67"/>
      <c r="AC461" s="67"/>
    </row>
    <row r="462" spans="1:68" ht="14.25" customHeight="1" x14ac:dyDescent="0.25">
      <c r="A462" s="590" t="s">
        <v>77</v>
      </c>
      <c r="B462" s="590"/>
      <c r="C462" s="590"/>
      <c r="D462" s="590"/>
      <c r="E462" s="590"/>
      <c r="F462" s="590"/>
      <c r="G462" s="590"/>
      <c r="H462" s="590"/>
      <c r="I462" s="590"/>
      <c r="J462" s="590"/>
      <c r="K462" s="590"/>
      <c r="L462" s="590"/>
      <c r="M462" s="590"/>
      <c r="N462" s="590"/>
      <c r="O462" s="590"/>
      <c r="P462" s="590"/>
      <c r="Q462" s="590"/>
      <c r="R462" s="590"/>
      <c r="S462" s="590"/>
      <c r="T462" s="590"/>
      <c r="U462" s="590"/>
      <c r="V462" s="590"/>
      <c r="W462" s="590"/>
      <c r="X462" s="590"/>
      <c r="Y462" s="590"/>
      <c r="Z462" s="590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585">
        <v>4680115883116</v>
      </c>
      <c r="E463" s="585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60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587"/>
      <c r="R463" s="587"/>
      <c r="S463" s="587"/>
      <c r="T463" s="588"/>
      <c r="U463" s="39" t="s">
        <v>46</v>
      </c>
      <c r="V463" s="39" t="s">
        <v>46</v>
      </c>
      <c r="W463" s="40" t="s">
        <v>0</v>
      </c>
      <c r="X463" s="58">
        <v>10</v>
      </c>
      <c r="Y463" s="55">
        <f t="shared" ref="Y463:Y469" si="65">IFERROR(IF(X463="",0,CEILING((X463/$H463),1)*$H463),"")</f>
        <v>10.56</v>
      </c>
      <c r="Z463" s="41">
        <f>IFERROR(IF(Y463=0,"",ROUNDUP(Y463/H463,0)*0.01196),"")</f>
        <v>2.392E-2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10.662878787878787</v>
      </c>
      <c r="BN463" s="78">
        <f t="shared" ref="BN463:BN469" si="67">IFERROR(Y463*I463/H463,"0")</f>
        <v>11.26</v>
      </c>
      <c r="BO463" s="78">
        <f t="shared" ref="BO463:BO469" si="68">IFERROR(1/J463*(X463/H463),"0")</f>
        <v>1.8210955710955712E-2</v>
      </c>
      <c r="BP463" s="78">
        <f t="shared" ref="BP463:BP469" si="69">IFERROR(1/J463*(Y463/H463),"0")</f>
        <v>1.9230769230769232E-2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585">
        <v>4680115883093</v>
      </c>
      <c r="E464" s="585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6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587"/>
      <c r="R464" s="587"/>
      <c r="S464" s="587"/>
      <c r="T464" s="588"/>
      <c r="U464" s="39" t="s">
        <v>46</v>
      </c>
      <c r="V464" s="39" t="s">
        <v>46</v>
      </c>
      <c r="W464" s="40" t="s">
        <v>0</v>
      </c>
      <c r="X464" s="58">
        <v>10</v>
      </c>
      <c r="Y464" s="55">
        <f t="shared" si="65"/>
        <v>10.56</v>
      </c>
      <c r="Z464" s="41">
        <f>IFERROR(IF(Y464=0,"",ROUNDUP(Y464/H464,0)*0.01196),"")</f>
        <v>2.392E-2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10.662878787878787</v>
      </c>
      <c r="BN464" s="78">
        <f t="shared" si="67"/>
        <v>11.26</v>
      </c>
      <c r="BO464" s="78">
        <f t="shared" si="68"/>
        <v>1.8210955710955712E-2</v>
      </c>
      <c r="BP464" s="78">
        <f t="shared" si="69"/>
        <v>1.9230769230769232E-2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585">
        <v>4680115883109</v>
      </c>
      <c r="E465" s="585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6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587"/>
      <c r="R465" s="587"/>
      <c r="S465" s="587"/>
      <c r="T465" s="588"/>
      <c r="U465" s="39" t="s">
        <v>46</v>
      </c>
      <c r="V465" s="39" t="s">
        <v>46</v>
      </c>
      <c r="W465" s="40" t="s">
        <v>0</v>
      </c>
      <c r="X465" s="58">
        <v>10</v>
      </c>
      <c r="Y465" s="55">
        <f t="shared" si="65"/>
        <v>10.56</v>
      </c>
      <c r="Z465" s="41">
        <f>IFERROR(IF(Y465=0,"",ROUNDUP(Y465/H465,0)*0.01196),"")</f>
        <v>2.392E-2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10.662878787878787</v>
      </c>
      <c r="BN465" s="78">
        <f t="shared" si="67"/>
        <v>11.26</v>
      </c>
      <c r="BO465" s="78">
        <f t="shared" si="68"/>
        <v>1.8210955710955712E-2</v>
      </c>
      <c r="BP465" s="78">
        <f t="shared" si="69"/>
        <v>1.9230769230769232E-2</v>
      </c>
    </row>
    <row r="466" spans="1:68" ht="27" customHeight="1" x14ac:dyDescent="0.25">
      <c r="A466" s="63" t="s">
        <v>746</v>
      </c>
      <c r="B466" s="63" t="s">
        <v>747</v>
      </c>
      <c r="C466" s="36">
        <v>4301031419</v>
      </c>
      <c r="D466" s="585">
        <v>4680115882072</v>
      </c>
      <c r="E466" s="585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6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587"/>
      <c r="R466" s="587"/>
      <c r="S466" s="587"/>
      <c r="T466" s="588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4301031352</v>
      </c>
      <c r="D467" s="585">
        <v>4680115882102</v>
      </c>
      <c r="E467" s="585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6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587"/>
      <c r="R467" s="587"/>
      <c r="S467" s="587"/>
      <c r="T467" s="588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customHeight="1" x14ac:dyDescent="0.25">
      <c r="A468" s="63" t="s">
        <v>748</v>
      </c>
      <c r="B468" s="63" t="s">
        <v>750</v>
      </c>
      <c r="C468" s="36">
        <v>4301031418</v>
      </c>
      <c r="D468" s="585">
        <v>4680115882102</v>
      </c>
      <c r="E468" s="585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587"/>
      <c r="R468" s="587"/>
      <c r="S468" s="587"/>
      <c r="T468" s="588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customHeight="1" x14ac:dyDescent="0.25">
      <c r="A469" s="63" t="s">
        <v>751</v>
      </c>
      <c r="B469" s="63" t="s">
        <v>752</v>
      </c>
      <c r="C469" s="36">
        <v>4301031417</v>
      </c>
      <c r="D469" s="585">
        <v>4680115882096</v>
      </c>
      <c r="E469" s="585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59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587"/>
      <c r="R469" s="587"/>
      <c r="S469" s="587"/>
      <c r="T469" s="588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579"/>
      <c r="B470" s="579"/>
      <c r="C470" s="579"/>
      <c r="D470" s="579"/>
      <c r="E470" s="579"/>
      <c r="F470" s="579"/>
      <c r="G470" s="579"/>
      <c r="H470" s="579"/>
      <c r="I470" s="579"/>
      <c r="J470" s="579"/>
      <c r="K470" s="579"/>
      <c r="L470" s="579"/>
      <c r="M470" s="579"/>
      <c r="N470" s="579"/>
      <c r="O470" s="580"/>
      <c r="P470" s="576" t="s">
        <v>40</v>
      </c>
      <c r="Q470" s="577"/>
      <c r="R470" s="577"/>
      <c r="S470" s="577"/>
      <c r="T470" s="577"/>
      <c r="U470" s="577"/>
      <c r="V470" s="578"/>
      <c r="W470" s="42" t="s">
        <v>39</v>
      </c>
      <c r="X470" s="43">
        <f>IFERROR(X463/H463,"0")+IFERROR(X464/H464,"0")+IFERROR(X465/H465,"0")+IFERROR(X466/H466,"0")+IFERROR(X467/H467,"0")+IFERROR(X468/H468,"0")+IFERROR(X469/H469,"0")</f>
        <v>5.6818181818181817</v>
      </c>
      <c r="Y470" s="43">
        <f>IFERROR(Y463/H463,"0")+IFERROR(Y464/H464,"0")+IFERROR(Y465/H465,"0")+IFERROR(Y466/H466,"0")+IFERROR(Y467/H467,"0")+IFERROR(Y468/H468,"0")+IFERROR(Y469/H469,"0")</f>
        <v>6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7.1760000000000004E-2</v>
      </c>
      <c r="AA470" s="67"/>
      <c r="AB470" s="67"/>
      <c r="AC470" s="67"/>
    </row>
    <row r="471" spans="1:68" x14ac:dyDescent="0.2">
      <c r="A471" s="579"/>
      <c r="B471" s="579"/>
      <c r="C471" s="579"/>
      <c r="D471" s="579"/>
      <c r="E471" s="579"/>
      <c r="F471" s="579"/>
      <c r="G471" s="579"/>
      <c r="H471" s="579"/>
      <c r="I471" s="579"/>
      <c r="J471" s="579"/>
      <c r="K471" s="579"/>
      <c r="L471" s="579"/>
      <c r="M471" s="579"/>
      <c r="N471" s="579"/>
      <c r="O471" s="580"/>
      <c r="P471" s="576" t="s">
        <v>40</v>
      </c>
      <c r="Q471" s="577"/>
      <c r="R471" s="577"/>
      <c r="S471" s="577"/>
      <c r="T471" s="577"/>
      <c r="U471" s="577"/>
      <c r="V471" s="578"/>
      <c r="W471" s="42" t="s">
        <v>0</v>
      </c>
      <c r="X471" s="43">
        <f>IFERROR(SUM(X463:X469),"0")</f>
        <v>30</v>
      </c>
      <c r="Y471" s="43">
        <f>IFERROR(SUM(Y463:Y469),"0")</f>
        <v>31.68</v>
      </c>
      <c r="Z471" s="42"/>
      <c r="AA471" s="67"/>
      <c r="AB471" s="67"/>
      <c r="AC471" s="67"/>
    </row>
    <row r="472" spans="1:68" ht="27.75" customHeight="1" x14ac:dyDescent="0.2">
      <c r="A472" s="599" t="s">
        <v>753</v>
      </c>
      <c r="B472" s="599"/>
      <c r="C472" s="599"/>
      <c r="D472" s="599"/>
      <c r="E472" s="599"/>
      <c r="F472" s="599"/>
      <c r="G472" s="599"/>
      <c r="H472" s="599"/>
      <c r="I472" s="599"/>
      <c r="J472" s="599"/>
      <c r="K472" s="599"/>
      <c r="L472" s="599"/>
      <c r="M472" s="599"/>
      <c r="N472" s="599"/>
      <c r="O472" s="599"/>
      <c r="P472" s="599"/>
      <c r="Q472" s="599"/>
      <c r="R472" s="599"/>
      <c r="S472" s="599"/>
      <c r="T472" s="599"/>
      <c r="U472" s="599"/>
      <c r="V472" s="599"/>
      <c r="W472" s="599"/>
      <c r="X472" s="599"/>
      <c r="Y472" s="599"/>
      <c r="Z472" s="599"/>
      <c r="AA472" s="54"/>
      <c r="AB472" s="54"/>
      <c r="AC472" s="54"/>
    </row>
    <row r="473" spans="1:68" ht="16.5" customHeight="1" x14ac:dyDescent="0.25">
      <c r="A473" s="589" t="s">
        <v>753</v>
      </c>
      <c r="B473" s="589"/>
      <c r="C473" s="589"/>
      <c r="D473" s="589"/>
      <c r="E473" s="589"/>
      <c r="F473" s="589"/>
      <c r="G473" s="589"/>
      <c r="H473" s="589"/>
      <c r="I473" s="589"/>
      <c r="J473" s="589"/>
      <c r="K473" s="589"/>
      <c r="L473" s="589"/>
      <c r="M473" s="589"/>
      <c r="N473" s="589"/>
      <c r="O473" s="589"/>
      <c r="P473" s="589"/>
      <c r="Q473" s="589"/>
      <c r="R473" s="589"/>
      <c r="S473" s="589"/>
      <c r="T473" s="589"/>
      <c r="U473" s="589"/>
      <c r="V473" s="589"/>
      <c r="W473" s="589"/>
      <c r="X473" s="589"/>
      <c r="Y473" s="589"/>
      <c r="Z473" s="589"/>
      <c r="AA473" s="65"/>
      <c r="AB473" s="65"/>
      <c r="AC473" s="79"/>
    </row>
    <row r="474" spans="1:68" ht="14.25" customHeight="1" x14ac:dyDescent="0.25">
      <c r="A474" s="590" t="s">
        <v>122</v>
      </c>
      <c r="B474" s="590"/>
      <c r="C474" s="590"/>
      <c r="D474" s="590"/>
      <c r="E474" s="590"/>
      <c r="F474" s="590"/>
      <c r="G474" s="590"/>
      <c r="H474" s="590"/>
      <c r="I474" s="590"/>
      <c r="J474" s="590"/>
      <c r="K474" s="590"/>
      <c r="L474" s="590"/>
      <c r="M474" s="590"/>
      <c r="N474" s="590"/>
      <c r="O474" s="590"/>
      <c r="P474" s="590"/>
      <c r="Q474" s="590"/>
      <c r="R474" s="590"/>
      <c r="S474" s="590"/>
      <c r="T474" s="590"/>
      <c r="U474" s="590"/>
      <c r="V474" s="590"/>
      <c r="W474" s="590"/>
      <c r="X474" s="590"/>
      <c r="Y474" s="590"/>
      <c r="Z474" s="590"/>
      <c r="AA474" s="66"/>
      <c r="AB474" s="66"/>
      <c r="AC474" s="80"/>
    </row>
    <row r="475" spans="1:68" ht="27" customHeight="1" x14ac:dyDescent="0.25">
      <c r="A475" s="63" t="s">
        <v>754</v>
      </c>
      <c r="B475" s="63" t="s">
        <v>755</v>
      </c>
      <c r="C475" s="36">
        <v>4301011763</v>
      </c>
      <c r="D475" s="585">
        <v>4640242181011</v>
      </c>
      <c r="E475" s="585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60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587"/>
      <c r="R475" s="587"/>
      <c r="S475" s="587"/>
      <c r="T475" s="588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585">
        <v>4640242180564</v>
      </c>
      <c r="E476" s="585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5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587"/>
      <c r="R476" s="587"/>
      <c r="S476" s="587"/>
      <c r="T476" s="588"/>
      <c r="U476" s="39" t="s">
        <v>46</v>
      </c>
      <c r="V476" s="39" t="s">
        <v>46</v>
      </c>
      <c r="W476" s="40" t="s">
        <v>0</v>
      </c>
      <c r="X476" s="58"/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760</v>
      </c>
      <c r="B477" s="63" t="s">
        <v>761</v>
      </c>
      <c r="C477" s="36">
        <v>4301011764</v>
      </c>
      <c r="D477" s="585">
        <v>4640242181189</v>
      </c>
      <c r="E477" s="585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5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587"/>
      <c r="R477" s="587"/>
      <c r="S477" s="587"/>
      <c r="T477" s="58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579"/>
      <c r="B478" s="579"/>
      <c r="C478" s="579"/>
      <c r="D478" s="579"/>
      <c r="E478" s="579"/>
      <c r="F478" s="579"/>
      <c r="G478" s="579"/>
      <c r="H478" s="579"/>
      <c r="I478" s="579"/>
      <c r="J478" s="579"/>
      <c r="K478" s="579"/>
      <c r="L478" s="579"/>
      <c r="M478" s="579"/>
      <c r="N478" s="579"/>
      <c r="O478" s="580"/>
      <c r="P478" s="576" t="s">
        <v>40</v>
      </c>
      <c r="Q478" s="577"/>
      <c r="R478" s="577"/>
      <c r="S478" s="577"/>
      <c r="T478" s="577"/>
      <c r="U478" s="577"/>
      <c r="V478" s="578"/>
      <c r="W478" s="42" t="s">
        <v>39</v>
      </c>
      <c r="X478" s="43">
        <f>IFERROR(X475/H475,"0")+IFERROR(X476/H476,"0")+IFERROR(X477/H477,"0")</f>
        <v>0</v>
      </c>
      <c r="Y478" s="43">
        <f>IFERROR(Y475/H475,"0")+IFERROR(Y476/H476,"0")+IFERROR(Y477/H477,"0")</f>
        <v>0</v>
      </c>
      <c r="Z478" s="43">
        <f>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579"/>
      <c r="B479" s="579"/>
      <c r="C479" s="579"/>
      <c r="D479" s="579"/>
      <c r="E479" s="579"/>
      <c r="F479" s="579"/>
      <c r="G479" s="579"/>
      <c r="H479" s="579"/>
      <c r="I479" s="579"/>
      <c r="J479" s="579"/>
      <c r="K479" s="579"/>
      <c r="L479" s="579"/>
      <c r="M479" s="579"/>
      <c r="N479" s="579"/>
      <c r="O479" s="580"/>
      <c r="P479" s="576" t="s">
        <v>40</v>
      </c>
      <c r="Q479" s="577"/>
      <c r="R479" s="577"/>
      <c r="S479" s="577"/>
      <c r="T479" s="577"/>
      <c r="U479" s="577"/>
      <c r="V479" s="578"/>
      <c r="W479" s="42" t="s">
        <v>0</v>
      </c>
      <c r="X479" s="43">
        <f>IFERROR(SUM(X475:X477),"0")</f>
        <v>0</v>
      </c>
      <c r="Y479" s="43">
        <f>IFERROR(SUM(Y475:Y477),"0")</f>
        <v>0</v>
      </c>
      <c r="Z479" s="42"/>
      <c r="AA479" s="67"/>
      <c r="AB479" s="67"/>
      <c r="AC479" s="67"/>
    </row>
    <row r="480" spans="1:68" ht="14.25" customHeight="1" x14ac:dyDescent="0.25">
      <c r="A480" s="590" t="s">
        <v>156</v>
      </c>
      <c r="B480" s="590"/>
      <c r="C480" s="590"/>
      <c r="D480" s="590"/>
      <c r="E480" s="590"/>
      <c r="F480" s="590"/>
      <c r="G480" s="590"/>
      <c r="H480" s="590"/>
      <c r="I480" s="590"/>
      <c r="J480" s="590"/>
      <c r="K480" s="590"/>
      <c r="L480" s="590"/>
      <c r="M480" s="590"/>
      <c r="N480" s="590"/>
      <c r="O480" s="590"/>
      <c r="P480" s="590"/>
      <c r="Q480" s="590"/>
      <c r="R480" s="590"/>
      <c r="S480" s="590"/>
      <c r="T480" s="590"/>
      <c r="U480" s="590"/>
      <c r="V480" s="590"/>
      <c r="W480" s="590"/>
      <c r="X480" s="590"/>
      <c r="Y480" s="590"/>
      <c r="Z480" s="590"/>
      <c r="AA480" s="66"/>
      <c r="AB480" s="66"/>
      <c r="AC480" s="80"/>
    </row>
    <row r="481" spans="1:68" ht="27" customHeight="1" x14ac:dyDescent="0.25">
      <c r="A481" s="63" t="s">
        <v>762</v>
      </c>
      <c r="B481" s="63" t="s">
        <v>763</v>
      </c>
      <c r="C481" s="36">
        <v>4301020400</v>
      </c>
      <c r="D481" s="585">
        <v>4640242180519</v>
      </c>
      <c r="E481" s="585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5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587"/>
      <c r="R481" s="587"/>
      <c r="S481" s="587"/>
      <c r="T481" s="58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579"/>
      <c r="B482" s="579"/>
      <c r="C482" s="579"/>
      <c r="D482" s="579"/>
      <c r="E482" s="579"/>
      <c r="F482" s="579"/>
      <c r="G482" s="579"/>
      <c r="H482" s="579"/>
      <c r="I482" s="579"/>
      <c r="J482" s="579"/>
      <c r="K482" s="579"/>
      <c r="L482" s="579"/>
      <c r="M482" s="579"/>
      <c r="N482" s="579"/>
      <c r="O482" s="580"/>
      <c r="P482" s="576" t="s">
        <v>40</v>
      </c>
      <c r="Q482" s="577"/>
      <c r="R482" s="577"/>
      <c r="S482" s="577"/>
      <c r="T482" s="577"/>
      <c r="U482" s="577"/>
      <c r="V482" s="578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x14ac:dyDescent="0.2">
      <c r="A483" s="579"/>
      <c r="B483" s="579"/>
      <c r="C483" s="579"/>
      <c r="D483" s="579"/>
      <c r="E483" s="579"/>
      <c r="F483" s="579"/>
      <c r="G483" s="579"/>
      <c r="H483" s="579"/>
      <c r="I483" s="579"/>
      <c r="J483" s="579"/>
      <c r="K483" s="579"/>
      <c r="L483" s="579"/>
      <c r="M483" s="579"/>
      <c r="N483" s="579"/>
      <c r="O483" s="580"/>
      <c r="P483" s="576" t="s">
        <v>40</v>
      </c>
      <c r="Q483" s="577"/>
      <c r="R483" s="577"/>
      <c r="S483" s="577"/>
      <c r="T483" s="577"/>
      <c r="U483" s="577"/>
      <c r="V483" s="578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 x14ac:dyDescent="0.25">
      <c r="A484" s="590" t="s">
        <v>77</v>
      </c>
      <c r="B484" s="590"/>
      <c r="C484" s="590"/>
      <c r="D484" s="590"/>
      <c r="E484" s="590"/>
      <c r="F484" s="590"/>
      <c r="G484" s="590"/>
      <c r="H484" s="590"/>
      <c r="I484" s="590"/>
      <c r="J484" s="590"/>
      <c r="K484" s="590"/>
      <c r="L484" s="590"/>
      <c r="M484" s="590"/>
      <c r="N484" s="590"/>
      <c r="O484" s="590"/>
      <c r="P484" s="590"/>
      <c r="Q484" s="590"/>
      <c r="R484" s="590"/>
      <c r="S484" s="590"/>
      <c r="T484" s="590"/>
      <c r="U484" s="590"/>
      <c r="V484" s="590"/>
      <c r="W484" s="590"/>
      <c r="X484" s="590"/>
      <c r="Y484" s="590"/>
      <c r="Z484" s="590"/>
      <c r="AA484" s="66"/>
      <c r="AB484" s="66"/>
      <c r="AC484" s="80"/>
    </row>
    <row r="485" spans="1:68" ht="27" customHeight="1" x14ac:dyDescent="0.25">
      <c r="A485" s="63" t="s">
        <v>765</v>
      </c>
      <c r="B485" s="63" t="s">
        <v>766</v>
      </c>
      <c r="C485" s="36">
        <v>4301031467</v>
      </c>
      <c r="D485" s="585">
        <v>4640242180595</v>
      </c>
      <c r="E485" s="585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59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587"/>
      <c r="R485" s="587"/>
      <c r="S485" s="587"/>
      <c r="T485" s="588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79"/>
      <c r="B486" s="579"/>
      <c r="C486" s="579"/>
      <c r="D486" s="579"/>
      <c r="E486" s="579"/>
      <c r="F486" s="579"/>
      <c r="G486" s="579"/>
      <c r="H486" s="579"/>
      <c r="I486" s="579"/>
      <c r="J486" s="579"/>
      <c r="K486" s="579"/>
      <c r="L486" s="579"/>
      <c r="M486" s="579"/>
      <c r="N486" s="579"/>
      <c r="O486" s="580"/>
      <c r="P486" s="576" t="s">
        <v>40</v>
      </c>
      <c r="Q486" s="577"/>
      <c r="R486" s="577"/>
      <c r="S486" s="577"/>
      <c r="T486" s="577"/>
      <c r="U486" s="577"/>
      <c r="V486" s="578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79"/>
      <c r="B487" s="579"/>
      <c r="C487" s="579"/>
      <c r="D487" s="579"/>
      <c r="E487" s="579"/>
      <c r="F487" s="579"/>
      <c r="G487" s="579"/>
      <c r="H487" s="579"/>
      <c r="I487" s="579"/>
      <c r="J487" s="579"/>
      <c r="K487" s="579"/>
      <c r="L487" s="579"/>
      <c r="M487" s="579"/>
      <c r="N487" s="579"/>
      <c r="O487" s="580"/>
      <c r="P487" s="576" t="s">
        <v>40</v>
      </c>
      <c r="Q487" s="577"/>
      <c r="R487" s="577"/>
      <c r="S487" s="577"/>
      <c r="T487" s="577"/>
      <c r="U487" s="577"/>
      <c r="V487" s="578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590" t="s">
        <v>87</v>
      </c>
      <c r="B488" s="590"/>
      <c r="C488" s="590"/>
      <c r="D488" s="590"/>
      <c r="E488" s="590"/>
      <c r="F488" s="590"/>
      <c r="G488" s="590"/>
      <c r="H488" s="590"/>
      <c r="I488" s="590"/>
      <c r="J488" s="590"/>
      <c r="K488" s="590"/>
      <c r="L488" s="590"/>
      <c r="M488" s="590"/>
      <c r="N488" s="590"/>
      <c r="O488" s="590"/>
      <c r="P488" s="590"/>
      <c r="Q488" s="590"/>
      <c r="R488" s="590"/>
      <c r="S488" s="590"/>
      <c r="T488" s="590"/>
      <c r="U488" s="590"/>
      <c r="V488" s="590"/>
      <c r="W488" s="590"/>
      <c r="X488" s="590"/>
      <c r="Y488" s="590"/>
      <c r="Z488" s="590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585">
        <v>4640242180533</v>
      </c>
      <c r="E489" s="585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5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587"/>
      <c r="R489" s="587"/>
      <c r="S489" s="587"/>
      <c r="T489" s="588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 x14ac:dyDescent="0.2">
      <c r="A490" s="579"/>
      <c r="B490" s="579"/>
      <c r="C490" s="579"/>
      <c r="D490" s="579"/>
      <c r="E490" s="579"/>
      <c r="F490" s="579"/>
      <c r="G490" s="579"/>
      <c r="H490" s="579"/>
      <c r="I490" s="579"/>
      <c r="J490" s="579"/>
      <c r="K490" s="579"/>
      <c r="L490" s="579"/>
      <c r="M490" s="579"/>
      <c r="N490" s="579"/>
      <c r="O490" s="580"/>
      <c r="P490" s="576" t="s">
        <v>40</v>
      </c>
      <c r="Q490" s="577"/>
      <c r="R490" s="577"/>
      <c r="S490" s="577"/>
      <c r="T490" s="577"/>
      <c r="U490" s="577"/>
      <c r="V490" s="578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 x14ac:dyDescent="0.2">
      <c r="A491" s="579"/>
      <c r="B491" s="579"/>
      <c r="C491" s="579"/>
      <c r="D491" s="579"/>
      <c r="E491" s="579"/>
      <c r="F491" s="579"/>
      <c r="G491" s="579"/>
      <c r="H491" s="579"/>
      <c r="I491" s="579"/>
      <c r="J491" s="579"/>
      <c r="K491" s="579"/>
      <c r="L491" s="579"/>
      <c r="M491" s="579"/>
      <c r="N491" s="579"/>
      <c r="O491" s="580"/>
      <c r="P491" s="576" t="s">
        <v>40</v>
      </c>
      <c r="Q491" s="577"/>
      <c r="R491" s="577"/>
      <c r="S491" s="577"/>
      <c r="T491" s="577"/>
      <c r="U491" s="577"/>
      <c r="V491" s="578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customHeight="1" x14ac:dyDescent="0.25">
      <c r="A492" s="590" t="s">
        <v>176</v>
      </c>
      <c r="B492" s="590"/>
      <c r="C492" s="590"/>
      <c r="D492" s="590"/>
      <c r="E492" s="590"/>
      <c r="F492" s="590"/>
      <c r="G492" s="590"/>
      <c r="H492" s="590"/>
      <c r="I492" s="590"/>
      <c r="J492" s="590"/>
      <c r="K492" s="590"/>
      <c r="L492" s="590"/>
      <c r="M492" s="590"/>
      <c r="N492" s="590"/>
      <c r="O492" s="590"/>
      <c r="P492" s="590"/>
      <c r="Q492" s="590"/>
      <c r="R492" s="590"/>
      <c r="S492" s="590"/>
      <c r="T492" s="590"/>
      <c r="U492" s="590"/>
      <c r="V492" s="590"/>
      <c r="W492" s="590"/>
      <c r="X492" s="590"/>
      <c r="Y492" s="590"/>
      <c r="Z492" s="590"/>
      <c r="AA492" s="66"/>
      <c r="AB492" s="66"/>
      <c r="AC492" s="80"/>
    </row>
    <row r="493" spans="1:68" ht="27" customHeight="1" x14ac:dyDescent="0.25">
      <c r="A493" s="63" t="s">
        <v>771</v>
      </c>
      <c r="B493" s="63" t="s">
        <v>772</v>
      </c>
      <c r="C493" s="36">
        <v>4301060491</v>
      </c>
      <c r="D493" s="585">
        <v>4640242180120</v>
      </c>
      <c r="E493" s="585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59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587"/>
      <c r="R493" s="587"/>
      <c r="S493" s="587"/>
      <c r="T493" s="58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774</v>
      </c>
      <c r="B494" s="63" t="s">
        <v>775</v>
      </c>
      <c r="C494" s="36">
        <v>4301060493</v>
      </c>
      <c r="D494" s="585">
        <v>4640242180137</v>
      </c>
      <c r="E494" s="585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58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587"/>
      <c r="R494" s="587"/>
      <c r="S494" s="587"/>
      <c r="T494" s="58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579"/>
      <c r="B495" s="579"/>
      <c r="C495" s="579"/>
      <c r="D495" s="579"/>
      <c r="E495" s="579"/>
      <c r="F495" s="579"/>
      <c r="G495" s="579"/>
      <c r="H495" s="579"/>
      <c r="I495" s="579"/>
      <c r="J495" s="579"/>
      <c r="K495" s="579"/>
      <c r="L495" s="579"/>
      <c r="M495" s="579"/>
      <c r="N495" s="579"/>
      <c r="O495" s="580"/>
      <c r="P495" s="576" t="s">
        <v>40</v>
      </c>
      <c r="Q495" s="577"/>
      <c r="R495" s="577"/>
      <c r="S495" s="577"/>
      <c r="T495" s="577"/>
      <c r="U495" s="577"/>
      <c r="V495" s="578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x14ac:dyDescent="0.2">
      <c r="A496" s="579"/>
      <c r="B496" s="579"/>
      <c r="C496" s="579"/>
      <c r="D496" s="579"/>
      <c r="E496" s="579"/>
      <c r="F496" s="579"/>
      <c r="G496" s="579"/>
      <c r="H496" s="579"/>
      <c r="I496" s="579"/>
      <c r="J496" s="579"/>
      <c r="K496" s="579"/>
      <c r="L496" s="579"/>
      <c r="M496" s="579"/>
      <c r="N496" s="579"/>
      <c r="O496" s="580"/>
      <c r="P496" s="576" t="s">
        <v>40</v>
      </c>
      <c r="Q496" s="577"/>
      <c r="R496" s="577"/>
      <c r="S496" s="577"/>
      <c r="T496" s="577"/>
      <c r="U496" s="577"/>
      <c r="V496" s="578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customHeight="1" x14ac:dyDescent="0.25">
      <c r="A497" s="589" t="s">
        <v>777</v>
      </c>
      <c r="B497" s="589"/>
      <c r="C497" s="589"/>
      <c r="D497" s="589"/>
      <c r="E497" s="589"/>
      <c r="F497" s="589"/>
      <c r="G497" s="589"/>
      <c r="H497" s="589"/>
      <c r="I497" s="589"/>
      <c r="J497" s="589"/>
      <c r="K497" s="589"/>
      <c r="L497" s="589"/>
      <c r="M497" s="589"/>
      <c r="N497" s="589"/>
      <c r="O497" s="589"/>
      <c r="P497" s="589"/>
      <c r="Q497" s="589"/>
      <c r="R497" s="589"/>
      <c r="S497" s="589"/>
      <c r="T497" s="589"/>
      <c r="U497" s="589"/>
      <c r="V497" s="589"/>
      <c r="W497" s="589"/>
      <c r="X497" s="589"/>
      <c r="Y497" s="589"/>
      <c r="Z497" s="589"/>
      <c r="AA497" s="65"/>
      <c r="AB497" s="65"/>
      <c r="AC497" s="79"/>
    </row>
    <row r="498" spans="1:68" ht="14.25" customHeight="1" x14ac:dyDescent="0.25">
      <c r="A498" s="590" t="s">
        <v>156</v>
      </c>
      <c r="B498" s="590"/>
      <c r="C498" s="590"/>
      <c r="D498" s="590"/>
      <c r="E498" s="590"/>
      <c r="F498" s="590"/>
      <c r="G498" s="590"/>
      <c r="H498" s="590"/>
      <c r="I498" s="590"/>
      <c r="J498" s="590"/>
      <c r="K498" s="590"/>
      <c r="L498" s="590"/>
      <c r="M498" s="590"/>
      <c r="N498" s="590"/>
      <c r="O498" s="590"/>
      <c r="P498" s="590"/>
      <c r="Q498" s="590"/>
      <c r="R498" s="590"/>
      <c r="S498" s="590"/>
      <c r="T498" s="590"/>
      <c r="U498" s="590"/>
      <c r="V498" s="590"/>
      <c r="W498" s="590"/>
      <c r="X498" s="590"/>
      <c r="Y498" s="590"/>
      <c r="Z498" s="590"/>
      <c r="AA498" s="66"/>
      <c r="AB498" s="66"/>
      <c r="AC498" s="80"/>
    </row>
    <row r="499" spans="1:68" ht="27" customHeight="1" x14ac:dyDescent="0.25">
      <c r="A499" s="63" t="s">
        <v>778</v>
      </c>
      <c r="B499" s="63" t="s">
        <v>779</v>
      </c>
      <c r="C499" s="36">
        <v>4301020314</v>
      </c>
      <c r="D499" s="585">
        <v>4640242180090</v>
      </c>
      <c r="E499" s="585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59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587"/>
      <c r="R499" s="587"/>
      <c r="S499" s="587"/>
      <c r="T499" s="58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579"/>
      <c r="B500" s="579"/>
      <c r="C500" s="579"/>
      <c r="D500" s="579"/>
      <c r="E500" s="579"/>
      <c r="F500" s="579"/>
      <c r="G500" s="579"/>
      <c r="H500" s="579"/>
      <c r="I500" s="579"/>
      <c r="J500" s="579"/>
      <c r="K500" s="579"/>
      <c r="L500" s="579"/>
      <c r="M500" s="579"/>
      <c r="N500" s="579"/>
      <c r="O500" s="580"/>
      <c r="P500" s="576" t="s">
        <v>40</v>
      </c>
      <c r="Q500" s="577"/>
      <c r="R500" s="577"/>
      <c r="S500" s="577"/>
      <c r="T500" s="577"/>
      <c r="U500" s="577"/>
      <c r="V500" s="578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">
      <c r="A501" s="579"/>
      <c r="B501" s="579"/>
      <c r="C501" s="579"/>
      <c r="D501" s="579"/>
      <c r="E501" s="579"/>
      <c r="F501" s="579"/>
      <c r="G501" s="579"/>
      <c r="H501" s="579"/>
      <c r="I501" s="579"/>
      <c r="J501" s="579"/>
      <c r="K501" s="579"/>
      <c r="L501" s="579"/>
      <c r="M501" s="579"/>
      <c r="N501" s="579"/>
      <c r="O501" s="580"/>
      <c r="P501" s="576" t="s">
        <v>40</v>
      </c>
      <c r="Q501" s="577"/>
      <c r="R501" s="577"/>
      <c r="S501" s="577"/>
      <c r="T501" s="577"/>
      <c r="U501" s="577"/>
      <c r="V501" s="578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579"/>
      <c r="B502" s="579"/>
      <c r="C502" s="579"/>
      <c r="D502" s="579"/>
      <c r="E502" s="579"/>
      <c r="F502" s="579"/>
      <c r="G502" s="579"/>
      <c r="H502" s="579"/>
      <c r="I502" s="579"/>
      <c r="J502" s="579"/>
      <c r="K502" s="579"/>
      <c r="L502" s="579"/>
      <c r="M502" s="579"/>
      <c r="N502" s="579"/>
      <c r="O502" s="584"/>
      <c r="P502" s="581" t="s">
        <v>33</v>
      </c>
      <c r="Q502" s="582"/>
      <c r="R502" s="582"/>
      <c r="S502" s="582"/>
      <c r="T502" s="582"/>
      <c r="U502" s="582"/>
      <c r="V502" s="583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1220.0900000000001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1290.9000000000001</v>
      </c>
      <c r="Z502" s="42"/>
      <c r="AA502" s="67"/>
      <c r="AB502" s="67"/>
      <c r="AC502" s="67"/>
    </row>
    <row r="503" spans="1:68" x14ac:dyDescent="0.2">
      <c r="A503" s="579"/>
      <c r="B503" s="579"/>
      <c r="C503" s="579"/>
      <c r="D503" s="579"/>
      <c r="E503" s="579"/>
      <c r="F503" s="579"/>
      <c r="G503" s="579"/>
      <c r="H503" s="579"/>
      <c r="I503" s="579"/>
      <c r="J503" s="579"/>
      <c r="K503" s="579"/>
      <c r="L503" s="579"/>
      <c r="M503" s="579"/>
      <c r="N503" s="579"/>
      <c r="O503" s="584"/>
      <c r="P503" s="581" t="s">
        <v>34</v>
      </c>
      <c r="Q503" s="582"/>
      <c r="R503" s="582"/>
      <c r="S503" s="582"/>
      <c r="T503" s="582"/>
      <c r="U503" s="582"/>
      <c r="V503" s="583"/>
      <c r="W503" s="42" t="s">
        <v>0</v>
      </c>
      <c r="X503" s="43">
        <f>IFERROR(SUM(BM22:BM499),"0")</f>
        <v>1279.2004420579419</v>
      </c>
      <c r="Y503" s="43">
        <f>IFERROR(SUM(BN22:BN499),"0")</f>
        <v>1353.3859999999997</v>
      </c>
      <c r="Z503" s="42"/>
      <c r="AA503" s="67"/>
      <c r="AB503" s="67"/>
      <c r="AC503" s="67"/>
    </row>
    <row r="504" spans="1:68" x14ac:dyDescent="0.2">
      <c r="A504" s="579"/>
      <c r="B504" s="579"/>
      <c r="C504" s="579"/>
      <c r="D504" s="579"/>
      <c r="E504" s="579"/>
      <c r="F504" s="579"/>
      <c r="G504" s="579"/>
      <c r="H504" s="579"/>
      <c r="I504" s="579"/>
      <c r="J504" s="579"/>
      <c r="K504" s="579"/>
      <c r="L504" s="579"/>
      <c r="M504" s="579"/>
      <c r="N504" s="579"/>
      <c r="O504" s="584"/>
      <c r="P504" s="581" t="s">
        <v>35</v>
      </c>
      <c r="Q504" s="582"/>
      <c r="R504" s="582"/>
      <c r="S504" s="582"/>
      <c r="T504" s="582"/>
      <c r="U504" s="582"/>
      <c r="V504" s="583"/>
      <c r="W504" s="42" t="s">
        <v>20</v>
      </c>
      <c r="X504" s="44">
        <f>ROUNDUP(SUM(BO22:BO499),0)</f>
        <v>3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">
      <c r="A505" s="579"/>
      <c r="B505" s="579"/>
      <c r="C505" s="579"/>
      <c r="D505" s="579"/>
      <c r="E505" s="579"/>
      <c r="F505" s="579"/>
      <c r="G505" s="579"/>
      <c r="H505" s="579"/>
      <c r="I505" s="579"/>
      <c r="J505" s="579"/>
      <c r="K505" s="579"/>
      <c r="L505" s="579"/>
      <c r="M505" s="579"/>
      <c r="N505" s="579"/>
      <c r="O505" s="584"/>
      <c r="P505" s="581" t="s">
        <v>36</v>
      </c>
      <c r="Q505" s="582"/>
      <c r="R505" s="582"/>
      <c r="S505" s="582"/>
      <c r="T505" s="582"/>
      <c r="U505" s="582"/>
      <c r="V505" s="583"/>
      <c r="W505" s="42" t="s">
        <v>0</v>
      </c>
      <c r="X505" s="43">
        <f>GrossWeightTotal+PalletQtyTotal*25</f>
        <v>1354.2004420579419</v>
      </c>
      <c r="Y505" s="43">
        <f>GrossWeightTotalR+PalletQtyTotalR*25</f>
        <v>1428.3859999999997</v>
      </c>
      <c r="Z505" s="42"/>
      <c r="AA505" s="67"/>
      <c r="AB505" s="67"/>
      <c r="AC505" s="67"/>
    </row>
    <row r="506" spans="1:68" x14ac:dyDescent="0.2">
      <c r="A506" s="579"/>
      <c r="B506" s="579"/>
      <c r="C506" s="579"/>
      <c r="D506" s="579"/>
      <c r="E506" s="579"/>
      <c r="F506" s="579"/>
      <c r="G506" s="579"/>
      <c r="H506" s="579"/>
      <c r="I506" s="579"/>
      <c r="J506" s="579"/>
      <c r="K506" s="579"/>
      <c r="L506" s="579"/>
      <c r="M506" s="579"/>
      <c r="N506" s="579"/>
      <c r="O506" s="584"/>
      <c r="P506" s="581" t="s">
        <v>37</v>
      </c>
      <c r="Q506" s="582"/>
      <c r="R506" s="582"/>
      <c r="S506" s="582"/>
      <c r="T506" s="582"/>
      <c r="U506" s="582"/>
      <c r="V506" s="583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173.00974025974025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183</v>
      </c>
      <c r="Z506" s="42"/>
      <c r="AA506" s="67"/>
      <c r="AB506" s="67"/>
      <c r="AC506" s="67"/>
    </row>
    <row r="507" spans="1:68" ht="14.25" x14ac:dyDescent="0.2">
      <c r="A507" s="579"/>
      <c r="B507" s="579"/>
      <c r="C507" s="579"/>
      <c r="D507" s="579"/>
      <c r="E507" s="579"/>
      <c r="F507" s="579"/>
      <c r="G507" s="579"/>
      <c r="H507" s="579"/>
      <c r="I507" s="579"/>
      <c r="J507" s="579"/>
      <c r="K507" s="579"/>
      <c r="L507" s="579"/>
      <c r="M507" s="579"/>
      <c r="N507" s="579"/>
      <c r="O507" s="584"/>
      <c r="P507" s="581" t="s">
        <v>38</v>
      </c>
      <c r="Q507" s="582"/>
      <c r="R507" s="582"/>
      <c r="S507" s="582"/>
      <c r="T507" s="582"/>
      <c r="U507" s="582"/>
      <c r="V507" s="583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2.4922599999999999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572" t="s">
        <v>120</v>
      </c>
      <c r="E509" s="572" t="s">
        <v>120</v>
      </c>
      <c r="F509" s="572" t="s">
        <v>120</v>
      </c>
      <c r="G509" s="572" t="s">
        <v>120</v>
      </c>
      <c r="H509" s="572" t="s">
        <v>120</v>
      </c>
      <c r="I509" s="572" t="s">
        <v>120</v>
      </c>
      <c r="J509" s="572" t="s">
        <v>293</v>
      </c>
      <c r="K509" s="572" t="s">
        <v>293</v>
      </c>
      <c r="L509" s="572" t="s">
        <v>293</v>
      </c>
      <c r="M509" s="572" t="s">
        <v>293</v>
      </c>
      <c r="N509" s="573"/>
      <c r="O509" s="572" t="s">
        <v>293</v>
      </c>
      <c r="P509" s="572" t="s">
        <v>293</v>
      </c>
      <c r="Q509" s="572" t="s">
        <v>293</v>
      </c>
      <c r="R509" s="572" t="s">
        <v>293</v>
      </c>
      <c r="S509" s="572" t="s">
        <v>293</v>
      </c>
      <c r="T509" s="572" t="s">
        <v>601</v>
      </c>
      <c r="U509" s="572" t="s">
        <v>601</v>
      </c>
      <c r="V509" s="572" t="s">
        <v>654</v>
      </c>
      <c r="W509" s="572" t="s">
        <v>654</v>
      </c>
      <c r="X509" s="572" t="s">
        <v>654</v>
      </c>
      <c r="Y509" s="85" t="s">
        <v>702</v>
      </c>
      <c r="Z509" s="572" t="s">
        <v>753</v>
      </c>
      <c r="AA509" s="572" t="s">
        <v>753</v>
      </c>
      <c r="AB509" s="60"/>
      <c r="AC509" s="60"/>
      <c r="AF509" s="1"/>
    </row>
    <row r="510" spans="1:68" ht="14.25" customHeight="1" thickTop="1" x14ac:dyDescent="0.2">
      <c r="A510" s="574" t="s">
        <v>10</v>
      </c>
      <c r="B510" s="572" t="s">
        <v>76</v>
      </c>
      <c r="C510" s="572" t="s">
        <v>116</v>
      </c>
      <c r="D510" s="572" t="s">
        <v>121</v>
      </c>
      <c r="E510" s="572" t="s">
        <v>137</v>
      </c>
      <c r="F510" s="572" t="s">
        <v>183</v>
      </c>
      <c r="G510" s="572" t="s">
        <v>205</v>
      </c>
      <c r="H510" s="572" t="s">
        <v>242</v>
      </c>
      <c r="I510" s="572" t="s">
        <v>120</v>
      </c>
      <c r="J510" s="572" t="s">
        <v>294</v>
      </c>
      <c r="K510" s="572" t="s">
        <v>350</v>
      </c>
      <c r="L510" s="572" t="s">
        <v>414</v>
      </c>
      <c r="M510" s="572" t="s">
        <v>453</v>
      </c>
      <c r="N510" s="1"/>
      <c r="O510" s="572" t="s">
        <v>469</v>
      </c>
      <c r="P510" s="572" t="s">
        <v>480</v>
      </c>
      <c r="Q510" s="572" t="s">
        <v>489</v>
      </c>
      <c r="R510" s="572" t="s">
        <v>508</v>
      </c>
      <c r="S510" s="572" t="s">
        <v>591</v>
      </c>
      <c r="T510" s="572" t="s">
        <v>602</v>
      </c>
      <c r="U510" s="572" t="s">
        <v>638</v>
      </c>
      <c r="V510" s="572" t="s">
        <v>655</v>
      </c>
      <c r="W510" s="572" t="s">
        <v>686</v>
      </c>
      <c r="X510" s="572" t="s">
        <v>698</v>
      </c>
      <c r="Y510" s="572" t="s">
        <v>702</v>
      </c>
      <c r="Z510" s="572" t="s">
        <v>753</v>
      </c>
      <c r="AA510" s="572" t="s">
        <v>777</v>
      </c>
      <c r="AB510" s="60"/>
      <c r="AC510" s="60"/>
      <c r="AF510" s="1"/>
    </row>
    <row r="511" spans="1:68" ht="13.5" thickBot="1" x14ac:dyDescent="0.25">
      <c r="A511" s="575"/>
      <c r="B511" s="572"/>
      <c r="C511" s="572"/>
      <c r="D511" s="572"/>
      <c r="E511" s="572"/>
      <c r="F511" s="572"/>
      <c r="G511" s="572"/>
      <c r="H511" s="572"/>
      <c r="I511" s="572"/>
      <c r="J511" s="572"/>
      <c r="K511" s="572"/>
      <c r="L511" s="572"/>
      <c r="M511" s="572"/>
      <c r="N511" s="1"/>
      <c r="O511" s="572"/>
      <c r="P511" s="572"/>
      <c r="Q511" s="572"/>
      <c r="R511" s="572"/>
      <c r="S511" s="572"/>
      <c r="T511" s="572"/>
      <c r="U511" s="572"/>
      <c r="V511" s="572"/>
      <c r="W511" s="572"/>
      <c r="X511" s="572"/>
      <c r="Y511" s="572"/>
      <c r="Z511" s="572"/>
      <c r="AA511" s="572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21.6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60.6</v>
      </c>
      <c r="F512" s="52">
        <f>IFERROR(Y88*1,"0")+IFERROR(Y89*1,"0")+IFERROR(Y90*1,"0")+IFERROR(Y91*1,"0")+IFERROR(Y95*1,"0")+IFERROR(Y96*1,"0")+IFERROR(Y97*1,"0")+IFERROR(Y98*1,"0")</f>
        <v>13.5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86.4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71.400000000000006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70.2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64.8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63</v>
      </c>
      <c r="S512" s="52">
        <f>IFERROR(Y358*1,"0")+IFERROR(Y359*1,"0")+IFERROR(Y360*1,"0")</f>
        <v>12.6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420</v>
      </c>
      <c r="U512" s="52">
        <f>IFERROR(Y391*1,"0")+IFERROR(Y392*1,"0")+IFERROR(Y396*1,"0")+IFERROR(Y400*1,"0")+IFERROR(Y401*1,"0")+IFERROR(Y402*1,"0")</f>
        <v>24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10.8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264</v>
      </c>
      <c r="Z512" s="52">
        <f>IFERROR(Y475*1,"0")+IFERROR(Y476*1,"0")+IFERROR(Y477*1,"0")+IFERROR(Y481*1,"0")+IFERROR(Y485*1,"0")+IFERROR(Y489*1,"0")+IFERROR(Y493*1,"0")+IFERROR(Y494*1,"0")</f>
        <v>108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1016</vt:i4>
      </vt:variant>
    </vt:vector>
  </HeadingPairs>
  <TitlesOfParts>
    <vt:vector size="101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2026-06-22T12:01:54Z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