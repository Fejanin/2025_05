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Manager\Desktop\ЕРЕМИН С.Н\"/>
    </mc:Choice>
  </mc:AlternateContent>
  <xr:revisionPtr revIDLastSave="0" documentId="13_ncr:1_{B0DB18AA-B2A0-452E-9183-6F22A56F491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Y519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P471" i="2"/>
  <c r="BO471" i="2"/>
  <c r="BM471" i="2"/>
  <c r="Z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Z458" i="2"/>
  <c r="Z459" i="2" s="1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P448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N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N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N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N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Y334" i="2" s="1"/>
  <c r="P333" i="2"/>
  <c r="BO332" i="2"/>
  <c r="BN332" i="2"/>
  <c r="BM332" i="2"/>
  <c r="Y332" i="2"/>
  <c r="P332" i="2"/>
  <c r="X330" i="2"/>
  <c r="X329" i="2"/>
  <c r="BO328" i="2"/>
  <c r="BM328" i="2"/>
  <c r="Y328" i="2"/>
  <c r="P328" i="2"/>
  <c r="BO327" i="2"/>
  <c r="BN327" i="2"/>
  <c r="BM327" i="2"/>
  <c r="Y327" i="2"/>
  <c r="Z327" i="2" s="1"/>
  <c r="P327" i="2"/>
  <c r="BO326" i="2"/>
  <c r="BM326" i="2"/>
  <c r="Y326" i="2"/>
  <c r="P326" i="2"/>
  <c r="BP325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N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N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N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N295" i="2"/>
  <c r="BM295" i="2"/>
  <c r="Y295" i="2"/>
  <c r="Y296" i="2" s="1"/>
  <c r="P295" i="2"/>
  <c r="X293" i="2"/>
  <c r="X292" i="2"/>
  <c r="BO291" i="2"/>
  <c r="BN291" i="2"/>
  <c r="BM291" i="2"/>
  <c r="Y291" i="2"/>
  <c r="P291" i="2"/>
  <c r="X289" i="2"/>
  <c r="X288" i="2"/>
  <c r="BO287" i="2"/>
  <c r="BN287" i="2"/>
  <c r="BM287" i="2"/>
  <c r="Y287" i="2"/>
  <c r="Z287" i="2" s="1"/>
  <c r="P287" i="2"/>
  <c r="BO286" i="2"/>
  <c r="BN286" i="2"/>
  <c r="BM286" i="2"/>
  <c r="Y286" i="2"/>
  <c r="BP286" i="2" s="1"/>
  <c r="P286" i="2"/>
  <c r="BP285" i="2"/>
  <c r="BO285" i="2"/>
  <c r="BM285" i="2"/>
  <c r="Y285" i="2"/>
  <c r="P285" i="2"/>
  <c r="BO284" i="2"/>
  <c r="BM284" i="2"/>
  <c r="Z284" i="2"/>
  <c r="Y284" i="2"/>
  <c r="P284" i="2"/>
  <c r="BO283" i="2"/>
  <c r="BM283" i="2"/>
  <c r="Y283" i="2"/>
  <c r="P283" i="2"/>
  <c r="BO282" i="2"/>
  <c r="BN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Z236" i="2"/>
  <c r="Z237" i="2" s="1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Z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Y193" i="2"/>
  <c r="X193" i="2"/>
  <c r="Y192" i="2"/>
  <c r="X192" i="2"/>
  <c r="BP191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Z182" i="2"/>
  <c r="Z183" i="2" s="1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Y167" i="2"/>
  <c r="X167" i="2"/>
  <c r="X166" i="2"/>
  <c r="BO165" i="2"/>
  <c r="BN165" i="2"/>
  <c r="BM165" i="2"/>
  <c r="Z165" i="2"/>
  <c r="Z166" i="2" s="1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Z154" i="2"/>
  <c r="Y154" i="2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Y144" i="2"/>
  <c r="X144" i="2"/>
  <c r="Y143" i="2"/>
  <c r="X143" i="2"/>
  <c r="BP142" i="2"/>
  <c r="BO142" i="2"/>
  <c r="BN142" i="2"/>
  <c r="BM142" i="2"/>
  <c r="Z142" i="2"/>
  <c r="Z143" i="2" s="1"/>
  <c r="Y142" i="2"/>
  <c r="P142" i="2"/>
  <c r="BO141" i="2"/>
  <c r="BN141" i="2"/>
  <c r="BM141" i="2"/>
  <c r="Z141" i="2"/>
  <c r="Y141" i="2"/>
  <c r="BP141" i="2" s="1"/>
  <c r="P141" i="2"/>
  <c r="X139" i="2"/>
  <c r="X138" i="2"/>
  <c r="BO137" i="2"/>
  <c r="BN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Z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Y51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N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N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N445" i="2" l="1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23" i="2" l="1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<sst xmlns="http://schemas.openxmlformats.org/spreadsheetml/2006/main" count="3932" uniqueCount="844">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</sst>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5"/>
  <sheetViews>
    <sheetView showGridLines="0" tabSelected="1" topLeftCell="H526" zoomScaleNormal="100" zoomScaleSheetLayoutView="100" workbookViewId="0">
      <selection activeCell="X526" sqref="X5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/>
      <c r="I5" s="598"/>
      <c r="J5" s="598"/>
      <c r="K5" s="598"/>
      <c r="L5" s="598"/>
      <c r="M5" s="598"/>
      <c r="N5" s="69"/>
      <c r="P5" s="26" t="s">
        <v>4</v>
      </c>
      <c r="Q5" s="600">
        <v>46205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/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450</v>
      </c>
      <c r="Y56" s="53">
        <f>IFERROR(IF(X56="",0,CEILING((X56/$H56),1)*$H56),"")</f>
        <v>453.6</v>
      </c>
      <c r="Z56" s="39">
        <f>IFERROR(IF(Y56=0,"",ROUNDUP(Y56/H56,0)*0.01898),"")</f>
        <v>0.79715999999999998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467.08333333333331</v>
      </c>
      <c r="BN56" s="75">
        <f>IFERROR(Y56*I56/H56,"0")</f>
        <v>470.82000000000005</v>
      </c>
      <c r="BO56" s="75">
        <f>IFERROR(1/J56*(X56/H56),"0")</f>
        <v>0.65104166666666663</v>
      </c>
      <c r="BP56" s="75">
        <f>IFERROR(1/J56*(Y56/H56),"0")</f>
        <v>0.65625</v>
      </c>
    </row>
    <row r="57" spans="1:68" ht="27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>
        <v>20</v>
      </c>
      <c r="Y58" s="53">
        <f>IFERROR(IF(X58="",0,CEILING((X58/$H58),1)*$H58),"")</f>
        <v>20</v>
      </c>
      <c r="Z58" s="39">
        <f>IFERROR(IF(Y58=0,"",ROUNDUP(Y58/H58,0)*0.00902),"")</f>
        <v>4.5100000000000001E-2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20.950000000000003</v>
      </c>
      <c r="BN58" s="75">
        <f>IFERROR(Y58*I58/H58,"0")</f>
        <v>20.950000000000003</v>
      </c>
      <c r="BO58" s="75">
        <f>IFERROR(1/J58*(X58/H58),"0")</f>
        <v>3.787878787878788E-2</v>
      </c>
      <c r="BP58" s="75">
        <f>IFERROR(1/J58*(Y58/H58),"0")</f>
        <v>3.787878787878788E-2</v>
      </c>
    </row>
    <row r="59" spans="1:68" ht="27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46.666666666666664</v>
      </c>
      <c r="Y60" s="41">
        <f>IFERROR(Y56/H56,"0")+IFERROR(Y57/H57,"0")+IFERROR(Y58/H58,"0")+IFERROR(Y59/H59,"0")</f>
        <v>47</v>
      </c>
      <c r="Z60" s="41">
        <f>IFERROR(IF(Z56="",0,Z56),"0")+IFERROR(IF(Z57="",0,Z57),"0")+IFERROR(IF(Z58="",0,Z58),"0")+IFERROR(IF(Z59="",0,Z59),"0")</f>
        <v>0.84226000000000001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470</v>
      </c>
      <c r="Y61" s="41">
        <f>IFERROR(SUM(Y56:Y59),"0")</f>
        <v>473.6</v>
      </c>
      <c r="Z61" s="40"/>
      <c r="AA61" s="64"/>
      <c r="AB61" s="64"/>
      <c r="AC61" s="64"/>
    </row>
    <row r="62" spans="1:68" ht="16.5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/>
      <c r="Y65" s="53">
        <f t="shared" si="6"/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t="27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0</v>
      </c>
      <c r="Y70" s="41">
        <f>IFERROR(Y64/H64,"0")+IFERROR(Y65/H65,"0")+IFERROR(Y66/H66,"0")+IFERROR(Y67/H67,"0")+IFERROR(Y68/H68,"0")+IFERROR(Y69/H69,"0")</f>
        <v>0</v>
      </c>
      <c r="Z70" s="41">
        <f>IFERROR(IF(Z64="",0,Z64),"0")+IFERROR(IF(Z65="",0,Z65),"0")+IFERROR(IF(Z66="",0,Z66),"0")+IFERROR(IF(Z67="",0,Z67),"0")+IFERROR(IF(Z68="",0,Z68),"0")+IFERROR(IF(Z69="",0,Z69),"0")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0</v>
      </c>
      <c r="Y71" s="41">
        <f>IFERROR(SUM(Y64:Y69),"0")</f>
        <v>0</v>
      </c>
      <c r="Z71" s="40"/>
      <c r="AA71" s="64"/>
      <c r="AB71" s="64"/>
      <c r="AC71" s="64"/>
    </row>
    <row r="72" spans="1:68" ht="14.25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80</v>
      </c>
      <c r="Y73" s="53">
        <f>IFERROR(IF(X73="",0,CEILING((X73/$H73),1)*$H73),"")</f>
        <v>86.4</v>
      </c>
      <c r="Z73" s="39">
        <f>IFERROR(IF(Y73=0,"",ROUNDUP(Y73/H73,0)*0.01898),"")</f>
        <v>0.15184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83.037037037037038</v>
      </c>
      <c r="BN73" s="75">
        <f>IFERROR(Y73*I73/H73,"0")</f>
        <v>89.68</v>
      </c>
      <c r="BO73" s="75">
        <f>IFERROR(1/J73*(X73/H73),"0")</f>
        <v>0.11574074074074073</v>
      </c>
      <c r="BP73" s="75">
        <f>IFERROR(1/J73*(Y73/H73),"0")</f>
        <v>0.125</v>
      </c>
    </row>
    <row r="74" spans="1:68" ht="16.5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7.4074074074074066</v>
      </c>
      <c r="Y77" s="41">
        <f>IFERROR(Y73/H73,"0")+IFERROR(Y74/H74,"0")+IFERROR(Y75/H75,"0")+IFERROR(Y76/H76,"0")</f>
        <v>8</v>
      </c>
      <c r="Z77" s="41">
        <f>IFERROR(IF(Z73="",0,Z73),"0")+IFERROR(IF(Z74="",0,Z74),"0")+IFERROR(IF(Z75="",0,Z75),"0")+IFERROR(IF(Z76="",0,Z76),"0")</f>
        <v>0.15184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80</v>
      </c>
      <c r="Y78" s="41">
        <f>IFERROR(SUM(Y73:Y76),"0")</f>
        <v>86.4</v>
      </c>
      <c r="Z78" s="40"/>
      <c r="AA78" s="64"/>
      <c r="AB78" s="64"/>
      <c r="AC78" s="64"/>
    </row>
    <row r="79" spans="1:68" ht="14.25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120</v>
      </c>
      <c r="Y91" s="53">
        <f>IFERROR(IF(X91="",0,CEILING((X91/$H91),1)*$H91),"")</f>
        <v>129.60000000000002</v>
      </c>
      <c r="Z91" s="39">
        <f>IFERROR(IF(Y91=0,"",ROUNDUP(Y91/H91,0)*0.01898),"")</f>
        <v>0.22776000000000002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124.55555555555556</v>
      </c>
      <c r="BN91" s="75">
        <f>IFERROR(Y91*I91/H91,"0")</f>
        <v>134.52000000000001</v>
      </c>
      <c r="BO91" s="75">
        <f>IFERROR(1/J91*(X91/H91),"0")</f>
        <v>0.1736111111111111</v>
      </c>
      <c r="BP91" s="75">
        <f>IFERROR(1/J91*(Y91/H91),"0")</f>
        <v>0.18750000000000003</v>
      </c>
    </row>
    <row r="92" spans="1:68" ht="27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22.5</v>
      </c>
      <c r="Y94" s="53">
        <f>IFERROR(IF(X94="",0,CEILING((X94/$H94),1)*$H94),"")</f>
        <v>22.5</v>
      </c>
      <c r="Z94" s="39">
        <f>IFERROR(IF(Y94=0,"",ROUNDUP(Y94/H94,0)*0.00902),"")</f>
        <v>4.5100000000000001E-2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23.450000000000003</v>
      </c>
      <c r="BN94" s="75">
        <f>IFERROR(Y94*I94/H94,"0")</f>
        <v>23.450000000000003</v>
      </c>
      <c r="BO94" s="75">
        <f>IFERROR(1/J94*(X94/H94),"0")</f>
        <v>3.787878787878788E-2</v>
      </c>
      <c r="BP94" s="75">
        <f>IFERROR(1/J94*(Y94/H94),"0")</f>
        <v>3.787878787878788E-2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16.111111111111111</v>
      </c>
      <c r="Y95" s="41">
        <f>IFERROR(Y91/H91,"0")+IFERROR(Y92/H92,"0")+IFERROR(Y93/H93,"0")+IFERROR(Y94/H94,"0")</f>
        <v>17</v>
      </c>
      <c r="Z95" s="41">
        <f>IFERROR(IF(Z91="",0,Z91),"0")+IFERROR(IF(Z92="",0,Z92),"0")+IFERROR(IF(Z93="",0,Z93),"0")+IFERROR(IF(Z94="",0,Z94),"0")</f>
        <v>0.27285999999999999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142.5</v>
      </c>
      <c r="Y96" s="41">
        <f>IFERROR(SUM(Y91:Y94),"0")</f>
        <v>152.10000000000002</v>
      </c>
      <c r="Z96" s="40"/>
      <c r="AA96" s="64"/>
      <c r="AB96" s="64"/>
      <c r="AC96" s="64"/>
    </row>
    <row r="97" spans="1:68" ht="14.25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500</v>
      </c>
      <c r="Y98" s="53">
        <f>IFERROR(IF(X98="",0,CEILING((X98/$H98),1)*$H98),"")</f>
        <v>502.2</v>
      </c>
      <c r="Z98" s="39">
        <f>IFERROR(IF(Y98=0,"",ROUNDUP(Y98/H98,0)*0.01898),"")</f>
        <v>1.17676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530.49382716049388</v>
      </c>
      <c r="BN98" s="75">
        <f>IFERROR(Y98*I98/H98,"0")</f>
        <v>532.82799999999997</v>
      </c>
      <c r="BO98" s="75">
        <f>IFERROR(1/J98*(X98/H98),"0")</f>
        <v>0.96450617283950624</v>
      </c>
      <c r="BP98" s="75">
        <f>IFERROR(1/J98*(Y98/H98),"0")</f>
        <v>0.96875</v>
      </c>
    </row>
    <row r="99" spans="1:68" ht="27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61.728395061728399</v>
      </c>
      <c r="Y102" s="41">
        <f>IFERROR(Y98/H98,"0")+IFERROR(Y99/H99,"0")+IFERROR(Y100/H100,"0")+IFERROR(Y101/H101,"0")</f>
        <v>62</v>
      </c>
      <c r="Z102" s="41">
        <f>IFERROR(IF(Z98="",0,Z98),"0")+IFERROR(IF(Z99="",0,Z99),"0")+IFERROR(IF(Z100="",0,Z100),"0")+IFERROR(IF(Z101="",0,Z101),"0")</f>
        <v>1.17676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500</v>
      </c>
      <c r="Y103" s="41">
        <f>IFERROR(SUM(Y98:Y101),"0")</f>
        <v>502.2</v>
      </c>
      <c r="Z103" s="40"/>
      <c r="AA103" s="64"/>
      <c r="AB103" s="64"/>
      <c r="AC103" s="64"/>
    </row>
    <row r="104" spans="1:68" ht="16.5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150</v>
      </c>
      <c r="Y106" s="53">
        <f t="shared" ref="Y106:Y112" si="11">IFERROR(IF(X106="",0,CEILING((X106/$H106),1)*$H106),"")</f>
        <v>151.20000000000002</v>
      </c>
      <c r="Z106" s="39">
        <f>IFERROR(IF(Y106=0,"",ROUNDUP(Y106/H106,0)*0.01898),"")</f>
        <v>0.26572000000000001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155.69444444444446</v>
      </c>
      <c r="BN106" s="75">
        <f t="shared" ref="BN106:BN112" si="13">IFERROR(Y106*I106/H106,"0")</f>
        <v>156.94</v>
      </c>
      <c r="BO106" s="75">
        <f t="shared" ref="BO106:BO112" si="14">IFERROR(1/J106*(X106/H106),"0")</f>
        <v>0.21701388888888887</v>
      </c>
      <c r="BP106" s="75">
        <f t="shared" ref="BP106:BP112" si="15">IFERROR(1/J106*(Y106/H106),"0")</f>
        <v>0.21875</v>
      </c>
    </row>
    <row r="107" spans="1:68" ht="27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/>
      <c r="Y111" s="53">
        <f t="shared" si="11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0</v>
      </c>
      <c r="BN111" s="75">
        <f t="shared" si="13"/>
        <v>0</v>
      </c>
      <c r="BO111" s="75">
        <f t="shared" si="14"/>
        <v>0</v>
      </c>
      <c r="BP111" s="75">
        <f t="shared" si="15"/>
        <v>0</v>
      </c>
    </row>
    <row r="112" spans="1:68" ht="37.5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>
        <v>22.5</v>
      </c>
      <c r="Y112" s="53">
        <f t="shared" si="11"/>
        <v>22.5</v>
      </c>
      <c r="Z112" s="39">
        <f>IFERROR(IF(Y112=0,"",ROUNDUP(Y112/H112,0)*0.00902),"")</f>
        <v>4.5100000000000001E-2</v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23.450000000000003</v>
      </c>
      <c r="BN112" s="75">
        <f t="shared" si="13"/>
        <v>23.450000000000003</v>
      </c>
      <c r="BO112" s="75">
        <f t="shared" si="14"/>
        <v>3.787878787878788E-2</v>
      </c>
      <c r="BP112" s="75">
        <f t="shared" si="15"/>
        <v>3.787878787878788E-2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18.888888888888886</v>
      </c>
      <c r="Y113" s="41">
        <f>IFERROR(Y106/H106,"0")+IFERROR(Y107/H107,"0")+IFERROR(Y108/H108,"0")+IFERROR(Y109/H109,"0")+IFERROR(Y110/H110,"0")+IFERROR(Y111/H111,"0")+IFERROR(Y112/H112,"0")</f>
        <v>19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0.31081999999999999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172.5</v>
      </c>
      <c r="Y114" s="41">
        <f>IFERROR(SUM(Y106:Y112),"0")</f>
        <v>173.70000000000002</v>
      </c>
      <c r="Z114" s="40"/>
      <c r="AA114" s="64"/>
      <c r="AB114" s="64"/>
      <c r="AC114" s="64"/>
    </row>
    <row r="115" spans="1:68" ht="14.25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800</v>
      </c>
      <c r="Y124" s="53">
        <f>IFERROR(IF(X124="",0,CEILING((X124/$H124),1)*$H124),"")</f>
        <v>801.9</v>
      </c>
      <c r="Z124" s="39">
        <f>IFERROR(IF(Y124=0,"",ROUNDUP(Y124/H124,0)*0.01898),"")</f>
        <v>1.8790200000000001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848.19753086419757</v>
      </c>
      <c r="BN124" s="75">
        <f>IFERROR(Y124*I124/H124,"0")</f>
        <v>850.21199999999988</v>
      </c>
      <c r="BO124" s="75">
        <f>IFERROR(1/J124*(X124/H124),"0")</f>
        <v>1.5432098765432098</v>
      </c>
      <c r="BP124" s="75">
        <f>IFERROR(1/J124*(Y124/H124),"0")</f>
        <v>1.546875</v>
      </c>
    </row>
    <row r="125" spans="1:68" ht="27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98.76543209876543</v>
      </c>
      <c r="Y128" s="41">
        <f>IFERROR(Y124/H124,"0")+IFERROR(Y125/H125,"0")+IFERROR(Y126/H126,"0")+IFERROR(Y127/H127,"0")</f>
        <v>99</v>
      </c>
      <c r="Z128" s="41">
        <f>IFERROR(IF(Z124="",0,Z124),"0")+IFERROR(IF(Z125="",0,Z125),"0")+IFERROR(IF(Z126="",0,Z126),"0")+IFERROR(IF(Z127="",0,Z127),"0")</f>
        <v>1.8790200000000001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800</v>
      </c>
      <c r="Y129" s="41">
        <f>IFERROR(SUM(Y124:Y127),"0")</f>
        <v>801.9</v>
      </c>
      <c r="Z129" s="40"/>
      <c r="AA129" s="64"/>
      <c r="AB129" s="64"/>
      <c r="AC129" s="64"/>
    </row>
    <row r="130" spans="1:68" ht="14.25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250</v>
      </c>
      <c r="Y209" s="53">
        <f t="shared" ref="Y209:Y222" si="21">IFERROR(IF(X209="",0,CEILING((X209/$H209),1)*$H209),"")</f>
        <v>252</v>
      </c>
      <c r="Z209" s="39">
        <f>IFERROR(IF(Y209=0,"",ROUNDUP(Y209/H209,0)*0.00902),"")</f>
        <v>0.54120000000000001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264.88095238095235</v>
      </c>
      <c r="BN209" s="75">
        <f t="shared" ref="BN209:BN222" si="23">IFERROR(Y209*I209/H209,"0")</f>
        <v>267</v>
      </c>
      <c r="BO209" s="75">
        <f t="shared" ref="BO209:BO222" si="24">IFERROR(1/J209*(X209/H209),"0")</f>
        <v>0.45093795093795092</v>
      </c>
      <c r="BP209" s="75">
        <f t="shared" ref="BP209:BP222" si="25">IFERROR(1/J209*(Y209/H209),"0")</f>
        <v>0.45454545454545459</v>
      </c>
    </row>
    <row r="210" spans="1:68" ht="27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40</v>
      </c>
      <c r="Y211" s="53">
        <f t="shared" si="21"/>
        <v>42</v>
      </c>
      <c r="Z211" s="39">
        <f>IFERROR(IF(Y211=0,"",ROUNDUP(Y211/H211,0)*0.00902),"")</f>
        <v>9.0200000000000002E-2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41.809523809523803</v>
      </c>
      <c r="BN211" s="75">
        <f t="shared" si="23"/>
        <v>43.9</v>
      </c>
      <c r="BO211" s="75">
        <f t="shared" si="24"/>
        <v>7.2150072150072145E-2</v>
      </c>
      <c r="BP211" s="75">
        <f t="shared" si="25"/>
        <v>7.575757575757576E-2</v>
      </c>
    </row>
    <row r="212" spans="1:68" ht="37.5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69.047619047619037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70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0.63139999999999996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290</v>
      </c>
      <c r="Y224" s="41">
        <f>IFERROR(SUM(Y209:Y222),"0")</f>
        <v>294</v>
      </c>
      <c r="Z224" s="40"/>
      <c r="AA224" s="64"/>
      <c r="AB224" s="64"/>
      <c r="AC224" s="64"/>
    </row>
    <row r="225" spans="1:68" ht="14.25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/>
      <c r="Y251" s="53">
        <f t="shared" ref="Y251:Y258" si="27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0</v>
      </c>
      <c r="BN251" s="75">
        <f t="shared" ref="BN251:BN258" si="29">IFERROR(Y251*I251/H251,"0")</f>
        <v>0</v>
      </c>
      <c r="BO251" s="75">
        <f t="shared" ref="BO251:BO258" si="30">IFERROR(1/J251*(X251/H251),"0")</f>
        <v>0</v>
      </c>
      <c r="BP251" s="75">
        <f t="shared" ref="BP251:BP258" si="31">IFERROR(1/J251*(Y251/H251),"0")</f>
        <v>0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/>
      <c r="Y252" s="53">
        <f t="shared" si="27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0</v>
      </c>
      <c r="BN252" s="75">
        <f t="shared" si="29"/>
        <v>0</v>
      </c>
      <c r="BO252" s="75">
        <f t="shared" si="30"/>
        <v>0</v>
      </c>
      <c r="BP252" s="75">
        <f t="shared" si="31"/>
        <v>0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/>
      <c r="Y253" s="53">
        <f t="shared" si="27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0</v>
      </c>
      <c r="BN253" s="75">
        <f t="shared" si="29"/>
        <v>0</v>
      </c>
      <c r="BO253" s="75">
        <f t="shared" si="30"/>
        <v>0</v>
      </c>
      <c r="BP253" s="75">
        <f t="shared" si="31"/>
        <v>0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/>
      <c r="Y254" s="53">
        <f t="shared" si="27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0</v>
      </c>
      <c r="BN254" s="75">
        <f t="shared" si="29"/>
        <v>0</v>
      </c>
      <c r="BO254" s="75">
        <f t="shared" si="30"/>
        <v>0</v>
      </c>
      <c r="BP254" s="75">
        <f t="shared" si="31"/>
        <v>0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/>
      <c r="Y265" s="53">
        <f t="shared" si="32"/>
        <v>0</v>
      </c>
      <c r="Z265" s="39" t="str">
        <f t="shared" ref="Z265:Z271" si="37">IFERROR(IF(Y265=0,"",ROUNDUP(Y265/H265,0)*0.00651),"")</f>
        <v/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/>
      <c r="Y267" s="53">
        <f t="shared" si="32"/>
        <v>0</v>
      </c>
      <c r="Z267" s="39" t="str">
        <f t="shared" si="37"/>
        <v/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0</v>
      </c>
      <c r="BN267" s="75">
        <f t="shared" si="34"/>
        <v>0</v>
      </c>
      <c r="BO267" s="75">
        <f t="shared" si="35"/>
        <v>0</v>
      </c>
      <c r="BP267" s="75">
        <f t="shared" si="36"/>
        <v>0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/>
      <c r="Y268" s="53">
        <f t="shared" si="32"/>
        <v>0</v>
      </c>
      <c r="Z268" s="39" t="str">
        <f t="shared" si="37"/>
        <v/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0</v>
      </c>
      <c r="BN268" s="75">
        <f t="shared" si="34"/>
        <v>0</v>
      </c>
      <c r="BO268" s="75">
        <f t="shared" si="35"/>
        <v>0</v>
      </c>
      <c r="BP268" s="75">
        <f t="shared" si="36"/>
        <v>0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/>
      <c r="Y270" s="53">
        <f t="shared" si="32"/>
        <v>0</v>
      </c>
      <c r="Z270" s="39" t="str">
        <f t="shared" si="37"/>
        <v/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0</v>
      </c>
      <c r="BN270" s="75">
        <f t="shared" si="34"/>
        <v>0</v>
      </c>
      <c r="BO270" s="75">
        <f t="shared" si="35"/>
        <v>0</v>
      </c>
      <c r="BP270" s="75">
        <f t="shared" si="36"/>
        <v>0</v>
      </c>
    </row>
    <row r="271" spans="1:68" ht="27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0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0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0</v>
      </c>
      <c r="Y273" s="41">
        <f>IFERROR(SUM(Y262:Y271),"0")</f>
        <v>0</v>
      </c>
      <c r="Z273" s="40"/>
      <c r="AA273" s="64"/>
      <c r="AB273" s="64"/>
      <c r="AC273" s="64"/>
    </row>
    <row r="274" spans="1:68" ht="14.25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150</v>
      </c>
      <c r="Y354" s="53">
        <f t="shared" ref="Y354:Y360" si="48">IFERROR(IF(X354="",0,CEILING((X354/$H354),1)*$H354),"")</f>
        <v>151.20000000000002</v>
      </c>
      <c r="Z354" s="39">
        <f>IFERROR(IF(Y354=0,"",ROUNDUP(Y354/H354,0)*0.00902),"")</f>
        <v>0.32472000000000001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158.92857142857142</v>
      </c>
      <c r="BN354" s="75">
        <f t="shared" ref="BN354:BN360" si="50">IFERROR(Y354*I354/H354,"0")</f>
        <v>160.20000000000002</v>
      </c>
      <c r="BO354" s="75">
        <f t="shared" ref="BO354:BO360" si="51">IFERROR(1/J354*(X354/H354),"0")</f>
        <v>0.27056277056277056</v>
      </c>
      <c r="BP354" s="75">
        <f t="shared" ref="BP354:BP360" si="52">IFERROR(1/J354*(Y354/H354),"0")</f>
        <v>0.27272727272727271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>
        <v>60</v>
      </c>
      <c r="Y355" s="53">
        <f t="shared" si="48"/>
        <v>63</v>
      </c>
      <c r="Z355" s="39">
        <f>IFERROR(IF(Y355=0,"",ROUNDUP(Y355/H355,0)*0.00902),"")</f>
        <v>0.1353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63.571428571428569</v>
      </c>
      <c r="BN355" s="75">
        <f t="shared" si="50"/>
        <v>66.75</v>
      </c>
      <c r="BO355" s="75">
        <f t="shared" si="51"/>
        <v>0.10822510822510822</v>
      </c>
      <c r="BP355" s="75">
        <f t="shared" si="52"/>
        <v>0.11363636363636365</v>
      </c>
    </row>
    <row r="356" spans="1:68" ht="27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50</v>
      </c>
      <c r="Y361" s="41">
        <f>IFERROR(Y354/H354,"0")+IFERROR(Y355/H355,"0")+IFERROR(Y356/H356,"0")+IFERROR(Y357/H357,"0")+IFERROR(Y358/H358,"0")+IFERROR(Y359/H359,"0")+IFERROR(Y360/H360,"0")</f>
        <v>51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0.46001999999999998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210</v>
      </c>
      <c r="Y362" s="41">
        <f>IFERROR(SUM(Y354:Y360),"0")</f>
        <v>214.20000000000002</v>
      </c>
      <c r="Z362" s="40"/>
      <c r="AA362" s="64"/>
      <c r="AB362" s="64"/>
      <c r="AC362" s="64"/>
    </row>
    <row r="363" spans="1:68" ht="14.25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150</v>
      </c>
      <c r="Y371" s="53">
        <f>IFERROR(IF(X371="",0,CEILING((X371/$H371),1)*$H371),"")</f>
        <v>151.20000000000002</v>
      </c>
      <c r="Z371" s="39">
        <f>IFERROR(IF(Y371=0,"",ROUNDUP(Y371/H371,0)*0.01898),"")</f>
        <v>0.34164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158.82142857142856</v>
      </c>
      <c r="BN371" s="75">
        <f>IFERROR(Y371*I371/H371,"0")</f>
        <v>160.09200000000001</v>
      </c>
      <c r="BO371" s="75">
        <f>IFERROR(1/J371*(X371/H371),"0")</f>
        <v>0.27901785714285715</v>
      </c>
      <c r="BP371" s="75">
        <f>IFERROR(1/J371*(Y371/H371),"0")</f>
        <v>0.28125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700</v>
      </c>
      <c r="Y372" s="53">
        <f>IFERROR(IF(X372="",0,CEILING((X372/$H372),1)*$H372),"")</f>
        <v>702</v>
      </c>
      <c r="Z372" s="39">
        <f>IFERROR(IF(Y372=0,"",ROUNDUP(Y372/H372,0)*0.01898),"")</f>
        <v>1.7081999999999999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744.33333333333337</v>
      </c>
      <c r="BN372" s="75">
        <f>IFERROR(Y372*I372/H372,"0")</f>
        <v>746.46</v>
      </c>
      <c r="BO372" s="75">
        <f>IFERROR(1/J372*(X372/H372),"0")</f>
        <v>1.4022435897435899</v>
      </c>
      <c r="BP372" s="75">
        <f>IFERROR(1/J372*(Y372/H372),"0")</f>
        <v>1.40625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50</v>
      </c>
      <c r="Y373" s="53">
        <f>IFERROR(IF(X373="",0,CEILING((X373/$H373),1)*$H373),"")</f>
        <v>50.400000000000006</v>
      </c>
      <c r="Z373" s="39">
        <f>IFERROR(IF(Y373=0,"",ROUNDUP(Y373/H373,0)*0.01898),"")</f>
        <v>0.11388000000000001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52.94047619047619</v>
      </c>
      <c r="BN373" s="75">
        <f>IFERROR(Y373*I373/H373,"0")</f>
        <v>53.364000000000004</v>
      </c>
      <c r="BO373" s="75">
        <f>IFERROR(1/J373*(X373/H373),"0")</f>
        <v>9.3005952380952384E-2</v>
      </c>
      <c r="BP373" s="75">
        <f>IFERROR(1/J373*(Y373/H373),"0")</f>
        <v>9.375E-2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113.55311355311356</v>
      </c>
      <c r="Y374" s="41">
        <f>IFERROR(Y371/H371,"0")+IFERROR(Y372/H372,"0")+IFERROR(Y373/H373,"0")</f>
        <v>114</v>
      </c>
      <c r="Z374" s="41">
        <f>IFERROR(IF(Z371="",0,Z371),"0")+IFERROR(IF(Z372="",0,Z372),"0")+IFERROR(IF(Z373="",0,Z373),"0")</f>
        <v>2.1637200000000001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900</v>
      </c>
      <c r="Y375" s="41">
        <f>IFERROR(SUM(Y371:Y373),"0")</f>
        <v>903.6</v>
      </c>
      <c r="Z375" s="40"/>
      <c r="AA375" s="64"/>
      <c r="AB375" s="64"/>
      <c r="AC375" s="64"/>
    </row>
    <row r="376" spans="1:68" ht="14.25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4200</v>
      </c>
      <c r="Y400" s="53">
        <f t="shared" si="53"/>
        <v>4200</v>
      </c>
      <c r="Z400" s="39">
        <f>IFERROR(IF(Y400=0,"",ROUNDUP(Y400/H400,0)*0.02175),"")</f>
        <v>6.09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4331.6000000000004</v>
      </c>
      <c r="BN400" s="75">
        <f t="shared" si="55"/>
        <v>4331.6000000000004</v>
      </c>
      <c r="BO400" s="75">
        <f t="shared" si="56"/>
        <v>5.833333333333333</v>
      </c>
      <c r="BP400" s="75">
        <f t="shared" si="57"/>
        <v>5.833333333333333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2700</v>
      </c>
      <c r="Y401" s="53">
        <f t="shared" si="53"/>
        <v>2700</v>
      </c>
      <c r="Z401" s="39">
        <f>IFERROR(IF(Y401=0,"",ROUNDUP(Y401/H401,0)*0.02175),"")</f>
        <v>3.9149999999999996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2784.6</v>
      </c>
      <c r="BN401" s="75">
        <f t="shared" si="55"/>
        <v>2784.6</v>
      </c>
      <c r="BO401" s="75">
        <f t="shared" si="56"/>
        <v>3.75</v>
      </c>
      <c r="BP401" s="75">
        <f t="shared" si="57"/>
        <v>3.75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3000</v>
      </c>
      <c r="Y402" s="53">
        <f t="shared" si="53"/>
        <v>3000</v>
      </c>
      <c r="Z402" s="39">
        <f>IFERROR(IF(Y402=0,"",ROUNDUP(Y402/H402,0)*0.02175),"")</f>
        <v>4.3499999999999996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3094</v>
      </c>
      <c r="BN402" s="75">
        <f t="shared" si="55"/>
        <v>3094</v>
      </c>
      <c r="BO402" s="75">
        <f t="shared" si="56"/>
        <v>4.1666666666666661</v>
      </c>
      <c r="BP402" s="75">
        <f t="shared" si="57"/>
        <v>4.1666666666666661</v>
      </c>
    </row>
    <row r="403" spans="1:68" ht="27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660</v>
      </c>
      <c r="Y407" s="41">
        <f>IFERROR(Y399/H399,"0")+IFERROR(Y400/H400,"0")+IFERROR(Y401/H401,"0")+IFERROR(Y402/H402,"0")+IFERROR(Y403/H403,"0")+IFERROR(Y404/H404,"0")+IFERROR(Y405/H405,"0")+IFERROR(Y406/H406,"0")</f>
        <v>660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14.354999999999999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9900</v>
      </c>
      <c r="Y408" s="41">
        <f>IFERROR(SUM(Y399:Y406),"0")</f>
        <v>9900</v>
      </c>
      <c r="Z408" s="40"/>
      <c r="AA408" s="64"/>
      <c r="AB408" s="64"/>
      <c r="AC408" s="64"/>
    </row>
    <row r="409" spans="1:68" ht="14.25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/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1000</v>
      </c>
      <c r="Y416" s="53">
        <f>IFERROR(IF(X416="",0,CEILING((X416/$H416),1)*$H416),"")</f>
        <v>1008</v>
      </c>
      <c r="Z416" s="39">
        <f>IFERROR(IF(Y416=0,"",ROUNDUP(Y416/H416,0)*0.01898),"")</f>
        <v>2.1257600000000001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1055.5555555555557</v>
      </c>
      <c r="BN416" s="75">
        <f>IFERROR(Y416*I416/H416,"0")</f>
        <v>1064</v>
      </c>
      <c r="BO416" s="75">
        <f>IFERROR(1/J416*(X416/H416),"0")</f>
        <v>1.7361111111111112</v>
      </c>
      <c r="BP416" s="75">
        <f>IFERROR(1/J416*(Y416/H416),"0")</f>
        <v>1.75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370</v>
      </c>
      <c r="Y417" s="53">
        <f>IFERROR(IF(X417="",0,CEILING((X417/$H417),1)*$H417),"")</f>
        <v>378</v>
      </c>
      <c r="Z417" s="39">
        <f>IFERROR(IF(Y417=0,"",ROUNDUP(Y417/H417,0)*0.01898),"")</f>
        <v>0.79715999999999998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390.30888888888887</v>
      </c>
      <c r="BN417" s="75">
        <f>IFERROR(Y417*I417/H417,"0")</f>
        <v>398.74799999999999</v>
      </c>
      <c r="BO417" s="75">
        <f>IFERROR(1/J417*(X417/H417),"0")</f>
        <v>0.64236111111111116</v>
      </c>
      <c r="BP417" s="75">
        <f>IFERROR(1/J417*(Y417/H417),"0")</f>
        <v>0.65625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152.22222222222223</v>
      </c>
      <c r="Y418" s="41">
        <f>IFERROR(Y416/H416,"0")+IFERROR(Y417/H417,"0")</f>
        <v>154</v>
      </c>
      <c r="Z418" s="41">
        <f>IFERROR(IF(Z416="",0,Z416),"0")+IFERROR(IF(Z417="",0,Z417),"0")</f>
        <v>2.92292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1370</v>
      </c>
      <c r="Y419" s="41">
        <f>IFERROR(SUM(Y416:Y417),"0")</f>
        <v>1386</v>
      </c>
      <c r="Z419" s="40"/>
      <c r="AA419" s="64"/>
      <c r="AB419" s="64"/>
      <c r="AC419" s="64"/>
    </row>
    <row r="420" spans="1:68" ht="14.25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710</v>
      </c>
      <c r="Y421" s="53">
        <f>IFERROR(IF(X421="",0,CEILING((X421/$H421),1)*$H421),"")</f>
        <v>711</v>
      </c>
      <c r="Z421" s="39">
        <f>IFERROR(IF(Y421=0,"",ROUNDUP(Y421/H421,0)*0.01898),"")</f>
        <v>1.49942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748.9711111111111</v>
      </c>
      <c r="BN421" s="75">
        <f>IFERROR(Y421*I421/H421,"0")</f>
        <v>750.02599999999995</v>
      </c>
      <c r="BO421" s="75">
        <f>IFERROR(1/J421*(X421/H421),"0")</f>
        <v>1.2326388888888888</v>
      </c>
      <c r="BP421" s="75">
        <f>IFERROR(1/J421*(Y421/H421),"0")</f>
        <v>1.234375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78.888888888888886</v>
      </c>
      <c r="Y422" s="41">
        <f>IFERROR(Y421/H421,"0")</f>
        <v>79</v>
      </c>
      <c r="Z422" s="41">
        <f>IFERROR(IF(Z421="",0,Z421),"0")</f>
        <v>1.49942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710</v>
      </c>
      <c r="Y423" s="41">
        <f>IFERROR(SUM(Y421:Y421),"0")</f>
        <v>711</v>
      </c>
      <c r="Z423" s="40"/>
      <c r="AA423" s="64"/>
      <c r="AB423" s="64"/>
      <c r="AC423" s="64"/>
    </row>
    <row r="424" spans="1:68" ht="16.5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>
        <v>130</v>
      </c>
      <c r="Y431" s="53">
        <f>IFERROR(IF(X431="",0,CEILING((X431/$H431),1)*$H431),"")</f>
        <v>130.20000000000002</v>
      </c>
      <c r="Z431" s="39">
        <f>IFERROR(IF(Y431=0,"",ROUNDUP(Y431/H431,0)*0.00902),"")</f>
        <v>0.27961999999999998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137.73809523809524</v>
      </c>
      <c r="BN431" s="75">
        <f>IFERROR(Y431*I431/H431,"0")</f>
        <v>137.95000000000002</v>
      </c>
      <c r="BO431" s="75">
        <f>IFERROR(1/J431*(X431/H431),"0")</f>
        <v>0.23448773448773449</v>
      </c>
      <c r="BP431" s="75">
        <f>IFERROR(1/J431*(Y431/H431),"0")</f>
        <v>0.23484848484848489</v>
      </c>
    </row>
    <row r="432" spans="1:68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30.952380952380953</v>
      </c>
      <c r="Y432" s="41">
        <f>IFERROR(Y431/H431,"0")</f>
        <v>31.000000000000004</v>
      </c>
      <c r="Z432" s="41">
        <f>IFERROR(IF(Z431="",0,Z431),"0")</f>
        <v>0.27961999999999998</v>
      </c>
      <c r="AA432" s="64"/>
      <c r="AB432" s="64"/>
      <c r="AC432" s="64"/>
    </row>
    <row r="433" spans="1:68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130</v>
      </c>
      <c r="Y433" s="41">
        <f>IFERROR(SUM(Y431:Y431),"0")</f>
        <v>130.20000000000002</v>
      </c>
      <c r="Z433" s="40"/>
      <c r="AA433" s="64"/>
      <c r="AB433" s="64"/>
      <c r="AC433" s="64"/>
    </row>
    <row r="434" spans="1:68" ht="14.25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200</v>
      </c>
      <c r="Y435" s="53">
        <f>IFERROR(IF(X435="",0,CEILING((X435/$H435),1)*$H435),"")</f>
        <v>207</v>
      </c>
      <c r="Z435" s="39">
        <f>IFERROR(IF(Y435=0,"",ROUNDUP(Y435/H435,0)*0.01898),"")</f>
        <v>0.43653999999999998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210.97777777777776</v>
      </c>
      <c r="BN435" s="75">
        <f>IFERROR(Y435*I435/H435,"0")</f>
        <v>218.36199999999999</v>
      </c>
      <c r="BO435" s="75">
        <f>IFERROR(1/J435*(X435/H435),"0")</f>
        <v>0.34722222222222221</v>
      </c>
      <c r="BP435" s="75">
        <f>IFERROR(1/J435*(Y435/H435),"0")</f>
        <v>0.359375</v>
      </c>
    </row>
    <row r="436" spans="1:68" ht="27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22.222222222222221</v>
      </c>
      <c r="Y438" s="41">
        <f>IFERROR(Y435/H435,"0")+IFERROR(Y436/H436,"0")+IFERROR(Y437/H437,"0")</f>
        <v>23</v>
      </c>
      <c r="Z438" s="41">
        <f>IFERROR(IF(Z435="",0,Z435),"0")+IFERROR(IF(Z436="",0,Z436),"0")+IFERROR(IF(Z437="",0,Z437),"0")</f>
        <v>0.43653999999999998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200</v>
      </c>
      <c r="Y439" s="41">
        <f>IFERROR(SUM(Y435:Y437),"0")</f>
        <v>207</v>
      </c>
      <c r="Z439" s="40"/>
      <c r="AA439" s="64"/>
      <c r="AB439" s="64"/>
      <c r="AC439" s="64"/>
    </row>
    <row r="440" spans="1:68" ht="27.75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30</v>
      </c>
      <c r="Y443" s="53">
        <f t="shared" ref="Y443:Y448" si="58">IFERROR(IF(X443="",0,CEILING((X443/$H443),1)*$H443),"")</f>
        <v>32.400000000000006</v>
      </c>
      <c r="Z443" s="39">
        <f>IFERROR(IF(Y443=0,"",ROUNDUP(Y443/H443,0)*0.00902),"")</f>
        <v>5.4120000000000001E-2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31.05555555555555</v>
      </c>
      <c r="BN443" s="75">
        <f t="shared" ref="BN443:BN448" si="60">IFERROR(Y443*I443/H443,"0")</f>
        <v>33.54</v>
      </c>
      <c r="BO443" s="75">
        <f t="shared" ref="BO443:BO448" si="61">IFERROR(1/J443*(X443/H443),"0")</f>
        <v>4.208754208754209E-2</v>
      </c>
      <c r="BP443" s="75">
        <f t="shared" ref="BP443:BP448" si="62">IFERROR(1/J443*(Y443/H443),"0")</f>
        <v>4.5454545454545463E-2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250</v>
      </c>
      <c r="Y444" s="53">
        <f t="shared" si="58"/>
        <v>253.8</v>
      </c>
      <c r="Z444" s="39">
        <f>IFERROR(IF(Y444=0,"",ROUNDUP(Y444/H444,0)*0.00902),"")</f>
        <v>0.42393999999999998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258.7962962962963</v>
      </c>
      <c r="BN444" s="75">
        <f t="shared" si="60"/>
        <v>262.72999999999996</v>
      </c>
      <c r="BO444" s="75">
        <f t="shared" si="61"/>
        <v>0.35072951739618402</v>
      </c>
      <c r="BP444" s="75">
        <f t="shared" si="62"/>
        <v>0.35606060606060608</v>
      </c>
    </row>
    <row r="445" spans="1:68" ht="27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51.851851851851848</v>
      </c>
      <c r="Y449" s="41">
        <f>IFERROR(Y443/H443,"0")+IFERROR(Y444/H444,"0")+IFERROR(Y445/H445,"0")+IFERROR(Y446/H446,"0")+IFERROR(Y447/H447,"0")+IFERROR(Y448/H448,"0")</f>
        <v>53</v>
      </c>
      <c r="Z449" s="41">
        <f>IFERROR(IF(Z443="",0,Z443),"0")+IFERROR(IF(Z444="",0,Z444),"0")+IFERROR(IF(Z445="",0,Z445),"0")+IFERROR(IF(Z446="",0,Z446),"0")+IFERROR(IF(Z447="",0,Z447),"0")+IFERROR(IF(Z448="",0,Z448),"0")</f>
        <v>0.47805999999999998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280</v>
      </c>
      <c r="Y450" s="41">
        <f>IFERROR(SUM(Y443:Y448),"0")</f>
        <v>286.20000000000005</v>
      </c>
      <c r="Z450" s="40"/>
      <c r="AA450" s="64"/>
      <c r="AB450" s="64"/>
      <c r="AC450" s="64"/>
    </row>
    <row r="451" spans="1:68" ht="14.25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350</v>
      </c>
      <c r="Y462" s="53">
        <f>IFERROR(IF(X462="",0,CEILING((X462/$H462),1)*$H462),"")</f>
        <v>351</v>
      </c>
      <c r="Z462" s="39">
        <f>IFERROR(IF(Y462=0,"",ROUNDUP(Y462/H462,0)*0.00902),"")</f>
        <v>0.58630000000000004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362.31481481481478</v>
      </c>
      <c r="BN462" s="75">
        <f>IFERROR(Y462*I462/H462,"0")</f>
        <v>363.34999999999997</v>
      </c>
      <c r="BO462" s="75">
        <f>IFERROR(1/J462*(X462/H462),"0")</f>
        <v>0.49102132435465767</v>
      </c>
      <c r="BP462" s="75">
        <f>IFERROR(1/J462*(Y462/H462),"0")</f>
        <v>0.49242424242424243</v>
      </c>
    </row>
    <row r="463" spans="1:68" ht="27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64.81481481481481</v>
      </c>
      <c r="Y465" s="41">
        <f>IFERROR(Y462/H462,"0")+IFERROR(Y463/H463,"0")+IFERROR(Y464/H464,"0")</f>
        <v>65</v>
      </c>
      <c r="Z465" s="41">
        <f>IFERROR(IF(Z462="",0,Z462),"0")+IFERROR(IF(Z463="",0,Z463),"0")+IFERROR(IF(Z464="",0,Z464),"0")</f>
        <v>0.58630000000000004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350</v>
      </c>
      <c r="Y466" s="41">
        <f>IFERROR(SUM(Y462:Y464),"0")</f>
        <v>351</v>
      </c>
      <c r="Z466" s="40"/>
      <c r="AA466" s="64"/>
      <c r="AB466" s="64"/>
      <c r="AC466" s="64"/>
    </row>
    <row r="467" spans="1:68" ht="27.75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>
        <v>50</v>
      </c>
      <c r="Y472" s="53">
        <f t="shared" si="63"/>
        <v>52.800000000000004</v>
      </c>
      <c r="Z472" s="39">
        <f t="shared" si="64"/>
        <v>0.1196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53.314393939393938</v>
      </c>
      <c r="BN472" s="75">
        <f t="shared" si="66"/>
        <v>56.3</v>
      </c>
      <c r="BO472" s="75">
        <f t="shared" si="67"/>
        <v>9.1054778554778545E-2</v>
      </c>
      <c r="BP472" s="75">
        <f t="shared" si="68"/>
        <v>9.6153846153846159E-2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100</v>
      </c>
      <c r="Y473" s="53">
        <f t="shared" si="63"/>
        <v>100.32000000000001</v>
      </c>
      <c r="Z473" s="39">
        <f t="shared" si="64"/>
        <v>0.22724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106.62878787878788</v>
      </c>
      <c r="BN473" s="75">
        <f t="shared" si="66"/>
        <v>106.97</v>
      </c>
      <c r="BO473" s="75">
        <f t="shared" si="67"/>
        <v>0.18210955710955709</v>
      </c>
      <c r="BP473" s="75">
        <f t="shared" si="68"/>
        <v>0.18269230769230771</v>
      </c>
    </row>
    <row r="474" spans="1:68" ht="16.5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580</v>
      </c>
      <c r="Y475" s="53">
        <f t="shared" si="63"/>
        <v>580.80000000000007</v>
      </c>
      <c r="Z475" s="39">
        <f t="shared" si="64"/>
        <v>1.3156000000000001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618.44696969696963</v>
      </c>
      <c r="BN475" s="75">
        <f t="shared" si="66"/>
        <v>619.30000000000007</v>
      </c>
      <c r="BO475" s="75">
        <f t="shared" si="67"/>
        <v>1.0562354312354312</v>
      </c>
      <c r="BP475" s="75">
        <f t="shared" si="68"/>
        <v>1.0576923076923079</v>
      </c>
    </row>
    <row r="476" spans="1:68" ht="27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138.25757575757575</v>
      </c>
      <c r="Y479" s="41">
        <f>IFERROR(Y470/H470,"0")+IFERROR(Y471/H471,"0")+IFERROR(Y472/H472,"0")+IFERROR(Y473/H473,"0")+IFERROR(Y474/H474,"0")+IFERROR(Y475/H475,"0")+IFERROR(Y476/H476,"0")+IFERROR(Y477/H477,"0")+IFERROR(Y478/H478,"0")</f>
        <v>139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1.6624400000000001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730</v>
      </c>
      <c r="Y480" s="41">
        <f>IFERROR(SUM(Y470:Y478),"0")</f>
        <v>733.92000000000007</v>
      </c>
      <c r="Z480" s="40"/>
      <c r="AA480" s="64"/>
      <c r="AB480" s="64"/>
      <c r="AC480" s="64"/>
    </row>
    <row r="481" spans="1:68" ht="14.25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150</v>
      </c>
      <c r="Y482" s="53">
        <f>IFERROR(IF(X482="",0,CEILING((X482/$H482),1)*$H482),"")</f>
        <v>153.12</v>
      </c>
      <c r="Z482" s="39">
        <f>IFERROR(IF(Y482=0,"",ROUNDUP(Y482/H482,0)*0.01196),"")</f>
        <v>0.34683999999999998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159.94318181818181</v>
      </c>
      <c r="BN482" s="75">
        <f>IFERROR(Y482*I482/H482,"0")</f>
        <v>163.26999999999998</v>
      </c>
      <c r="BO482" s="75">
        <f>IFERROR(1/J482*(X482/H482),"0")</f>
        <v>0.27316433566433568</v>
      </c>
      <c r="BP482" s="75">
        <f>IFERROR(1/J482*(Y482/H482),"0")</f>
        <v>0.27884615384615385</v>
      </c>
    </row>
    <row r="483" spans="1:68" ht="16.5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28.409090909090907</v>
      </c>
      <c r="Y485" s="41">
        <f>IFERROR(Y482/H482,"0")+IFERROR(Y483/H483,"0")+IFERROR(Y484/H484,"0")</f>
        <v>29</v>
      </c>
      <c r="Z485" s="41">
        <f>IFERROR(IF(Z482="",0,Z482),"0")+IFERROR(IF(Z483="",0,Z483),"0")+IFERROR(IF(Z484="",0,Z484),"0")</f>
        <v>0.34683999999999998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150</v>
      </c>
      <c r="Y486" s="41">
        <f>IFERROR(SUM(Y482:Y484),"0")</f>
        <v>153.12</v>
      </c>
      <c r="Z486" s="40"/>
      <c r="AA486" s="64"/>
      <c r="AB486" s="64"/>
      <c r="AC486" s="64"/>
    </row>
    <row r="487" spans="1:68" ht="14.25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/>
      <c r="Y488" s="53">
        <f t="shared" ref="Y488:Y494" si="69">IFERROR(IF(X488="",0,CEILING((X488/$H488),1)*$H488),"")</f>
        <v>0</v>
      </c>
      <c r="Z488" s="39" t="str">
        <f>IFERROR(IF(Y488=0,"",ROUNDUP(Y488/H488,0)*0.01196),"")</f>
        <v/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0</v>
      </c>
      <c r="BN488" s="75">
        <f t="shared" ref="BN488:BN494" si="71">IFERROR(Y488*I488/H488,"0")</f>
        <v>0</v>
      </c>
      <c r="BO488" s="75">
        <f t="shared" ref="BO488:BO494" si="72">IFERROR(1/J488*(X488/H488),"0")</f>
        <v>0</v>
      </c>
      <c r="BP488" s="75">
        <f t="shared" ref="BP488:BP494" si="73">IFERROR(1/J488*(Y488/H488),"0")</f>
        <v>0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120</v>
      </c>
      <c r="Y489" s="53">
        <f t="shared" si="69"/>
        <v>121.44000000000001</v>
      </c>
      <c r="Z489" s="39">
        <f>IFERROR(IF(Y489=0,"",ROUNDUP(Y489/H489,0)*0.01196),"")</f>
        <v>0.27507999999999999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127.95454545454545</v>
      </c>
      <c r="BN489" s="75">
        <f t="shared" si="71"/>
        <v>129.49</v>
      </c>
      <c r="BO489" s="75">
        <f t="shared" si="72"/>
        <v>0.21853146853146854</v>
      </c>
      <c r="BP489" s="75">
        <f t="shared" si="73"/>
        <v>0.22115384615384617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100</v>
      </c>
      <c r="Y490" s="53">
        <f t="shared" si="69"/>
        <v>100.32000000000001</v>
      </c>
      <c r="Z490" s="39">
        <f>IFERROR(IF(Y490=0,"",ROUNDUP(Y490/H490,0)*0.01196),"")</f>
        <v>0.22724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106.62878787878788</v>
      </c>
      <c r="BN490" s="75">
        <f t="shared" si="71"/>
        <v>106.97</v>
      </c>
      <c r="BO490" s="75">
        <f t="shared" si="72"/>
        <v>0.18210955710955709</v>
      </c>
      <c r="BP490" s="75">
        <f t="shared" si="73"/>
        <v>0.18269230769230771</v>
      </c>
    </row>
    <row r="491" spans="1:68" ht="27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>
        <v>100</v>
      </c>
      <c r="Y491" s="53">
        <f t="shared" si="69"/>
        <v>100.8</v>
      </c>
      <c r="Z491" s="39">
        <f>IFERROR(IF(Y491=0,"",ROUNDUP(Y491/H491,0)*0.00902),"")</f>
        <v>0.18942000000000001</v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143.95833333333334</v>
      </c>
      <c r="BN491" s="75">
        <f t="shared" si="71"/>
        <v>145.11000000000001</v>
      </c>
      <c r="BO491" s="75">
        <f t="shared" si="72"/>
        <v>0.15782828282828285</v>
      </c>
      <c r="BP491" s="75">
        <f t="shared" si="73"/>
        <v>0.15909090909090909</v>
      </c>
    </row>
    <row r="492" spans="1:68" ht="27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62.5</v>
      </c>
      <c r="Y495" s="41">
        <f>IFERROR(Y488/H488,"0")+IFERROR(Y489/H489,"0")+IFERROR(Y490/H490,"0")+IFERROR(Y491/H491,"0")+IFERROR(Y492/H492,"0")+IFERROR(Y493/H493,"0")+IFERROR(Y494/H494,"0")</f>
        <v>63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0.69174000000000002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320</v>
      </c>
      <c r="Y496" s="41">
        <f>IFERROR(SUM(Y488:Y494),"0")</f>
        <v>322.56</v>
      </c>
      <c r="Z496" s="40"/>
      <c r="AA496" s="64"/>
      <c r="AB496" s="64"/>
      <c r="AC496" s="64"/>
    </row>
    <row r="497" spans="1:68" ht="27.75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300</v>
      </c>
      <c r="Y508" s="53">
        <f>IFERROR(IF(X508="",0,CEILING((X508/$H508),1)*$H508),"")</f>
        <v>302.39999999999998</v>
      </c>
      <c r="Z508" s="39">
        <f>IFERROR(IF(Y508=0,"",ROUNDUP(Y508/H508,0)*0.00902),"")</f>
        <v>0.56825999999999999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315.625</v>
      </c>
      <c r="BN508" s="75">
        <f>IFERROR(Y508*I508/H508,"0")</f>
        <v>318.14999999999998</v>
      </c>
      <c r="BO508" s="75">
        <f>IFERROR(1/J508*(X508/H508),"0")</f>
        <v>0.47348484848484851</v>
      </c>
      <c r="BP508" s="75">
        <f>IFERROR(1/J508*(Y508/H508),"0")</f>
        <v>0.47727272727272729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62.5</v>
      </c>
      <c r="Y509" s="41">
        <f>IFERROR(Y508/H508,"0")</f>
        <v>63</v>
      </c>
      <c r="Z509" s="41">
        <f>IFERROR(IF(Z508="",0,Z508),"0")</f>
        <v>0.56825999999999999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300</v>
      </c>
      <c r="Y510" s="41">
        <f>IFERROR(SUM(Y508:Y508),"0")</f>
        <v>302.39999999999998</v>
      </c>
      <c r="Z510" s="40"/>
      <c r="AA510" s="64"/>
      <c r="AB510" s="64"/>
      <c r="AC510" s="64"/>
    </row>
    <row r="511" spans="1:68" ht="14.25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18005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18085.100000000006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18800.61553791886</v>
      </c>
      <c r="Y526" s="41">
        <f>IFERROR(SUM(BN22:BN522),"0")</f>
        <v>18885.082000000006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28</v>
      </c>
      <c r="Y527" s="42">
        <f>ROUNDUP(SUM(BP22:BP522),0)</f>
        <v>29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19500.61553791886</v>
      </c>
      <c r="Y528" s="41">
        <f>GrossWeightTotalR+PalletQtyTotalR*25</f>
        <v>19610.082000000006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1834.7876814543481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1846</v>
      </c>
      <c r="Z529" s="40"/>
      <c r="AA529" s="64"/>
      <c r="AB529" s="64"/>
      <c r="AC529" s="64"/>
    </row>
    <row r="530" spans="1:32" ht="14.25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31.71584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473.6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86.4</v>
      </c>
      <c r="F535" s="50">
        <f>IFERROR(Y91*1,"0")+IFERROR(Y92*1,"0")+IFERROR(Y93*1,"0")+IFERROR(Y94*1,"0")+IFERROR(Y98*1,"0")+IFERROR(Y99*1,"0")+IFERROR(Y100*1,"0")+IFERROR(Y101*1,"0")</f>
        <v>654.29999999999995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975.6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294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0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1117.8000000000002</v>
      </c>
      <c r="U535" s="50">
        <f>IFERROR(Y391*1,"0")+IFERROR(Y392*1,"0")+IFERROR(Y393*1,"0")</f>
        <v>0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11997</v>
      </c>
      <c r="W535" s="50">
        <f>IFERROR(Y426*1,"0")+IFERROR(Y427*1,"0")+IFERROR(Y431*1,"0")+IFERROR(Y435*1,"0")+IFERROR(Y436*1,"0")+IFERROR(Y437*1,"0")</f>
        <v>337.20000000000005</v>
      </c>
      <c r="X535" s="50">
        <f>IFERROR(Y443*1,"0")+IFERROR(Y444*1,"0")+IFERROR(Y445*1,"0")+IFERROR(Y446*1,"0")+IFERROR(Y447*1,"0")+IFERROR(Y448*1,"0")+IFERROR(Y452*1,"0")+IFERROR(Y453*1,"0")</f>
        <v>286.20000000000005</v>
      </c>
      <c r="Y535" s="50">
        <f>IFERROR(Y458*1,"0")+IFERROR(Y462*1,"0")+IFERROR(Y463*1,"0")+IFERROR(Y464*1,"0")</f>
        <v>351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1209.6000000000001</v>
      </c>
      <c r="AA535" s="50">
        <f>IFERROR(Y500*1,"0")+IFERROR(Y504*1,"0")+IFERROR(Y508*1,"0")+IFERROR(Y512*1,"0")+IFERROR(Y516*1,"0")+IFERROR(Y517*1,"0")</f>
        <v>302.39999999999998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1070</vt:i4>
      </vt:variant>
    </vt:vector>
  </HeadingPairs>
  <TitlesOfParts>
    <vt:vector size="10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Manager</cp:lastModifiedBy>
  <dcterms:created xsi:type="dcterms:W3CDTF">2021-11-12T12:13:19Z</dcterms:created>
  <dcterms:modified xsi:type="dcterms:W3CDTF">2026-06-30T07:19:42Z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