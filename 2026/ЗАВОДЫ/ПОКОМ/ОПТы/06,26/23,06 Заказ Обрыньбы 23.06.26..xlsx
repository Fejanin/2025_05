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59C86B02-E11F-4166-AB8B-49526ACD82B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заказа'!$A$18:$AF$508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заказа'!$X$504:$X$504</definedName>
    <definedName name="GrossWeightTotalR">'Бланк заказа'!$Y$504:$Y$504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заказа'!$X$505:$X$505</definedName>
    <definedName name="PalletQtyTotalR">'Бланк заказа'!$Y$505:$Y$505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заказа'!$B$37:$B$37</definedName>
    <definedName name="ProductId100">'Бланк заказа'!$B$214:$B$214</definedName>
    <definedName name="ProductId101">'Бланк заказа'!$B$218:$B$218</definedName>
    <definedName name="ProductId102">'Бланк заказа'!$B$219:$B$219</definedName>
    <definedName name="ProductId103">'Бланк заказа'!$B$220:$B$220</definedName>
    <definedName name="ProductId104">'Бланк заказа'!$B$221:$B$221</definedName>
    <definedName name="ProductId105">'Бланк заказа'!$B$222:$B$222</definedName>
    <definedName name="ProductId106">'Бланк заказа'!$B$223:$B$223</definedName>
    <definedName name="ProductId107">'Бланк заказа'!$B$224:$B$224</definedName>
    <definedName name="ProductId108">'Бланк заказа'!$B$225:$B$225</definedName>
    <definedName name="ProductId109">'Бланк заказа'!$B$229:$B$229</definedName>
    <definedName name="ProductId11">'Бланк заказа'!$B$43:$B$43</definedName>
    <definedName name="ProductId110">'Бланк заказа'!$B$230:$B$230</definedName>
    <definedName name="ProductId111">'Бланк заказа'!$B$231:$B$231</definedName>
    <definedName name="ProductId112">'Бланк заказа'!$B$232:$B$232</definedName>
    <definedName name="ProductId113">'Бланк заказа'!$B$233:$B$233</definedName>
    <definedName name="ProductId114">'Бланк заказа'!$B$234:$B$234</definedName>
    <definedName name="ProductId115">'Бланк заказа'!$B$235:$B$235</definedName>
    <definedName name="ProductId116">'Бланк заказа'!$B$236:$B$236</definedName>
    <definedName name="ProductId117">'Бланк заказа'!$B$237:$B$237</definedName>
    <definedName name="ProductId118">'Бланк заказа'!$B$238:$B$238</definedName>
    <definedName name="ProductId119">'Бланк заказа'!$B$242:$B$242</definedName>
    <definedName name="ProductId12">'Бланк заказа'!$B$44:$B$44</definedName>
    <definedName name="ProductId120">'Бланк заказа'!$B$243:$B$243</definedName>
    <definedName name="ProductId121">'Бланк заказа'!$B$248:$B$248</definedName>
    <definedName name="ProductId122">'Бланк заказа'!$B$249:$B$249</definedName>
    <definedName name="ProductId123">'Бланк заказа'!$B$250:$B$250</definedName>
    <definedName name="ProductId124">'Бланк заказа'!$B$251:$B$251</definedName>
    <definedName name="ProductId125">'Бланк заказа'!$B$252:$B$252</definedName>
    <definedName name="ProductId126">'Бланк заказа'!$B$253:$B$253</definedName>
    <definedName name="ProductId127">'Бланк заказа'!$B$254:$B$254</definedName>
    <definedName name="ProductId128">'Бланк заказа'!$B$258:$B$258</definedName>
    <definedName name="ProductId129">'Бланк заказа'!$B$262:$B$262</definedName>
    <definedName name="ProductId13">'Бланк заказа'!$B$50:$B$50</definedName>
    <definedName name="ProductId130">'Бланк заказа'!$B$266:$B$266</definedName>
    <definedName name="ProductId131">'Бланк заказа'!$B$267:$B$267</definedName>
    <definedName name="ProductId132">'Бланк заказа'!$B$268:$B$268</definedName>
    <definedName name="ProductId133">'Бланк заказа'!$B$269:$B$269</definedName>
    <definedName name="ProductId134">'Бланк заказа'!$B$270:$B$270</definedName>
    <definedName name="ProductId135">'Бланк заказа'!$B$275:$B$275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заказа'!$B$292:$B$292</definedName>
    <definedName name="ProductId145">'Бланк заказа'!$B$293:$B$293</definedName>
    <definedName name="ProductId146">'Бланк заказа'!$B$294:$B$294</definedName>
    <definedName name="ProductId147">'Бланк заказа'!$B$299:$B$299</definedName>
    <definedName name="ProductId148">'Бланк заказа'!$B$300:$B$300</definedName>
    <definedName name="ProductId149">'Бланк заказа'!$B$301:$B$301</definedName>
    <definedName name="ProductId15">'Бланк заказа'!$B$52:$B$52</definedName>
    <definedName name="ProductId150">'Бланк заказа'!$B$302:$B$302</definedName>
    <definedName name="ProductId151">'Бланк заказа'!$B$306:$B$306</definedName>
    <definedName name="ProductId152">'Бланк заказа'!$B$307:$B$307</definedName>
    <definedName name="ProductId153">'Бланк заказа'!$B$312:$B$312</definedName>
    <definedName name="ProductId154">'Бланк заказа'!$B$313:$B$313</definedName>
    <definedName name="ProductId155">'Бланк заказа'!$B$314:$B$314</definedName>
    <definedName name="ProductId156">'Бланк заказа'!$B$319:$B$319</definedName>
    <definedName name="ProductId157">'Бланк заказа'!$B$320:$B$320</definedName>
    <definedName name="ProductId158">'Бланк заказа'!$B$321:$B$321</definedName>
    <definedName name="ProductId159">'Бланк заказа'!$B$322:$B$322</definedName>
    <definedName name="ProductId16">'Бланк заказа'!$B$53:$B$53</definedName>
    <definedName name="ProductId160">'Бланк заказа'!$B$323:$B$323</definedName>
    <definedName name="ProductId161">'Бланк заказа'!$B$324:$B$324</definedName>
    <definedName name="ProductId162">'Бланк заказа'!$B$325:$B$325</definedName>
    <definedName name="ProductId163">'Бланк заказа'!$B$329:$B$329</definedName>
    <definedName name="ProductId164">'Бланк заказа'!$B$330:$B$330</definedName>
    <definedName name="ProductId165">'Бланк заказа'!$B$331:$B$331</definedName>
    <definedName name="ProductId166">'Бланк заказа'!$B$332:$B$332</definedName>
    <definedName name="ProductId167">'Бланк заказа'!$B$333:$B$333</definedName>
    <definedName name="ProductId168">'Бланк заказа'!$B$334:$B$334</definedName>
    <definedName name="ProductId169">'Бланк заказа'!$B$335:$B$335</definedName>
    <definedName name="ProductId17">'Бланк заказа'!$B$58:$B$58</definedName>
    <definedName name="ProductId170">'Бланк заказа'!$B$339:$B$339</definedName>
    <definedName name="ProductId171">'Бланк заказа'!$B$340:$B$340</definedName>
    <definedName name="ProductId172">'Бланк заказа'!$B$341:$B$341</definedName>
    <definedName name="ProductId173">'Бланк заказа'!$B$342:$B$342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заказа'!$B$352:$B$352</definedName>
    <definedName name="ProductId178">'Бланк заказа'!$B$353:$B$353</definedName>
    <definedName name="ProductId179">'Бланк заказа'!$B$354:$B$354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заказа'!$B$360:$B$360</definedName>
    <definedName name="ProductId183">'Бланк заказа'!$B$361:$B$361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заказа'!$B$374:$B$374</definedName>
    <definedName name="ProductId188">'Бланк заказа'!$B$375:$B$375</definedName>
    <definedName name="ProductId189">'Бланк заказа'!$B$376:$B$376</definedName>
    <definedName name="ProductId19">'Бланк заказа'!$B$60:$B$60</definedName>
    <definedName name="ProductId190">'Бланк заказа'!$B$377:$B$377</definedName>
    <definedName name="ProductId191">'Бланк заказа'!$B$378:$B$378</definedName>
    <definedName name="ProductId192">'Бланк заказа'!$B$379:$B$379</definedName>
    <definedName name="ProductId193">'Бланк заказа'!$B$380:$B$380</definedName>
    <definedName name="ProductId194">'Бланк заказа'!$B$381:$B$381</definedName>
    <definedName name="ProductId195">'Бланк заказа'!$B$385:$B$385</definedName>
    <definedName name="ProductId196">'Бланк заказа'!$B$386:$B$386</definedName>
    <definedName name="ProductId197">'Бланк заказа'!$B$387:$B$387</definedName>
    <definedName name="ProductId198">'Бланк заказа'!$B$391:$B$391</definedName>
    <definedName name="ProductId199">'Бланк заказа'!$B$392:$B$392</definedName>
    <definedName name="ProductId2">'Бланк заказа'!$B$23:$B$23</definedName>
    <definedName name="ProductId20">'Бланк заказа'!$B$61:$B$61</definedName>
    <definedName name="ProductId200">'Бланк заказа'!$B$396:$B$396</definedName>
    <definedName name="ProductId201">'Бланк заказа'!$B$401:$B$401</definedName>
    <definedName name="ProductId202">'Бланк заказа'!$B$402:$B$402</definedName>
    <definedName name="ProductId203">'Бланк заказа'!$B$406:$B$406</definedName>
    <definedName name="ProductId204">'Бланк заказа'!$B$410:$B$410</definedName>
    <definedName name="ProductId205">'Бланк заказа'!$B$411:$B$411</definedName>
    <definedName name="ProductId206">'Бланк заказа'!$B$412:$B$412</definedName>
    <definedName name="ProductId207">'Бланк заказа'!$B$418:$B$418</definedName>
    <definedName name="ProductId208">'Бланк заказа'!$B$419:$B$419</definedName>
    <definedName name="ProductId209">'Бланк заказа'!$B$420:$B$420</definedName>
    <definedName name="ProductId21">'Бланк заказа'!$B$62:$B$62</definedName>
    <definedName name="ProductId210">'Бланк заказа'!$B$421:$B$421</definedName>
    <definedName name="ProductId211">'Бланк заказа'!$B$422:$B$422</definedName>
    <definedName name="ProductId212">'Бланк заказа'!$B$423:$B$423</definedName>
    <definedName name="ProductId213">'Бланк заказа'!$B$424:$B$424</definedName>
    <definedName name="ProductId214">'Бланк заказа'!$B$428:$B$428</definedName>
    <definedName name="ProductId215">'Бланк заказа'!$B$429:$B$429</definedName>
    <definedName name="ProductId216">'Бланк заказа'!$B$434:$B$434</definedName>
    <definedName name="ProductId217">'Бланк заказа'!$B$438:$B$438</definedName>
    <definedName name="ProductId218">'Бланк заказа'!$B$439:$B$439</definedName>
    <definedName name="ProductId219">'Бланк заказа'!$B$440:$B$440</definedName>
    <definedName name="ProductId22">'Бланк заказа'!$B$63:$B$63</definedName>
    <definedName name="ProductId220">'Бланк заказа'!$B$446:$B$446</definedName>
    <definedName name="ProductId221">'Бланк заказа'!$B$447:$B$447</definedName>
    <definedName name="ProductId222">'Бланк заказа'!$B$448:$B$448</definedName>
    <definedName name="ProductId223">'Бланк заказа'!$B$449:$B$449</definedName>
    <definedName name="ProductId224">'Бланк заказа'!$B$450:$B$450</definedName>
    <definedName name="ProductId225">'Бланк заказа'!$B$451:$B$451</definedName>
    <definedName name="ProductId226">'Бланк заказа'!$B$452:$B$452</definedName>
    <definedName name="ProductId227">'Бланк заказа'!$B$453:$B$453</definedName>
    <definedName name="ProductId228">'Бланк заказа'!$B$454:$B$454</definedName>
    <definedName name="ProductId229">'Бланк заказа'!$B$455:$B$455</definedName>
    <definedName name="ProductId23">'Бланк заказа'!$B$67:$B$67</definedName>
    <definedName name="ProductId230">'Бланк заказа'!$B$456:$B$456</definedName>
    <definedName name="ProductId231">'Бланк заказа'!$B$460:$B$460</definedName>
    <definedName name="ProductId232">'Бланк заказа'!$B$461:$B$461</definedName>
    <definedName name="ProductId233">'Бланк заказа'!$B$462:$B$462</definedName>
    <definedName name="ProductId234">'Бланк заказа'!$B$466:$B$466</definedName>
    <definedName name="ProductId235">'Бланк заказа'!$B$467:$B$467</definedName>
    <definedName name="ProductId236">'Бланк заказа'!$B$468:$B$468</definedName>
    <definedName name="ProductId237">'Бланк заказа'!$B$469:$B$469</definedName>
    <definedName name="ProductId238">'Бланк заказа'!$B$470:$B$470</definedName>
    <definedName name="ProductId239">'Бланк заказа'!$B$471:$B$471</definedName>
    <definedName name="ProductId24">'Бланк заказа'!$B$68:$B$68</definedName>
    <definedName name="ProductId240">'Бланк заказа'!$B$472:$B$472</definedName>
    <definedName name="ProductId241">'Бланк заказа'!$B$478:$B$478</definedName>
    <definedName name="ProductId242">'Бланк заказа'!$B$482:$B$482</definedName>
    <definedName name="ProductId243">'Бланк заказа'!$B$486:$B$486</definedName>
    <definedName name="ProductId244">'Бланк заказа'!$B$490:$B$490</definedName>
    <definedName name="ProductId245">'Бланк заказа'!$B$494:$B$494</definedName>
    <definedName name="ProductId246">'Бланк заказа'!$B$495:$B$495</definedName>
    <definedName name="ProductId247">'Бланк заказа'!$B$500:$B$500</definedName>
    <definedName name="ProductId25">'Бланк заказа'!$B$69:$B$69</definedName>
    <definedName name="ProductId26">'Бланк заказа'!$B$70:$B$70</definedName>
    <definedName name="ProductId27">'Бланк заказа'!$B$74:$B$74</definedName>
    <definedName name="ProductId28">'Бланк заказа'!$B$75:$B$75</definedName>
    <definedName name="ProductId29">'Бланк заказа'!$B$79:$B$79</definedName>
    <definedName name="ProductId3">'Бланк заказа'!$B$27:$B$27</definedName>
    <definedName name="ProductId30">'Бланк заказа'!$B$80:$B$80</definedName>
    <definedName name="ProductId31">'Бланк заказа'!$B$85:$B$85</definedName>
    <definedName name="ProductId32">'Бланк заказа'!$B$86:$B$86</definedName>
    <definedName name="ProductId33">'Бланк заказа'!$B$87:$B$87</definedName>
    <definedName name="ProductId34">'Бланк заказа'!$B$88:$B$88</definedName>
    <definedName name="ProductId35">'Бланк заказа'!$B$92:$B$92</definedName>
    <definedName name="ProductId36">'Бланк заказа'!$B$93:$B$93</definedName>
    <definedName name="ProductId37">'Бланк заказа'!$B$94:$B$94</definedName>
    <definedName name="ProductId38">'Бланк заказа'!$B$95:$B$95</definedName>
    <definedName name="ProductId39">'Бланк заказа'!$B$100:$B$100</definedName>
    <definedName name="ProductId4">'Бланк заказа'!$B$28:$B$28</definedName>
    <definedName name="ProductId40">'Бланк заказа'!$B$101:$B$101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заказа'!$B$110:$B$110</definedName>
    <definedName name="ProductId47">'Бланк заказа'!$B$111:$B$111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заказа'!$B$118:$B$118</definedName>
    <definedName name="ProductId52">'Бланк заказа'!$B$119:$B$119</definedName>
    <definedName name="ProductId53">'Бланк заказа'!$B$120:$B$120</definedName>
    <definedName name="ProductId54">'Бланк заказа'!$B$121:$B$121</definedName>
    <definedName name="ProductId55">'Бланк заказа'!$B$125:$B$125</definedName>
    <definedName name="ProductId56">'Бланк заказа'!$B$130:$B$130</definedName>
    <definedName name="ProductId57">'Бланк заказа'!$B$131:$B$131</definedName>
    <definedName name="ProductId58">'Бланк заказа'!$B$135:$B$135</definedName>
    <definedName name="ProductId59">'Бланк заказа'!$B$136:$B$136</definedName>
    <definedName name="ProductId6">'Бланк заказа'!$B$30:$B$30</definedName>
    <definedName name="ProductId60">'Бланк заказа'!$B$140:$B$140</definedName>
    <definedName name="ProductId61">'Бланк заказа'!$B$141:$B$141</definedName>
    <definedName name="ProductId62">'Бланк заказа'!$B$146:$B$146</definedName>
    <definedName name="ProductId63">'Бланк заказа'!$B$147:$B$147</definedName>
    <definedName name="ProductId64">'Бланк заказа'!$B$151:$B$151</definedName>
    <definedName name="ProductId65">'Бланк заказа'!$B$155:$B$155</definedName>
    <definedName name="ProductId66">'Бланк заказа'!$B$156:$B$156</definedName>
    <definedName name="ProductId67">'Бланк заказа'!$B$157:$B$157</definedName>
    <definedName name="ProductId68">'Бланк заказа'!$B$158:$B$158</definedName>
    <definedName name="ProductId69">'Бланк заказа'!$B$159:$B$159</definedName>
    <definedName name="ProductId7">'Бланк заказа'!$B$31:$B$31</definedName>
    <definedName name="ProductId70">'Бланк заказа'!$B$160:$B$160</definedName>
    <definedName name="ProductId71">'Бланк заказа'!$B$161:$B$161</definedName>
    <definedName name="ProductId72">'Бланк заказа'!$B$162:$B$162</definedName>
    <definedName name="ProductId73">'Бланк заказа'!$B$163:$B$163</definedName>
    <definedName name="ProductId74">'Бланк заказа'!$B$164:$B$164</definedName>
    <definedName name="ProductId75">'Бланк заказа'!$B$165:$B$165</definedName>
    <definedName name="ProductId76">'Бланк заказа'!$B$166:$B$166</definedName>
    <definedName name="ProductId77">'Бланк заказа'!$B$170:$B$170</definedName>
    <definedName name="ProductId78">'Бланк заказа'!$B$176:$B$176</definedName>
    <definedName name="ProductId79">'Бланк заказа'!$B$180:$B$180</definedName>
    <definedName name="ProductId8">'Бланк заказа'!$B$32:$B$32</definedName>
    <definedName name="ProductId80">'Бланк заказа'!$B$181:$B$181</definedName>
    <definedName name="ProductId81">'Бланк заказа'!$B$182:$B$182</definedName>
    <definedName name="ProductId82">'Бланк заказа'!$B$183:$B$183</definedName>
    <definedName name="ProductId83">'Бланк заказа'!$B$184:$B$184</definedName>
    <definedName name="ProductId84">'Бланк заказа'!$B$185:$B$185</definedName>
    <definedName name="ProductId85">'Бланк заказа'!$B$186:$B$186</definedName>
    <definedName name="ProductId86">'Бланк заказа'!$B$187:$B$187</definedName>
    <definedName name="ProductId87">'Бланк заказа'!$B$188:$B$188</definedName>
    <definedName name="ProductId88">'Бланк заказа'!$B$189:$B$189</definedName>
    <definedName name="ProductId89">'Бланк заказа'!$B$190:$B$190</definedName>
    <definedName name="ProductId9">'Бланк заказа'!$B$33:$B$33</definedName>
    <definedName name="ProductId90">'Бланк заказа'!$B$191:$B$191</definedName>
    <definedName name="ProductId91">'Бланк заказа'!$B$192:$B$192</definedName>
    <definedName name="ProductId92">'Бланк заказа'!$B$193:$B$193</definedName>
    <definedName name="ProductId93">'Бланк заказа'!$B$197:$B$197</definedName>
    <definedName name="ProductId94">'Бланк заказа'!$B$198:$B$198</definedName>
    <definedName name="ProductId95">'Бланк заказа'!$B$199:$B$199</definedName>
    <definedName name="ProductId96">'Бланк заказа'!$B$203:$B$203</definedName>
    <definedName name="ProductId97">'Бланк заказа'!$B$208:$B$208</definedName>
    <definedName name="ProductId98">'Бланк заказа'!$B$209:$B$209</definedName>
    <definedName name="ProductId99">'Бланк заказа'!$B$213:$B$213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заказа'!$X$214:$X$214</definedName>
    <definedName name="SalesQty101">'Бланк заказа'!$X$218:$X$218</definedName>
    <definedName name="SalesQty102">'Бланк заказа'!$X$219:$X$219</definedName>
    <definedName name="SalesQty103">'Бланк заказа'!$X$220:$X$220</definedName>
    <definedName name="SalesQty104">'Бланк заказа'!$X$221:$X$221</definedName>
    <definedName name="SalesQty105">'Бланк заказа'!$X$222:$X$222</definedName>
    <definedName name="SalesQty106">'Бланк заказа'!$X$223:$X$223</definedName>
    <definedName name="SalesQty107">'Бланк заказа'!$X$224:$X$224</definedName>
    <definedName name="SalesQty108">'Бланк заказа'!$X$225:$X$225</definedName>
    <definedName name="SalesQty109">'Бланк заказа'!$X$229:$X$229</definedName>
    <definedName name="SalesQty11">'Бланк заказа'!$X$43:$X$43</definedName>
    <definedName name="SalesQty110">'Бланк заказа'!$X$230:$X$230</definedName>
    <definedName name="SalesQty111">'Бланк заказа'!$X$231:$X$231</definedName>
    <definedName name="SalesQty112">'Бланк заказа'!$X$232:$X$232</definedName>
    <definedName name="SalesQty113">'Бланк заказа'!$X$233:$X$233</definedName>
    <definedName name="SalesQty114">'Бланк заказа'!$X$234:$X$234</definedName>
    <definedName name="SalesQty115">'Бланк заказа'!$X$235:$X$235</definedName>
    <definedName name="SalesQty116">'Бланк заказа'!$X$236:$X$236</definedName>
    <definedName name="SalesQty117">'Бланк заказа'!$X$237:$X$237</definedName>
    <definedName name="SalesQty118">'Бланк заказа'!$X$238:$X$238</definedName>
    <definedName name="SalesQty119">'Бланк заказа'!$X$242:$X$242</definedName>
    <definedName name="SalesQty12">'Бланк заказа'!$X$44:$X$44</definedName>
    <definedName name="SalesQty120">'Бланк заказа'!$X$243:$X$243</definedName>
    <definedName name="SalesQty121">'Бланк заказа'!$X$248:$X$248</definedName>
    <definedName name="SalesQty122">'Бланк заказа'!$X$249:$X$249</definedName>
    <definedName name="SalesQty123">'Бланк заказа'!$X$250:$X$250</definedName>
    <definedName name="SalesQty124">'Бланк заказа'!$X$251:$X$251</definedName>
    <definedName name="SalesQty125">'Бланк заказа'!$X$252:$X$252</definedName>
    <definedName name="SalesQty126">'Бланк заказа'!$X$253:$X$253</definedName>
    <definedName name="SalesQty127">'Бланк заказа'!$X$254:$X$254</definedName>
    <definedName name="SalesQty128">'Бланк заказа'!$X$258:$X$258</definedName>
    <definedName name="SalesQty129">'Бланк заказа'!$X$262:$X$262</definedName>
    <definedName name="SalesQty13">'Бланк заказа'!$X$50:$X$50</definedName>
    <definedName name="SalesQty130">'Бланк заказа'!$X$266:$X$266</definedName>
    <definedName name="SalesQty131">'Бланк заказа'!$X$267:$X$267</definedName>
    <definedName name="SalesQty132">'Бланк заказа'!$X$268:$X$268</definedName>
    <definedName name="SalesQty133">'Бланк заказа'!$X$269:$X$269</definedName>
    <definedName name="SalesQty134">'Бланк заказа'!$X$270:$X$270</definedName>
    <definedName name="SalesQty135">'Бланк заказа'!$X$275:$X$275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заказа'!$X$292:$X$292</definedName>
    <definedName name="SalesQty145">'Бланк заказа'!$X$293:$X$293</definedName>
    <definedName name="SalesQty146">'Бланк заказа'!$X$294:$X$294</definedName>
    <definedName name="SalesQty147">'Бланк заказа'!$X$299:$X$299</definedName>
    <definedName name="SalesQty148">'Бланк заказа'!$X$300:$X$300</definedName>
    <definedName name="SalesQty149">'Бланк заказа'!$X$301:$X$301</definedName>
    <definedName name="SalesQty15">'Бланк заказа'!$X$52:$X$52</definedName>
    <definedName name="SalesQty150">'Бланк заказа'!$X$302:$X$302</definedName>
    <definedName name="SalesQty151">'Бланк заказа'!$X$306:$X$306</definedName>
    <definedName name="SalesQty152">'Бланк заказа'!$X$307:$X$307</definedName>
    <definedName name="SalesQty153">'Бланк заказа'!$X$312:$X$312</definedName>
    <definedName name="SalesQty154">'Бланк заказа'!$X$313:$X$313</definedName>
    <definedName name="SalesQty155">'Бланк заказа'!$X$314:$X$314</definedName>
    <definedName name="SalesQty156">'Бланк заказа'!$X$319:$X$319</definedName>
    <definedName name="SalesQty157">'Бланк заказа'!$X$320:$X$320</definedName>
    <definedName name="SalesQty158">'Бланк заказа'!$X$321:$X$321</definedName>
    <definedName name="SalesQty159">'Бланк заказа'!$X$322:$X$322</definedName>
    <definedName name="SalesQty16">'Бланк заказа'!$X$53:$X$53</definedName>
    <definedName name="SalesQty160">'Бланк заказа'!$X$323:$X$323</definedName>
    <definedName name="SalesQty161">'Бланк заказа'!$X$324:$X$324</definedName>
    <definedName name="SalesQty162">'Бланк заказа'!$X$325:$X$325</definedName>
    <definedName name="SalesQty163">'Бланк заказа'!$X$329:$X$329</definedName>
    <definedName name="SalesQty164">'Бланк заказа'!$X$330:$X$330</definedName>
    <definedName name="SalesQty165">'Бланк заказа'!$X$331:$X$331</definedName>
    <definedName name="SalesQty166">'Бланк заказа'!$X$332:$X$332</definedName>
    <definedName name="SalesQty167">'Бланк заказа'!$X$333:$X$333</definedName>
    <definedName name="SalesQty168">'Бланк заказа'!$X$334:$X$334</definedName>
    <definedName name="SalesQty169">'Бланк заказа'!$X$335:$X$335</definedName>
    <definedName name="SalesQty17">'Бланк заказа'!$X$58:$X$58</definedName>
    <definedName name="SalesQty170">'Бланк заказа'!$X$339:$X$339</definedName>
    <definedName name="SalesQty171">'Бланк заказа'!$X$340:$X$340</definedName>
    <definedName name="SalesQty172">'Бланк заказа'!$X$341:$X$341</definedName>
    <definedName name="SalesQty173">'Бланк заказа'!$X$342:$X$342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заказа'!$X$352:$X$352</definedName>
    <definedName name="SalesQty178">'Бланк заказа'!$X$353:$X$353</definedName>
    <definedName name="SalesQty179">'Бланк заказа'!$X$354:$X$354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заказа'!$X$360:$X$360</definedName>
    <definedName name="SalesQty183">'Бланк заказа'!$X$361:$X$361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заказа'!$X$374:$X$374</definedName>
    <definedName name="SalesQty188">'Бланк заказа'!$X$375:$X$375</definedName>
    <definedName name="SalesQty189">'Бланк заказа'!$X$376:$X$376</definedName>
    <definedName name="SalesQty19">'Бланк заказа'!$X$60:$X$60</definedName>
    <definedName name="SalesQty190">'Бланк заказа'!$X$377:$X$377</definedName>
    <definedName name="SalesQty191">'Бланк заказа'!$X$378:$X$378</definedName>
    <definedName name="SalesQty192">'Бланк заказа'!$X$379:$X$379</definedName>
    <definedName name="SalesQty193">'Бланк заказа'!$X$380:$X$380</definedName>
    <definedName name="SalesQty194">'Бланк заказа'!$X$381:$X$381</definedName>
    <definedName name="SalesQty195">'Бланк заказа'!$X$385:$X$385</definedName>
    <definedName name="SalesQty196">'Бланк заказа'!$X$386:$X$386</definedName>
    <definedName name="SalesQty197">'Бланк заказа'!$X$387:$X$387</definedName>
    <definedName name="SalesQty198">'Бланк заказа'!$X$391:$X$391</definedName>
    <definedName name="SalesQty199">'Бланк заказа'!$X$392:$X$392</definedName>
    <definedName name="SalesQty2">'Бланк заказа'!$X$23:$X$23</definedName>
    <definedName name="SalesQty20">'Бланк заказа'!$X$61:$X$61</definedName>
    <definedName name="SalesQty200">'Бланк заказа'!$X$396:$X$396</definedName>
    <definedName name="SalesQty201">'Бланк заказа'!$X$401:$X$401</definedName>
    <definedName name="SalesQty202">'Бланк заказа'!$X$402:$X$402</definedName>
    <definedName name="SalesQty203">'Бланк заказа'!$X$406:$X$406</definedName>
    <definedName name="SalesQty204">'Бланк заказа'!$X$410:$X$410</definedName>
    <definedName name="SalesQty205">'Бланк заказа'!$X$411:$X$411</definedName>
    <definedName name="SalesQty206">'Бланк заказа'!$X$412:$X$412</definedName>
    <definedName name="SalesQty207">'Бланк заказа'!$X$418:$X$418</definedName>
    <definedName name="SalesQty208">'Бланк заказа'!$X$419:$X$419</definedName>
    <definedName name="SalesQty209">'Бланк заказа'!$X$420:$X$420</definedName>
    <definedName name="SalesQty21">'Бланк заказа'!$X$62:$X$62</definedName>
    <definedName name="SalesQty210">'Бланк заказа'!$X$421:$X$421</definedName>
    <definedName name="SalesQty211">'Бланк заказа'!$X$422:$X$422</definedName>
    <definedName name="SalesQty212">'Бланк заказа'!$X$423:$X$423</definedName>
    <definedName name="SalesQty213">'Бланк заказа'!$X$424:$X$424</definedName>
    <definedName name="SalesQty214">'Бланк заказа'!$X$428:$X$428</definedName>
    <definedName name="SalesQty215">'Бланк заказа'!$X$429:$X$429</definedName>
    <definedName name="SalesQty216">'Бланк заказа'!$X$434:$X$434</definedName>
    <definedName name="SalesQty217">'Бланк заказа'!$X$438:$X$438</definedName>
    <definedName name="SalesQty218">'Бланк заказа'!$X$439:$X$439</definedName>
    <definedName name="SalesQty219">'Бланк заказа'!$X$440:$X$440</definedName>
    <definedName name="SalesQty22">'Бланк заказа'!$X$63:$X$63</definedName>
    <definedName name="SalesQty220">'Бланк заказа'!$X$446:$X$446</definedName>
    <definedName name="SalesQty221">'Бланк заказа'!$X$447:$X$447</definedName>
    <definedName name="SalesQty222">'Бланк заказа'!$X$448:$X$448</definedName>
    <definedName name="SalesQty223">'Бланк заказа'!$X$449:$X$449</definedName>
    <definedName name="SalesQty224">'Бланк заказа'!$X$450:$X$450</definedName>
    <definedName name="SalesQty225">'Бланк заказа'!$X$451:$X$451</definedName>
    <definedName name="SalesQty226">'Бланк заказа'!$X$452:$X$452</definedName>
    <definedName name="SalesQty227">'Бланк заказа'!$X$453:$X$453</definedName>
    <definedName name="SalesQty228">'Бланк заказа'!$X$454:$X$454</definedName>
    <definedName name="SalesQty229">'Бланк заказа'!$X$455:$X$455</definedName>
    <definedName name="SalesQty23">'Бланк заказа'!$X$67:$X$67</definedName>
    <definedName name="SalesQty230">'Бланк заказа'!$X$456:$X$456</definedName>
    <definedName name="SalesQty231">'Бланк заказа'!$X$460:$X$460</definedName>
    <definedName name="SalesQty232">'Бланк заказа'!$X$461:$X$461</definedName>
    <definedName name="SalesQty233">'Бланк заказа'!$X$462:$X$462</definedName>
    <definedName name="SalesQty234">'Бланк заказа'!$X$466:$X$466</definedName>
    <definedName name="SalesQty235">'Бланк заказа'!$X$467:$X$467</definedName>
    <definedName name="SalesQty236">'Бланк заказа'!$X$468:$X$468</definedName>
    <definedName name="SalesQty237">'Бланк заказа'!$X$469:$X$469</definedName>
    <definedName name="SalesQty238">'Бланк заказа'!$X$470:$X$470</definedName>
    <definedName name="SalesQty239">'Бланк заказа'!$X$471:$X$471</definedName>
    <definedName name="SalesQty24">'Бланк заказа'!$X$68:$X$68</definedName>
    <definedName name="SalesQty240">'Бланк заказа'!$X$472:$X$472</definedName>
    <definedName name="SalesQty241">'Бланк заказа'!$X$478:$X$478</definedName>
    <definedName name="SalesQty242">'Бланк заказа'!$X$482:$X$482</definedName>
    <definedName name="SalesQty243">'Бланк заказа'!$X$486:$X$486</definedName>
    <definedName name="SalesQty244">'Бланк заказа'!$X$490:$X$490</definedName>
    <definedName name="SalesQty245">'Бланк заказа'!$X$494:$X$494</definedName>
    <definedName name="SalesQty246">'Бланк заказа'!$X$495:$X$495</definedName>
    <definedName name="SalesQty247">'Бланк заказа'!$X$500:$X$500</definedName>
    <definedName name="SalesQty25">'Бланк заказа'!$X$69:$X$69</definedName>
    <definedName name="SalesQty26">'Бланк заказа'!$X$70:$X$70</definedName>
    <definedName name="SalesQty27">'Бланк заказа'!$X$74:$X$74</definedName>
    <definedName name="SalesQty28">'Бланк заказа'!$X$75:$X$75</definedName>
    <definedName name="SalesQty29">'Бланк заказа'!$X$79:$X$79</definedName>
    <definedName name="SalesQty3">'Бланк заказа'!$X$27:$X$27</definedName>
    <definedName name="SalesQty30">'Бланк заказа'!$X$80:$X$80</definedName>
    <definedName name="SalesQty31">'Бланк заказа'!$X$85:$X$85</definedName>
    <definedName name="SalesQty32">'Бланк заказа'!$X$86:$X$86</definedName>
    <definedName name="SalesQty33">'Бланк заказа'!$X$87:$X$87</definedName>
    <definedName name="SalesQty34">'Бланк заказа'!$X$88:$X$88</definedName>
    <definedName name="SalesQty35">'Бланк заказа'!$X$92:$X$92</definedName>
    <definedName name="SalesQty36">'Бланк заказа'!$X$93:$X$93</definedName>
    <definedName name="SalesQty37">'Бланк заказа'!$X$94:$X$94</definedName>
    <definedName name="SalesQty38">'Бланк заказа'!$X$95:$X$95</definedName>
    <definedName name="SalesQty39">'Бланк заказа'!$X$100:$X$100</definedName>
    <definedName name="SalesQty4">'Бланк заказа'!$X$28:$X$28</definedName>
    <definedName name="SalesQty40">'Бланк заказа'!$X$101:$X$101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заказа'!$X$110:$X$110</definedName>
    <definedName name="SalesQty47">'Бланк заказа'!$X$111:$X$111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заказа'!$X$118:$X$118</definedName>
    <definedName name="SalesQty52">'Бланк заказа'!$X$119:$X$119</definedName>
    <definedName name="SalesQty53">'Бланк заказа'!$X$120:$X$120</definedName>
    <definedName name="SalesQty54">'Бланк заказа'!$X$121:$X$121</definedName>
    <definedName name="SalesQty55">'Бланк заказа'!$X$125:$X$125</definedName>
    <definedName name="SalesQty56">'Бланк заказа'!$X$130:$X$130</definedName>
    <definedName name="SalesQty57">'Бланк заказа'!$X$131:$X$131</definedName>
    <definedName name="SalesQty58">'Бланк заказа'!$X$135:$X$135</definedName>
    <definedName name="SalesQty59">'Бланк заказа'!$X$136:$X$136</definedName>
    <definedName name="SalesQty6">'Бланк заказа'!$X$30:$X$30</definedName>
    <definedName name="SalesQty60">'Бланк заказа'!$X$140:$X$140</definedName>
    <definedName name="SalesQty61">'Бланк заказа'!$X$141:$X$141</definedName>
    <definedName name="SalesQty62">'Бланк заказа'!$X$146:$X$146</definedName>
    <definedName name="SalesQty63">'Бланк заказа'!$X$147:$X$147</definedName>
    <definedName name="SalesQty64">'Бланк заказа'!$X$151:$X$151</definedName>
    <definedName name="SalesQty65">'Бланк заказа'!$X$155:$X$155</definedName>
    <definedName name="SalesQty66">'Бланк заказа'!$X$156:$X$156</definedName>
    <definedName name="SalesQty67">'Бланк заказа'!$X$157:$X$157</definedName>
    <definedName name="SalesQty68">'Бланк заказа'!$X$158:$X$158</definedName>
    <definedName name="SalesQty69">'Бланк заказа'!$X$159:$X$159</definedName>
    <definedName name="SalesQty7">'Бланк заказа'!$X$31:$X$31</definedName>
    <definedName name="SalesQty70">'Бланк заказа'!$X$160:$X$160</definedName>
    <definedName name="SalesQty71">'Бланк заказа'!$X$161:$X$161</definedName>
    <definedName name="SalesQty72">'Бланк заказа'!$X$162:$X$162</definedName>
    <definedName name="SalesQty73">'Бланк заказа'!$X$163:$X$163</definedName>
    <definedName name="SalesQty74">'Бланк заказа'!$X$164:$X$164</definedName>
    <definedName name="SalesQty75">'Бланк заказа'!$X$165:$X$165</definedName>
    <definedName name="SalesQty76">'Бланк заказа'!$X$166:$X$166</definedName>
    <definedName name="SalesQty77">'Бланк заказа'!$X$170:$X$170</definedName>
    <definedName name="SalesQty78">'Бланк заказа'!$X$176:$X$176</definedName>
    <definedName name="SalesQty79">'Бланк заказа'!$X$180:$X$180</definedName>
    <definedName name="SalesQty8">'Бланк заказа'!$X$32:$X$32</definedName>
    <definedName name="SalesQty80">'Бланк заказа'!$X$181:$X$181</definedName>
    <definedName name="SalesQty81">'Бланк заказа'!$X$182:$X$182</definedName>
    <definedName name="SalesQty82">'Бланк заказа'!$X$183:$X$183</definedName>
    <definedName name="SalesQty83">'Бланк заказа'!$X$184:$X$184</definedName>
    <definedName name="SalesQty84">'Бланк заказа'!$X$185:$X$185</definedName>
    <definedName name="SalesQty85">'Бланк заказа'!$X$186:$X$186</definedName>
    <definedName name="SalesQty86">'Бланк заказа'!$X$187:$X$187</definedName>
    <definedName name="SalesQty87">'Бланк заказа'!$X$188:$X$188</definedName>
    <definedName name="SalesQty88">'Бланк заказа'!$X$189:$X$189</definedName>
    <definedName name="SalesQty89">'Бланк заказа'!$X$190:$X$190</definedName>
    <definedName name="SalesQty9">'Бланк заказа'!$X$33:$X$33</definedName>
    <definedName name="SalesQty90">'Бланк заказа'!$X$191:$X$191</definedName>
    <definedName name="SalesQty91">'Бланк заказа'!$X$192:$X$192</definedName>
    <definedName name="SalesQty92">'Бланк заказа'!$X$193:$X$193</definedName>
    <definedName name="SalesQty93">'Бланк заказа'!$X$197:$X$197</definedName>
    <definedName name="SalesQty94">'Бланк заказа'!$X$198:$X$198</definedName>
    <definedName name="SalesQty95">'Бланк заказа'!$X$199:$X$199</definedName>
    <definedName name="SalesQty96">'Бланк заказа'!$X$203:$X$203</definedName>
    <definedName name="SalesQty97">'Бланк заказа'!$X$208:$X$208</definedName>
    <definedName name="SalesQty98">'Бланк заказа'!$X$209:$X$209</definedName>
    <definedName name="SalesQty99">'Бланк заказа'!$X$213:$X$213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заказа'!$Y$214:$Y$214</definedName>
    <definedName name="SalesRoundBox101">'Бланк заказа'!$Y$218:$Y$218</definedName>
    <definedName name="SalesRoundBox102">'Бланк заказа'!$Y$219:$Y$219</definedName>
    <definedName name="SalesRoundBox103">'Бланк заказа'!$Y$220:$Y$220</definedName>
    <definedName name="SalesRoundBox104">'Бланк заказа'!$Y$221:$Y$221</definedName>
    <definedName name="SalesRoundBox105">'Бланк заказа'!$Y$222:$Y$222</definedName>
    <definedName name="SalesRoundBox106">'Бланк заказа'!$Y$223:$Y$223</definedName>
    <definedName name="SalesRoundBox107">'Бланк заказа'!$Y$224:$Y$224</definedName>
    <definedName name="SalesRoundBox108">'Бланк заказа'!$Y$225:$Y$225</definedName>
    <definedName name="SalesRoundBox109">'Бланк заказа'!$Y$229:$Y$229</definedName>
    <definedName name="SalesRoundBox11">'Бланк заказа'!$Y$43:$Y$43</definedName>
    <definedName name="SalesRoundBox110">'Бланк заказа'!$Y$230:$Y$230</definedName>
    <definedName name="SalesRoundBox111">'Бланк заказа'!$Y$231:$Y$231</definedName>
    <definedName name="SalesRoundBox112">'Бланк заказа'!$Y$232:$Y$232</definedName>
    <definedName name="SalesRoundBox113">'Бланк заказа'!$Y$233:$Y$233</definedName>
    <definedName name="SalesRoundBox114">'Бланк заказа'!$Y$234:$Y$234</definedName>
    <definedName name="SalesRoundBox115">'Бланк заказа'!$Y$235:$Y$235</definedName>
    <definedName name="SalesRoundBox116">'Бланк заказа'!$Y$236:$Y$236</definedName>
    <definedName name="SalesRoundBox117">'Бланк заказа'!$Y$237:$Y$237</definedName>
    <definedName name="SalesRoundBox118">'Бланк заказа'!$Y$238:$Y$238</definedName>
    <definedName name="SalesRoundBox119">'Бланк заказа'!$Y$242:$Y$242</definedName>
    <definedName name="SalesRoundBox12">'Бланк заказа'!$Y$44:$Y$44</definedName>
    <definedName name="SalesRoundBox120">'Бланк заказа'!$Y$243:$Y$243</definedName>
    <definedName name="SalesRoundBox121">'Бланк заказа'!$Y$248:$Y$248</definedName>
    <definedName name="SalesRoundBox122">'Бланк заказа'!$Y$249:$Y$249</definedName>
    <definedName name="SalesRoundBox123">'Бланк заказа'!$Y$250:$Y$250</definedName>
    <definedName name="SalesRoundBox124">'Бланк заказа'!$Y$251:$Y$251</definedName>
    <definedName name="SalesRoundBox125">'Бланк заказа'!$Y$252:$Y$252</definedName>
    <definedName name="SalesRoundBox126">'Бланк заказа'!$Y$253:$Y$253</definedName>
    <definedName name="SalesRoundBox127">'Бланк заказа'!$Y$254:$Y$254</definedName>
    <definedName name="SalesRoundBox128">'Бланк заказа'!$Y$258:$Y$258</definedName>
    <definedName name="SalesRoundBox129">'Бланк заказа'!$Y$262:$Y$262</definedName>
    <definedName name="SalesRoundBox13">'Бланк заказа'!$Y$50:$Y$50</definedName>
    <definedName name="SalesRoundBox130">'Бланк заказа'!$Y$266:$Y$266</definedName>
    <definedName name="SalesRoundBox131">'Бланк заказа'!$Y$267:$Y$267</definedName>
    <definedName name="SalesRoundBox132">'Бланк заказа'!$Y$268:$Y$268</definedName>
    <definedName name="SalesRoundBox133">'Бланк заказа'!$Y$269:$Y$269</definedName>
    <definedName name="SalesRoundBox134">'Бланк заказа'!$Y$270:$Y$270</definedName>
    <definedName name="SalesRoundBox135">'Бланк заказа'!$Y$275:$Y$275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заказа'!$Y$292:$Y$292</definedName>
    <definedName name="SalesRoundBox145">'Бланк заказа'!$Y$293:$Y$293</definedName>
    <definedName name="SalesRoundBox146">'Бланк заказа'!$Y$294:$Y$294</definedName>
    <definedName name="SalesRoundBox147">'Бланк заказа'!$Y$299:$Y$299</definedName>
    <definedName name="SalesRoundBox148">'Бланк заказа'!$Y$300:$Y$300</definedName>
    <definedName name="SalesRoundBox149">'Бланк заказа'!$Y$301:$Y$301</definedName>
    <definedName name="SalesRoundBox15">'Бланк заказа'!$Y$52:$Y$52</definedName>
    <definedName name="SalesRoundBox150">'Бланк заказа'!$Y$302:$Y$302</definedName>
    <definedName name="SalesRoundBox151">'Бланк заказа'!$Y$306:$Y$306</definedName>
    <definedName name="SalesRoundBox152">'Бланк заказа'!$Y$307:$Y$307</definedName>
    <definedName name="SalesRoundBox153">'Бланк заказа'!$Y$312:$Y$312</definedName>
    <definedName name="SalesRoundBox154">'Бланк заказа'!$Y$313:$Y$313</definedName>
    <definedName name="SalesRoundBox155">'Бланк заказа'!$Y$314:$Y$314</definedName>
    <definedName name="SalesRoundBox156">'Бланк заказа'!$Y$319:$Y$319</definedName>
    <definedName name="SalesRoundBox157">'Бланк заказа'!$Y$320:$Y$320</definedName>
    <definedName name="SalesRoundBox158">'Бланк заказа'!$Y$321:$Y$321</definedName>
    <definedName name="SalesRoundBox159">'Бланк заказа'!$Y$322:$Y$322</definedName>
    <definedName name="SalesRoundBox16">'Бланк заказа'!$Y$53:$Y$53</definedName>
    <definedName name="SalesRoundBox160">'Бланк заказа'!$Y$323:$Y$323</definedName>
    <definedName name="SalesRoundBox161">'Бланк заказа'!$Y$324:$Y$324</definedName>
    <definedName name="SalesRoundBox162">'Бланк заказа'!$Y$325:$Y$325</definedName>
    <definedName name="SalesRoundBox163">'Бланк заказа'!$Y$329:$Y$329</definedName>
    <definedName name="SalesRoundBox164">'Бланк заказа'!$Y$330:$Y$330</definedName>
    <definedName name="SalesRoundBox165">'Бланк заказа'!$Y$331:$Y$331</definedName>
    <definedName name="SalesRoundBox166">'Бланк заказа'!$Y$332:$Y$332</definedName>
    <definedName name="SalesRoundBox167">'Бланк заказа'!$Y$333:$Y$333</definedName>
    <definedName name="SalesRoundBox168">'Бланк заказа'!$Y$334:$Y$334</definedName>
    <definedName name="SalesRoundBox169">'Бланк заказа'!$Y$335:$Y$335</definedName>
    <definedName name="SalesRoundBox17">'Бланк заказа'!$Y$58:$Y$58</definedName>
    <definedName name="SalesRoundBox170">'Бланк заказа'!$Y$339:$Y$339</definedName>
    <definedName name="SalesRoundBox171">'Бланк заказа'!$Y$340:$Y$340</definedName>
    <definedName name="SalesRoundBox172">'Бланк заказа'!$Y$341:$Y$341</definedName>
    <definedName name="SalesRoundBox173">'Бланк заказа'!$Y$342:$Y$342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заказа'!$Y$352:$Y$352</definedName>
    <definedName name="SalesRoundBox178">'Бланк заказа'!$Y$353:$Y$353</definedName>
    <definedName name="SalesRoundBox179">'Бланк заказа'!$Y$354:$Y$354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заказа'!$Y$360:$Y$360</definedName>
    <definedName name="SalesRoundBox183">'Бланк заказа'!$Y$361:$Y$361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заказа'!$Y$374:$Y$374</definedName>
    <definedName name="SalesRoundBox188">'Бланк заказа'!$Y$375:$Y$375</definedName>
    <definedName name="SalesRoundBox189">'Бланк заказа'!$Y$376:$Y$376</definedName>
    <definedName name="SalesRoundBox19">'Бланк заказа'!$Y$60:$Y$60</definedName>
    <definedName name="SalesRoundBox190">'Бланк заказа'!$Y$377:$Y$377</definedName>
    <definedName name="SalesRoundBox191">'Бланк заказа'!$Y$378:$Y$378</definedName>
    <definedName name="SalesRoundBox192">'Бланк заказа'!$Y$379:$Y$379</definedName>
    <definedName name="SalesRoundBox193">'Бланк заказа'!$Y$380:$Y$380</definedName>
    <definedName name="SalesRoundBox194">'Бланк заказа'!$Y$381:$Y$381</definedName>
    <definedName name="SalesRoundBox195">'Бланк заказа'!$Y$385:$Y$385</definedName>
    <definedName name="SalesRoundBox196">'Бланк заказа'!$Y$386:$Y$386</definedName>
    <definedName name="SalesRoundBox197">'Бланк заказа'!$Y$387:$Y$387</definedName>
    <definedName name="SalesRoundBox198">'Бланк заказа'!$Y$391:$Y$391</definedName>
    <definedName name="SalesRoundBox199">'Бланк заказа'!$Y$392:$Y$392</definedName>
    <definedName name="SalesRoundBox2">'Бланк заказа'!$Y$23:$Y$23</definedName>
    <definedName name="SalesRoundBox20">'Бланк заказа'!$Y$61:$Y$61</definedName>
    <definedName name="SalesRoundBox200">'Бланк заказа'!$Y$396:$Y$396</definedName>
    <definedName name="SalesRoundBox201">'Бланк заказа'!$Y$401:$Y$401</definedName>
    <definedName name="SalesRoundBox202">'Бланк заказа'!$Y$402:$Y$402</definedName>
    <definedName name="SalesRoundBox203">'Бланк заказа'!$Y$406:$Y$406</definedName>
    <definedName name="SalesRoundBox204">'Бланк заказа'!$Y$410:$Y$410</definedName>
    <definedName name="SalesRoundBox205">'Бланк заказа'!$Y$411:$Y$411</definedName>
    <definedName name="SalesRoundBox206">'Бланк заказа'!$Y$412:$Y$412</definedName>
    <definedName name="SalesRoundBox207">'Бланк заказа'!$Y$418:$Y$418</definedName>
    <definedName name="SalesRoundBox208">'Бланк заказа'!$Y$419:$Y$419</definedName>
    <definedName name="SalesRoundBox209">'Бланк заказа'!$Y$420:$Y$420</definedName>
    <definedName name="SalesRoundBox21">'Бланк заказа'!$Y$62:$Y$62</definedName>
    <definedName name="SalesRoundBox210">'Бланк заказа'!$Y$421:$Y$421</definedName>
    <definedName name="SalesRoundBox211">'Бланк заказа'!$Y$422:$Y$422</definedName>
    <definedName name="SalesRoundBox212">'Бланк заказа'!$Y$423:$Y$423</definedName>
    <definedName name="SalesRoundBox213">'Бланк заказа'!$Y$424:$Y$424</definedName>
    <definedName name="SalesRoundBox214">'Бланк заказа'!$Y$428:$Y$428</definedName>
    <definedName name="SalesRoundBox215">'Бланк заказа'!$Y$429:$Y$429</definedName>
    <definedName name="SalesRoundBox216">'Бланк заказа'!$Y$434:$Y$434</definedName>
    <definedName name="SalesRoundBox217">'Бланк заказа'!$Y$438:$Y$438</definedName>
    <definedName name="SalesRoundBox218">'Бланк заказа'!$Y$439:$Y$439</definedName>
    <definedName name="SalesRoundBox219">'Бланк заказа'!$Y$440:$Y$440</definedName>
    <definedName name="SalesRoundBox22">'Бланк заказа'!$Y$63:$Y$63</definedName>
    <definedName name="SalesRoundBox220">'Бланк заказа'!$Y$446:$Y$446</definedName>
    <definedName name="SalesRoundBox221">'Бланк заказа'!$Y$447:$Y$447</definedName>
    <definedName name="SalesRoundBox222">'Бланк заказа'!$Y$448:$Y$448</definedName>
    <definedName name="SalesRoundBox223">'Бланк заказа'!$Y$449:$Y$449</definedName>
    <definedName name="SalesRoundBox224">'Бланк заказа'!$Y$450:$Y$450</definedName>
    <definedName name="SalesRoundBox225">'Бланк заказа'!$Y$451:$Y$451</definedName>
    <definedName name="SalesRoundBox226">'Бланк заказа'!$Y$452:$Y$452</definedName>
    <definedName name="SalesRoundBox227">'Бланк заказа'!$Y$453:$Y$453</definedName>
    <definedName name="SalesRoundBox228">'Бланк заказа'!$Y$454:$Y$454</definedName>
    <definedName name="SalesRoundBox229">'Бланк заказа'!$Y$455:$Y$455</definedName>
    <definedName name="SalesRoundBox23">'Бланк заказа'!$Y$67:$Y$67</definedName>
    <definedName name="SalesRoundBox230">'Бланк заказа'!$Y$456:$Y$456</definedName>
    <definedName name="SalesRoundBox231">'Бланк заказа'!$Y$460:$Y$460</definedName>
    <definedName name="SalesRoundBox232">'Бланк заказа'!$Y$461:$Y$461</definedName>
    <definedName name="SalesRoundBox233">'Бланк заказа'!$Y$462:$Y$462</definedName>
    <definedName name="SalesRoundBox234">'Бланк заказа'!$Y$466:$Y$466</definedName>
    <definedName name="SalesRoundBox235">'Бланк заказа'!$Y$467:$Y$467</definedName>
    <definedName name="SalesRoundBox236">'Бланк заказа'!$Y$468:$Y$468</definedName>
    <definedName name="SalesRoundBox237">'Бланк заказа'!$Y$469:$Y$469</definedName>
    <definedName name="SalesRoundBox238">'Бланк заказа'!$Y$470:$Y$470</definedName>
    <definedName name="SalesRoundBox239">'Бланк заказа'!$Y$471:$Y$471</definedName>
    <definedName name="SalesRoundBox24">'Бланк заказа'!$Y$68:$Y$68</definedName>
    <definedName name="SalesRoundBox240">'Бланк заказа'!$Y$472:$Y$472</definedName>
    <definedName name="SalesRoundBox241">'Бланк заказа'!$Y$478:$Y$478</definedName>
    <definedName name="SalesRoundBox242">'Бланк заказа'!$Y$482:$Y$482</definedName>
    <definedName name="SalesRoundBox243">'Бланк заказа'!$Y$486:$Y$486</definedName>
    <definedName name="SalesRoundBox244">'Бланк заказа'!$Y$490:$Y$490</definedName>
    <definedName name="SalesRoundBox245">'Бланк заказа'!$Y$494:$Y$494</definedName>
    <definedName name="SalesRoundBox246">'Бланк заказа'!$Y$495:$Y$495</definedName>
    <definedName name="SalesRoundBox247">'Бланк заказа'!$Y$500:$Y$500</definedName>
    <definedName name="SalesRoundBox25">'Бланк заказа'!$Y$69:$Y$69</definedName>
    <definedName name="SalesRoundBox26">'Бланк заказа'!$Y$70:$Y$70</definedName>
    <definedName name="SalesRoundBox27">'Бланк заказа'!$Y$74:$Y$74</definedName>
    <definedName name="SalesRoundBox28">'Бланк заказа'!$Y$75:$Y$75</definedName>
    <definedName name="SalesRoundBox29">'Бланк заказа'!$Y$79:$Y$79</definedName>
    <definedName name="SalesRoundBox3">'Бланк заказа'!$Y$27:$Y$27</definedName>
    <definedName name="SalesRoundBox30">'Бланк заказа'!$Y$80:$Y$80</definedName>
    <definedName name="SalesRoundBox31">'Бланк заказа'!$Y$85:$Y$85</definedName>
    <definedName name="SalesRoundBox32">'Бланк заказа'!$Y$86:$Y$86</definedName>
    <definedName name="SalesRoundBox33">'Бланк заказа'!$Y$87:$Y$87</definedName>
    <definedName name="SalesRoundBox34">'Бланк заказа'!$Y$88:$Y$88</definedName>
    <definedName name="SalesRoundBox35">'Бланк заказа'!$Y$92:$Y$92</definedName>
    <definedName name="SalesRoundBox36">'Бланк заказа'!$Y$93:$Y$93</definedName>
    <definedName name="SalesRoundBox37">'Бланк заказа'!$Y$94:$Y$94</definedName>
    <definedName name="SalesRoundBox38">'Бланк заказа'!$Y$95:$Y$95</definedName>
    <definedName name="SalesRoundBox39">'Бланк заказа'!$Y$100:$Y$100</definedName>
    <definedName name="SalesRoundBox4">'Бланк заказа'!$Y$28:$Y$28</definedName>
    <definedName name="SalesRoundBox40">'Бланк заказа'!$Y$101:$Y$101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заказа'!$Y$110:$Y$110</definedName>
    <definedName name="SalesRoundBox47">'Бланк заказа'!$Y$111:$Y$111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заказа'!$Y$118:$Y$118</definedName>
    <definedName name="SalesRoundBox52">'Бланк заказа'!$Y$119:$Y$119</definedName>
    <definedName name="SalesRoundBox53">'Бланк заказа'!$Y$120:$Y$120</definedName>
    <definedName name="SalesRoundBox54">'Бланк заказа'!$Y$121:$Y$121</definedName>
    <definedName name="SalesRoundBox55">'Бланк заказа'!$Y$125:$Y$125</definedName>
    <definedName name="SalesRoundBox56">'Бланк заказа'!$Y$130:$Y$130</definedName>
    <definedName name="SalesRoundBox57">'Бланк заказа'!$Y$131:$Y$131</definedName>
    <definedName name="SalesRoundBox58">'Бланк заказа'!$Y$135:$Y$135</definedName>
    <definedName name="SalesRoundBox59">'Бланк заказа'!$Y$136:$Y$136</definedName>
    <definedName name="SalesRoundBox6">'Бланк заказа'!$Y$30:$Y$30</definedName>
    <definedName name="SalesRoundBox60">'Бланк заказа'!$Y$140:$Y$140</definedName>
    <definedName name="SalesRoundBox61">'Бланк заказа'!$Y$141:$Y$141</definedName>
    <definedName name="SalesRoundBox62">'Бланк заказа'!$Y$146:$Y$146</definedName>
    <definedName name="SalesRoundBox63">'Бланк заказа'!$Y$147:$Y$147</definedName>
    <definedName name="SalesRoundBox64">'Бланк заказа'!$Y$151:$Y$151</definedName>
    <definedName name="SalesRoundBox65">'Бланк заказа'!$Y$155:$Y$155</definedName>
    <definedName name="SalesRoundBox66">'Бланк заказа'!$Y$156:$Y$156</definedName>
    <definedName name="SalesRoundBox67">'Бланк заказа'!$Y$157:$Y$157</definedName>
    <definedName name="SalesRoundBox68">'Бланк заказа'!$Y$158:$Y$158</definedName>
    <definedName name="SalesRoundBox69">'Бланк заказа'!$Y$159:$Y$159</definedName>
    <definedName name="SalesRoundBox7">'Бланк заказа'!$Y$31:$Y$31</definedName>
    <definedName name="SalesRoundBox70">'Бланк заказа'!$Y$160:$Y$160</definedName>
    <definedName name="SalesRoundBox71">'Бланк заказа'!$Y$161:$Y$161</definedName>
    <definedName name="SalesRoundBox72">'Бланк заказа'!$Y$162:$Y$162</definedName>
    <definedName name="SalesRoundBox73">'Бланк заказа'!$Y$163:$Y$163</definedName>
    <definedName name="SalesRoundBox74">'Бланк заказа'!$Y$164:$Y$164</definedName>
    <definedName name="SalesRoundBox75">'Бланк заказа'!$Y$165:$Y$165</definedName>
    <definedName name="SalesRoundBox76">'Бланк заказа'!$Y$166:$Y$166</definedName>
    <definedName name="SalesRoundBox77">'Бланк заказа'!$Y$170:$Y$170</definedName>
    <definedName name="SalesRoundBox78">'Бланк заказа'!$Y$176:$Y$176</definedName>
    <definedName name="SalesRoundBox79">'Бланк заказа'!$Y$180:$Y$180</definedName>
    <definedName name="SalesRoundBox8">'Бланк заказа'!$Y$32:$Y$32</definedName>
    <definedName name="SalesRoundBox80">'Бланк заказа'!$Y$181:$Y$181</definedName>
    <definedName name="SalesRoundBox81">'Бланк заказа'!$Y$182:$Y$182</definedName>
    <definedName name="SalesRoundBox82">'Бланк заказа'!$Y$183:$Y$183</definedName>
    <definedName name="SalesRoundBox83">'Бланк заказа'!$Y$184:$Y$184</definedName>
    <definedName name="SalesRoundBox84">'Бланк заказа'!$Y$185:$Y$185</definedName>
    <definedName name="SalesRoundBox85">'Бланк заказа'!$Y$186:$Y$186</definedName>
    <definedName name="SalesRoundBox86">'Бланк заказа'!$Y$187:$Y$187</definedName>
    <definedName name="SalesRoundBox87">'Бланк заказа'!$Y$188:$Y$188</definedName>
    <definedName name="SalesRoundBox88">'Бланк заказа'!$Y$189:$Y$189</definedName>
    <definedName name="SalesRoundBox89">'Бланк заказа'!$Y$190:$Y$190</definedName>
    <definedName name="SalesRoundBox9">'Бланк заказа'!$Y$33:$Y$33</definedName>
    <definedName name="SalesRoundBox90">'Бланк заказа'!$Y$191:$Y$191</definedName>
    <definedName name="SalesRoundBox91">'Бланк заказа'!$Y$192:$Y$192</definedName>
    <definedName name="SalesRoundBox92">'Бланк заказа'!$Y$193:$Y$193</definedName>
    <definedName name="SalesRoundBox93">'Бланк заказа'!$Y$197:$Y$197</definedName>
    <definedName name="SalesRoundBox94">'Бланк заказа'!$Y$198:$Y$198</definedName>
    <definedName name="SalesRoundBox95">'Бланк заказа'!$Y$199:$Y$199</definedName>
    <definedName name="SalesRoundBox96">'Бланк заказа'!$Y$203:$Y$203</definedName>
    <definedName name="SalesRoundBox97">'Бланк заказа'!$Y$208:$Y$208</definedName>
    <definedName name="SalesRoundBox98">'Бланк заказа'!$Y$209:$Y$209</definedName>
    <definedName name="SalesRoundBox99">'Бланк заказа'!$Y$213:$Y$213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заказа'!$W$214:$W$214</definedName>
    <definedName name="UnitOfMeasure101">'Бланк заказа'!$W$218:$W$218</definedName>
    <definedName name="UnitOfMeasure102">'Бланк заказа'!$W$219:$W$219</definedName>
    <definedName name="UnitOfMeasure103">'Бланк заказа'!$W$220:$W$220</definedName>
    <definedName name="UnitOfMeasure104">'Бланк заказа'!$W$221:$W$221</definedName>
    <definedName name="UnitOfMeasure105">'Бланк заказа'!$W$222:$W$222</definedName>
    <definedName name="UnitOfMeasure106">'Бланк заказа'!$W$223:$W$223</definedName>
    <definedName name="UnitOfMeasure107">'Бланк заказа'!$W$224:$W$224</definedName>
    <definedName name="UnitOfMeasure108">'Бланк заказа'!$W$225:$W$225</definedName>
    <definedName name="UnitOfMeasure109">'Бланк заказа'!$W$229:$W$229</definedName>
    <definedName name="UnitOfMeasure11">'Бланк заказа'!$W$43:$W$43</definedName>
    <definedName name="UnitOfMeasure110">'Бланк заказа'!$W$230:$W$230</definedName>
    <definedName name="UnitOfMeasure111">'Бланк заказа'!$W$231:$W$231</definedName>
    <definedName name="UnitOfMeasure112">'Бланк заказа'!$W$232:$W$232</definedName>
    <definedName name="UnitOfMeasure113">'Бланк заказа'!$W$233:$W$233</definedName>
    <definedName name="UnitOfMeasure114">'Бланк заказа'!$W$234:$W$234</definedName>
    <definedName name="UnitOfMeasure115">'Бланк заказа'!$W$235:$W$235</definedName>
    <definedName name="UnitOfMeasure116">'Бланк заказа'!$W$236:$W$236</definedName>
    <definedName name="UnitOfMeasure117">'Бланк заказа'!$W$237:$W$237</definedName>
    <definedName name="UnitOfMeasure118">'Бланк заказа'!$W$238:$W$238</definedName>
    <definedName name="UnitOfMeasure119">'Бланк заказа'!$W$242:$W$242</definedName>
    <definedName name="UnitOfMeasure12">'Бланк заказа'!$W$44:$W$44</definedName>
    <definedName name="UnitOfMeasure120">'Бланк заказа'!$W$243:$W$243</definedName>
    <definedName name="UnitOfMeasure121">'Бланк заказа'!$W$248:$W$248</definedName>
    <definedName name="UnitOfMeasure122">'Бланк заказа'!$W$249:$W$249</definedName>
    <definedName name="UnitOfMeasure123">'Бланк заказа'!$W$250:$W$250</definedName>
    <definedName name="UnitOfMeasure124">'Бланк заказа'!$W$251:$W$251</definedName>
    <definedName name="UnitOfMeasure125">'Бланк заказа'!$W$252:$W$252</definedName>
    <definedName name="UnitOfMeasure126">'Бланк заказа'!$W$253:$W$253</definedName>
    <definedName name="UnitOfMeasure127">'Бланк заказа'!$W$254:$W$254</definedName>
    <definedName name="UnitOfMeasure128">'Бланк заказа'!$W$258:$W$258</definedName>
    <definedName name="UnitOfMeasure129">'Бланк заказа'!$W$262:$W$262</definedName>
    <definedName name="UnitOfMeasure13">'Бланк заказа'!$W$50:$W$50</definedName>
    <definedName name="UnitOfMeasure130">'Бланк заказа'!$W$266:$W$266</definedName>
    <definedName name="UnitOfMeasure131">'Бланк заказа'!$W$267:$W$267</definedName>
    <definedName name="UnitOfMeasure132">'Бланк заказа'!$W$268:$W$268</definedName>
    <definedName name="UnitOfMeasure133">'Бланк заказа'!$W$269:$W$269</definedName>
    <definedName name="UnitOfMeasure134">'Бланк заказа'!$W$270:$W$270</definedName>
    <definedName name="UnitOfMeasure135">'Бланк заказа'!$W$275:$W$275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заказа'!$W$292:$W$292</definedName>
    <definedName name="UnitOfMeasure145">'Бланк заказа'!$W$293:$W$293</definedName>
    <definedName name="UnitOfMeasure146">'Бланк заказа'!$W$294:$W$294</definedName>
    <definedName name="UnitOfMeasure147">'Бланк заказа'!$W$299:$W$299</definedName>
    <definedName name="UnitOfMeasure148">'Бланк заказа'!$W$300:$W$300</definedName>
    <definedName name="UnitOfMeasure149">'Бланк заказа'!$W$301:$W$301</definedName>
    <definedName name="UnitOfMeasure15">'Бланк заказа'!$W$52:$W$52</definedName>
    <definedName name="UnitOfMeasure150">'Бланк заказа'!$W$302:$W$302</definedName>
    <definedName name="UnitOfMeasure151">'Бланк заказа'!$W$306:$W$306</definedName>
    <definedName name="UnitOfMeasure152">'Бланк заказа'!$W$307:$W$307</definedName>
    <definedName name="UnitOfMeasure153">'Бланк заказа'!$W$312:$W$312</definedName>
    <definedName name="UnitOfMeasure154">'Бланк заказа'!$W$313:$W$313</definedName>
    <definedName name="UnitOfMeasure155">'Бланк заказа'!$W$314:$W$314</definedName>
    <definedName name="UnitOfMeasure156">'Бланк заказа'!$W$319:$W$319</definedName>
    <definedName name="UnitOfMeasure157">'Бланк заказа'!$W$320:$W$320</definedName>
    <definedName name="UnitOfMeasure158">'Бланк заказа'!$W$321:$W$321</definedName>
    <definedName name="UnitOfMeasure159">'Бланк заказа'!$W$322:$W$322</definedName>
    <definedName name="UnitOfMeasure16">'Бланк заказа'!$W$53:$W$53</definedName>
    <definedName name="UnitOfMeasure160">'Бланк заказа'!$W$323:$W$323</definedName>
    <definedName name="UnitOfMeasure161">'Бланк заказа'!$W$324:$W$324</definedName>
    <definedName name="UnitOfMeasure162">'Бланк заказа'!$W$325:$W$325</definedName>
    <definedName name="UnitOfMeasure163">'Бланк заказа'!$W$329:$W$329</definedName>
    <definedName name="UnitOfMeasure164">'Бланк заказа'!$W$330:$W$330</definedName>
    <definedName name="UnitOfMeasure165">'Бланк заказа'!$W$331:$W$331</definedName>
    <definedName name="UnitOfMeasure166">'Бланк заказа'!$W$332:$W$332</definedName>
    <definedName name="UnitOfMeasure167">'Бланк заказа'!$W$333:$W$333</definedName>
    <definedName name="UnitOfMeasure168">'Бланк заказа'!$W$334:$W$334</definedName>
    <definedName name="UnitOfMeasure169">'Бланк заказа'!$W$335:$W$335</definedName>
    <definedName name="UnitOfMeasure17">'Бланк заказа'!$W$58:$W$58</definedName>
    <definedName name="UnitOfMeasure170">'Бланк заказа'!$W$339:$W$339</definedName>
    <definedName name="UnitOfMeasure171">'Бланк заказа'!$W$340:$W$340</definedName>
    <definedName name="UnitOfMeasure172">'Бланк заказа'!$W$341:$W$341</definedName>
    <definedName name="UnitOfMeasure173">'Бланк заказа'!$W$342:$W$342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заказа'!$W$352:$W$352</definedName>
    <definedName name="UnitOfMeasure178">'Бланк заказа'!$W$353:$W$353</definedName>
    <definedName name="UnitOfMeasure179">'Бланк заказа'!$W$354:$W$354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заказа'!$W$360:$W$360</definedName>
    <definedName name="UnitOfMeasure183">'Бланк заказа'!$W$361:$W$361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заказа'!$W$374:$W$374</definedName>
    <definedName name="UnitOfMeasure188">'Бланк заказа'!$W$375:$W$375</definedName>
    <definedName name="UnitOfMeasure189">'Бланк заказа'!$W$376:$W$376</definedName>
    <definedName name="UnitOfMeasure19">'Бланк заказа'!$W$60:$W$60</definedName>
    <definedName name="UnitOfMeasure190">'Бланк заказа'!$W$377:$W$377</definedName>
    <definedName name="UnitOfMeasure191">'Бланк заказа'!$W$378:$W$378</definedName>
    <definedName name="UnitOfMeasure192">'Бланк заказа'!$W$379:$W$379</definedName>
    <definedName name="UnitOfMeasure193">'Бланк заказа'!$W$380:$W$380</definedName>
    <definedName name="UnitOfMeasure194">'Бланк заказа'!$W$381:$W$381</definedName>
    <definedName name="UnitOfMeasure195">'Бланк заказа'!$W$385:$W$385</definedName>
    <definedName name="UnitOfMeasure196">'Бланк заказа'!$W$386:$W$386</definedName>
    <definedName name="UnitOfMeasure197">'Бланк заказа'!$W$387:$W$387</definedName>
    <definedName name="UnitOfMeasure198">'Бланк заказа'!$W$391:$W$391</definedName>
    <definedName name="UnitOfMeasure199">'Бланк заказа'!$W$392:$W$392</definedName>
    <definedName name="UnitOfMeasure2">'Бланк заказа'!$W$23:$W$23</definedName>
    <definedName name="UnitOfMeasure20">'Бланк заказа'!$W$61:$W$61</definedName>
    <definedName name="UnitOfMeasure200">'Бланк заказа'!$W$396:$W$396</definedName>
    <definedName name="UnitOfMeasure201">'Бланк заказа'!$W$401:$W$401</definedName>
    <definedName name="UnitOfMeasure202">'Бланк заказа'!$W$402:$W$402</definedName>
    <definedName name="UnitOfMeasure203">'Бланк заказа'!$W$406:$W$406</definedName>
    <definedName name="UnitOfMeasure204">'Бланк заказа'!$W$410:$W$410</definedName>
    <definedName name="UnitOfMeasure205">'Бланк заказа'!$W$411:$W$411</definedName>
    <definedName name="UnitOfMeasure206">'Бланк заказа'!$W$412:$W$412</definedName>
    <definedName name="UnitOfMeasure207">'Бланк заказа'!$W$418:$W$418</definedName>
    <definedName name="UnitOfMeasure208">'Бланк заказа'!$W$419:$W$419</definedName>
    <definedName name="UnitOfMeasure209">'Бланк заказа'!$W$420:$W$420</definedName>
    <definedName name="UnitOfMeasure21">'Бланк заказа'!$W$62:$W$62</definedName>
    <definedName name="UnitOfMeasure210">'Бланк заказа'!$W$421:$W$421</definedName>
    <definedName name="UnitOfMeasure211">'Бланк заказа'!$W$422:$W$422</definedName>
    <definedName name="UnitOfMeasure212">'Бланк заказа'!$W$423:$W$423</definedName>
    <definedName name="UnitOfMeasure213">'Бланк заказа'!$W$424:$W$424</definedName>
    <definedName name="UnitOfMeasure214">'Бланк заказа'!$W$428:$W$428</definedName>
    <definedName name="UnitOfMeasure215">'Бланк заказа'!$W$429:$W$429</definedName>
    <definedName name="UnitOfMeasure216">'Бланк заказа'!$W$434:$W$434</definedName>
    <definedName name="UnitOfMeasure217">'Бланк заказа'!$W$438:$W$438</definedName>
    <definedName name="UnitOfMeasure218">'Бланк заказа'!$W$439:$W$439</definedName>
    <definedName name="UnitOfMeasure219">'Бланк заказа'!$W$440:$W$440</definedName>
    <definedName name="UnitOfMeasure22">'Бланк заказа'!$W$63:$W$63</definedName>
    <definedName name="UnitOfMeasure220">'Бланк заказа'!$W$446:$W$446</definedName>
    <definedName name="UnitOfMeasure221">'Бланк заказа'!$W$447:$W$447</definedName>
    <definedName name="UnitOfMeasure222">'Бланк заказа'!$W$448:$W$448</definedName>
    <definedName name="UnitOfMeasure223">'Бланк заказа'!$W$449:$W$449</definedName>
    <definedName name="UnitOfMeasure224">'Бланк заказа'!$W$450:$W$450</definedName>
    <definedName name="UnitOfMeasure225">'Бланк заказа'!$W$451:$W$451</definedName>
    <definedName name="UnitOfMeasure226">'Бланк заказа'!$W$452:$W$452</definedName>
    <definedName name="UnitOfMeasure227">'Бланк заказа'!$W$453:$W$453</definedName>
    <definedName name="UnitOfMeasure228">'Бланк заказа'!$W$454:$W$454</definedName>
    <definedName name="UnitOfMeasure229">'Бланк заказа'!$W$455:$W$455</definedName>
    <definedName name="UnitOfMeasure23">'Бланк заказа'!$W$67:$W$67</definedName>
    <definedName name="UnitOfMeasure230">'Бланк заказа'!$W$456:$W$456</definedName>
    <definedName name="UnitOfMeasure231">'Бланк заказа'!$W$460:$W$460</definedName>
    <definedName name="UnitOfMeasure232">'Бланк заказа'!$W$461:$W$461</definedName>
    <definedName name="UnitOfMeasure233">'Бланк заказа'!$W$462:$W$462</definedName>
    <definedName name="UnitOfMeasure234">'Бланк заказа'!$W$466:$W$466</definedName>
    <definedName name="UnitOfMeasure235">'Бланк заказа'!$W$467:$W$467</definedName>
    <definedName name="UnitOfMeasure236">'Бланк заказа'!$W$468:$W$468</definedName>
    <definedName name="UnitOfMeasure237">'Бланк заказа'!$W$469:$W$469</definedName>
    <definedName name="UnitOfMeasure238">'Бланк заказа'!$W$470:$W$470</definedName>
    <definedName name="UnitOfMeasure239">'Бланк заказа'!$W$471:$W$471</definedName>
    <definedName name="UnitOfMeasure24">'Бланк заказа'!$W$68:$W$68</definedName>
    <definedName name="UnitOfMeasure240">'Бланк заказа'!$W$472:$W$472</definedName>
    <definedName name="UnitOfMeasure241">'Бланк заказа'!$W$478:$W$478</definedName>
    <definedName name="UnitOfMeasure242">'Бланк заказа'!$W$482:$W$482</definedName>
    <definedName name="UnitOfMeasure243">'Бланк заказа'!$W$486:$W$486</definedName>
    <definedName name="UnitOfMeasure244">'Бланк заказа'!$W$490:$W$490</definedName>
    <definedName name="UnitOfMeasure245">'Бланк заказа'!$W$494:$W$494</definedName>
    <definedName name="UnitOfMeasure246">'Бланк заказа'!$W$495:$W$495</definedName>
    <definedName name="UnitOfMeasure247">'Бланк заказа'!$W$500:$W$500</definedName>
    <definedName name="UnitOfMeasure25">'Бланк заказа'!$W$69:$W$69</definedName>
    <definedName name="UnitOfMeasure26">'Бланк заказа'!$W$70:$W$70</definedName>
    <definedName name="UnitOfMeasure27">'Бланк заказа'!$W$74:$W$74</definedName>
    <definedName name="UnitOfMeasure28">'Бланк заказа'!$W$75:$W$75</definedName>
    <definedName name="UnitOfMeasure29">'Бланк заказа'!$W$79:$W$79</definedName>
    <definedName name="UnitOfMeasure3">'Бланк заказа'!$W$27:$W$27</definedName>
    <definedName name="UnitOfMeasure30">'Бланк заказа'!$W$80:$W$80</definedName>
    <definedName name="UnitOfMeasure31">'Бланк заказа'!$W$85:$W$85</definedName>
    <definedName name="UnitOfMeasure32">'Бланк заказа'!$W$86:$W$86</definedName>
    <definedName name="UnitOfMeasure33">'Бланк заказа'!$W$87:$W$87</definedName>
    <definedName name="UnitOfMeasure34">'Бланк заказа'!$W$88:$W$88</definedName>
    <definedName name="UnitOfMeasure35">'Бланк заказа'!$W$92:$W$92</definedName>
    <definedName name="UnitOfMeasure36">'Бланк заказа'!$W$93:$W$93</definedName>
    <definedName name="UnitOfMeasure37">'Бланк заказа'!$W$94:$W$94</definedName>
    <definedName name="UnitOfMeasure38">'Бланк заказа'!$W$95:$W$95</definedName>
    <definedName name="UnitOfMeasure39">'Бланк заказа'!$W$100:$W$100</definedName>
    <definedName name="UnitOfMeasure4">'Бланк заказа'!$W$28:$W$28</definedName>
    <definedName name="UnitOfMeasure40">'Бланк заказа'!$W$101:$W$101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заказа'!$W$110:$W$110</definedName>
    <definedName name="UnitOfMeasure47">'Бланк заказа'!$W$111:$W$111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заказа'!$W$118:$W$118</definedName>
    <definedName name="UnitOfMeasure52">'Бланк заказа'!$W$119:$W$119</definedName>
    <definedName name="UnitOfMeasure53">'Бланк заказа'!$W$120:$W$120</definedName>
    <definedName name="UnitOfMeasure54">'Бланк заказа'!$W$121:$W$121</definedName>
    <definedName name="UnitOfMeasure55">'Бланк заказа'!$W$125:$W$125</definedName>
    <definedName name="UnitOfMeasure56">'Бланк заказа'!$W$130:$W$130</definedName>
    <definedName name="UnitOfMeasure57">'Бланк заказа'!$W$131:$W$131</definedName>
    <definedName name="UnitOfMeasure58">'Бланк заказа'!$W$135:$W$135</definedName>
    <definedName name="UnitOfMeasure59">'Бланк заказа'!$W$136:$W$136</definedName>
    <definedName name="UnitOfMeasure6">'Бланк заказа'!$W$30:$W$30</definedName>
    <definedName name="UnitOfMeasure60">'Бланк заказа'!$W$140:$W$140</definedName>
    <definedName name="UnitOfMeasure61">'Бланк заказа'!$W$141:$W$141</definedName>
    <definedName name="UnitOfMeasure62">'Бланк заказа'!$W$146:$W$146</definedName>
    <definedName name="UnitOfMeasure63">'Бланк заказа'!$W$147:$W$147</definedName>
    <definedName name="UnitOfMeasure64">'Бланк заказа'!$W$151:$W$151</definedName>
    <definedName name="UnitOfMeasure65">'Бланк заказа'!$W$155:$W$155</definedName>
    <definedName name="UnitOfMeasure66">'Бланк заказа'!$W$156:$W$156</definedName>
    <definedName name="UnitOfMeasure67">'Бланк заказа'!$W$157:$W$157</definedName>
    <definedName name="UnitOfMeasure68">'Бланк заказа'!$W$158:$W$158</definedName>
    <definedName name="UnitOfMeasure69">'Бланк заказа'!$W$159:$W$159</definedName>
    <definedName name="UnitOfMeasure7">'Бланк заказа'!$W$31:$W$31</definedName>
    <definedName name="UnitOfMeasure70">'Бланк заказа'!$W$160:$W$160</definedName>
    <definedName name="UnitOfMeasure71">'Бланк заказа'!$W$161:$W$161</definedName>
    <definedName name="UnitOfMeasure72">'Бланк заказа'!$W$162:$W$162</definedName>
    <definedName name="UnitOfMeasure73">'Бланк заказа'!$W$163:$W$163</definedName>
    <definedName name="UnitOfMeasure74">'Бланк заказа'!$W$164:$W$164</definedName>
    <definedName name="UnitOfMeasure75">'Бланк заказа'!$W$165:$W$165</definedName>
    <definedName name="UnitOfMeasure76">'Бланк заказа'!$W$166:$W$166</definedName>
    <definedName name="UnitOfMeasure77">'Бланк заказа'!$W$170:$W$170</definedName>
    <definedName name="UnitOfMeasure78">'Бланк заказа'!$W$176:$W$176</definedName>
    <definedName name="UnitOfMeasure79">'Бланк заказа'!$W$180:$W$180</definedName>
    <definedName name="UnitOfMeasure8">'Бланк заказа'!$W$32:$W$32</definedName>
    <definedName name="UnitOfMeasure80">'Бланк заказа'!$W$181:$W$181</definedName>
    <definedName name="UnitOfMeasure81">'Бланк заказа'!$W$182:$W$182</definedName>
    <definedName name="UnitOfMeasure82">'Бланк заказа'!$W$183:$W$183</definedName>
    <definedName name="UnitOfMeasure83">'Бланк заказа'!$W$184:$W$184</definedName>
    <definedName name="UnitOfMeasure84">'Бланк заказа'!$W$185:$W$185</definedName>
    <definedName name="UnitOfMeasure85">'Бланк заказа'!$W$186:$W$186</definedName>
    <definedName name="UnitOfMeasure86">'Бланк заказа'!$W$187:$W$187</definedName>
    <definedName name="UnitOfMeasure87">'Бланк заказа'!$W$188:$W$188</definedName>
    <definedName name="UnitOfMeasure88">'Бланк заказа'!$W$189:$W$189</definedName>
    <definedName name="UnitOfMeasure89">'Бланк заказа'!$W$190:$W$190</definedName>
    <definedName name="UnitOfMeasure9">'Бланк заказа'!$W$33:$W$33</definedName>
    <definedName name="UnitOfMeasure90">'Бланк заказа'!$W$191:$W$191</definedName>
    <definedName name="UnitOfMeasure91">'Бланк заказа'!$W$192:$W$192</definedName>
    <definedName name="UnitOfMeasure92">'Бланк заказа'!$W$193:$W$193</definedName>
    <definedName name="UnitOfMeasure93">'Бланк заказа'!$W$197:$W$197</definedName>
    <definedName name="UnitOfMeasure94">'Бланк заказа'!$W$198:$W$198</definedName>
    <definedName name="UnitOfMeasure95">'Бланк заказа'!$W$199:$W$199</definedName>
    <definedName name="UnitOfMeasure96">'Бланк заказа'!$W$203:$W$203</definedName>
    <definedName name="UnitOfMeasure97">'Бланк заказа'!$W$208:$W$208</definedName>
    <definedName name="UnitOfMeasure98">'Бланк заказа'!$W$209:$W$209</definedName>
    <definedName name="UnitOfMeasure99">'Бланк заказа'!$W$213:$W$213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02" i="2" l="1"/>
  <c r="X501" i="2"/>
  <c r="BO500" i="2"/>
  <c r="BM500" i="2"/>
  <c r="Y500" i="2"/>
  <c r="AA513" i="2" s="1"/>
  <c r="P500" i="2"/>
  <c r="X497" i="2"/>
  <c r="X496" i="2"/>
  <c r="BO495" i="2"/>
  <c r="BM495" i="2"/>
  <c r="Y495" i="2"/>
  <c r="BN495" i="2" s="1"/>
  <c r="P495" i="2"/>
  <c r="BO494" i="2"/>
  <c r="BM494" i="2"/>
  <c r="Y494" i="2"/>
  <c r="BP494" i="2" s="1"/>
  <c r="P494" i="2"/>
  <c r="X492" i="2"/>
  <c r="X491" i="2"/>
  <c r="BO490" i="2"/>
  <c r="BM490" i="2"/>
  <c r="Y490" i="2"/>
  <c r="BP490" i="2" s="1"/>
  <c r="P490" i="2"/>
  <c r="X488" i="2"/>
  <c r="X487" i="2"/>
  <c r="BO486" i="2"/>
  <c r="BM486" i="2"/>
  <c r="Y486" i="2"/>
  <c r="Y488" i="2" s="1"/>
  <c r="P486" i="2"/>
  <c r="X484" i="2"/>
  <c r="X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P470" i="2" s="1"/>
  <c r="P470" i="2"/>
  <c r="BO469" i="2"/>
  <c r="BM469" i="2"/>
  <c r="Y469" i="2"/>
  <c r="P469" i="2"/>
  <c r="BO468" i="2"/>
  <c r="BM468" i="2"/>
  <c r="Y468" i="2"/>
  <c r="Z468" i="2" s="1"/>
  <c r="P468" i="2"/>
  <c r="BO467" i="2"/>
  <c r="BM467" i="2"/>
  <c r="Y467" i="2"/>
  <c r="P467" i="2"/>
  <c r="BO466" i="2"/>
  <c r="BM466" i="2"/>
  <c r="Y466" i="2"/>
  <c r="BP466" i="2" s="1"/>
  <c r="P466" i="2"/>
  <c r="X464" i="2"/>
  <c r="X463" i="2"/>
  <c r="BO462" i="2"/>
  <c r="BM462" i="2"/>
  <c r="Y462" i="2"/>
  <c r="BP462" i="2" s="1"/>
  <c r="P462" i="2"/>
  <c r="BO461" i="2"/>
  <c r="BM461" i="2"/>
  <c r="Y461" i="2"/>
  <c r="BP461" i="2" s="1"/>
  <c r="P461" i="2"/>
  <c r="BO460" i="2"/>
  <c r="BM460" i="2"/>
  <c r="Y460" i="2"/>
  <c r="Y464" i="2" s="1"/>
  <c r="P460" i="2"/>
  <c r="X458" i="2"/>
  <c r="X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Z449" i="2" s="1"/>
  <c r="P449" i="2"/>
  <c r="BO448" i="2"/>
  <c r="BM448" i="2"/>
  <c r="Y448" i="2"/>
  <c r="Z448" i="2" s="1"/>
  <c r="P448" i="2"/>
  <c r="BO447" i="2"/>
  <c r="BM447" i="2"/>
  <c r="Y447" i="2"/>
  <c r="Z447" i="2" s="1"/>
  <c r="P447" i="2"/>
  <c r="BO446" i="2"/>
  <c r="BM446" i="2"/>
  <c r="Y446" i="2"/>
  <c r="BN446" i="2" s="1"/>
  <c r="P446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P438" i="2"/>
  <c r="X436" i="2"/>
  <c r="X435" i="2"/>
  <c r="BO434" i="2"/>
  <c r="BM434" i="2"/>
  <c r="Y434" i="2"/>
  <c r="Y435" i="2" s="1"/>
  <c r="P434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X426" i="2"/>
  <c r="X425" i="2"/>
  <c r="BO424" i="2"/>
  <c r="BM424" i="2"/>
  <c r="Y424" i="2"/>
  <c r="Z424" i="2" s="1"/>
  <c r="P424" i="2"/>
  <c r="BO423" i="2"/>
  <c r="BM423" i="2"/>
  <c r="Y423" i="2"/>
  <c r="Z423" i="2" s="1"/>
  <c r="P423" i="2"/>
  <c r="BO422" i="2"/>
  <c r="BM422" i="2"/>
  <c r="Y422" i="2"/>
  <c r="Z422" i="2" s="1"/>
  <c r="P422" i="2"/>
  <c r="BO421" i="2"/>
  <c r="BM421" i="2"/>
  <c r="Y421" i="2"/>
  <c r="BP421" i="2" s="1"/>
  <c r="P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N418" i="2" s="1"/>
  <c r="P418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Z410" i="2" s="1"/>
  <c r="P410" i="2"/>
  <c r="X408" i="2"/>
  <c r="X407" i="2"/>
  <c r="BO406" i="2"/>
  <c r="BM406" i="2"/>
  <c r="Y406" i="2"/>
  <c r="Y408" i="2" s="1"/>
  <c r="P406" i="2"/>
  <c r="X404" i="2"/>
  <c r="X403" i="2"/>
  <c r="BO402" i="2"/>
  <c r="BM402" i="2"/>
  <c r="Y402" i="2"/>
  <c r="BN402" i="2" s="1"/>
  <c r="P402" i="2"/>
  <c r="BO401" i="2"/>
  <c r="BM401" i="2"/>
  <c r="Y401" i="2"/>
  <c r="P401" i="2"/>
  <c r="X398" i="2"/>
  <c r="X397" i="2"/>
  <c r="BO396" i="2"/>
  <c r="BM396" i="2"/>
  <c r="Y396" i="2"/>
  <c r="BP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P387" i="2"/>
  <c r="BO386" i="2"/>
  <c r="BM386" i="2"/>
  <c r="Y386" i="2"/>
  <c r="BP386" i="2" s="1"/>
  <c r="P386" i="2"/>
  <c r="BO385" i="2"/>
  <c r="BM385" i="2"/>
  <c r="Y385" i="2"/>
  <c r="Z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N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0" i="2"/>
  <c r="X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Z359" i="2" s="1"/>
  <c r="P359" i="2"/>
  <c r="X357" i="2"/>
  <c r="X356" i="2"/>
  <c r="BO355" i="2"/>
  <c r="BM355" i="2"/>
  <c r="Y355" i="2"/>
  <c r="BP355" i="2" s="1"/>
  <c r="P355" i="2"/>
  <c r="BO354" i="2"/>
  <c r="BM354" i="2"/>
  <c r="Y354" i="2"/>
  <c r="Z354" i="2" s="1"/>
  <c r="P354" i="2"/>
  <c r="BO353" i="2"/>
  <c r="BM353" i="2"/>
  <c r="Y353" i="2"/>
  <c r="Z353" i="2" s="1"/>
  <c r="P353" i="2"/>
  <c r="BO352" i="2"/>
  <c r="BM352" i="2"/>
  <c r="Y352" i="2"/>
  <c r="BN352" i="2" s="1"/>
  <c r="P352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N339" i="2" s="1"/>
  <c r="P339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BP333" i="2" s="1"/>
  <c r="P333" i="2"/>
  <c r="BO332" i="2"/>
  <c r="BM332" i="2"/>
  <c r="Y332" i="2"/>
  <c r="BN332" i="2" s="1"/>
  <c r="P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BN329" i="2" s="1"/>
  <c r="P329" i="2"/>
  <c r="X327" i="2"/>
  <c r="X326" i="2"/>
  <c r="BO325" i="2"/>
  <c r="BM325" i="2"/>
  <c r="Y325" i="2"/>
  <c r="Z325" i="2" s="1"/>
  <c r="P325" i="2"/>
  <c r="BO324" i="2"/>
  <c r="BM324" i="2"/>
  <c r="Y324" i="2"/>
  <c r="P324" i="2"/>
  <c r="BO323" i="2"/>
  <c r="BM323" i="2"/>
  <c r="Y323" i="2"/>
  <c r="BP323" i="2" s="1"/>
  <c r="P323" i="2"/>
  <c r="BO322" i="2"/>
  <c r="BM322" i="2"/>
  <c r="Y322" i="2"/>
  <c r="BN322" i="2" s="1"/>
  <c r="P322" i="2"/>
  <c r="BO321" i="2"/>
  <c r="BM321" i="2"/>
  <c r="Y321" i="2"/>
  <c r="BN321" i="2" s="1"/>
  <c r="P321" i="2"/>
  <c r="BO320" i="2"/>
  <c r="BM320" i="2"/>
  <c r="Y320" i="2"/>
  <c r="BP320" i="2" s="1"/>
  <c r="P320" i="2"/>
  <c r="BO319" i="2"/>
  <c r="BM319" i="2"/>
  <c r="Y319" i="2"/>
  <c r="BN319" i="2" s="1"/>
  <c r="P319" i="2"/>
  <c r="X316" i="2"/>
  <c r="X315" i="2"/>
  <c r="BO314" i="2"/>
  <c r="BM314" i="2"/>
  <c r="Y314" i="2"/>
  <c r="BP314" i="2" s="1"/>
  <c r="P314" i="2"/>
  <c r="BO313" i="2"/>
  <c r="BM313" i="2"/>
  <c r="Y313" i="2"/>
  <c r="BN313" i="2" s="1"/>
  <c r="P313" i="2"/>
  <c r="BO312" i="2"/>
  <c r="BM312" i="2"/>
  <c r="Y312" i="2"/>
  <c r="P312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X304" i="2"/>
  <c r="X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Z300" i="2" s="1"/>
  <c r="P300" i="2"/>
  <c r="BO299" i="2"/>
  <c r="BM299" i="2"/>
  <c r="Y299" i="2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P292" i="2"/>
  <c r="X289" i="2"/>
  <c r="X288" i="2"/>
  <c r="BO287" i="2"/>
  <c r="BM287" i="2"/>
  <c r="Y287" i="2"/>
  <c r="P287" i="2"/>
  <c r="BO286" i="2"/>
  <c r="BM286" i="2"/>
  <c r="Y286" i="2"/>
  <c r="P286" i="2"/>
  <c r="BO285" i="2"/>
  <c r="BM285" i="2"/>
  <c r="Y285" i="2"/>
  <c r="BP285" i="2" s="1"/>
  <c r="P285" i="2"/>
  <c r="BO284" i="2"/>
  <c r="BM284" i="2"/>
  <c r="Y284" i="2"/>
  <c r="BN284" i="2" s="1"/>
  <c r="P284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X272" i="2"/>
  <c r="X271" i="2"/>
  <c r="BO270" i="2"/>
  <c r="BM270" i="2"/>
  <c r="Y270" i="2"/>
  <c r="BP270" i="2" s="1"/>
  <c r="P270" i="2"/>
  <c r="BO269" i="2"/>
  <c r="BM269" i="2"/>
  <c r="Y269" i="2"/>
  <c r="Z269" i="2" s="1"/>
  <c r="P269" i="2"/>
  <c r="BO268" i="2"/>
  <c r="BM268" i="2"/>
  <c r="Y268" i="2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O262" i="2"/>
  <c r="BM262" i="2"/>
  <c r="Y262" i="2"/>
  <c r="Y263" i="2" s="1"/>
  <c r="P262" i="2"/>
  <c r="X260" i="2"/>
  <c r="X259" i="2"/>
  <c r="BO258" i="2"/>
  <c r="BM258" i="2"/>
  <c r="Y258" i="2"/>
  <c r="Y260" i="2" s="1"/>
  <c r="P258" i="2"/>
  <c r="X256" i="2"/>
  <c r="X255" i="2"/>
  <c r="BO254" i="2"/>
  <c r="BM254" i="2"/>
  <c r="Y254" i="2"/>
  <c r="BN254" i="2" s="1"/>
  <c r="P254" i="2"/>
  <c r="BO253" i="2"/>
  <c r="BM253" i="2"/>
  <c r="Y253" i="2"/>
  <c r="BP253" i="2" s="1"/>
  <c r="P253" i="2"/>
  <c r="BO252" i="2"/>
  <c r="BM252" i="2"/>
  <c r="Y252" i="2"/>
  <c r="P252" i="2"/>
  <c r="BO251" i="2"/>
  <c r="BM251" i="2"/>
  <c r="Y251" i="2"/>
  <c r="P251" i="2"/>
  <c r="BO250" i="2"/>
  <c r="BM250" i="2"/>
  <c r="Y250" i="2"/>
  <c r="BP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X245" i="2"/>
  <c r="X244" i="2"/>
  <c r="BO243" i="2"/>
  <c r="BM243" i="2"/>
  <c r="Y243" i="2"/>
  <c r="BN243" i="2" s="1"/>
  <c r="P243" i="2"/>
  <c r="BO242" i="2"/>
  <c r="BM242" i="2"/>
  <c r="Y242" i="2"/>
  <c r="BP242" i="2" s="1"/>
  <c r="P242" i="2"/>
  <c r="X240" i="2"/>
  <c r="X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X227" i="2"/>
  <c r="X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BP214" i="2" s="1"/>
  <c r="P214" i="2"/>
  <c r="BO213" i="2"/>
  <c r="BM213" i="2"/>
  <c r="Y213" i="2"/>
  <c r="BN213" i="2" s="1"/>
  <c r="P213" i="2"/>
  <c r="X211" i="2"/>
  <c r="X210" i="2"/>
  <c r="BO209" i="2"/>
  <c r="BM209" i="2"/>
  <c r="Y209" i="2"/>
  <c r="Z209" i="2" s="1"/>
  <c r="P209" i="2"/>
  <c r="BO208" i="2"/>
  <c r="BM208" i="2"/>
  <c r="Y208" i="2"/>
  <c r="BP208" i="2" s="1"/>
  <c r="P208" i="2"/>
  <c r="X205" i="2"/>
  <c r="X204" i="2"/>
  <c r="BO203" i="2"/>
  <c r="BM203" i="2"/>
  <c r="Y203" i="2"/>
  <c r="Y205" i="2" s="1"/>
  <c r="P203" i="2"/>
  <c r="X201" i="2"/>
  <c r="X200" i="2"/>
  <c r="BO199" i="2"/>
  <c r="BM199" i="2"/>
  <c r="Y199" i="2"/>
  <c r="P199" i="2"/>
  <c r="BO198" i="2"/>
  <c r="BM198" i="2"/>
  <c r="Y198" i="2"/>
  <c r="BN198" i="2" s="1"/>
  <c r="P198" i="2"/>
  <c r="BO197" i="2"/>
  <c r="BM197" i="2"/>
  <c r="Y197" i="2"/>
  <c r="BN197" i="2" s="1"/>
  <c r="P197" i="2"/>
  <c r="X195" i="2"/>
  <c r="X194" i="2"/>
  <c r="BO193" i="2"/>
  <c r="BM193" i="2"/>
  <c r="Y193" i="2"/>
  <c r="Z193" i="2" s="1"/>
  <c r="P193" i="2"/>
  <c r="BO192" i="2"/>
  <c r="BM192" i="2"/>
  <c r="Y192" i="2"/>
  <c r="BN192" i="2" s="1"/>
  <c r="P192" i="2"/>
  <c r="BO191" i="2"/>
  <c r="BM191" i="2"/>
  <c r="Y191" i="2"/>
  <c r="P191" i="2"/>
  <c r="BO190" i="2"/>
  <c r="BM190" i="2"/>
  <c r="Y190" i="2"/>
  <c r="BN190" i="2" s="1"/>
  <c r="P190" i="2"/>
  <c r="BO189" i="2"/>
  <c r="BM189" i="2"/>
  <c r="Y189" i="2"/>
  <c r="BP189" i="2" s="1"/>
  <c r="P189" i="2"/>
  <c r="BO188" i="2"/>
  <c r="BM188" i="2"/>
  <c r="Y188" i="2"/>
  <c r="BN188" i="2" s="1"/>
  <c r="P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X178" i="2"/>
  <c r="X177" i="2"/>
  <c r="BO176" i="2"/>
  <c r="BM176" i="2"/>
  <c r="Y176" i="2"/>
  <c r="Y177" i="2" s="1"/>
  <c r="P176" i="2"/>
  <c r="X172" i="2"/>
  <c r="X171" i="2"/>
  <c r="BO170" i="2"/>
  <c r="BM170" i="2"/>
  <c r="Y170" i="2"/>
  <c r="Y171" i="2" s="1"/>
  <c r="P170" i="2"/>
  <c r="X168" i="2"/>
  <c r="X167" i="2"/>
  <c r="BO166" i="2"/>
  <c r="BM166" i="2"/>
  <c r="Y166" i="2"/>
  <c r="P166" i="2"/>
  <c r="BO165" i="2"/>
  <c r="BM165" i="2"/>
  <c r="Y165" i="2"/>
  <c r="BN165" i="2" s="1"/>
  <c r="P165" i="2"/>
  <c r="BO164" i="2"/>
  <c r="BM164" i="2"/>
  <c r="Y164" i="2"/>
  <c r="Z164" i="2" s="1"/>
  <c r="P164" i="2"/>
  <c r="BO163" i="2"/>
  <c r="BM163" i="2"/>
  <c r="Y163" i="2"/>
  <c r="BN163" i="2" s="1"/>
  <c r="P163" i="2"/>
  <c r="BO162" i="2"/>
  <c r="BM162" i="2"/>
  <c r="Y162" i="2"/>
  <c r="BP162" i="2" s="1"/>
  <c r="P162" i="2"/>
  <c r="BO161" i="2"/>
  <c r="BM161" i="2"/>
  <c r="Y161" i="2"/>
  <c r="Z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Z151" i="2" s="1"/>
  <c r="Z152" i="2" s="1"/>
  <c r="P151" i="2"/>
  <c r="X149" i="2"/>
  <c r="X148" i="2"/>
  <c r="BO147" i="2"/>
  <c r="BM147" i="2"/>
  <c r="Y147" i="2"/>
  <c r="P147" i="2"/>
  <c r="BO146" i="2"/>
  <c r="BM146" i="2"/>
  <c r="Y146" i="2"/>
  <c r="Z146" i="2" s="1"/>
  <c r="P146" i="2"/>
  <c r="X143" i="2"/>
  <c r="X142" i="2"/>
  <c r="BO141" i="2"/>
  <c r="BM141" i="2"/>
  <c r="Y141" i="2"/>
  <c r="BP141" i="2" s="1"/>
  <c r="P141" i="2"/>
  <c r="BO140" i="2"/>
  <c r="BM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BN135" i="2" s="1"/>
  <c r="P135" i="2"/>
  <c r="X133" i="2"/>
  <c r="X132" i="2"/>
  <c r="BO131" i="2"/>
  <c r="BM131" i="2"/>
  <c r="Y131" i="2"/>
  <c r="Z131" i="2" s="1"/>
  <c r="P131" i="2"/>
  <c r="BO130" i="2"/>
  <c r="BM130" i="2"/>
  <c r="Y130" i="2"/>
  <c r="P130" i="2"/>
  <c r="X127" i="2"/>
  <c r="X126" i="2"/>
  <c r="BO125" i="2"/>
  <c r="BM125" i="2"/>
  <c r="Y125" i="2"/>
  <c r="Y127" i="2" s="1"/>
  <c r="P125" i="2"/>
  <c r="X123" i="2"/>
  <c r="X122" i="2"/>
  <c r="BO121" i="2"/>
  <c r="BM121" i="2"/>
  <c r="Y121" i="2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BN118" i="2" s="1"/>
  <c r="P118" i="2"/>
  <c r="X116" i="2"/>
  <c r="X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N112" i="2" s="1"/>
  <c r="P112" i="2"/>
  <c r="BO111" i="2"/>
  <c r="BM111" i="2"/>
  <c r="Y111" i="2"/>
  <c r="P111" i="2"/>
  <c r="BO110" i="2"/>
  <c r="BM110" i="2"/>
  <c r="Y110" i="2"/>
  <c r="BN110" i="2" s="1"/>
  <c r="P110" i="2"/>
  <c r="X108" i="2"/>
  <c r="X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P101" i="2"/>
  <c r="BO100" i="2"/>
  <c r="BM100" i="2"/>
  <c r="Y100" i="2"/>
  <c r="Z100" i="2" s="1"/>
  <c r="P100" i="2"/>
  <c r="X97" i="2"/>
  <c r="X96" i="2"/>
  <c r="BO95" i="2"/>
  <c r="BM95" i="2"/>
  <c r="Y95" i="2"/>
  <c r="Z95" i="2" s="1"/>
  <c r="P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N92" i="2" s="1"/>
  <c r="P92" i="2"/>
  <c r="X90" i="2"/>
  <c r="X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X77" i="2"/>
  <c r="X76" i="2"/>
  <c r="BO75" i="2"/>
  <c r="BM75" i="2"/>
  <c r="Y75" i="2"/>
  <c r="BN75" i="2" s="1"/>
  <c r="P75" i="2"/>
  <c r="BO74" i="2"/>
  <c r="BM74" i="2"/>
  <c r="Y74" i="2"/>
  <c r="Z74" i="2" s="1"/>
  <c r="P74" i="2"/>
  <c r="X72" i="2"/>
  <c r="X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BN68" i="2" s="1"/>
  <c r="P68" i="2"/>
  <c r="BO67" i="2"/>
  <c r="BM67" i="2"/>
  <c r="Y67" i="2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BN58" i="2" s="1"/>
  <c r="P58" i="2"/>
  <c r="X55" i="2"/>
  <c r="X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P51" i="2"/>
  <c r="BO50" i="2"/>
  <c r="BM50" i="2"/>
  <c r="Y50" i="2"/>
  <c r="Z50" i="2" s="1"/>
  <c r="P50" i="2"/>
  <c r="X46" i="2"/>
  <c r="X45" i="2"/>
  <c r="BO44" i="2"/>
  <c r="BM44" i="2"/>
  <c r="Y44" i="2"/>
  <c r="P44" i="2"/>
  <c r="BO43" i="2"/>
  <c r="BM43" i="2"/>
  <c r="Y43" i="2"/>
  <c r="Z43" i="2" s="1"/>
  <c r="P43" i="2"/>
  <c r="X39" i="2"/>
  <c r="X38" i="2"/>
  <c r="BO37" i="2"/>
  <c r="BM37" i="2"/>
  <c r="Y37" i="2"/>
  <c r="Y38" i="2" s="1"/>
  <c r="P37" i="2"/>
  <c r="X35" i="2"/>
  <c r="X34" i="2"/>
  <c r="BO33" i="2"/>
  <c r="BM33" i="2"/>
  <c r="Y33" i="2"/>
  <c r="Z33" i="2" s="1"/>
  <c r="P33" i="2"/>
  <c r="BO32" i="2"/>
  <c r="BM32" i="2"/>
  <c r="Y32" i="2"/>
  <c r="BP32" i="2" s="1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Z430" i="2" l="1"/>
  <c r="Y350" i="2"/>
  <c r="Y442" i="2"/>
  <c r="BP379" i="2"/>
  <c r="BP342" i="2"/>
  <c r="Z321" i="2"/>
  <c r="BN320" i="2"/>
  <c r="Z320" i="2"/>
  <c r="BP286" i="2"/>
  <c r="Z284" i="2"/>
  <c r="Z192" i="2"/>
  <c r="Y178" i="2"/>
  <c r="Y152" i="2"/>
  <c r="BP251" i="2"/>
  <c r="BN251" i="2"/>
  <c r="Z251" i="2"/>
  <c r="BN250" i="2"/>
  <c r="Z250" i="2"/>
  <c r="Z231" i="2"/>
  <c r="Z478" i="2"/>
  <c r="Z479" i="2" s="1"/>
  <c r="Z113" i="2"/>
  <c r="Z69" i="2"/>
  <c r="BP136" i="2"/>
  <c r="BN141" i="2"/>
  <c r="BP197" i="2"/>
  <c r="BN267" i="2"/>
  <c r="BN285" i="2"/>
  <c r="BN359" i="2"/>
  <c r="BP380" i="2"/>
  <c r="BN23" i="2"/>
  <c r="Z37" i="2"/>
  <c r="Z38" i="2" s="1"/>
  <c r="BN37" i="2"/>
  <c r="Y39" i="2"/>
  <c r="BN53" i="2"/>
  <c r="BP68" i="2"/>
  <c r="BP69" i="2"/>
  <c r="BN74" i="2"/>
  <c r="BP88" i="2"/>
  <c r="BN93" i="2"/>
  <c r="BP102" i="2"/>
  <c r="BN103" i="2"/>
  <c r="BP112" i="2"/>
  <c r="BP113" i="2"/>
  <c r="Y122" i="2"/>
  <c r="BN131" i="2"/>
  <c r="Z136" i="2"/>
  <c r="BN151" i="2"/>
  <c r="Z188" i="2"/>
  <c r="BP192" i="2"/>
  <c r="BN193" i="2"/>
  <c r="Z197" i="2"/>
  <c r="Z198" i="2"/>
  <c r="Z249" i="2"/>
  <c r="Z307" i="2"/>
  <c r="BP321" i="2"/>
  <c r="BN361" i="2"/>
  <c r="Z380" i="2"/>
  <c r="Z381" i="2"/>
  <c r="BN381" i="2"/>
  <c r="Z396" i="2"/>
  <c r="Z397" i="2" s="1"/>
  <c r="Y397" i="2"/>
  <c r="BP402" i="2"/>
  <c r="BN412" i="2"/>
  <c r="BN429" i="2"/>
  <c r="BN449" i="2"/>
  <c r="BN455" i="2"/>
  <c r="Z466" i="2"/>
  <c r="BN447" i="2"/>
  <c r="BN353" i="2"/>
  <c r="BN229" i="2"/>
  <c r="Z224" i="2"/>
  <c r="BN224" i="2"/>
  <c r="Z218" i="2"/>
  <c r="Z208" i="2"/>
  <c r="Z210" i="2" s="1"/>
  <c r="BN208" i="2"/>
  <c r="Y211" i="2"/>
  <c r="Z170" i="2"/>
  <c r="Z171" i="2" s="1"/>
  <c r="BP170" i="2"/>
  <c r="Y172" i="2"/>
  <c r="Z156" i="2"/>
  <c r="BP135" i="2"/>
  <c r="BN114" i="2"/>
  <c r="Z88" i="2"/>
  <c r="Y71" i="2"/>
  <c r="BP59" i="2"/>
  <c r="BN468" i="2"/>
  <c r="BN434" i="2"/>
  <c r="BN423" i="2"/>
  <c r="Z421" i="2"/>
  <c r="BN410" i="2"/>
  <c r="BN386" i="2"/>
  <c r="BN376" i="2"/>
  <c r="Z375" i="2"/>
  <c r="BN341" i="2"/>
  <c r="Z340" i="2"/>
  <c r="Z332" i="2"/>
  <c r="BN325" i="2"/>
  <c r="BP325" i="2"/>
  <c r="Z322" i="2"/>
  <c r="Z319" i="2"/>
  <c r="BP313" i="2"/>
  <c r="BN300" i="2"/>
  <c r="P513" i="2"/>
  <c r="Z279" i="2"/>
  <c r="BP278" i="2"/>
  <c r="Z278" i="2"/>
  <c r="BN236" i="2"/>
  <c r="BN234" i="2"/>
  <c r="BP230" i="2"/>
  <c r="Z230" i="2"/>
  <c r="Z229" i="2"/>
  <c r="Z220" i="2"/>
  <c r="BP220" i="2"/>
  <c r="Z219" i="2"/>
  <c r="Z187" i="2"/>
  <c r="BP187" i="2"/>
  <c r="BN186" i="2"/>
  <c r="BN180" i="2"/>
  <c r="BN176" i="2"/>
  <c r="Z176" i="2"/>
  <c r="Z177" i="2" s="1"/>
  <c r="BN164" i="2"/>
  <c r="Z162" i="2"/>
  <c r="BN161" i="2"/>
  <c r="BP155" i="2"/>
  <c r="Z155" i="2"/>
  <c r="BN146" i="2"/>
  <c r="Y148" i="2"/>
  <c r="Z120" i="2"/>
  <c r="BN105" i="2"/>
  <c r="BN70" i="2"/>
  <c r="BN60" i="2"/>
  <c r="BN59" i="2"/>
  <c r="BP58" i="2"/>
  <c r="BN50" i="2"/>
  <c r="BN32" i="2"/>
  <c r="Z29" i="2"/>
  <c r="Z28" i="2"/>
  <c r="B513" i="2"/>
  <c r="BP28" i="2"/>
  <c r="X505" i="2"/>
  <c r="X507" i="2"/>
  <c r="BN27" i="2"/>
  <c r="BP33" i="2"/>
  <c r="BN158" i="2"/>
  <c r="BP158" i="2"/>
  <c r="BP185" i="2"/>
  <c r="Z299" i="2"/>
  <c r="Y303" i="2"/>
  <c r="BN299" i="2"/>
  <c r="Y55" i="2"/>
  <c r="Z51" i="2"/>
  <c r="BP75" i="2"/>
  <c r="BP80" i="2"/>
  <c r="Z80" i="2"/>
  <c r="BP92" i="2"/>
  <c r="Z110" i="2"/>
  <c r="BP119" i="2"/>
  <c r="Z140" i="2"/>
  <c r="Z160" i="2"/>
  <c r="BN160" i="2"/>
  <c r="Z185" i="2"/>
  <c r="BN225" i="2"/>
  <c r="BP225" i="2"/>
  <c r="Z225" i="2"/>
  <c r="BN235" i="2"/>
  <c r="BP235" i="2"/>
  <c r="Z235" i="2"/>
  <c r="BN294" i="2"/>
  <c r="Z294" i="2"/>
  <c r="BP330" i="2"/>
  <c r="BN330" i="2"/>
  <c r="Z330" i="2"/>
  <c r="BN454" i="2"/>
  <c r="Z454" i="2"/>
  <c r="Z94" i="2"/>
  <c r="BN94" i="2"/>
  <c r="Z104" i="2"/>
  <c r="BN104" i="2"/>
  <c r="BP110" i="2"/>
  <c r="Y143" i="2"/>
  <c r="BP159" i="2"/>
  <c r="Z159" i="2"/>
  <c r="BN233" i="2"/>
  <c r="BP233" i="2"/>
  <c r="BN387" i="2"/>
  <c r="Z387" i="2"/>
  <c r="Z419" i="2"/>
  <c r="BN419" i="2"/>
  <c r="Z22" i="2"/>
  <c r="BP22" i="2"/>
  <c r="Y24" i="2"/>
  <c r="Z61" i="2"/>
  <c r="BN61" i="2"/>
  <c r="X504" i="2"/>
  <c r="X503" i="2"/>
  <c r="BP29" i="2"/>
  <c r="Z32" i="2"/>
  <c r="BN33" i="2"/>
  <c r="Y45" i="2"/>
  <c r="Z75" i="2"/>
  <c r="Z76" i="2" s="1"/>
  <c r="Z92" i="2"/>
  <c r="Y96" i="2"/>
  <c r="Y108" i="2"/>
  <c r="BP106" i="2"/>
  <c r="Z106" i="2"/>
  <c r="Z119" i="2"/>
  <c r="BN159" i="2"/>
  <c r="BP165" i="2"/>
  <c r="Z165" i="2"/>
  <c r="BN191" i="2"/>
  <c r="BP191" i="2"/>
  <c r="Z191" i="2"/>
  <c r="BN223" i="2"/>
  <c r="BP223" i="2"/>
  <c r="M513" i="2"/>
  <c r="Z275" i="2"/>
  <c r="BN286" i="2"/>
  <c r="Z286" i="2"/>
  <c r="BN335" i="2"/>
  <c r="BP335" i="2"/>
  <c r="Z335" i="2"/>
  <c r="BN342" i="2"/>
  <c r="Z342" i="2"/>
  <c r="BN368" i="2"/>
  <c r="BP368" i="2"/>
  <c r="Z368" i="2"/>
  <c r="BN377" i="2"/>
  <c r="Z377" i="2"/>
  <c r="Y388" i="2"/>
  <c r="Z469" i="2"/>
  <c r="BN469" i="2"/>
  <c r="Z87" i="2"/>
  <c r="BN87" i="2"/>
  <c r="H513" i="2"/>
  <c r="Z130" i="2"/>
  <c r="BP140" i="2"/>
  <c r="BP163" i="2"/>
  <c r="Z163" i="2"/>
  <c r="BN252" i="2"/>
  <c r="Z252" i="2"/>
  <c r="BN268" i="2"/>
  <c r="BP268" i="2"/>
  <c r="Z268" i="2"/>
  <c r="BN324" i="2"/>
  <c r="BP324" i="2"/>
  <c r="Y473" i="2"/>
  <c r="BN467" i="2"/>
  <c r="Y34" i="2"/>
  <c r="BN22" i="2"/>
  <c r="BP23" i="2"/>
  <c r="Y25" i="2"/>
  <c r="BP31" i="2"/>
  <c r="BN43" i="2"/>
  <c r="Y65" i="2"/>
  <c r="Y89" i="2"/>
  <c r="BP87" i="2"/>
  <c r="BP94" i="2"/>
  <c r="BP104" i="2"/>
  <c r="Z166" i="2"/>
  <c r="BN166" i="2"/>
  <c r="BP252" i="2"/>
  <c r="BN266" i="2"/>
  <c r="BP266" i="2"/>
  <c r="BP299" i="2"/>
  <c r="BP360" i="2"/>
  <c r="Z360" i="2"/>
  <c r="BP387" i="2"/>
  <c r="Z411" i="2"/>
  <c r="Z413" i="2" s="1"/>
  <c r="BN411" i="2"/>
  <c r="BP419" i="2"/>
  <c r="BN456" i="2"/>
  <c r="BP456" i="2"/>
  <c r="Z456" i="2"/>
  <c r="BP467" i="2"/>
  <c r="BP53" i="2"/>
  <c r="BP60" i="2"/>
  <c r="BP70" i="2"/>
  <c r="Y76" i="2"/>
  <c r="Y115" i="2"/>
  <c r="BP114" i="2"/>
  <c r="Y123" i="2"/>
  <c r="BP131" i="2"/>
  <c r="BP151" i="2"/>
  <c r="BP156" i="2"/>
  <c r="BP161" i="2"/>
  <c r="BN170" i="2"/>
  <c r="BP198" i="2"/>
  <c r="BP209" i="2"/>
  <c r="BN214" i="2"/>
  <c r="Y226" i="2"/>
  <c r="BN238" i="2"/>
  <c r="BP243" i="2"/>
  <c r="BP249" i="2"/>
  <c r="BP254" i="2"/>
  <c r="BN262" i="2"/>
  <c r="BN269" i="2"/>
  <c r="BP277" i="2"/>
  <c r="BN279" i="2"/>
  <c r="Y308" i="2"/>
  <c r="Y316" i="2"/>
  <c r="BN314" i="2"/>
  <c r="BN331" i="2"/>
  <c r="BP332" i="2"/>
  <c r="BP339" i="2"/>
  <c r="BP353" i="2"/>
  <c r="BN354" i="2"/>
  <c r="Y363" i="2"/>
  <c r="BP374" i="2"/>
  <c r="Y393" i="2"/>
  <c r="V513" i="2"/>
  <c r="BP422" i="2"/>
  <c r="BP428" i="2"/>
  <c r="Y430" i="2"/>
  <c r="Y457" i="2"/>
  <c r="BP448" i="2"/>
  <c r="BP50" i="2"/>
  <c r="Z62" i="2"/>
  <c r="BP93" i="2"/>
  <c r="Y97" i="2"/>
  <c r="G513" i="2"/>
  <c r="BP100" i="2"/>
  <c r="Z103" i="2"/>
  <c r="BP105" i="2"/>
  <c r="Z118" i="2"/>
  <c r="BP120" i="2"/>
  <c r="Z141" i="2"/>
  <c r="BP164" i="2"/>
  <c r="Z186" i="2"/>
  <c r="BP188" i="2"/>
  <c r="BP193" i="2"/>
  <c r="BP221" i="2"/>
  <c r="BP231" i="2"/>
  <c r="Z234" i="2"/>
  <c r="Z237" i="2"/>
  <c r="Y264" i="2"/>
  <c r="Z267" i="2"/>
  <c r="Z270" i="2"/>
  <c r="Y280" i="2"/>
  <c r="Z285" i="2"/>
  <c r="Y288" i="2"/>
  <c r="BN307" i="2"/>
  <c r="BP322" i="2"/>
  <c r="BP329" i="2"/>
  <c r="BP334" i="2"/>
  <c r="Z339" i="2"/>
  <c r="BN340" i="2"/>
  <c r="Z341" i="2"/>
  <c r="Y343" i="2"/>
  <c r="BP359" i="2"/>
  <c r="Z361" i="2"/>
  <c r="BP367" i="2"/>
  <c r="Z374" i="2"/>
  <c r="BN375" i="2"/>
  <c r="Z376" i="2"/>
  <c r="BN385" i="2"/>
  <c r="Z386" i="2"/>
  <c r="BN396" i="2"/>
  <c r="BP410" i="2"/>
  <c r="W513" i="2"/>
  <c r="BP418" i="2"/>
  <c r="BN421" i="2"/>
  <c r="Y425" i="2"/>
  <c r="Z434" i="2"/>
  <c r="Z435" i="2" s="1"/>
  <c r="BP434" i="2"/>
  <c r="Z446" i="2"/>
  <c r="BP468" i="2"/>
  <c r="Y201" i="2"/>
  <c r="BN209" i="2"/>
  <c r="Z214" i="2"/>
  <c r="BP218" i="2"/>
  <c r="Z221" i="2"/>
  <c r="BP236" i="2"/>
  <c r="Z238" i="2"/>
  <c r="BP262" i="2"/>
  <c r="BP269" i="2"/>
  <c r="Y289" i="2"/>
  <c r="Z306" i="2"/>
  <c r="Y309" i="2"/>
  <c r="Z314" i="2"/>
  <c r="BP319" i="2"/>
  <c r="Z329" i="2"/>
  <c r="Z331" i="2"/>
  <c r="Y357" i="2"/>
  <c r="BP352" i="2"/>
  <c r="Y362" i="2"/>
  <c r="Y370" i="2"/>
  <c r="Y389" i="2"/>
  <c r="Y398" i="2"/>
  <c r="Y413" i="2"/>
  <c r="Z420" i="2"/>
  <c r="BN422" i="2"/>
  <c r="BP423" i="2"/>
  <c r="BN424" i="2"/>
  <c r="BN428" i="2"/>
  <c r="BP429" i="2"/>
  <c r="Y431" i="2"/>
  <c r="BP447" i="2"/>
  <c r="BN448" i="2"/>
  <c r="Z455" i="2"/>
  <c r="Z490" i="2"/>
  <c r="Z491" i="2" s="1"/>
  <c r="Y81" i="2"/>
  <c r="Y90" i="2"/>
  <c r="BP190" i="2"/>
  <c r="BP213" i="2"/>
  <c r="BP495" i="2"/>
  <c r="I513" i="2"/>
  <c r="Y116" i="2"/>
  <c r="Z183" i="2"/>
  <c r="Y227" i="2"/>
  <c r="Y239" i="2"/>
  <c r="Y281" i="2"/>
  <c r="Z292" i="2"/>
  <c r="Z347" i="2"/>
  <c r="Y383" i="2"/>
  <c r="Z392" i="2"/>
  <c r="Z440" i="2"/>
  <c r="Z452" i="2"/>
  <c r="Z462" i="2"/>
  <c r="Z472" i="2"/>
  <c r="Y479" i="2"/>
  <c r="Z486" i="2"/>
  <c r="Z487" i="2" s="1"/>
  <c r="Y491" i="2"/>
  <c r="J513" i="2"/>
  <c r="Y35" i="2"/>
  <c r="Y64" i="2"/>
  <c r="Y72" i="2"/>
  <c r="Z125" i="2"/>
  <c r="Z126" i="2" s="1"/>
  <c r="Z203" i="2"/>
  <c r="Z204" i="2" s="1"/>
  <c r="BP43" i="2"/>
  <c r="Y77" i="2"/>
  <c r="BN100" i="2"/>
  <c r="BP146" i="2"/>
  <c r="BP166" i="2"/>
  <c r="BP180" i="2"/>
  <c r="Y244" i="2"/>
  <c r="Y255" i="2"/>
  <c r="Z262" i="2"/>
  <c r="Z263" i="2" s="1"/>
  <c r="BN275" i="2"/>
  <c r="BP300" i="2"/>
  <c r="Z352" i="2"/>
  <c r="BP354" i="2"/>
  <c r="Y403" i="2"/>
  <c r="BP412" i="2"/>
  <c r="BP424" i="2"/>
  <c r="Y436" i="2"/>
  <c r="BP449" i="2"/>
  <c r="Y458" i="2"/>
  <c r="Z467" i="2"/>
  <c r="BP469" i="2"/>
  <c r="Y496" i="2"/>
  <c r="K513" i="2"/>
  <c r="Y82" i="2"/>
  <c r="BN125" i="2"/>
  <c r="BN183" i="2"/>
  <c r="BN203" i="2"/>
  <c r="BN292" i="2"/>
  <c r="Y295" i="2"/>
  <c r="Y304" i="2"/>
  <c r="BN347" i="2"/>
  <c r="BN392" i="2"/>
  <c r="BN440" i="2"/>
  <c r="BN452" i="2"/>
  <c r="BN462" i="2"/>
  <c r="BN472" i="2"/>
  <c r="BN486" i="2"/>
  <c r="L513" i="2"/>
  <c r="Y167" i="2"/>
  <c r="Y240" i="2"/>
  <c r="Y480" i="2"/>
  <c r="Y492" i="2"/>
  <c r="Z44" i="2"/>
  <c r="Z45" i="2" s="1"/>
  <c r="Z79" i="2"/>
  <c r="BP125" i="2"/>
  <c r="Z147" i="2"/>
  <c r="Z148" i="2" s="1"/>
  <c r="Z181" i="2"/>
  <c r="Y194" i="2"/>
  <c r="BP203" i="2"/>
  <c r="Y245" i="2"/>
  <c r="Y256" i="2"/>
  <c r="BP292" i="2"/>
  <c r="Z301" i="2"/>
  <c r="Z355" i="2"/>
  <c r="BP392" i="2"/>
  <c r="Y404" i="2"/>
  <c r="Z438" i="2"/>
  <c r="Z450" i="2"/>
  <c r="Z460" i="2"/>
  <c r="Z470" i="2"/>
  <c r="BP486" i="2"/>
  <c r="Y497" i="2"/>
  <c r="O513" i="2"/>
  <c r="Y296" i="2"/>
  <c r="Z30" i="2"/>
  <c r="Z67" i="2"/>
  <c r="Z111" i="2"/>
  <c r="Z121" i="2"/>
  <c r="Z189" i="2"/>
  <c r="Z199" i="2"/>
  <c r="Y204" i="2"/>
  <c r="Z222" i="2"/>
  <c r="Z232" i="2"/>
  <c r="Z253" i="2"/>
  <c r="Z276" i="2"/>
  <c r="Z287" i="2"/>
  <c r="BN301" i="2"/>
  <c r="Z312" i="2"/>
  <c r="Z323" i="2"/>
  <c r="Z333" i="2"/>
  <c r="BN355" i="2"/>
  <c r="Z366" i="2"/>
  <c r="Z378" i="2"/>
  <c r="Z401" i="2"/>
  <c r="Y414" i="2"/>
  <c r="Y426" i="2"/>
  <c r="BN438" i="2"/>
  <c r="Y441" i="2"/>
  <c r="BN450" i="2"/>
  <c r="BN460" i="2"/>
  <c r="Y463" i="2"/>
  <c r="BN470" i="2"/>
  <c r="Z482" i="2"/>
  <c r="Z483" i="2" s="1"/>
  <c r="Y487" i="2"/>
  <c r="Z494" i="2"/>
  <c r="Q513" i="2"/>
  <c r="Y126" i="2"/>
  <c r="BN147" i="2"/>
  <c r="Z157" i="2"/>
  <c r="Y168" i="2"/>
  <c r="BN181" i="2"/>
  <c r="Z242" i="2"/>
  <c r="BP27" i="2"/>
  <c r="BP37" i="2"/>
  <c r="BN51" i="2"/>
  <c r="Y54" i="2"/>
  <c r="BN62" i="2"/>
  <c r="BP74" i="2"/>
  <c r="BN85" i="2"/>
  <c r="BN95" i="2"/>
  <c r="BN106" i="2"/>
  <c r="BP118" i="2"/>
  <c r="Y132" i="2"/>
  <c r="Y153" i="2"/>
  <c r="BN162" i="2"/>
  <c r="BP176" i="2"/>
  <c r="Z184" i="2"/>
  <c r="Y195" i="2"/>
  <c r="Y210" i="2"/>
  <c r="BP219" i="2"/>
  <c r="BN237" i="2"/>
  <c r="Z248" i="2"/>
  <c r="Z258" i="2"/>
  <c r="Z259" i="2" s="1"/>
  <c r="BN270" i="2"/>
  <c r="BP284" i="2"/>
  <c r="Z293" i="2"/>
  <c r="BN306" i="2"/>
  <c r="Z348" i="2"/>
  <c r="BN360" i="2"/>
  <c r="BP385" i="2"/>
  <c r="Z406" i="2"/>
  <c r="Z407" i="2" s="1"/>
  <c r="BN420" i="2"/>
  <c r="Z453" i="2"/>
  <c r="Z500" i="2"/>
  <c r="Z501" i="2" s="1"/>
  <c r="R513" i="2"/>
  <c r="BN30" i="2"/>
  <c r="BP44" i="2"/>
  <c r="BN67" i="2"/>
  <c r="BP79" i="2"/>
  <c r="BN101" i="2"/>
  <c r="BN111" i="2"/>
  <c r="BN121" i="2"/>
  <c r="Y137" i="2"/>
  <c r="BP147" i="2"/>
  <c r="BN157" i="2"/>
  <c r="BN189" i="2"/>
  <c r="BN199" i="2"/>
  <c r="Y215" i="2"/>
  <c r="BN222" i="2"/>
  <c r="BN232" i="2"/>
  <c r="BN242" i="2"/>
  <c r="BN253" i="2"/>
  <c r="BN276" i="2"/>
  <c r="BN287" i="2"/>
  <c r="BN312" i="2"/>
  <c r="Y315" i="2"/>
  <c r="BN323" i="2"/>
  <c r="Y326" i="2"/>
  <c r="BN333" i="2"/>
  <c r="Y336" i="2"/>
  <c r="Y344" i="2"/>
  <c r="BN366" i="2"/>
  <c r="Y369" i="2"/>
  <c r="BN378" i="2"/>
  <c r="BN401" i="2"/>
  <c r="BP438" i="2"/>
  <c r="BP460" i="2"/>
  <c r="BN482" i="2"/>
  <c r="BN494" i="2"/>
  <c r="S513" i="2"/>
  <c r="BN44" i="2"/>
  <c r="Z101" i="2"/>
  <c r="BP51" i="2"/>
  <c r="BP85" i="2"/>
  <c r="BP95" i="2"/>
  <c r="Y142" i="2"/>
  <c r="BN184" i="2"/>
  <c r="BN248" i="2"/>
  <c r="BN258" i="2"/>
  <c r="BN293" i="2"/>
  <c r="BN348" i="2"/>
  <c r="Y394" i="2"/>
  <c r="BN406" i="2"/>
  <c r="Z418" i="2"/>
  <c r="BN453" i="2"/>
  <c r="Y474" i="2"/>
  <c r="BN500" i="2"/>
  <c r="T513" i="2"/>
  <c r="BP67" i="2"/>
  <c r="BP101" i="2"/>
  <c r="BP111" i="2"/>
  <c r="BP121" i="2"/>
  <c r="Y133" i="2"/>
  <c r="BP199" i="2"/>
  <c r="BP276" i="2"/>
  <c r="BP287" i="2"/>
  <c r="BP312" i="2"/>
  <c r="Y356" i="2"/>
  <c r="BP366" i="2"/>
  <c r="BP401" i="2"/>
  <c r="BP482" i="2"/>
  <c r="U513" i="2"/>
  <c r="Y107" i="2"/>
  <c r="Y138" i="2"/>
  <c r="Z182" i="2"/>
  <c r="Y216" i="2"/>
  <c r="BP258" i="2"/>
  <c r="Y271" i="2"/>
  <c r="Z302" i="2"/>
  <c r="Y327" i="2"/>
  <c r="Y337" i="2"/>
  <c r="Z346" i="2"/>
  <c r="Z391" i="2"/>
  <c r="BP406" i="2"/>
  <c r="Z439" i="2"/>
  <c r="Z451" i="2"/>
  <c r="Z461" i="2"/>
  <c r="Z471" i="2"/>
  <c r="BP500" i="2"/>
  <c r="C513" i="2"/>
  <c r="Y483" i="2"/>
  <c r="D513" i="2"/>
  <c r="Z86" i="2"/>
  <c r="Y200" i="2"/>
  <c r="H9" i="2"/>
  <c r="Z31" i="2"/>
  <c r="Y46" i="2"/>
  <c r="Z58" i="2"/>
  <c r="Z68" i="2"/>
  <c r="BN80" i="2"/>
  <c r="Z102" i="2"/>
  <c r="Z112" i="2"/>
  <c r="Z135" i="2"/>
  <c r="Y149" i="2"/>
  <c r="Z158" i="2"/>
  <c r="BN182" i="2"/>
  <c r="Z190" i="2"/>
  <c r="Z213" i="2"/>
  <c r="Z215" i="2" s="1"/>
  <c r="Z223" i="2"/>
  <c r="Z233" i="2"/>
  <c r="Z243" i="2"/>
  <c r="Z254" i="2"/>
  <c r="Y259" i="2"/>
  <c r="Z266" i="2"/>
  <c r="Z277" i="2"/>
  <c r="BN302" i="2"/>
  <c r="Z313" i="2"/>
  <c r="Z324" i="2"/>
  <c r="Z334" i="2"/>
  <c r="BN346" i="2"/>
  <c r="Y349" i="2"/>
  <c r="Z367" i="2"/>
  <c r="Z379" i="2"/>
  <c r="BN391" i="2"/>
  <c r="Z402" i="2"/>
  <c r="Y407" i="2"/>
  <c r="BN439" i="2"/>
  <c r="BN451" i="2"/>
  <c r="BN461" i="2"/>
  <c r="BN471" i="2"/>
  <c r="Z495" i="2"/>
  <c r="Y501" i="2"/>
  <c r="E513" i="2"/>
  <c r="X513" i="2"/>
  <c r="BN86" i="2"/>
  <c r="BN130" i="2"/>
  <c r="Y272" i="2"/>
  <c r="BN466" i="2"/>
  <c r="BN478" i="2"/>
  <c r="BN490" i="2"/>
  <c r="F513" i="2"/>
  <c r="Y513" i="2"/>
  <c r="J9" i="2"/>
  <c r="BN63" i="2"/>
  <c r="BP346" i="2"/>
  <c r="Y382" i="2"/>
  <c r="Z513" i="2"/>
  <c r="F9" i="2"/>
  <c r="Z52" i="2"/>
  <c r="Z63" i="2"/>
  <c r="BN52" i="2"/>
  <c r="A10" i="2"/>
  <c r="BP130" i="2"/>
  <c r="BP446" i="2"/>
  <c r="Y502" i="2"/>
  <c r="Z388" i="2" l="1"/>
  <c r="Z200" i="2"/>
  <c r="Z24" i="2"/>
  <c r="Z137" i="2"/>
  <c r="Z96" i="2"/>
  <c r="Z54" i="2"/>
  <c r="Z308" i="2"/>
  <c r="Z132" i="2"/>
  <c r="Z393" i="2"/>
  <c r="Z89" i="2"/>
  <c r="Z271" i="2"/>
  <c r="Z457" i="2"/>
  <c r="Z34" i="2"/>
  <c r="Z362" i="2"/>
  <c r="Z226" i="2"/>
  <c r="Z336" i="2"/>
  <c r="X506" i="2"/>
  <c r="Z303" i="2"/>
  <c r="Z239" i="2"/>
  <c r="Z64" i="2"/>
  <c r="Z349" i="2"/>
  <c r="Z425" i="2"/>
  <c r="Z107" i="2"/>
  <c r="Y504" i="2"/>
  <c r="Z403" i="2"/>
  <c r="Z288" i="2"/>
  <c r="Z122" i="2"/>
  <c r="Z81" i="2"/>
  <c r="Z473" i="2"/>
  <c r="Z356" i="2"/>
  <c r="Y503" i="2"/>
  <c r="Z142" i="2"/>
  <c r="Y505" i="2"/>
  <c r="Z167" i="2"/>
  <c r="Z382" i="2"/>
  <c r="Z326" i="2"/>
  <c r="Z280" i="2"/>
  <c r="Z115" i="2"/>
  <c r="Z194" i="2"/>
  <c r="Z343" i="2"/>
  <c r="Z255" i="2"/>
  <c r="Y507" i="2"/>
  <c r="Z244" i="2"/>
  <c r="Z369" i="2"/>
  <c r="Z71" i="2"/>
  <c r="Z315" i="2"/>
  <c r="Z496" i="2"/>
  <c r="Z463" i="2"/>
  <c r="Z441" i="2"/>
  <c r="Z295" i="2"/>
  <c r="Y506" i="2" l="1"/>
  <c r="Z508" i="2"/>
</calcChain>
</file>

<file path=xl/sharedStrings.xml><?xml version="1.0" encoding="utf-8"?>
<sst xmlns="http://schemas.openxmlformats.org/spreadsheetml/2006/main" count="3790" uniqueCount="807">
  <si>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</si>
  <si>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</si>
  <si>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</si>
  <si>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</si>
  <si>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</si>
  <si>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</si>
  <si>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</si>
  <si>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</si>
  <si>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</si>
  <si>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</si>
  <si>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</si>
  <si>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</si>
  <si>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</si>
  <si>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</si>
  <si>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</si>
  <si>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</si>
  <si>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</si>
  <si>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</si>
  <si>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</si>
  <si>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</si>
  <si>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</si>
  <si>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</si>
  <si>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</si>
  <si>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</si>
  <si>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</si>
  <si>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</si>
  <si>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</si>
  <si>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</si>
  <si>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</si>
  <si>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</si>
  <si>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</si>
  <si>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</si>
  <si>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</si>
  <si>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</si>
  <si>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</si>
  <si>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</si>
  <si>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</si>
  <si>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</si>
  <si>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</si>
  <si>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</si>
  <si>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</si>
  <si>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</si>
  <si>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</si>
  <si>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</si>
  <si>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</si>
  <si>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</si>
  <si>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</si>
  <si>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</si>
  <si>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</si>
  <si>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</si>
  <si>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</si>
  <si>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</si>
  <si>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</si>
  <si>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</si>
  <si>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</si>
  <si>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</si>
  <si>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</si>
  <si>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</si>
  <si>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</si>
  <si>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</si>
  <si>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</si>
  <si>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</si>
  <si>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</si>
  <si>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</si>
  <si>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</si>
  <si>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</si>
  <si>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</si>
  <si>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</si>
  <si>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11.05.2026</t>
  </si>
  <si>
    <t>06.05.2026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</si>
  <si>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</si>
  <si>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</si>
  <si>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</si>
  <si>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</si>
  <si>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</si>
  <si>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</si>
  <si>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</si>
  <si>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</si>
  <si>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</si>
  <si>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</si>
  <si>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</si>
  <si>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</si>
  <si>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</si>
  <si>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</si>
  <si>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</si>
  <si>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</si>
  <si>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</si>
  <si>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</si>
  <si>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</si>
  <si>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</si>
  <si>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</si>
  <si>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</si>
  <si>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</si>
  <si>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</si>
  <si>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</si>
  <si>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</si>
  <si>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</si>
  <si>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</si>
  <si>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</si>
  <si>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</si>
  <si>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</si>
  <si>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</si>
  <si>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</si>
  <si>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</si>
  <si>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</si>
  <si>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</si>
  <si>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</si>
  <si>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</si>
  <si>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</si>
  <si>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</si>
  <si>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</si>
  <si>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</si>
  <si>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</si>
  <si>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</si>
  <si>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</si>
  <si>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</si>
  <si>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</si>
  <si>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</si>
  <si>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</si>
  <si>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</si>
  <si>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</si>
  <si>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</si>
  <si>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</si>
  <si>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</si>
  <si>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</si>
  <si>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</si>
  <si>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</si>
  <si>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</si>
  <si>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</si>
  <si>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</si>
  <si>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</si>
  <si>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</si>
  <si>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</si>
  <si>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</si>
  <si>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</si>
  <si>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</si>
  <si>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</si>
  <si>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</si>
  <si>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</si>
  <si>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</si>
  <si>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</si>
  <si>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</si>
  <si>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</si>
  <si>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</si>
  <si>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</si>
  <si>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</si>
  <si>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</si>
  <si>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</si>
  <si>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</si>
  <si>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</si>
  <si>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</si>
  <si>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</si>
  <si>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</si>
  <si>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</si>
  <si>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</si>
  <si>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</si>
  <si>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</si>
  <si>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</si>
  <si>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</si>
  <si>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</si>
  <si>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</si>
  <si>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</si>
  <si>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</si>
  <si>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</si>
  <si>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</si>
  <si>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</si>
  <si>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</si>
  <si>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</si>
  <si>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</si>
  <si>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</si>
  <si>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</si>
  <si>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</si>
  <si>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</si>
  <si>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</si>
  <si>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</si>
  <si>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</si>
  <si>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</si>
  <si>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</si>
  <si>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</si>
  <si>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</si>
  <si>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</si>
  <si>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</si>
  <si>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</si>
  <si>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</si>
  <si>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</si>
  <si>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</si>
  <si>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</si>
  <si>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</si>
  <si>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</si>
  <si>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</si>
  <si>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</si>
  <si>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</si>
  <si>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</si>
  <si>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</si>
  <si>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</si>
  <si>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</si>
  <si>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</si>
  <si>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</si>
  <si>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</si>
  <si>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</si>
  <si>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</si>
  <si>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</si>
  <si>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</si>
  <si>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</si>
  <si>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</si>
  <si>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</si>
  <si>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</si>
  <si>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</si>
  <si>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</si>
  <si>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</si>
  <si>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</si>
  <si>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</si>
  <si>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</si>
  <si>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</si>
  <si>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</si>
  <si>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</si>
  <si>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</si>
  <si>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</si>
  <si>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</si>
  <si>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</si>
  <si>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</si>
  <si>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</si>
  <si>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</si>
  <si>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</si>
  <si>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</si>
  <si>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</si>
  <si>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</si>
  <si>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</si>
  <si>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</si>
  <si>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</si>
  <si>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</si>
  <si>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</si>
  <si>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</si>
  <si>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</si>
  <si>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</si>
  <si>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</si>
  <si>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</si>
  <si>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</si>
  <si>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</si>
  <si>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</si>
  <si>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</si>
  <si>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</si>
  <si>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</si>
  <si>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</si>
  <si>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</si>
  <si>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</si>
  <si>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</si>
  <si>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</si>
  <si>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</si>
  <si>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</si>
  <si>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</si>
  <si>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</si>
  <si>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</si>
  <si>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</si>
  <si>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</si>
  <si>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</si>
  <si>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</si>
  <si>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</si>
  <si>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</si>
  <si>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</si>
  <si>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</si>
  <si>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</si>
  <si>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</si>
  <si>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</si>
  <si>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</si>
  <si>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</si>
  <si>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</si>
  <si>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</si>
  <si>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</si>
  <si>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P005375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</si>
  <si>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</si>
  <si>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</si>
  <si>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</si>
  <si>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</si>
  <si>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</si>
  <si>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</si>
  <si>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P005377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</si>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</sst>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9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3"/>
  <sheetViews>
    <sheetView showGridLines="0" tabSelected="1" topLeftCell="E491" zoomScaleNormal="100" zoomScaleSheetLayoutView="100" workbookViewId="0">
      <selection activeCell="P505" sqref="A505:XFD50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75" t="s">
        <v>26</v>
      </c>
      <c r="E1" s="575"/>
      <c r="F1" s="575"/>
      <c r="G1" s="14" t="s">
        <v>67</v>
      </c>
      <c r="H1" s="575" t="s">
        <v>47</v>
      </c>
      <c r="I1" s="575"/>
      <c r="J1" s="575"/>
      <c r="K1" s="575"/>
      <c r="L1" s="575"/>
      <c r="M1" s="575"/>
      <c r="N1" s="575"/>
      <c r="O1" s="575"/>
      <c r="P1" s="575"/>
      <c r="Q1" s="575"/>
      <c r="R1" s="576" t="s">
        <v>68</v>
      </c>
      <c r="S1" s="577"/>
      <c r="T1" s="57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8"/>
      <c r="R2" s="578"/>
      <c r="S2" s="578"/>
      <c r="T2" s="578"/>
      <c r="U2" s="578"/>
      <c r="V2" s="578"/>
      <c r="W2" s="57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78"/>
      <c r="Q3" s="578"/>
      <c r="R3" s="578"/>
      <c r="S3" s="578"/>
      <c r="T3" s="578"/>
      <c r="U3" s="578"/>
      <c r="V3" s="578"/>
      <c r="W3" s="57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79" t="s">
        <v>8</v>
      </c>
      <c r="B5" s="579"/>
      <c r="C5" s="579"/>
      <c r="D5" s="580"/>
      <c r="E5" s="580"/>
      <c r="F5" s="581" t="s">
        <v>14</v>
      </c>
      <c r="G5" s="581"/>
      <c r="H5" s="580"/>
      <c r="I5" s="580"/>
      <c r="J5" s="580"/>
      <c r="K5" s="580"/>
      <c r="L5" s="580"/>
      <c r="M5" s="580"/>
      <c r="N5" s="69"/>
      <c r="P5" s="26" t="s">
        <v>4</v>
      </c>
      <c r="Q5" s="582">
        <v>46156</v>
      </c>
      <c r="R5" s="582"/>
      <c r="T5" s="583" t="s">
        <v>3</v>
      </c>
      <c r="U5" s="584"/>
      <c r="V5" s="585" t="s">
        <v>783</v>
      </c>
      <c r="W5" s="586"/>
      <c r="AB5" s="57"/>
      <c r="AC5" s="57"/>
      <c r="AD5" s="57"/>
      <c r="AE5" s="57"/>
    </row>
    <row r="6" spans="1:32" s="17" customFormat="1" ht="24" customHeight="1" x14ac:dyDescent="0.2">
      <c r="A6" s="579" t="s">
        <v>1</v>
      </c>
      <c r="B6" s="579"/>
      <c r="C6" s="579"/>
      <c r="D6" s="587" t="s">
        <v>790</v>
      </c>
      <c r="E6" s="587"/>
      <c r="F6" s="587"/>
      <c r="G6" s="587"/>
      <c r="H6" s="587"/>
      <c r="I6" s="587"/>
      <c r="J6" s="587"/>
      <c r="K6" s="587"/>
      <c r="L6" s="587"/>
      <c r="M6" s="587"/>
      <c r="N6" s="70"/>
      <c r="P6" s="26" t="s">
        <v>27</v>
      </c>
      <c r="Q6" s="588" t="str">
        <f>IF(Q5=0," ",CHOOSE(WEEKDAY(Q5,2),"Понедельник","Вторник","Среда","Четверг","Пятница","Суббота","Воскресенье"))</f>
        <v>Четверг</v>
      </c>
      <c r="R6" s="588"/>
      <c r="T6" s="589" t="s">
        <v>5</v>
      </c>
      <c r="U6" s="590"/>
      <c r="V6" s="591" t="s">
        <v>70</v>
      </c>
      <c r="W6" s="59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97" t="str">
        <f>IFERROR(VLOOKUP(DeliveryAddress,Table,3,0),1)</f>
        <v>3</v>
      </c>
      <c r="E7" s="598"/>
      <c r="F7" s="598"/>
      <c r="G7" s="598"/>
      <c r="H7" s="598"/>
      <c r="I7" s="598"/>
      <c r="J7" s="598"/>
      <c r="K7" s="598"/>
      <c r="L7" s="598"/>
      <c r="M7" s="599"/>
      <c r="N7" s="71"/>
      <c r="P7" s="26"/>
      <c r="Q7" s="46"/>
      <c r="R7" s="46"/>
      <c r="T7" s="589"/>
      <c r="U7" s="590"/>
      <c r="V7" s="593"/>
      <c r="W7" s="594"/>
      <c r="AB7" s="57"/>
      <c r="AC7" s="57"/>
      <c r="AD7" s="57"/>
      <c r="AE7" s="57"/>
    </row>
    <row r="8" spans="1:32" s="17" customFormat="1" ht="25.5" customHeight="1" x14ac:dyDescent="0.2">
      <c r="A8" s="600" t="s">
        <v>58</v>
      </c>
      <c r="B8" s="600"/>
      <c r="C8" s="600"/>
      <c r="D8" s="601"/>
      <c r="E8" s="601"/>
      <c r="F8" s="601"/>
      <c r="G8" s="601"/>
      <c r="H8" s="601"/>
      <c r="I8" s="601"/>
      <c r="J8" s="601"/>
      <c r="K8" s="601"/>
      <c r="L8" s="601"/>
      <c r="M8" s="601"/>
      <c r="N8" s="72"/>
      <c r="P8" s="26" t="s">
        <v>11</v>
      </c>
      <c r="Q8" s="602">
        <v>0.41666666666666669</v>
      </c>
      <c r="R8" s="602"/>
      <c r="T8" s="589"/>
      <c r="U8" s="590"/>
      <c r="V8" s="593"/>
      <c r="W8" s="594"/>
      <c r="AB8" s="57"/>
      <c r="AC8" s="57"/>
      <c r="AD8" s="57"/>
      <c r="AE8" s="57"/>
    </row>
    <row r="9" spans="1:32" s="17" customFormat="1" ht="39.950000000000003" customHeight="1" x14ac:dyDescent="0.2">
      <c r="A9" s="6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3"/>
      <c r="C9" s="603"/>
      <c r="D9" s="604" t="s">
        <v>46</v>
      </c>
      <c r="E9" s="605"/>
      <c r="F9" s="6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3"/>
      <c r="H9" s="606" t="str">
        <f>IF(AND($A$9="Тип доверенности/получателя при получении в адресе перегруза:",$D$9="Разовая доверенность"),"Введите ФИО","")</f>
        <v/>
      </c>
      <c r="I9" s="606"/>
      <c r="J9" s="6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6"/>
      <c r="L9" s="606"/>
      <c r="M9" s="606"/>
      <c r="N9" s="67"/>
      <c r="P9" s="29" t="s">
        <v>15</v>
      </c>
      <c r="Q9" s="607"/>
      <c r="R9" s="607"/>
      <c r="T9" s="589"/>
      <c r="U9" s="590"/>
      <c r="V9" s="595"/>
      <c r="W9" s="59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3"/>
      <c r="C10" s="603"/>
      <c r="D10" s="604"/>
      <c r="E10" s="605"/>
      <c r="F10" s="6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3"/>
      <c r="H10" s="608" t="str">
        <f>IFERROR(VLOOKUP($D$10,Proxy,2,FALSE),"")</f>
        <v/>
      </c>
      <c r="I10" s="608"/>
      <c r="J10" s="608"/>
      <c r="K10" s="608"/>
      <c r="L10" s="608"/>
      <c r="M10" s="608"/>
      <c r="N10" s="68"/>
      <c r="P10" s="29" t="s">
        <v>32</v>
      </c>
      <c r="Q10" s="609"/>
      <c r="R10" s="609"/>
      <c r="U10" s="26" t="s">
        <v>12</v>
      </c>
      <c r="V10" s="610" t="s">
        <v>71</v>
      </c>
      <c r="W10" s="61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12"/>
      <c r="R11" s="612"/>
      <c r="U11" s="26" t="s">
        <v>28</v>
      </c>
      <c r="V11" s="613" t="s">
        <v>55</v>
      </c>
      <c r="W11" s="61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14" t="s">
        <v>72</v>
      </c>
      <c r="B12" s="614"/>
      <c r="C12" s="614"/>
      <c r="D12" s="614"/>
      <c r="E12" s="614"/>
      <c r="F12" s="614"/>
      <c r="G12" s="614"/>
      <c r="H12" s="614"/>
      <c r="I12" s="614"/>
      <c r="J12" s="614"/>
      <c r="K12" s="614"/>
      <c r="L12" s="614"/>
      <c r="M12" s="614"/>
      <c r="N12" s="73"/>
      <c r="P12" s="26" t="s">
        <v>30</v>
      </c>
      <c r="Q12" s="602"/>
      <c r="R12" s="602"/>
      <c r="S12" s="27"/>
      <c r="T12"/>
      <c r="U12" s="26" t="s">
        <v>46</v>
      </c>
      <c r="V12" s="615"/>
      <c r="W12" s="615"/>
      <c r="X12"/>
      <c r="AB12" s="57"/>
      <c r="AC12" s="57"/>
      <c r="AD12" s="57"/>
      <c r="AE12" s="57"/>
    </row>
    <row r="13" spans="1:32" s="17" customFormat="1" ht="23.25" customHeight="1" x14ac:dyDescent="0.2">
      <c r="A13" s="614" t="s">
        <v>73</v>
      </c>
      <c r="B13" s="614"/>
      <c r="C13" s="614"/>
      <c r="D13" s="614"/>
      <c r="E13" s="614"/>
      <c r="F13" s="614"/>
      <c r="G13" s="614"/>
      <c r="H13" s="614"/>
      <c r="I13" s="614"/>
      <c r="J13" s="614"/>
      <c r="K13" s="614"/>
      <c r="L13" s="614"/>
      <c r="M13" s="614"/>
      <c r="N13" s="73"/>
      <c r="O13" s="29"/>
      <c r="P13" s="29" t="s">
        <v>31</v>
      </c>
      <c r="Q13" s="613"/>
      <c r="R13" s="61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14" t="s">
        <v>74</v>
      </c>
      <c r="B14" s="614"/>
      <c r="C14" s="614"/>
      <c r="D14" s="614"/>
      <c r="E14" s="614"/>
      <c r="F14" s="614"/>
      <c r="G14" s="614"/>
      <c r="H14" s="614"/>
      <c r="I14" s="614"/>
      <c r="J14" s="614"/>
      <c r="K14" s="614"/>
      <c r="L14" s="614"/>
      <c r="M14" s="614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16" t="s">
        <v>75</v>
      </c>
      <c r="B15" s="616"/>
      <c r="C15" s="616"/>
      <c r="D15" s="616"/>
      <c r="E15" s="616"/>
      <c r="F15" s="616"/>
      <c r="G15" s="616"/>
      <c r="H15" s="616"/>
      <c r="I15" s="616"/>
      <c r="J15" s="616"/>
      <c r="K15" s="616"/>
      <c r="L15" s="616"/>
      <c r="M15" s="616"/>
      <c r="N15" s="74"/>
      <c r="O15"/>
      <c r="P15" s="617" t="s">
        <v>61</v>
      </c>
      <c r="Q15" s="617"/>
      <c r="R15" s="617"/>
      <c r="S15" s="617"/>
      <c r="T15" s="617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18"/>
      <c r="Q16" s="618"/>
      <c r="R16" s="618"/>
      <c r="S16" s="618"/>
      <c r="T16" s="6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21" t="s">
        <v>59</v>
      </c>
      <c r="B17" s="621" t="s">
        <v>49</v>
      </c>
      <c r="C17" s="623" t="s">
        <v>48</v>
      </c>
      <c r="D17" s="625" t="s">
        <v>50</v>
      </c>
      <c r="E17" s="626"/>
      <c r="F17" s="621" t="s">
        <v>21</v>
      </c>
      <c r="G17" s="621" t="s">
        <v>24</v>
      </c>
      <c r="H17" s="621" t="s">
        <v>22</v>
      </c>
      <c r="I17" s="621" t="s">
        <v>23</v>
      </c>
      <c r="J17" s="621" t="s">
        <v>16</v>
      </c>
      <c r="K17" s="621" t="s">
        <v>66</v>
      </c>
      <c r="L17" s="621" t="s">
        <v>64</v>
      </c>
      <c r="M17" s="621" t="s">
        <v>2</v>
      </c>
      <c r="N17" s="621" t="s">
        <v>63</v>
      </c>
      <c r="O17" s="621" t="s">
        <v>25</v>
      </c>
      <c r="P17" s="625" t="s">
        <v>17</v>
      </c>
      <c r="Q17" s="629"/>
      <c r="R17" s="629"/>
      <c r="S17" s="629"/>
      <c r="T17" s="626"/>
      <c r="U17" s="619" t="s">
        <v>56</v>
      </c>
      <c r="V17" s="620"/>
      <c r="W17" s="621" t="s">
        <v>6</v>
      </c>
      <c r="X17" s="621" t="s">
        <v>41</v>
      </c>
      <c r="Y17" s="631" t="s">
        <v>54</v>
      </c>
      <c r="Z17" s="633" t="s">
        <v>18</v>
      </c>
      <c r="AA17" s="635" t="s">
        <v>60</v>
      </c>
      <c r="AB17" s="635" t="s">
        <v>19</v>
      </c>
      <c r="AC17" s="635" t="s">
        <v>65</v>
      </c>
      <c r="AD17" s="637" t="s">
        <v>57</v>
      </c>
      <c r="AE17" s="638"/>
      <c r="AF17" s="639"/>
      <c r="AG17" s="77"/>
      <c r="BD17" s="76" t="s">
        <v>62</v>
      </c>
    </row>
    <row r="18" spans="1:68" ht="14.25" customHeight="1" x14ac:dyDescent="0.2">
      <c r="A18" s="622"/>
      <c r="B18" s="622"/>
      <c r="C18" s="624"/>
      <c r="D18" s="627"/>
      <c r="E18" s="628"/>
      <c r="F18" s="622"/>
      <c r="G18" s="622"/>
      <c r="H18" s="622"/>
      <c r="I18" s="622"/>
      <c r="J18" s="622"/>
      <c r="K18" s="622"/>
      <c r="L18" s="622"/>
      <c r="M18" s="622"/>
      <c r="N18" s="622"/>
      <c r="O18" s="622"/>
      <c r="P18" s="627"/>
      <c r="Q18" s="630"/>
      <c r="R18" s="630"/>
      <c r="S18" s="630"/>
      <c r="T18" s="628"/>
      <c r="U18" s="78" t="s">
        <v>44</v>
      </c>
      <c r="V18" s="78" t="s">
        <v>43</v>
      </c>
      <c r="W18" s="622"/>
      <c r="X18" s="622"/>
      <c r="Y18" s="632"/>
      <c r="Z18" s="634"/>
      <c r="AA18" s="636"/>
      <c r="AB18" s="636"/>
      <c r="AC18" s="636"/>
      <c r="AD18" s="640"/>
      <c r="AE18" s="641"/>
      <c r="AF18" s="642"/>
      <c r="AG18" s="77"/>
      <c r="BD18" s="76"/>
    </row>
    <row r="19" spans="1:68" ht="27.75" customHeight="1" x14ac:dyDescent="0.2">
      <c r="A19" s="643" t="s">
        <v>76</v>
      </c>
      <c r="B19" s="643"/>
      <c r="C19" s="643"/>
      <c r="D19" s="643"/>
      <c r="E19" s="643"/>
      <c r="F19" s="643"/>
      <c r="G19" s="643"/>
      <c r="H19" s="643"/>
      <c r="I19" s="643"/>
      <c r="J19" s="643"/>
      <c r="K19" s="643"/>
      <c r="L19" s="643"/>
      <c r="M19" s="643"/>
      <c r="N19" s="643"/>
      <c r="O19" s="643"/>
      <c r="P19" s="643"/>
      <c r="Q19" s="643"/>
      <c r="R19" s="643"/>
      <c r="S19" s="643"/>
      <c r="T19" s="643"/>
      <c r="U19" s="643"/>
      <c r="V19" s="643"/>
      <c r="W19" s="643"/>
      <c r="X19" s="643"/>
      <c r="Y19" s="643"/>
      <c r="Z19" s="643"/>
      <c r="AA19" s="52"/>
      <c r="AB19" s="52"/>
      <c r="AC19" s="52"/>
    </row>
    <row r="20" spans="1:68" ht="16.5" customHeight="1" x14ac:dyDescent="0.25">
      <c r="A20" s="644" t="s">
        <v>76</v>
      </c>
      <c r="B20" s="644"/>
      <c r="C20" s="644"/>
      <c r="D20" s="644"/>
      <c r="E20" s="644"/>
      <c r="F20" s="644"/>
      <c r="G20" s="644"/>
      <c r="H20" s="644"/>
      <c r="I20" s="644"/>
      <c r="J20" s="644"/>
      <c r="K20" s="644"/>
      <c r="L20" s="644"/>
      <c r="M20" s="644"/>
      <c r="N20" s="644"/>
      <c r="O20" s="644"/>
      <c r="P20" s="644"/>
      <c r="Q20" s="644"/>
      <c r="R20" s="644"/>
      <c r="S20" s="644"/>
      <c r="T20" s="644"/>
      <c r="U20" s="644"/>
      <c r="V20" s="644"/>
      <c r="W20" s="644"/>
      <c r="X20" s="644"/>
      <c r="Y20" s="644"/>
      <c r="Z20" s="644"/>
      <c r="AA20" s="62"/>
      <c r="AB20" s="62"/>
      <c r="AC20" s="62"/>
    </row>
    <row r="21" spans="1:68" ht="14.25" customHeight="1" x14ac:dyDescent="0.25">
      <c r="A21" s="645" t="s">
        <v>77</v>
      </c>
      <c r="B21" s="645"/>
      <c r="C21" s="645"/>
      <c r="D21" s="645"/>
      <c r="E21" s="645"/>
      <c r="F21" s="645"/>
      <c r="G21" s="645"/>
      <c r="H21" s="645"/>
      <c r="I21" s="645"/>
      <c r="J21" s="645"/>
      <c r="K21" s="645"/>
      <c r="L21" s="645"/>
      <c r="M21" s="645"/>
      <c r="N21" s="645"/>
      <c r="O21" s="645"/>
      <c r="P21" s="645"/>
      <c r="Q21" s="645"/>
      <c r="R21" s="645"/>
      <c r="S21" s="645"/>
      <c r="T21" s="645"/>
      <c r="U21" s="645"/>
      <c r="V21" s="645"/>
      <c r="W21" s="645"/>
      <c r="X21" s="645"/>
      <c r="Y21" s="645"/>
      <c r="Z21" s="645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4301031446</v>
      </c>
      <c r="D22" s="646">
        <v>4680115887510</v>
      </c>
      <c r="E22" s="646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4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4301031278</v>
      </c>
      <c r="D23" s="646">
        <v>4680115886643</v>
      </c>
      <c r="E23" s="646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86</v>
      </c>
      <c r="L23" s="35" t="s">
        <v>46</v>
      </c>
      <c r="M23" s="36" t="s">
        <v>81</v>
      </c>
      <c r="N23" s="36"/>
      <c r="O23" s="35">
        <v>40</v>
      </c>
      <c r="P23" s="65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54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51" t="s">
        <v>40</v>
      </c>
      <c r="Q24" s="652"/>
      <c r="R24" s="652"/>
      <c r="S24" s="652"/>
      <c r="T24" s="652"/>
      <c r="U24" s="652"/>
      <c r="V24" s="653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51" t="s">
        <v>40</v>
      </c>
      <c r="Q25" s="652"/>
      <c r="R25" s="652"/>
      <c r="S25" s="652"/>
      <c r="T25" s="652"/>
      <c r="U25" s="652"/>
      <c r="V25" s="653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45" t="s">
        <v>87</v>
      </c>
      <c r="B26" s="645"/>
      <c r="C26" s="645"/>
      <c r="D26" s="645"/>
      <c r="E26" s="645"/>
      <c r="F26" s="645"/>
      <c r="G26" s="645"/>
      <c r="H26" s="645"/>
      <c r="I26" s="645"/>
      <c r="J26" s="645"/>
      <c r="K26" s="645"/>
      <c r="L26" s="645"/>
      <c r="M26" s="645"/>
      <c r="N26" s="645"/>
      <c r="O26" s="645"/>
      <c r="P26" s="645"/>
      <c r="Q26" s="645"/>
      <c r="R26" s="645"/>
      <c r="S26" s="645"/>
      <c r="T26" s="645"/>
      <c r="U26" s="645"/>
      <c r="V26" s="645"/>
      <c r="W26" s="645"/>
      <c r="X26" s="645"/>
      <c r="Y26" s="645"/>
      <c r="Z26" s="645"/>
      <c r="AA26" s="63"/>
      <c r="AB26" s="63"/>
      <c r="AC26" s="63"/>
    </row>
    <row r="27" spans="1:68" ht="27" customHeight="1" x14ac:dyDescent="0.25">
      <c r="A27" s="60" t="s">
        <v>88</v>
      </c>
      <c r="B27" s="60" t="s">
        <v>89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82</v>
      </c>
      <c r="L27" s="35" t="s">
        <v>46</v>
      </c>
      <c r="M27" s="36" t="s">
        <v>91</v>
      </c>
      <c r="N27" s="36"/>
      <c r="O27" s="35">
        <v>40</v>
      </c>
      <c r="P27" s="65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/>
      <c r="Y27" s="53">
        <f t="shared" ref="Y27:Y33" si="0">IFERROR(IF(X27="",0,CEILING((X27/$H27),1)*$H27),"")</f>
        <v>0</v>
      </c>
      <c r="Z27" s="39" t="str">
        <f t="shared" ref="Z27:Z33" si="1">IFERROR(IF(Y27=0,"",ROUNDUP(Y27/H27,0)*0.00651),"")</f>
        <v/>
      </c>
      <c r="AA27" s="65" t="s">
        <v>46</v>
      </c>
      <c r="AB27" s="66" t="s">
        <v>46</v>
      </c>
      <c r="AC27" s="85" t="s">
        <v>90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3" si="2">IFERROR(X27*I27/H27,"0")</f>
        <v>0</v>
      </c>
      <c r="BN27" s="75">
        <f t="shared" ref="BN27:BN33" si="3">IFERROR(Y27*I27/H27,"0")</f>
        <v>0</v>
      </c>
      <c r="BO27" s="75">
        <f t="shared" ref="BO27:BO33" si="4">IFERROR(1/J27*(X27/H27),"0")</f>
        <v>0</v>
      </c>
      <c r="BP27" s="75">
        <f t="shared" ref="BP27:BP33" si="5"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82</v>
      </c>
      <c r="L28" s="35" t="s">
        <v>46</v>
      </c>
      <c r="M28" s="36" t="s">
        <v>91</v>
      </c>
      <c r="N28" s="36"/>
      <c r="O28" s="35">
        <v>40</v>
      </c>
      <c r="P28" s="65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2.52</v>
      </c>
      <c r="Y28" s="53">
        <f t="shared" si="0"/>
        <v>2.52</v>
      </c>
      <c r="Z28" s="39">
        <f t="shared" si="1"/>
        <v>6.5100000000000002E-3</v>
      </c>
      <c r="AA28" s="65" t="s">
        <v>46</v>
      </c>
      <c r="AB28" s="66" t="s">
        <v>46</v>
      </c>
      <c r="AC28" s="87" t="s">
        <v>90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2.766</v>
      </c>
      <c r="BN28" s="75">
        <f t="shared" si="3"/>
        <v>2.766</v>
      </c>
      <c r="BO28" s="75">
        <f t="shared" si="4"/>
        <v>5.4945054945054949E-3</v>
      </c>
      <c r="BP28" s="75">
        <f t="shared" si="5"/>
        <v>5.4945054945054949E-3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82</v>
      </c>
      <c r="L29" s="35" t="s">
        <v>46</v>
      </c>
      <c r="M29" s="36" t="s">
        <v>97</v>
      </c>
      <c r="N29" s="36"/>
      <c r="O29" s="35">
        <v>40</v>
      </c>
      <c r="P29" s="65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1.8</v>
      </c>
      <c r="Y29" s="53">
        <f t="shared" si="0"/>
        <v>1.8</v>
      </c>
      <c r="Z29" s="39">
        <f t="shared" si="1"/>
        <v>6.5100000000000002E-3</v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3.18</v>
      </c>
      <c r="BN29" s="75">
        <f t="shared" si="3"/>
        <v>3.18</v>
      </c>
      <c r="BO29" s="75">
        <f t="shared" si="4"/>
        <v>5.4945054945054949E-3</v>
      </c>
      <c r="BP29" s="75">
        <f t="shared" si="5"/>
        <v>5.4945054945054949E-3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82</v>
      </c>
      <c r="L30" s="35" t="s">
        <v>46</v>
      </c>
      <c r="M30" s="36" t="s">
        <v>97</v>
      </c>
      <c r="N30" s="36"/>
      <c r="O30" s="35">
        <v>40</v>
      </c>
      <c r="P30" s="65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1.8</v>
      </c>
      <c r="Y30" s="53">
        <f t="shared" si="0"/>
        <v>1.8</v>
      </c>
      <c r="Z30" s="39">
        <f t="shared" si="1"/>
        <v>6.5100000000000002E-3</v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3.18</v>
      </c>
      <c r="BN30" s="75">
        <f t="shared" si="3"/>
        <v>3.18</v>
      </c>
      <c r="BO30" s="75">
        <f t="shared" si="4"/>
        <v>5.4945054945054949E-3</v>
      </c>
      <c r="BP30" s="75">
        <f t="shared" si="5"/>
        <v>5.4945054945054949E-3</v>
      </c>
    </row>
    <row r="31" spans="1:68" ht="27" customHeight="1" x14ac:dyDescent="0.25">
      <c r="A31" s="60" t="s">
        <v>101</v>
      </c>
      <c r="B31" s="60" t="s">
        <v>102</v>
      </c>
      <c r="C31" s="34">
        <v>4301052078</v>
      </c>
      <c r="D31" s="646">
        <v>4680115887657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82</v>
      </c>
      <c r="L31" s="35" t="s">
        <v>46</v>
      </c>
      <c r="M31" s="36" t="s">
        <v>97</v>
      </c>
      <c r="N31" s="36"/>
      <c r="O31" s="35">
        <v>40</v>
      </c>
      <c r="P31" s="660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104</v>
      </c>
      <c r="B32" s="60" t="s">
        <v>105</v>
      </c>
      <c r="C32" s="34">
        <v>4301052197</v>
      </c>
      <c r="D32" s="646">
        <v>4680115888326</v>
      </c>
      <c r="E32" s="646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82</v>
      </c>
      <c r="L32" s="35" t="s">
        <v>46</v>
      </c>
      <c r="M32" s="36" t="s">
        <v>97</v>
      </c>
      <c r="N32" s="36"/>
      <c r="O32" s="35">
        <v>40</v>
      </c>
      <c r="P32" s="661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648"/>
      <c r="R32" s="648"/>
      <c r="S32" s="648"/>
      <c r="T32" s="649"/>
      <c r="U32" s="37" t="s">
        <v>46</v>
      </c>
      <c r="V32" s="37" t="s">
        <v>46</v>
      </c>
      <c r="W32" s="38" t="s">
        <v>0</v>
      </c>
      <c r="X32" s="56">
        <v>1.98</v>
      </c>
      <c r="Y32" s="53">
        <f t="shared" si="0"/>
        <v>1.98</v>
      </c>
      <c r="Z32" s="39">
        <f t="shared" si="1"/>
        <v>6.5100000000000002E-3</v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2.16</v>
      </c>
      <c r="BN32" s="75">
        <f t="shared" si="3"/>
        <v>2.16</v>
      </c>
      <c r="BO32" s="75">
        <f t="shared" si="4"/>
        <v>5.4945054945054949E-3</v>
      </c>
      <c r="BP32" s="75">
        <f t="shared" si="5"/>
        <v>5.4945054945054949E-3</v>
      </c>
    </row>
    <row r="33" spans="1:68" ht="27" customHeight="1" x14ac:dyDescent="0.25">
      <c r="A33" s="60" t="s">
        <v>107</v>
      </c>
      <c r="B33" s="60" t="s">
        <v>108</v>
      </c>
      <c r="C33" s="34">
        <v>4301052071</v>
      </c>
      <c r="D33" s="646">
        <v>4680115887619</v>
      </c>
      <c r="E33" s="646"/>
      <c r="F33" s="59">
        <v>0.33</v>
      </c>
      <c r="G33" s="35">
        <v>6</v>
      </c>
      <c r="H33" s="59">
        <v>1.98</v>
      </c>
      <c r="I33" s="59">
        <v>2.16</v>
      </c>
      <c r="J33" s="35">
        <v>182</v>
      </c>
      <c r="K33" s="35" t="s">
        <v>82</v>
      </c>
      <c r="L33" s="35" t="s">
        <v>46</v>
      </c>
      <c r="M33" s="36" t="s">
        <v>91</v>
      </c>
      <c r="N33" s="36"/>
      <c r="O33" s="35">
        <v>40</v>
      </c>
      <c r="P33" s="66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648"/>
      <c r="R33" s="648"/>
      <c r="S33" s="648"/>
      <c r="T33" s="649"/>
      <c r="U33" s="37" t="s">
        <v>46</v>
      </c>
      <c r="V33" s="37" t="s">
        <v>46</v>
      </c>
      <c r="W33" s="38" t="s">
        <v>0</v>
      </c>
      <c r="X33" s="56">
        <v>1.98</v>
      </c>
      <c r="Y33" s="53">
        <f t="shared" si="0"/>
        <v>1.98</v>
      </c>
      <c r="Z33" s="39">
        <f t="shared" si="1"/>
        <v>6.5100000000000002E-3</v>
      </c>
      <c r="AA33" s="65" t="s">
        <v>46</v>
      </c>
      <c r="AB33" s="66" t="s">
        <v>46</v>
      </c>
      <c r="AC33" s="97" t="s">
        <v>109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2.16</v>
      </c>
      <c r="BN33" s="75">
        <f t="shared" si="3"/>
        <v>2.16</v>
      </c>
      <c r="BO33" s="75">
        <f t="shared" si="4"/>
        <v>5.4945054945054949E-3</v>
      </c>
      <c r="BP33" s="75">
        <f t="shared" si="5"/>
        <v>5.4945054945054949E-3</v>
      </c>
    </row>
    <row r="34" spans="1:68" x14ac:dyDescent="0.2">
      <c r="A34" s="654"/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5"/>
      <c r="P34" s="651" t="s">
        <v>40</v>
      </c>
      <c r="Q34" s="652"/>
      <c r="R34" s="652"/>
      <c r="S34" s="652"/>
      <c r="T34" s="652"/>
      <c r="U34" s="652"/>
      <c r="V34" s="653"/>
      <c r="W34" s="40" t="s">
        <v>39</v>
      </c>
      <c r="X34" s="41">
        <f>IFERROR(X27/H27,"0")+IFERROR(X28/H28,"0")+IFERROR(X29/H29,"0")+IFERROR(X30/H30,"0")+IFERROR(X31/H31,"0")+IFERROR(X32/H32,"0")+IFERROR(X33/H33,"0")</f>
        <v>5</v>
      </c>
      <c r="Y34" s="41">
        <f>IFERROR(Y27/H27,"0")+IFERROR(Y28/H28,"0")+IFERROR(Y29/H29,"0")+IFERROR(Y30/H30,"0")+IFERROR(Y31/H31,"0")+IFERROR(Y32/H32,"0")+IFERROR(Y33/H33,"0")</f>
        <v>5</v>
      </c>
      <c r="Z34" s="41">
        <f>IFERROR(IF(Z27="",0,Z27),"0")+IFERROR(IF(Z28="",0,Z28),"0")+IFERROR(IF(Z29="",0,Z29),"0")+IFERROR(IF(Z30="",0,Z30),"0")+IFERROR(IF(Z31="",0,Z31),"0")+IFERROR(IF(Z32="",0,Z32),"0")+IFERROR(IF(Z33="",0,Z33),"0")</f>
        <v>3.2550000000000003E-2</v>
      </c>
      <c r="AA34" s="64"/>
      <c r="AB34" s="64"/>
      <c r="AC34" s="64"/>
    </row>
    <row r="35" spans="1:68" x14ac:dyDescent="0.2">
      <c r="A35" s="654"/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5"/>
      <c r="P35" s="651" t="s">
        <v>40</v>
      </c>
      <c r="Q35" s="652"/>
      <c r="R35" s="652"/>
      <c r="S35" s="652"/>
      <c r="T35" s="652"/>
      <c r="U35" s="652"/>
      <c r="V35" s="653"/>
      <c r="W35" s="40" t="s">
        <v>0</v>
      </c>
      <c r="X35" s="41">
        <f>IFERROR(SUM(X27:X33),"0")</f>
        <v>10.08</v>
      </c>
      <c r="Y35" s="41">
        <f>IFERROR(SUM(Y27:Y33),"0")</f>
        <v>10.08</v>
      </c>
      <c r="Z35" s="40"/>
      <c r="AA35" s="64"/>
      <c r="AB35" s="64"/>
      <c r="AC35" s="64"/>
    </row>
    <row r="36" spans="1:68" ht="14.25" customHeight="1" x14ac:dyDescent="0.25">
      <c r="A36" s="645" t="s">
        <v>110</v>
      </c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5"/>
      <c r="P36" s="645"/>
      <c r="Q36" s="645"/>
      <c r="R36" s="645"/>
      <c r="S36" s="645"/>
      <c r="T36" s="645"/>
      <c r="U36" s="645"/>
      <c r="V36" s="645"/>
      <c r="W36" s="645"/>
      <c r="X36" s="645"/>
      <c r="Y36" s="645"/>
      <c r="Z36" s="645"/>
      <c r="AA36" s="63"/>
      <c r="AB36" s="63"/>
      <c r="AC36" s="63"/>
    </row>
    <row r="37" spans="1:68" ht="27" customHeight="1" x14ac:dyDescent="0.25">
      <c r="A37" s="60" t="s">
        <v>111</v>
      </c>
      <c r="B37" s="60" t="s">
        <v>112</v>
      </c>
      <c r="C37" s="34">
        <v>4301032013</v>
      </c>
      <c r="D37" s="646">
        <v>4607091388503</v>
      </c>
      <c r="E37" s="646"/>
      <c r="F37" s="59">
        <v>0.05</v>
      </c>
      <c r="G37" s="35">
        <v>12</v>
      </c>
      <c r="H37" s="59">
        <v>0.6</v>
      </c>
      <c r="I37" s="59">
        <v>0.82199999999999995</v>
      </c>
      <c r="J37" s="35">
        <v>182</v>
      </c>
      <c r="K37" s="35" t="s">
        <v>82</v>
      </c>
      <c r="L37" s="35" t="s">
        <v>46</v>
      </c>
      <c r="M37" s="36" t="s">
        <v>115</v>
      </c>
      <c r="N37" s="36"/>
      <c r="O37" s="35">
        <v>120</v>
      </c>
      <c r="P37" s="66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648"/>
      <c r="R37" s="648"/>
      <c r="S37" s="648"/>
      <c r="T37" s="649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9" t="s">
        <v>113</v>
      </c>
      <c r="AG37" s="75"/>
      <c r="AJ37" s="79" t="s">
        <v>46</v>
      </c>
      <c r="AK37" s="79">
        <v>0</v>
      </c>
      <c r="BB37" s="100" t="s">
        <v>114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x14ac:dyDescent="0.2">
      <c r="A38" s="654"/>
      <c r="B38" s="654"/>
      <c r="C38" s="654"/>
      <c r="D38" s="654"/>
      <c r="E38" s="654"/>
      <c r="F38" s="654"/>
      <c r="G38" s="654"/>
      <c r="H38" s="654"/>
      <c r="I38" s="654"/>
      <c r="J38" s="654"/>
      <c r="K38" s="654"/>
      <c r="L38" s="654"/>
      <c r="M38" s="654"/>
      <c r="N38" s="654"/>
      <c r="O38" s="655"/>
      <c r="P38" s="651" t="s">
        <v>40</v>
      </c>
      <c r="Q38" s="652"/>
      <c r="R38" s="652"/>
      <c r="S38" s="652"/>
      <c r="T38" s="652"/>
      <c r="U38" s="652"/>
      <c r="V38" s="653"/>
      <c r="W38" s="40" t="s">
        <v>39</v>
      </c>
      <c r="X38" s="41">
        <f>IFERROR(X37/H37,"0")</f>
        <v>0</v>
      </c>
      <c r="Y38" s="41">
        <f>IFERROR(Y37/H37,"0")</f>
        <v>0</v>
      </c>
      <c r="Z38" s="41">
        <f>IFERROR(IF(Z37="",0,Z37),"0")</f>
        <v>0</v>
      </c>
      <c r="AA38" s="64"/>
      <c r="AB38" s="64"/>
      <c r="AC38" s="64"/>
    </row>
    <row r="39" spans="1:68" x14ac:dyDescent="0.2">
      <c r="A39" s="654"/>
      <c r="B39" s="654"/>
      <c r="C39" s="654"/>
      <c r="D39" s="654"/>
      <c r="E39" s="654"/>
      <c r="F39" s="654"/>
      <c r="G39" s="654"/>
      <c r="H39" s="654"/>
      <c r="I39" s="654"/>
      <c r="J39" s="654"/>
      <c r="K39" s="654"/>
      <c r="L39" s="654"/>
      <c r="M39" s="654"/>
      <c r="N39" s="654"/>
      <c r="O39" s="655"/>
      <c r="P39" s="651" t="s">
        <v>40</v>
      </c>
      <c r="Q39" s="652"/>
      <c r="R39" s="652"/>
      <c r="S39" s="652"/>
      <c r="T39" s="652"/>
      <c r="U39" s="652"/>
      <c r="V39" s="653"/>
      <c r="W39" s="40" t="s">
        <v>0</v>
      </c>
      <c r="X39" s="41">
        <f>IFERROR(SUM(X37:X37),"0")</f>
        <v>0</v>
      </c>
      <c r="Y39" s="41">
        <f>IFERROR(SUM(Y37:Y37),"0")</f>
        <v>0</v>
      </c>
      <c r="Z39" s="40"/>
      <c r="AA39" s="64"/>
      <c r="AB39" s="64"/>
      <c r="AC39" s="64"/>
    </row>
    <row r="40" spans="1:68" ht="27.75" customHeight="1" x14ac:dyDescent="0.2">
      <c r="A40" s="643" t="s">
        <v>45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52"/>
      <c r="AB40" s="52"/>
      <c r="AC40" s="52"/>
    </row>
    <row r="41" spans="1:68" ht="16.5" customHeight="1" x14ac:dyDescent="0.25">
      <c r="A41" s="644" t="s">
        <v>116</v>
      </c>
      <c r="B41" s="644"/>
      <c r="C41" s="644"/>
      <c r="D41" s="644"/>
      <c r="E41" s="644"/>
      <c r="F41" s="644"/>
      <c r="G41" s="644"/>
      <c r="H41" s="644"/>
      <c r="I41" s="644"/>
      <c r="J41" s="644"/>
      <c r="K41" s="644"/>
      <c r="L41" s="644"/>
      <c r="M41" s="644"/>
      <c r="N41" s="644"/>
      <c r="O41" s="644"/>
      <c r="P41" s="644"/>
      <c r="Q41" s="644"/>
      <c r="R41" s="644"/>
      <c r="S41" s="644"/>
      <c r="T41" s="644"/>
      <c r="U41" s="644"/>
      <c r="V41" s="644"/>
      <c r="W41" s="644"/>
      <c r="X41" s="644"/>
      <c r="Y41" s="644"/>
      <c r="Z41" s="644"/>
      <c r="AA41" s="62"/>
      <c r="AB41" s="62"/>
      <c r="AC41" s="62"/>
    </row>
    <row r="42" spans="1:68" ht="14.25" customHeight="1" x14ac:dyDescent="0.25">
      <c r="A42" s="645" t="s">
        <v>87</v>
      </c>
      <c r="B42" s="645"/>
      <c r="C42" s="645"/>
      <c r="D42" s="645"/>
      <c r="E42" s="645"/>
      <c r="F42" s="645"/>
      <c r="G42" s="645"/>
      <c r="H42" s="645"/>
      <c r="I42" s="645"/>
      <c r="J42" s="645"/>
      <c r="K42" s="645"/>
      <c r="L42" s="645"/>
      <c r="M42" s="645"/>
      <c r="N42" s="645"/>
      <c r="O42" s="645"/>
      <c r="P42" s="645"/>
      <c r="Q42" s="645"/>
      <c r="R42" s="645"/>
      <c r="S42" s="645"/>
      <c r="T42" s="645"/>
      <c r="U42" s="645"/>
      <c r="V42" s="645"/>
      <c r="W42" s="645"/>
      <c r="X42" s="645"/>
      <c r="Y42" s="645"/>
      <c r="Z42" s="645"/>
      <c r="AA42" s="63"/>
      <c r="AB42" s="63"/>
      <c r="AC42" s="63"/>
    </row>
    <row r="43" spans="1:68" ht="27" customHeight="1" x14ac:dyDescent="0.25">
      <c r="A43" s="60" t="s">
        <v>117</v>
      </c>
      <c r="B43" s="60" t="s">
        <v>118</v>
      </c>
      <c r="C43" s="34">
        <v>4301052184</v>
      </c>
      <c r="D43" s="646">
        <v>4680115888272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82</v>
      </c>
      <c r="L43" s="35" t="s">
        <v>46</v>
      </c>
      <c r="M43" s="36" t="s">
        <v>91</v>
      </c>
      <c r="N43" s="36"/>
      <c r="O43" s="35">
        <v>40</v>
      </c>
      <c r="P43" s="66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3.84</v>
      </c>
      <c r="Y43" s="53">
        <f>IFERROR(IF(X43="",0,CEILING((X43/$H43),1)*$H43),"")</f>
        <v>3.84</v>
      </c>
      <c r="Z43" s="39">
        <f>IFERROR(IF(Y43=0,"",ROUNDUP(Y43/H43,0)*0.00651),"")</f>
        <v>1.302E-2</v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4.2</v>
      </c>
      <c r="BN43" s="75">
        <f>IFERROR(Y43*I43/H43,"0")</f>
        <v>4.2</v>
      </c>
      <c r="BO43" s="75">
        <f>IFERROR(1/J43*(X43/H43),"0")</f>
        <v>1.098901098901099E-2</v>
      </c>
      <c r="BP43" s="75">
        <f>IFERROR(1/J43*(Y43/H43),"0")</f>
        <v>1.098901098901099E-2</v>
      </c>
    </row>
    <row r="44" spans="1:68" ht="27" customHeight="1" x14ac:dyDescent="0.25">
      <c r="A44" s="60" t="s">
        <v>120</v>
      </c>
      <c r="B44" s="60" t="s">
        <v>121</v>
      </c>
      <c r="C44" s="34">
        <v>4301052189</v>
      </c>
      <c r="D44" s="646">
        <v>4680115888364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82</v>
      </c>
      <c r="L44" s="35" t="s">
        <v>46</v>
      </c>
      <c r="M44" s="36" t="s">
        <v>97</v>
      </c>
      <c r="N44" s="36"/>
      <c r="O44" s="35">
        <v>40</v>
      </c>
      <c r="P44" s="66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3.84</v>
      </c>
      <c r="Y44" s="53">
        <f>IFERROR(IF(X44="",0,CEILING((X44/$H44),1)*$H44),"")</f>
        <v>3.84</v>
      </c>
      <c r="Z44" s="39">
        <f>IFERROR(IF(Y44=0,"",ROUNDUP(Y44/H44,0)*0.00651),"")</f>
        <v>1.302E-2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4.2</v>
      </c>
      <c r="BN44" s="75">
        <f>IFERROR(Y44*I44/H44,"0")</f>
        <v>4.2</v>
      </c>
      <c r="BO44" s="75">
        <f>IFERROR(1/J44*(X44/H44),"0")</f>
        <v>1.098901098901099E-2</v>
      </c>
      <c r="BP44" s="75">
        <f>IFERROR(1/J44*(Y44/H44),"0")</f>
        <v>1.098901098901099E-2</v>
      </c>
    </row>
    <row r="45" spans="1:68" x14ac:dyDescent="0.2">
      <c r="A45" s="654"/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5"/>
      <c r="P45" s="651" t="s">
        <v>40</v>
      </c>
      <c r="Q45" s="652"/>
      <c r="R45" s="652"/>
      <c r="S45" s="652"/>
      <c r="T45" s="652"/>
      <c r="U45" s="652"/>
      <c r="V45" s="653"/>
      <c r="W45" s="40" t="s">
        <v>39</v>
      </c>
      <c r="X45" s="41">
        <f>IFERROR(X43/H43,"0")+IFERROR(X44/H44,"0")</f>
        <v>4</v>
      </c>
      <c r="Y45" s="41">
        <f>IFERROR(Y43/H43,"0")+IFERROR(Y44/H44,"0")</f>
        <v>4</v>
      </c>
      <c r="Z45" s="41">
        <f>IFERROR(IF(Z43="",0,Z43),"0")+IFERROR(IF(Z44="",0,Z44),"0")</f>
        <v>2.6040000000000001E-2</v>
      </c>
      <c r="AA45" s="64"/>
      <c r="AB45" s="64"/>
      <c r="AC45" s="64"/>
    </row>
    <row r="46" spans="1:68" x14ac:dyDescent="0.2">
      <c r="A46" s="654"/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5"/>
      <c r="P46" s="651" t="s">
        <v>40</v>
      </c>
      <c r="Q46" s="652"/>
      <c r="R46" s="652"/>
      <c r="S46" s="652"/>
      <c r="T46" s="652"/>
      <c r="U46" s="652"/>
      <c r="V46" s="653"/>
      <c r="W46" s="40" t="s">
        <v>0</v>
      </c>
      <c r="X46" s="41">
        <f>IFERROR(SUM(X43:X44),"0")</f>
        <v>7.68</v>
      </c>
      <c r="Y46" s="41">
        <f>IFERROR(SUM(Y43:Y44),"0")</f>
        <v>7.68</v>
      </c>
      <c r="Z46" s="40"/>
      <c r="AA46" s="64"/>
      <c r="AB46" s="64"/>
      <c r="AC46" s="64"/>
    </row>
    <row r="47" spans="1:68" ht="27.75" customHeight="1" x14ac:dyDescent="0.2">
      <c r="A47" s="643" t="s">
        <v>123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52"/>
      <c r="AB47" s="52"/>
      <c r="AC47" s="52"/>
    </row>
    <row r="48" spans="1:68" ht="16.5" customHeight="1" x14ac:dyDescent="0.25">
      <c r="A48" s="644" t="s">
        <v>124</v>
      </c>
      <c r="B48" s="644"/>
      <c r="C48" s="644"/>
      <c r="D48" s="644"/>
      <c r="E48" s="644"/>
      <c r="F48" s="644"/>
      <c r="G48" s="644"/>
      <c r="H48" s="644"/>
      <c r="I48" s="644"/>
      <c r="J48" s="644"/>
      <c r="K48" s="644"/>
      <c r="L48" s="644"/>
      <c r="M48" s="644"/>
      <c r="N48" s="644"/>
      <c r="O48" s="644"/>
      <c r="P48" s="644"/>
      <c r="Q48" s="644"/>
      <c r="R48" s="644"/>
      <c r="S48" s="644"/>
      <c r="T48" s="644"/>
      <c r="U48" s="644"/>
      <c r="V48" s="644"/>
      <c r="W48" s="644"/>
      <c r="X48" s="644"/>
      <c r="Y48" s="644"/>
      <c r="Z48" s="644"/>
      <c r="AA48" s="62"/>
      <c r="AB48" s="62"/>
      <c r="AC48" s="62"/>
    </row>
    <row r="49" spans="1:68" ht="14.25" customHeight="1" x14ac:dyDescent="0.25">
      <c r="A49" s="645" t="s">
        <v>125</v>
      </c>
      <c r="B49" s="645"/>
      <c r="C49" s="645"/>
      <c r="D49" s="645"/>
      <c r="E49" s="645"/>
      <c r="F49" s="645"/>
      <c r="G49" s="645"/>
      <c r="H49" s="645"/>
      <c r="I49" s="645"/>
      <c r="J49" s="645"/>
      <c r="K49" s="645"/>
      <c r="L49" s="645"/>
      <c r="M49" s="645"/>
      <c r="N49" s="645"/>
      <c r="O49" s="645"/>
      <c r="P49" s="645"/>
      <c r="Q49" s="645"/>
      <c r="R49" s="645"/>
      <c r="S49" s="645"/>
      <c r="T49" s="645"/>
      <c r="U49" s="645"/>
      <c r="V49" s="645"/>
      <c r="W49" s="645"/>
      <c r="X49" s="645"/>
      <c r="Y49" s="645"/>
      <c r="Z49" s="645"/>
      <c r="AA49" s="63"/>
      <c r="AB49" s="63"/>
      <c r="AC49" s="63"/>
    </row>
    <row r="50" spans="1:68" ht="16.5" customHeight="1" x14ac:dyDescent="0.25">
      <c r="A50" s="60" t="s">
        <v>126</v>
      </c>
      <c r="B50" s="60" t="s">
        <v>127</v>
      </c>
      <c r="C50" s="34">
        <v>4301011380</v>
      </c>
      <c r="D50" s="646">
        <v>4607091385670</v>
      </c>
      <c r="E50" s="646"/>
      <c r="F50" s="59">
        <v>1.35</v>
      </c>
      <c r="G50" s="35">
        <v>8</v>
      </c>
      <c r="H50" s="59">
        <v>10.8</v>
      </c>
      <c r="I50" s="59">
        <v>11.21</v>
      </c>
      <c r="J50" s="35">
        <v>64</v>
      </c>
      <c r="K50" s="35" t="s">
        <v>130</v>
      </c>
      <c r="L50" s="35" t="s">
        <v>46</v>
      </c>
      <c r="M50" s="36" t="s">
        <v>129</v>
      </c>
      <c r="N50" s="36"/>
      <c r="O50" s="35">
        <v>50</v>
      </c>
      <c r="P50" s="6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0" s="648"/>
      <c r="R50" s="648"/>
      <c r="S50" s="648"/>
      <c r="T50" s="649"/>
      <c r="U50" s="37" t="s">
        <v>46</v>
      </c>
      <c r="V50" s="37" t="s">
        <v>46</v>
      </c>
      <c r="W50" s="38" t="s">
        <v>0</v>
      </c>
      <c r="X50" s="56">
        <v>162</v>
      </c>
      <c r="Y50" s="53">
        <f>IFERROR(IF(X50="",0,CEILING((X50/$H50),1)*$H50),"")</f>
        <v>162</v>
      </c>
      <c r="Z50" s="39">
        <f>IFERROR(IF(Y50=0,"",ROUNDUP(Y50/H50,0)*0.01898),"")</f>
        <v>0.28470000000000001</v>
      </c>
      <c r="AA50" s="65" t="s">
        <v>46</v>
      </c>
      <c r="AB50" s="66" t="s">
        <v>46</v>
      </c>
      <c r="AC50" s="105" t="s">
        <v>128</v>
      </c>
      <c r="AG50" s="75"/>
      <c r="AJ50" s="79" t="s">
        <v>46</v>
      </c>
      <c r="AK50" s="79">
        <v>0</v>
      </c>
      <c r="BB50" s="106" t="s">
        <v>67</v>
      </c>
      <c r="BM50" s="75">
        <f>IFERROR(X50*I50/H50,"0")</f>
        <v>168.15</v>
      </c>
      <c r="BN50" s="75">
        <f>IFERROR(Y50*I50/H50,"0")</f>
        <v>168.15</v>
      </c>
      <c r="BO50" s="75">
        <f>IFERROR(1/J50*(X50/H50),"0")</f>
        <v>0.23437499999999997</v>
      </c>
      <c r="BP50" s="75">
        <f>IFERROR(1/J50*(Y50/H50),"0")</f>
        <v>0.23437499999999997</v>
      </c>
    </row>
    <row r="51" spans="1:68" ht="27" customHeight="1" x14ac:dyDescent="0.25">
      <c r="A51" s="60" t="s">
        <v>131</v>
      </c>
      <c r="B51" s="60" t="s">
        <v>132</v>
      </c>
      <c r="C51" s="34">
        <v>4301012053</v>
      </c>
      <c r="D51" s="646">
        <v>4680115887725</v>
      </c>
      <c r="E51" s="646"/>
      <c r="F51" s="59">
        <v>0.11</v>
      </c>
      <c r="G51" s="35">
        <v>10</v>
      </c>
      <c r="H51" s="59">
        <v>1.1000000000000001</v>
      </c>
      <c r="I51" s="59">
        <v>1.31</v>
      </c>
      <c r="J51" s="35">
        <v>192</v>
      </c>
      <c r="K51" s="35" t="s">
        <v>134</v>
      </c>
      <c r="L51" s="35" t="s">
        <v>46</v>
      </c>
      <c r="M51" s="36" t="s">
        <v>81</v>
      </c>
      <c r="N51" s="36"/>
      <c r="O51" s="35">
        <v>30</v>
      </c>
      <c r="P51" s="66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IFERROR(IF(Y51=0,"",ROUNDUP(Y51/H51,0)*0.00726),"")</f>
        <v/>
      </c>
      <c r="AA51" s="65" t="s">
        <v>46</v>
      </c>
      <c r="AB51" s="66" t="s">
        <v>46</v>
      </c>
      <c r="AC51" s="107" t="s">
        <v>133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135</v>
      </c>
      <c r="B52" s="60" t="s">
        <v>136</v>
      </c>
      <c r="C52" s="34">
        <v>4301011382</v>
      </c>
      <c r="D52" s="646">
        <v>4607091385687</v>
      </c>
      <c r="E52" s="646"/>
      <c r="F52" s="59">
        <v>0.4</v>
      </c>
      <c r="G52" s="35">
        <v>10</v>
      </c>
      <c r="H52" s="59">
        <v>4</v>
      </c>
      <c r="I52" s="59">
        <v>4.1900000000000004</v>
      </c>
      <c r="J52" s="35">
        <v>132</v>
      </c>
      <c r="K52" s="35" t="s">
        <v>137</v>
      </c>
      <c r="L52" s="35" t="s">
        <v>46</v>
      </c>
      <c r="M52" s="36" t="s">
        <v>91</v>
      </c>
      <c r="N52" s="36"/>
      <c r="O52" s="35">
        <v>50</v>
      </c>
      <c r="P52" s="66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20</v>
      </c>
      <c r="Y52" s="53">
        <f>IFERROR(IF(X52="",0,CEILING((X52/$H52),1)*$H52),"")</f>
        <v>20</v>
      </c>
      <c r="Z52" s="39">
        <f>IFERROR(IF(Y52=0,"",ROUNDUP(Y52/H52,0)*0.00902),"")</f>
        <v>4.5100000000000001E-2</v>
      </c>
      <c r="AA52" s="65" t="s">
        <v>46</v>
      </c>
      <c r="AB52" s="66" t="s">
        <v>46</v>
      </c>
      <c r="AC52" s="109" t="s">
        <v>128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20.950000000000003</v>
      </c>
      <c r="BN52" s="75">
        <f>IFERROR(Y52*I52/H52,"0")</f>
        <v>20.950000000000003</v>
      </c>
      <c r="BO52" s="75">
        <f>IFERROR(1/J52*(X52/H52),"0")</f>
        <v>3.787878787878788E-2</v>
      </c>
      <c r="BP52" s="75">
        <f>IFERROR(1/J52*(Y52/H52),"0")</f>
        <v>3.787878787878788E-2</v>
      </c>
    </row>
    <row r="53" spans="1:68" ht="27" customHeight="1" x14ac:dyDescent="0.25">
      <c r="A53" s="60" t="s">
        <v>138</v>
      </c>
      <c r="B53" s="60" t="s">
        <v>139</v>
      </c>
      <c r="C53" s="34">
        <v>4301011565</v>
      </c>
      <c r="D53" s="646">
        <v>4680115882539</v>
      </c>
      <c r="E53" s="646"/>
      <c r="F53" s="59">
        <v>0.37</v>
      </c>
      <c r="G53" s="35">
        <v>10</v>
      </c>
      <c r="H53" s="59">
        <v>3.7</v>
      </c>
      <c r="I53" s="59">
        <v>3.89</v>
      </c>
      <c r="J53" s="35">
        <v>132</v>
      </c>
      <c r="K53" s="35" t="s">
        <v>137</v>
      </c>
      <c r="L53" s="35" t="s">
        <v>46</v>
      </c>
      <c r="M53" s="36" t="s">
        <v>91</v>
      </c>
      <c r="N53" s="36"/>
      <c r="O53" s="35">
        <v>50</v>
      </c>
      <c r="P53" s="6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128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x14ac:dyDescent="0.2">
      <c r="A54" s="654"/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5"/>
      <c r="P54" s="651" t="s">
        <v>40</v>
      </c>
      <c r="Q54" s="652"/>
      <c r="R54" s="652"/>
      <c r="S54" s="652"/>
      <c r="T54" s="652"/>
      <c r="U54" s="652"/>
      <c r="V54" s="653"/>
      <c r="W54" s="40" t="s">
        <v>39</v>
      </c>
      <c r="X54" s="41">
        <f>IFERROR(X50/H50,"0")+IFERROR(X51/H51,"0")+IFERROR(X52/H52,"0")+IFERROR(X53/H53,"0")</f>
        <v>20</v>
      </c>
      <c r="Y54" s="41">
        <f>IFERROR(Y50/H50,"0")+IFERROR(Y51/H51,"0")+IFERROR(Y52/H52,"0")+IFERROR(Y53/H53,"0")</f>
        <v>20</v>
      </c>
      <c r="Z54" s="41">
        <f>IFERROR(IF(Z50="",0,Z50),"0")+IFERROR(IF(Z51="",0,Z51),"0")+IFERROR(IF(Z52="",0,Z52),"0")+IFERROR(IF(Z53="",0,Z53),"0")</f>
        <v>0.32979999999999998</v>
      </c>
      <c r="AA54" s="64"/>
      <c r="AB54" s="64"/>
      <c r="AC54" s="64"/>
    </row>
    <row r="55" spans="1:68" x14ac:dyDescent="0.2">
      <c r="A55" s="654"/>
      <c r="B55" s="654"/>
      <c r="C55" s="654"/>
      <c r="D55" s="654"/>
      <c r="E55" s="654"/>
      <c r="F55" s="654"/>
      <c r="G55" s="654"/>
      <c r="H55" s="654"/>
      <c r="I55" s="654"/>
      <c r="J55" s="654"/>
      <c r="K55" s="654"/>
      <c r="L55" s="654"/>
      <c r="M55" s="654"/>
      <c r="N55" s="654"/>
      <c r="O55" s="655"/>
      <c r="P55" s="651" t="s">
        <v>40</v>
      </c>
      <c r="Q55" s="652"/>
      <c r="R55" s="652"/>
      <c r="S55" s="652"/>
      <c r="T55" s="652"/>
      <c r="U55" s="652"/>
      <c r="V55" s="653"/>
      <c r="W55" s="40" t="s">
        <v>0</v>
      </c>
      <c r="X55" s="41">
        <f>IFERROR(SUM(X50:X53),"0")</f>
        <v>182</v>
      </c>
      <c r="Y55" s="41">
        <f>IFERROR(SUM(Y50:Y53),"0")</f>
        <v>182</v>
      </c>
      <c r="Z55" s="40"/>
      <c r="AA55" s="64"/>
      <c r="AB55" s="64"/>
      <c r="AC55" s="64"/>
    </row>
    <row r="56" spans="1:68" ht="16.5" customHeight="1" x14ac:dyDescent="0.25">
      <c r="A56" s="644" t="s">
        <v>140</v>
      </c>
      <c r="B56" s="644"/>
      <c r="C56" s="644"/>
      <c r="D56" s="644"/>
      <c r="E56" s="644"/>
      <c r="F56" s="644"/>
      <c r="G56" s="644"/>
      <c r="H56" s="644"/>
      <c r="I56" s="644"/>
      <c r="J56" s="644"/>
      <c r="K56" s="644"/>
      <c r="L56" s="644"/>
      <c r="M56" s="644"/>
      <c r="N56" s="644"/>
      <c r="O56" s="644"/>
      <c r="P56" s="644"/>
      <c r="Q56" s="644"/>
      <c r="R56" s="644"/>
      <c r="S56" s="644"/>
      <c r="T56" s="644"/>
      <c r="U56" s="644"/>
      <c r="V56" s="644"/>
      <c r="W56" s="644"/>
      <c r="X56" s="644"/>
      <c r="Y56" s="644"/>
      <c r="Z56" s="644"/>
      <c r="AA56" s="62"/>
      <c r="AB56" s="62"/>
      <c r="AC56" s="62"/>
    </row>
    <row r="57" spans="1:68" ht="14.25" customHeight="1" x14ac:dyDescent="0.25">
      <c r="A57" s="645" t="s">
        <v>125</v>
      </c>
      <c r="B57" s="645"/>
      <c r="C57" s="645"/>
      <c r="D57" s="645"/>
      <c r="E57" s="645"/>
      <c r="F57" s="645"/>
      <c r="G57" s="645"/>
      <c r="H57" s="645"/>
      <c r="I57" s="645"/>
      <c r="J57" s="645"/>
      <c r="K57" s="645"/>
      <c r="L57" s="645"/>
      <c r="M57" s="645"/>
      <c r="N57" s="645"/>
      <c r="O57" s="645"/>
      <c r="P57" s="645"/>
      <c r="Q57" s="645"/>
      <c r="R57" s="645"/>
      <c r="S57" s="645"/>
      <c r="T57" s="645"/>
      <c r="U57" s="645"/>
      <c r="V57" s="645"/>
      <c r="W57" s="645"/>
      <c r="X57" s="645"/>
      <c r="Y57" s="645"/>
      <c r="Z57" s="645"/>
      <c r="AA57" s="63"/>
      <c r="AB57" s="63"/>
      <c r="AC57" s="63"/>
    </row>
    <row r="58" spans="1:68" ht="27" customHeight="1" x14ac:dyDescent="0.25">
      <c r="A58" s="60" t="s">
        <v>141</v>
      </c>
      <c r="B58" s="60" t="s">
        <v>142</v>
      </c>
      <c r="C58" s="34">
        <v>4301012030</v>
      </c>
      <c r="D58" s="646">
        <v>4680115885882</v>
      </c>
      <c r="E58" s="646"/>
      <c r="F58" s="59">
        <v>1.4</v>
      </c>
      <c r="G58" s="35">
        <v>8</v>
      </c>
      <c r="H58" s="59">
        <v>11.2</v>
      </c>
      <c r="I58" s="59">
        <v>11.61</v>
      </c>
      <c r="J58" s="35">
        <v>64</v>
      </c>
      <c r="K58" s="35" t="s">
        <v>130</v>
      </c>
      <c r="L58" s="35" t="s">
        <v>46</v>
      </c>
      <c r="M58" s="36" t="s">
        <v>91</v>
      </c>
      <c r="N58" s="36"/>
      <c r="O58" s="35">
        <v>50</v>
      </c>
      <c r="P58" s="67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8" s="648"/>
      <c r="R58" s="648"/>
      <c r="S58" s="648"/>
      <c r="T58" s="649"/>
      <c r="U58" s="37" t="s">
        <v>46</v>
      </c>
      <c r="V58" s="37" t="s">
        <v>46</v>
      </c>
      <c r="W58" s="38" t="s">
        <v>0</v>
      </c>
      <c r="X58" s="56">
        <v>56</v>
      </c>
      <c r="Y58" s="53">
        <f t="shared" ref="Y58:Y63" si="6">IFERROR(IF(X58="",0,CEILING((X58/$H58),1)*$H58),"")</f>
        <v>56</v>
      </c>
      <c r="Z58" s="39">
        <f>IFERROR(IF(Y58=0,"",ROUNDUP(Y58/H58,0)*0.01898),"")</f>
        <v>9.4899999999999998E-2</v>
      </c>
      <c r="AA58" s="65" t="s">
        <v>46</v>
      </c>
      <c r="AB58" s="66" t="s">
        <v>46</v>
      </c>
      <c r="AC58" s="113" t="s">
        <v>143</v>
      </c>
      <c r="AG58" s="75"/>
      <c r="AJ58" s="79" t="s">
        <v>46</v>
      </c>
      <c r="AK58" s="79">
        <v>0</v>
      </c>
      <c r="BB58" s="114" t="s">
        <v>67</v>
      </c>
      <c r="BM58" s="75">
        <f t="shared" ref="BM58:BM63" si="7">IFERROR(X58*I58/H58,"0")</f>
        <v>58.050000000000004</v>
      </c>
      <c r="BN58" s="75">
        <f t="shared" ref="BN58:BN63" si="8">IFERROR(Y58*I58/H58,"0")</f>
        <v>58.050000000000004</v>
      </c>
      <c r="BO58" s="75">
        <f t="shared" ref="BO58:BO63" si="9">IFERROR(1/J58*(X58/H58),"0")</f>
        <v>7.8125E-2</v>
      </c>
      <c r="BP58" s="75">
        <f t="shared" ref="BP58:BP63" si="10">IFERROR(1/J58*(Y58/H58),"0")</f>
        <v>7.8125E-2</v>
      </c>
    </row>
    <row r="59" spans="1:68" ht="27" customHeight="1" x14ac:dyDescent="0.25">
      <c r="A59" s="60" t="s">
        <v>144</v>
      </c>
      <c r="B59" s="60" t="s">
        <v>145</v>
      </c>
      <c r="C59" s="34">
        <v>4301011816</v>
      </c>
      <c r="D59" s="646">
        <v>4680115881426</v>
      </c>
      <c r="E59" s="646"/>
      <c r="F59" s="59">
        <v>1.35</v>
      </c>
      <c r="G59" s="35">
        <v>8</v>
      </c>
      <c r="H59" s="59">
        <v>10.8</v>
      </c>
      <c r="I59" s="59">
        <v>11.21</v>
      </c>
      <c r="J59" s="35">
        <v>64</v>
      </c>
      <c r="K59" s="35" t="s">
        <v>130</v>
      </c>
      <c r="L59" s="35" t="s">
        <v>46</v>
      </c>
      <c r="M59" s="36" t="s">
        <v>129</v>
      </c>
      <c r="N59" s="36"/>
      <c r="O59" s="35">
        <v>50</v>
      </c>
      <c r="P59" s="67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108</v>
      </c>
      <c r="Y59" s="53">
        <f t="shared" si="6"/>
        <v>108</v>
      </c>
      <c r="Z59" s="39">
        <f>IFERROR(IF(Y59=0,"",ROUNDUP(Y59/H59,0)*0.01898),"")</f>
        <v>0.1898</v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si="7"/>
        <v>112.1</v>
      </c>
      <c r="BN59" s="75">
        <f t="shared" si="8"/>
        <v>112.1</v>
      </c>
      <c r="BO59" s="75">
        <f t="shared" si="9"/>
        <v>0.15625</v>
      </c>
      <c r="BP59" s="75">
        <f t="shared" si="10"/>
        <v>0.15625</v>
      </c>
    </row>
    <row r="60" spans="1:68" ht="27" customHeight="1" x14ac:dyDescent="0.25">
      <c r="A60" s="60" t="s">
        <v>147</v>
      </c>
      <c r="B60" s="60" t="s">
        <v>148</v>
      </c>
      <c r="C60" s="34">
        <v>4301011386</v>
      </c>
      <c r="D60" s="646">
        <v>4680115880283</v>
      </c>
      <c r="E60" s="646"/>
      <c r="F60" s="59">
        <v>0.6</v>
      </c>
      <c r="G60" s="35">
        <v>8</v>
      </c>
      <c r="H60" s="59">
        <v>4.8</v>
      </c>
      <c r="I60" s="59">
        <v>4.99</v>
      </c>
      <c r="J60" s="35">
        <v>132</v>
      </c>
      <c r="K60" s="35" t="s">
        <v>137</v>
      </c>
      <c r="L60" s="35" t="s">
        <v>46</v>
      </c>
      <c r="M60" s="36" t="s">
        <v>129</v>
      </c>
      <c r="N60" s="36"/>
      <c r="O60" s="35">
        <v>45</v>
      </c>
      <c r="P60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9.6</v>
      </c>
      <c r="Y60" s="53">
        <f t="shared" si="6"/>
        <v>9.6</v>
      </c>
      <c r="Z60" s="39">
        <f>IFERROR(IF(Y60=0,"",ROUNDUP(Y60/H60,0)*0.00902),"")</f>
        <v>1.804E-2</v>
      </c>
      <c r="AA60" s="65" t="s">
        <v>46</v>
      </c>
      <c r="AB60" s="66" t="s">
        <v>46</v>
      </c>
      <c r="AC60" s="117" t="s">
        <v>149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9.98</v>
      </c>
      <c r="BN60" s="75">
        <f t="shared" si="8"/>
        <v>9.98</v>
      </c>
      <c r="BO60" s="75">
        <f t="shared" si="9"/>
        <v>1.5151515151515152E-2</v>
      </c>
      <c r="BP60" s="75">
        <f t="shared" si="10"/>
        <v>1.5151515151515152E-2</v>
      </c>
    </row>
    <row r="61" spans="1:68" ht="27" customHeight="1" x14ac:dyDescent="0.25">
      <c r="A61" s="60" t="s">
        <v>150</v>
      </c>
      <c r="B61" s="60" t="s">
        <v>151</v>
      </c>
      <c r="C61" s="34">
        <v>4301011806</v>
      </c>
      <c r="D61" s="646">
        <v>4680115881525</v>
      </c>
      <c r="E61" s="646"/>
      <c r="F61" s="59">
        <v>0.4</v>
      </c>
      <c r="G61" s="35">
        <v>10</v>
      </c>
      <c r="H61" s="59">
        <v>4</v>
      </c>
      <c r="I61" s="59">
        <v>4.1900000000000004</v>
      </c>
      <c r="J61" s="35">
        <v>132</v>
      </c>
      <c r="K61" s="35" t="s">
        <v>137</v>
      </c>
      <c r="L61" s="35" t="s">
        <v>46</v>
      </c>
      <c r="M61" s="36" t="s">
        <v>129</v>
      </c>
      <c r="N61" s="36"/>
      <c r="O61" s="35">
        <v>50</v>
      </c>
      <c r="P61" s="67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/>
      <c r="Y61" s="53">
        <f t="shared" si="6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19" t="s">
        <v>152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customHeight="1" x14ac:dyDescent="0.25">
      <c r="A62" s="60" t="s">
        <v>153</v>
      </c>
      <c r="B62" s="60" t="s">
        <v>154</v>
      </c>
      <c r="C62" s="34">
        <v>4301011589</v>
      </c>
      <c r="D62" s="646">
        <v>4680115885899</v>
      </c>
      <c r="E62" s="646"/>
      <c r="F62" s="59">
        <v>0.35</v>
      </c>
      <c r="G62" s="35">
        <v>6</v>
      </c>
      <c r="H62" s="59">
        <v>2.1</v>
      </c>
      <c r="I62" s="59">
        <v>2.2799999999999998</v>
      </c>
      <c r="J62" s="35">
        <v>182</v>
      </c>
      <c r="K62" s="35" t="s">
        <v>82</v>
      </c>
      <c r="L62" s="35" t="s">
        <v>46</v>
      </c>
      <c r="M62" s="36" t="s">
        <v>97</v>
      </c>
      <c r="N62" s="36"/>
      <c r="O62" s="35">
        <v>50</v>
      </c>
      <c r="P62" s="6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10.5</v>
      </c>
      <c r="Y62" s="53">
        <f t="shared" si="6"/>
        <v>10.5</v>
      </c>
      <c r="Z62" s="39">
        <f>IFERROR(IF(Y62=0,"",ROUNDUP(Y62/H62,0)*0.00651),"")</f>
        <v>3.2550000000000003E-2</v>
      </c>
      <c r="AA62" s="65" t="s">
        <v>46</v>
      </c>
      <c r="AB62" s="66" t="s">
        <v>46</v>
      </c>
      <c r="AC62" s="121" t="s">
        <v>155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11.399999999999999</v>
      </c>
      <c r="BN62" s="75">
        <f t="shared" si="8"/>
        <v>11.399999999999999</v>
      </c>
      <c r="BO62" s="75">
        <f t="shared" si="9"/>
        <v>2.7472527472527476E-2</v>
      </c>
      <c r="BP62" s="75">
        <f t="shared" si="10"/>
        <v>2.7472527472527476E-2</v>
      </c>
    </row>
    <row r="63" spans="1:68" ht="37.5" customHeight="1" x14ac:dyDescent="0.25">
      <c r="A63" s="60" t="s">
        <v>156</v>
      </c>
      <c r="B63" s="60" t="s">
        <v>157</v>
      </c>
      <c r="C63" s="34">
        <v>4301011801</v>
      </c>
      <c r="D63" s="646">
        <v>4680115881419</v>
      </c>
      <c r="E63" s="646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137</v>
      </c>
      <c r="L63" s="35" t="s">
        <v>46</v>
      </c>
      <c r="M63" s="36" t="s">
        <v>129</v>
      </c>
      <c r="N63" s="36"/>
      <c r="O63" s="35">
        <v>50</v>
      </c>
      <c r="P63" s="67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45</v>
      </c>
      <c r="Y63" s="53">
        <f t="shared" si="6"/>
        <v>45</v>
      </c>
      <c r="Z63" s="39">
        <f>IFERROR(IF(Y63=0,"",ROUNDUP(Y63/H63,0)*0.00902),"")</f>
        <v>9.0200000000000002E-2</v>
      </c>
      <c r="AA63" s="65" t="s">
        <v>46</v>
      </c>
      <c r="AB63" s="66" t="s">
        <v>46</v>
      </c>
      <c r="AC63" s="123" t="s">
        <v>158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46.900000000000006</v>
      </c>
      <c r="BN63" s="75">
        <f t="shared" si="8"/>
        <v>46.900000000000006</v>
      </c>
      <c r="BO63" s="75">
        <f t="shared" si="9"/>
        <v>7.575757575757576E-2</v>
      </c>
      <c r="BP63" s="75">
        <f t="shared" si="10"/>
        <v>7.575757575757576E-2</v>
      </c>
    </row>
    <row r="64" spans="1:68" x14ac:dyDescent="0.2">
      <c r="A64" s="654"/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5"/>
      <c r="P64" s="651" t="s">
        <v>40</v>
      </c>
      <c r="Q64" s="652"/>
      <c r="R64" s="652"/>
      <c r="S64" s="652"/>
      <c r="T64" s="652"/>
      <c r="U64" s="652"/>
      <c r="V64" s="653"/>
      <c r="W64" s="40" t="s">
        <v>39</v>
      </c>
      <c r="X64" s="41">
        <f>IFERROR(X58/H58,"0")+IFERROR(X59/H59,"0")+IFERROR(X60/H60,"0")+IFERROR(X61/H61,"0")+IFERROR(X62/H62,"0")+IFERROR(X63/H63,"0")</f>
        <v>32</v>
      </c>
      <c r="Y64" s="41">
        <f>IFERROR(Y58/H58,"0")+IFERROR(Y59/H59,"0")+IFERROR(Y60/H60,"0")+IFERROR(Y61/H61,"0")+IFERROR(Y62/H62,"0")+IFERROR(Y63/H63,"0")</f>
        <v>32</v>
      </c>
      <c r="Z64" s="41">
        <f>IFERROR(IF(Z58="",0,Z58),"0")+IFERROR(IF(Z59="",0,Z59),"0")+IFERROR(IF(Z60="",0,Z60),"0")+IFERROR(IF(Z61="",0,Z61),"0")+IFERROR(IF(Z62="",0,Z62),"0")+IFERROR(IF(Z63="",0,Z63),"0")</f>
        <v>0.42549000000000003</v>
      </c>
      <c r="AA64" s="64"/>
      <c r="AB64" s="64"/>
      <c r="AC64" s="64"/>
    </row>
    <row r="65" spans="1:68" x14ac:dyDescent="0.2">
      <c r="A65" s="654"/>
      <c r="B65" s="654"/>
      <c r="C65" s="654"/>
      <c r="D65" s="654"/>
      <c r="E65" s="654"/>
      <c r="F65" s="654"/>
      <c r="G65" s="654"/>
      <c r="H65" s="654"/>
      <c r="I65" s="654"/>
      <c r="J65" s="654"/>
      <c r="K65" s="654"/>
      <c r="L65" s="654"/>
      <c r="M65" s="654"/>
      <c r="N65" s="654"/>
      <c r="O65" s="655"/>
      <c r="P65" s="651" t="s">
        <v>40</v>
      </c>
      <c r="Q65" s="652"/>
      <c r="R65" s="652"/>
      <c r="S65" s="652"/>
      <c r="T65" s="652"/>
      <c r="U65" s="652"/>
      <c r="V65" s="653"/>
      <c r="W65" s="40" t="s">
        <v>0</v>
      </c>
      <c r="X65" s="41">
        <f>IFERROR(SUM(X58:X63),"0")</f>
        <v>229.1</v>
      </c>
      <c r="Y65" s="41">
        <f>IFERROR(SUM(Y58:Y63),"0")</f>
        <v>229.1</v>
      </c>
      <c r="Z65" s="40"/>
      <c r="AA65" s="64"/>
      <c r="AB65" s="64"/>
      <c r="AC65" s="64"/>
    </row>
    <row r="66" spans="1:68" ht="14.25" customHeight="1" x14ac:dyDescent="0.25">
      <c r="A66" s="645" t="s">
        <v>159</v>
      </c>
      <c r="B66" s="645"/>
      <c r="C66" s="645"/>
      <c r="D66" s="645"/>
      <c r="E66" s="645"/>
      <c r="F66" s="645"/>
      <c r="G66" s="645"/>
      <c r="H66" s="645"/>
      <c r="I66" s="645"/>
      <c r="J66" s="645"/>
      <c r="K66" s="645"/>
      <c r="L66" s="645"/>
      <c r="M66" s="645"/>
      <c r="N66" s="645"/>
      <c r="O66" s="645"/>
      <c r="P66" s="645"/>
      <c r="Q66" s="645"/>
      <c r="R66" s="645"/>
      <c r="S66" s="645"/>
      <c r="T66" s="645"/>
      <c r="U66" s="645"/>
      <c r="V66" s="645"/>
      <c r="W66" s="645"/>
      <c r="X66" s="645"/>
      <c r="Y66" s="645"/>
      <c r="Z66" s="645"/>
      <c r="AA66" s="63"/>
      <c r="AB66" s="63"/>
      <c r="AC66" s="63"/>
    </row>
    <row r="67" spans="1:68" ht="16.5" customHeight="1" x14ac:dyDescent="0.25">
      <c r="A67" s="60" t="s">
        <v>160</v>
      </c>
      <c r="B67" s="60" t="s">
        <v>161</v>
      </c>
      <c r="C67" s="34">
        <v>4301020298</v>
      </c>
      <c r="D67" s="646">
        <v>4680115881440</v>
      </c>
      <c r="E67" s="646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130</v>
      </c>
      <c r="L67" s="35" t="s">
        <v>46</v>
      </c>
      <c r="M67" s="36" t="s">
        <v>129</v>
      </c>
      <c r="N67" s="36"/>
      <c r="O67" s="35">
        <v>50</v>
      </c>
      <c r="P67" s="6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48"/>
      <c r="R67" s="648"/>
      <c r="S67" s="648"/>
      <c r="T67" s="649"/>
      <c r="U67" s="37" t="s">
        <v>46</v>
      </c>
      <c r="V67" s="37" t="s">
        <v>46</v>
      </c>
      <c r="W67" s="38" t="s">
        <v>0</v>
      </c>
      <c r="X67" s="56">
        <v>162</v>
      </c>
      <c r="Y67" s="53">
        <f>IFERROR(IF(X67="",0,CEILING((X67/$H67),1)*$H67),"")</f>
        <v>162</v>
      </c>
      <c r="Z67" s="39">
        <f>IFERROR(IF(Y67=0,"",ROUNDUP(Y67/H67,0)*0.01898),"")</f>
        <v>0.28470000000000001</v>
      </c>
      <c r="AA67" s="65" t="s">
        <v>46</v>
      </c>
      <c r="AB67" s="66" t="s">
        <v>46</v>
      </c>
      <c r="AC67" s="125" t="s">
        <v>162</v>
      </c>
      <c r="AG67" s="75"/>
      <c r="AJ67" s="79" t="s">
        <v>46</v>
      </c>
      <c r="AK67" s="79">
        <v>0</v>
      </c>
      <c r="BB67" s="126" t="s">
        <v>67</v>
      </c>
      <c r="BM67" s="75">
        <f>IFERROR(X67*I67/H67,"0")</f>
        <v>168.15</v>
      </c>
      <c r="BN67" s="75">
        <f>IFERROR(Y67*I67/H67,"0")</f>
        <v>168.15</v>
      </c>
      <c r="BO67" s="75">
        <f>IFERROR(1/J67*(X67/H67),"0")</f>
        <v>0.23437499999999997</v>
      </c>
      <c r="BP67" s="75">
        <f>IFERROR(1/J67*(Y67/H67),"0")</f>
        <v>0.23437499999999997</v>
      </c>
    </row>
    <row r="68" spans="1:68" ht="16.5" customHeight="1" x14ac:dyDescent="0.25">
      <c r="A68" s="60" t="s">
        <v>163</v>
      </c>
      <c r="B68" s="60" t="s">
        <v>164</v>
      </c>
      <c r="C68" s="34">
        <v>4301020358</v>
      </c>
      <c r="D68" s="646">
        <v>4680115885950</v>
      </c>
      <c r="E68" s="646"/>
      <c r="F68" s="59">
        <v>0.37</v>
      </c>
      <c r="G68" s="35">
        <v>6</v>
      </c>
      <c r="H68" s="59">
        <v>2.2200000000000002</v>
      </c>
      <c r="I68" s="59">
        <v>2.4</v>
      </c>
      <c r="J68" s="35">
        <v>182</v>
      </c>
      <c r="K68" s="35" t="s">
        <v>82</v>
      </c>
      <c r="L68" s="35" t="s">
        <v>46</v>
      </c>
      <c r="M68" s="36" t="s">
        <v>91</v>
      </c>
      <c r="N68" s="36"/>
      <c r="O68" s="35">
        <v>50</v>
      </c>
      <c r="P68" s="6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8" s="648"/>
      <c r="R68" s="648"/>
      <c r="S68" s="648"/>
      <c r="T68" s="649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27" t="s">
        <v>162</v>
      </c>
      <c r="AG68" s="75"/>
      <c r="AJ68" s="79" t="s">
        <v>46</v>
      </c>
      <c r="AK68" s="79">
        <v>0</v>
      </c>
      <c r="BB68" s="128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customHeight="1" x14ac:dyDescent="0.25">
      <c r="A69" s="60" t="s">
        <v>165</v>
      </c>
      <c r="B69" s="60" t="s">
        <v>166</v>
      </c>
      <c r="C69" s="34">
        <v>4301020371</v>
      </c>
      <c r="D69" s="646">
        <v>4680115887688</v>
      </c>
      <c r="E69" s="646"/>
      <c r="F69" s="59">
        <v>0.1</v>
      </c>
      <c r="G69" s="35">
        <v>10</v>
      </c>
      <c r="H69" s="59">
        <v>1</v>
      </c>
      <c r="I69" s="59">
        <v>1.21</v>
      </c>
      <c r="J69" s="35">
        <v>192</v>
      </c>
      <c r="K69" s="35" t="s">
        <v>134</v>
      </c>
      <c r="L69" s="35" t="s">
        <v>46</v>
      </c>
      <c r="M69" s="36" t="s">
        <v>81</v>
      </c>
      <c r="N69" s="36"/>
      <c r="O69" s="35">
        <v>30</v>
      </c>
      <c r="P69" s="67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9" s="648"/>
      <c r="R69" s="648"/>
      <c r="S69" s="648"/>
      <c r="T69" s="649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IFERROR(IF(Y69=0,"",ROUNDUP(Y69/H69,0)*0.00726),"")</f>
        <v/>
      </c>
      <c r="AA69" s="65" t="s">
        <v>46</v>
      </c>
      <c r="AB69" s="66" t="s">
        <v>46</v>
      </c>
      <c r="AC69" s="129" t="s">
        <v>167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27" customHeight="1" x14ac:dyDescent="0.25">
      <c r="A70" s="60" t="s">
        <v>168</v>
      </c>
      <c r="B70" s="60" t="s">
        <v>169</v>
      </c>
      <c r="C70" s="34">
        <v>4301020296</v>
      </c>
      <c r="D70" s="646">
        <v>4680115881433</v>
      </c>
      <c r="E70" s="646"/>
      <c r="F70" s="59">
        <v>0.45</v>
      </c>
      <c r="G70" s="35">
        <v>6</v>
      </c>
      <c r="H70" s="59">
        <v>2.7</v>
      </c>
      <c r="I70" s="59">
        <v>2.88</v>
      </c>
      <c r="J70" s="35">
        <v>182</v>
      </c>
      <c r="K70" s="35" t="s">
        <v>82</v>
      </c>
      <c r="L70" s="35" t="s">
        <v>46</v>
      </c>
      <c r="M70" s="36" t="s">
        <v>129</v>
      </c>
      <c r="N70" s="36"/>
      <c r="O70" s="35">
        <v>50</v>
      </c>
      <c r="P70" s="67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27</v>
      </c>
      <c r="Y70" s="53">
        <f>IFERROR(IF(X70="",0,CEILING((X70/$H70),1)*$H70),"")</f>
        <v>27</v>
      </c>
      <c r="Z70" s="39">
        <f>IFERROR(IF(Y70=0,"",ROUNDUP(Y70/H70,0)*0.00651),"")</f>
        <v>6.5100000000000005E-2</v>
      </c>
      <c r="AA70" s="65" t="s">
        <v>46</v>
      </c>
      <c r="AB70" s="66" t="s">
        <v>46</v>
      </c>
      <c r="AC70" s="131" t="s">
        <v>162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28.799999999999994</v>
      </c>
      <c r="BN70" s="75">
        <f>IFERROR(Y70*I70/H70,"0")</f>
        <v>28.799999999999994</v>
      </c>
      <c r="BO70" s="75">
        <f>IFERROR(1/J70*(X70/H70),"0")</f>
        <v>5.4945054945054951E-2</v>
      </c>
      <c r="BP70" s="75">
        <f>IFERROR(1/J70*(Y70/H70),"0")</f>
        <v>5.4945054945054951E-2</v>
      </c>
    </row>
    <row r="71" spans="1:68" x14ac:dyDescent="0.2">
      <c r="A71" s="654"/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5"/>
      <c r="P71" s="651" t="s">
        <v>40</v>
      </c>
      <c r="Q71" s="652"/>
      <c r="R71" s="652"/>
      <c r="S71" s="652"/>
      <c r="T71" s="652"/>
      <c r="U71" s="652"/>
      <c r="V71" s="653"/>
      <c r="W71" s="40" t="s">
        <v>39</v>
      </c>
      <c r="X71" s="41">
        <f>IFERROR(X67/H67,"0")+IFERROR(X68/H68,"0")+IFERROR(X69/H69,"0")+IFERROR(X70/H70,"0")</f>
        <v>25</v>
      </c>
      <c r="Y71" s="41">
        <f>IFERROR(Y67/H67,"0")+IFERROR(Y68/H68,"0")+IFERROR(Y69/H69,"0")+IFERROR(Y70/H70,"0")</f>
        <v>25</v>
      </c>
      <c r="Z71" s="41">
        <f>IFERROR(IF(Z67="",0,Z67),"0")+IFERROR(IF(Z68="",0,Z68),"0")+IFERROR(IF(Z69="",0,Z69),"0")+IFERROR(IF(Z70="",0,Z70),"0")</f>
        <v>0.3498</v>
      </c>
      <c r="AA71" s="64"/>
      <c r="AB71" s="64"/>
      <c r="AC71" s="64"/>
    </row>
    <row r="72" spans="1:68" x14ac:dyDescent="0.2">
      <c r="A72" s="654"/>
      <c r="B72" s="654"/>
      <c r="C72" s="654"/>
      <c r="D72" s="654"/>
      <c r="E72" s="654"/>
      <c r="F72" s="654"/>
      <c r="G72" s="654"/>
      <c r="H72" s="654"/>
      <c r="I72" s="654"/>
      <c r="J72" s="654"/>
      <c r="K72" s="654"/>
      <c r="L72" s="654"/>
      <c r="M72" s="654"/>
      <c r="N72" s="654"/>
      <c r="O72" s="655"/>
      <c r="P72" s="651" t="s">
        <v>40</v>
      </c>
      <c r="Q72" s="652"/>
      <c r="R72" s="652"/>
      <c r="S72" s="652"/>
      <c r="T72" s="652"/>
      <c r="U72" s="652"/>
      <c r="V72" s="653"/>
      <c r="W72" s="40" t="s">
        <v>0</v>
      </c>
      <c r="X72" s="41">
        <f>IFERROR(SUM(X67:X70),"0")</f>
        <v>189</v>
      </c>
      <c r="Y72" s="41">
        <f>IFERROR(SUM(Y67:Y70),"0")</f>
        <v>189</v>
      </c>
      <c r="Z72" s="40"/>
      <c r="AA72" s="64"/>
      <c r="AB72" s="64"/>
      <c r="AC72" s="64"/>
    </row>
    <row r="73" spans="1:68" ht="14.25" customHeight="1" x14ac:dyDescent="0.25">
      <c r="A73" s="645" t="s">
        <v>87</v>
      </c>
      <c r="B73" s="645"/>
      <c r="C73" s="645"/>
      <c r="D73" s="645"/>
      <c r="E73" s="645"/>
      <c r="F73" s="645"/>
      <c r="G73" s="645"/>
      <c r="H73" s="645"/>
      <c r="I73" s="645"/>
      <c r="J73" s="645"/>
      <c r="K73" s="645"/>
      <c r="L73" s="645"/>
      <c r="M73" s="645"/>
      <c r="N73" s="645"/>
      <c r="O73" s="645"/>
      <c r="P73" s="645"/>
      <c r="Q73" s="645"/>
      <c r="R73" s="645"/>
      <c r="S73" s="645"/>
      <c r="T73" s="645"/>
      <c r="U73" s="645"/>
      <c r="V73" s="645"/>
      <c r="W73" s="645"/>
      <c r="X73" s="645"/>
      <c r="Y73" s="645"/>
      <c r="Z73" s="645"/>
      <c r="AA73" s="63"/>
      <c r="AB73" s="63"/>
      <c r="AC73" s="63"/>
    </row>
    <row r="74" spans="1:68" ht="16.5" customHeight="1" x14ac:dyDescent="0.25">
      <c r="A74" s="60" t="s">
        <v>170</v>
      </c>
      <c r="B74" s="60" t="s">
        <v>171</v>
      </c>
      <c r="C74" s="34">
        <v>4301051837</v>
      </c>
      <c r="D74" s="646">
        <v>4680115884311</v>
      </c>
      <c r="E74" s="646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82</v>
      </c>
      <c r="L74" s="35" t="s">
        <v>46</v>
      </c>
      <c r="M74" s="36" t="s">
        <v>91</v>
      </c>
      <c r="N74" s="36"/>
      <c r="O74" s="35">
        <v>40</v>
      </c>
      <c r="P74" s="68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48"/>
      <c r="R74" s="648"/>
      <c r="S74" s="648"/>
      <c r="T74" s="649"/>
      <c r="U74" s="37" t="s">
        <v>46</v>
      </c>
      <c r="V74" s="37" t="s">
        <v>46</v>
      </c>
      <c r="W74" s="38" t="s">
        <v>0</v>
      </c>
      <c r="X74" s="56">
        <v>1.8</v>
      </c>
      <c r="Y74" s="53">
        <f>IFERROR(IF(X74="",0,CEILING((X74/$H74),1)*$H74),"")</f>
        <v>1.8</v>
      </c>
      <c r="Z74" s="39">
        <f>IFERROR(IF(Y74=0,"",ROUNDUP(Y74/H74,0)*0.00651),"")</f>
        <v>6.5100000000000002E-3</v>
      </c>
      <c r="AA74" s="65" t="s">
        <v>46</v>
      </c>
      <c r="AB74" s="66" t="s">
        <v>46</v>
      </c>
      <c r="AC74" s="133" t="s">
        <v>172</v>
      </c>
      <c r="AG74" s="75"/>
      <c r="AJ74" s="79" t="s">
        <v>46</v>
      </c>
      <c r="AK74" s="79">
        <v>0</v>
      </c>
      <c r="BB74" s="134" t="s">
        <v>67</v>
      </c>
      <c r="BM74" s="75">
        <f>IFERROR(X74*I74/H74,"0")</f>
        <v>2.0459999999999998</v>
      </c>
      <c r="BN74" s="75">
        <f>IFERROR(Y74*I74/H74,"0")</f>
        <v>2.0459999999999998</v>
      </c>
      <c r="BO74" s="75">
        <f>IFERROR(1/J74*(X74/H74),"0")</f>
        <v>5.4945054945054949E-3</v>
      </c>
      <c r="BP74" s="75">
        <f>IFERROR(1/J74*(Y74/H74),"0")</f>
        <v>5.4945054945054949E-3</v>
      </c>
    </row>
    <row r="75" spans="1:68" ht="27" customHeight="1" x14ac:dyDescent="0.25">
      <c r="A75" s="60" t="s">
        <v>173</v>
      </c>
      <c r="B75" s="60" t="s">
        <v>174</v>
      </c>
      <c r="C75" s="34">
        <v>4301051929</v>
      </c>
      <c r="D75" s="646">
        <v>4680115884403</v>
      </c>
      <c r="E75" s="646"/>
      <c r="F75" s="59">
        <v>0.3</v>
      </c>
      <c r="G75" s="35">
        <v>6</v>
      </c>
      <c r="H75" s="59">
        <v>1.8</v>
      </c>
      <c r="I75" s="59">
        <v>1.98</v>
      </c>
      <c r="J75" s="35">
        <v>182</v>
      </c>
      <c r="K75" s="35" t="s">
        <v>82</v>
      </c>
      <c r="L75" s="35" t="s">
        <v>46</v>
      </c>
      <c r="M75" s="36" t="s">
        <v>91</v>
      </c>
      <c r="N75" s="36"/>
      <c r="O75" s="35">
        <v>40</v>
      </c>
      <c r="P75" s="68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48"/>
      <c r="R75" s="648"/>
      <c r="S75" s="648"/>
      <c r="T75" s="649"/>
      <c r="U75" s="37" t="s">
        <v>46</v>
      </c>
      <c r="V75" s="37" t="s">
        <v>46</v>
      </c>
      <c r="W75" s="38" t="s">
        <v>0</v>
      </c>
      <c r="X75" s="56">
        <v>1.8</v>
      </c>
      <c r="Y75" s="53">
        <f>IFERROR(IF(X75="",0,CEILING((X75/$H75),1)*$H75),"")</f>
        <v>1.8</v>
      </c>
      <c r="Z75" s="39">
        <f>IFERROR(IF(Y75=0,"",ROUNDUP(Y75/H75,0)*0.00651),"")</f>
        <v>6.5100000000000002E-3</v>
      </c>
      <c r="AA75" s="65" t="s">
        <v>46</v>
      </c>
      <c r="AB75" s="66" t="s">
        <v>46</v>
      </c>
      <c r="AC75" s="135" t="s">
        <v>175</v>
      </c>
      <c r="AG75" s="75"/>
      <c r="AJ75" s="79" t="s">
        <v>46</v>
      </c>
      <c r="AK75" s="79">
        <v>0</v>
      </c>
      <c r="BB75" s="136" t="s">
        <v>67</v>
      </c>
      <c r="BM75" s="75">
        <f>IFERROR(X75*I75/H75,"0")</f>
        <v>1.98</v>
      </c>
      <c r="BN75" s="75">
        <f>IFERROR(Y75*I75/H75,"0")</f>
        <v>1.98</v>
      </c>
      <c r="BO75" s="75">
        <f>IFERROR(1/J75*(X75/H75),"0")</f>
        <v>5.4945054945054949E-3</v>
      </c>
      <c r="BP75" s="75">
        <f>IFERROR(1/J75*(Y75/H75),"0")</f>
        <v>5.4945054945054949E-3</v>
      </c>
    </row>
    <row r="76" spans="1:68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51" t="s">
        <v>40</v>
      </c>
      <c r="Q76" s="652"/>
      <c r="R76" s="652"/>
      <c r="S76" s="652"/>
      <c r="T76" s="652"/>
      <c r="U76" s="652"/>
      <c r="V76" s="653"/>
      <c r="W76" s="40" t="s">
        <v>39</v>
      </c>
      <c r="X76" s="41">
        <f>IFERROR(X74/H74,"0")+IFERROR(X75/H75,"0")</f>
        <v>2</v>
      </c>
      <c r="Y76" s="41">
        <f>IFERROR(Y74/H74,"0")+IFERROR(Y75/H75,"0")</f>
        <v>2</v>
      </c>
      <c r="Z76" s="41">
        <f>IFERROR(IF(Z74="",0,Z74),"0")+IFERROR(IF(Z75="",0,Z75),"0")</f>
        <v>1.302E-2</v>
      </c>
      <c r="AA76" s="64"/>
      <c r="AB76" s="64"/>
      <c r="AC76" s="64"/>
    </row>
    <row r="77" spans="1:68" x14ac:dyDescent="0.2">
      <c r="A77" s="654"/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5"/>
      <c r="P77" s="651" t="s">
        <v>40</v>
      </c>
      <c r="Q77" s="652"/>
      <c r="R77" s="652"/>
      <c r="S77" s="652"/>
      <c r="T77" s="652"/>
      <c r="U77" s="652"/>
      <c r="V77" s="653"/>
      <c r="W77" s="40" t="s">
        <v>0</v>
      </c>
      <c r="X77" s="41">
        <f>IFERROR(SUM(X74:X75),"0")</f>
        <v>3.6</v>
      </c>
      <c r="Y77" s="41">
        <f>IFERROR(SUM(Y74:Y75),"0")</f>
        <v>3.6</v>
      </c>
      <c r="Z77" s="40"/>
      <c r="AA77" s="64"/>
      <c r="AB77" s="64"/>
      <c r="AC77" s="64"/>
    </row>
    <row r="78" spans="1:68" ht="14.25" customHeight="1" x14ac:dyDescent="0.25">
      <c r="A78" s="645" t="s">
        <v>176</v>
      </c>
      <c r="B78" s="645"/>
      <c r="C78" s="645"/>
      <c r="D78" s="645"/>
      <c r="E78" s="645"/>
      <c r="F78" s="645"/>
      <c r="G78" s="645"/>
      <c r="H78" s="645"/>
      <c r="I78" s="645"/>
      <c r="J78" s="645"/>
      <c r="K78" s="645"/>
      <c r="L78" s="645"/>
      <c r="M78" s="645"/>
      <c r="N78" s="645"/>
      <c r="O78" s="645"/>
      <c r="P78" s="645"/>
      <c r="Q78" s="645"/>
      <c r="R78" s="645"/>
      <c r="S78" s="645"/>
      <c r="T78" s="645"/>
      <c r="U78" s="645"/>
      <c r="V78" s="645"/>
      <c r="W78" s="645"/>
      <c r="X78" s="645"/>
      <c r="Y78" s="645"/>
      <c r="Z78" s="645"/>
      <c r="AA78" s="63"/>
      <c r="AB78" s="63"/>
      <c r="AC78" s="63"/>
    </row>
    <row r="79" spans="1:68" ht="27" customHeight="1" x14ac:dyDescent="0.25">
      <c r="A79" s="60" t="s">
        <v>177</v>
      </c>
      <c r="B79" s="60" t="s">
        <v>178</v>
      </c>
      <c r="C79" s="34">
        <v>4301060455</v>
      </c>
      <c r="D79" s="646">
        <v>4680115881532</v>
      </c>
      <c r="E79" s="646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130</v>
      </c>
      <c r="L79" s="35" t="s">
        <v>46</v>
      </c>
      <c r="M79" s="36" t="s">
        <v>97</v>
      </c>
      <c r="N79" s="36"/>
      <c r="O79" s="35">
        <v>30</v>
      </c>
      <c r="P79" s="6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48"/>
      <c r="R79" s="648"/>
      <c r="S79" s="648"/>
      <c r="T79" s="649"/>
      <c r="U79" s="37" t="s">
        <v>46</v>
      </c>
      <c r="V79" s="37" t="s">
        <v>46</v>
      </c>
      <c r="W79" s="38" t="s">
        <v>0</v>
      </c>
      <c r="X79" s="56">
        <v>7.8</v>
      </c>
      <c r="Y79" s="53">
        <f>IFERROR(IF(X79="",0,CEILING((X79/$H79),1)*$H79),"")</f>
        <v>7.8</v>
      </c>
      <c r="Z79" s="39">
        <f>IFERROR(IF(Y79=0,"",ROUNDUP(Y79/H79,0)*0.01898),"")</f>
        <v>1.898E-2</v>
      </c>
      <c r="AA79" s="65" t="s">
        <v>46</v>
      </c>
      <c r="AB79" s="66" t="s">
        <v>46</v>
      </c>
      <c r="AC79" s="137" t="s">
        <v>179</v>
      </c>
      <c r="AG79" s="75"/>
      <c r="AJ79" s="79" t="s">
        <v>46</v>
      </c>
      <c r="AK79" s="79">
        <v>0</v>
      </c>
      <c r="BB79" s="138" t="s">
        <v>67</v>
      </c>
      <c r="BM79" s="75">
        <f>IFERROR(X79*I79/H79,"0")</f>
        <v>8.2100000000000009</v>
      </c>
      <c r="BN79" s="75">
        <f>IFERROR(Y79*I79/H79,"0")</f>
        <v>8.2100000000000009</v>
      </c>
      <c r="BO79" s="75">
        <f>IFERROR(1/J79*(X79/H79),"0")</f>
        <v>1.5625E-2</v>
      </c>
      <c r="BP79" s="75">
        <f>IFERROR(1/J79*(Y79/H79),"0")</f>
        <v>1.5625E-2</v>
      </c>
    </row>
    <row r="80" spans="1:68" ht="27" customHeight="1" x14ac:dyDescent="0.25">
      <c r="A80" s="60" t="s">
        <v>180</v>
      </c>
      <c r="B80" s="60" t="s">
        <v>181</v>
      </c>
      <c r="C80" s="34">
        <v>4301060351</v>
      </c>
      <c r="D80" s="646">
        <v>4680115881464</v>
      </c>
      <c r="E80" s="646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137</v>
      </c>
      <c r="L80" s="35" t="s">
        <v>46</v>
      </c>
      <c r="M80" s="36" t="s">
        <v>91</v>
      </c>
      <c r="N80" s="36"/>
      <c r="O80" s="35">
        <v>30</v>
      </c>
      <c r="P80" s="6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48"/>
      <c r="R80" s="648"/>
      <c r="S80" s="648"/>
      <c r="T80" s="64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39" t="s">
        <v>182</v>
      </c>
      <c r="AG80" s="75"/>
      <c r="AJ80" s="79" t="s">
        <v>46</v>
      </c>
      <c r="AK80" s="79">
        <v>0</v>
      </c>
      <c r="BB80" s="140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654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51" t="s">
        <v>40</v>
      </c>
      <c r="Q81" s="652"/>
      <c r="R81" s="652"/>
      <c r="S81" s="652"/>
      <c r="T81" s="652"/>
      <c r="U81" s="652"/>
      <c r="V81" s="653"/>
      <c r="W81" s="40" t="s">
        <v>39</v>
      </c>
      <c r="X81" s="41">
        <f>IFERROR(X79/H79,"0")+IFERROR(X80/H80,"0")</f>
        <v>1</v>
      </c>
      <c r="Y81" s="41">
        <f>IFERROR(Y79/H79,"0")+IFERROR(Y80/H80,"0")</f>
        <v>1</v>
      </c>
      <c r="Z81" s="41">
        <f>IFERROR(IF(Z79="",0,Z79),"0")+IFERROR(IF(Z80="",0,Z80),"0")</f>
        <v>1.898E-2</v>
      </c>
      <c r="AA81" s="64"/>
      <c r="AB81" s="64"/>
      <c r="AC81" s="64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51" t="s">
        <v>40</v>
      </c>
      <c r="Q82" s="652"/>
      <c r="R82" s="652"/>
      <c r="S82" s="652"/>
      <c r="T82" s="652"/>
      <c r="U82" s="652"/>
      <c r="V82" s="653"/>
      <c r="W82" s="40" t="s">
        <v>0</v>
      </c>
      <c r="X82" s="41">
        <f>IFERROR(SUM(X79:X80),"0")</f>
        <v>7.8</v>
      </c>
      <c r="Y82" s="41">
        <f>IFERROR(SUM(Y79:Y80),"0")</f>
        <v>7.8</v>
      </c>
      <c r="Z82" s="40"/>
      <c r="AA82" s="64"/>
      <c r="AB82" s="64"/>
      <c r="AC82" s="64"/>
    </row>
    <row r="83" spans="1:68" ht="16.5" customHeight="1" x14ac:dyDescent="0.25">
      <c r="A83" s="644" t="s">
        <v>183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2"/>
      <c r="AB83" s="62"/>
      <c r="AC83" s="62"/>
    </row>
    <row r="84" spans="1:68" ht="14.25" customHeight="1" x14ac:dyDescent="0.25">
      <c r="A84" s="645" t="s">
        <v>125</v>
      </c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5"/>
      <c r="P84" s="645"/>
      <c r="Q84" s="645"/>
      <c r="R84" s="645"/>
      <c r="S84" s="645"/>
      <c r="T84" s="645"/>
      <c r="U84" s="645"/>
      <c r="V84" s="645"/>
      <c r="W84" s="645"/>
      <c r="X84" s="645"/>
      <c r="Y84" s="645"/>
      <c r="Z84" s="645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6">
        <v>4680115881327</v>
      </c>
      <c r="E85" s="646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130</v>
      </c>
      <c r="L85" s="35" t="s">
        <v>46</v>
      </c>
      <c r="M85" s="36" t="s">
        <v>97</v>
      </c>
      <c r="N85" s="36"/>
      <c r="O85" s="35">
        <v>50</v>
      </c>
      <c r="P85" s="6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8"/>
      <c r="R85" s="648"/>
      <c r="S85" s="648"/>
      <c r="T85" s="649"/>
      <c r="U85" s="37" t="s">
        <v>46</v>
      </c>
      <c r="V85" s="37" t="s">
        <v>46</v>
      </c>
      <c r="W85" s="38" t="s">
        <v>0</v>
      </c>
      <c r="X85" s="56">
        <v>129.6</v>
      </c>
      <c r="Y85" s="53">
        <f>IFERROR(IF(X85="",0,CEILING((X85/$H85),1)*$H85),"")</f>
        <v>129.60000000000002</v>
      </c>
      <c r="Z85" s="39">
        <f>IFERROR(IF(Y85=0,"",ROUNDUP(Y85/H85,0)*0.01898),"")</f>
        <v>0.22776000000000002</v>
      </c>
      <c r="AA85" s="65" t="s">
        <v>46</v>
      </c>
      <c r="AB85" s="66" t="s">
        <v>46</v>
      </c>
      <c r="AC85" s="141" t="s">
        <v>186</v>
      </c>
      <c r="AG85" s="75"/>
      <c r="AJ85" s="79" t="s">
        <v>46</v>
      </c>
      <c r="AK85" s="79">
        <v>0</v>
      </c>
      <c r="BB85" s="142" t="s">
        <v>67</v>
      </c>
      <c r="BM85" s="75">
        <f>IFERROR(X85*I85/H85,"0")</f>
        <v>134.51999999999998</v>
      </c>
      <c r="BN85" s="75">
        <f>IFERROR(Y85*I85/H85,"0")</f>
        <v>134.52000000000001</v>
      </c>
      <c r="BO85" s="75">
        <f>IFERROR(1/J85*(X85/H85),"0")</f>
        <v>0.18749999999999997</v>
      </c>
      <c r="BP85" s="75">
        <f>IFERROR(1/J85*(Y85/H85),"0")</f>
        <v>0.18750000000000003</v>
      </c>
    </row>
    <row r="86" spans="1:68" ht="27" customHeight="1" x14ac:dyDescent="0.25">
      <c r="A86" s="60" t="s">
        <v>187</v>
      </c>
      <c r="B86" s="60" t="s">
        <v>188</v>
      </c>
      <c r="C86" s="34">
        <v>4301011261</v>
      </c>
      <c r="D86" s="646">
        <v>4680115887732</v>
      </c>
      <c r="E86" s="646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134</v>
      </c>
      <c r="L86" s="35" t="s">
        <v>46</v>
      </c>
      <c r="M86" s="36" t="s">
        <v>81</v>
      </c>
      <c r="N86" s="36"/>
      <c r="O86" s="35">
        <v>30</v>
      </c>
      <c r="P86" s="6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8"/>
      <c r="R86" s="648"/>
      <c r="S86" s="648"/>
      <c r="T86" s="64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3" t="s">
        <v>189</v>
      </c>
      <c r="AG86" s="75"/>
      <c r="AJ86" s="79" t="s">
        <v>46</v>
      </c>
      <c r="AK86" s="79">
        <v>0</v>
      </c>
      <c r="BB86" s="144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customHeight="1" x14ac:dyDescent="0.25">
      <c r="A87" s="60" t="s">
        <v>190</v>
      </c>
      <c r="B87" s="60" t="s">
        <v>191</v>
      </c>
      <c r="C87" s="34">
        <v>4301011476</v>
      </c>
      <c r="D87" s="646">
        <v>4680115881518</v>
      </c>
      <c r="E87" s="646"/>
      <c r="F87" s="59">
        <v>0.4</v>
      </c>
      <c r="G87" s="35">
        <v>10</v>
      </c>
      <c r="H87" s="59">
        <v>4</v>
      </c>
      <c r="I87" s="59">
        <v>4.1900000000000004</v>
      </c>
      <c r="J87" s="35">
        <v>132</v>
      </c>
      <c r="K87" s="35" t="s">
        <v>137</v>
      </c>
      <c r="L87" s="35" t="s">
        <v>46</v>
      </c>
      <c r="M87" s="36" t="s">
        <v>91</v>
      </c>
      <c r="N87" s="36"/>
      <c r="O87" s="35">
        <v>50</v>
      </c>
      <c r="P87" s="68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8"/>
      <c r="R87" s="648"/>
      <c r="S87" s="648"/>
      <c r="T87" s="649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46</v>
      </c>
      <c r="AB87" s="66" t="s">
        <v>46</v>
      </c>
      <c r="AC87" s="145" t="s">
        <v>186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192</v>
      </c>
      <c r="B88" s="60" t="s">
        <v>193</v>
      </c>
      <c r="C88" s="34">
        <v>4301011443</v>
      </c>
      <c r="D88" s="646">
        <v>4680115881303</v>
      </c>
      <c r="E88" s="646"/>
      <c r="F88" s="59">
        <v>0.45</v>
      </c>
      <c r="G88" s="35">
        <v>10</v>
      </c>
      <c r="H88" s="59">
        <v>4.5</v>
      </c>
      <c r="I88" s="59">
        <v>4.6900000000000004</v>
      </c>
      <c r="J88" s="35">
        <v>132</v>
      </c>
      <c r="K88" s="35" t="s">
        <v>137</v>
      </c>
      <c r="L88" s="35" t="s">
        <v>46</v>
      </c>
      <c r="M88" s="36" t="s">
        <v>97</v>
      </c>
      <c r="N88" s="36"/>
      <c r="O88" s="35">
        <v>50</v>
      </c>
      <c r="P88" s="68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45</v>
      </c>
      <c r="Y88" s="53">
        <f>IFERROR(IF(X88="",0,CEILING((X88/$H88),1)*$H88),"")</f>
        <v>45</v>
      </c>
      <c r="Z88" s="39">
        <f>IFERROR(IF(Y88=0,"",ROUNDUP(Y88/H88,0)*0.00902),"")</f>
        <v>9.0200000000000002E-2</v>
      </c>
      <c r="AA88" s="65" t="s">
        <v>46</v>
      </c>
      <c r="AB88" s="66" t="s">
        <v>46</v>
      </c>
      <c r="AC88" s="147" t="s">
        <v>186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46.900000000000006</v>
      </c>
      <c r="BN88" s="75">
        <f>IFERROR(Y88*I88/H88,"0")</f>
        <v>46.900000000000006</v>
      </c>
      <c r="BO88" s="75">
        <f>IFERROR(1/J88*(X88/H88),"0")</f>
        <v>7.575757575757576E-2</v>
      </c>
      <c r="BP88" s="75">
        <f>IFERROR(1/J88*(Y88/H88),"0")</f>
        <v>7.575757575757576E-2</v>
      </c>
    </row>
    <row r="89" spans="1:68" x14ac:dyDescent="0.2">
      <c r="A89" s="654"/>
      <c r="B89" s="654"/>
      <c r="C89" s="654"/>
      <c r="D89" s="654"/>
      <c r="E89" s="654"/>
      <c r="F89" s="654"/>
      <c r="G89" s="654"/>
      <c r="H89" s="654"/>
      <c r="I89" s="654"/>
      <c r="J89" s="654"/>
      <c r="K89" s="654"/>
      <c r="L89" s="654"/>
      <c r="M89" s="654"/>
      <c r="N89" s="654"/>
      <c r="O89" s="655"/>
      <c r="P89" s="651" t="s">
        <v>40</v>
      </c>
      <c r="Q89" s="652"/>
      <c r="R89" s="652"/>
      <c r="S89" s="652"/>
      <c r="T89" s="652"/>
      <c r="U89" s="652"/>
      <c r="V89" s="653"/>
      <c r="W89" s="40" t="s">
        <v>39</v>
      </c>
      <c r="X89" s="41">
        <f>IFERROR(X85/H85,"0")+IFERROR(X86/H86,"0")+IFERROR(X87/H87,"0")+IFERROR(X88/H88,"0")</f>
        <v>22</v>
      </c>
      <c r="Y89" s="41">
        <f>IFERROR(Y85/H85,"0")+IFERROR(Y86/H86,"0")+IFERROR(Y87/H87,"0")+IFERROR(Y88/H88,"0")</f>
        <v>22</v>
      </c>
      <c r="Z89" s="41">
        <f>IFERROR(IF(Z85="",0,Z85),"0")+IFERROR(IF(Z86="",0,Z86),"0")+IFERROR(IF(Z87="",0,Z87),"0")+IFERROR(IF(Z88="",0,Z88),"0")</f>
        <v>0.31796000000000002</v>
      </c>
      <c r="AA89" s="64"/>
      <c r="AB89" s="64"/>
      <c r="AC89" s="64"/>
    </row>
    <row r="90" spans="1:68" x14ac:dyDescent="0.2">
      <c r="A90" s="654"/>
      <c r="B90" s="654"/>
      <c r="C90" s="654"/>
      <c r="D90" s="654"/>
      <c r="E90" s="654"/>
      <c r="F90" s="654"/>
      <c r="G90" s="654"/>
      <c r="H90" s="654"/>
      <c r="I90" s="654"/>
      <c r="J90" s="654"/>
      <c r="K90" s="654"/>
      <c r="L90" s="654"/>
      <c r="M90" s="654"/>
      <c r="N90" s="654"/>
      <c r="O90" s="655"/>
      <c r="P90" s="651" t="s">
        <v>40</v>
      </c>
      <c r="Q90" s="652"/>
      <c r="R90" s="652"/>
      <c r="S90" s="652"/>
      <c r="T90" s="652"/>
      <c r="U90" s="652"/>
      <c r="V90" s="653"/>
      <c r="W90" s="40" t="s">
        <v>0</v>
      </c>
      <c r="X90" s="41">
        <f>IFERROR(SUM(X85:X88),"0")</f>
        <v>174.6</v>
      </c>
      <c r="Y90" s="41">
        <f>IFERROR(SUM(Y85:Y88),"0")</f>
        <v>174.60000000000002</v>
      </c>
      <c r="Z90" s="40"/>
      <c r="AA90" s="64"/>
      <c r="AB90" s="64"/>
      <c r="AC90" s="64"/>
    </row>
    <row r="91" spans="1:68" ht="14.25" customHeight="1" x14ac:dyDescent="0.25">
      <c r="A91" s="645" t="s">
        <v>87</v>
      </c>
      <c r="B91" s="645"/>
      <c r="C91" s="645"/>
      <c r="D91" s="645"/>
      <c r="E91" s="645"/>
      <c r="F91" s="645"/>
      <c r="G91" s="645"/>
      <c r="H91" s="645"/>
      <c r="I91" s="645"/>
      <c r="J91" s="645"/>
      <c r="K91" s="645"/>
      <c r="L91" s="645"/>
      <c r="M91" s="645"/>
      <c r="N91" s="645"/>
      <c r="O91" s="645"/>
      <c r="P91" s="645"/>
      <c r="Q91" s="645"/>
      <c r="R91" s="645"/>
      <c r="S91" s="645"/>
      <c r="T91" s="645"/>
      <c r="U91" s="645"/>
      <c r="V91" s="645"/>
      <c r="W91" s="645"/>
      <c r="X91" s="645"/>
      <c r="Y91" s="645"/>
      <c r="Z91" s="645"/>
      <c r="AA91" s="63"/>
      <c r="AB91" s="63"/>
      <c r="AC91" s="63"/>
    </row>
    <row r="92" spans="1:68" ht="27" customHeight="1" x14ac:dyDescent="0.25">
      <c r="A92" s="60" t="s">
        <v>194</v>
      </c>
      <c r="B92" s="60" t="s">
        <v>195</v>
      </c>
      <c r="C92" s="34">
        <v>4301051712</v>
      </c>
      <c r="D92" s="646">
        <v>4607091386967</v>
      </c>
      <c r="E92" s="646"/>
      <c r="F92" s="59">
        <v>1.35</v>
      </c>
      <c r="G92" s="35">
        <v>6</v>
      </c>
      <c r="H92" s="59">
        <v>8.1</v>
      </c>
      <c r="I92" s="59">
        <v>8.5939999999999994</v>
      </c>
      <c r="J92" s="35">
        <v>64</v>
      </c>
      <c r="K92" s="35" t="s">
        <v>130</v>
      </c>
      <c r="L92" s="35" t="s">
        <v>46</v>
      </c>
      <c r="M92" s="36" t="s">
        <v>97</v>
      </c>
      <c r="N92" s="36"/>
      <c r="O92" s="35">
        <v>45</v>
      </c>
      <c r="P92" s="68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48"/>
      <c r="R92" s="648"/>
      <c r="S92" s="648"/>
      <c r="T92" s="649"/>
      <c r="U92" s="37" t="s">
        <v>46</v>
      </c>
      <c r="V92" s="37" t="s">
        <v>46</v>
      </c>
      <c r="W92" s="38" t="s">
        <v>0</v>
      </c>
      <c r="X92" s="56">
        <v>64</v>
      </c>
      <c r="Y92" s="53">
        <f>IFERROR(IF(X92="",0,CEILING((X92/$H92),1)*$H92),"")</f>
        <v>64.8</v>
      </c>
      <c r="Z92" s="39">
        <f>IFERROR(IF(Y92=0,"",ROUNDUP(Y92/H92,0)*0.01898),"")</f>
        <v>0.15184</v>
      </c>
      <c r="AA92" s="65" t="s">
        <v>46</v>
      </c>
      <c r="AB92" s="66" t="s">
        <v>46</v>
      </c>
      <c r="AC92" s="149" t="s">
        <v>196</v>
      </c>
      <c r="AG92" s="75"/>
      <c r="AJ92" s="79" t="s">
        <v>46</v>
      </c>
      <c r="AK92" s="79">
        <v>0</v>
      </c>
      <c r="BB92" s="150" t="s">
        <v>67</v>
      </c>
      <c r="BM92" s="75">
        <f>IFERROR(X92*I92/H92,"0")</f>
        <v>67.903209876543215</v>
      </c>
      <c r="BN92" s="75">
        <f>IFERROR(Y92*I92/H92,"0")</f>
        <v>68.751999999999995</v>
      </c>
      <c r="BO92" s="75">
        <f>IFERROR(1/J92*(X92/H92),"0")</f>
        <v>0.1234567901234568</v>
      </c>
      <c r="BP92" s="75">
        <f>IFERROR(1/J92*(Y92/H92),"0")</f>
        <v>0.125</v>
      </c>
    </row>
    <row r="93" spans="1:68" ht="27" customHeight="1" x14ac:dyDescent="0.25">
      <c r="A93" s="60" t="s">
        <v>197</v>
      </c>
      <c r="B93" s="60" t="s">
        <v>198</v>
      </c>
      <c r="C93" s="34">
        <v>4301051788</v>
      </c>
      <c r="D93" s="646">
        <v>4680115884953</v>
      </c>
      <c r="E93" s="646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82</v>
      </c>
      <c r="L93" s="35" t="s">
        <v>46</v>
      </c>
      <c r="M93" s="36" t="s">
        <v>91</v>
      </c>
      <c r="N93" s="36"/>
      <c r="O93" s="35">
        <v>45</v>
      </c>
      <c r="P93" s="6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48"/>
      <c r="R93" s="648"/>
      <c r="S93" s="648"/>
      <c r="T93" s="649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46</v>
      </c>
      <c r="AB93" s="66" t="s">
        <v>46</v>
      </c>
      <c r="AC93" s="151" t="s">
        <v>196</v>
      </c>
      <c r="AG93" s="75"/>
      <c r="AJ93" s="79" t="s">
        <v>46</v>
      </c>
      <c r="AK93" s="79">
        <v>0</v>
      </c>
      <c r="BB93" s="152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199</v>
      </c>
      <c r="B94" s="60" t="s">
        <v>200</v>
      </c>
      <c r="C94" s="34">
        <v>4301051718</v>
      </c>
      <c r="D94" s="646">
        <v>4607091385731</v>
      </c>
      <c r="E94" s="646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82</v>
      </c>
      <c r="L94" s="35" t="s">
        <v>46</v>
      </c>
      <c r="M94" s="36" t="s">
        <v>97</v>
      </c>
      <c r="N94" s="36"/>
      <c r="O94" s="35">
        <v>45</v>
      </c>
      <c r="P94" s="6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48"/>
      <c r="R94" s="648"/>
      <c r="S94" s="648"/>
      <c r="T94" s="649"/>
      <c r="U94" s="37" t="s">
        <v>46</v>
      </c>
      <c r="V94" s="37" t="s">
        <v>46</v>
      </c>
      <c r="W94" s="38" t="s">
        <v>0</v>
      </c>
      <c r="X94" s="56">
        <v>5.4</v>
      </c>
      <c r="Y94" s="53">
        <f>IFERROR(IF(X94="",0,CEILING((X94/$H94),1)*$H94),"")</f>
        <v>5.4</v>
      </c>
      <c r="Z94" s="39">
        <f>IFERROR(IF(Y94=0,"",ROUNDUP(Y94/H94,0)*0.00651),"")</f>
        <v>1.302E-2</v>
      </c>
      <c r="AA94" s="65" t="s">
        <v>46</v>
      </c>
      <c r="AB94" s="66" t="s">
        <v>46</v>
      </c>
      <c r="AC94" s="153" t="s">
        <v>196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5.9039999999999999</v>
      </c>
      <c r="BN94" s="75">
        <f>IFERROR(Y94*I94/H94,"0")</f>
        <v>5.9039999999999999</v>
      </c>
      <c r="BO94" s="75">
        <f>IFERROR(1/J94*(X94/H94),"0")</f>
        <v>1.098901098901099E-2</v>
      </c>
      <c r="BP94" s="75">
        <f>IFERROR(1/J94*(Y94/H94),"0")</f>
        <v>1.098901098901099E-2</v>
      </c>
    </row>
    <row r="95" spans="1:68" ht="16.5" customHeight="1" x14ac:dyDescent="0.25">
      <c r="A95" s="60" t="s">
        <v>201</v>
      </c>
      <c r="B95" s="60" t="s">
        <v>202</v>
      </c>
      <c r="C95" s="34">
        <v>4301052092</v>
      </c>
      <c r="D95" s="646">
        <v>4680115880894</v>
      </c>
      <c r="E95" s="646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82</v>
      </c>
      <c r="L95" s="35" t="s">
        <v>46</v>
      </c>
      <c r="M95" s="36" t="s">
        <v>91</v>
      </c>
      <c r="N95" s="36"/>
      <c r="O95" s="35">
        <v>45</v>
      </c>
      <c r="P95" s="6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1.98</v>
      </c>
      <c r="Y95" s="53">
        <f>IFERROR(IF(X95="",0,CEILING((X95/$H95),1)*$H95),"")</f>
        <v>1.98</v>
      </c>
      <c r="Z95" s="39">
        <f>IFERROR(IF(Y95=0,"",ROUNDUP(Y95/H95,0)*0.00651),"")</f>
        <v>6.5100000000000002E-3</v>
      </c>
      <c r="AA95" s="65" t="s">
        <v>46</v>
      </c>
      <c r="AB95" s="66" t="s">
        <v>46</v>
      </c>
      <c r="AC95" s="155" t="s">
        <v>203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2.238</v>
      </c>
      <c r="BN95" s="75">
        <f>IFERROR(Y95*I95/H95,"0")</f>
        <v>2.238</v>
      </c>
      <c r="BO95" s="75">
        <f>IFERROR(1/J95*(X95/H95),"0")</f>
        <v>5.4945054945054949E-3</v>
      </c>
      <c r="BP95" s="75">
        <f>IFERROR(1/J95*(Y95/H95),"0")</f>
        <v>5.4945054945054949E-3</v>
      </c>
    </row>
    <row r="96" spans="1:68" x14ac:dyDescent="0.2">
      <c r="A96" s="654"/>
      <c r="B96" s="654"/>
      <c r="C96" s="654"/>
      <c r="D96" s="654"/>
      <c r="E96" s="654"/>
      <c r="F96" s="654"/>
      <c r="G96" s="654"/>
      <c r="H96" s="654"/>
      <c r="I96" s="654"/>
      <c r="J96" s="654"/>
      <c r="K96" s="654"/>
      <c r="L96" s="654"/>
      <c r="M96" s="654"/>
      <c r="N96" s="654"/>
      <c r="O96" s="655"/>
      <c r="P96" s="651" t="s">
        <v>40</v>
      </c>
      <c r="Q96" s="652"/>
      <c r="R96" s="652"/>
      <c r="S96" s="652"/>
      <c r="T96" s="652"/>
      <c r="U96" s="652"/>
      <c r="V96" s="653"/>
      <c r="W96" s="40" t="s">
        <v>39</v>
      </c>
      <c r="X96" s="41">
        <f>IFERROR(X92/H92,"0")+IFERROR(X93/H93,"0")+IFERROR(X94/H94,"0")+IFERROR(X95/H95,"0")</f>
        <v>10.901234567901234</v>
      </c>
      <c r="Y96" s="41">
        <f>IFERROR(Y92/H92,"0")+IFERROR(Y93/H93,"0")+IFERROR(Y94/H94,"0")+IFERROR(Y95/H95,"0")</f>
        <v>11</v>
      </c>
      <c r="Z96" s="41">
        <f>IFERROR(IF(Z92="",0,Z92),"0")+IFERROR(IF(Z93="",0,Z93),"0")+IFERROR(IF(Z94="",0,Z94),"0")+IFERROR(IF(Z95="",0,Z95),"0")</f>
        <v>0.17136999999999999</v>
      </c>
      <c r="AA96" s="64"/>
      <c r="AB96" s="64"/>
      <c r="AC96" s="64"/>
    </row>
    <row r="97" spans="1:68" x14ac:dyDescent="0.2">
      <c r="A97" s="654"/>
      <c r="B97" s="654"/>
      <c r="C97" s="654"/>
      <c r="D97" s="654"/>
      <c r="E97" s="654"/>
      <c r="F97" s="654"/>
      <c r="G97" s="654"/>
      <c r="H97" s="654"/>
      <c r="I97" s="654"/>
      <c r="J97" s="654"/>
      <c r="K97" s="654"/>
      <c r="L97" s="654"/>
      <c r="M97" s="654"/>
      <c r="N97" s="654"/>
      <c r="O97" s="655"/>
      <c r="P97" s="651" t="s">
        <v>40</v>
      </c>
      <c r="Q97" s="652"/>
      <c r="R97" s="652"/>
      <c r="S97" s="652"/>
      <c r="T97" s="652"/>
      <c r="U97" s="652"/>
      <c r="V97" s="653"/>
      <c r="W97" s="40" t="s">
        <v>0</v>
      </c>
      <c r="X97" s="41">
        <f>IFERROR(SUM(X92:X95),"0")</f>
        <v>71.38000000000001</v>
      </c>
      <c r="Y97" s="41">
        <f>IFERROR(SUM(Y92:Y95),"0")</f>
        <v>72.180000000000007</v>
      </c>
      <c r="Z97" s="40"/>
      <c r="AA97" s="64"/>
      <c r="AB97" s="64"/>
      <c r="AC97" s="64"/>
    </row>
    <row r="98" spans="1:68" ht="16.5" customHeight="1" x14ac:dyDescent="0.25">
      <c r="A98" s="644" t="s">
        <v>204</v>
      </c>
      <c r="B98" s="644"/>
      <c r="C98" s="644"/>
      <c r="D98" s="644"/>
      <c r="E98" s="644"/>
      <c r="F98" s="644"/>
      <c r="G98" s="644"/>
      <c r="H98" s="644"/>
      <c r="I98" s="644"/>
      <c r="J98" s="644"/>
      <c r="K98" s="644"/>
      <c r="L98" s="644"/>
      <c r="M98" s="644"/>
      <c r="N98" s="644"/>
      <c r="O98" s="644"/>
      <c r="P98" s="644"/>
      <c r="Q98" s="644"/>
      <c r="R98" s="644"/>
      <c r="S98" s="644"/>
      <c r="T98" s="644"/>
      <c r="U98" s="644"/>
      <c r="V98" s="644"/>
      <c r="W98" s="644"/>
      <c r="X98" s="644"/>
      <c r="Y98" s="644"/>
      <c r="Z98" s="644"/>
      <c r="AA98" s="62"/>
      <c r="AB98" s="62"/>
      <c r="AC98" s="62"/>
    </row>
    <row r="99" spans="1:68" ht="14.25" customHeight="1" x14ac:dyDescent="0.25">
      <c r="A99" s="645" t="s">
        <v>125</v>
      </c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5"/>
      <c r="P99" s="645"/>
      <c r="Q99" s="645"/>
      <c r="R99" s="645"/>
      <c r="S99" s="645"/>
      <c r="T99" s="645"/>
      <c r="U99" s="645"/>
      <c r="V99" s="645"/>
      <c r="W99" s="645"/>
      <c r="X99" s="645"/>
      <c r="Y99" s="645"/>
      <c r="Z99" s="645"/>
      <c r="AA99" s="63"/>
      <c r="AB99" s="63"/>
      <c r="AC99" s="63"/>
    </row>
    <row r="100" spans="1:68" ht="37.5" customHeight="1" x14ac:dyDescent="0.25">
      <c r="A100" s="60" t="s">
        <v>205</v>
      </c>
      <c r="B100" s="60" t="s">
        <v>206</v>
      </c>
      <c r="C100" s="34">
        <v>4301011514</v>
      </c>
      <c r="D100" s="646">
        <v>4680115882133</v>
      </c>
      <c r="E100" s="646"/>
      <c r="F100" s="59">
        <v>1.35</v>
      </c>
      <c r="G100" s="35">
        <v>8</v>
      </c>
      <c r="H100" s="59">
        <v>10.8</v>
      </c>
      <c r="I100" s="59">
        <v>11.21</v>
      </c>
      <c r="J100" s="35">
        <v>64</v>
      </c>
      <c r="K100" s="35" t="s">
        <v>130</v>
      </c>
      <c r="L100" s="35" t="s">
        <v>46</v>
      </c>
      <c r="M100" s="36" t="s">
        <v>129</v>
      </c>
      <c r="N100" s="36"/>
      <c r="O100" s="35">
        <v>50</v>
      </c>
      <c r="P100" s="6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48"/>
      <c r="R100" s="648"/>
      <c r="S100" s="648"/>
      <c r="T100" s="649"/>
      <c r="U100" s="37" t="s">
        <v>46</v>
      </c>
      <c r="V100" s="37" t="s">
        <v>46</v>
      </c>
      <c r="W100" s="38" t="s">
        <v>0</v>
      </c>
      <c r="X100" s="56">
        <v>64.8</v>
      </c>
      <c r="Y100" s="53">
        <f t="shared" ref="Y100:Y106" si="11">IFERROR(IF(X100="",0,CEILING((X100/$H100),1)*$H100),"")</f>
        <v>64.800000000000011</v>
      </c>
      <c r="Z100" s="39">
        <f>IFERROR(IF(Y100=0,"",ROUNDUP(Y100/H100,0)*0.01898),"")</f>
        <v>0.11388000000000001</v>
      </c>
      <c r="AA100" s="65" t="s">
        <v>46</v>
      </c>
      <c r="AB100" s="66" t="s">
        <v>46</v>
      </c>
      <c r="AC100" s="157" t="s">
        <v>207</v>
      </c>
      <c r="AG100" s="75"/>
      <c r="AJ100" s="79" t="s">
        <v>46</v>
      </c>
      <c r="AK100" s="79">
        <v>0</v>
      </c>
      <c r="BB100" s="158" t="s">
        <v>67</v>
      </c>
      <c r="BM100" s="75">
        <f t="shared" ref="BM100:BM106" si="12">IFERROR(X100*I100/H100,"0")</f>
        <v>67.259999999999991</v>
      </c>
      <c r="BN100" s="75">
        <f t="shared" ref="BN100:BN106" si="13">IFERROR(Y100*I100/H100,"0")</f>
        <v>67.260000000000005</v>
      </c>
      <c r="BO100" s="75">
        <f t="shared" ref="BO100:BO106" si="14">IFERROR(1/J100*(X100/H100),"0")</f>
        <v>9.3749999999999986E-2</v>
      </c>
      <c r="BP100" s="75">
        <f t="shared" ref="BP100:BP106" si="15">IFERROR(1/J100*(Y100/H100),"0")</f>
        <v>9.3750000000000014E-2</v>
      </c>
    </row>
    <row r="101" spans="1:68" ht="27" customHeight="1" x14ac:dyDescent="0.25">
      <c r="A101" s="60" t="s">
        <v>208</v>
      </c>
      <c r="B101" s="60" t="s">
        <v>209</v>
      </c>
      <c r="C101" s="34">
        <v>4301012051</v>
      </c>
      <c r="D101" s="646">
        <v>4680115887718</v>
      </c>
      <c r="E101" s="646"/>
      <c r="F101" s="59">
        <v>0.11</v>
      </c>
      <c r="G101" s="35">
        <v>10</v>
      </c>
      <c r="H101" s="59">
        <v>1.1000000000000001</v>
      </c>
      <c r="I101" s="59">
        <v>1.31</v>
      </c>
      <c r="J101" s="35">
        <v>192</v>
      </c>
      <c r="K101" s="35" t="s">
        <v>134</v>
      </c>
      <c r="L101" s="35" t="s">
        <v>46</v>
      </c>
      <c r="M101" s="36" t="s">
        <v>81</v>
      </c>
      <c r="N101" s="36"/>
      <c r="O101" s="35">
        <v>30</v>
      </c>
      <c r="P101" s="69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8"/>
      <c r="R101" s="648"/>
      <c r="S101" s="648"/>
      <c r="T101" s="649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si="11"/>
        <v>0</v>
      </c>
      <c r="Z101" s="39" t="str">
        <f>IFERROR(IF(Y101=0,"",ROUNDUP(Y101/H101,0)*0.00726),"")</f>
        <v/>
      </c>
      <c r="AA101" s="65" t="s">
        <v>46</v>
      </c>
      <c r="AB101" s="66" t="s">
        <v>46</v>
      </c>
      <c r="AC101" s="159" t="s">
        <v>210</v>
      </c>
      <c r="AG101" s="75"/>
      <c r="AJ101" s="79" t="s">
        <v>46</v>
      </c>
      <c r="AK101" s="79">
        <v>0</v>
      </c>
      <c r="BB101" s="160" t="s">
        <v>67</v>
      </c>
      <c r="BM101" s="75">
        <f t="shared" si="12"/>
        <v>0</v>
      </c>
      <c r="BN101" s="75">
        <f t="shared" si="13"/>
        <v>0</v>
      </c>
      <c r="BO101" s="75">
        <f t="shared" si="14"/>
        <v>0</v>
      </c>
      <c r="BP101" s="75">
        <f t="shared" si="15"/>
        <v>0</v>
      </c>
    </row>
    <row r="102" spans="1:68" ht="27" customHeight="1" x14ac:dyDescent="0.25">
      <c r="A102" s="60" t="s">
        <v>208</v>
      </c>
      <c r="B102" s="60" t="s">
        <v>211</v>
      </c>
      <c r="C102" s="34">
        <v>4301012334</v>
      </c>
      <c r="D102" s="646">
        <v>4680115887718</v>
      </c>
      <c r="E102" s="646"/>
      <c r="F102" s="59">
        <v>0.11</v>
      </c>
      <c r="G102" s="35">
        <v>8</v>
      </c>
      <c r="H102" s="59">
        <v>0.88</v>
      </c>
      <c r="I102" s="59">
        <v>1.0680000000000001</v>
      </c>
      <c r="J102" s="35">
        <v>192</v>
      </c>
      <c r="K102" s="35" t="s">
        <v>134</v>
      </c>
      <c r="L102" s="35" t="s">
        <v>46</v>
      </c>
      <c r="M102" s="36" t="s">
        <v>81</v>
      </c>
      <c r="N102" s="36"/>
      <c r="O102" s="35">
        <v>30</v>
      </c>
      <c r="P102" s="69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8"/>
      <c r="R102" s="648"/>
      <c r="S102" s="648"/>
      <c r="T102" s="649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11"/>
        <v>0</v>
      </c>
      <c r="Z102" s="39" t="str">
        <f>IFERROR(IF(Y102=0,"",ROUNDUP(Y102/H102,0)*0.00726),"")</f>
        <v/>
      </c>
      <c r="AA102" s="65" t="s">
        <v>46</v>
      </c>
      <c r="AB102" s="66" t="s">
        <v>46</v>
      </c>
      <c r="AC102" s="161" t="s">
        <v>210</v>
      </c>
      <c r="AG102" s="75"/>
      <c r="AJ102" s="79" t="s">
        <v>46</v>
      </c>
      <c r="AK102" s="79">
        <v>0</v>
      </c>
      <c r="BB102" s="162" t="s">
        <v>67</v>
      </c>
      <c r="BM102" s="75">
        <f t="shared" si="12"/>
        <v>0</v>
      </c>
      <c r="BN102" s="75">
        <f t="shared" si="13"/>
        <v>0</v>
      </c>
      <c r="BO102" s="75">
        <f t="shared" si="14"/>
        <v>0</v>
      </c>
      <c r="BP102" s="75">
        <f t="shared" si="15"/>
        <v>0</v>
      </c>
    </row>
    <row r="103" spans="1:68" ht="27" customHeight="1" x14ac:dyDescent="0.25">
      <c r="A103" s="60" t="s">
        <v>212</v>
      </c>
      <c r="B103" s="60" t="s">
        <v>213</v>
      </c>
      <c r="C103" s="34">
        <v>4301012226</v>
      </c>
      <c r="D103" s="646">
        <v>4680115887749</v>
      </c>
      <c r="E103" s="646"/>
      <c r="F103" s="59">
        <v>0.17</v>
      </c>
      <c r="G103" s="35">
        <v>10</v>
      </c>
      <c r="H103" s="59">
        <v>1.7</v>
      </c>
      <c r="I103" s="59">
        <v>1.91</v>
      </c>
      <c r="J103" s="35">
        <v>192</v>
      </c>
      <c r="K103" s="35" t="s">
        <v>134</v>
      </c>
      <c r="L103" s="35" t="s">
        <v>46</v>
      </c>
      <c r="M103" s="36" t="s">
        <v>81</v>
      </c>
      <c r="N103" s="36"/>
      <c r="O103" s="35">
        <v>30</v>
      </c>
      <c r="P103" s="695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210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37.5" customHeight="1" x14ac:dyDescent="0.25">
      <c r="A104" s="60" t="s">
        <v>214</v>
      </c>
      <c r="B104" s="60" t="s">
        <v>215</v>
      </c>
      <c r="C104" s="34">
        <v>4301011417</v>
      </c>
      <c r="D104" s="646">
        <v>4680115880269</v>
      </c>
      <c r="E104" s="646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137</v>
      </c>
      <c r="L104" s="35" t="s">
        <v>46</v>
      </c>
      <c r="M104" s="36" t="s">
        <v>91</v>
      </c>
      <c r="N104" s="36"/>
      <c r="O104" s="35">
        <v>50</v>
      </c>
      <c r="P104" s="69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65" t="s">
        <v>207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37.5" customHeight="1" x14ac:dyDescent="0.25">
      <c r="A105" s="60" t="s">
        <v>216</v>
      </c>
      <c r="B105" s="60" t="s">
        <v>217</v>
      </c>
      <c r="C105" s="34">
        <v>4301011415</v>
      </c>
      <c r="D105" s="646">
        <v>4680115880429</v>
      </c>
      <c r="E105" s="646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137</v>
      </c>
      <c r="L105" s="35" t="s">
        <v>46</v>
      </c>
      <c r="M105" s="36" t="s">
        <v>91</v>
      </c>
      <c r="N105" s="36"/>
      <c r="O105" s="35">
        <v>50</v>
      </c>
      <c r="P105" s="6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22.5</v>
      </c>
      <c r="Y105" s="53">
        <f t="shared" si="11"/>
        <v>22.5</v>
      </c>
      <c r="Z105" s="39">
        <f>IFERROR(IF(Y105=0,"",ROUNDUP(Y105/H105,0)*0.00902),"")</f>
        <v>4.5100000000000001E-2</v>
      </c>
      <c r="AA105" s="65" t="s">
        <v>46</v>
      </c>
      <c r="AB105" s="66" t="s">
        <v>46</v>
      </c>
      <c r="AC105" s="167" t="s">
        <v>207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23.450000000000003</v>
      </c>
      <c r="BN105" s="75">
        <f t="shared" si="13"/>
        <v>23.450000000000003</v>
      </c>
      <c r="BO105" s="75">
        <f t="shared" si="14"/>
        <v>3.787878787878788E-2</v>
      </c>
      <c r="BP105" s="75">
        <f t="shared" si="15"/>
        <v>3.787878787878788E-2</v>
      </c>
    </row>
    <row r="106" spans="1:68" ht="37.5" customHeight="1" x14ac:dyDescent="0.25">
      <c r="A106" s="60" t="s">
        <v>218</v>
      </c>
      <c r="B106" s="60" t="s">
        <v>219</v>
      </c>
      <c r="C106" s="34">
        <v>4301011462</v>
      </c>
      <c r="D106" s="646">
        <v>4680115881457</v>
      </c>
      <c r="E106" s="646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137</v>
      </c>
      <c r="L106" s="35" t="s">
        <v>46</v>
      </c>
      <c r="M106" s="36" t="s">
        <v>91</v>
      </c>
      <c r="N106" s="36"/>
      <c r="O106" s="35">
        <v>50</v>
      </c>
      <c r="P106" s="69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9</v>
      </c>
      <c r="Y106" s="53">
        <f t="shared" si="11"/>
        <v>9</v>
      </c>
      <c r="Z106" s="39">
        <f>IFERROR(IF(Y106=0,"",ROUNDUP(Y106/H106,0)*0.00902),"")</f>
        <v>1.804E-2</v>
      </c>
      <c r="AA106" s="65" t="s">
        <v>46</v>
      </c>
      <c r="AB106" s="66" t="s">
        <v>46</v>
      </c>
      <c r="AC106" s="169" t="s">
        <v>207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9.3800000000000008</v>
      </c>
      <c r="BN106" s="75">
        <f t="shared" si="13"/>
        <v>9.3800000000000008</v>
      </c>
      <c r="BO106" s="75">
        <f t="shared" si="14"/>
        <v>1.5151515151515152E-2</v>
      </c>
      <c r="BP106" s="75">
        <f t="shared" si="15"/>
        <v>1.5151515151515152E-2</v>
      </c>
    </row>
    <row r="107" spans="1:68" x14ac:dyDescent="0.2">
      <c r="A107" s="654"/>
      <c r="B107" s="654"/>
      <c r="C107" s="654"/>
      <c r="D107" s="654"/>
      <c r="E107" s="654"/>
      <c r="F107" s="654"/>
      <c r="G107" s="654"/>
      <c r="H107" s="654"/>
      <c r="I107" s="654"/>
      <c r="J107" s="654"/>
      <c r="K107" s="654"/>
      <c r="L107" s="654"/>
      <c r="M107" s="654"/>
      <c r="N107" s="654"/>
      <c r="O107" s="655"/>
      <c r="P107" s="651" t="s">
        <v>40</v>
      </c>
      <c r="Q107" s="652"/>
      <c r="R107" s="652"/>
      <c r="S107" s="652"/>
      <c r="T107" s="652"/>
      <c r="U107" s="652"/>
      <c r="V107" s="653"/>
      <c r="W107" s="40" t="s">
        <v>39</v>
      </c>
      <c r="X107" s="41">
        <f>IFERROR(X100/H100,"0")+IFERROR(X101/H101,"0")+IFERROR(X102/H102,"0")+IFERROR(X103/H103,"0")+IFERROR(X104/H104,"0")+IFERROR(X105/H105,"0")+IFERROR(X106/H106,"0")</f>
        <v>13</v>
      </c>
      <c r="Y107" s="41">
        <f>IFERROR(Y100/H100,"0")+IFERROR(Y101/H101,"0")+IFERROR(Y102/H102,"0")+IFERROR(Y103/H103,"0")+IFERROR(Y104/H104,"0")+IFERROR(Y105/H105,"0")+IFERROR(Y106/H106,"0")</f>
        <v>13</v>
      </c>
      <c r="Z107" s="41">
        <f>IFERROR(IF(Z100="",0,Z100),"0")+IFERROR(IF(Z101="",0,Z101),"0")+IFERROR(IF(Z102="",0,Z102),"0")+IFERROR(IF(Z103="",0,Z103),"0")+IFERROR(IF(Z104="",0,Z104),"0")+IFERROR(IF(Z105="",0,Z105),"0")+IFERROR(IF(Z106="",0,Z106),"0")</f>
        <v>0.17702000000000001</v>
      </c>
      <c r="AA107" s="64"/>
      <c r="AB107" s="64"/>
      <c r="AC107" s="64"/>
    </row>
    <row r="108" spans="1:68" x14ac:dyDescent="0.2">
      <c r="A108" s="654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51" t="s">
        <v>40</v>
      </c>
      <c r="Q108" s="652"/>
      <c r="R108" s="652"/>
      <c r="S108" s="652"/>
      <c r="T108" s="652"/>
      <c r="U108" s="652"/>
      <c r="V108" s="653"/>
      <c r="W108" s="40" t="s">
        <v>0</v>
      </c>
      <c r="X108" s="41">
        <f>IFERROR(SUM(X100:X106),"0")</f>
        <v>96.3</v>
      </c>
      <c r="Y108" s="41">
        <f>IFERROR(SUM(Y100:Y106),"0")</f>
        <v>96.300000000000011</v>
      </c>
      <c r="Z108" s="40"/>
      <c r="AA108" s="64"/>
      <c r="AB108" s="64"/>
      <c r="AC108" s="64"/>
    </row>
    <row r="109" spans="1:68" ht="14.25" customHeight="1" x14ac:dyDescent="0.25">
      <c r="A109" s="645" t="s">
        <v>159</v>
      </c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5"/>
      <c r="P109" s="645"/>
      <c r="Q109" s="645"/>
      <c r="R109" s="645"/>
      <c r="S109" s="645"/>
      <c r="T109" s="645"/>
      <c r="U109" s="645"/>
      <c r="V109" s="645"/>
      <c r="W109" s="645"/>
      <c r="X109" s="645"/>
      <c r="Y109" s="645"/>
      <c r="Z109" s="645"/>
      <c r="AA109" s="63"/>
      <c r="AB109" s="63"/>
      <c r="AC109" s="63"/>
    </row>
    <row r="110" spans="1:68" ht="16.5" customHeight="1" x14ac:dyDescent="0.25">
      <c r="A110" s="60" t="s">
        <v>220</v>
      </c>
      <c r="B110" s="60" t="s">
        <v>221</v>
      </c>
      <c r="C110" s="34">
        <v>4301020345</v>
      </c>
      <c r="D110" s="646">
        <v>4680115881488</v>
      </c>
      <c r="E110" s="646"/>
      <c r="F110" s="59">
        <v>1.35</v>
      </c>
      <c r="G110" s="35">
        <v>8</v>
      </c>
      <c r="H110" s="59">
        <v>10.8</v>
      </c>
      <c r="I110" s="59">
        <v>11.21</v>
      </c>
      <c r="J110" s="35">
        <v>64</v>
      </c>
      <c r="K110" s="35" t="s">
        <v>130</v>
      </c>
      <c r="L110" s="35" t="s">
        <v>46</v>
      </c>
      <c r="M110" s="36" t="s">
        <v>129</v>
      </c>
      <c r="N110" s="36"/>
      <c r="O110" s="35">
        <v>55</v>
      </c>
      <c r="P110" s="69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0" s="648"/>
      <c r="R110" s="648"/>
      <c r="S110" s="648"/>
      <c r="T110" s="649"/>
      <c r="U110" s="37" t="s">
        <v>46</v>
      </c>
      <c r="V110" s="37" t="s">
        <v>46</v>
      </c>
      <c r="W110" s="38" t="s">
        <v>0</v>
      </c>
      <c r="X110" s="56">
        <v>32.4</v>
      </c>
      <c r="Y110" s="53">
        <f>IFERROR(IF(X110="",0,CEILING((X110/$H110),1)*$H110),"")</f>
        <v>32.400000000000006</v>
      </c>
      <c r="Z110" s="39">
        <f>IFERROR(IF(Y110=0,"",ROUNDUP(Y110/H110,0)*0.01898),"")</f>
        <v>5.6940000000000004E-2</v>
      </c>
      <c r="AA110" s="65" t="s">
        <v>46</v>
      </c>
      <c r="AB110" s="66" t="s">
        <v>46</v>
      </c>
      <c r="AC110" s="171" t="s">
        <v>222</v>
      </c>
      <c r="AG110" s="75"/>
      <c r="AJ110" s="79" t="s">
        <v>46</v>
      </c>
      <c r="AK110" s="79">
        <v>0</v>
      </c>
      <c r="BB110" s="172" t="s">
        <v>67</v>
      </c>
      <c r="BM110" s="75">
        <f>IFERROR(X110*I110/H110,"0")</f>
        <v>33.629999999999995</v>
      </c>
      <c r="BN110" s="75">
        <f>IFERROR(Y110*I110/H110,"0")</f>
        <v>33.630000000000003</v>
      </c>
      <c r="BO110" s="75">
        <f>IFERROR(1/J110*(X110/H110),"0")</f>
        <v>4.6874999999999993E-2</v>
      </c>
      <c r="BP110" s="75">
        <f>IFERROR(1/J110*(Y110/H110),"0")</f>
        <v>4.6875000000000007E-2</v>
      </c>
    </row>
    <row r="111" spans="1:68" ht="27" customHeight="1" x14ac:dyDescent="0.25">
      <c r="A111" s="60" t="s">
        <v>223</v>
      </c>
      <c r="B111" s="60" t="s">
        <v>224</v>
      </c>
      <c r="C111" s="34">
        <v>4301020186</v>
      </c>
      <c r="D111" s="646">
        <v>4680115887664</v>
      </c>
      <c r="E111" s="646"/>
      <c r="F111" s="59">
        <v>0.1</v>
      </c>
      <c r="G111" s="35">
        <v>10</v>
      </c>
      <c r="H111" s="59">
        <v>1</v>
      </c>
      <c r="I111" s="59">
        <v>1.21</v>
      </c>
      <c r="J111" s="35">
        <v>392</v>
      </c>
      <c r="K111" s="35" t="s">
        <v>226</v>
      </c>
      <c r="L111" s="35" t="s">
        <v>46</v>
      </c>
      <c r="M111" s="36" t="s">
        <v>81</v>
      </c>
      <c r="N111" s="36"/>
      <c r="O111" s="35">
        <v>30</v>
      </c>
      <c r="P111" s="70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8"/>
      <c r="R111" s="648"/>
      <c r="S111" s="648"/>
      <c r="T111" s="649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IFERROR(IF(Y111=0,"",ROUNDUP(Y111/H111,0)*0.00358),"")</f>
        <v/>
      </c>
      <c r="AA111" s="65" t="s">
        <v>46</v>
      </c>
      <c r="AB111" s="66" t="s">
        <v>46</v>
      </c>
      <c r="AC111" s="173" t="s">
        <v>225</v>
      </c>
      <c r="AG111" s="75"/>
      <c r="AJ111" s="79" t="s">
        <v>46</v>
      </c>
      <c r="AK111" s="79">
        <v>0</v>
      </c>
      <c r="BB111" s="174" t="s">
        <v>67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customHeight="1" x14ac:dyDescent="0.25">
      <c r="A112" s="60" t="s">
        <v>223</v>
      </c>
      <c r="B112" s="60" t="s">
        <v>227</v>
      </c>
      <c r="C112" s="34">
        <v>4301020430</v>
      </c>
      <c r="D112" s="646">
        <v>4680115887664</v>
      </c>
      <c r="E112" s="646"/>
      <c r="F112" s="59">
        <v>0.1</v>
      </c>
      <c r="G112" s="35">
        <v>8</v>
      </c>
      <c r="H112" s="59">
        <v>0.8</v>
      </c>
      <c r="I112" s="59">
        <v>0.98799999999999999</v>
      </c>
      <c r="J112" s="35">
        <v>392</v>
      </c>
      <c r="K112" s="35" t="s">
        <v>226</v>
      </c>
      <c r="L112" s="35" t="s">
        <v>46</v>
      </c>
      <c r="M112" s="36" t="s">
        <v>81</v>
      </c>
      <c r="N112" s="36"/>
      <c r="O112" s="35">
        <v>30</v>
      </c>
      <c r="P112" s="70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16.5" customHeight="1" x14ac:dyDescent="0.25">
      <c r="A113" s="60" t="s">
        <v>228</v>
      </c>
      <c r="B113" s="60" t="s">
        <v>229</v>
      </c>
      <c r="C113" s="34">
        <v>4301020346</v>
      </c>
      <c r="D113" s="646">
        <v>4680115882775</v>
      </c>
      <c r="E113" s="646"/>
      <c r="F113" s="59">
        <v>0.3</v>
      </c>
      <c r="G113" s="35">
        <v>8</v>
      </c>
      <c r="H113" s="59">
        <v>2.4</v>
      </c>
      <c r="I113" s="59">
        <v>2.5</v>
      </c>
      <c r="J113" s="35">
        <v>234</v>
      </c>
      <c r="K113" s="35" t="s">
        <v>86</v>
      </c>
      <c r="L113" s="35" t="s">
        <v>46</v>
      </c>
      <c r="M113" s="36" t="s">
        <v>129</v>
      </c>
      <c r="N113" s="36"/>
      <c r="O113" s="35">
        <v>55</v>
      </c>
      <c r="P113" s="70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IFERROR(IF(Y113=0,"",ROUNDUP(Y113/H113,0)*0.00502),"")</f>
        <v/>
      </c>
      <c r="AA113" s="65" t="s">
        <v>46</v>
      </c>
      <c r="AB113" s="66" t="s">
        <v>46</v>
      </c>
      <c r="AC113" s="177" t="s">
        <v>222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230</v>
      </c>
      <c r="B114" s="60" t="s">
        <v>231</v>
      </c>
      <c r="C114" s="34">
        <v>4301020344</v>
      </c>
      <c r="D114" s="646">
        <v>4680115880658</v>
      </c>
      <c r="E114" s="646"/>
      <c r="F114" s="59">
        <v>0.4</v>
      </c>
      <c r="G114" s="35">
        <v>6</v>
      </c>
      <c r="H114" s="59">
        <v>2.4</v>
      </c>
      <c r="I114" s="59">
        <v>2.58</v>
      </c>
      <c r="J114" s="35">
        <v>182</v>
      </c>
      <c r="K114" s="35" t="s">
        <v>82</v>
      </c>
      <c r="L114" s="35" t="s">
        <v>46</v>
      </c>
      <c r="M114" s="36" t="s">
        <v>129</v>
      </c>
      <c r="N114" s="36"/>
      <c r="O114" s="35">
        <v>55</v>
      </c>
      <c r="P114" s="70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7.2</v>
      </c>
      <c r="Y114" s="53">
        <f>IFERROR(IF(X114="",0,CEILING((X114/$H114),1)*$H114),"")</f>
        <v>7.1999999999999993</v>
      </c>
      <c r="Z114" s="39">
        <f>IFERROR(IF(Y114=0,"",ROUNDUP(Y114/H114,0)*0.00651),"")</f>
        <v>1.9529999999999999E-2</v>
      </c>
      <c r="AA114" s="65" t="s">
        <v>46</v>
      </c>
      <c r="AB114" s="66" t="s">
        <v>46</v>
      </c>
      <c r="AC114" s="179" t="s">
        <v>222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7.74</v>
      </c>
      <c r="BN114" s="75">
        <f>IFERROR(Y114*I114/H114,"0")</f>
        <v>7.7399999999999993</v>
      </c>
      <c r="BO114" s="75">
        <f>IFERROR(1/J114*(X114/H114),"0")</f>
        <v>1.6483516483516484E-2</v>
      </c>
      <c r="BP114" s="75">
        <f>IFERROR(1/J114*(Y114/H114),"0")</f>
        <v>1.6483516483516484E-2</v>
      </c>
    </row>
    <row r="115" spans="1:68" x14ac:dyDescent="0.2">
      <c r="A115" s="654"/>
      <c r="B115" s="654"/>
      <c r="C115" s="654"/>
      <c r="D115" s="654"/>
      <c r="E115" s="654"/>
      <c r="F115" s="654"/>
      <c r="G115" s="654"/>
      <c r="H115" s="654"/>
      <c r="I115" s="654"/>
      <c r="J115" s="654"/>
      <c r="K115" s="654"/>
      <c r="L115" s="654"/>
      <c r="M115" s="654"/>
      <c r="N115" s="654"/>
      <c r="O115" s="655"/>
      <c r="P115" s="651" t="s">
        <v>40</v>
      </c>
      <c r="Q115" s="652"/>
      <c r="R115" s="652"/>
      <c r="S115" s="652"/>
      <c r="T115" s="652"/>
      <c r="U115" s="652"/>
      <c r="V115" s="653"/>
      <c r="W115" s="40" t="s">
        <v>39</v>
      </c>
      <c r="X115" s="41">
        <f>IFERROR(X110/H110,"0")+IFERROR(X111/H111,"0")+IFERROR(X112/H112,"0")+IFERROR(X113/H113,"0")+IFERROR(X114/H114,"0")</f>
        <v>6</v>
      </c>
      <c r="Y115" s="41">
        <f>IFERROR(Y110/H110,"0")+IFERROR(Y111/H111,"0")+IFERROR(Y112/H112,"0")+IFERROR(Y113/H113,"0")+IFERROR(Y114/H114,"0")</f>
        <v>6</v>
      </c>
      <c r="Z115" s="41">
        <f>IFERROR(IF(Z110="",0,Z110),"0")+IFERROR(IF(Z111="",0,Z111),"0")+IFERROR(IF(Z112="",0,Z112),"0")+IFERROR(IF(Z113="",0,Z113),"0")+IFERROR(IF(Z114="",0,Z114),"0")</f>
        <v>7.647000000000001E-2</v>
      </c>
      <c r="AA115" s="64"/>
      <c r="AB115" s="64"/>
      <c r="AC115" s="64"/>
    </row>
    <row r="116" spans="1:68" x14ac:dyDescent="0.2">
      <c r="A116" s="654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51" t="s">
        <v>40</v>
      </c>
      <c r="Q116" s="652"/>
      <c r="R116" s="652"/>
      <c r="S116" s="652"/>
      <c r="T116" s="652"/>
      <c r="U116" s="652"/>
      <c r="V116" s="653"/>
      <c r="W116" s="40" t="s">
        <v>0</v>
      </c>
      <c r="X116" s="41">
        <f>IFERROR(SUM(X110:X114),"0")</f>
        <v>39.6</v>
      </c>
      <c r="Y116" s="41">
        <f>IFERROR(SUM(Y110:Y114),"0")</f>
        <v>39.600000000000009</v>
      </c>
      <c r="Z116" s="40"/>
      <c r="AA116" s="64"/>
      <c r="AB116" s="64"/>
      <c r="AC116" s="64"/>
    </row>
    <row r="117" spans="1:68" ht="14.25" customHeight="1" x14ac:dyDescent="0.25">
      <c r="A117" s="645" t="s">
        <v>87</v>
      </c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5"/>
      <c r="P117" s="645"/>
      <c r="Q117" s="645"/>
      <c r="R117" s="645"/>
      <c r="S117" s="645"/>
      <c r="T117" s="645"/>
      <c r="U117" s="645"/>
      <c r="V117" s="645"/>
      <c r="W117" s="645"/>
      <c r="X117" s="645"/>
      <c r="Y117" s="645"/>
      <c r="Z117" s="645"/>
      <c r="AA117" s="63"/>
      <c r="AB117" s="63"/>
      <c r="AC117" s="63"/>
    </row>
    <row r="118" spans="1:68" ht="27" customHeight="1" x14ac:dyDescent="0.25">
      <c r="A118" s="60" t="s">
        <v>232</v>
      </c>
      <c r="B118" s="60" t="s">
        <v>233</v>
      </c>
      <c r="C118" s="34">
        <v>4301051724</v>
      </c>
      <c r="D118" s="646">
        <v>4607091385168</v>
      </c>
      <c r="E118" s="646"/>
      <c r="F118" s="59">
        <v>1.35</v>
      </c>
      <c r="G118" s="35">
        <v>6</v>
      </c>
      <c r="H118" s="59">
        <v>8.1</v>
      </c>
      <c r="I118" s="59">
        <v>8.5879999999999992</v>
      </c>
      <c r="J118" s="35">
        <v>64</v>
      </c>
      <c r="K118" s="35" t="s">
        <v>130</v>
      </c>
      <c r="L118" s="35" t="s">
        <v>46</v>
      </c>
      <c r="M118" s="36" t="s">
        <v>97</v>
      </c>
      <c r="N118" s="36"/>
      <c r="O118" s="35">
        <v>45</v>
      </c>
      <c r="P118" s="70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648"/>
      <c r="R118" s="648"/>
      <c r="S118" s="648"/>
      <c r="T118" s="649"/>
      <c r="U118" s="37" t="s">
        <v>46</v>
      </c>
      <c r="V118" s="37" t="s">
        <v>46</v>
      </c>
      <c r="W118" s="38" t="s">
        <v>0</v>
      </c>
      <c r="X118" s="56">
        <v>64.8</v>
      </c>
      <c r="Y118" s="53">
        <f>IFERROR(IF(X118="",0,CEILING((X118/$H118),1)*$H118),"")</f>
        <v>64.8</v>
      </c>
      <c r="Z118" s="39">
        <f>IFERROR(IF(Y118=0,"",ROUNDUP(Y118/H118,0)*0.01898),"")</f>
        <v>0.15184</v>
      </c>
      <c r="AA118" s="65" t="s">
        <v>46</v>
      </c>
      <c r="AB118" s="66" t="s">
        <v>46</v>
      </c>
      <c r="AC118" s="181" t="s">
        <v>234</v>
      </c>
      <c r="AG118" s="75"/>
      <c r="AJ118" s="79" t="s">
        <v>46</v>
      </c>
      <c r="AK118" s="79">
        <v>0</v>
      </c>
      <c r="BB118" s="182" t="s">
        <v>67</v>
      </c>
      <c r="BM118" s="75">
        <f>IFERROR(X118*I118/H118,"0")</f>
        <v>68.703999999999994</v>
      </c>
      <c r="BN118" s="75">
        <f>IFERROR(Y118*I118/H118,"0")</f>
        <v>68.703999999999994</v>
      </c>
      <c r="BO118" s="75">
        <f>IFERROR(1/J118*(X118/H118),"0")</f>
        <v>0.125</v>
      </c>
      <c r="BP118" s="75">
        <f>IFERROR(1/J118*(Y118/H118),"0")</f>
        <v>0.125</v>
      </c>
    </row>
    <row r="119" spans="1:68" ht="27" customHeight="1" x14ac:dyDescent="0.25">
      <c r="A119" s="60" t="s">
        <v>235</v>
      </c>
      <c r="B119" s="60" t="s">
        <v>236</v>
      </c>
      <c r="C119" s="34">
        <v>4301051730</v>
      </c>
      <c r="D119" s="646">
        <v>4607091383256</v>
      </c>
      <c r="E119" s="646"/>
      <c r="F119" s="59">
        <v>0.33</v>
      </c>
      <c r="G119" s="35">
        <v>6</v>
      </c>
      <c r="H119" s="59">
        <v>1.98</v>
      </c>
      <c r="I119" s="59">
        <v>2.226</v>
      </c>
      <c r="J119" s="35">
        <v>182</v>
      </c>
      <c r="K119" s="35" t="s">
        <v>82</v>
      </c>
      <c r="L119" s="35" t="s">
        <v>46</v>
      </c>
      <c r="M119" s="36" t="s">
        <v>97</v>
      </c>
      <c r="N119" s="36"/>
      <c r="O119" s="35">
        <v>45</v>
      </c>
      <c r="P119" s="70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648"/>
      <c r="R119" s="648"/>
      <c r="S119" s="648"/>
      <c r="T119" s="649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83" t="s">
        <v>234</v>
      </c>
      <c r="AG119" s="75"/>
      <c r="AJ119" s="79" t="s">
        <v>46</v>
      </c>
      <c r="AK119" s="79">
        <v>0</v>
      </c>
      <c r="BB119" s="184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customHeight="1" x14ac:dyDescent="0.25">
      <c r="A120" s="60" t="s">
        <v>237</v>
      </c>
      <c r="B120" s="60" t="s">
        <v>238</v>
      </c>
      <c r="C120" s="34">
        <v>4301051721</v>
      </c>
      <c r="D120" s="646">
        <v>4607091385748</v>
      </c>
      <c r="E120" s="646"/>
      <c r="F120" s="59">
        <v>0.45</v>
      </c>
      <c r="G120" s="35">
        <v>6</v>
      </c>
      <c r="H120" s="59">
        <v>2.7</v>
      </c>
      <c r="I120" s="59">
        <v>2.952</v>
      </c>
      <c r="J120" s="35">
        <v>182</v>
      </c>
      <c r="K120" s="35" t="s">
        <v>82</v>
      </c>
      <c r="L120" s="35" t="s">
        <v>46</v>
      </c>
      <c r="M120" s="36" t="s">
        <v>97</v>
      </c>
      <c r="N120" s="36"/>
      <c r="O120" s="35">
        <v>45</v>
      </c>
      <c r="P120" s="70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5.4</v>
      </c>
      <c r="Y120" s="53">
        <f>IFERROR(IF(X120="",0,CEILING((X120/$H120),1)*$H120),"")</f>
        <v>5.4</v>
      </c>
      <c r="Z120" s="39">
        <f>IFERROR(IF(Y120=0,"",ROUNDUP(Y120/H120,0)*0.00651),"")</f>
        <v>1.302E-2</v>
      </c>
      <c r="AA120" s="65" t="s">
        <v>46</v>
      </c>
      <c r="AB120" s="66" t="s">
        <v>46</v>
      </c>
      <c r="AC120" s="185" t="s">
        <v>234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5.9039999999999999</v>
      </c>
      <c r="BN120" s="75">
        <f>IFERROR(Y120*I120/H120,"0")</f>
        <v>5.9039999999999999</v>
      </c>
      <c r="BO120" s="75">
        <f>IFERROR(1/J120*(X120/H120),"0")</f>
        <v>1.098901098901099E-2</v>
      </c>
      <c r="BP120" s="75">
        <f>IFERROR(1/J120*(Y120/H120),"0")</f>
        <v>1.098901098901099E-2</v>
      </c>
    </row>
    <row r="121" spans="1:68" ht="16.5" customHeight="1" x14ac:dyDescent="0.25">
      <c r="A121" s="60" t="s">
        <v>239</v>
      </c>
      <c r="B121" s="60" t="s">
        <v>240</v>
      </c>
      <c r="C121" s="34">
        <v>4301051740</v>
      </c>
      <c r="D121" s="646">
        <v>4680115884533</v>
      </c>
      <c r="E121" s="646"/>
      <c r="F121" s="59">
        <v>0.3</v>
      </c>
      <c r="G121" s="35">
        <v>6</v>
      </c>
      <c r="H121" s="59">
        <v>1.8</v>
      </c>
      <c r="I121" s="59">
        <v>1.98</v>
      </c>
      <c r="J121" s="35">
        <v>182</v>
      </c>
      <c r="K121" s="35" t="s">
        <v>82</v>
      </c>
      <c r="L121" s="35" t="s">
        <v>46</v>
      </c>
      <c r="M121" s="36" t="s">
        <v>91</v>
      </c>
      <c r="N121" s="36"/>
      <c r="O121" s="35">
        <v>45</v>
      </c>
      <c r="P121" s="70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3.6</v>
      </c>
      <c r="Y121" s="53">
        <f>IFERROR(IF(X121="",0,CEILING((X121/$H121),1)*$H121),"")</f>
        <v>3.6</v>
      </c>
      <c r="Z121" s="39">
        <f>IFERROR(IF(Y121=0,"",ROUNDUP(Y121/H121,0)*0.00651),"")</f>
        <v>1.302E-2</v>
      </c>
      <c r="AA121" s="65" t="s">
        <v>46</v>
      </c>
      <c r="AB121" s="66" t="s">
        <v>46</v>
      </c>
      <c r="AC121" s="187" t="s">
        <v>241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3.96</v>
      </c>
      <c r="BN121" s="75">
        <f>IFERROR(Y121*I121/H121,"0")</f>
        <v>3.96</v>
      </c>
      <c r="BO121" s="75">
        <f>IFERROR(1/J121*(X121/H121),"0")</f>
        <v>1.098901098901099E-2</v>
      </c>
      <c r="BP121" s="75">
        <f>IFERROR(1/J121*(Y121/H121),"0")</f>
        <v>1.098901098901099E-2</v>
      </c>
    </row>
    <row r="122" spans="1:68" x14ac:dyDescent="0.2">
      <c r="A122" s="654"/>
      <c r="B122" s="654"/>
      <c r="C122" s="654"/>
      <c r="D122" s="654"/>
      <c r="E122" s="654"/>
      <c r="F122" s="654"/>
      <c r="G122" s="654"/>
      <c r="H122" s="654"/>
      <c r="I122" s="654"/>
      <c r="J122" s="654"/>
      <c r="K122" s="654"/>
      <c r="L122" s="654"/>
      <c r="M122" s="654"/>
      <c r="N122" s="654"/>
      <c r="O122" s="655"/>
      <c r="P122" s="651" t="s">
        <v>40</v>
      </c>
      <c r="Q122" s="652"/>
      <c r="R122" s="652"/>
      <c r="S122" s="652"/>
      <c r="T122" s="652"/>
      <c r="U122" s="652"/>
      <c r="V122" s="653"/>
      <c r="W122" s="40" t="s">
        <v>39</v>
      </c>
      <c r="X122" s="41">
        <f>IFERROR(X118/H118,"0")+IFERROR(X119/H119,"0")+IFERROR(X120/H120,"0")+IFERROR(X121/H121,"0")</f>
        <v>12</v>
      </c>
      <c r="Y122" s="41">
        <f>IFERROR(Y118/H118,"0")+IFERROR(Y119/H119,"0")+IFERROR(Y120/H120,"0")+IFERROR(Y121/H121,"0")</f>
        <v>12</v>
      </c>
      <c r="Z122" s="41">
        <f>IFERROR(IF(Z118="",0,Z118),"0")+IFERROR(IF(Z119="",0,Z119),"0")+IFERROR(IF(Z120="",0,Z120),"0")+IFERROR(IF(Z121="",0,Z121),"0")</f>
        <v>0.17788000000000001</v>
      </c>
      <c r="AA122" s="64"/>
      <c r="AB122" s="64"/>
      <c r="AC122" s="64"/>
    </row>
    <row r="123" spans="1:68" x14ac:dyDescent="0.2">
      <c r="A123" s="654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51" t="s">
        <v>40</v>
      </c>
      <c r="Q123" s="652"/>
      <c r="R123" s="652"/>
      <c r="S123" s="652"/>
      <c r="T123" s="652"/>
      <c r="U123" s="652"/>
      <c r="V123" s="653"/>
      <c r="W123" s="40" t="s">
        <v>0</v>
      </c>
      <c r="X123" s="41">
        <f>IFERROR(SUM(X118:X121),"0")</f>
        <v>73.8</v>
      </c>
      <c r="Y123" s="41">
        <f>IFERROR(SUM(Y118:Y121),"0")</f>
        <v>73.8</v>
      </c>
      <c r="Z123" s="40"/>
      <c r="AA123" s="64"/>
      <c r="AB123" s="64"/>
      <c r="AC123" s="64"/>
    </row>
    <row r="124" spans="1:68" ht="14.25" customHeight="1" x14ac:dyDescent="0.25">
      <c r="A124" s="645" t="s">
        <v>176</v>
      </c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5"/>
      <c r="P124" s="645"/>
      <c r="Q124" s="645"/>
      <c r="R124" s="645"/>
      <c r="S124" s="645"/>
      <c r="T124" s="645"/>
      <c r="U124" s="645"/>
      <c r="V124" s="645"/>
      <c r="W124" s="645"/>
      <c r="X124" s="645"/>
      <c r="Y124" s="645"/>
      <c r="Z124" s="645"/>
      <c r="AA124" s="63"/>
      <c r="AB124" s="63"/>
      <c r="AC124" s="63"/>
    </row>
    <row r="125" spans="1:68" ht="16.5" customHeight="1" x14ac:dyDescent="0.25">
      <c r="A125" s="60" t="s">
        <v>242</v>
      </c>
      <c r="B125" s="60" t="s">
        <v>243</v>
      </c>
      <c r="C125" s="34">
        <v>4301060317</v>
      </c>
      <c r="D125" s="646">
        <v>4680115880238</v>
      </c>
      <c r="E125" s="646"/>
      <c r="F125" s="59">
        <v>0.33</v>
      </c>
      <c r="G125" s="35">
        <v>6</v>
      </c>
      <c r="H125" s="59">
        <v>1.98</v>
      </c>
      <c r="I125" s="59">
        <v>2.238</v>
      </c>
      <c r="J125" s="35">
        <v>182</v>
      </c>
      <c r="K125" s="35" t="s">
        <v>82</v>
      </c>
      <c r="L125" s="35" t="s">
        <v>46</v>
      </c>
      <c r="M125" s="36" t="s">
        <v>91</v>
      </c>
      <c r="N125" s="36"/>
      <c r="O125" s="35">
        <v>40</v>
      </c>
      <c r="P125" s="7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648"/>
      <c r="R125" s="648"/>
      <c r="S125" s="648"/>
      <c r="T125" s="649"/>
      <c r="U125" s="37" t="s">
        <v>46</v>
      </c>
      <c r="V125" s="37" t="s">
        <v>46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89" t="s">
        <v>244</v>
      </c>
      <c r="AG125" s="75"/>
      <c r="AJ125" s="79" t="s">
        <v>46</v>
      </c>
      <c r="AK125" s="79">
        <v>0</v>
      </c>
      <c r="BB125" s="190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x14ac:dyDescent="0.2">
      <c r="A126" s="654"/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5"/>
      <c r="P126" s="651" t="s">
        <v>40</v>
      </c>
      <c r="Q126" s="652"/>
      <c r="R126" s="652"/>
      <c r="S126" s="652"/>
      <c r="T126" s="652"/>
      <c r="U126" s="652"/>
      <c r="V126" s="653"/>
      <c r="W126" s="40" t="s">
        <v>39</v>
      </c>
      <c r="X126" s="41">
        <f>IFERROR(X125/H125,"0")</f>
        <v>0</v>
      </c>
      <c r="Y126" s="41">
        <f>IFERROR(Y125/H125,"0")</f>
        <v>0</v>
      </c>
      <c r="Z126" s="41">
        <f>IFERROR(IF(Z125="",0,Z125),"0")</f>
        <v>0</v>
      </c>
      <c r="AA126" s="64"/>
      <c r="AB126" s="64"/>
      <c r="AC126" s="64"/>
    </row>
    <row r="127" spans="1:68" x14ac:dyDescent="0.2">
      <c r="A127" s="654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51" t="s">
        <v>40</v>
      </c>
      <c r="Q127" s="652"/>
      <c r="R127" s="652"/>
      <c r="S127" s="652"/>
      <c r="T127" s="652"/>
      <c r="U127" s="652"/>
      <c r="V127" s="653"/>
      <c r="W127" s="40" t="s">
        <v>0</v>
      </c>
      <c r="X127" s="41">
        <f>IFERROR(SUM(X125:X125),"0")</f>
        <v>0</v>
      </c>
      <c r="Y127" s="41">
        <f>IFERROR(SUM(Y125:Y125),"0")</f>
        <v>0</v>
      </c>
      <c r="Z127" s="40"/>
      <c r="AA127" s="64"/>
      <c r="AB127" s="64"/>
      <c r="AC127" s="64"/>
    </row>
    <row r="128" spans="1:68" ht="16.5" customHeight="1" x14ac:dyDescent="0.25">
      <c r="A128" s="644" t="s">
        <v>245</v>
      </c>
      <c r="B128" s="644"/>
      <c r="C128" s="644"/>
      <c r="D128" s="644"/>
      <c r="E128" s="644"/>
      <c r="F128" s="644"/>
      <c r="G128" s="644"/>
      <c r="H128" s="644"/>
      <c r="I128" s="644"/>
      <c r="J128" s="644"/>
      <c r="K128" s="644"/>
      <c r="L128" s="644"/>
      <c r="M128" s="644"/>
      <c r="N128" s="644"/>
      <c r="O128" s="644"/>
      <c r="P128" s="644"/>
      <c r="Q128" s="644"/>
      <c r="R128" s="644"/>
      <c r="S128" s="644"/>
      <c r="T128" s="644"/>
      <c r="U128" s="644"/>
      <c r="V128" s="644"/>
      <c r="W128" s="644"/>
      <c r="X128" s="644"/>
      <c r="Y128" s="644"/>
      <c r="Z128" s="644"/>
      <c r="AA128" s="62"/>
      <c r="AB128" s="62"/>
      <c r="AC128" s="62"/>
    </row>
    <row r="129" spans="1:68" ht="14.25" customHeight="1" x14ac:dyDescent="0.25">
      <c r="A129" s="645" t="s">
        <v>125</v>
      </c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5"/>
      <c r="P129" s="645"/>
      <c r="Q129" s="645"/>
      <c r="R129" s="645"/>
      <c r="S129" s="645"/>
      <c r="T129" s="645"/>
      <c r="U129" s="645"/>
      <c r="V129" s="645"/>
      <c r="W129" s="645"/>
      <c r="X129" s="645"/>
      <c r="Y129" s="645"/>
      <c r="Z129" s="645"/>
      <c r="AA129" s="63"/>
      <c r="AB129" s="63"/>
      <c r="AC129" s="63"/>
    </row>
    <row r="130" spans="1:68" ht="27" customHeight="1" x14ac:dyDescent="0.25">
      <c r="A130" s="60" t="s">
        <v>246</v>
      </c>
      <c r="B130" s="60" t="s">
        <v>247</v>
      </c>
      <c r="C130" s="34">
        <v>4301011562</v>
      </c>
      <c r="D130" s="646">
        <v>4680115882577</v>
      </c>
      <c r="E130" s="646"/>
      <c r="F130" s="59">
        <v>0.4</v>
      </c>
      <c r="G130" s="35">
        <v>8</v>
      </c>
      <c r="H130" s="59">
        <v>3.2</v>
      </c>
      <c r="I130" s="59">
        <v>3.38</v>
      </c>
      <c r="J130" s="35">
        <v>182</v>
      </c>
      <c r="K130" s="35" t="s">
        <v>82</v>
      </c>
      <c r="L130" s="35" t="s">
        <v>46</v>
      </c>
      <c r="M130" s="36" t="s">
        <v>115</v>
      </c>
      <c r="N130" s="36"/>
      <c r="O130" s="35">
        <v>90</v>
      </c>
      <c r="P130" s="7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8"/>
      <c r="R130" s="648"/>
      <c r="S130" s="648"/>
      <c r="T130" s="649"/>
      <c r="U130" s="37" t="s">
        <v>46</v>
      </c>
      <c r="V130" s="37" t="s">
        <v>46</v>
      </c>
      <c r="W130" s="38" t="s">
        <v>0</v>
      </c>
      <c r="X130" s="56">
        <v>9.6</v>
      </c>
      <c r="Y130" s="53">
        <f>IFERROR(IF(X130="",0,CEILING((X130/$H130),1)*$H130),"")</f>
        <v>9.6000000000000014</v>
      </c>
      <c r="Z130" s="39">
        <f>IFERROR(IF(Y130=0,"",ROUNDUP(Y130/H130,0)*0.00651),"")</f>
        <v>1.9529999999999999E-2</v>
      </c>
      <c r="AA130" s="65" t="s">
        <v>46</v>
      </c>
      <c r="AB130" s="66" t="s">
        <v>46</v>
      </c>
      <c r="AC130" s="191" t="s">
        <v>248</v>
      </c>
      <c r="AG130" s="75"/>
      <c r="AJ130" s="79" t="s">
        <v>46</v>
      </c>
      <c r="AK130" s="79">
        <v>0</v>
      </c>
      <c r="BB130" s="192" t="s">
        <v>67</v>
      </c>
      <c r="BM130" s="75">
        <f>IFERROR(X130*I130/H130,"0")</f>
        <v>10.139999999999999</v>
      </c>
      <c r="BN130" s="75">
        <f>IFERROR(Y130*I130/H130,"0")</f>
        <v>10.139999999999999</v>
      </c>
      <c r="BO130" s="75">
        <f>IFERROR(1/J130*(X130/H130),"0")</f>
        <v>1.6483516483516484E-2</v>
      </c>
      <c r="BP130" s="75">
        <f>IFERROR(1/J130*(Y130/H130),"0")</f>
        <v>1.6483516483516487E-2</v>
      </c>
    </row>
    <row r="131" spans="1:68" ht="27" customHeight="1" x14ac:dyDescent="0.25">
      <c r="A131" s="60" t="s">
        <v>246</v>
      </c>
      <c r="B131" s="60" t="s">
        <v>249</v>
      </c>
      <c r="C131" s="34">
        <v>4301011564</v>
      </c>
      <c r="D131" s="646">
        <v>4680115882577</v>
      </c>
      <c r="E131" s="646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82</v>
      </c>
      <c r="L131" s="35" t="s">
        <v>46</v>
      </c>
      <c r="M131" s="36" t="s">
        <v>115</v>
      </c>
      <c r="N131" s="36"/>
      <c r="O131" s="35">
        <v>90</v>
      </c>
      <c r="P131" s="7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8"/>
      <c r="R131" s="648"/>
      <c r="S131" s="648"/>
      <c r="T131" s="64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3" t="s">
        <v>248</v>
      </c>
      <c r="AG131" s="75"/>
      <c r="AJ131" s="79" t="s">
        <v>46</v>
      </c>
      <c r="AK131" s="79">
        <v>0</v>
      </c>
      <c r="BB131" s="194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54"/>
      <c r="B132" s="654"/>
      <c r="C132" s="654"/>
      <c r="D132" s="654"/>
      <c r="E132" s="654"/>
      <c r="F132" s="654"/>
      <c r="G132" s="654"/>
      <c r="H132" s="654"/>
      <c r="I132" s="654"/>
      <c r="J132" s="654"/>
      <c r="K132" s="654"/>
      <c r="L132" s="654"/>
      <c r="M132" s="654"/>
      <c r="N132" s="654"/>
      <c r="O132" s="655"/>
      <c r="P132" s="651" t="s">
        <v>40</v>
      </c>
      <c r="Q132" s="652"/>
      <c r="R132" s="652"/>
      <c r="S132" s="652"/>
      <c r="T132" s="652"/>
      <c r="U132" s="652"/>
      <c r="V132" s="653"/>
      <c r="W132" s="40" t="s">
        <v>39</v>
      </c>
      <c r="X132" s="41">
        <f>IFERROR(X130/H130,"0")+IFERROR(X131/H131,"0")</f>
        <v>2.9999999999999996</v>
      </c>
      <c r="Y132" s="41">
        <f>IFERROR(Y130/H130,"0")+IFERROR(Y131/H131,"0")</f>
        <v>3.0000000000000004</v>
      </c>
      <c r="Z132" s="41">
        <f>IFERROR(IF(Z130="",0,Z130),"0")+IFERROR(IF(Z131="",0,Z131),"0")</f>
        <v>1.9529999999999999E-2</v>
      </c>
      <c r="AA132" s="64"/>
      <c r="AB132" s="64"/>
      <c r="AC132" s="64"/>
    </row>
    <row r="133" spans="1:68" x14ac:dyDescent="0.2">
      <c r="A133" s="654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51" t="s">
        <v>40</v>
      </c>
      <c r="Q133" s="652"/>
      <c r="R133" s="652"/>
      <c r="S133" s="652"/>
      <c r="T133" s="652"/>
      <c r="U133" s="652"/>
      <c r="V133" s="653"/>
      <c r="W133" s="40" t="s">
        <v>0</v>
      </c>
      <c r="X133" s="41">
        <f>IFERROR(SUM(X130:X131),"0")</f>
        <v>9.6</v>
      </c>
      <c r="Y133" s="41">
        <f>IFERROR(SUM(Y130:Y131),"0")</f>
        <v>9.6000000000000014</v>
      </c>
      <c r="Z133" s="40"/>
      <c r="AA133" s="64"/>
      <c r="AB133" s="64"/>
      <c r="AC133" s="64"/>
    </row>
    <row r="134" spans="1:68" ht="14.25" customHeight="1" x14ac:dyDescent="0.25">
      <c r="A134" s="645" t="s">
        <v>77</v>
      </c>
      <c r="B134" s="645"/>
      <c r="C134" s="645"/>
      <c r="D134" s="645"/>
      <c r="E134" s="645"/>
      <c r="F134" s="645"/>
      <c r="G134" s="645"/>
      <c r="H134" s="645"/>
      <c r="I134" s="645"/>
      <c r="J134" s="645"/>
      <c r="K134" s="645"/>
      <c r="L134" s="645"/>
      <c r="M134" s="645"/>
      <c r="N134" s="645"/>
      <c r="O134" s="645"/>
      <c r="P134" s="645"/>
      <c r="Q134" s="645"/>
      <c r="R134" s="645"/>
      <c r="S134" s="645"/>
      <c r="T134" s="645"/>
      <c r="U134" s="645"/>
      <c r="V134" s="645"/>
      <c r="W134" s="645"/>
      <c r="X134" s="645"/>
      <c r="Y134" s="645"/>
      <c r="Z134" s="645"/>
      <c r="AA134" s="63"/>
      <c r="AB134" s="63"/>
      <c r="AC134" s="63"/>
    </row>
    <row r="135" spans="1:68" ht="27" customHeight="1" x14ac:dyDescent="0.25">
      <c r="A135" s="60" t="s">
        <v>250</v>
      </c>
      <c r="B135" s="60" t="s">
        <v>251</v>
      </c>
      <c r="C135" s="34">
        <v>4301031234</v>
      </c>
      <c r="D135" s="646">
        <v>4680115883444</v>
      </c>
      <c r="E135" s="646"/>
      <c r="F135" s="59">
        <v>0.35</v>
      </c>
      <c r="G135" s="35">
        <v>8</v>
      </c>
      <c r="H135" s="59">
        <v>2.8</v>
      </c>
      <c r="I135" s="59">
        <v>3.0680000000000001</v>
      </c>
      <c r="J135" s="35">
        <v>182</v>
      </c>
      <c r="K135" s="35" t="s">
        <v>82</v>
      </c>
      <c r="L135" s="35" t="s">
        <v>46</v>
      </c>
      <c r="M135" s="36" t="s">
        <v>115</v>
      </c>
      <c r="N135" s="36"/>
      <c r="O135" s="35">
        <v>90</v>
      </c>
      <c r="P135" s="71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5.6</v>
      </c>
      <c r="Y135" s="53">
        <f>IFERROR(IF(X135="",0,CEILING((X135/$H135),1)*$H135),"")</f>
        <v>5.6</v>
      </c>
      <c r="Z135" s="39">
        <f>IFERROR(IF(Y135=0,"",ROUNDUP(Y135/H135,0)*0.00651),"")</f>
        <v>1.302E-2</v>
      </c>
      <c r="AA135" s="65" t="s">
        <v>46</v>
      </c>
      <c r="AB135" s="66" t="s">
        <v>46</v>
      </c>
      <c r="AC135" s="195" t="s">
        <v>252</v>
      </c>
      <c r="AG135" s="75"/>
      <c r="AJ135" s="79" t="s">
        <v>46</v>
      </c>
      <c r="AK135" s="79">
        <v>0</v>
      </c>
      <c r="BB135" s="196" t="s">
        <v>67</v>
      </c>
      <c r="BM135" s="75">
        <f>IFERROR(X135*I135/H135,"0")</f>
        <v>6.1359999999999992</v>
      </c>
      <c r="BN135" s="75">
        <f>IFERROR(Y135*I135/H135,"0")</f>
        <v>6.1359999999999992</v>
      </c>
      <c r="BO135" s="75">
        <f>IFERROR(1/J135*(X135/H135),"0")</f>
        <v>1.098901098901099E-2</v>
      </c>
      <c r="BP135" s="75">
        <f>IFERROR(1/J135*(Y135/H135),"0")</f>
        <v>1.098901098901099E-2</v>
      </c>
    </row>
    <row r="136" spans="1:68" ht="27" customHeight="1" x14ac:dyDescent="0.25">
      <c r="A136" s="60" t="s">
        <v>250</v>
      </c>
      <c r="B136" s="60" t="s">
        <v>253</v>
      </c>
      <c r="C136" s="34">
        <v>4301031235</v>
      </c>
      <c r="D136" s="646">
        <v>4680115883444</v>
      </c>
      <c r="E136" s="646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82</v>
      </c>
      <c r="L136" s="35" t="s">
        <v>46</v>
      </c>
      <c r="M136" s="36" t="s">
        <v>115</v>
      </c>
      <c r="N136" s="36"/>
      <c r="O136" s="35">
        <v>90</v>
      </c>
      <c r="P136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48"/>
      <c r="R136" s="648"/>
      <c r="S136" s="648"/>
      <c r="T136" s="64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197" t="s">
        <v>252</v>
      </c>
      <c r="AG136" s="75"/>
      <c r="AJ136" s="79" t="s">
        <v>46</v>
      </c>
      <c r="AK136" s="79">
        <v>0</v>
      </c>
      <c r="BB136" s="198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654"/>
      <c r="B137" s="654"/>
      <c r="C137" s="654"/>
      <c r="D137" s="654"/>
      <c r="E137" s="654"/>
      <c r="F137" s="654"/>
      <c r="G137" s="654"/>
      <c r="H137" s="654"/>
      <c r="I137" s="654"/>
      <c r="J137" s="654"/>
      <c r="K137" s="654"/>
      <c r="L137" s="654"/>
      <c r="M137" s="654"/>
      <c r="N137" s="654"/>
      <c r="O137" s="655"/>
      <c r="P137" s="651" t="s">
        <v>40</v>
      </c>
      <c r="Q137" s="652"/>
      <c r="R137" s="652"/>
      <c r="S137" s="652"/>
      <c r="T137" s="652"/>
      <c r="U137" s="652"/>
      <c r="V137" s="653"/>
      <c r="W137" s="40" t="s">
        <v>39</v>
      </c>
      <c r="X137" s="41">
        <f>IFERROR(X135/H135,"0")+IFERROR(X136/H136,"0")</f>
        <v>2</v>
      </c>
      <c r="Y137" s="41">
        <f>IFERROR(Y135/H135,"0")+IFERROR(Y136/H136,"0")</f>
        <v>2</v>
      </c>
      <c r="Z137" s="41">
        <f>IFERROR(IF(Z135="",0,Z135),"0")+IFERROR(IF(Z136="",0,Z136),"0")</f>
        <v>1.302E-2</v>
      </c>
      <c r="AA137" s="64"/>
      <c r="AB137" s="64"/>
      <c r="AC137" s="64"/>
    </row>
    <row r="138" spans="1:68" x14ac:dyDescent="0.2">
      <c r="A138" s="654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51" t="s">
        <v>40</v>
      </c>
      <c r="Q138" s="652"/>
      <c r="R138" s="652"/>
      <c r="S138" s="652"/>
      <c r="T138" s="652"/>
      <c r="U138" s="652"/>
      <c r="V138" s="653"/>
      <c r="W138" s="40" t="s">
        <v>0</v>
      </c>
      <c r="X138" s="41">
        <f>IFERROR(SUM(X135:X136),"0")</f>
        <v>5.6</v>
      </c>
      <c r="Y138" s="41">
        <f>IFERROR(SUM(Y135:Y136),"0")</f>
        <v>5.6</v>
      </c>
      <c r="Z138" s="40"/>
      <c r="AA138" s="64"/>
      <c r="AB138" s="64"/>
      <c r="AC138" s="64"/>
    </row>
    <row r="139" spans="1:68" ht="14.25" customHeight="1" x14ac:dyDescent="0.25">
      <c r="A139" s="645" t="s">
        <v>87</v>
      </c>
      <c r="B139" s="645"/>
      <c r="C139" s="645"/>
      <c r="D139" s="645"/>
      <c r="E139" s="645"/>
      <c r="F139" s="645"/>
      <c r="G139" s="645"/>
      <c r="H139" s="645"/>
      <c r="I139" s="645"/>
      <c r="J139" s="645"/>
      <c r="K139" s="645"/>
      <c r="L139" s="645"/>
      <c r="M139" s="645"/>
      <c r="N139" s="645"/>
      <c r="O139" s="645"/>
      <c r="P139" s="645"/>
      <c r="Q139" s="645"/>
      <c r="R139" s="645"/>
      <c r="S139" s="645"/>
      <c r="T139" s="645"/>
      <c r="U139" s="645"/>
      <c r="V139" s="645"/>
      <c r="W139" s="645"/>
      <c r="X139" s="645"/>
      <c r="Y139" s="645"/>
      <c r="Z139" s="645"/>
      <c r="AA139" s="63"/>
      <c r="AB139" s="63"/>
      <c r="AC139" s="63"/>
    </row>
    <row r="140" spans="1:68" ht="16.5" customHeight="1" x14ac:dyDescent="0.25">
      <c r="A140" s="60" t="s">
        <v>254</v>
      </c>
      <c r="B140" s="60" t="s">
        <v>255</v>
      </c>
      <c r="C140" s="34">
        <v>4301051476</v>
      </c>
      <c r="D140" s="646">
        <v>4680115882584</v>
      </c>
      <c r="E140" s="646"/>
      <c r="F140" s="59">
        <v>0.33</v>
      </c>
      <c r="G140" s="35">
        <v>8</v>
      </c>
      <c r="H140" s="59">
        <v>2.64</v>
      </c>
      <c r="I140" s="59">
        <v>2.9079999999999999</v>
      </c>
      <c r="J140" s="35">
        <v>182</v>
      </c>
      <c r="K140" s="35" t="s">
        <v>82</v>
      </c>
      <c r="L140" s="35" t="s">
        <v>46</v>
      </c>
      <c r="M140" s="36" t="s">
        <v>115</v>
      </c>
      <c r="N140" s="36"/>
      <c r="O140" s="35">
        <v>60</v>
      </c>
      <c r="P140" s="7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/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199" t="s">
        <v>248</v>
      </c>
      <c r="AG140" s="75"/>
      <c r="AJ140" s="79" t="s">
        <v>46</v>
      </c>
      <c r="AK140" s="79">
        <v>0</v>
      </c>
      <c r="BB140" s="200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16.5" customHeight="1" x14ac:dyDescent="0.25">
      <c r="A141" s="60" t="s">
        <v>254</v>
      </c>
      <c r="B141" s="60" t="s">
        <v>256</v>
      </c>
      <c r="C141" s="34">
        <v>4301051477</v>
      </c>
      <c r="D141" s="646">
        <v>4680115882584</v>
      </c>
      <c r="E141" s="646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82</v>
      </c>
      <c r="L141" s="35" t="s">
        <v>46</v>
      </c>
      <c r="M141" s="36" t="s">
        <v>115</v>
      </c>
      <c r="N141" s="36"/>
      <c r="O141" s="35">
        <v>60</v>
      </c>
      <c r="P141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1" t="s">
        <v>248</v>
      </c>
      <c r="AG141" s="75"/>
      <c r="AJ141" s="79" t="s">
        <v>46</v>
      </c>
      <c r="AK141" s="79">
        <v>0</v>
      </c>
      <c r="BB141" s="202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x14ac:dyDescent="0.2">
      <c r="A142" s="654"/>
      <c r="B142" s="654"/>
      <c r="C142" s="654"/>
      <c r="D142" s="654"/>
      <c r="E142" s="654"/>
      <c r="F142" s="654"/>
      <c r="G142" s="654"/>
      <c r="H142" s="654"/>
      <c r="I142" s="654"/>
      <c r="J142" s="654"/>
      <c r="K142" s="654"/>
      <c r="L142" s="654"/>
      <c r="M142" s="654"/>
      <c r="N142" s="654"/>
      <c r="O142" s="655"/>
      <c r="P142" s="651" t="s">
        <v>40</v>
      </c>
      <c r="Q142" s="652"/>
      <c r="R142" s="652"/>
      <c r="S142" s="652"/>
      <c r="T142" s="652"/>
      <c r="U142" s="652"/>
      <c r="V142" s="653"/>
      <c r="W142" s="40" t="s">
        <v>39</v>
      </c>
      <c r="X142" s="41">
        <f>IFERROR(X140/H140,"0")+IFERROR(X141/H141,"0")</f>
        <v>0</v>
      </c>
      <c r="Y142" s="41">
        <f>IFERROR(Y140/H140,"0")+IFERROR(Y141/H141,"0")</f>
        <v>0</v>
      </c>
      <c r="Z142" s="41">
        <f>IFERROR(IF(Z140="",0,Z140),"0")+IFERROR(IF(Z141="",0,Z141),"0")</f>
        <v>0</v>
      </c>
      <c r="AA142" s="64"/>
      <c r="AB142" s="64"/>
      <c r="AC142" s="64"/>
    </row>
    <row r="143" spans="1:68" x14ac:dyDescent="0.2">
      <c r="A143" s="654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51" t="s">
        <v>40</v>
      </c>
      <c r="Q143" s="652"/>
      <c r="R143" s="652"/>
      <c r="S143" s="652"/>
      <c r="T143" s="652"/>
      <c r="U143" s="652"/>
      <c r="V143" s="653"/>
      <c r="W143" s="40" t="s">
        <v>0</v>
      </c>
      <c r="X143" s="41">
        <f>IFERROR(SUM(X140:X141),"0")</f>
        <v>0</v>
      </c>
      <c r="Y143" s="41">
        <f>IFERROR(SUM(Y140:Y141),"0")</f>
        <v>0</v>
      </c>
      <c r="Z143" s="40"/>
      <c r="AA143" s="64"/>
      <c r="AB143" s="64"/>
      <c r="AC143" s="64"/>
    </row>
    <row r="144" spans="1:68" ht="16.5" customHeight="1" x14ac:dyDescent="0.25">
      <c r="A144" s="644" t="s">
        <v>123</v>
      </c>
      <c r="B144" s="644"/>
      <c r="C144" s="644"/>
      <c r="D144" s="644"/>
      <c r="E144" s="644"/>
      <c r="F144" s="644"/>
      <c r="G144" s="644"/>
      <c r="H144" s="644"/>
      <c r="I144" s="644"/>
      <c r="J144" s="644"/>
      <c r="K144" s="644"/>
      <c r="L144" s="644"/>
      <c r="M144" s="644"/>
      <c r="N144" s="644"/>
      <c r="O144" s="644"/>
      <c r="P144" s="644"/>
      <c r="Q144" s="644"/>
      <c r="R144" s="644"/>
      <c r="S144" s="644"/>
      <c r="T144" s="644"/>
      <c r="U144" s="644"/>
      <c r="V144" s="644"/>
      <c r="W144" s="644"/>
      <c r="X144" s="644"/>
      <c r="Y144" s="644"/>
      <c r="Z144" s="644"/>
      <c r="AA144" s="62"/>
      <c r="AB144" s="62"/>
      <c r="AC144" s="62"/>
    </row>
    <row r="145" spans="1:68" ht="14.25" customHeight="1" x14ac:dyDescent="0.25">
      <c r="A145" s="645" t="s">
        <v>125</v>
      </c>
      <c r="B145" s="645"/>
      <c r="C145" s="645"/>
      <c r="D145" s="645"/>
      <c r="E145" s="645"/>
      <c r="F145" s="645"/>
      <c r="G145" s="645"/>
      <c r="H145" s="645"/>
      <c r="I145" s="645"/>
      <c r="J145" s="645"/>
      <c r="K145" s="645"/>
      <c r="L145" s="645"/>
      <c r="M145" s="645"/>
      <c r="N145" s="645"/>
      <c r="O145" s="645"/>
      <c r="P145" s="645"/>
      <c r="Q145" s="645"/>
      <c r="R145" s="645"/>
      <c r="S145" s="645"/>
      <c r="T145" s="645"/>
      <c r="U145" s="645"/>
      <c r="V145" s="645"/>
      <c r="W145" s="645"/>
      <c r="X145" s="645"/>
      <c r="Y145" s="645"/>
      <c r="Z145" s="645"/>
      <c r="AA145" s="63"/>
      <c r="AB145" s="63"/>
      <c r="AC145" s="63"/>
    </row>
    <row r="146" spans="1:68" ht="27" customHeight="1" x14ac:dyDescent="0.25">
      <c r="A146" s="60" t="s">
        <v>257</v>
      </c>
      <c r="B146" s="60" t="s">
        <v>258</v>
      </c>
      <c r="C146" s="34">
        <v>4301012244</v>
      </c>
      <c r="D146" s="646">
        <v>4680115887374</v>
      </c>
      <c r="E146" s="646"/>
      <c r="F146" s="59">
        <v>1.6</v>
      </c>
      <c r="G146" s="35">
        <v>8</v>
      </c>
      <c r="H146" s="59">
        <v>12.8</v>
      </c>
      <c r="I146" s="59">
        <v>13.21</v>
      </c>
      <c r="J146" s="35">
        <v>64</v>
      </c>
      <c r="K146" s="35" t="s">
        <v>130</v>
      </c>
      <c r="L146" s="35" t="s">
        <v>46</v>
      </c>
      <c r="M146" s="36" t="s">
        <v>129</v>
      </c>
      <c r="N146" s="36"/>
      <c r="O146" s="35">
        <v>55</v>
      </c>
      <c r="P146" s="71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25.6</v>
      </c>
      <c r="Y146" s="53">
        <f>IFERROR(IF(X146="",0,CEILING((X146/$H146),1)*$H146),"")</f>
        <v>25.6</v>
      </c>
      <c r="Z146" s="39">
        <f>IFERROR(IF(Y146=0,"",ROUNDUP(Y146/H146,0)*0.01898),"")</f>
        <v>3.7960000000000001E-2</v>
      </c>
      <c r="AA146" s="65" t="s">
        <v>46</v>
      </c>
      <c r="AB146" s="66" t="s">
        <v>46</v>
      </c>
      <c r="AC146" s="203" t="s">
        <v>259</v>
      </c>
      <c r="AG146" s="75"/>
      <c r="AJ146" s="79" t="s">
        <v>46</v>
      </c>
      <c r="AK146" s="79">
        <v>0</v>
      </c>
      <c r="BB146" s="204" t="s">
        <v>67</v>
      </c>
      <c r="BM146" s="75">
        <f>IFERROR(X146*I146/H146,"0")</f>
        <v>26.42</v>
      </c>
      <c r="BN146" s="75">
        <f>IFERROR(Y146*I146/H146,"0")</f>
        <v>26.42</v>
      </c>
      <c r="BO146" s="75">
        <f>IFERROR(1/J146*(X146/H146),"0")</f>
        <v>3.125E-2</v>
      </c>
      <c r="BP146" s="75">
        <f>IFERROR(1/J146*(Y146/H146),"0")</f>
        <v>3.125E-2</v>
      </c>
    </row>
    <row r="147" spans="1:68" ht="27" customHeight="1" x14ac:dyDescent="0.25">
      <c r="A147" s="60" t="s">
        <v>260</v>
      </c>
      <c r="B147" s="60" t="s">
        <v>261</v>
      </c>
      <c r="C147" s="34">
        <v>4301011705</v>
      </c>
      <c r="D147" s="646">
        <v>4607091384604</v>
      </c>
      <c r="E147" s="646"/>
      <c r="F147" s="59">
        <v>0.4</v>
      </c>
      <c r="G147" s="35">
        <v>10</v>
      </c>
      <c r="H147" s="59">
        <v>4</v>
      </c>
      <c r="I147" s="59">
        <v>4.1900000000000004</v>
      </c>
      <c r="J147" s="35">
        <v>132</v>
      </c>
      <c r="K147" s="35" t="s">
        <v>137</v>
      </c>
      <c r="L147" s="35" t="s">
        <v>46</v>
      </c>
      <c r="M147" s="36" t="s">
        <v>129</v>
      </c>
      <c r="N147" s="36"/>
      <c r="O147" s="35">
        <v>50</v>
      </c>
      <c r="P147" s="71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16</v>
      </c>
      <c r="Y147" s="53">
        <f>IFERROR(IF(X147="",0,CEILING((X147/$H147),1)*$H147),"")</f>
        <v>16</v>
      </c>
      <c r="Z147" s="39">
        <f>IFERROR(IF(Y147=0,"",ROUNDUP(Y147/H147,0)*0.00902),"")</f>
        <v>3.6080000000000001E-2</v>
      </c>
      <c r="AA147" s="65" t="s">
        <v>46</v>
      </c>
      <c r="AB147" s="66" t="s">
        <v>46</v>
      </c>
      <c r="AC147" s="205" t="s">
        <v>262</v>
      </c>
      <c r="AG147" s="75"/>
      <c r="AJ147" s="79" t="s">
        <v>46</v>
      </c>
      <c r="AK147" s="79">
        <v>0</v>
      </c>
      <c r="BB147" s="206" t="s">
        <v>67</v>
      </c>
      <c r="BM147" s="75">
        <f>IFERROR(X147*I147/H147,"0")</f>
        <v>16.760000000000002</v>
      </c>
      <c r="BN147" s="75">
        <f>IFERROR(Y147*I147/H147,"0")</f>
        <v>16.760000000000002</v>
      </c>
      <c r="BO147" s="75">
        <f>IFERROR(1/J147*(X147/H147),"0")</f>
        <v>3.0303030303030304E-2</v>
      </c>
      <c r="BP147" s="75">
        <f>IFERROR(1/J147*(Y147/H147),"0")</f>
        <v>3.0303030303030304E-2</v>
      </c>
    </row>
    <row r="148" spans="1:68" x14ac:dyDescent="0.2">
      <c r="A148" s="654"/>
      <c r="B148" s="654"/>
      <c r="C148" s="654"/>
      <c r="D148" s="654"/>
      <c r="E148" s="654"/>
      <c r="F148" s="654"/>
      <c r="G148" s="654"/>
      <c r="H148" s="654"/>
      <c r="I148" s="654"/>
      <c r="J148" s="654"/>
      <c r="K148" s="654"/>
      <c r="L148" s="654"/>
      <c r="M148" s="654"/>
      <c r="N148" s="654"/>
      <c r="O148" s="655"/>
      <c r="P148" s="651" t="s">
        <v>40</v>
      </c>
      <c r="Q148" s="652"/>
      <c r="R148" s="652"/>
      <c r="S148" s="652"/>
      <c r="T148" s="652"/>
      <c r="U148" s="652"/>
      <c r="V148" s="653"/>
      <c r="W148" s="40" t="s">
        <v>39</v>
      </c>
      <c r="X148" s="41">
        <f>IFERROR(X146/H146,"0")+IFERROR(X147/H147,"0")</f>
        <v>6</v>
      </c>
      <c r="Y148" s="41">
        <f>IFERROR(Y146/H146,"0")+IFERROR(Y147/H147,"0")</f>
        <v>6</v>
      </c>
      <c r="Z148" s="41">
        <f>IFERROR(IF(Z146="",0,Z146),"0")+IFERROR(IF(Z147="",0,Z147),"0")</f>
        <v>7.4039999999999995E-2</v>
      </c>
      <c r="AA148" s="64"/>
      <c r="AB148" s="64"/>
      <c r="AC148" s="64"/>
    </row>
    <row r="149" spans="1:68" x14ac:dyDescent="0.2">
      <c r="A149" s="654"/>
      <c r="B149" s="654"/>
      <c r="C149" s="654"/>
      <c r="D149" s="654"/>
      <c r="E149" s="654"/>
      <c r="F149" s="654"/>
      <c r="G149" s="654"/>
      <c r="H149" s="654"/>
      <c r="I149" s="654"/>
      <c r="J149" s="654"/>
      <c r="K149" s="654"/>
      <c r="L149" s="654"/>
      <c r="M149" s="654"/>
      <c r="N149" s="654"/>
      <c r="O149" s="655"/>
      <c r="P149" s="651" t="s">
        <v>40</v>
      </c>
      <c r="Q149" s="652"/>
      <c r="R149" s="652"/>
      <c r="S149" s="652"/>
      <c r="T149" s="652"/>
      <c r="U149" s="652"/>
      <c r="V149" s="653"/>
      <c r="W149" s="40" t="s">
        <v>0</v>
      </c>
      <c r="X149" s="41">
        <f>IFERROR(SUM(X146:X147),"0")</f>
        <v>41.6</v>
      </c>
      <c r="Y149" s="41">
        <f>IFERROR(SUM(Y146:Y147),"0")</f>
        <v>41.6</v>
      </c>
      <c r="Z149" s="40"/>
      <c r="AA149" s="64"/>
      <c r="AB149" s="64"/>
      <c r="AC149" s="64"/>
    </row>
    <row r="150" spans="1:68" ht="14.25" customHeight="1" x14ac:dyDescent="0.25">
      <c r="A150" s="645" t="s">
        <v>159</v>
      </c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5"/>
      <c r="P150" s="645"/>
      <c r="Q150" s="645"/>
      <c r="R150" s="645"/>
      <c r="S150" s="645"/>
      <c r="T150" s="645"/>
      <c r="U150" s="645"/>
      <c r="V150" s="645"/>
      <c r="W150" s="645"/>
      <c r="X150" s="645"/>
      <c r="Y150" s="645"/>
      <c r="Z150" s="645"/>
      <c r="AA150" s="63"/>
      <c r="AB150" s="63"/>
      <c r="AC150" s="63"/>
    </row>
    <row r="151" spans="1:68" ht="16.5" customHeight="1" x14ac:dyDescent="0.25">
      <c r="A151" s="60" t="s">
        <v>263</v>
      </c>
      <c r="B151" s="60" t="s">
        <v>264</v>
      </c>
      <c r="C151" s="34">
        <v>4301020410</v>
      </c>
      <c r="D151" s="646">
        <v>4680115887695</v>
      </c>
      <c r="E151" s="646"/>
      <c r="F151" s="59">
        <v>0.12</v>
      </c>
      <c r="G151" s="35">
        <v>6</v>
      </c>
      <c r="H151" s="59">
        <v>0.72</v>
      </c>
      <c r="I151" s="59">
        <v>0.85</v>
      </c>
      <c r="J151" s="35">
        <v>216</v>
      </c>
      <c r="K151" s="35" t="s">
        <v>86</v>
      </c>
      <c r="L151" s="35" t="s">
        <v>46</v>
      </c>
      <c r="M151" s="36" t="s">
        <v>81</v>
      </c>
      <c r="N151" s="36"/>
      <c r="O151" s="35">
        <v>30</v>
      </c>
      <c r="P151" s="71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648"/>
      <c r="R151" s="648"/>
      <c r="S151" s="648"/>
      <c r="T151" s="649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IFERROR(IF(Y151=0,"",ROUNDUP(Y151/H151,0)*0.00556),"")</f>
        <v/>
      </c>
      <c r="AA151" s="65" t="s">
        <v>46</v>
      </c>
      <c r="AB151" s="66" t="s">
        <v>46</v>
      </c>
      <c r="AC151" s="207" t="s">
        <v>265</v>
      </c>
      <c r="AG151" s="75"/>
      <c r="AJ151" s="79" t="s">
        <v>46</v>
      </c>
      <c r="AK151" s="79">
        <v>0</v>
      </c>
      <c r="BB151" s="208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x14ac:dyDescent="0.2">
      <c r="A152" s="654"/>
      <c r="B152" s="654"/>
      <c r="C152" s="654"/>
      <c r="D152" s="654"/>
      <c r="E152" s="654"/>
      <c r="F152" s="654"/>
      <c r="G152" s="654"/>
      <c r="H152" s="654"/>
      <c r="I152" s="654"/>
      <c r="J152" s="654"/>
      <c r="K152" s="654"/>
      <c r="L152" s="654"/>
      <c r="M152" s="654"/>
      <c r="N152" s="654"/>
      <c r="O152" s="655"/>
      <c r="P152" s="651" t="s">
        <v>40</v>
      </c>
      <c r="Q152" s="652"/>
      <c r="R152" s="652"/>
      <c r="S152" s="652"/>
      <c r="T152" s="652"/>
      <c r="U152" s="652"/>
      <c r="V152" s="653"/>
      <c r="W152" s="40" t="s">
        <v>39</v>
      </c>
      <c r="X152" s="41">
        <f>IFERROR(X151/H151,"0")</f>
        <v>0</v>
      </c>
      <c r="Y152" s="41">
        <f>IFERROR(Y151/H151,"0")</f>
        <v>0</v>
      </c>
      <c r="Z152" s="41">
        <f>IFERROR(IF(Z151="",0,Z151),"0")</f>
        <v>0</v>
      </c>
      <c r="AA152" s="64"/>
      <c r="AB152" s="64"/>
      <c r="AC152" s="64"/>
    </row>
    <row r="153" spans="1:68" x14ac:dyDescent="0.2">
      <c r="A153" s="654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51" t="s">
        <v>40</v>
      </c>
      <c r="Q153" s="652"/>
      <c r="R153" s="652"/>
      <c r="S153" s="652"/>
      <c r="T153" s="652"/>
      <c r="U153" s="652"/>
      <c r="V153" s="653"/>
      <c r="W153" s="40" t="s">
        <v>0</v>
      </c>
      <c r="X153" s="41">
        <f>IFERROR(SUM(X151:X151),"0")</f>
        <v>0</v>
      </c>
      <c r="Y153" s="41">
        <f>IFERROR(SUM(Y151:Y151),"0")</f>
        <v>0</v>
      </c>
      <c r="Z153" s="40"/>
      <c r="AA153" s="64"/>
      <c r="AB153" s="64"/>
      <c r="AC153" s="64"/>
    </row>
    <row r="154" spans="1:68" ht="14.25" customHeight="1" x14ac:dyDescent="0.25">
      <c r="A154" s="645" t="s">
        <v>77</v>
      </c>
      <c r="B154" s="645"/>
      <c r="C154" s="645"/>
      <c r="D154" s="645"/>
      <c r="E154" s="645"/>
      <c r="F154" s="645"/>
      <c r="G154" s="645"/>
      <c r="H154" s="645"/>
      <c r="I154" s="645"/>
      <c r="J154" s="645"/>
      <c r="K154" s="645"/>
      <c r="L154" s="645"/>
      <c r="M154" s="645"/>
      <c r="N154" s="645"/>
      <c r="O154" s="645"/>
      <c r="P154" s="645"/>
      <c r="Q154" s="645"/>
      <c r="R154" s="645"/>
      <c r="S154" s="645"/>
      <c r="T154" s="645"/>
      <c r="U154" s="645"/>
      <c r="V154" s="645"/>
      <c r="W154" s="645"/>
      <c r="X154" s="645"/>
      <c r="Y154" s="645"/>
      <c r="Z154" s="645"/>
      <c r="AA154" s="63"/>
      <c r="AB154" s="63"/>
      <c r="AC154" s="63"/>
    </row>
    <row r="155" spans="1:68" ht="27" customHeight="1" x14ac:dyDescent="0.25">
      <c r="A155" s="60" t="s">
        <v>266</v>
      </c>
      <c r="B155" s="60" t="s">
        <v>267</v>
      </c>
      <c r="C155" s="34">
        <v>4301031450</v>
      </c>
      <c r="D155" s="646">
        <v>4680115887428</v>
      </c>
      <c r="E155" s="646"/>
      <c r="F155" s="59">
        <v>0.7</v>
      </c>
      <c r="G155" s="35">
        <v>6</v>
      </c>
      <c r="H155" s="59">
        <v>4.2</v>
      </c>
      <c r="I155" s="59">
        <v>4.3899999999999997</v>
      </c>
      <c r="J155" s="35">
        <v>132</v>
      </c>
      <c r="K155" s="35" t="s">
        <v>137</v>
      </c>
      <c r="L155" s="35" t="s">
        <v>46</v>
      </c>
      <c r="M155" s="36" t="s">
        <v>81</v>
      </c>
      <c r="N155" s="36"/>
      <c r="O155" s="35">
        <v>40</v>
      </c>
      <c r="P155" s="71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16.8</v>
      </c>
      <c r="Y155" s="53">
        <f t="shared" ref="Y155:Y166" si="16">IFERROR(IF(X155="",0,CEILING((X155/$H155),1)*$H155),"")</f>
        <v>16.8</v>
      </c>
      <c r="Z155" s="39">
        <f>IFERROR(IF(Y155=0,"",ROUNDUP(Y155/H155,0)*0.00902),"")</f>
        <v>3.6080000000000001E-2</v>
      </c>
      <c r="AA155" s="65" t="s">
        <v>46</v>
      </c>
      <c r="AB155" s="66" t="s">
        <v>46</v>
      </c>
      <c r="AC155" s="209" t="s">
        <v>268</v>
      </c>
      <c r="AG155" s="75"/>
      <c r="AJ155" s="79" t="s">
        <v>46</v>
      </c>
      <c r="AK155" s="79">
        <v>0</v>
      </c>
      <c r="BB155" s="210" t="s">
        <v>67</v>
      </c>
      <c r="BM155" s="75">
        <f t="shared" ref="BM155:BM166" si="17">IFERROR(X155*I155/H155,"0")</f>
        <v>17.559999999999999</v>
      </c>
      <c r="BN155" s="75">
        <f t="shared" ref="BN155:BN166" si="18">IFERROR(Y155*I155/H155,"0")</f>
        <v>17.559999999999999</v>
      </c>
      <c r="BO155" s="75">
        <f t="shared" ref="BO155:BO166" si="19">IFERROR(1/J155*(X155/H155),"0")</f>
        <v>3.0303030303030304E-2</v>
      </c>
      <c r="BP155" s="75">
        <f t="shared" ref="BP155:BP166" si="20">IFERROR(1/J155*(Y155/H155),"0")</f>
        <v>3.0303030303030304E-2</v>
      </c>
    </row>
    <row r="156" spans="1:68" ht="27" customHeight="1" x14ac:dyDescent="0.25">
      <c r="A156" s="60" t="s">
        <v>266</v>
      </c>
      <c r="B156" s="60" t="s">
        <v>269</v>
      </c>
      <c r="C156" s="34">
        <v>4301031496</v>
      </c>
      <c r="D156" s="646">
        <v>4680115887428</v>
      </c>
      <c r="E156" s="646"/>
      <c r="F156" s="59">
        <v>0.7</v>
      </c>
      <c r="G156" s="35">
        <v>5</v>
      </c>
      <c r="H156" s="59">
        <v>3.5</v>
      </c>
      <c r="I156" s="59">
        <v>3.69</v>
      </c>
      <c r="J156" s="35">
        <v>132</v>
      </c>
      <c r="K156" s="35" t="s">
        <v>137</v>
      </c>
      <c r="L156" s="35" t="s">
        <v>46</v>
      </c>
      <c r="M156" s="36" t="s">
        <v>81</v>
      </c>
      <c r="N156" s="36"/>
      <c r="O156" s="35">
        <v>40</v>
      </c>
      <c r="P156" s="7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14</v>
      </c>
      <c r="Y156" s="53">
        <f t="shared" si="16"/>
        <v>14</v>
      </c>
      <c r="Z156" s="39">
        <f>IFERROR(IF(Y156=0,"",ROUNDUP(Y156/H156,0)*0.00902),"")</f>
        <v>3.6080000000000001E-2</v>
      </c>
      <c r="AA156" s="65" t="s">
        <v>46</v>
      </c>
      <c r="AB156" s="66" t="s">
        <v>46</v>
      </c>
      <c r="AC156" s="211" t="s">
        <v>268</v>
      </c>
      <c r="AG156" s="75"/>
      <c r="AJ156" s="79" t="s">
        <v>46</v>
      </c>
      <c r="AK156" s="79">
        <v>0</v>
      </c>
      <c r="BB156" s="212" t="s">
        <v>67</v>
      </c>
      <c r="BM156" s="75">
        <f t="shared" si="17"/>
        <v>14.76</v>
      </c>
      <c r="BN156" s="75">
        <f t="shared" si="18"/>
        <v>14.76</v>
      </c>
      <c r="BO156" s="75">
        <f t="shared" si="19"/>
        <v>3.0303030303030304E-2</v>
      </c>
      <c r="BP156" s="75">
        <f t="shared" si="20"/>
        <v>3.0303030303030304E-2</v>
      </c>
    </row>
    <row r="157" spans="1:68" ht="27" customHeight="1" x14ac:dyDescent="0.25">
      <c r="A157" s="60" t="s">
        <v>270</v>
      </c>
      <c r="B157" s="60" t="s">
        <v>271</v>
      </c>
      <c r="C157" s="34">
        <v>4301030963</v>
      </c>
      <c r="D157" s="646">
        <v>4607091382426</v>
      </c>
      <c r="E157" s="646"/>
      <c r="F157" s="59">
        <v>0.9</v>
      </c>
      <c r="G157" s="35">
        <v>10</v>
      </c>
      <c r="H157" s="59">
        <v>9</v>
      </c>
      <c r="I157" s="59">
        <v>9.56</v>
      </c>
      <c r="J157" s="35">
        <v>64</v>
      </c>
      <c r="K157" s="35" t="s">
        <v>130</v>
      </c>
      <c r="L157" s="35" t="s">
        <v>46</v>
      </c>
      <c r="M157" s="36" t="s">
        <v>81</v>
      </c>
      <c r="N157" s="36"/>
      <c r="O157" s="35">
        <v>40</v>
      </c>
      <c r="P157" s="7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9</v>
      </c>
      <c r="Y157" s="53">
        <f t="shared" si="16"/>
        <v>9</v>
      </c>
      <c r="Z157" s="39">
        <f>IFERROR(IF(Y157=0,"",ROUNDUP(Y157/H157,0)*0.01898),"")</f>
        <v>1.898E-2</v>
      </c>
      <c r="AA157" s="65" t="s">
        <v>46</v>
      </c>
      <c r="AB157" s="66" t="s">
        <v>46</v>
      </c>
      <c r="AC157" s="213" t="s">
        <v>272</v>
      </c>
      <c r="AG157" s="75"/>
      <c r="AJ157" s="79" t="s">
        <v>46</v>
      </c>
      <c r="AK157" s="79">
        <v>0</v>
      </c>
      <c r="BB157" s="214" t="s">
        <v>67</v>
      </c>
      <c r="BM157" s="75">
        <f t="shared" si="17"/>
        <v>9.56</v>
      </c>
      <c r="BN157" s="75">
        <f t="shared" si="18"/>
        <v>9.56</v>
      </c>
      <c r="BO157" s="75">
        <f t="shared" si="19"/>
        <v>1.5625E-2</v>
      </c>
      <c r="BP157" s="75">
        <f t="shared" si="20"/>
        <v>1.5625E-2</v>
      </c>
    </row>
    <row r="158" spans="1:68" ht="27" customHeight="1" x14ac:dyDescent="0.25">
      <c r="A158" s="60" t="s">
        <v>273</v>
      </c>
      <c r="B158" s="60" t="s">
        <v>274</v>
      </c>
      <c r="C158" s="34">
        <v>4301031456</v>
      </c>
      <c r="D158" s="646">
        <v>4680115887398</v>
      </c>
      <c r="E158" s="646"/>
      <c r="F158" s="59">
        <v>0.7</v>
      </c>
      <c r="G158" s="35">
        <v>6</v>
      </c>
      <c r="H158" s="59">
        <v>4.2</v>
      </c>
      <c r="I158" s="59">
        <v>4.3899999999999997</v>
      </c>
      <c r="J158" s="35">
        <v>132</v>
      </c>
      <c r="K158" s="35" t="s">
        <v>137</v>
      </c>
      <c r="L158" s="35" t="s">
        <v>46</v>
      </c>
      <c r="M158" s="36" t="s">
        <v>81</v>
      </c>
      <c r="N158" s="36"/>
      <c r="O158" s="35">
        <v>40</v>
      </c>
      <c r="P158" s="72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648"/>
      <c r="R158" s="648"/>
      <c r="S158" s="648"/>
      <c r="T158" s="649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16"/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5" t="s">
        <v>275</v>
      </c>
      <c r="AG158" s="75"/>
      <c r="AJ158" s="79" t="s">
        <v>46</v>
      </c>
      <c r="AK158" s="79">
        <v>0</v>
      </c>
      <c r="BB158" s="216" t="s">
        <v>67</v>
      </c>
      <c r="BM158" s="75">
        <f t="shared" si="17"/>
        <v>0</v>
      </c>
      <c r="BN158" s="75">
        <f t="shared" si="18"/>
        <v>0</v>
      </c>
      <c r="BO158" s="75">
        <f t="shared" si="19"/>
        <v>0</v>
      </c>
      <c r="BP158" s="75">
        <f t="shared" si="20"/>
        <v>0</v>
      </c>
    </row>
    <row r="159" spans="1:68" ht="27" customHeight="1" x14ac:dyDescent="0.25">
      <c r="A159" s="60" t="s">
        <v>273</v>
      </c>
      <c r="B159" s="60" t="s">
        <v>276</v>
      </c>
      <c r="C159" s="34">
        <v>4301031498</v>
      </c>
      <c r="D159" s="646">
        <v>4680115887398</v>
      </c>
      <c r="E159" s="646"/>
      <c r="F159" s="59">
        <v>0.7</v>
      </c>
      <c r="G159" s="35">
        <v>5</v>
      </c>
      <c r="H159" s="59">
        <v>3.5</v>
      </c>
      <c r="I159" s="59">
        <v>3.69</v>
      </c>
      <c r="J159" s="35">
        <v>132</v>
      </c>
      <c r="K159" s="35" t="s">
        <v>137</v>
      </c>
      <c r="L159" s="35" t="s">
        <v>46</v>
      </c>
      <c r="M159" s="36" t="s">
        <v>81</v>
      </c>
      <c r="N159" s="36"/>
      <c r="O159" s="35">
        <v>40</v>
      </c>
      <c r="P159" s="72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9" s="648"/>
      <c r="R159" s="648"/>
      <c r="S159" s="648"/>
      <c r="T159" s="649"/>
      <c r="U159" s="37" t="s">
        <v>46</v>
      </c>
      <c r="V159" s="37" t="s">
        <v>46</v>
      </c>
      <c r="W159" s="38" t="s">
        <v>0</v>
      </c>
      <c r="X159" s="56">
        <v>17.5</v>
      </c>
      <c r="Y159" s="53">
        <f t="shared" si="16"/>
        <v>17.5</v>
      </c>
      <c r="Z159" s="39">
        <f>IFERROR(IF(Y159=0,"",ROUNDUP(Y159/H159,0)*0.00902),"")</f>
        <v>4.5100000000000001E-2</v>
      </c>
      <c r="AA159" s="65" t="s">
        <v>46</v>
      </c>
      <c r="AB159" s="66" t="s">
        <v>46</v>
      </c>
      <c r="AC159" s="217" t="s">
        <v>275</v>
      </c>
      <c r="AG159" s="75"/>
      <c r="AJ159" s="79" t="s">
        <v>46</v>
      </c>
      <c r="AK159" s="79">
        <v>0</v>
      </c>
      <c r="BB159" s="218" t="s">
        <v>67</v>
      </c>
      <c r="BM159" s="75">
        <f t="shared" si="17"/>
        <v>18.45</v>
      </c>
      <c r="BN159" s="75">
        <f t="shared" si="18"/>
        <v>18.45</v>
      </c>
      <c r="BO159" s="75">
        <f t="shared" si="19"/>
        <v>3.787878787878788E-2</v>
      </c>
      <c r="BP159" s="75">
        <f t="shared" si="20"/>
        <v>3.787878787878788E-2</v>
      </c>
    </row>
    <row r="160" spans="1:68" ht="27" customHeight="1" x14ac:dyDescent="0.25">
      <c r="A160" s="60" t="s">
        <v>277</v>
      </c>
      <c r="B160" s="60" t="s">
        <v>278</v>
      </c>
      <c r="C160" s="34">
        <v>4301031497</v>
      </c>
      <c r="D160" s="646">
        <v>4680115887336</v>
      </c>
      <c r="E160" s="646"/>
      <c r="F160" s="59">
        <v>0.7</v>
      </c>
      <c r="G160" s="35">
        <v>5</v>
      </c>
      <c r="H160" s="59">
        <v>3.5</v>
      </c>
      <c r="I160" s="59">
        <v>3.69</v>
      </c>
      <c r="J160" s="35">
        <v>132</v>
      </c>
      <c r="K160" s="35" t="s">
        <v>137</v>
      </c>
      <c r="L160" s="35" t="s">
        <v>46</v>
      </c>
      <c r="M160" s="36" t="s">
        <v>81</v>
      </c>
      <c r="N160" s="36"/>
      <c r="O160" s="35">
        <v>40</v>
      </c>
      <c r="P160" s="72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0" s="648"/>
      <c r="R160" s="648"/>
      <c r="S160" s="648"/>
      <c r="T160" s="649"/>
      <c r="U160" s="37" t="s">
        <v>46</v>
      </c>
      <c r="V160" s="37" t="s">
        <v>46</v>
      </c>
      <c r="W160" s="38" t="s">
        <v>0</v>
      </c>
      <c r="X160" s="56">
        <v>24.5</v>
      </c>
      <c r="Y160" s="53">
        <f t="shared" si="16"/>
        <v>24.5</v>
      </c>
      <c r="Z160" s="39">
        <f>IFERROR(IF(Y160=0,"",ROUNDUP(Y160/H160,0)*0.00902),"")</f>
        <v>6.3140000000000002E-2</v>
      </c>
      <c r="AA160" s="65" t="s">
        <v>46</v>
      </c>
      <c r="AB160" s="66" t="s">
        <v>46</v>
      </c>
      <c r="AC160" s="219" t="s">
        <v>279</v>
      </c>
      <c r="AG160" s="75"/>
      <c r="AJ160" s="79" t="s">
        <v>46</v>
      </c>
      <c r="AK160" s="79">
        <v>0</v>
      </c>
      <c r="BB160" s="220" t="s">
        <v>67</v>
      </c>
      <c r="BM160" s="75">
        <f t="shared" si="17"/>
        <v>25.830000000000002</v>
      </c>
      <c r="BN160" s="75">
        <f t="shared" si="18"/>
        <v>25.830000000000002</v>
      </c>
      <c r="BO160" s="75">
        <f t="shared" si="19"/>
        <v>5.3030303030303032E-2</v>
      </c>
      <c r="BP160" s="75">
        <f t="shared" si="20"/>
        <v>5.3030303030303032E-2</v>
      </c>
    </row>
    <row r="161" spans="1:68" ht="16.5" customHeight="1" x14ac:dyDescent="0.25">
      <c r="A161" s="60" t="s">
        <v>280</v>
      </c>
      <c r="B161" s="60" t="s">
        <v>281</v>
      </c>
      <c r="C161" s="34">
        <v>4301032049</v>
      </c>
      <c r="D161" s="646">
        <v>4680115887787</v>
      </c>
      <c r="E161" s="646"/>
      <c r="F161" s="59">
        <v>0.09</v>
      </c>
      <c r="G161" s="35">
        <v>10</v>
      </c>
      <c r="H161" s="59">
        <v>0.9</v>
      </c>
      <c r="I161" s="59">
        <v>1.1100000000000001</v>
      </c>
      <c r="J161" s="35">
        <v>336</v>
      </c>
      <c r="K161" s="35" t="s">
        <v>134</v>
      </c>
      <c r="L161" s="35" t="s">
        <v>46</v>
      </c>
      <c r="M161" s="36" t="s">
        <v>81</v>
      </c>
      <c r="N161" s="36"/>
      <c r="O161" s="35">
        <v>45</v>
      </c>
      <c r="P161" s="72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0.9</v>
      </c>
      <c r="Y161" s="53">
        <f t="shared" si="16"/>
        <v>0.9</v>
      </c>
      <c r="Z161" s="39">
        <f>IFERROR(IF(Y161=0,"",ROUNDUP(Y161/H161,0)*0.00417),"")</f>
        <v>4.1700000000000001E-3</v>
      </c>
      <c r="AA161" s="65" t="s">
        <v>46</v>
      </c>
      <c r="AB161" s="66" t="s">
        <v>46</v>
      </c>
      <c r="AC161" s="221" t="s">
        <v>282</v>
      </c>
      <c r="AG161" s="75"/>
      <c r="AJ161" s="79" t="s">
        <v>46</v>
      </c>
      <c r="AK161" s="79">
        <v>0</v>
      </c>
      <c r="BB161" s="222" t="s">
        <v>67</v>
      </c>
      <c r="BM161" s="75">
        <f t="shared" si="17"/>
        <v>1.1100000000000001</v>
      </c>
      <c r="BN161" s="75">
        <f t="shared" si="18"/>
        <v>1.1100000000000001</v>
      </c>
      <c r="BO161" s="75">
        <f t="shared" si="19"/>
        <v>2.976190476190476E-3</v>
      </c>
      <c r="BP161" s="75">
        <f t="shared" si="20"/>
        <v>2.976190476190476E-3</v>
      </c>
    </row>
    <row r="162" spans="1:68" ht="27" customHeight="1" x14ac:dyDescent="0.25">
      <c r="A162" s="60" t="s">
        <v>283</v>
      </c>
      <c r="B162" s="60" t="s">
        <v>284</v>
      </c>
      <c r="C162" s="34">
        <v>4301031448</v>
      </c>
      <c r="D162" s="646">
        <v>4680115887503</v>
      </c>
      <c r="E162" s="646"/>
      <c r="F162" s="59">
        <v>0.28000000000000003</v>
      </c>
      <c r="G162" s="35">
        <v>6</v>
      </c>
      <c r="H162" s="59">
        <v>1.68</v>
      </c>
      <c r="I162" s="59">
        <v>1.78</v>
      </c>
      <c r="J162" s="35">
        <v>234</v>
      </c>
      <c r="K162" s="35" t="s">
        <v>86</v>
      </c>
      <c r="L162" s="35" t="s">
        <v>46</v>
      </c>
      <c r="M162" s="36" t="s">
        <v>81</v>
      </c>
      <c r="N162" s="36"/>
      <c r="O162" s="35">
        <v>40</v>
      </c>
      <c r="P162" s="7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2" s="648"/>
      <c r="R162" s="648"/>
      <c r="S162" s="648"/>
      <c r="T162" s="649"/>
      <c r="U162" s="37" t="s">
        <v>46</v>
      </c>
      <c r="V162" s="37" t="s">
        <v>46</v>
      </c>
      <c r="W162" s="38" t="s">
        <v>0</v>
      </c>
      <c r="X162" s="56">
        <v>10.08</v>
      </c>
      <c r="Y162" s="53">
        <f t="shared" si="16"/>
        <v>10.08</v>
      </c>
      <c r="Z162" s="39">
        <f>IFERROR(IF(Y162=0,"",ROUNDUP(Y162/H162,0)*0.00502),"")</f>
        <v>3.0120000000000001E-2</v>
      </c>
      <c r="AA162" s="65" t="s">
        <v>46</v>
      </c>
      <c r="AB162" s="66" t="s">
        <v>46</v>
      </c>
      <c r="AC162" s="223" t="s">
        <v>268</v>
      </c>
      <c r="AG162" s="75"/>
      <c r="AJ162" s="79" t="s">
        <v>46</v>
      </c>
      <c r="AK162" s="79">
        <v>0</v>
      </c>
      <c r="BB162" s="224" t="s">
        <v>67</v>
      </c>
      <c r="BM162" s="75">
        <f t="shared" si="17"/>
        <v>10.68</v>
      </c>
      <c r="BN162" s="75">
        <f t="shared" si="18"/>
        <v>10.68</v>
      </c>
      <c r="BO162" s="75">
        <f t="shared" si="19"/>
        <v>2.5641025641025644E-2</v>
      </c>
      <c r="BP162" s="75">
        <f t="shared" si="20"/>
        <v>2.5641025641025644E-2</v>
      </c>
    </row>
    <row r="163" spans="1:68" ht="27" customHeight="1" x14ac:dyDescent="0.25">
      <c r="A163" s="60" t="s">
        <v>285</v>
      </c>
      <c r="B163" s="60" t="s">
        <v>286</v>
      </c>
      <c r="C163" s="34">
        <v>4301031389</v>
      </c>
      <c r="D163" s="646">
        <v>4680115887763</v>
      </c>
      <c r="E163" s="646"/>
      <c r="F163" s="59">
        <v>0.09</v>
      </c>
      <c r="G163" s="35">
        <v>10</v>
      </c>
      <c r="H163" s="59">
        <v>0.9</v>
      </c>
      <c r="I163" s="59">
        <v>1.1100000000000001</v>
      </c>
      <c r="J163" s="35">
        <v>336</v>
      </c>
      <c r="K163" s="35" t="s">
        <v>134</v>
      </c>
      <c r="L163" s="35" t="s">
        <v>46</v>
      </c>
      <c r="M163" s="36" t="s">
        <v>81</v>
      </c>
      <c r="N163" s="36"/>
      <c r="O163" s="35">
        <v>45</v>
      </c>
      <c r="P163" s="7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3" s="648"/>
      <c r="R163" s="648"/>
      <c r="S163" s="648"/>
      <c r="T163" s="649"/>
      <c r="U163" s="37" t="s">
        <v>46</v>
      </c>
      <c r="V163" s="37" t="s">
        <v>46</v>
      </c>
      <c r="W163" s="38" t="s">
        <v>0</v>
      </c>
      <c r="X163" s="56">
        <v>0</v>
      </c>
      <c r="Y163" s="53">
        <f t="shared" si="16"/>
        <v>0</v>
      </c>
      <c r="Z163" s="39" t="str">
        <f>IFERROR(IF(Y163=0,"",ROUNDUP(Y163/H163,0)*0.00417),"")</f>
        <v/>
      </c>
      <c r="AA163" s="65" t="s">
        <v>46</v>
      </c>
      <c r="AB163" s="66" t="s">
        <v>46</v>
      </c>
      <c r="AC163" s="225" t="s">
        <v>287</v>
      </c>
      <c r="AG163" s="75"/>
      <c r="AJ163" s="79" t="s">
        <v>46</v>
      </c>
      <c r="AK163" s="79">
        <v>0</v>
      </c>
      <c r="BB163" s="226" t="s">
        <v>67</v>
      </c>
      <c r="BM163" s="75">
        <f t="shared" si="17"/>
        <v>0</v>
      </c>
      <c r="BN163" s="75">
        <f t="shared" si="18"/>
        <v>0</v>
      </c>
      <c r="BO163" s="75">
        <f t="shared" si="19"/>
        <v>0</v>
      </c>
      <c r="BP163" s="75">
        <f t="shared" si="20"/>
        <v>0</v>
      </c>
    </row>
    <row r="164" spans="1:68" ht="27" customHeight="1" x14ac:dyDescent="0.25">
      <c r="A164" s="60" t="s">
        <v>288</v>
      </c>
      <c r="B164" s="60" t="s">
        <v>289</v>
      </c>
      <c r="C164" s="34">
        <v>4301031454</v>
      </c>
      <c r="D164" s="646">
        <v>4680115887480</v>
      </c>
      <c r="E164" s="646"/>
      <c r="F164" s="59">
        <v>0.28000000000000003</v>
      </c>
      <c r="G164" s="35">
        <v>6</v>
      </c>
      <c r="H164" s="59">
        <v>1.68</v>
      </c>
      <c r="I164" s="59">
        <v>1.78</v>
      </c>
      <c r="J164" s="35">
        <v>234</v>
      </c>
      <c r="K164" s="35" t="s">
        <v>86</v>
      </c>
      <c r="L164" s="35" t="s">
        <v>46</v>
      </c>
      <c r="M164" s="36" t="s">
        <v>81</v>
      </c>
      <c r="N164" s="36"/>
      <c r="O164" s="35">
        <v>40</v>
      </c>
      <c r="P164" s="7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4" s="648"/>
      <c r="R164" s="648"/>
      <c r="S164" s="648"/>
      <c r="T164" s="649"/>
      <c r="U164" s="37" t="s">
        <v>46</v>
      </c>
      <c r="V164" s="37" t="s">
        <v>46</v>
      </c>
      <c r="W164" s="38" t="s">
        <v>0</v>
      </c>
      <c r="X164" s="56">
        <v>10.08</v>
      </c>
      <c r="Y164" s="53">
        <f t="shared" si="16"/>
        <v>10.08</v>
      </c>
      <c r="Z164" s="39">
        <f>IFERROR(IF(Y164=0,"",ROUNDUP(Y164/H164,0)*0.00502),"")</f>
        <v>3.0120000000000001E-2</v>
      </c>
      <c r="AA164" s="65" t="s">
        <v>46</v>
      </c>
      <c r="AB164" s="66" t="s">
        <v>46</v>
      </c>
      <c r="AC164" s="227" t="s">
        <v>275</v>
      </c>
      <c r="AG164" s="75"/>
      <c r="AJ164" s="79" t="s">
        <v>46</v>
      </c>
      <c r="AK164" s="79">
        <v>0</v>
      </c>
      <c r="BB164" s="228" t="s">
        <v>67</v>
      </c>
      <c r="BM164" s="75">
        <f t="shared" si="17"/>
        <v>10.68</v>
      </c>
      <c r="BN164" s="75">
        <f t="shared" si="18"/>
        <v>10.68</v>
      </c>
      <c r="BO164" s="75">
        <f t="shared" si="19"/>
        <v>2.5641025641025644E-2</v>
      </c>
      <c r="BP164" s="75">
        <f t="shared" si="20"/>
        <v>2.5641025641025644E-2</v>
      </c>
    </row>
    <row r="165" spans="1:68" ht="27" customHeight="1" x14ac:dyDescent="0.25">
      <c r="A165" s="60" t="s">
        <v>290</v>
      </c>
      <c r="B165" s="60" t="s">
        <v>291</v>
      </c>
      <c r="C165" s="34">
        <v>4301031434</v>
      </c>
      <c r="D165" s="646">
        <v>4680115888067</v>
      </c>
      <c r="E165" s="646"/>
      <c r="F165" s="59">
        <v>0.09</v>
      </c>
      <c r="G165" s="35">
        <v>10</v>
      </c>
      <c r="H165" s="59">
        <v>0.9</v>
      </c>
      <c r="I165" s="59">
        <v>1</v>
      </c>
      <c r="J165" s="35">
        <v>336</v>
      </c>
      <c r="K165" s="35" t="s">
        <v>134</v>
      </c>
      <c r="L165" s="35" t="s">
        <v>46</v>
      </c>
      <c r="M165" s="36" t="s">
        <v>81</v>
      </c>
      <c r="N165" s="36"/>
      <c r="O165" s="35">
        <v>45</v>
      </c>
      <c r="P165" s="7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5" s="648"/>
      <c r="R165" s="648"/>
      <c r="S165" s="648"/>
      <c r="T165" s="649"/>
      <c r="U165" s="37" t="s">
        <v>46</v>
      </c>
      <c r="V165" s="37" t="s">
        <v>46</v>
      </c>
      <c r="W165" s="38" t="s">
        <v>0</v>
      </c>
      <c r="X165" s="56">
        <v>0.9</v>
      </c>
      <c r="Y165" s="53">
        <f t="shared" si="16"/>
        <v>0.9</v>
      </c>
      <c r="Z165" s="39">
        <f>IFERROR(IF(Y165=0,"",ROUNDUP(Y165/H165,0)*0.00417),"")</f>
        <v>4.1700000000000001E-3</v>
      </c>
      <c r="AA165" s="65" t="s">
        <v>46</v>
      </c>
      <c r="AB165" s="66" t="s">
        <v>46</v>
      </c>
      <c r="AC165" s="229" t="s">
        <v>292</v>
      </c>
      <c r="AG165" s="75"/>
      <c r="AJ165" s="79" t="s">
        <v>46</v>
      </c>
      <c r="AK165" s="79">
        <v>0</v>
      </c>
      <c r="BB165" s="230" t="s">
        <v>67</v>
      </c>
      <c r="BM165" s="75">
        <f t="shared" si="17"/>
        <v>1</v>
      </c>
      <c r="BN165" s="75">
        <f t="shared" si="18"/>
        <v>1</v>
      </c>
      <c r="BO165" s="75">
        <f t="shared" si="19"/>
        <v>2.976190476190476E-3</v>
      </c>
      <c r="BP165" s="75">
        <f t="shared" si="20"/>
        <v>2.976190476190476E-3</v>
      </c>
    </row>
    <row r="166" spans="1:68" ht="27" customHeight="1" x14ac:dyDescent="0.25">
      <c r="A166" s="60" t="s">
        <v>293</v>
      </c>
      <c r="B166" s="60" t="s">
        <v>294</v>
      </c>
      <c r="C166" s="34">
        <v>4301031451</v>
      </c>
      <c r="D166" s="646">
        <v>4680115887435</v>
      </c>
      <c r="E166" s="646"/>
      <c r="F166" s="59">
        <v>0.28000000000000003</v>
      </c>
      <c r="G166" s="35">
        <v>6</v>
      </c>
      <c r="H166" s="59">
        <v>1.68</v>
      </c>
      <c r="I166" s="59">
        <v>1.78</v>
      </c>
      <c r="J166" s="35">
        <v>234</v>
      </c>
      <c r="K166" s="35" t="s">
        <v>86</v>
      </c>
      <c r="L166" s="35" t="s">
        <v>46</v>
      </c>
      <c r="M166" s="36" t="s">
        <v>81</v>
      </c>
      <c r="N166" s="36"/>
      <c r="O166" s="35">
        <v>40</v>
      </c>
      <c r="P166" s="72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10.08</v>
      </c>
      <c r="Y166" s="53">
        <f t="shared" si="16"/>
        <v>10.08</v>
      </c>
      <c r="Z166" s="39">
        <f>IFERROR(IF(Y166=0,"",ROUNDUP(Y166/H166,0)*0.00502),"")</f>
        <v>3.0120000000000001E-2</v>
      </c>
      <c r="AA166" s="65" t="s">
        <v>46</v>
      </c>
      <c r="AB166" s="66" t="s">
        <v>46</v>
      </c>
      <c r="AC166" s="231" t="s">
        <v>279</v>
      </c>
      <c r="AG166" s="75"/>
      <c r="AJ166" s="79" t="s">
        <v>46</v>
      </c>
      <c r="AK166" s="79">
        <v>0</v>
      </c>
      <c r="BB166" s="232" t="s">
        <v>67</v>
      </c>
      <c r="BM166" s="75">
        <f t="shared" si="17"/>
        <v>10.68</v>
      </c>
      <c r="BN166" s="75">
        <f t="shared" si="18"/>
        <v>10.68</v>
      </c>
      <c r="BO166" s="75">
        <f t="shared" si="19"/>
        <v>2.5641025641025644E-2</v>
      </c>
      <c r="BP166" s="75">
        <f t="shared" si="20"/>
        <v>2.5641025641025644E-2</v>
      </c>
    </row>
    <row r="167" spans="1:68" x14ac:dyDescent="0.2">
      <c r="A167" s="654"/>
      <c r="B167" s="654"/>
      <c r="C167" s="654"/>
      <c r="D167" s="654"/>
      <c r="E167" s="654"/>
      <c r="F167" s="654"/>
      <c r="G167" s="654"/>
      <c r="H167" s="654"/>
      <c r="I167" s="654"/>
      <c r="J167" s="654"/>
      <c r="K167" s="654"/>
      <c r="L167" s="654"/>
      <c r="M167" s="654"/>
      <c r="N167" s="654"/>
      <c r="O167" s="655"/>
      <c r="P167" s="651" t="s">
        <v>40</v>
      </c>
      <c r="Q167" s="652"/>
      <c r="R167" s="652"/>
      <c r="S167" s="652"/>
      <c r="T167" s="652"/>
      <c r="U167" s="652"/>
      <c r="V167" s="653"/>
      <c r="W167" s="40" t="s">
        <v>39</v>
      </c>
      <c r="X167" s="41">
        <f>IFERROR(X155/H155,"0")+IFERROR(X156/H156,"0")+IFERROR(X157/H157,"0")+IFERROR(X158/H158,"0")+IFERROR(X159/H159,"0")+IFERROR(X160/H160,"0")+IFERROR(X161/H161,"0")+IFERROR(X162/H162,"0")+IFERROR(X163/H163,"0")+IFERROR(X164/H164,"0")+IFERROR(X165/H165,"0")+IFERROR(X166/H166,"0")</f>
        <v>41</v>
      </c>
      <c r="Y167" s="41">
        <f>IFERROR(Y155/H155,"0")+IFERROR(Y156/H156,"0")+IFERROR(Y157/H157,"0")+IFERROR(Y158/H158,"0")+IFERROR(Y159/H159,"0")+IFERROR(Y160/H160,"0")+IFERROR(Y161/H161,"0")+IFERROR(Y162/H162,"0")+IFERROR(Y163/H163,"0")+IFERROR(Y164/H164,"0")+IFERROR(Y165/H165,"0")+IFERROR(Y166/H166,"0")</f>
        <v>41</v>
      </c>
      <c r="Z167" s="41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+IFERROR(IF(Z165="",0,Z165),"0")+IFERROR(IF(Z166="",0,Z166),"0")</f>
        <v>0.29808000000000001</v>
      </c>
      <c r="AA167" s="64"/>
      <c r="AB167" s="64"/>
      <c r="AC167" s="64"/>
    </row>
    <row r="168" spans="1:68" x14ac:dyDescent="0.2">
      <c r="A168" s="654"/>
      <c r="B168" s="654"/>
      <c r="C168" s="654"/>
      <c r="D168" s="654"/>
      <c r="E168" s="654"/>
      <c r="F168" s="654"/>
      <c r="G168" s="654"/>
      <c r="H168" s="654"/>
      <c r="I168" s="654"/>
      <c r="J168" s="654"/>
      <c r="K168" s="654"/>
      <c r="L168" s="654"/>
      <c r="M168" s="654"/>
      <c r="N168" s="654"/>
      <c r="O168" s="655"/>
      <c r="P168" s="651" t="s">
        <v>40</v>
      </c>
      <c r="Q168" s="652"/>
      <c r="R168" s="652"/>
      <c r="S168" s="652"/>
      <c r="T168" s="652"/>
      <c r="U168" s="652"/>
      <c r="V168" s="653"/>
      <c r="W168" s="40" t="s">
        <v>0</v>
      </c>
      <c r="X168" s="41">
        <f>IFERROR(SUM(X155:X166),"0")</f>
        <v>113.84</v>
      </c>
      <c r="Y168" s="41">
        <f>IFERROR(SUM(Y155:Y166),"0")</f>
        <v>113.84</v>
      </c>
      <c r="Z168" s="40"/>
      <c r="AA168" s="64"/>
      <c r="AB168" s="64"/>
      <c r="AC168" s="64"/>
    </row>
    <row r="169" spans="1:68" ht="14.25" customHeight="1" x14ac:dyDescent="0.25">
      <c r="A169" s="645" t="s">
        <v>87</v>
      </c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5"/>
      <c r="P169" s="645"/>
      <c r="Q169" s="645"/>
      <c r="R169" s="645"/>
      <c r="S169" s="645"/>
      <c r="T169" s="645"/>
      <c r="U169" s="645"/>
      <c r="V169" s="645"/>
      <c r="W169" s="645"/>
      <c r="X169" s="645"/>
      <c r="Y169" s="645"/>
      <c r="Z169" s="645"/>
      <c r="AA169" s="63"/>
      <c r="AB169" s="63"/>
      <c r="AC169" s="63"/>
    </row>
    <row r="170" spans="1:68" ht="27" customHeight="1" x14ac:dyDescent="0.25">
      <c r="A170" s="60" t="s">
        <v>295</v>
      </c>
      <c r="B170" s="60" t="s">
        <v>296</v>
      </c>
      <c r="C170" s="34">
        <v>4301052064</v>
      </c>
      <c r="D170" s="646">
        <v>4680115887459</v>
      </c>
      <c r="E170" s="646"/>
      <c r="F170" s="59">
        <v>0.3</v>
      </c>
      <c r="G170" s="35">
        <v>6</v>
      </c>
      <c r="H170" s="59">
        <v>1.8</v>
      </c>
      <c r="I170" s="59">
        <v>2.0579999999999998</v>
      </c>
      <c r="J170" s="35">
        <v>182</v>
      </c>
      <c r="K170" s="35" t="s">
        <v>82</v>
      </c>
      <c r="L170" s="35" t="s">
        <v>46</v>
      </c>
      <c r="M170" s="36" t="s">
        <v>91</v>
      </c>
      <c r="N170" s="36"/>
      <c r="O170" s="35">
        <v>45</v>
      </c>
      <c r="P170" s="73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0" s="648"/>
      <c r="R170" s="648"/>
      <c r="S170" s="648"/>
      <c r="T170" s="649"/>
      <c r="U170" s="37" t="s">
        <v>46</v>
      </c>
      <c r="V170" s="37" t="s">
        <v>46</v>
      </c>
      <c r="W170" s="38" t="s">
        <v>0</v>
      </c>
      <c r="X170" s="56">
        <v>3.6</v>
      </c>
      <c r="Y170" s="53">
        <f>IFERROR(IF(X170="",0,CEILING((X170/$H170),1)*$H170),"")</f>
        <v>3.6</v>
      </c>
      <c r="Z170" s="39">
        <f>IFERROR(IF(Y170=0,"",ROUNDUP(Y170/H170,0)*0.00651),"")</f>
        <v>1.302E-2</v>
      </c>
      <c r="AA170" s="65" t="s">
        <v>46</v>
      </c>
      <c r="AB170" s="66" t="s">
        <v>46</v>
      </c>
      <c r="AC170" s="233" t="s">
        <v>297</v>
      </c>
      <c r="AG170" s="75"/>
      <c r="AJ170" s="79" t="s">
        <v>46</v>
      </c>
      <c r="AK170" s="79">
        <v>0</v>
      </c>
      <c r="BB170" s="234" t="s">
        <v>67</v>
      </c>
      <c r="BM170" s="75">
        <f>IFERROR(X170*I170/H170,"0")</f>
        <v>4.1159999999999997</v>
      </c>
      <c r="BN170" s="75">
        <f>IFERROR(Y170*I170/H170,"0")</f>
        <v>4.1159999999999997</v>
      </c>
      <c r="BO170" s="75">
        <f>IFERROR(1/J170*(X170/H170),"0")</f>
        <v>1.098901098901099E-2</v>
      </c>
      <c r="BP170" s="75">
        <f>IFERROR(1/J170*(Y170/H170),"0")</f>
        <v>1.098901098901099E-2</v>
      </c>
    </row>
    <row r="171" spans="1:68" x14ac:dyDescent="0.2">
      <c r="A171" s="654"/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5"/>
      <c r="P171" s="651" t="s">
        <v>40</v>
      </c>
      <c r="Q171" s="652"/>
      <c r="R171" s="652"/>
      <c r="S171" s="652"/>
      <c r="T171" s="652"/>
      <c r="U171" s="652"/>
      <c r="V171" s="653"/>
      <c r="W171" s="40" t="s">
        <v>39</v>
      </c>
      <c r="X171" s="41">
        <f>IFERROR(X170/H170,"0")</f>
        <v>2</v>
      </c>
      <c r="Y171" s="41">
        <f>IFERROR(Y170/H170,"0")</f>
        <v>2</v>
      </c>
      <c r="Z171" s="41">
        <f>IFERROR(IF(Z170="",0,Z170),"0")</f>
        <v>1.302E-2</v>
      </c>
      <c r="AA171" s="64"/>
      <c r="AB171" s="64"/>
      <c r="AC171" s="64"/>
    </row>
    <row r="172" spans="1:68" x14ac:dyDescent="0.2">
      <c r="A172" s="654"/>
      <c r="B172" s="654"/>
      <c r="C172" s="654"/>
      <c r="D172" s="654"/>
      <c r="E172" s="654"/>
      <c r="F172" s="654"/>
      <c r="G172" s="654"/>
      <c r="H172" s="654"/>
      <c r="I172" s="654"/>
      <c r="J172" s="654"/>
      <c r="K172" s="654"/>
      <c r="L172" s="654"/>
      <c r="M172" s="654"/>
      <c r="N172" s="654"/>
      <c r="O172" s="655"/>
      <c r="P172" s="651" t="s">
        <v>40</v>
      </c>
      <c r="Q172" s="652"/>
      <c r="R172" s="652"/>
      <c r="S172" s="652"/>
      <c r="T172" s="652"/>
      <c r="U172" s="652"/>
      <c r="V172" s="653"/>
      <c r="W172" s="40" t="s">
        <v>0</v>
      </c>
      <c r="X172" s="41">
        <f>IFERROR(SUM(X170:X170),"0")</f>
        <v>3.6</v>
      </c>
      <c r="Y172" s="41">
        <f>IFERROR(SUM(Y170:Y170),"0")</f>
        <v>3.6</v>
      </c>
      <c r="Z172" s="40"/>
      <c r="AA172" s="64"/>
      <c r="AB172" s="64"/>
      <c r="AC172" s="64"/>
    </row>
    <row r="173" spans="1:68" ht="27.75" customHeight="1" x14ac:dyDescent="0.2">
      <c r="A173" s="643" t="s">
        <v>298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52"/>
      <c r="AB173" s="52"/>
      <c r="AC173" s="52"/>
    </row>
    <row r="174" spans="1:68" ht="16.5" customHeight="1" x14ac:dyDescent="0.25">
      <c r="A174" s="644" t="s">
        <v>299</v>
      </c>
      <c r="B174" s="644"/>
      <c r="C174" s="644"/>
      <c r="D174" s="644"/>
      <c r="E174" s="644"/>
      <c r="F174" s="644"/>
      <c r="G174" s="644"/>
      <c r="H174" s="644"/>
      <c r="I174" s="644"/>
      <c r="J174" s="644"/>
      <c r="K174" s="644"/>
      <c r="L174" s="644"/>
      <c r="M174" s="644"/>
      <c r="N174" s="644"/>
      <c r="O174" s="644"/>
      <c r="P174" s="644"/>
      <c r="Q174" s="644"/>
      <c r="R174" s="644"/>
      <c r="S174" s="644"/>
      <c r="T174" s="644"/>
      <c r="U174" s="644"/>
      <c r="V174" s="644"/>
      <c r="W174" s="644"/>
      <c r="X174" s="644"/>
      <c r="Y174" s="644"/>
      <c r="Z174" s="644"/>
      <c r="AA174" s="62"/>
      <c r="AB174" s="62"/>
      <c r="AC174" s="62"/>
    </row>
    <row r="175" spans="1:68" ht="14.25" customHeight="1" x14ac:dyDescent="0.25">
      <c r="A175" s="645" t="s">
        <v>159</v>
      </c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5"/>
      <c r="P175" s="645"/>
      <c r="Q175" s="645"/>
      <c r="R175" s="645"/>
      <c r="S175" s="645"/>
      <c r="T175" s="645"/>
      <c r="U175" s="645"/>
      <c r="V175" s="645"/>
      <c r="W175" s="645"/>
      <c r="X175" s="645"/>
      <c r="Y175" s="645"/>
      <c r="Z175" s="645"/>
      <c r="AA175" s="63"/>
      <c r="AB175" s="63"/>
      <c r="AC175" s="63"/>
    </row>
    <row r="176" spans="1:68" ht="27" customHeight="1" x14ac:dyDescent="0.25">
      <c r="A176" s="60" t="s">
        <v>300</v>
      </c>
      <c r="B176" s="60" t="s">
        <v>301</v>
      </c>
      <c r="C176" s="34">
        <v>4301020323</v>
      </c>
      <c r="D176" s="646">
        <v>4680115886223</v>
      </c>
      <c r="E176" s="646"/>
      <c r="F176" s="59">
        <v>0.33</v>
      </c>
      <c r="G176" s="35">
        <v>6</v>
      </c>
      <c r="H176" s="59">
        <v>1.98</v>
      </c>
      <c r="I176" s="59">
        <v>2.08</v>
      </c>
      <c r="J176" s="35">
        <v>234</v>
      </c>
      <c r="K176" s="35" t="s">
        <v>86</v>
      </c>
      <c r="L176" s="35" t="s">
        <v>46</v>
      </c>
      <c r="M176" s="36" t="s">
        <v>81</v>
      </c>
      <c r="N176" s="36"/>
      <c r="O176" s="35">
        <v>40</v>
      </c>
      <c r="P176" s="7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6" s="648"/>
      <c r="R176" s="648"/>
      <c r="S176" s="648"/>
      <c r="T176" s="649"/>
      <c r="U176" s="37" t="s">
        <v>46</v>
      </c>
      <c r="V176" s="37" t="s">
        <v>46</v>
      </c>
      <c r="W176" s="38" t="s">
        <v>0</v>
      </c>
      <c r="X176" s="56">
        <v>5.94</v>
      </c>
      <c r="Y176" s="53">
        <f>IFERROR(IF(X176="",0,CEILING((X176/$H176),1)*$H176),"")</f>
        <v>5.9399999999999995</v>
      </c>
      <c r="Z176" s="39">
        <f>IFERROR(IF(Y176=0,"",ROUNDUP(Y176/H176,0)*0.00502),"")</f>
        <v>1.506E-2</v>
      </c>
      <c r="AA176" s="65" t="s">
        <v>46</v>
      </c>
      <c r="AB176" s="66" t="s">
        <v>46</v>
      </c>
      <c r="AC176" s="235" t="s">
        <v>302</v>
      </c>
      <c r="AG176" s="75"/>
      <c r="AJ176" s="79" t="s">
        <v>46</v>
      </c>
      <c r="AK176" s="79">
        <v>0</v>
      </c>
      <c r="BB176" s="236" t="s">
        <v>67</v>
      </c>
      <c r="BM176" s="75">
        <f>IFERROR(X176*I176/H176,"0")</f>
        <v>6.2400000000000011</v>
      </c>
      <c r="BN176" s="75">
        <f>IFERROR(Y176*I176/H176,"0")</f>
        <v>6.24</v>
      </c>
      <c r="BO176" s="75">
        <f>IFERROR(1/J176*(X176/H176),"0")</f>
        <v>1.2820512820512824E-2</v>
      </c>
      <c r="BP176" s="75">
        <f>IFERROR(1/J176*(Y176/H176),"0")</f>
        <v>1.282051282051282E-2</v>
      </c>
    </row>
    <row r="177" spans="1:68" x14ac:dyDescent="0.2">
      <c r="A177" s="654"/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5"/>
      <c r="P177" s="651" t="s">
        <v>40</v>
      </c>
      <c r="Q177" s="652"/>
      <c r="R177" s="652"/>
      <c r="S177" s="652"/>
      <c r="T177" s="652"/>
      <c r="U177" s="652"/>
      <c r="V177" s="653"/>
      <c r="W177" s="40" t="s">
        <v>39</v>
      </c>
      <c r="X177" s="41">
        <f>IFERROR(X176/H176,"0")</f>
        <v>3.0000000000000004</v>
      </c>
      <c r="Y177" s="41">
        <f>IFERROR(Y176/H176,"0")</f>
        <v>2.9999999999999996</v>
      </c>
      <c r="Z177" s="41">
        <f>IFERROR(IF(Z176="",0,Z176),"0")</f>
        <v>1.506E-2</v>
      </c>
      <c r="AA177" s="64"/>
      <c r="AB177" s="64"/>
      <c r="AC177" s="64"/>
    </row>
    <row r="178" spans="1:68" x14ac:dyDescent="0.2">
      <c r="A178" s="654"/>
      <c r="B178" s="654"/>
      <c r="C178" s="654"/>
      <c r="D178" s="654"/>
      <c r="E178" s="654"/>
      <c r="F178" s="654"/>
      <c r="G178" s="654"/>
      <c r="H178" s="654"/>
      <c r="I178" s="654"/>
      <c r="J178" s="654"/>
      <c r="K178" s="654"/>
      <c r="L178" s="654"/>
      <c r="M178" s="654"/>
      <c r="N178" s="654"/>
      <c r="O178" s="655"/>
      <c r="P178" s="651" t="s">
        <v>40</v>
      </c>
      <c r="Q178" s="652"/>
      <c r="R178" s="652"/>
      <c r="S178" s="652"/>
      <c r="T178" s="652"/>
      <c r="U178" s="652"/>
      <c r="V178" s="653"/>
      <c r="W178" s="40" t="s">
        <v>0</v>
      </c>
      <c r="X178" s="41">
        <f>IFERROR(SUM(X176:X176),"0")</f>
        <v>5.94</v>
      </c>
      <c r="Y178" s="41">
        <f>IFERROR(SUM(Y176:Y176),"0")</f>
        <v>5.9399999999999995</v>
      </c>
      <c r="Z178" s="40"/>
      <c r="AA178" s="64"/>
      <c r="AB178" s="64"/>
      <c r="AC178" s="64"/>
    </row>
    <row r="179" spans="1:68" ht="14.25" customHeight="1" x14ac:dyDescent="0.25">
      <c r="A179" s="645" t="s">
        <v>77</v>
      </c>
      <c r="B179" s="645"/>
      <c r="C179" s="645"/>
      <c r="D179" s="645"/>
      <c r="E179" s="645"/>
      <c r="F179" s="645"/>
      <c r="G179" s="645"/>
      <c r="H179" s="645"/>
      <c r="I179" s="645"/>
      <c r="J179" s="645"/>
      <c r="K179" s="645"/>
      <c r="L179" s="645"/>
      <c r="M179" s="645"/>
      <c r="N179" s="645"/>
      <c r="O179" s="645"/>
      <c r="P179" s="645"/>
      <c r="Q179" s="645"/>
      <c r="R179" s="645"/>
      <c r="S179" s="645"/>
      <c r="T179" s="645"/>
      <c r="U179" s="645"/>
      <c r="V179" s="645"/>
      <c r="W179" s="645"/>
      <c r="X179" s="645"/>
      <c r="Y179" s="645"/>
      <c r="Z179" s="645"/>
      <c r="AA179" s="63"/>
      <c r="AB179" s="63"/>
      <c r="AC179" s="63"/>
    </row>
    <row r="180" spans="1:68" ht="27" customHeight="1" x14ac:dyDescent="0.25">
      <c r="A180" s="60" t="s">
        <v>303</v>
      </c>
      <c r="B180" s="60" t="s">
        <v>304</v>
      </c>
      <c r="C180" s="34">
        <v>4301031191</v>
      </c>
      <c r="D180" s="646">
        <v>4680115880993</v>
      </c>
      <c r="E180" s="646"/>
      <c r="F180" s="59">
        <v>0.7</v>
      </c>
      <c r="G180" s="35">
        <v>6</v>
      </c>
      <c r="H180" s="59">
        <v>4.2</v>
      </c>
      <c r="I180" s="59">
        <v>4.45</v>
      </c>
      <c r="J180" s="35">
        <v>132</v>
      </c>
      <c r="K180" s="35" t="s">
        <v>137</v>
      </c>
      <c r="L180" s="35" t="s">
        <v>46</v>
      </c>
      <c r="M180" s="36" t="s">
        <v>81</v>
      </c>
      <c r="N180" s="36"/>
      <c r="O180" s="35">
        <v>40</v>
      </c>
      <c r="P180" s="7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29.4</v>
      </c>
      <c r="Y180" s="53">
        <f t="shared" ref="Y180:Y193" si="21">IFERROR(IF(X180="",0,CEILING((X180/$H180),1)*$H180),"")</f>
        <v>29.400000000000002</v>
      </c>
      <c r="Z180" s="39">
        <f>IFERROR(IF(Y180=0,"",ROUNDUP(Y180/H180,0)*0.00902),"")</f>
        <v>6.3140000000000002E-2</v>
      </c>
      <c r="AA180" s="65" t="s">
        <v>46</v>
      </c>
      <c r="AB180" s="66" t="s">
        <v>46</v>
      </c>
      <c r="AC180" s="237" t="s">
        <v>305</v>
      </c>
      <c r="AG180" s="75"/>
      <c r="AJ180" s="79" t="s">
        <v>46</v>
      </c>
      <c r="AK180" s="79">
        <v>0</v>
      </c>
      <c r="BB180" s="238" t="s">
        <v>67</v>
      </c>
      <c r="BM180" s="75">
        <f t="shared" ref="BM180:BM193" si="22">IFERROR(X180*I180/H180,"0")</f>
        <v>31.150000000000002</v>
      </c>
      <c r="BN180" s="75">
        <f t="shared" ref="BN180:BN193" si="23">IFERROR(Y180*I180/H180,"0")</f>
        <v>31.150000000000002</v>
      </c>
      <c r="BO180" s="75">
        <f t="shared" ref="BO180:BO193" si="24">IFERROR(1/J180*(X180/H180),"0")</f>
        <v>5.3030303030303025E-2</v>
      </c>
      <c r="BP180" s="75">
        <f t="shared" ref="BP180:BP193" si="25">IFERROR(1/J180*(Y180/H180),"0")</f>
        <v>5.3030303030303032E-2</v>
      </c>
    </row>
    <row r="181" spans="1:68" ht="27" customHeight="1" x14ac:dyDescent="0.25">
      <c r="A181" s="60" t="s">
        <v>306</v>
      </c>
      <c r="B181" s="60" t="s">
        <v>307</v>
      </c>
      <c r="C181" s="34">
        <v>4301031204</v>
      </c>
      <c r="D181" s="646">
        <v>4680115881761</v>
      </c>
      <c r="E181" s="646"/>
      <c r="F181" s="59">
        <v>0.7</v>
      </c>
      <c r="G181" s="35">
        <v>6</v>
      </c>
      <c r="H181" s="59">
        <v>4.2</v>
      </c>
      <c r="I181" s="59">
        <v>4.45</v>
      </c>
      <c r="J181" s="35">
        <v>132</v>
      </c>
      <c r="K181" s="35" t="s">
        <v>137</v>
      </c>
      <c r="L181" s="35" t="s">
        <v>46</v>
      </c>
      <c r="M181" s="36" t="s">
        <v>81</v>
      </c>
      <c r="N181" s="36"/>
      <c r="O181" s="35">
        <v>40</v>
      </c>
      <c r="P181" s="7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21</v>
      </c>
      <c r="Y181" s="53">
        <f t="shared" si="21"/>
        <v>21</v>
      </c>
      <c r="Z181" s="39">
        <f>IFERROR(IF(Y181=0,"",ROUNDUP(Y181/H181,0)*0.00902),"")</f>
        <v>4.5100000000000001E-2</v>
      </c>
      <c r="AA181" s="65" t="s">
        <v>46</v>
      </c>
      <c r="AB181" s="66" t="s">
        <v>46</v>
      </c>
      <c r="AC181" s="239" t="s">
        <v>308</v>
      </c>
      <c r="AG181" s="75"/>
      <c r="AJ181" s="79" t="s">
        <v>46</v>
      </c>
      <c r="AK181" s="79">
        <v>0</v>
      </c>
      <c r="BB181" s="240" t="s">
        <v>67</v>
      </c>
      <c r="BM181" s="75">
        <f t="shared" si="22"/>
        <v>22.25</v>
      </c>
      <c r="BN181" s="75">
        <f t="shared" si="23"/>
        <v>22.25</v>
      </c>
      <c r="BO181" s="75">
        <f t="shared" si="24"/>
        <v>3.787878787878788E-2</v>
      </c>
      <c r="BP181" s="75">
        <f t="shared" si="25"/>
        <v>3.787878787878788E-2</v>
      </c>
    </row>
    <row r="182" spans="1:68" ht="27" customHeight="1" x14ac:dyDescent="0.25">
      <c r="A182" s="60" t="s">
        <v>309</v>
      </c>
      <c r="B182" s="60" t="s">
        <v>310</v>
      </c>
      <c r="C182" s="34">
        <v>4301031201</v>
      </c>
      <c r="D182" s="646">
        <v>4680115881563</v>
      </c>
      <c r="E182" s="646"/>
      <c r="F182" s="59">
        <v>0.7</v>
      </c>
      <c r="G182" s="35">
        <v>6</v>
      </c>
      <c r="H182" s="59">
        <v>4.2</v>
      </c>
      <c r="I182" s="59">
        <v>4.3899999999999997</v>
      </c>
      <c r="J182" s="35">
        <v>132</v>
      </c>
      <c r="K182" s="35" t="s">
        <v>137</v>
      </c>
      <c r="L182" s="35" t="s">
        <v>46</v>
      </c>
      <c r="M182" s="36" t="s">
        <v>81</v>
      </c>
      <c r="N182" s="36"/>
      <c r="O182" s="35">
        <v>40</v>
      </c>
      <c r="P182" s="7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29.4</v>
      </c>
      <c r="Y182" s="53">
        <f t="shared" si="21"/>
        <v>29.400000000000002</v>
      </c>
      <c r="Z182" s="39">
        <f>IFERROR(IF(Y182=0,"",ROUNDUP(Y182/H182,0)*0.00902),"")</f>
        <v>6.3140000000000002E-2</v>
      </c>
      <c r="AA182" s="65" t="s">
        <v>46</v>
      </c>
      <c r="AB182" s="66" t="s">
        <v>46</v>
      </c>
      <c r="AC182" s="241" t="s">
        <v>311</v>
      </c>
      <c r="AG182" s="75"/>
      <c r="AJ182" s="79" t="s">
        <v>46</v>
      </c>
      <c r="AK182" s="79">
        <v>0</v>
      </c>
      <c r="BB182" s="242" t="s">
        <v>67</v>
      </c>
      <c r="BM182" s="75">
        <f t="shared" si="22"/>
        <v>30.729999999999993</v>
      </c>
      <c r="BN182" s="75">
        <f t="shared" si="23"/>
        <v>30.73</v>
      </c>
      <c r="BO182" s="75">
        <f t="shared" si="24"/>
        <v>5.3030303030303025E-2</v>
      </c>
      <c r="BP182" s="75">
        <f t="shared" si="25"/>
        <v>5.3030303030303032E-2</v>
      </c>
    </row>
    <row r="183" spans="1:68" ht="37.5" customHeight="1" x14ac:dyDescent="0.25">
      <c r="A183" s="60" t="s">
        <v>312</v>
      </c>
      <c r="B183" s="60" t="s">
        <v>313</v>
      </c>
      <c r="C183" s="34">
        <v>4301031447</v>
      </c>
      <c r="D183" s="646">
        <v>4680115887565</v>
      </c>
      <c r="E183" s="646"/>
      <c r="F183" s="59">
        <v>0.08</v>
      </c>
      <c r="G183" s="35">
        <v>10</v>
      </c>
      <c r="H183" s="59">
        <v>0.8</v>
      </c>
      <c r="I183" s="59">
        <v>0.93</v>
      </c>
      <c r="J183" s="35">
        <v>216</v>
      </c>
      <c r="K183" s="35" t="s">
        <v>86</v>
      </c>
      <c r="L183" s="35" t="s">
        <v>46</v>
      </c>
      <c r="M183" s="36" t="s">
        <v>81</v>
      </c>
      <c r="N183" s="36"/>
      <c r="O183" s="35">
        <v>45</v>
      </c>
      <c r="P183" s="73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0.8</v>
      </c>
      <c r="Y183" s="53">
        <f t="shared" si="21"/>
        <v>0.8</v>
      </c>
      <c r="Z183" s="39">
        <f>IFERROR(IF(Y183=0,"",ROUNDUP(Y183/H183,0)*0.00556),"")</f>
        <v>5.5599999999999998E-3</v>
      </c>
      <c r="AA183" s="65" t="s">
        <v>46</v>
      </c>
      <c r="AB183" s="66" t="s">
        <v>46</v>
      </c>
      <c r="AC183" s="243" t="s">
        <v>314</v>
      </c>
      <c r="AG183" s="75"/>
      <c r="AJ183" s="79" t="s">
        <v>46</v>
      </c>
      <c r="AK183" s="79">
        <v>0</v>
      </c>
      <c r="BB183" s="244" t="s">
        <v>67</v>
      </c>
      <c r="BM183" s="75">
        <f t="shared" si="22"/>
        <v>0.93</v>
      </c>
      <c r="BN183" s="75">
        <f t="shared" si="23"/>
        <v>0.93</v>
      </c>
      <c r="BO183" s="75">
        <f t="shared" si="24"/>
        <v>4.6296296296296294E-3</v>
      </c>
      <c r="BP183" s="75">
        <f t="shared" si="25"/>
        <v>4.6296296296296294E-3</v>
      </c>
    </row>
    <row r="184" spans="1:68" ht="27" customHeight="1" x14ac:dyDescent="0.25">
      <c r="A184" s="60" t="s">
        <v>315</v>
      </c>
      <c r="B184" s="60" t="s">
        <v>316</v>
      </c>
      <c r="C184" s="34">
        <v>4301031199</v>
      </c>
      <c r="D184" s="646">
        <v>4680115880986</v>
      </c>
      <c r="E184" s="646"/>
      <c r="F184" s="59">
        <v>0.35</v>
      </c>
      <c r="G184" s="35">
        <v>6</v>
      </c>
      <c r="H184" s="59">
        <v>2.1</v>
      </c>
      <c r="I184" s="59">
        <v>2.23</v>
      </c>
      <c r="J184" s="35">
        <v>234</v>
      </c>
      <c r="K184" s="35" t="s">
        <v>86</v>
      </c>
      <c r="L184" s="35" t="s">
        <v>46</v>
      </c>
      <c r="M184" s="36" t="s">
        <v>81</v>
      </c>
      <c r="N184" s="36"/>
      <c r="O184" s="35">
        <v>40</v>
      </c>
      <c r="P184" s="7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12.6</v>
      </c>
      <c r="Y184" s="53">
        <f t="shared" si="21"/>
        <v>12.600000000000001</v>
      </c>
      <c r="Z184" s="39">
        <f t="shared" ref="Z184:Z189" si="26">IFERROR(IF(Y184=0,"",ROUNDUP(Y184/H184,0)*0.00502),"")</f>
        <v>3.0120000000000001E-2</v>
      </c>
      <c r="AA184" s="65" t="s">
        <v>46</v>
      </c>
      <c r="AB184" s="66" t="s">
        <v>46</v>
      </c>
      <c r="AC184" s="245" t="s">
        <v>305</v>
      </c>
      <c r="AG184" s="75"/>
      <c r="AJ184" s="79" t="s">
        <v>46</v>
      </c>
      <c r="AK184" s="79">
        <v>0</v>
      </c>
      <c r="BB184" s="246" t="s">
        <v>67</v>
      </c>
      <c r="BM184" s="75">
        <f t="shared" si="22"/>
        <v>13.379999999999999</v>
      </c>
      <c r="BN184" s="75">
        <f t="shared" si="23"/>
        <v>13.38</v>
      </c>
      <c r="BO184" s="75">
        <f t="shared" si="24"/>
        <v>2.5641025641025644E-2</v>
      </c>
      <c r="BP184" s="75">
        <f t="shared" si="25"/>
        <v>2.5641025641025644E-2</v>
      </c>
    </row>
    <row r="185" spans="1:68" ht="27" customHeight="1" x14ac:dyDescent="0.25">
      <c r="A185" s="60" t="s">
        <v>317</v>
      </c>
      <c r="B185" s="60" t="s">
        <v>318</v>
      </c>
      <c r="C185" s="34">
        <v>4301031443</v>
      </c>
      <c r="D185" s="646">
        <v>4680115887213</v>
      </c>
      <c r="E185" s="646"/>
      <c r="F185" s="59">
        <v>0.3</v>
      </c>
      <c r="G185" s="35">
        <v>6</v>
      </c>
      <c r="H185" s="59">
        <v>1.8</v>
      </c>
      <c r="I185" s="59">
        <v>1.9</v>
      </c>
      <c r="J185" s="35">
        <v>234</v>
      </c>
      <c r="K185" s="35" t="s">
        <v>86</v>
      </c>
      <c r="L185" s="35" t="s">
        <v>46</v>
      </c>
      <c r="M185" s="36" t="s">
        <v>81</v>
      </c>
      <c r="N185" s="36"/>
      <c r="O185" s="35">
        <v>45</v>
      </c>
      <c r="P185" s="73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1"/>
        <v>0</v>
      </c>
      <c r="Z185" s="39" t="str">
        <f t="shared" si="26"/>
        <v/>
      </c>
      <c r="AA185" s="65" t="s">
        <v>46</v>
      </c>
      <c r="AB185" s="66" t="s">
        <v>46</v>
      </c>
      <c r="AC185" s="247" t="s">
        <v>319</v>
      </c>
      <c r="AG185" s="75"/>
      <c r="AJ185" s="79" t="s">
        <v>46</v>
      </c>
      <c r="AK185" s="79">
        <v>0</v>
      </c>
      <c r="BB185" s="248" t="s">
        <v>67</v>
      </c>
      <c r="BM185" s="75">
        <f t="shared" si="22"/>
        <v>0</v>
      </c>
      <c r="BN185" s="75">
        <f t="shared" si="23"/>
        <v>0</v>
      </c>
      <c r="BO185" s="75">
        <f t="shared" si="24"/>
        <v>0</v>
      </c>
      <c r="BP185" s="75">
        <f t="shared" si="25"/>
        <v>0</v>
      </c>
    </row>
    <row r="186" spans="1:68" ht="27" customHeight="1" x14ac:dyDescent="0.25">
      <c r="A186" s="60" t="s">
        <v>320</v>
      </c>
      <c r="B186" s="60" t="s">
        <v>321</v>
      </c>
      <c r="C186" s="34">
        <v>4301031205</v>
      </c>
      <c r="D186" s="646">
        <v>4680115881785</v>
      </c>
      <c r="E186" s="646"/>
      <c r="F186" s="59">
        <v>0.35</v>
      </c>
      <c r="G186" s="35">
        <v>6</v>
      </c>
      <c r="H186" s="59">
        <v>2.1</v>
      </c>
      <c r="I186" s="59">
        <v>2.23</v>
      </c>
      <c r="J186" s="35">
        <v>234</v>
      </c>
      <c r="K186" s="35" t="s">
        <v>86</v>
      </c>
      <c r="L186" s="35" t="s">
        <v>46</v>
      </c>
      <c r="M186" s="36" t="s">
        <v>81</v>
      </c>
      <c r="N186" s="36"/>
      <c r="O186" s="35">
        <v>40</v>
      </c>
      <c r="P186" s="7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10.5</v>
      </c>
      <c r="Y186" s="53">
        <f t="shared" si="21"/>
        <v>10.5</v>
      </c>
      <c r="Z186" s="39">
        <f t="shared" si="26"/>
        <v>2.5100000000000001E-2</v>
      </c>
      <c r="AA186" s="65" t="s">
        <v>46</v>
      </c>
      <c r="AB186" s="66" t="s">
        <v>46</v>
      </c>
      <c r="AC186" s="249" t="s">
        <v>308</v>
      </c>
      <c r="AG186" s="75"/>
      <c r="AJ186" s="79" t="s">
        <v>46</v>
      </c>
      <c r="AK186" s="79">
        <v>0</v>
      </c>
      <c r="BB186" s="250" t="s">
        <v>67</v>
      </c>
      <c r="BM186" s="75">
        <f t="shared" si="22"/>
        <v>11.149999999999999</v>
      </c>
      <c r="BN186" s="75">
        <f t="shared" si="23"/>
        <v>11.149999999999999</v>
      </c>
      <c r="BO186" s="75">
        <f t="shared" si="24"/>
        <v>2.1367521367521368E-2</v>
      </c>
      <c r="BP186" s="75">
        <f t="shared" si="25"/>
        <v>2.1367521367521368E-2</v>
      </c>
    </row>
    <row r="187" spans="1:68" ht="27" customHeight="1" x14ac:dyDescent="0.25">
      <c r="A187" s="60" t="s">
        <v>322</v>
      </c>
      <c r="B187" s="60" t="s">
        <v>323</v>
      </c>
      <c r="C187" s="34">
        <v>4301031499</v>
      </c>
      <c r="D187" s="646">
        <v>4680115888432</v>
      </c>
      <c r="E187" s="646"/>
      <c r="F187" s="59">
        <v>0.3</v>
      </c>
      <c r="G187" s="35">
        <v>6</v>
      </c>
      <c r="H187" s="59">
        <v>1.8</v>
      </c>
      <c r="I187" s="59">
        <v>1.93</v>
      </c>
      <c r="J187" s="35">
        <v>234</v>
      </c>
      <c r="K187" s="35" t="s">
        <v>86</v>
      </c>
      <c r="L187" s="35" t="s">
        <v>46</v>
      </c>
      <c r="M187" s="36" t="s">
        <v>81</v>
      </c>
      <c r="N187" s="36"/>
      <c r="O187" s="35">
        <v>45</v>
      </c>
      <c r="P187" s="73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/>
      <c r="Y187" s="53">
        <f t="shared" si="21"/>
        <v>0</v>
      </c>
      <c r="Z187" s="39" t="str">
        <f t="shared" si="26"/>
        <v/>
      </c>
      <c r="AA187" s="65" t="s">
        <v>46</v>
      </c>
      <c r="AB187" s="66" t="s">
        <v>46</v>
      </c>
      <c r="AC187" s="251" t="s">
        <v>324</v>
      </c>
      <c r="AG187" s="75"/>
      <c r="AJ187" s="79" t="s">
        <v>46</v>
      </c>
      <c r="AK187" s="79">
        <v>0</v>
      </c>
      <c r="BB187" s="252" t="s">
        <v>67</v>
      </c>
      <c r="BM187" s="75">
        <f t="shared" si="22"/>
        <v>0</v>
      </c>
      <c r="BN187" s="75">
        <f t="shared" si="23"/>
        <v>0</v>
      </c>
      <c r="BO187" s="75">
        <f t="shared" si="24"/>
        <v>0</v>
      </c>
      <c r="BP187" s="75">
        <f t="shared" si="25"/>
        <v>0</v>
      </c>
    </row>
    <row r="188" spans="1:68" ht="27" customHeight="1" x14ac:dyDescent="0.25">
      <c r="A188" s="60" t="s">
        <v>325</v>
      </c>
      <c r="B188" s="60" t="s">
        <v>326</v>
      </c>
      <c r="C188" s="34">
        <v>4301031427</v>
      </c>
      <c r="D188" s="646">
        <v>4680115888104</v>
      </c>
      <c r="E188" s="646"/>
      <c r="F188" s="59">
        <v>0.35</v>
      </c>
      <c r="G188" s="35">
        <v>6</v>
      </c>
      <c r="H188" s="59">
        <v>2.1</v>
      </c>
      <c r="I188" s="59">
        <v>2.2000000000000002</v>
      </c>
      <c r="J188" s="35">
        <v>234</v>
      </c>
      <c r="K188" s="35" t="s">
        <v>86</v>
      </c>
      <c r="L188" s="35" t="s">
        <v>46</v>
      </c>
      <c r="M188" s="36" t="s">
        <v>81</v>
      </c>
      <c r="N188" s="36"/>
      <c r="O188" s="35">
        <v>45</v>
      </c>
      <c r="P188" s="7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8" s="648"/>
      <c r="R188" s="648"/>
      <c r="S188" s="648"/>
      <c r="T188" s="649"/>
      <c r="U188" s="37" t="s">
        <v>46</v>
      </c>
      <c r="V188" s="37" t="s">
        <v>46</v>
      </c>
      <c r="W188" s="38" t="s">
        <v>0</v>
      </c>
      <c r="X188" s="56">
        <v>10.5</v>
      </c>
      <c r="Y188" s="53">
        <f t="shared" si="21"/>
        <v>10.5</v>
      </c>
      <c r="Z188" s="39">
        <f t="shared" si="26"/>
        <v>2.5100000000000001E-2</v>
      </c>
      <c r="AA188" s="65" t="s">
        <v>46</v>
      </c>
      <c r="AB188" s="66" t="s">
        <v>46</v>
      </c>
      <c r="AC188" s="253" t="s">
        <v>327</v>
      </c>
      <c r="AG188" s="75"/>
      <c r="AJ188" s="79" t="s">
        <v>46</v>
      </c>
      <c r="AK188" s="79">
        <v>0</v>
      </c>
      <c r="BB188" s="254" t="s">
        <v>67</v>
      </c>
      <c r="BM188" s="75">
        <f t="shared" si="22"/>
        <v>11</v>
      </c>
      <c r="BN188" s="75">
        <f t="shared" si="23"/>
        <v>11</v>
      </c>
      <c r="BO188" s="75">
        <f t="shared" si="24"/>
        <v>2.1367521367521368E-2</v>
      </c>
      <c r="BP188" s="75">
        <f t="shared" si="25"/>
        <v>2.1367521367521368E-2</v>
      </c>
    </row>
    <row r="189" spans="1:68" ht="27" customHeight="1" x14ac:dyDescent="0.25">
      <c r="A189" s="60" t="s">
        <v>328</v>
      </c>
      <c r="B189" s="60" t="s">
        <v>329</v>
      </c>
      <c r="C189" s="34">
        <v>4301031399</v>
      </c>
      <c r="D189" s="646">
        <v>4680115886537</v>
      </c>
      <c r="E189" s="646"/>
      <c r="F189" s="59">
        <v>0.3</v>
      </c>
      <c r="G189" s="35">
        <v>6</v>
      </c>
      <c r="H189" s="59">
        <v>1.8</v>
      </c>
      <c r="I189" s="59">
        <v>1.93</v>
      </c>
      <c r="J189" s="35">
        <v>234</v>
      </c>
      <c r="K189" s="35" t="s">
        <v>86</v>
      </c>
      <c r="L189" s="35" t="s">
        <v>46</v>
      </c>
      <c r="M189" s="36" t="s">
        <v>81</v>
      </c>
      <c r="N189" s="36"/>
      <c r="O189" s="35">
        <v>40</v>
      </c>
      <c r="P189" s="74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9" s="648"/>
      <c r="R189" s="648"/>
      <c r="S189" s="648"/>
      <c r="T189" s="649"/>
      <c r="U189" s="37" t="s">
        <v>46</v>
      </c>
      <c r="V189" s="37" t="s">
        <v>46</v>
      </c>
      <c r="W189" s="38" t="s">
        <v>0</v>
      </c>
      <c r="X189" s="56">
        <v>9</v>
      </c>
      <c r="Y189" s="53">
        <f t="shared" si="21"/>
        <v>9</v>
      </c>
      <c r="Z189" s="39">
        <f t="shared" si="26"/>
        <v>2.5100000000000001E-2</v>
      </c>
      <c r="AA189" s="65" t="s">
        <v>46</v>
      </c>
      <c r="AB189" s="66" t="s">
        <v>46</v>
      </c>
      <c r="AC189" s="255" t="s">
        <v>330</v>
      </c>
      <c r="AG189" s="75"/>
      <c r="AJ189" s="79" t="s">
        <v>46</v>
      </c>
      <c r="AK189" s="79">
        <v>0</v>
      </c>
      <c r="BB189" s="256" t="s">
        <v>67</v>
      </c>
      <c r="BM189" s="75">
        <f t="shared" si="22"/>
        <v>9.65</v>
      </c>
      <c r="BN189" s="75">
        <f t="shared" si="23"/>
        <v>9.65</v>
      </c>
      <c r="BO189" s="75">
        <f t="shared" si="24"/>
        <v>2.1367521367521368E-2</v>
      </c>
      <c r="BP189" s="75">
        <f t="shared" si="25"/>
        <v>2.1367521367521368E-2</v>
      </c>
    </row>
    <row r="190" spans="1:68" ht="27" customHeight="1" x14ac:dyDescent="0.25">
      <c r="A190" s="60" t="s">
        <v>331</v>
      </c>
      <c r="B190" s="60" t="s">
        <v>332</v>
      </c>
      <c r="C190" s="34">
        <v>4301031279</v>
      </c>
      <c r="D190" s="646">
        <v>4680115887596</v>
      </c>
      <c r="E190" s="646"/>
      <c r="F190" s="59">
        <v>0.08</v>
      </c>
      <c r="G190" s="35">
        <v>10</v>
      </c>
      <c r="H190" s="59">
        <v>0.8</v>
      </c>
      <c r="I190" s="59">
        <v>1.01</v>
      </c>
      <c r="J190" s="35">
        <v>336</v>
      </c>
      <c r="K190" s="35" t="s">
        <v>134</v>
      </c>
      <c r="L190" s="35" t="s">
        <v>46</v>
      </c>
      <c r="M190" s="36" t="s">
        <v>81</v>
      </c>
      <c r="N190" s="36"/>
      <c r="O190" s="35">
        <v>45</v>
      </c>
      <c r="P190" s="7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0" s="648"/>
      <c r="R190" s="648"/>
      <c r="S190" s="648"/>
      <c r="T190" s="649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1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57" t="s">
        <v>333</v>
      </c>
      <c r="AG190" s="75"/>
      <c r="AJ190" s="79" t="s">
        <v>46</v>
      </c>
      <c r="AK190" s="79">
        <v>0</v>
      </c>
      <c r="BB190" s="258" t="s">
        <v>67</v>
      </c>
      <c r="BM190" s="75">
        <f t="shared" si="22"/>
        <v>0</v>
      </c>
      <c r="BN190" s="75">
        <f t="shared" si="23"/>
        <v>0</v>
      </c>
      <c r="BO190" s="75">
        <f t="shared" si="24"/>
        <v>0</v>
      </c>
      <c r="BP190" s="75">
        <f t="shared" si="25"/>
        <v>0</v>
      </c>
    </row>
    <row r="191" spans="1:68" ht="37.5" customHeight="1" x14ac:dyDescent="0.25">
      <c r="A191" s="60" t="s">
        <v>334</v>
      </c>
      <c r="B191" s="60" t="s">
        <v>335</v>
      </c>
      <c r="C191" s="34">
        <v>4301031202</v>
      </c>
      <c r="D191" s="646">
        <v>4680115881679</v>
      </c>
      <c r="E191" s="646"/>
      <c r="F191" s="59">
        <v>0.35</v>
      </c>
      <c r="G191" s="35">
        <v>6</v>
      </c>
      <c r="H191" s="59">
        <v>2.1</v>
      </c>
      <c r="I191" s="59">
        <v>2.2000000000000002</v>
      </c>
      <c r="J191" s="35">
        <v>234</v>
      </c>
      <c r="K191" s="35" t="s">
        <v>86</v>
      </c>
      <c r="L191" s="35" t="s">
        <v>46</v>
      </c>
      <c r="M191" s="36" t="s">
        <v>81</v>
      </c>
      <c r="N191" s="36"/>
      <c r="O191" s="35">
        <v>40</v>
      </c>
      <c r="P191" s="74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10.5</v>
      </c>
      <c r="Y191" s="53">
        <f t="shared" si="21"/>
        <v>10.5</v>
      </c>
      <c r="Z191" s="39">
        <f>IFERROR(IF(Y191=0,"",ROUNDUP(Y191/H191,0)*0.00502),"")</f>
        <v>2.5100000000000001E-2</v>
      </c>
      <c r="AA191" s="65" t="s">
        <v>46</v>
      </c>
      <c r="AB191" s="66" t="s">
        <v>46</v>
      </c>
      <c r="AC191" s="259" t="s">
        <v>311</v>
      </c>
      <c r="AG191" s="75"/>
      <c r="AJ191" s="79" t="s">
        <v>46</v>
      </c>
      <c r="AK191" s="79">
        <v>0</v>
      </c>
      <c r="BB191" s="260" t="s">
        <v>67</v>
      </c>
      <c r="BM191" s="75">
        <f t="shared" si="22"/>
        <v>11</v>
      </c>
      <c r="BN191" s="75">
        <f t="shared" si="23"/>
        <v>11</v>
      </c>
      <c r="BO191" s="75">
        <f t="shared" si="24"/>
        <v>2.1367521367521368E-2</v>
      </c>
      <c r="BP191" s="75">
        <f t="shared" si="25"/>
        <v>2.1367521367521368E-2</v>
      </c>
    </row>
    <row r="192" spans="1:68" ht="27" customHeight="1" x14ac:dyDescent="0.25">
      <c r="A192" s="60" t="s">
        <v>336</v>
      </c>
      <c r="B192" s="60" t="s">
        <v>337</v>
      </c>
      <c r="C192" s="34">
        <v>4301031158</v>
      </c>
      <c r="D192" s="646">
        <v>4680115880191</v>
      </c>
      <c r="E192" s="646"/>
      <c r="F192" s="59">
        <v>0.4</v>
      </c>
      <c r="G192" s="35">
        <v>6</v>
      </c>
      <c r="H192" s="59">
        <v>2.4</v>
      </c>
      <c r="I192" s="59">
        <v>2.58</v>
      </c>
      <c r="J192" s="35">
        <v>182</v>
      </c>
      <c r="K192" s="35" t="s">
        <v>82</v>
      </c>
      <c r="L192" s="35" t="s">
        <v>46</v>
      </c>
      <c r="M192" s="36" t="s">
        <v>81</v>
      </c>
      <c r="N192" s="36"/>
      <c r="O192" s="35">
        <v>40</v>
      </c>
      <c r="P192" s="74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 t="shared" si="21"/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1" t="s">
        <v>311</v>
      </c>
      <c r="AG192" s="75"/>
      <c r="AJ192" s="79" t="s">
        <v>46</v>
      </c>
      <c r="AK192" s="79">
        <v>0</v>
      </c>
      <c r="BB192" s="262" t="s">
        <v>67</v>
      </c>
      <c r="BM192" s="75">
        <f t="shared" si="22"/>
        <v>0</v>
      </c>
      <c r="BN192" s="75">
        <f t="shared" si="23"/>
        <v>0</v>
      </c>
      <c r="BO192" s="75">
        <f t="shared" si="24"/>
        <v>0</v>
      </c>
      <c r="BP192" s="75">
        <f t="shared" si="25"/>
        <v>0</v>
      </c>
    </row>
    <row r="193" spans="1:68" ht="27" customHeight="1" x14ac:dyDescent="0.25">
      <c r="A193" s="60" t="s">
        <v>338</v>
      </c>
      <c r="B193" s="60" t="s">
        <v>339</v>
      </c>
      <c r="C193" s="34">
        <v>4301031245</v>
      </c>
      <c r="D193" s="646">
        <v>4680115883963</v>
      </c>
      <c r="E193" s="646"/>
      <c r="F193" s="59">
        <v>0.28000000000000003</v>
      </c>
      <c r="G193" s="35">
        <v>6</v>
      </c>
      <c r="H193" s="59">
        <v>1.68</v>
      </c>
      <c r="I193" s="59">
        <v>1.78</v>
      </c>
      <c r="J193" s="35">
        <v>234</v>
      </c>
      <c r="K193" s="35" t="s">
        <v>86</v>
      </c>
      <c r="L193" s="35" t="s">
        <v>46</v>
      </c>
      <c r="M193" s="36" t="s">
        <v>81</v>
      </c>
      <c r="N193" s="36"/>
      <c r="O193" s="35">
        <v>40</v>
      </c>
      <c r="P193" s="7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1"/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63" t="s">
        <v>340</v>
      </c>
      <c r="AG193" s="75"/>
      <c r="AJ193" s="79" t="s">
        <v>46</v>
      </c>
      <c r="AK193" s="79">
        <v>0</v>
      </c>
      <c r="BB193" s="264" t="s">
        <v>67</v>
      </c>
      <c r="BM193" s="75">
        <f t="shared" si="22"/>
        <v>0</v>
      </c>
      <c r="BN193" s="75">
        <f t="shared" si="23"/>
        <v>0</v>
      </c>
      <c r="BO193" s="75">
        <f t="shared" si="24"/>
        <v>0</v>
      </c>
      <c r="BP193" s="75">
        <f t="shared" si="25"/>
        <v>0</v>
      </c>
    </row>
    <row r="194" spans="1:68" x14ac:dyDescent="0.2">
      <c r="A194" s="654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51" t="s">
        <v>40</v>
      </c>
      <c r="Q194" s="652"/>
      <c r="R194" s="652"/>
      <c r="S194" s="652"/>
      <c r="T194" s="652"/>
      <c r="U194" s="652"/>
      <c r="V194" s="653"/>
      <c r="W194" s="40" t="s">
        <v>39</v>
      </c>
      <c r="X194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+IFERROR(X192/H192,"0")+IFERROR(X193/H193,"0")</f>
        <v>46</v>
      </c>
      <c r="Y194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+IFERROR(Y192/H192,"0")+IFERROR(Y193/H193,"0")</f>
        <v>46</v>
      </c>
      <c r="Z194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</f>
        <v>0.30746000000000007</v>
      </c>
      <c r="AA194" s="64"/>
      <c r="AB194" s="64"/>
      <c r="AC194" s="64"/>
    </row>
    <row r="195" spans="1:68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51" t="s">
        <v>40</v>
      </c>
      <c r="Q195" s="652"/>
      <c r="R195" s="652"/>
      <c r="S195" s="652"/>
      <c r="T195" s="652"/>
      <c r="U195" s="652"/>
      <c r="V195" s="653"/>
      <c r="W195" s="40" t="s">
        <v>0</v>
      </c>
      <c r="X195" s="41">
        <f>IFERROR(SUM(X180:X193),"0")</f>
        <v>133.69999999999999</v>
      </c>
      <c r="Y195" s="41">
        <f>IFERROR(SUM(Y180:Y193),"0")</f>
        <v>133.70000000000002</v>
      </c>
      <c r="Z195" s="40"/>
      <c r="AA195" s="64"/>
      <c r="AB195" s="64"/>
      <c r="AC195" s="64"/>
    </row>
    <row r="196" spans="1:68" ht="14.25" customHeight="1" x14ac:dyDescent="0.25">
      <c r="A196" s="645" t="s">
        <v>110</v>
      </c>
      <c r="B196" s="645"/>
      <c r="C196" s="645"/>
      <c r="D196" s="645"/>
      <c r="E196" s="645"/>
      <c r="F196" s="645"/>
      <c r="G196" s="645"/>
      <c r="H196" s="645"/>
      <c r="I196" s="645"/>
      <c r="J196" s="645"/>
      <c r="K196" s="645"/>
      <c r="L196" s="645"/>
      <c r="M196" s="645"/>
      <c r="N196" s="645"/>
      <c r="O196" s="645"/>
      <c r="P196" s="645"/>
      <c r="Q196" s="645"/>
      <c r="R196" s="645"/>
      <c r="S196" s="645"/>
      <c r="T196" s="645"/>
      <c r="U196" s="645"/>
      <c r="V196" s="645"/>
      <c r="W196" s="645"/>
      <c r="X196" s="645"/>
      <c r="Y196" s="645"/>
      <c r="Z196" s="645"/>
      <c r="AA196" s="63"/>
      <c r="AB196" s="63"/>
      <c r="AC196" s="63"/>
    </row>
    <row r="197" spans="1:68" ht="27" customHeight="1" x14ac:dyDescent="0.25">
      <c r="A197" s="60" t="s">
        <v>341</v>
      </c>
      <c r="B197" s="60" t="s">
        <v>342</v>
      </c>
      <c r="C197" s="34">
        <v>4301032053</v>
      </c>
      <c r="D197" s="646">
        <v>4680115886780</v>
      </c>
      <c r="E197" s="646"/>
      <c r="F197" s="59">
        <v>7.0000000000000007E-2</v>
      </c>
      <c r="G197" s="35">
        <v>18</v>
      </c>
      <c r="H197" s="59">
        <v>1.26</v>
      </c>
      <c r="I197" s="59">
        <v>1.45</v>
      </c>
      <c r="J197" s="35">
        <v>216</v>
      </c>
      <c r="K197" s="35" t="s">
        <v>345</v>
      </c>
      <c r="L197" s="35" t="s">
        <v>46</v>
      </c>
      <c r="M197" s="36" t="s">
        <v>344</v>
      </c>
      <c r="N197" s="36"/>
      <c r="O197" s="35">
        <v>60</v>
      </c>
      <c r="P197" s="74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5" t="s">
        <v>343</v>
      </c>
      <c r="AG197" s="75"/>
      <c r="AJ197" s="79" t="s">
        <v>46</v>
      </c>
      <c r="AK197" s="79">
        <v>0</v>
      </c>
      <c r="BB197" s="266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346</v>
      </c>
      <c r="B198" s="60" t="s">
        <v>347</v>
      </c>
      <c r="C198" s="34">
        <v>4301032051</v>
      </c>
      <c r="D198" s="646">
        <v>4680115886742</v>
      </c>
      <c r="E198" s="646"/>
      <c r="F198" s="59">
        <v>7.0000000000000007E-2</v>
      </c>
      <c r="G198" s="35">
        <v>18</v>
      </c>
      <c r="H198" s="59">
        <v>1.26</v>
      </c>
      <c r="I198" s="59">
        <v>1.45</v>
      </c>
      <c r="J198" s="35">
        <v>216</v>
      </c>
      <c r="K198" s="35" t="s">
        <v>345</v>
      </c>
      <c r="L198" s="35" t="s">
        <v>46</v>
      </c>
      <c r="M198" s="36" t="s">
        <v>344</v>
      </c>
      <c r="N198" s="36"/>
      <c r="O198" s="35">
        <v>90</v>
      </c>
      <c r="P198" s="74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7" t="s">
        <v>348</v>
      </c>
      <c r="AG198" s="75"/>
      <c r="AJ198" s="79" t="s">
        <v>46</v>
      </c>
      <c r="AK198" s="79">
        <v>0</v>
      </c>
      <c r="BB198" s="268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349</v>
      </c>
      <c r="B199" s="60" t="s">
        <v>350</v>
      </c>
      <c r="C199" s="34">
        <v>4301032052</v>
      </c>
      <c r="D199" s="646">
        <v>4680115886766</v>
      </c>
      <c r="E199" s="646"/>
      <c r="F199" s="59">
        <v>7.0000000000000007E-2</v>
      </c>
      <c r="G199" s="35">
        <v>18</v>
      </c>
      <c r="H199" s="59">
        <v>1.26</v>
      </c>
      <c r="I199" s="59">
        <v>1.45</v>
      </c>
      <c r="J199" s="35">
        <v>216</v>
      </c>
      <c r="K199" s="35" t="s">
        <v>345</v>
      </c>
      <c r="L199" s="35" t="s">
        <v>46</v>
      </c>
      <c r="M199" s="36" t="s">
        <v>344</v>
      </c>
      <c r="N199" s="36"/>
      <c r="O199" s="35">
        <v>90</v>
      </c>
      <c r="P199" s="74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9" s="648"/>
      <c r="R199" s="648"/>
      <c r="S199" s="648"/>
      <c r="T199" s="649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69" t="s">
        <v>348</v>
      </c>
      <c r="AG199" s="75"/>
      <c r="AJ199" s="79" t="s">
        <v>46</v>
      </c>
      <c r="AK199" s="79">
        <v>0</v>
      </c>
      <c r="BB199" s="270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x14ac:dyDescent="0.2">
      <c r="A200" s="654"/>
      <c r="B200" s="654"/>
      <c r="C200" s="654"/>
      <c r="D200" s="654"/>
      <c r="E200" s="654"/>
      <c r="F200" s="654"/>
      <c r="G200" s="654"/>
      <c r="H200" s="654"/>
      <c r="I200" s="654"/>
      <c r="J200" s="654"/>
      <c r="K200" s="654"/>
      <c r="L200" s="654"/>
      <c r="M200" s="654"/>
      <c r="N200" s="654"/>
      <c r="O200" s="655"/>
      <c r="P200" s="651" t="s">
        <v>40</v>
      </c>
      <c r="Q200" s="652"/>
      <c r="R200" s="652"/>
      <c r="S200" s="652"/>
      <c r="T200" s="652"/>
      <c r="U200" s="652"/>
      <c r="V200" s="653"/>
      <c r="W200" s="40" t="s">
        <v>39</v>
      </c>
      <c r="X200" s="41">
        <f>IFERROR(X197/H197,"0")+IFERROR(X198/H198,"0")+IFERROR(X199/H199,"0")</f>
        <v>0</v>
      </c>
      <c r="Y200" s="41">
        <f>IFERROR(Y197/H197,"0")+IFERROR(Y198/H198,"0")+IFERROR(Y199/H199,"0")</f>
        <v>0</v>
      </c>
      <c r="Z200" s="41">
        <f>IFERROR(IF(Z197="",0,Z197),"0")+IFERROR(IF(Z198="",0,Z198),"0")+IFERROR(IF(Z199="",0,Z199),"0")</f>
        <v>0</v>
      </c>
      <c r="AA200" s="64"/>
      <c r="AB200" s="64"/>
      <c r="AC200" s="64"/>
    </row>
    <row r="201" spans="1:68" x14ac:dyDescent="0.2">
      <c r="A201" s="654"/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5"/>
      <c r="P201" s="651" t="s">
        <v>40</v>
      </c>
      <c r="Q201" s="652"/>
      <c r="R201" s="652"/>
      <c r="S201" s="652"/>
      <c r="T201" s="652"/>
      <c r="U201" s="652"/>
      <c r="V201" s="653"/>
      <c r="W201" s="40" t="s">
        <v>0</v>
      </c>
      <c r="X201" s="41">
        <f>IFERROR(SUM(X197:X199),"0")</f>
        <v>0</v>
      </c>
      <c r="Y201" s="41">
        <f>IFERROR(SUM(Y197:Y199),"0")</f>
        <v>0</v>
      </c>
      <c r="Z201" s="40"/>
      <c r="AA201" s="64"/>
      <c r="AB201" s="64"/>
      <c r="AC201" s="64"/>
    </row>
    <row r="202" spans="1:68" ht="14.25" customHeight="1" x14ac:dyDescent="0.25">
      <c r="A202" s="645" t="s">
        <v>351</v>
      </c>
      <c r="B202" s="645"/>
      <c r="C202" s="645"/>
      <c r="D202" s="645"/>
      <c r="E202" s="645"/>
      <c r="F202" s="645"/>
      <c r="G202" s="645"/>
      <c r="H202" s="645"/>
      <c r="I202" s="645"/>
      <c r="J202" s="645"/>
      <c r="K202" s="645"/>
      <c r="L202" s="645"/>
      <c r="M202" s="645"/>
      <c r="N202" s="645"/>
      <c r="O202" s="645"/>
      <c r="P202" s="645"/>
      <c r="Q202" s="645"/>
      <c r="R202" s="645"/>
      <c r="S202" s="645"/>
      <c r="T202" s="645"/>
      <c r="U202" s="645"/>
      <c r="V202" s="645"/>
      <c r="W202" s="645"/>
      <c r="X202" s="645"/>
      <c r="Y202" s="645"/>
      <c r="Z202" s="645"/>
      <c r="AA202" s="63"/>
      <c r="AB202" s="63"/>
      <c r="AC202" s="63"/>
    </row>
    <row r="203" spans="1:68" ht="27" customHeight="1" x14ac:dyDescent="0.25">
      <c r="A203" s="60" t="s">
        <v>352</v>
      </c>
      <c r="B203" s="60" t="s">
        <v>353</v>
      </c>
      <c r="C203" s="34">
        <v>4301170013</v>
      </c>
      <c r="D203" s="646">
        <v>4680115886797</v>
      </c>
      <c r="E203" s="646"/>
      <c r="F203" s="59">
        <v>7.0000000000000007E-2</v>
      </c>
      <c r="G203" s="35">
        <v>18</v>
      </c>
      <c r="H203" s="59">
        <v>1.26</v>
      </c>
      <c r="I203" s="59">
        <v>1.45</v>
      </c>
      <c r="J203" s="35">
        <v>216</v>
      </c>
      <c r="K203" s="35" t="s">
        <v>345</v>
      </c>
      <c r="L203" s="35" t="s">
        <v>46</v>
      </c>
      <c r="M203" s="36" t="s">
        <v>344</v>
      </c>
      <c r="N203" s="36"/>
      <c r="O203" s="35">
        <v>90</v>
      </c>
      <c r="P203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3" s="648"/>
      <c r="R203" s="648"/>
      <c r="S203" s="648"/>
      <c r="T203" s="649"/>
      <c r="U203" s="37" t="s">
        <v>46</v>
      </c>
      <c r="V203" s="37" t="s">
        <v>46</v>
      </c>
      <c r="W203" s="38" t="s">
        <v>0</v>
      </c>
      <c r="X203" s="56">
        <v>0</v>
      </c>
      <c r="Y203" s="53">
        <f>IFERROR(IF(X203="",0,CEILING((X203/$H203),1)*$H203),"")</f>
        <v>0</v>
      </c>
      <c r="Z203" s="39" t="str">
        <f>IFERROR(IF(Y203=0,"",ROUNDUP(Y203/H203,0)*0.0059),"")</f>
        <v/>
      </c>
      <c r="AA203" s="65" t="s">
        <v>46</v>
      </c>
      <c r="AB203" s="66" t="s">
        <v>46</v>
      </c>
      <c r="AC203" s="271" t="s">
        <v>348</v>
      </c>
      <c r="AG203" s="75"/>
      <c r="AJ203" s="79" t="s">
        <v>46</v>
      </c>
      <c r="AK203" s="79">
        <v>0</v>
      </c>
      <c r="BB203" s="272" t="s">
        <v>67</v>
      </c>
      <c r="BM203" s="75">
        <f>IFERROR(X203*I203/H203,"0")</f>
        <v>0</v>
      </c>
      <c r="BN203" s="75">
        <f>IFERROR(Y203*I203/H203,"0")</f>
        <v>0</v>
      </c>
      <c r="BO203" s="75">
        <f>IFERROR(1/J203*(X203/H203),"0")</f>
        <v>0</v>
      </c>
      <c r="BP203" s="75">
        <f>IFERROR(1/J203*(Y203/H203),"0")</f>
        <v>0</v>
      </c>
    </row>
    <row r="204" spans="1:68" x14ac:dyDescent="0.2">
      <c r="A204" s="654"/>
      <c r="B204" s="654"/>
      <c r="C204" s="654"/>
      <c r="D204" s="654"/>
      <c r="E204" s="654"/>
      <c r="F204" s="654"/>
      <c r="G204" s="654"/>
      <c r="H204" s="654"/>
      <c r="I204" s="654"/>
      <c r="J204" s="654"/>
      <c r="K204" s="654"/>
      <c r="L204" s="654"/>
      <c r="M204" s="654"/>
      <c r="N204" s="654"/>
      <c r="O204" s="655"/>
      <c r="P204" s="651" t="s">
        <v>40</v>
      </c>
      <c r="Q204" s="652"/>
      <c r="R204" s="652"/>
      <c r="S204" s="652"/>
      <c r="T204" s="652"/>
      <c r="U204" s="652"/>
      <c r="V204" s="653"/>
      <c r="W204" s="40" t="s">
        <v>39</v>
      </c>
      <c r="X204" s="41">
        <f>IFERROR(X203/H203,"0")</f>
        <v>0</v>
      </c>
      <c r="Y204" s="41">
        <f>IFERROR(Y203/H203,"0")</f>
        <v>0</v>
      </c>
      <c r="Z204" s="41">
        <f>IFERROR(IF(Z203="",0,Z203),"0")</f>
        <v>0</v>
      </c>
      <c r="AA204" s="64"/>
      <c r="AB204" s="64"/>
      <c r="AC204" s="64"/>
    </row>
    <row r="205" spans="1:68" x14ac:dyDescent="0.2">
      <c r="A205" s="654"/>
      <c r="B205" s="654"/>
      <c r="C205" s="654"/>
      <c r="D205" s="654"/>
      <c r="E205" s="654"/>
      <c r="F205" s="654"/>
      <c r="G205" s="654"/>
      <c r="H205" s="654"/>
      <c r="I205" s="654"/>
      <c r="J205" s="654"/>
      <c r="K205" s="654"/>
      <c r="L205" s="654"/>
      <c r="M205" s="654"/>
      <c r="N205" s="654"/>
      <c r="O205" s="655"/>
      <c r="P205" s="651" t="s">
        <v>40</v>
      </c>
      <c r="Q205" s="652"/>
      <c r="R205" s="652"/>
      <c r="S205" s="652"/>
      <c r="T205" s="652"/>
      <c r="U205" s="652"/>
      <c r="V205" s="653"/>
      <c r="W205" s="40" t="s">
        <v>0</v>
      </c>
      <c r="X205" s="41">
        <f>IFERROR(SUM(X203:X203),"0")</f>
        <v>0</v>
      </c>
      <c r="Y205" s="41">
        <f>IFERROR(SUM(Y203:Y203),"0")</f>
        <v>0</v>
      </c>
      <c r="Z205" s="40"/>
      <c r="AA205" s="64"/>
      <c r="AB205" s="64"/>
      <c r="AC205" s="64"/>
    </row>
    <row r="206" spans="1:68" ht="16.5" customHeight="1" x14ac:dyDescent="0.25">
      <c r="A206" s="644" t="s">
        <v>354</v>
      </c>
      <c r="B206" s="644"/>
      <c r="C206" s="644"/>
      <c r="D206" s="644"/>
      <c r="E206" s="644"/>
      <c r="F206" s="644"/>
      <c r="G206" s="644"/>
      <c r="H206" s="644"/>
      <c r="I206" s="644"/>
      <c r="J206" s="644"/>
      <c r="K206" s="644"/>
      <c r="L206" s="644"/>
      <c r="M206" s="644"/>
      <c r="N206" s="644"/>
      <c r="O206" s="644"/>
      <c r="P206" s="644"/>
      <c r="Q206" s="644"/>
      <c r="R206" s="644"/>
      <c r="S206" s="644"/>
      <c r="T206" s="644"/>
      <c r="U206" s="644"/>
      <c r="V206" s="644"/>
      <c r="W206" s="644"/>
      <c r="X206" s="644"/>
      <c r="Y206" s="644"/>
      <c r="Z206" s="644"/>
      <c r="AA206" s="62"/>
      <c r="AB206" s="62"/>
      <c r="AC206" s="62"/>
    </row>
    <row r="207" spans="1:68" ht="14.25" customHeight="1" x14ac:dyDescent="0.25">
      <c r="A207" s="645" t="s">
        <v>125</v>
      </c>
      <c r="B207" s="645"/>
      <c r="C207" s="645"/>
      <c r="D207" s="645"/>
      <c r="E207" s="645"/>
      <c r="F207" s="645"/>
      <c r="G207" s="645"/>
      <c r="H207" s="645"/>
      <c r="I207" s="645"/>
      <c r="J207" s="645"/>
      <c r="K207" s="645"/>
      <c r="L207" s="645"/>
      <c r="M207" s="645"/>
      <c r="N207" s="645"/>
      <c r="O207" s="645"/>
      <c r="P207" s="645"/>
      <c r="Q207" s="645"/>
      <c r="R207" s="645"/>
      <c r="S207" s="645"/>
      <c r="T207" s="645"/>
      <c r="U207" s="645"/>
      <c r="V207" s="645"/>
      <c r="W207" s="645"/>
      <c r="X207" s="645"/>
      <c r="Y207" s="645"/>
      <c r="Z207" s="645"/>
      <c r="AA207" s="63"/>
      <c r="AB207" s="63"/>
      <c r="AC207" s="63"/>
    </row>
    <row r="208" spans="1:68" ht="27" customHeight="1" x14ac:dyDescent="0.25">
      <c r="A208" s="60" t="s">
        <v>355</v>
      </c>
      <c r="B208" s="60" t="s">
        <v>356</v>
      </c>
      <c r="C208" s="34">
        <v>4301011450</v>
      </c>
      <c r="D208" s="646">
        <v>4680115881402</v>
      </c>
      <c r="E208" s="646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130</v>
      </c>
      <c r="L208" s="35" t="s">
        <v>46</v>
      </c>
      <c r="M208" s="36" t="s">
        <v>129</v>
      </c>
      <c r="N208" s="36"/>
      <c r="O208" s="35">
        <v>55</v>
      </c>
      <c r="P208" s="75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32.4</v>
      </c>
      <c r="Y208" s="53">
        <f>IFERROR(IF(X208="",0,CEILING((X208/$H208),1)*$H208),"")</f>
        <v>32.400000000000006</v>
      </c>
      <c r="Z208" s="39">
        <f>IFERROR(IF(Y208=0,"",ROUNDUP(Y208/H208,0)*0.01898),"")</f>
        <v>5.6940000000000004E-2</v>
      </c>
      <c r="AA208" s="65" t="s">
        <v>46</v>
      </c>
      <c r="AB208" s="66" t="s">
        <v>46</v>
      </c>
      <c r="AC208" s="273" t="s">
        <v>357</v>
      </c>
      <c r="AG208" s="75"/>
      <c r="AJ208" s="79" t="s">
        <v>46</v>
      </c>
      <c r="AK208" s="79">
        <v>0</v>
      </c>
      <c r="BB208" s="274" t="s">
        <v>67</v>
      </c>
      <c r="BM208" s="75">
        <f>IFERROR(X208*I208/H208,"0")</f>
        <v>33.629999999999995</v>
      </c>
      <c r="BN208" s="75">
        <f>IFERROR(Y208*I208/H208,"0")</f>
        <v>33.630000000000003</v>
      </c>
      <c r="BO208" s="75">
        <f>IFERROR(1/J208*(X208/H208),"0")</f>
        <v>4.6874999999999993E-2</v>
      </c>
      <c r="BP208" s="75">
        <f>IFERROR(1/J208*(Y208/H208),"0")</f>
        <v>4.6875000000000007E-2</v>
      </c>
    </row>
    <row r="209" spans="1:68" ht="27" customHeight="1" x14ac:dyDescent="0.25">
      <c r="A209" s="60" t="s">
        <v>358</v>
      </c>
      <c r="B209" s="60" t="s">
        <v>359</v>
      </c>
      <c r="C209" s="34">
        <v>4301011768</v>
      </c>
      <c r="D209" s="646">
        <v>4680115881396</v>
      </c>
      <c r="E209" s="646"/>
      <c r="F209" s="59">
        <v>0.45</v>
      </c>
      <c r="G209" s="35">
        <v>6</v>
      </c>
      <c r="H209" s="59">
        <v>2.7</v>
      </c>
      <c r="I209" s="59">
        <v>2.88</v>
      </c>
      <c r="J209" s="35">
        <v>182</v>
      </c>
      <c r="K209" s="35" t="s">
        <v>82</v>
      </c>
      <c r="L209" s="35" t="s">
        <v>46</v>
      </c>
      <c r="M209" s="36" t="s">
        <v>129</v>
      </c>
      <c r="N209" s="36"/>
      <c r="O209" s="35">
        <v>55</v>
      </c>
      <c r="P209" s="75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8.1</v>
      </c>
      <c r="Y209" s="53">
        <f>IFERROR(IF(X209="",0,CEILING((X209/$H209),1)*$H209),"")</f>
        <v>8.1000000000000014</v>
      </c>
      <c r="Z209" s="39">
        <f>IFERROR(IF(Y209=0,"",ROUNDUP(Y209/H209,0)*0.00651),"")</f>
        <v>1.9529999999999999E-2</v>
      </c>
      <c r="AA209" s="65" t="s">
        <v>46</v>
      </c>
      <c r="AB209" s="66" t="s">
        <v>46</v>
      </c>
      <c r="AC209" s="275" t="s">
        <v>357</v>
      </c>
      <c r="AG209" s="75"/>
      <c r="AJ209" s="79" t="s">
        <v>46</v>
      </c>
      <c r="AK209" s="79">
        <v>0</v>
      </c>
      <c r="BB209" s="276" t="s">
        <v>67</v>
      </c>
      <c r="BM209" s="75">
        <f>IFERROR(X209*I209/H209,"0")</f>
        <v>8.6399999999999988</v>
      </c>
      <c r="BN209" s="75">
        <f>IFERROR(Y209*I209/H209,"0")</f>
        <v>8.64</v>
      </c>
      <c r="BO209" s="75">
        <f>IFERROR(1/J209*(X209/H209),"0")</f>
        <v>1.6483516483516484E-2</v>
      </c>
      <c r="BP209" s="75">
        <f>IFERROR(1/J209*(Y209/H209),"0")</f>
        <v>1.6483516483516487E-2</v>
      </c>
    </row>
    <row r="210" spans="1:68" x14ac:dyDescent="0.2">
      <c r="A210" s="654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51" t="s">
        <v>40</v>
      </c>
      <c r="Q210" s="652"/>
      <c r="R210" s="652"/>
      <c r="S210" s="652"/>
      <c r="T210" s="652"/>
      <c r="U210" s="652"/>
      <c r="V210" s="653"/>
      <c r="W210" s="40" t="s">
        <v>39</v>
      </c>
      <c r="X210" s="41">
        <f>IFERROR(X208/H208,"0")+IFERROR(X209/H209,"0")</f>
        <v>5.9999999999999991</v>
      </c>
      <c r="Y210" s="41">
        <f>IFERROR(Y208/H208,"0")+IFERROR(Y209/H209,"0")</f>
        <v>6.0000000000000009</v>
      </c>
      <c r="Z210" s="41">
        <f>IFERROR(IF(Z208="",0,Z208),"0")+IFERROR(IF(Z209="",0,Z209),"0")</f>
        <v>7.647000000000001E-2</v>
      </c>
      <c r="AA210" s="64"/>
      <c r="AB210" s="64"/>
      <c r="AC210" s="64"/>
    </row>
    <row r="211" spans="1:68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51" t="s">
        <v>40</v>
      </c>
      <c r="Q211" s="652"/>
      <c r="R211" s="652"/>
      <c r="S211" s="652"/>
      <c r="T211" s="652"/>
      <c r="U211" s="652"/>
      <c r="V211" s="653"/>
      <c r="W211" s="40" t="s">
        <v>0</v>
      </c>
      <c r="X211" s="41">
        <f>IFERROR(SUM(X208:X209),"0")</f>
        <v>40.5</v>
      </c>
      <c r="Y211" s="41">
        <f>IFERROR(SUM(Y208:Y209),"0")</f>
        <v>40.500000000000007</v>
      </c>
      <c r="Z211" s="40"/>
      <c r="AA211" s="64"/>
      <c r="AB211" s="64"/>
      <c r="AC211" s="64"/>
    </row>
    <row r="212" spans="1:68" ht="14.25" customHeight="1" x14ac:dyDescent="0.25">
      <c r="A212" s="645" t="s">
        <v>159</v>
      </c>
      <c r="B212" s="645"/>
      <c r="C212" s="645"/>
      <c r="D212" s="645"/>
      <c r="E212" s="645"/>
      <c r="F212" s="645"/>
      <c r="G212" s="645"/>
      <c r="H212" s="645"/>
      <c r="I212" s="645"/>
      <c r="J212" s="645"/>
      <c r="K212" s="645"/>
      <c r="L212" s="645"/>
      <c r="M212" s="645"/>
      <c r="N212" s="645"/>
      <c r="O212" s="645"/>
      <c r="P212" s="645"/>
      <c r="Q212" s="645"/>
      <c r="R212" s="645"/>
      <c r="S212" s="645"/>
      <c r="T212" s="645"/>
      <c r="U212" s="645"/>
      <c r="V212" s="645"/>
      <c r="W212" s="645"/>
      <c r="X212" s="645"/>
      <c r="Y212" s="645"/>
      <c r="Z212" s="645"/>
      <c r="AA212" s="63"/>
      <c r="AB212" s="63"/>
      <c r="AC212" s="63"/>
    </row>
    <row r="213" spans="1:68" ht="16.5" customHeight="1" x14ac:dyDescent="0.25">
      <c r="A213" s="60" t="s">
        <v>360</v>
      </c>
      <c r="B213" s="60" t="s">
        <v>361</v>
      </c>
      <c r="C213" s="34">
        <v>4301020261</v>
      </c>
      <c r="D213" s="646">
        <v>4680115882935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130</v>
      </c>
      <c r="L213" s="35" t="s">
        <v>46</v>
      </c>
      <c r="M213" s="36" t="s">
        <v>129</v>
      </c>
      <c r="N213" s="36"/>
      <c r="O213" s="35">
        <v>50</v>
      </c>
      <c r="P213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32.4</v>
      </c>
      <c r="Y213" s="53">
        <f>IFERROR(IF(X213="",0,CEILING((X213/$H213),1)*$H213),"")</f>
        <v>32.400000000000006</v>
      </c>
      <c r="Z213" s="39">
        <f>IFERROR(IF(Y213=0,"",ROUNDUP(Y213/H213,0)*0.01898),"")</f>
        <v>5.6940000000000004E-2</v>
      </c>
      <c r="AA213" s="65" t="s">
        <v>46</v>
      </c>
      <c r="AB213" s="66" t="s">
        <v>46</v>
      </c>
      <c r="AC213" s="277" t="s">
        <v>362</v>
      </c>
      <c r="AG213" s="75"/>
      <c r="AJ213" s="79" t="s">
        <v>46</v>
      </c>
      <c r="AK213" s="79">
        <v>0</v>
      </c>
      <c r="BB213" s="278" t="s">
        <v>67</v>
      </c>
      <c r="BM213" s="75">
        <f>IFERROR(X213*I213/H213,"0")</f>
        <v>33.629999999999995</v>
      </c>
      <c r="BN213" s="75">
        <f>IFERROR(Y213*I213/H213,"0")</f>
        <v>33.630000000000003</v>
      </c>
      <c r="BO213" s="75">
        <f>IFERROR(1/J213*(X213/H213),"0")</f>
        <v>4.6874999999999993E-2</v>
      </c>
      <c r="BP213" s="75">
        <f>IFERROR(1/J213*(Y213/H213),"0")</f>
        <v>4.6875000000000007E-2</v>
      </c>
    </row>
    <row r="214" spans="1:68" ht="16.5" customHeight="1" x14ac:dyDescent="0.25">
      <c r="A214" s="60" t="s">
        <v>363</v>
      </c>
      <c r="B214" s="60" t="s">
        <v>364</v>
      </c>
      <c r="C214" s="34">
        <v>4301020220</v>
      </c>
      <c r="D214" s="646">
        <v>4680115880764</v>
      </c>
      <c r="E214" s="646"/>
      <c r="F214" s="59">
        <v>0.35</v>
      </c>
      <c r="G214" s="35">
        <v>6</v>
      </c>
      <c r="H214" s="59">
        <v>2.1</v>
      </c>
      <c r="I214" s="59">
        <v>2.2799999999999998</v>
      </c>
      <c r="J214" s="35">
        <v>182</v>
      </c>
      <c r="K214" s="35" t="s">
        <v>82</v>
      </c>
      <c r="L214" s="35" t="s">
        <v>46</v>
      </c>
      <c r="M214" s="36" t="s">
        <v>129</v>
      </c>
      <c r="N214" s="36"/>
      <c r="O214" s="35">
        <v>50</v>
      </c>
      <c r="P214" s="75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8.1</v>
      </c>
      <c r="Y214" s="53">
        <f>IFERROR(IF(X214="",0,CEILING((X214/$H214),1)*$H214),"")</f>
        <v>8.4</v>
      </c>
      <c r="Z214" s="39">
        <f>IFERROR(IF(Y214=0,"",ROUNDUP(Y214/H214,0)*0.00651),"")</f>
        <v>2.6040000000000001E-2</v>
      </c>
      <c r="AA214" s="65" t="s">
        <v>46</v>
      </c>
      <c r="AB214" s="66" t="s">
        <v>46</v>
      </c>
      <c r="AC214" s="279" t="s">
        <v>362</v>
      </c>
      <c r="AG214" s="75"/>
      <c r="AJ214" s="79" t="s">
        <v>46</v>
      </c>
      <c r="AK214" s="79">
        <v>0</v>
      </c>
      <c r="BB214" s="280" t="s">
        <v>67</v>
      </c>
      <c r="BM214" s="75">
        <f>IFERROR(X214*I214/H214,"0")</f>
        <v>8.7942857142857118</v>
      </c>
      <c r="BN214" s="75">
        <f>IFERROR(Y214*I214/H214,"0")</f>
        <v>9.1199999999999992</v>
      </c>
      <c r="BO214" s="75">
        <f>IFERROR(1/J214*(X214/H214),"0")</f>
        <v>2.119309262166405E-2</v>
      </c>
      <c r="BP214" s="75">
        <f>IFERROR(1/J214*(Y214/H214),"0")</f>
        <v>2.197802197802198E-2</v>
      </c>
    </row>
    <row r="215" spans="1:68" x14ac:dyDescent="0.2">
      <c r="A215" s="654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51" t="s">
        <v>40</v>
      </c>
      <c r="Q215" s="652"/>
      <c r="R215" s="652"/>
      <c r="S215" s="652"/>
      <c r="T215" s="652"/>
      <c r="U215" s="652"/>
      <c r="V215" s="653"/>
      <c r="W215" s="40" t="s">
        <v>39</v>
      </c>
      <c r="X215" s="41">
        <f>IFERROR(X213/H213,"0")+IFERROR(X214/H214,"0")</f>
        <v>6.8571428571428559</v>
      </c>
      <c r="Y215" s="41">
        <f>IFERROR(Y213/H213,"0")+IFERROR(Y214/H214,"0")</f>
        <v>7</v>
      </c>
      <c r="Z215" s="41">
        <f>IFERROR(IF(Z213="",0,Z213),"0")+IFERROR(IF(Z214="",0,Z214),"0")</f>
        <v>8.2979999999999998E-2</v>
      </c>
      <c r="AA215" s="64"/>
      <c r="AB215" s="64"/>
      <c r="AC215" s="64"/>
    </row>
    <row r="216" spans="1:68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51" t="s">
        <v>40</v>
      </c>
      <c r="Q216" s="652"/>
      <c r="R216" s="652"/>
      <c r="S216" s="652"/>
      <c r="T216" s="652"/>
      <c r="U216" s="652"/>
      <c r="V216" s="653"/>
      <c r="W216" s="40" t="s">
        <v>0</v>
      </c>
      <c r="X216" s="41">
        <f>IFERROR(SUM(X213:X214),"0")</f>
        <v>40.5</v>
      </c>
      <c r="Y216" s="41">
        <f>IFERROR(SUM(Y213:Y214),"0")</f>
        <v>40.800000000000004</v>
      </c>
      <c r="Z216" s="40"/>
      <c r="AA216" s="64"/>
      <c r="AB216" s="64"/>
      <c r="AC216" s="64"/>
    </row>
    <row r="217" spans="1:68" ht="14.25" customHeight="1" x14ac:dyDescent="0.25">
      <c r="A217" s="645" t="s">
        <v>77</v>
      </c>
      <c r="B217" s="645"/>
      <c r="C217" s="645"/>
      <c r="D217" s="645"/>
      <c r="E217" s="645"/>
      <c r="F217" s="645"/>
      <c r="G217" s="645"/>
      <c r="H217" s="645"/>
      <c r="I217" s="645"/>
      <c r="J217" s="645"/>
      <c r="K217" s="645"/>
      <c r="L217" s="645"/>
      <c r="M217" s="645"/>
      <c r="N217" s="645"/>
      <c r="O217" s="645"/>
      <c r="P217" s="645"/>
      <c r="Q217" s="645"/>
      <c r="R217" s="645"/>
      <c r="S217" s="645"/>
      <c r="T217" s="645"/>
      <c r="U217" s="645"/>
      <c r="V217" s="645"/>
      <c r="W217" s="645"/>
      <c r="X217" s="645"/>
      <c r="Y217" s="645"/>
      <c r="Z217" s="645"/>
      <c r="AA217" s="63"/>
      <c r="AB217" s="63"/>
      <c r="AC217" s="63"/>
    </row>
    <row r="218" spans="1:68" ht="27" customHeight="1" x14ac:dyDescent="0.25">
      <c r="A218" s="60" t="s">
        <v>365</v>
      </c>
      <c r="B218" s="60" t="s">
        <v>366</v>
      </c>
      <c r="C218" s="34">
        <v>4301031224</v>
      </c>
      <c r="D218" s="646">
        <v>4680115882683</v>
      </c>
      <c r="E218" s="646"/>
      <c r="F218" s="59">
        <v>0.9</v>
      </c>
      <c r="G218" s="35">
        <v>6</v>
      </c>
      <c r="H218" s="59">
        <v>5.4</v>
      </c>
      <c r="I218" s="59">
        <v>5.59</v>
      </c>
      <c r="J218" s="35">
        <v>132</v>
      </c>
      <c r="K218" s="35" t="s">
        <v>137</v>
      </c>
      <c r="L218" s="35" t="s">
        <v>46</v>
      </c>
      <c r="M218" s="36" t="s">
        <v>81</v>
      </c>
      <c r="N218" s="36"/>
      <c r="O218" s="35">
        <v>40</v>
      </c>
      <c r="P218" s="75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8" s="648"/>
      <c r="R218" s="648"/>
      <c r="S218" s="648"/>
      <c r="T218" s="649"/>
      <c r="U218" s="37" t="s">
        <v>46</v>
      </c>
      <c r="V218" s="37" t="s">
        <v>46</v>
      </c>
      <c r="W218" s="38" t="s">
        <v>0</v>
      </c>
      <c r="X218" s="56">
        <v>27</v>
      </c>
      <c r="Y218" s="53">
        <f t="shared" ref="Y218:Y225" si="27">IFERROR(IF(X218="",0,CEILING((X218/$H218),1)*$H218),"")</f>
        <v>27</v>
      </c>
      <c r="Z218" s="39">
        <f>IFERROR(IF(Y218=0,"",ROUNDUP(Y218/H218,0)*0.00902),"")</f>
        <v>4.5100000000000001E-2</v>
      </c>
      <c r="AA218" s="65" t="s">
        <v>46</v>
      </c>
      <c r="AB218" s="66" t="s">
        <v>46</v>
      </c>
      <c r="AC218" s="281" t="s">
        <v>367</v>
      </c>
      <c r="AG218" s="75"/>
      <c r="AJ218" s="79" t="s">
        <v>46</v>
      </c>
      <c r="AK218" s="79">
        <v>0</v>
      </c>
      <c r="BB218" s="282" t="s">
        <v>67</v>
      </c>
      <c r="BM218" s="75">
        <f t="shared" ref="BM218:BM225" si="28">IFERROR(X218*I218/H218,"0")</f>
        <v>27.95</v>
      </c>
      <c r="BN218" s="75">
        <f t="shared" ref="BN218:BN225" si="29">IFERROR(Y218*I218/H218,"0")</f>
        <v>27.95</v>
      </c>
      <c r="BO218" s="75">
        <f t="shared" ref="BO218:BO225" si="30">IFERROR(1/J218*(X218/H218),"0")</f>
        <v>3.787878787878788E-2</v>
      </c>
      <c r="BP218" s="75">
        <f t="shared" ref="BP218:BP225" si="31">IFERROR(1/J218*(Y218/H218),"0")</f>
        <v>3.787878787878788E-2</v>
      </c>
    </row>
    <row r="219" spans="1:68" ht="27" customHeight="1" x14ac:dyDescent="0.25">
      <c r="A219" s="60" t="s">
        <v>368</v>
      </c>
      <c r="B219" s="60" t="s">
        <v>369</v>
      </c>
      <c r="C219" s="34">
        <v>4301031230</v>
      </c>
      <c r="D219" s="646">
        <v>4680115882690</v>
      </c>
      <c r="E219" s="646"/>
      <c r="F219" s="59">
        <v>0.9</v>
      </c>
      <c r="G219" s="35">
        <v>6</v>
      </c>
      <c r="H219" s="59">
        <v>5.4</v>
      </c>
      <c r="I219" s="59">
        <v>5.59</v>
      </c>
      <c r="J219" s="35">
        <v>132</v>
      </c>
      <c r="K219" s="35" t="s">
        <v>137</v>
      </c>
      <c r="L219" s="35" t="s">
        <v>46</v>
      </c>
      <c r="M219" s="36" t="s">
        <v>81</v>
      </c>
      <c r="N219" s="36"/>
      <c r="O219" s="35">
        <v>40</v>
      </c>
      <c r="P219" s="75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27</v>
      </c>
      <c r="Y219" s="53">
        <f t="shared" si="27"/>
        <v>27</v>
      </c>
      <c r="Z219" s="39">
        <f>IFERROR(IF(Y219=0,"",ROUNDUP(Y219/H219,0)*0.00902),"")</f>
        <v>4.5100000000000001E-2</v>
      </c>
      <c r="AA219" s="65" t="s">
        <v>46</v>
      </c>
      <c r="AB219" s="66" t="s">
        <v>46</v>
      </c>
      <c r="AC219" s="283" t="s">
        <v>370</v>
      </c>
      <c r="AG219" s="75"/>
      <c r="AJ219" s="79" t="s">
        <v>46</v>
      </c>
      <c r="AK219" s="79">
        <v>0</v>
      </c>
      <c r="BB219" s="284" t="s">
        <v>67</v>
      </c>
      <c r="BM219" s="75">
        <f t="shared" si="28"/>
        <v>27.95</v>
      </c>
      <c r="BN219" s="75">
        <f t="shared" si="29"/>
        <v>27.95</v>
      </c>
      <c r="BO219" s="75">
        <f t="shared" si="30"/>
        <v>3.787878787878788E-2</v>
      </c>
      <c r="BP219" s="75">
        <f t="shared" si="31"/>
        <v>3.787878787878788E-2</v>
      </c>
    </row>
    <row r="220" spans="1:68" ht="27" customHeight="1" x14ac:dyDescent="0.25">
      <c r="A220" s="60" t="s">
        <v>371</v>
      </c>
      <c r="B220" s="60" t="s">
        <v>372</v>
      </c>
      <c r="C220" s="34">
        <v>4301031220</v>
      </c>
      <c r="D220" s="646">
        <v>4680115882669</v>
      </c>
      <c r="E220" s="646"/>
      <c r="F220" s="59">
        <v>0.9</v>
      </c>
      <c r="G220" s="35">
        <v>6</v>
      </c>
      <c r="H220" s="59">
        <v>5.4</v>
      </c>
      <c r="I220" s="59">
        <v>5.59</v>
      </c>
      <c r="J220" s="35">
        <v>132</v>
      </c>
      <c r="K220" s="35" t="s">
        <v>137</v>
      </c>
      <c r="L220" s="35" t="s">
        <v>46</v>
      </c>
      <c r="M220" s="36" t="s">
        <v>81</v>
      </c>
      <c r="N220" s="36"/>
      <c r="O220" s="35">
        <v>40</v>
      </c>
      <c r="P220" s="7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0" s="648"/>
      <c r="R220" s="648"/>
      <c r="S220" s="648"/>
      <c r="T220" s="649"/>
      <c r="U220" s="37" t="s">
        <v>46</v>
      </c>
      <c r="V220" s="37" t="s">
        <v>46</v>
      </c>
      <c r="W220" s="38" t="s">
        <v>0</v>
      </c>
      <c r="X220" s="56">
        <v>27</v>
      </c>
      <c r="Y220" s="53">
        <f t="shared" si="27"/>
        <v>27</v>
      </c>
      <c r="Z220" s="39">
        <f>IFERROR(IF(Y220=0,"",ROUNDUP(Y220/H220,0)*0.00902),"")</f>
        <v>4.5100000000000001E-2</v>
      </c>
      <c r="AA220" s="65" t="s">
        <v>46</v>
      </c>
      <c r="AB220" s="66" t="s">
        <v>46</v>
      </c>
      <c r="AC220" s="285" t="s">
        <v>373</v>
      </c>
      <c r="AG220" s="75"/>
      <c r="AJ220" s="79" t="s">
        <v>46</v>
      </c>
      <c r="AK220" s="79">
        <v>0</v>
      </c>
      <c r="BB220" s="286" t="s">
        <v>67</v>
      </c>
      <c r="BM220" s="75">
        <f t="shared" si="28"/>
        <v>27.95</v>
      </c>
      <c r="BN220" s="75">
        <f t="shared" si="29"/>
        <v>27.95</v>
      </c>
      <c r="BO220" s="75">
        <f t="shared" si="30"/>
        <v>3.787878787878788E-2</v>
      </c>
      <c r="BP220" s="75">
        <f t="shared" si="31"/>
        <v>3.787878787878788E-2</v>
      </c>
    </row>
    <row r="221" spans="1:68" ht="27" customHeight="1" x14ac:dyDescent="0.25">
      <c r="A221" s="60" t="s">
        <v>374</v>
      </c>
      <c r="B221" s="60" t="s">
        <v>375</v>
      </c>
      <c r="C221" s="34">
        <v>4301031221</v>
      </c>
      <c r="D221" s="646">
        <v>4680115882676</v>
      </c>
      <c r="E221" s="646"/>
      <c r="F221" s="59">
        <v>0.9</v>
      </c>
      <c r="G221" s="35">
        <v>6</v>
      </c>
      <c r="H221" s="59">
        <v>5.4</v>
      </c>
      <c r="I221" s="59">
        <v>5.59</v>
      </c>
      <c r="J221" s="35">
        <v>132</v>
      </c>
      <c r="K221" s="35" t="s">
        <v>137</v>
      </c>
      <c r="L221" s="35" t="s">
        <v>46</v>
      </c>
      <c r="M221" s="36" t="s">
        <v>81</v>
      </c>
      <c r="N221" s="36"/>
      <c r="O221" s="35">
        <v>40</v>
      </c>
      <c r="P221" s="75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1" s="648"/>
      <c r="R221" s="648"/>
      <c r="S221" s="648"/>
      <c r="T221" s="649"/>
      <c r="U221" s="37" t="s">
        <v>46</v>
      </c>
      <c r="V221" s="37" t="s">
        <v>46</v>
      </c>
      <c r="W221" s="38" t="s">
        <v>0</v>
      </c>
      <c r="X221" s="56">
        <v>27</v>
      </c>
      <c r="Y221" s="53">
        <f t="shared" si="27"/>
        <v>27</v>
      </c>
      <c r="Z221" s="39">
        <f>IFERROR(IF(Y221=0,"",ROUNDUP(Y221/H221,0)*0.00902),"")</f>
        <v>4.5100000000000001E-2</v>
      </c>
      <c r="AA221" s="65" t="s">
        <v>46</v>
      </c>
      <c r="AB221" s="66" t="s">
        <v>46</v>
      </c>
      <c r="AC221" s="287" t="s">
        <v>376</v>
      </c>
      <c r="AG221" s="75"/>
      <c r="AJ221" s="79" t="s">
        <v>46</v>
      </c>
      <c r="AK221" s="79">
        <v>0</v>
      </c>
      <c r="BB221" s="288" t="s">
        <v>67</v>
      </c>
      <c r="BM221" s="75">
        <f t="shared" si="28"/>
        <v>27.95</v>
      </c>
      <c r="BN221" s="75">
        <f t="shared" si="29"/>
        <v>27.95</v>
      </c>
      <c r="BO221" s="75">
        <f t="shared" si="30"/>
        <v>3.787878787878788E-2</v>
      </c>
      <c r="BP221" s="75">
        <f t="shared" si="31"/>
        <v>3.787878787878788E-2</v>
      </c>
    </row>
    <row r="222" spans="1:68" ht="27" customHeight="1" x14ac:dyDescent="0.25">
      <c r="A222" s="60" t="s">
        <v>377</v>
      </c>
      <c r="B222" s="60" t="s">
        <v>378</v>
      </c>
      <c r="C222" s="34">
        <v>4301031223</v>
      </c>
      <c r="D222" s="646">
        <v>4680115884014</v>
      </c>
      <c r="E222" s="646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86</v>
      </c>
      <c r="L222" s="35" t="s">
        <v>46</v>
      </c>
      <c r="M222" s="36" t="s">
        <v>81</v>
      </c>
      <c r="N222" s="36"/>
      <c r="O222" s="35">
        <v>40</v>
      </c>
      <c r="P222" s="75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2" s="648"/>
      <c r="R222" s="648"/>
      <c r="S222" s="648"/>
      <c r="T222" s="649"/>
      <c r="U222" s="37" t="s">
        <v>46</v>
      </c>
      <c r="V222" s="37" t="s">
        <v>46</v>
      </c>
      <c r="W222" s="38" t="s">
        <v>0</v>
      </c>
      <c r="X222" s="56">
        <v>7.2</v>
      </c>
      <c r="Y222" s="53">
        <f t="shared" si="27"/>
        <v>7.2</v>
      </c>
      <c r="Z222" s="39">
        <f>IFERROR(IF(Y222=0,"",ROUNDUP(Y222/H222,0)*0.00502),"")</f>
        <v>2.0080000000000001E-2</v>
      </c>
      <c r="AA222" s="65" t="s">
        <v>46</v>
      </c>
      <c r="AB222" s="66" t="s">
        <v>46</v>
      </c>
      <c r="AC222" s="289" t="s">
        <v>367</v>
      </c>
      <c r="AG222" s="75"/>
      <c r="AJ222" s="79" t="s">
        <v>46</v>
      </c>
      <c r="AK222" s="79">
        <v>0</v>
      </c>
      <c r="BB222" s="290" t="s">
        <v>67</v>
      </c>
      <c r="BM222" s="75">
        <f t="shared" si="28"/>
        <v>7.7199999999999989</v>
      </c>
      <c r="BN222" s="75">
        <f t="shared" si="29"/>
        <v>7.7199999999999989</v>
      </c>
      <c r="BO222" s="75">
        <f t="shared" si="30"/>
        <v>1.7094017094017096E-2</v>
      </c>
      <c r="BP222" s="75">
        <f t="shared" si="31"/>
        <v>1.7094017094017096E-2</v>
      </c>
    </row>
    <row r="223" spans="1:68" ht="27" customHeight="1" x14ac:dyDescent="0.25">
      <c r="A223" s="60" t="s">
        <v>379</v>
      </c>
      <c r="B223" s="60" t="s">
        <v>380</v>
      </c>
      <c r="C223" s="34">
        <v>4301031222</v>
      </c>
      <c r="D223" s="646">
        <v>4680115884007</v>
      </c>
      <c r="E223" s="646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86</v>
      </c>
      <c r="L223" s="35" t="s">
        <v>46</v>
      </c>
      <c r="M223" s="36" t="s">
        <v>81</v>
      </c>
      <c r="N223" s="36"/>
      <c r="O223" s="35">
        <v>40</v>
      </c>
      <c r="P223" s="75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7.2</v>
      </c>
      <c r="Y223" s="53">
        <f t="shared" si="27"/>
        <v>7.2</v>
      </c>
      <c r="Z223" s="39">
        <f>IFERROR(IF(Y223=0,"",ROUNDUP(Y223/H223,0)*0.00502),"")</f>
        <v>2.0080000000000001E-2</v>
      </c>
      <c r="AA223" s="65" t="s">
        <v>46</v>
      </c>
      <c r="AB223" s="66" t="s">
        <v>46</v>
      </c>
      <c r="AC223" s="291" t="s">
        <v>370</v>
      </c>
      <c r="AG223" s="75"/>
      <c r="AJ223" s="79" t="s">
        <v>46</v>
      </c>
      <c r="AK223" s="79">
        <v>0</v>
      </c>
      <c r="BB223" s="292" t="s">
        <v>67</v>
      </c>
      <c r="BM223" s="75">
        <f t="shared" si="28"/>
        <v>7.6</v>
      </c>
      <c r="BN223" s="75">
        <f t="shared" si="29"/>
        <v>7.6</v>
      </c>
      <c r="BO223" s="75">
        <f t="shared" si="30"/>
        <v>1.7094017094017096E-2</v>
      </c>
      <c r="BP223" s="75">
        <f t="shared" si="31"/>
        <v>1.7094017094017096E-2</v>
      </c>
    </row>
    <row r="224" spans="1:68" ht="27" customHeight="1" x14ac:dyDescent="0.25">
      <c r="A224" s="60" t="s">
        <v>381</v>
      </c>
      <c r="B224" s="60" t="s">
        <v>382</v>
      </c>
      <c r="C224" s="34">
        <v>4301031229</v>
      </c>
      <c r="D224" s="646">
        <v>4680115884038</v>
      </c>
      <c r="E224" s="646"/>
      <c r="F224" s="59">
        <v>0.3</v>
      </c>
      <c r="G224" s="35">
        <v>6</v>
      </c>
      <c r="H224" s="59">
        <v>1.8</v>
      </c>
      <c r="I224" s="59">
        <v>1.9</v>
      </c>
      <c r="J224" s="35">
        <v>234</v>
      </c>
      <c r="K224" s="35" t="s">
        <v>86</v>
      </c>
      <c r="L224" s="35" t="s">
        <v>46</v>
      </c>
      <c r="M224" s="36" t="s">
        <v>81</v>
      </c>
      <c r="N224" s="36"/>
      <c r="O224" s="35">
        <v>40</v>
      </c>
      <c r="P224" s="76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7.2</v>
      </c>
      <c r="Y224" s="53">
        <f t="shared" si="27"/>
        <v>7.2</v>
      </c>
      <c r="Z224" s="39">
        <f>IFERROR(IF(Y224=0,"",ROUNDUP(Y224/H224,0)*0.00502),"")</f>
        <v>2.0080000000000001E-2</v>
      </c>
      <c r="AA224" s="65" t="s">
        <v>46</v>
      </c>
      <c r="AB224" s="66" t="s">
        <v>46</v>
      </c>
      <c r="AC224" s="293" t="s">
        <v>373</v>
      </c>
      <c r="AG224" s="75"/>
      <c r="AJ224" s="79" t="s">
        <v>46</v>
      </c>
      <c r="AK224" s="79">
        <v>0</v>
      </c>
      <c r="BB224" s="294" t="s">
        <v>67</v>
      </c>
      <c r="BM224" s="75">
        <f t="shared" si="28"/>
        <v>7.6</v>
      </c>
      <c r="BN224" s="75">
        <f t="shared" si="29"/>
        <v>7.6</v>
      </c>
      <c r="BO224" s="75">
        <f t="shared" si="30"/>
        <v>1.7094017094017096E-2</v>
      </c>
      <c r="BP224" s="75">
        <f t="shared" si="31"/>
        <v>1.7094017094017096E-2</v>
      </c>
    </row>
    <row r="225" spans="1:68" ht="27" customHeight="1" x14ac:dyDescent="0.25">
      <c r="A225" s="60" t="s">
        <v>383</v>
      </c>
      <c r="B225" s="60" t="s">
        <v>384</v>
      </c>
      <c r="C225" s="34">
        <v>4301031225</v>
      </c>
      <c r="D225" s="646">
        <v>4680115884021</v>
      </c>
      <c r="E225" s="646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86</v>
      </c>
      <c r="L225" s="35" t="s">
        <v>46</v>
      </c>
      <c r="M225" s="36" t="s">
        <v>81</v>
      </c>
      <c r="N225" s="36"/>
      <c r="O225" s="35">
        <v>40</v>
      </c>
      <c r="P225" s="76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7.2</v>
      </c>
      <c r="Y225" s="53">
        <f t="shared" si="27"/>
        <v>7.2</v>
      </c>
      <c r="Z225" s="39">
        <f>IFERROR(IF(Y225=0,"",ROUNDUP(Y225/H225,0)*0.00502),"")</f>
        <v>2.0080000000000001E-2</v>
      </c>
      <c r="AA225" s="65" t="s">
        <v>46</v>
      </c>
      <c r="AB225" s="66" t="s">
        <v>46</v>
      </c>
      <c r="AC225" s="295" t="s">
        <v>376</v>
      </c>
      <c r="AG225" s="75"/>
      <c r="AJ225" s="79" t="s">
        <v>46</v>
      </c>
      <c r="AK225" s="79">
        <v>0</v>
      </c>
      <c r="BB225" s="296" t="s">
        <v>67</v>
      </c>
      <c r="BM225" s="75">
        <f t="shared" si="28"/>
        <v>7.6</v>
      </c>
      <c r="BN225" s="75">
        <f t="shared" si="29"/>
        <v>7.6</v>
      </c>
      <c r="BO225" s="75">
        <f t="shared" si="30"/>
        <v>1.7094017094017096E-2</v>
      </c>
      <c r="BP225" s="75">
        <f t="shared" si="31"/>
        <v>1.7094017094017096E-2</v>
      </c>
    </row>
    <row r="226" spans="1:68" x14ac:dyDescent="0.2">
      <c r="A226" s="654"/>
      <c r="B226" s="654"/>
      <c r="C226" s="654"/>
      <c r="D226" s="654"/>
      <c r="E226" s="654"/>
      <c r="F226" s="654"/>
      <c r="G226" s="654"/>
      <c r="H226" s="654"/>
      <c r="I226" s="654"/>
      <c r="J226" s="654"/>
      <c r="K226" s="654"/>
      <c r="L226" s="654"/>
      <c r="M226" s="654"/>
      <c r="N226" s="654"/>
      <c r="O226" s="655"/>
      <c r="P226" s="651" t="s">
        <v>40</v>
      </c>
      <c r="Q226" s="652"/>
      <c r="R226" s="652"/>
      <c r="S226" s="652"/>
      <c r="T226" s="652"/>
      <c r="U226" s="652"/>
      <c r="V226" s="653"/>
      <c r="W226" s="40" t="s">
        <v>39</v>
      </c>
      <c r="X226" s="41">
        <f>IFERROR(X218/H218,"0")+IFERROR(X219/H219,"0")+IFERROR(X220/H220,"0")+IFERROR(X221/H221,"0")+IFERROR(X222/H222,"0")+IFERROR(X223/H223,"0")+IFERROR(X224/H224,"0")+IFERROR(X225/H225,"0")</f>
        <v>36</v>
      </c>
      <c r="Y226" s="41">
        <f>IFERROR(Y218/H218,"0")+IFERROR(Y219/H219,"0")+IFERROR(Y220/H220,"0")+IFERROR(Y221/H221,"0")+IFERROR(Y222/H222,"0")+IFERROR(Y223/H223,"0")+IFERROR(Y224/H224,"0")+IFERROR(Y225/H225,"0")</f>
        <v>36</v>
      </c>
      <c r="Z226" s="41">
        <f>IFERROR(IF(Z218="",0,Z218),"0")+IFERROR(IF(Z219="",0,Z219),"0")+IFERROR(IF(Z220="",0,Z220),"0")+IFERROR(IF(Z221="",0,Z221),"0")+IFERROR(IF(Z222="",0,Z222),"0")+IFERROR(IF(Z223="",0,Z223),"0")+IFERROR(IF(Z224="",0,Z224),"0")+IFERROR(IF(Z225="",0,Z225),"0")</f>
        <v>0.26071999999999995</v>
      </c>
      <c r="AA226" s="64"/>
      <c r="AB226" s="64"/>
      <c r="AC226" s="64"/>
    </row>
    <row r="227" spans="1:68" x14ac:dyDescent="0.2">
      <c r="A227" s="654"/>
      <c r="B227" s="654"/>
      <c r="C227" s="654"/>
      <c r="D227" s="654"/>
      <c r="E227" s="654"/>
      <c r="F227" s="654"/>
      <c r="G227" s="654"/>
      <c r="H227" s="654"/>
      <c r="I227" s="654"/>
      <c r="J227" s="654"/>
      <c r="K227" s="654"/>
      <c r="L227" s="654"/>
      <c r="M227" s="654"/>
      <c r="N227" s="654"/>
      <c r="O227" s="655"/>
      <c r="P227" s="651" t="s">
        <v>40</v>
      </c>
      <c r="Q227" s="652"/>
      <c r="R227" s="652"/>
      <c r="S227" s="652"/>
      <c r="T227" s="652"/>
      <c r="U227" s="652"/>
      <c r="V227" s="653"/>
      <c r="W227" s="40" t="s">
        <v>0</v>
      </c>
      <c r="X227" s="41">
        <f>IFERROR(SUM(X218:X225),"0")</f>
        <v>136.79999999999998</v>
      </c>
      <c r="Y227" s="41">
        <f>IFERROR(SUM(Y218:Y225),"0")</f>
        <v>136.79999999999998</v>
      </c>
      <c r="Z227" s="40"/>
      <c r="AA227" s="64"/>
      <c r="AB227" s="64"/>
      <c r="AC227" s="64"/>
    </row>
    <row r="228" spans="1:68" ht="14.25" customHeight="1" x14ac:dyDescent="0.25">
      <c r="A228" s="645" t="s">
        <v>87</v>
      </c>
      <c r="B228" s="645"/>
      <c r="C228" s="645"/>
      <c r="D228" s="645"/>
      <c r="E228" s="645"/>
      <c r="F228" s="645"/>
      <c r="G228" s="645"/>
      <c r="H228" s="645"/>
      <c r="I228" s="645"/>
      <c r="J228" s="645"/>
      <c r="K228" s="645"/>
      <c r="L228" s="645"/>
      <c r="M228" s="645"/>
      <c r="N228" s="645"/>
      <c r="O228" s="645"/>
      <c r="P228" s="645"/>
      <c r="Q228" s="645"/>
      <c r="R228" s="645"/>
      <c r="S228" s="645"/>
      <c r="T228" s="645"/>
      <c r="U228" s="645"/>
      <c r="V228" s="645"/>
      <c r="W228" s="645"/>
      <c r="X228" s="645"/>
      <c r="Y228" s="645"/>
      <c r="Z228" s="645"/>
      <c r="AA228" s="63"/>
      <c r="AB228" s="63"/>
      <c r="AC228" s="63"/>
    </row>
    <row r="229" spans="1:68" ht="37.5" customHeight="1" x14ac:dyDescent="0.25">
      <c r="A229" s="60" t="s">
        <v>385</v>
      </c>
      <c r="B229" s="60" t="s">
        <v>386</v>
      </c>
      <c r="C229" s="34">
        <v>4301051408</v>
      </c>
      <c r="D229" s="646">
        <v>4680115881594</v>
      </c>
      <c r="E229" s="646"/>
      <c r="F229" s="59">
        <v>1.35</v>
      </c>
      <c r="G229" s="35">
        <v>6</v>
      </c>
      <c r="H229" s="59">
        <v>8.1</v>
      </c>
      <c r="I229" s="59">
        <v>8.5939999999999994</v>
      </c>
      <c r="J229" s="35">
        <v>64</v>
      </c>
      <c r="K229" s="35" t="s">
        <v>130</v>
      </c>
      <c r="L229" s="35" t="s">
        <v>46</v>
      </c>
      <c r="M229" s="36" t="s">
        <v>91</v>
      </c>
      <c r="N229" s="36"/>
      <c r="O229" s="35">
        <v>40</v>
      </c>
      <c r="P229" s="76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16.2</v>
      </c>
      <c r="Y229" s="53">
        <f t="shared" ref="Y229:Y238" si="32">IFERROR(IF(X229="",0,CEILING((X229/$H229),1)*$H229),"")</f>
        <v>16.2</v>
      </c>
      <c r="Z229" s="39">
        <f>IFERROR(IF(Y229=0,"",ROUNDUP(Y229/H229,0)*0.01898),"")</f>
        <v>3.7960000000000001E-2</v>
      </c>
      <c r="AA229" s="65" t="s">
        <v>46</v>
      </c>
      <c r="AB229" s="66" t="s">
        <v>46</v>
      </c>
      <c r="AC229" s="297" t="s">
        <v>387</v>
      </c>
      <c r="AG229" s="75"/>
      <c r="AJ229" s="79" t="s">
        <v>46</v>
      </c>
      <c r="AK229" s="79">
        <v>0</v>
      </c>
      <c r="BB229" s="298" t="s">
        <v>67</v>
      </c>
      <c r="BM229" s="75">
        <f t="shared" ref="BM229:BM238" si="33">IFERROR(X229*I229/H229,"0")</f>
        <v>17.187999999999999</v>
      </c>
      <c r="BN229" s="75">
        <f t="shared" ref="BN229:BN238" si="34">IFERROR(Y229*I229/H229,"0")</f>
        <v>17.187999999999999</v>
      </c>
      <c r="BO229" s="75">
        <f t="shared" ref="BO229:BO238" si="35">IFERROR(1/J229*(X229/H229),"0")</f>
        <v>3.125E-2</v>
      </c>
      <c r="BP229" s="75">
        <f t="shared" ref="BP229:BP238" si="36">IFERROR(1/J229*(Y229/H229),"0")</f>
        <v>3.125E-2</v>
      </c>
    </row>
    <row r="230" spans="1:68" ht="37.5" customHeight="1" x14ac:dyDescent="0.25">
      <c r="A230" s="60" t="s">
        <v>388</v>
      </c>
      <c r="B230" s="60" t="s">
        <v>389</v>
      </c>
      <c r="C230" s="34">
        <v>4301051411</v>
      </c>
      <c r="D230" s="646">
        <v>4680115881617</v>
      </c>
      <c r="E230" s="646"/>
      <c r="F230" s="59">
        <v>1.35</v>
      </c>
      <c r="G230" s="35">
        <v>6</v>
      </c>
      <c r="H230" s="59">
        <v>8.1</v>
      </c>
      <c r="I230" s="59">
        <v>8.5760000000000005</v>
      </c>
      <c r="J230" s="35">
        <v>64</v>
      </c>
      <c r="K230" s="35" t="s">
        <v>130</v>
      </c>
      <c r="L230" s="35" t="s">
        <v>46</v>
      </c>
      <c r="M230" s="36" t="s">
        <v>91</v>
      </c>
      <c r="N230" s="36"/>
      <c r="O230" s="35">
        <v>40</v>
      </c>
      <c r="P230" s="76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16.2</v>
      </c>
      <c r="Y230" s="53">
        <f t="shared" si="32"/>
        <v>16.2</v>
      </c>
      <c r="Z230" s="39">
        <f>IFERROR(IF(Y230=0,"",ROUNDUP(Y230/H230,0)*0.01898),"")</f>
        <v>3.7960000000000001E-2</v>
      </c>
      <c r="AA230" s="65" t="s">
        <v>46</v>
      </c>
      <c r="AB230" s="66" t="s">
        <v>46</v>
      </c>
      <c r="AC230" s="299" t="s">
        <v>390</v>
      </c>
      <c r="AG230" s="75"/>
      <c r="AJ230" s="79" t="s">
        <v>46</v>
      </c>
      <c r="AK230" s="79">
        <v>0</v>
      </c>
      <c r="BB230" s="300" t="s">
        <v>67</v>
      </c>
      <c r="BM230" s="75">
        <f t="shared" si="33"/>
        <v>17.152000000000001</v>
      </c>
      <c r="BN230" s="75">
        <f t="shared" si="34"/>
        <v>17.152000000000001</v>
      </c>
      <c r="BO230" s="75">
        <f t="shared" si="35"/>
        <v>3.125E-2</v>
      </c>
      <c r="BP230" s="75">
        <f t="shared" si="36"/>
        <v>3.125E-2</v>
      </c>
    </row>
    <row r="231" spans="1:68" ht="27" customHeight="1" x14ac:dyDescent="0.25">
      <c r="A231" s="60" t="s">
        <v>391</v>
      </c>
      <c r="B231" s="60" t="s">
        <v>392</v>
      </c>
      <c r="C231" s="34">
        <v>4301051656</v>
      </c>
      <c r="D231" s="646">
        <v>4680115880573</v>
      </c>
      <c r="E231" s="646"/>
      <c r="F231" s="59">
        <v>1.45</v>
      </c>
      <c r="G231" s="35">
        <v>6</v>
      </c>
      <c r="H231" s="59">
        <v>8.6999999999999993</v>
      </c>
      <c r="I231" s="59">
        <v>9.1940000000000008</v>
      </c>
      <c r="J231" s="35">
        <v>64</v>
      </c>
      <c r="K231" s="35" t="s">
        <v>130</v>
      </c>
      <c r="L231" s="35" t="s">
        <v>46</v>
      </c>
      <c r="M231" s="36" t="s">
        <v>91</v>
      </c>
      <c r="N231" s="36"/>
      <c r="O231" s="35">
        <v>45</v>
      </c>
      <c r="P231" s="76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IFERROR(IF(Y231=0,"",ROUNDUP(Y231/H231,0)*0.01898),"")</f>
        <v/>
      </c>
      <c r="AA231" s="65" t="s">
        <v>46</v>
      </c>
      <c r="AB231" s="66" t="s">
        <v>46</v>
      </c>
      <c r="AC231" s="301" t="s">
        <v>393</v>
      </c>
      <c r="AG231" s="75"/>
      <c r="AJ231" s="79" t="s">
        <v>46</v>
      </c>
      <c r="AK231" s="79">
        <v>0</v>
      </c>
      <c r="BB231" s="302" t="s">
        <v>67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37.5" customHeight="1" x14ac:dyDescent="0.25">
      <c r="A232" s="60" t="s">
        <v>394</v>
      </c>
      <c r="B232" s="60" t="s">
        <v>395</v>
      </c>
      <c r="C232" s="34">
        <v>4301051407</v>
      </c>
      <c r="D232" s="646">
        <v>4680115882195</v>
      </c>
      <c r="E232" s="646"/>
      <c r="F232" s="59">
        <v>0.4</v>
      </c>
      <c r="G232" s="35">
        <v>6</v>
      </c>
      <c r="H232" s="59">
        <v>2.4</v>
      </c>
      <c r="I232" s="59">
        <v>2.67</v>
      </c>
      <c r="J232" s="35">
        <v>182</v>
      </c>
      <c r="K232" s="35" t="s">
        <v>82</v>
      </c>
      <c r="L232" s="35" t="s">
        <v>46</v>
      </c>
      <c r="M232" s="36" t="s">
        <v>91</v>
      </c>
      <c r="N232" s="36"/>
      <c r="O232" s="35">
        <v>40</v>
      </c>
      <c r="P232" s="76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4.8</v>
      </c>
      <c r="Y232" s="53">
        <f t="shared" si="32"/>
        <v>4.8</v>
      </c>
      <c r="Z232" s="39">
        <f t="shared" ref="Z232:Z238" si="37">IFERROR(IF(Y232=0,"",ROUNDUP(Y232/H232,0)*0.00651),"")</f>
        <v>1.302E-2</v>
      </c>
      <c r="AA232" s="65" t="s">
        <v>46</v>
      </c>
      <c r="AB232" s="66" t="s">
        <v>46</v>
      </c>
      <c r="AC232" s="303" t="s">
        <v>387</v>
      </c>
      <c r="AG232" s="75"/>
      <c r="AJ232" s="79" t="s">
        <v>46</v>
      </c>
      <c r="AK232" s="79">
        <v>0</v>
      </c>
      <c r="BB232" s="304" t="s">
        <v>67</v>
      </c>
      <c r="BM232" s="75">
        <f t="shared" si="33"/>
        <v>5.34</v>
      </c>
      <c r="BN232" s="75">
        <f t="shared" si="34"/>
        <v>5.34</v>
      </c>
      <c r="BO232" s="75">
        <f t="shared" si="35"/>
        <v>1.098901098901099E-2</v>
      </c>
      <c r="BP232" s="75">
        <f t="shared" si="36"/>
        <v>1.098901098901099E-2</v>
      </c>
    </row>
    <row r="233" spans="1:68" ht="27" customHeight="1" x14ac:dyDescent="0.25">
      <c r="A233" s="60" t="s">
        <v>396</v>
      </c>
      <c r="B233" s="60" t="s">
        <v>397</v>
      </c>
      <c r="C233" s="34">
        <v>4301051752</v>
      </c>
      <c r="D233" s="646">
        <v>4680115882607</v>
      </c>
      <c r="E233" s="646"/>
      <c r="F233" s="59">
        <v>0.3</v>
      </c>
      <c r="G233" s="35">
        <v>6</v>
      </c>
      <c r="H233" s="59">
        <v>1.8</v>
      </c>
      <c r="I233" s="59">
        <v>2.052</v>
      </c>
      <c r="J233" s="35">
        <v>182</v>
      </c>
      <c r="K233" s="35" t="s">
        <v>82</v>
      </c>
      <c r="L233" s="35" t="s">
        <v>46</v>
      </c>
      <c r="M233" s="36" t="s">
        <v>97</v>
      </c>
      <c r="N233" s="36"/>
      <c r="O233" s="35">
        <v>45</v>
      </c>
      <c r="P233" s="76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2"/>
        <v>0</v>
      </c>
      <c r="Z233" s="39" t="str">
        <f t="shared" si="37"/>
        <v/>
      </c>
      <c r="AA233" s="65" t="s">
        <v>46</v>
      </c>
      <c r="AB233" s="66" t="s">
        <v>46</v>
      </c>
      <c r="AC233" s="305" t="s">
        <v>393</v>
      </c>
      <c r="AG233" s="75"/>
      <c r="AJ233" s="79" t="s">
        <v>46</v>
      </c>
      <c r="AK233" s="79">
        <v>0</v>
      </c>
      <c r="BB233" s="306" t="s">
        <v>67</v>
      </c>
      <c r="BM233" s="75">
        <f t="shared" si="33"/>
        <v>0</v>
      </c>
      <c r="BN233" s="75">
        <f t="shared" si="34"/>
        <v>0</v>
      </c>
      <c r="BO233" s="75">
        <f t="shared" si="35"/>
        <v>0</v>
      </c>
      <c r="BP233" s="75">
        <f t="shared" si="36"/>
        <v>0</v>
      </c>
    </row>
    <row r="234" spans="1:68" ht="27" customHeight="1" x14ac:dyDescent="0.25">
      <c r="A234" s="60" t="s">
        <v>398</v>
      </c>
      <c r="B234" s="60" t="s">
        <v>399</v>
      </c>
      <c r="C234" s="34">
        <v>4301051666</v>
      </c>
      <c r="D234" s="646">
        <v>4680115880092</v>
      </c>
      <c r="E234" s="646"/>
      <c r="F234" s="59">
        <v>0.4</v>
      </c>
      <c r="G234" s="35">
        <v>6</v>
      </c>
      <c r="H234" s="59">
        <v>2.4</v>
      </c>
      <c r="I234" s="59">
        <v>2.6520000000000001</v>
      </c>
      <c r="J234" s="35">
        <v>182</v>
      </c>
      <c r="K234" s="35" t="s">
        <v>82</v>
      </c>
      <c r="L234" s="35" t="s">
        <v>46</v>
      </c>
      <c r="M234" s="36" t="s">
        <v>91</v>
      </c>
      <c r="N234" s="36"/>
      <c r="O234" s="35">
        <v>45</v>
      </c>
      <c r="P234" s="76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4.8</v>
      </c>
      <c r="Y234" s="53">
        <f t="shared" si="32"/>
        <v>4.8</v>
      </c>
      <c r="Z234" s="39">
        <f t="shared" si="37"/>
        <v>1.302E-2</v>
      </c>
      <c r="AA234" s="65" t="s">
        <v>46</v>
      </c>
      <c r="AB234" s="66" t="s">
        <v>46</v>
      </c>
      <c r="AC234" s="307" t="s">
        <v>393</v>
      </c>
      <c r="AG234" s="75"/>
      <c r="AJ234" s="79" t="s">
        <v>46</v>
      </c>
      <c r="AK234" s="79">
        <v>0</v>
      </c>
      <c r="BB234" s="308" t="s">
        <v>67</v>
      </c>
      <c r="BM234" s="75">
        <f t="shared" si="33"/>
        <v>5.3040000000000003</v>
      </c>
      <c r="BN234" s="75">
        <f t="shared" si="34"/>
        <v>5.3040000000000003</v>
      </c>
      <c r="BO234" s="75">
        <f t="shared" si="35"/>
        <v>1.098901098901099E-2</v>
      </c>
      <c r="BP234" s="75">
        <f t="shared" si="36"/>
        <v>1.098901098901099E-2</v>
      </c>
    </row>
    <row r="235" spans="1:68" ht="27" customHeight="1" x14ac:dyDescent="0.25">
      <c r="A235" s="60" t="s">
        <v>400</v>
      </c>
      <c r="B235" s="60" t="s">
        <v>401</v>
      </c>
      <c r="C235" s="34">
        <v>4301051668</v>
      </c>
      <c r="D235" s="646">
        <v>4680115880221</v>
      </c>
      <c r="E235" s="646"/>
      <c r="F235" s="59">
        <v>0.4</v>
      </c>
      <c r="G235" s="35">
        <v>6</v>
      </c>
      <c r="H235" s="59">
        <v>2.4</v>
      </c>
      <c r="I235" s="59">
        <v>2.6520000000000001</v>
      </c>
      <c r="J235" s="35">
        <v>182</v>
      </c>
      <c r="K235" s="35" t="s">
        <v>82</v>
      </c>
      <c r="L235" s="35" t="s">
        <v>46</v>
      </c>
      <c r="M235" s="36" t="s">
        <v>91</v>
      </c>
      <c r="N235" s="36"/>
      <c r="O235" s="35">
        <v>45</v>
      </c>
      <c r="P235" s="7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4.8</v>
      </c>
      <c r="Y235" s="53">
        <f t="shared" si="32"/>
        <v>4.8</v>
      </c>
      <c r="Z235" s="39">
        <f t="shared" si="37"/>
        <v>1.302E-2</v>
      </c>
      <c r="AA235" s="65" t="s">
        <v>46</v>
      </c>
      <c r="AB235" s="66" t="s">
        <v>46</v>
      </c>
      <c r="AC235" s="309" t="s">
        <v>393</v>
      </c>
      <c r="AG235" s="75"/>
      <c r="AJ235" s="79" t="s">
        <v>46</v>
      </c>
      <c r="AK235" s="79">
        <v>0</v>
      </c>
      <c r="BB235" s="310" t="s">
        <v>67</v>
      </c>
      <c r="BM235" s="75">
        <f t="shared" si="33"/>
        <v>5.3040000000000003</v>
      </c>
      <c r="BN235" s="75">
        <f t="shared" si="34"/>
        <v>5.3040000000000003</v>
      </c>
      <c r="BO235" s="75">
        <f t="shared" si="35"/>
        <v>1.098901098901099E-2</v>
      </c>
      <c r="BP235" s="75">
        <f t="shared" si="36"/>
        <v>1.098901098901099E-2</v>
      </c>
    </row>
    <row r="236" spans="1:68" ht="27" customHeight="1" x14ac:dyDescent="0.25">
      <c r="A236" s="60" t="s">
        <v>402</v>
      </c>
      <c r="B236" s="60" t="s">
        <v>403</v>
      </c>
      <c r="C236" s="34">
        <v>4301051945</v>
      </c>
      <c r="D236" s="646">
        <v>4680115880504</v>
      </c>
      <c r="E236" s="646"/>
      <c r="F236" s="59">
        <v>0.4</v>
      </c>
      <c r="G236" s="35">
        <v>6</v>
      </c>
      <c r="H236" s="59">
        <v>2.4</v>
      </c>
      <c r="I236" s="59">
        <v>2.6520000000000001</v>
      </c>
      <c r="J236" s="35">
        <v>182</v>
      </c>
      <c r="K236" s="35" t="s">
        <v>82</v>
      </c>
      <c r="L236" s="35" t="s">
        <v>46</v>
      </c>
      <c r="M236" s="36" t="s">
        <v>97</v>
      </c>
      <c r="N236" s="36"/>
      <c r="O236" s="35">
        <v>40</v>
      </c>
      <c r="P236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4.8</v>
      </c>
      <c r="Y236" s="53">
        <f t="shared" si="32"/>
        <v>4.8</v>
      </c>
      <c r="Z236" s="39">
        <f t="shared" si="37"/>
        <v>1.302E-2</v>
      </c>
      <c r="AA236" s="65" t="s">
        <v>46</v>
      </c>
      <c r="AB236" s="66" t="s">
        <v>46</v>
      </c>
      <c r="AC236" s="311" t="s">
        <v>404</v>
      </c>
      <c r="AG236" s="75"/>
      <c r="AJ236" s="79" t="s">
        <v>46</v>
      </c>
      <c r="AK236" s="79">
        <v>0</v>
      </c>
      <c r="BB236" s="312" t="s">
        <v>67</v>
      </c>
      <c r="BM236" s="75">
        <f t="shared" si="33"/>
        <v>5.3040000000000003</v>
      </c>
      <c r="BN236" s="75">
        <f t="shared" si="34"/>
        <v>5.3040000000000003</v>
      </c>
      <c r="BO236" s="75">
        <f t="shared" si="35"/>
        <v>1.098901098901099E-2</v>
      </c>
      <c r="BP236" s="75">
        <f t="shared" si="36"/>
        <v>1.098901098901099E-2</v>
      </c>
    </row>
    <row r="237" spans="1:68" ht="27" customHeight="1" x14ac:dyDescent="0.25">
      <c r="A237" s="60" t="s">
        <v>405</v>
      </c>
      <c r="B237" s="60" t="s">
        <v>406</v>
      </c>
      <c r="C237" s="34">
        <v>4301051410</v>
      </c>
      <c r="D237" s="646">
        <v>4680115882164</v>
      </c>
      <c r="E237" s="646"/>
      <c r="F237" s="59">
        <v>0.4</v>
      </c>
      <c r="G237" s="35">
        <v>6</v>
      </c>
      <c r="H237" s="59">
        <v>2.4</v>
      </c>
      <c r="I237" s="59">
        <v>2.6579999999999999</v>
      </c>
      <c r="J237" s="35">
        <v>182</v>
      </c>
      <c r="K237" s="35" t="s">
        <v>82</v>
      </c>
      <c r="L237" s="35" t="s">
        <v>46</v>
      </c>
      <c r="M237" s="36" t="s">
        <v>91</v>
      </c>
      <c r="N237" s="36"/>
      <c r="O237" s="35">
        <v>40</v>
      </c>
      <c r="P237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7" s="648"/>
      <c r="R237" s="648"/>
      <c r="S237" s="648"/>
      <c r="T237" s="649"/>
      <c r="U237" s="37" t="s">
        <v>46</v>
      </c>
      <c r="V237" s="37" t="s">
        <v>46</v>
      </c>
      <c r="W237" s="38" t="s">
        <v>0</v>
      </c>
      <c r="X237" s="56">
        <v>4.8</v>
      </c>
      <c r="Y237" s="53">
        <f t="shared" si="32"/>
        <v>4.8</v>
      </c>
      <c r="Z237" s="39">
        <f t="shared" si="37"/>
        <v>1.302E-2</v>
      </c>
      <c r="AA237" s="65" t="s">
        <v>46</v>
      </c>
      <c r="AB237" s="66" t="s">
        <v>46</v>
      </c>
      <c r="AC237" s="313" t="s">
        <v>407</v>
      </c>
      <c r="AG237" s="75"/>
      <c r="AJ237" s="79" t="s">
        <v>46</v>
      </c>
      <c r="AK237" s="79">
        <v>0</v>
      </c>
      <c r="BB237" s="314" t="s">
        <v>67</v>
      </c>
      <c r="BM237" s="75">
        <f t="shared" si="33"/>
        <v>5.3159999999999998</v>
      </c>
      <c r="BN237" s="75">
        <f t="shared" si="34"/>
        <v>5.3159999999999998</v>
      </c>
      <c r="BO237" s="75">
        <f t="shared" si="35"/>
        <v>1.098901098901099E-2</v>
      </c>
      <c r="BP237" s="75">
        <f t="shared" si="36"/>
        <v>1.098901098901099E-2</v>
      </c>
    </row>
    <row r="238" spans="1:68" ht="27" customHeight="1" x14ac:dyDescent="0.25">
      <c r="A238" s="60" t="s">
        <v>408</v>
      </c>
      <c r="B238" s="60" t="s">
        <v>409</v>
      </c>
      <c r="C238" s="34">
        <v>4301052180</v>
      </c>
      <c r="D238" s="646">
        <v>4680115888340</v>
      </c>
      <c r="E238" s="646"/>
      <c r="F238" s="59">
        <v>0.4</v>
      </c>
      <c r="G238" s="35">
        <v>6</v>
      </c>
      <c r="H238" s="59">
        <v>2.4</v>
      </c>
      <c r="I238" s="59">
        <v>2.6520000000000001</v>
      </c>
      <c r="J238" s="35">
        <v>182</v>
      </c>
      <c r="K238" s="35" t="s">
        <v>82</v>
      </c>
      <c r="L238" s="35" t="s">
        <v>46</v>
      </c>
      <c r="M238" s="36" t="s">
        <v>91</v>
      </c>
      <c r="N238" s="36"/>
      <c r="O238" s="35">
        <v>45</v>
      </c>
      <c r="P238" s="77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38" s="648"/>
      <c r="R238" s="648"/>
      <c r="S238" s="648"/>
      <c r="T238" s="649"/>
      <c r="U238" s="37" t="s">
        <v>46</v>
      </c>
      <c r="V238" s="37" t="s">
        <v>46</v>
      </c>
      <c r="W238" s="38" t="s">
        <v>0</v>
      </c>
      <c r="X238" s="56">
        <v>4.8</v>
      </c>
      <c r="Y238" s="53">
        <f t="shared" si="32"/>
        <v>4.8</v>
      </c>
      <c r="Z238" s="39">
        <f t="shared" si="37"/>
        <v>1.302E-2</v>
      </c>
      <c r="AA238" s="65" t="s">
        <v>46</v>
      </c>
      <c r="AB238" s="66" t="s">
        <v>46</v>
      </c>
      <c r="AC238" s="315" t="s">
        <v>410</v>
      </c>
      <c r="AG238" s="75"/>
      <c r="AJ238" s="79" t="s">
        <v>46</v>
      </c>
      <c r="AK238" s="79">
        <v>0</v>
      </c>
      <c r="BB238" s="316" t="s">
        <v>67</v>
      </c>
      <c r="BM238" s="75">
        <f t="shared" si="33"/>
        <v>5.3040000000000003</v>
      </c>
      <c r="BN238" s="75">
        <f t="shared" si="34"/>
        <v>5.3040000000000003</v>
      </c>
      <c r="BO238" s="75">
        <f t="shared" si="35"/>
        <v>1.098901098901099E-2</v>
      </c>
      <c r="BP238" s="75">
        <f t="shared" si="36"/>
        <v>1.098901098901099E-2</v>
      </c>
    </row>
    <row r="239" spans="1:68" x14ac:dyDescent="0.2">
      <c r="A239" s="654"/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5"/>
      <c r="P239" s="651" t="s">
        <v>40</v>
      </c>
      <c r="Q239" s="652"/>
      <c r="R239" s="652"/>
      <c r="S239" s="652"/>
      <c r="T239" s="652"/>
      <c r="U239" s="652"/>
      <c r="V239" s="653"/>
      <c r="W239" s="40" t="s">
        <v>39</v>
      </c>
      <c r="X239" s="41">
        <f>IFERROR(X229/H229,"0")+IFERROR(X230/H230,"0")+IFERROR(X231/H231,"0")+IFERROR(X232/H232,"0")+IFERROR(X233/H233,"0")+IFERROR(X234/H234,"0")+IFERROR(X235/H235,"0")+IFERROR(X236/H236,"0")+IFERROR(X237/H237,"0")+IFERROR(X238/H238,"0")</f>
        <v>16</v>
      </c>
      <c r="Y239" s="41">
        <f>IFERROR(Y229/H229,"0")+IFERROR(Y230/H230,"0")+IFERROR(Y231/H231,"0")+IFERROR(Y232/H232,"0")+IFERROR(Y233/H233,"0")+IFERROR(Y234/H234,"0")+IFERROR(Y235/H235,"0")+IFERROR(Y236/H236,"0")+IFERROR(Y237/H237,"0")+IFERROR(Y238/H238,"0")</f>
        <v>16</v>
      </c>
      <c r="Z239" s="41">
        <f>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0.15404000000000001</v>
      </c>
      <c r="AA239" s="64"/>
      <c r="AB239" s="64"/>
      <c r="AC239" s="64"/>
    </row>
    <row r="240" spans="1:68" x14ac:dyDescent="0.2">
      <c r="A240" s="654"/>
      <c r="B240" s="654"/>
      <c r="C240" s="654"/>
      <c r="D240" s="654"/>
      <c r="E240" s="654"/>
      <c r="F240" s="654"/>
      <c r="G240" s="654"/>
      <c r="H240" s="654"/>
      <c r="I240" s="654"/>
      <c r="J240" s="654"/>
      <c r="K240" s="654"/>
      <c r="L240" s="654"/>
      <c r="M240" s="654"/>
      <c r="N240" s="654"/>
      <c r="O240" s="655"/>
      <c r="P240" s="651" t="s">
        <v>40</v>
      </c>
      <c r="Q240" s="652"/>
      <c r="R240" s="652"/>
      <c r="S240" s="652"/>
      <c r="T240" s="652"/>
      <c r="U240" s="652"/>
      <c r="V240" s="653"/>
      <c r="W240" s="40" t="s">
        <v>0</v>
      </c>
      <c r="X240" s="41">
        <f>IFERROR(SUM(X229:X238),"0")</f>
        <v>61.199999999999982</v>
      </c>
      <c r="Y240" s="41">
        <f>IFERROR(SUM(Y229:Y238),"0")</f>
        <v>61.199999999999982</v>
      </c>
      <c r="Z240" s="40"/>
      <c r="AA240" s="64"/>
      <c r="AB240" s="64"/>
      <c r="AC240" s="64"/>
    </row>
    <row r="241" spans="1:68" ht="14.25" customHeight="1" x14ac:dyDescent="0.25">
      <c r="A241" s="645" t="s">
        <v>176</v>
      </c>
      <c r="B241" s="645"/>
      <c r="C241" s="645"/>
      <c r="D241" s="645"/>
      <c r="E241" s="645"/>
      <c r="F241" s="645"/>
      <c r="G241" s="645"/>
      <c r="H241" s="645"/>
      <c r="I241" s="645"/>
      <c r="J241" s="645"/>
      <c r="K241" s="645"/>
      <c r="L241" s="645"/>
      <c r="M241" s="645"/>
      <c r="N241" s="645"/>
      <c r="O241" s="645"/>
      <c r="P241" s="645"/>
      <c r="Q241" s="645"/>
      <c r="R241" s="645"/>
      <c r="S241" s="645"/>
      <c r="T241" s="645"/>
      <c r="U241" s="645"/>
      <c r="V241" s="645"/>
      <c r="W241" s="645"/>
      <c r="X241" s="645"/>
      <c r="Y241" s="645"/>
      <c r="Z241" s="645"/>
      <c r="AA241" s="63"/>
      <c r="AB241" s="63"/>
      <c r="AC241" s="63"/>
    </row>
    <row r="242" spans="1:68" ht="27" customHeight="1" x14ac:dyDescent="0.25">
      <c r="A242" s="60" t="s">
        <v>411</v>
      </c>
      <c r="B242" s="60" t="s">
        <v>412</v>
      </c>
      <c r="C242" s="34">
        <v>4301060463</v>
      </c>
      <c r="D242" s="646">
        <v>4680115880818</v>
      </c>
      <c r="E242" s="646"/>
      <c r="F242" s="59">
        <v>0.4</v>
      </c>
      <c r="G242" s="35">
        <v>6</v>
      </c>
      <c r="H242" s="59">
        <v>2.4</v>
      </c>
      <c r="I242" s="59">
        <v>2.6520000000000001</v>
      </c>
      <c r="J242" s="35">
        <v>182</v>
      </c>
      <c r="K242" s="35" t="s">
        <v>82</v>
      </c>
      <c r="L242" s="35" t="s">
        <v>46</v>
      </c>
      <c r="M242" s="36" t="s">
        <v>97</v>
      </c>
      <c r="N242" s="36"/>
      <c r="O242" s="35">
        <v>40</v>
      </c>
      <c r="P242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4.8</v>
      </c>
      <c r="Y242" s="53">
        <f>IFERROR(IF(X242="",0,CEILING((X242/$H242),1)*$H242),"")</f>
        <v>4.8</v>
      </c>
      <c r="Z242" s="39">
        <f>IFERROR(IF(Y242=0,"",ROUNDUP(Y242/H242,0)*0.00651),"")</f>
        <v>1.302E-2</v>
      </c>
      <c r="AA242" s="65" t="s">
        <v>46</v>
      </c>
      <c r="AB242" s="66" t="s">
        <v>46</v>
      </c>
      <c r="AC242" s="317" t="s">
        <v>413</v>
      </c>
      <c r="AG242" s="75"/>
      <c r="AJ242" s="79" t="s">
        <v>46</v>
      </c>
      <c r="AK242" s="79">
        <v>0</v>
      </c>
      <c r="BB242" s="318" t="s">
        <v>67</v>
      </c>
      <c r="BM242" s="75">
        <f>IFERROR(X242*I242/H242,"0")</f>
        <v>5.3040000000000003</v>
      </c>
      <c r="BN242" s="75">
        <f>IFERROR(Y242*I242/H242,"0")</f>
        <v>5.3040000000000003</v>
      </c>
      <c r="BO242" s="75">
        <f>IFERROR(1/J242*(X242/H242),"0")</f>
        <v>1.098901098901099E-2</v>
      </c>
      <c r="BP242" s="75">
        <f>IFERROR(1/J242*(Y242/H242),"0")</f>
        <v>1.098901098901099E-2</v>
      </c>
    </row>
    <row r="243" spans="1:68" ht="37.5" customHeight="1" x14ac:dyDescent="0.25">
      <c r="A243" s="60" t="s">
        <v>414</v>
      </c>
      <c r="B243" s="60" t="s">
        <v>415</v>
      </c>
      <c r="C243" s="34">
        <v>4301060389</v>
      </c>
      <c r="D243" s="646">
        <v>4680115880801</v>
      </c>
      <c r="E243" s="646"/>
      <c r="F243" s="59">
        <v>0.4</v>
      </c>
      <c r="G243" s="35">
        <v>6</v>
      </c>
      <c r="H243" s="59">
        <v>2.4</v>
      </c>
      <c r="I243" s="59">
        <v>2.6520000000000001</v>
      </c>
      <c r="J243" s="35">
        <v>182</v>
      </c>
      <c r="K243" s="35" t="s">
        <v>82</v>
      </c>
      <c r="L243" s="35" t="s">
        <v>46</v>
      </c>
      <c r="M243" s="36" t="s">
        <v>91</v>
      </c>
      <c r="N243" s="36"/>
      <c r="O243" s="35">
        <v>40</v>
      </c>
      <c r="P243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IFERROR(IF(Y243=0,"",ROUNDUP(Y243/H243,0)*0.00651),"")</f>
        <v/>
      </c>
      <c r="AA243" s="65" t="s">
        <v>46</v>
      </c>
      <c r="AB243" s="66" t="s">
        <v>46</v>
      </c>
      <c r="AC243" s="319" t="s">
        <v>416</v>
      </c>
      <c r="AG243" s="75"/>
      <c r="AJ243" s="79" t="s">
        <v>46</v>
      </c>
      <c r="AK243" s="79">
        <v>0</v>
      </c>
      <c r="BB243" s="320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x14ac:dyDescent="0.2">
      <c r="A244" s="654"/>
      <c r="B244" s="654"/>
      <c r="C244" s="654"/>
      <c r="D244" s="654"/>
      <c r="E244" s="654"/>
      <c r="F244" s="654"/>
      <c r="G244" s="654"/>
      <c r="H244" s="654"/>
      <c r="I244" s="654"/>
      <c r="J244" s="654"/>
      <c r="K244" s="654"/>
      <c r="L244" s="654"/>
      <c r="M244" s="654"/>
      <c r="N244" s="654"/>
      <c r="O244" s="655"/>
      <c r="P244" s="651" t="s">
        <v>40</v>
      </c>
      <c r="Q244" s="652"/>
      <c r="R244" s="652"/>
      <c r="S244" s="652"/>
      <c r="T244" s="652"/>
      <c r="U244" s="652"/>
      <c r="V244" s="653"/>
      <c r="W244" s="40" t="s">
        <v>39</v>
      </c>
      <c r="X244" s="41">
        <f>IFERROR(X242/H242,"0")+IFERROR(X243/H243,"0")</f>
        <v>2</v>
      </c>
      <c r="Y244" s="41">
        <f>IFERROR(Y242/H242,"0")+IFERROR(Y243/H243,"0")</f>
        <v>2</v>
      </c>
      <c r="Z244" s="41">
        <f>IFERROR(IF(Z242="",0,Z242),"0")+IFERROR(IF(Z243="",0,Z243),"0")</f>
        <v>1.302E-2</v>
      </c>
      <c r="AA244" s="64"/>
      <c r="AB244" s="64"/>
      <c r="AC244" s="64"/>
    </row>
    <row r="245" spans="1:68" x14ac:dyDescent="0.2">
      <c r="A245" s="654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51" t="s">
        <v>40</v>
      </c>
      <c r="Q245" s="652"/>
      <c r="R245" s="652"/>
      <c r="S245" s="652"/>
      <c r="T245" s="652"/>
      <c r="U245" s="652"/>
      <c r="V245" s="653"/>
      <c r="W245" s="40" t="s">
        <v>0</v>
      </c>
      <c r="X245" s="41">
        <f>IFERROR(SUM(X242:X243),"0")</f>
        <v>4.8</v>
      </c>
      <c r="Y245" s="41">
        <f>IFERROR(SUM(Y242:Y243),"0")</f>
        <v>4.8</v>
      </c>
      <c r="Z245" s="40"/>
      <c r="AA245" s="64"/>
      <c r="AB245" s="64"/>
      <c r="AC245" s="64"/>
    </row>
    <row r="246" spans="1:68" ht="16.5" customHeight="1" x14ac:dyDescent="0.25">
      <c r="A246" s="644" t="s">
        <v>417</v>
      </c>
      <c r="B246" s="644"/>
      <c r="C246" s="644"/>
      <c r="D246" s="644"/>
      <c r="E246" s="644"/>
      <c r="F246" s="644"/>
      <c r="G246" s="644"/>
      <c r="H246" s="644"/>
      <c r="I246" s="644"/>
      <c r="J246" s="644"/>
      <c r="K246" s="644"/>
      <c r="L246" s="644"/>
      <c r="M246" s="644"/>
      <c r="N246" s="644"/>
      <c r="O246" s="644"/>
      <c r="P246" s="644"/>
      <c r="Q246" s="644"/>
      <c r="R246" s="644"/>
      <c r="S246" s="644"/>
      <c r="T246" s="644"/>
      <c r="U246" s="644"/>
      <c r="V246" s="644"/>
      <c r="W246" s="644"/>
      <c r="X246" s="644"/>
      <c r="Y246" s="644"/>
      <c r="Z246" s="644"/>
      <c r="AA246" s="62"/>
      <c r="AB246" s="62"/>
      <c r="AC246" s="62"/>
    </row>
    <row r="247" spans="1:68" ht="14.25" customHeight="1" x14ac:dyDescent="0.25">
      <c r="A247" s="645" t="s">
        <v>125</v>
      </c>
      <c r="B247" s="645"/>
      <c r="C247" s="645"/>
      <c r="D247" s="645"/>
      <c r="E247" s="645"/>
      <c r="F247" s="645"/>
      <c r="G247" s="645"/>
      <c r="H247" s="645"/>
      <c r="I247" s="645"/>
      <c r="J247" s="645"/>
      <c r="K247" s="645"/>
      <c r="L247" s="645"/>
      <c r="M247" s="645"/>
      <c r="N247" s="645"/>
      <c r="O247" s="645"/>
      <c r="P247" s="645"/>
      <c r="Q247" s="645"/>
      <c r="R247" s="645"/>
      <c r="S247" s="645"/>
      <c r="T247" s="645"/>
      <c r="U247" s="645"/>
      <c r="V247" s="645"/>
      <c r="W247" s="645"/>
      <c r="X247" s="645"/>
      <c r="Y247" s="645"/>
      <c r="Z247" s="645"/>
      <c r="AA247" s="63"/>
      <c r="AB247" s="63"/>
      <c r="AC247" s="63"/>
    </row>
    <row r="248" spans="1:68" ht="27" customHeight="1" x14ac:dyDescent="0.25">
      <c r="A248" s="60" t="s">
        <v>418</v>
      </c>
      <c r="B248" s="60" t="s">
        <v>419</v>
      </c>
      <c r="C248" s="34">
        <v>4301011826</v>
      </c>
      <c r="D248" s="646">
        <v>4680115884137</v>
      </c>
      <c r="E248" s="646"/>
      <c r="F248" s="59">
        <v>1.45</v>
      </c>
      <c r="G248" s="35">
        <v>8</v>
      </c>
      <c r="H248" s="59">
        <v>11.6</v>
      </c>
      <c r="I248" s="59">
        <v>12.01</v>
      </c>
      <c r="J248" s="35">
        <v>64</v>
      </c>
      <c r="K248" s="35" t="s">
        <v>130</v>
      </c>
      <c r="L248" s="35" t="s">
        <v>46</v>
      </c>
      <c r="M248" s="36" t="s">
        <v>129</v>
      </c>
      <c r="N248" s="36"/>
      <c r="O248" s="35">
        <v>55</v>
      </c>
      <c r="P248" s="77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 t="shared" ref="Y248:Y254" si="38">IFERROR(IF(X248="",0,CEILING((X248/$H248),1)*$H248),"")</f>
        <v>0</v>
      </c>
      <c r="Z248" s="39" t="str">
        <f>IFERROR(IF(Y248=0,"",ROUNDUP(Y248/H248,0)*0.01898),"")</f>
        <v/>
      </c>
      <c r="AA248" s="65" t="s">
        <v>46</v>
      </c>
      <c r="AB248" s="66" t="s">
        <v>46</v>
      </c>
      <c r="AC248" s="321" t="s">
        <v>420</v>
      </c>
      <c r="AG248" s="75"/>
      <c r="AJ248" s="79" t="s">
        <v>46</v>
      </c>
      <c r="AK248" s="79">
        <v>0</v>
      </c>
      <c r="BB248" s="322" t="s">
        <v>67</v>
      </c>
      <c r="BM248" s="75">
        <f t="shared" ref="BM248:BM254" si="39">IFERROR(X248*I248/H248,"0")</f>
        <v>0</v>
      </c>
      <c r="BN248" s="75">
        <f t="shared" ref="BN248:BN254" si="40">IFERROR(Y248*I248/H248,"0")</f>
        <v>0</v>
      </c>
      <c r="BO248" s="75">
        <f t="shared" ref="BO248:BO254" si="41">IFERROR(1/J248*(X248/H248),"0")</f>
        <v>0</v>
      </c>
      <c r="BP248" s="75">
        <f t="shared" ref="BP248:BP254" si="42">IFERROR(1/J248*(Y248/H248),"0")</f>
        <v>0</v>
      </c>
    </row>
    <row r="249" spans="1:68" ht="27" customHeight="1" x14ac:dyDescent="0.25">
      <c r="A249" s="60" t="s">
        <v>421</v>
      </c>
      <c r="B249" s="60" t="s">
        <v>422</v>
      </c>
      <c r="C249" s="34">
        <v>4301011724</v>
      </c>
      <c r="D249" s="646">
        <v>4680115884236</v>
      </c>
      <c r="E249" s="646"/>
      <c r="F249" s="59">
        <v>1.45</v>
      </c>
      <c r="G249" s="35">
        <v>8</v>
      </c>
      <c r="H249" s="59">
        <v>11.6</v>
      </c>
      <c r="I249" s="59">
        <v>12.01</v>
      </c>
      <c r="J249" s="35">
        <v>64</v>
      </c>
      <c r="K249" s="35" t="s">
        <v>130</v>
      </c>
      <c r="L249" s="35" t="s">
        <v>46</v>
      </c>
      <c r="M249" s="36" t="s">
        <v>129</v>
      </c>
      <c r="N249" s="36"/>
      <c r="O249" s="35">
        <v>55</v>
      </c>
      <c r="P249" s="77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 t="shared" si="38"/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3" t="s">
        <v>423</v>
      </c>
      <c r="AG249" s="75"/>
      <c r="AJ249" s="79" t="s">
        <v>46</v>
      </c>
      <c r="AK249" s="79">
        <v>0</v>
      </c>
      <c r="BB249" s="324" t="s">
        <v>67</v>
      </c>
      <c r="BM249" s="75">
        <f t="shared" si="39"/>
        <v>0</v>
      </c>
      <c r="BN249" s="75">
        <f t="shared" si="40"/>
        <v>0</v>
      </c>
      <c r="BO249" s="75">
        <f t="shared" si="41"/>
        <v>0</v>
      </c>
      <c r="BP249" s="75">
        <f t="shared" si="42"/>
        <v>0</v>
      </c>
    </row>
    <row r="250" spans="1:68" ht="27" customHeight="1" x14ac:dyDescent="0.25">
      <c r="A250" s="60" t="s">
        <v>424</v>
      </c>
      <c r="B250" s="60" t="s">
        <v>425</v>
      </c>
      <c r="C250" s="34">
        <v>4301011721</v>
      </c>
      <c r="D250" s="646">
        <v>4680115884175</v>
      </c>
      <c r="E250" s="646"/>
      <c r="F250" s="59">
        <v>1.45</v>
      </c>
      <c r="G250" s="35">
        <v>8</v>
      </c>
      <c r="H250" s="59">
        <v>11.6</v>
      </c>
      <c r="I250" s="59">
        <v>12.01</v>
      </c>
      <c r="J250" s="35">
        <v>64</v>
      </c>
      <c r="K250" s="35" t="s">
        <v>130</v>
      </c>
      <c r="L250" s="35" t="s">
        <v>46</v>
      </c>
      <c r="M250" s="36" t="s">
        <v>129</v>
      </c>
      <c r="N250" s="36"/>
      <c r="O250" s="35">
        <v>55</v>
      </c>
      <c r="P250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 t="shared" si="38"/>
        <v>0</v>
      </c>
      <c r="Z250" s="39" t="str">
        <f>IFERROR(IF(Y250=0,"",ROUNDUP(Y250/H250,0)*0.01898),"")</f>
        <v/>
      </c>
      <c r="AA250" s="65" t="s">
        <v>46</v>
      </c>
      <c r="AB250" s="66" t="s">
        <v>46</v>
      </c>
      <c r="AC250" s="325" t="s">
        <v>426</v>
      </c>
      <c r="AG250" s="75"/>
      <c r="AJ250" s="79" t="s">
        <v>46</v>
      </c>
      <c r="AK250" s="79">
        <v>0</v>
      </c>
      <c r="BB250" s="326" t="s">
        <v>67</v>
      </c>
      <c r="BM250" s="75">
        <f t="shared" si="39"/>
        <v>0</v>
      </c>
      <c r="BN250" s="75">
        <f t="shared" si="40"/>
        <v>0</v>
      </c>
      <c r="BO250" s="75">
        <f t="shared" si="41"/>
        <v>0</v>
      </c>
      <c r="BP250" s="75">
        <f t="shared" si="42"/>
        <v>0</v>
      </c>
    </row>
    <row r="251" spans="1:68" ht="27" customHeight="1" x14ac:dyDescent="0.25">
      <c r="A251" s="60" t="s">
        <v>427</v>
      </c>
      <c r="B251" s="60" t="s">
        <v>428</v>
      </c>
      <c r="C251" s="34">
        <v>4301011824</v>
      </c>
      <c r="D251" s="646">
        <v>4680115884144</v>
      </c>
      <c r="E251" s="646"/>
      <c r="F251" s="59">
        <v>0.4</v>
      </c>
      <c r="G251" s="35">
        <v>10</v>
      </c>
      <c r="H251" s="59">
        <v>4</v>
      </c>
      <c r="I251" s="59">
        <v>4.1900000000000004</v>
      </c>
      <c r="J251" s="35">
        <v>132</v>
      </c>
      <c r="K251" s="35" t="s">
        <v>137</v>
      </c>
      <c r="L251" s="35" t="s">
        <v>46</v>
      </c>
      <c r="M251" s="36" t="s">
        <v>129</v>
      </c>
      <c r="N251" s="36"/>
      <c r="O251" s="35">
        <v>55</v>
      </c>
      <c r="P251" s="77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1" s="648"/>
      <c r="R251" s="648"/>
      <c r="S251" s="648"/>
      <c r="T251" s="649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si="38"/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27" t="s">
        <v>420</v>
      </c>
      <c r="AG251" s="75"/>
      <c r="AJ251" s="79" t="s">
        <v>46</v>
      </c>
      <c r="AK251" s="79">
        <v>0</v>
      </c>
      <c r="BB251" s="328" t="s">
        <v>67</v>
      </c>
      <c r="BM251" s="75">
        <f t="shared" si="39"/>
        <v>0</v>
      </c>
      <c r="BN251" s="75">
        <f t="shared" si="40"/>
        <v>0</v>
      </c>
      <c r="BO251" s="75">
        <f t="shared" si="41"/>
        <v>0</v>
      </c>
      <c r="BP251" s="75">
        <f t="shared" si="42"/>
        <v>0</v>
      </c>
    </row>
    <row r="252" spans="1:68" ht="27" customHeight="1" x14ac:dyDescent="0.25">
      <c r="A252" s="60" t="s">
        <v>429</v>
      </c>
      <c r="B252" s="60" t="s">
        <v>430</v>
      </c>
      <c r="C252" s="34">
        <v>4301012149</v>
      </c>
      <c r="D252" s="646">
        <v>4680115886551</v>
      </c>
      <c r="E252" s="646"/>
      <c r="F252" s="59">
        <v>0.4</v>
      </c>
      <c r="G252" s="35">
        <v>10</v>
      </c>
      <c r="H252" s="59">
        <v>4</v>
      </c>
      <c r="I252" s="59">
        <v>4.1900000000000004</v>
      </c>
      <c r="J252" s="35">
        <v>132</v>
      </c>
      <c r="K252" s="35" t="s">
        <v>137</v>
      </c>
      <c r="L252" s="35" t="s">
        <v>46</v>
      </c>
      <c r="M252" s="36" t="s">
        <v>129</v>
      </c>
      <c r="N252" s="36"/>
      <c r="O252" s="35">
        <v>55</v>
      </c>
      <c r="P252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2" s="648"/>
      <c r="R252" s="648"/>
      <c r="S252" s="648"/>
      <c r="T252" s="649"/>
      <c r="U252" s="37" t="s">
        <v>46</v>
      </c>
      <c r="V252" s="37" t="s">
        <v>46</v>
      </c>
      <c r="W252" s="38" t="s">
        <v>0</v>
      </c>
      <c r="X252" s="56">
        <v>16</v>
      </c>
      <c r="Y252" s="53">
        <f t="shared" si="38"/>
        <v>16</v>
      </c>
      <c r="Z252" s="39">
        <f>IFERROR(IF(Y252=0,"",ROUNDUP(Y252/H252,0)*0.00902),"")</f>
        <v>3.6080000000000001E-2</v>
      </c>
      <c r="AA252" s="65" t="s">
        <v>46</v>
      </c>
      <c r="AB252" s="66" t="s">
        <v>46</v>
      </c>
      <c r="AC252" s="329" t="s">
        <v>431</v>
      </c>
      <c r="AG252" s="75"/>
      <c r="AJ252" s="79" t="s">
        <v>46</v>
      </c>
      <c r="AK252" s="79">
        <v>0</v>
      </c>
      <c r="BB252" s="330" t="s">
        <v>67</v>
      </c>
      <c r="BM252" s="75">
        <f t="shared" si="39"/>
        <v>16.760000000000002</v>
      </c>
      <c r="BN252" s="75">
        <f t="shared" si="40"/>
        <v>16.760000000000002</v>
      </c>
      <c r="BO252" s="75">
        <f t="shared" si="41"/>
        <v>3.0303030303030304E-2</v>
      </c>
      <c r="BP252" s="75">
        <f t="shared" si="42"/>
        <v>3.0303030303030304E-2</v>
      </c>
    </row>
    <row r="253" spans="1:68" ht="27" customHeight="1" x14ac:dyDescent="0.25">
      <c r="A253" s="60" t="s">
        <v>432</v>
      </c>
      <c r="B253" s="60" t="s">
        <v>433</v>
      </c>
      <c r="C253" s="34">
        <v>4301012228</v>
      </c>
      <c r="D253" s="646">
        <v>4680115887282</v>
      </c>
      <c r="E253" s="646"/>
      <c r="F253" s="59">
        <v>0.4</v>
      </c>
      <c r="G253" s="35">
        <v>6</v>
      </c>
      <c r="H253" s="59">
        <v>2.4</v>
      </c>
      <c r="I253" s="59">
        <v>2.58</v>
      </c>
      <c r="J253" s="35">
        <v>182</v>
      </c>
      <c r="K253" s="35" t="s">
        <v>82</v>
      </c>
      <c r="L253" s="35" t="s">
        <v>46</v>
      </c>
      <c r="M253" s="36" t="s">
        <v>129</v>
      </c>
      <c r="N253" s="36"/>
      <c r="O253" s="35">
        <v>55</v>
      </c>
      <c r="P253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3" s="648"/>
      <c r="R253" s="648"/>
      <c r="S253" s="648"/>
      <c r="T253" s="649"/>
      <c r="U253" s="37" t="s">
        <v>46</v>
      </c>
      <c r="V253" s="37" t="s">
        <v>46</v>
      </c>
      <c r="W253" s="38" t="s">
        <v>0</v>
      </c>
      <c r="X253" s="56">
        <v>9.6</v>
      </c>
      <c r="Y253" s="53">
        <f t="shared" si="38"/>
        <v>9.6</v>
      </c>
      <c r="Z253" s="39">
        <f>IFERROR(IF(Y253=0,"",ROUNDUP(Y253/H253,0)*0.00651),"")</f>
        <v>2.6040000000000001E-2</v>
      </c>
      <c r="AA253" s="65" t="s">
        <v>46</v>
      </c>
      <c r="AB253" s="66" t="s">
        <v>46</v>
      </c>
      <c r="AC253" s="331" t="s">
        <v>434</v>
      </c>
      <c r="AG253" s="75"/>
      <c r="AJ253" s="79" t="s">
        <v>46</v>
      </c>
      <c r="AK253" s="79">
        <v>0</v>
      </c>
      <c r="BB253" s="332" t="s">
        <v>67</v>
      </c>
      <c r="BM253" s="75">
        <f t="shared" si="39"/>
        <v>10.32</v>
      </c>
      <c r="BN253" s="75">
        <f t="shared" si="40"/>
        <v>10.32</v>
      </c>
      <c r="BO253" s="75">
        <f t="shared" si="41"/>
        <v>2.197802197802198E-2</v>
      </c>
      <c r="BP253" s="75">
        <f t="shared" si="42"/>
        <v>2.197802197802198E-2</v>
      </c>
    </row>
    <row r="254" spans="1:68" ht="27" customHeight="1" x14ac:dyDescent="0.25">
      <c r="A254" s="60" t="s">
        <v>435</v>
      </c>
      <c r="B254" s="60" t="s">
        <v>436</v>
      </c>
      <c r="C254" s="34">
        <v>4301011722</v>
      </c>
      <c r="D254" s="646">
        <v>4680115884205</v>
      </c>
      <c r="E254" s="646"/>
      <c r="F254" s="59">
        <v>0.4</v>
      </c>
      <c r="G254" s="35">
        <v>10</v>
      </c>
      <c r="H254" s="59">
        <v>4</v>
      </c>
      <c r="I254" s="59">
        <v>4.1900000000000004</v>
      </c>
      <c r="J254" s="35">
        <v>132</v>
      </c>
      <c r="K254" s="35" t="s">
        <v>137</v>
      </c>
      <c r="L254" s="35" t="s">
        <v>46</v>
      </c>
      <c r="M254" s="36" t="s">
        <v>129</v>
      </c>
      <c r="N254" s="36"/>
      <c r="O254" s="35">
        <v>55</v>
      </c>
      <c r="P254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16</v>
      </c>
      <c r="Y254" s="53">
        <f t="shared" si="38"/>
        <v>16</v>
      </c>
      <c r="Z254" s="39">
        <f>IFERROR(IF(Y254=0,"",ROUNDUP(Y254/H254,0)*0.00902),"")</f>
        <v>3.6080000000000001E-2</v>
      </c>
      <c r="AA254" s="65" t="s">
        <v>46</v>
      </c>
      <c r="AB254" s="66" t="s">
        <v>46</v>
      </c>
      <c r="AC254" s="333" t="s">
        <v>426</v>
      </c>
      <c r="AG254" s="75"/>
      <c r="AJ254" s="79" t="s">
        <v>46</v>
      </c>
      <c r="AK254" s="79">
        <v>0</v>
      </c>
      <c r="BB254" s="334" t="s">
        <v>67</v>
      </c>
      <c r="BM254" s="75">
        <f t="shared" si="39"/>
        <v>16.760000000000002</v>
      </c>
      <c r="BN254" s="75">
        <f t="shared" si="40"/>
        <v>16.760000000000002</v>
      </c>
      <c r="BO254" s="75">
        <f t="shared" si="41"/>
        <v>3.0303030303030304E-2</v>
      </c>
      <c r="BP254" s="75">
        <f t="shared" si="42"/>
        <v>3.0303030303030304E-2</v>
      </c>
    </row>
    <row r="255" spans="1:68" x14ac:dyDescent="0.2">
      <c r="A255" s="654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51" t="s">
        <v>40</v>
      </c>
      <c r="Q255" s="652"/>
      <c r="R255" s="652"/>
      <c r="S255" s="652"/>
      <c r="T255" s="652"/>
      <c r="U255" s="652"/>
      <c r="V255" s="653"/>
      <c r="W255" s="40" t="s">
        <v>39</v>
      </c>
      <c r="X255" s="41">
        <f>IFERROR(X248/H248,"0")+IFERROR(X249/H249,"0")+IFERROR(X250/H250,"0")+IFERROR(X251/H251,"0")+IFERROR(X252/H252,"0")+IFERROR(X253/H253,"0")+IFERROR(X254/H254,"0")</f>
        <v>12</v>
      </c>
      <c r="Y255" s="41">
        <f>IFERROR(Y248/H248,"0")+IFERROR(Y249/H249,"0")+IFERROR(Y250/H250,"0")+IFERROR(Y251/H251,"0")+IFERROR(Y252/H252,"0")+IFERROR(Y253/H253,"0")+IFERROR(Y254/H254,"0")</f>
        <v>12</v>
      </c>
      <c r="Z255" s="41">
        <f>IFERROR(IF(Z248="",0,Z248),"0")+IFERROR(IF(Z249="",0,Z249),"0")+IFERROR(IF(Z250="",0,Z250),"0")+IFERROR(IF(Z251="",0,Z251),"0")+IFERROR(IF(Z252="",0,Z252),"0")+IFERROR(IF(Z253="",0,Z253),"0")+IFERROR(IF(Z254="",0,Z254),"0")</f>
        <v>9.820000000000001E-2</v>
      </c>
      <c r="AA255" s="64"/>
      <c r="AB255" s="64"/>
      <c r="AC255" s="64"/>
    </row>
    <row r="256" spans="1:68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51" t="s">
        <v>40</v>
      </c>
      <c r="Q256" s="652"/>
      <c r="R256" s="652"/>
      <c r="S256" s="652"/>
      <c r="T256" s="652"/>
      <c r="U256" s="652"/>
      <c r="V256" s="653"/>
      <c r="W256" s="40" t="s">
        <v>0</v>
      </c>
      <c r="X256" s="41">
        <f>IFERROR(SUM(X248:X254),"0")</f>
        <v>41.6</v>
      </c>
      <c r="Y256" s="41">
        <f>IFERROR(SUM(Y248:Y254),"0")</f>
        <v>41.6</v>
      </c>
      <c r="Z256" s="40"/>
      <c r="AA256" s="64"/>
      <c r="AB256" s="64"/>
      <c r="AC256" s="64"/>
    </row>
    <row r="257" spans="1:68" ht="14.25" customHeight="1" x14ac:dyDescent="0.25">
      <c r="A257" s="645" t="s">
        <v>159</v>
      </c>
      <c r="B257" s="645"/>
      <c r="C257" s="645"/>
      <c r="D257" s="645"/>
      <c r="E257" s="645"/>
      <c r="F257" s="645"/>
      <c r="G257" s="645"/>
      <c r="H257" s="645"/>
      <c r="I257" s="645"/>
      <c r="J257" s="645"/>
      <c r="K257" s="645"/>
      <c r="L257" s="645"/>
      <c r="M257" s="645"/>
      <c r="N257" s="645"/>
      <c r="O257" s="645"/>
      <c r="P257" s="645"/>
      <c r="Q257" s="645"/>
      <c r="R257" s="645"/>
      <c r="S257" s="645"/>
      <c r="T257" s="645"/>
      <c r="U257" s="645"/>
      <c r="V257" s="645"/>
      <c r="W257" s="645"/>
      <c r="X257" s="645"/>
      <c r="Y257" s="645"/>
      <c r="Z257" s="645"/>
      <c r="AA257" s="63"/>
      <c r="AB257" s="63"/>
      <c r="AC257" s="63"/>
    </row>
    <row r="258" spans="1:68" ht="27" customHeight="1" x14ac:dyDescent="0.25">
      <c r="A258" s="60" t="s">
        <v>437</v>
      </c>
      <c r="B258" s="60" t="s">
        <v>438</v>
      </c>
      <c r="C258" s="34">
        <v>4301020377</v>
      </c>
      <c r="D258" s="646">
        <v>4680115885981</v>
      </c>
      <c r="E258" s="646"/>
      <c r="F258" s="59">
        <v>0.33</v>
      </c>
      <c r="G258" s="35">
        <v>6</v>
      </c>
      <c r="H258" s="59">
        <v>1.98</v>
      </c>
      <c r="I258" s="59">
        <v>2.08</v>
      </c>
      <c r="J258" s="35">
        <v>234</v>
      </c>
      <c r="K258" s="35" t="s">
        <v>86</v>
      </c>
      <c r="L258" s="35" t="s">
        <v>46</v>
      </c>
      <c r="M258" s="36" t="s">
        <v>91</v>
      </c>
      <c r="N258" s="36"/>
      <c r="O258" s="35">
        <v>50</v>
      </c>
      <c r="P258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8" s="648"/>
      <c r="R258" s="648"/>
      <c r="S258" s="648"/>
      <c r="T258" s="649"/>
      <c r="U258" s="37" t="s">
        <v>46</v>
      </c>
      <c r="V258" s="37" t="s">
        <v>46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35" t="s">
        <v>439</v>
      </c>
      <c r="AG258" s="75"/>
      <c r="AJ258" s="79" t="s">
        <v>46</v>
      </c>
      <c r="AK258" s="79">
        <v>0</v>
      </c>
      <c r="BB258" s="336" t="s">
        <v>67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x14ac:dyDescent="0.2">
      <c r="A259" s="654"/>
      <c r="B259" s="654"/>
      <c r="C259" s="654"/>
      <c r="D259" s="654"/>
      <c r="E259" s="654"/>
      <c r="F259" s="654"/>
      <c r="G259" s="654"/>
      <c r="H259" s="654"/>
      <c r="I259" s="654"/>
      <c r="J259" s="654"/>
      <c r="K259" s="654"/>
      <c r="L259" s="654"/>
      <c r="M259" s="654"/>
      <c r="N259" s="654"/>
      <c r="O259" s="655"/>
      <c r="P259" s="651" t="s">
        <v>40</v>
      </c>
      <c r="Q259" s="652"/>
      <c r="R259" s="652"/>
      <c r="S259" s="652"/>
      <c r="T259" s="652"/>
      <c r="U259" s="652"/>
      <c r="V259" s="653"/>
      <c r="W259" s="40" t="s">
        <v>39</v>
      </c>
      <c r="X259" s="41">
        <f>IFERROR(X258/H258,"0")</f>
        <v>0</v>
      </c>
      <c r="Y259" s="41">
        <f>IFERROR(Y258/H258,"0")</f>
        <v>0</v>
      </c>
      <c r="Z259" s="41">
        <f>IFERROR(IF(Z258="",0,Z258),"0")</f>
        <v>0</v>
      </c>
      <c r="AA259" s="64"/>
      <c r="AB259" s="64"/>
      <c r="AC259" s="64"/>
    </row>
    <row r="260" spans="1:68" x14ac:dyDescent="0.2">
      <c r="A260" s="654"/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5"/>
      <c r="P260" s="651" t="s">
        <v>40</v>
      </c>
      <c r="Q260" s="652"/>
      <c r="R260" s="652"/>
      <c r="S260" s="652"/>
      <c r="T260" s="652"/>
      <c r="U260" s="652"/>
      <c r="V260" s="653"/>
      <c r="W260" s="40" t="s">
        <v>0</v>
      </c>
      <c r="X260" s="41">
        <f>IFERROR(SUM(X258:X258),"0")</f>
        <v>0</v>
      </c>
      <c r="Y260" s="41">
        <f>IFERROR(SUM(Y258:Y258),"0")</f>
        <v>0</v>
      </c>
      <c r="Z260" s="40"/>
      <c r="AA260" s="64"/>
      <c r="AB260" s="64"/>
      <c r="AC260" s="64"/>
    </row>
    <row r="261" spans="1:68" ht="14.25" customHeight="1" x14ac:dyDescent="0.25">
      <c r="A261" s="645" t="s">
        <v>440</v>
      </c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5"/>
      <c r="P261" s="645"/>
      <c r="Q261" s="645"/>
      <c r="R261" s="645"/>
      <c r="S261" s="645"/>
      <c r="T261" s="645"/>
      <c r="U261" s="645"/>
      <c r="V261" s="645"/>
      <c r="W261" s="645"/>
      <c r="X261" s="645"/>
      <c r="Y261" s="645"/>
      <c r="Z261" s="645"/>
      <c r="AA261" s="63"/>
      <c r="AB261" s="63"/>
      <c r="AC261" s="63"/>
    </row>
    <row r="262" spans="1:68" ht="27" customHeight="1" x14ac:dyDescent="0.25">
      <c r="A262" s="60" t="s">
        <v>441</v>
      </c>
      <c r="B262" s="60" t="s">
        <v>442</v>
      </c>
      <c r="C262" s="34">
        <v>4301040362</v>
      </c>
      <c r="D262" s="646">
        <v>4680115886803</v>
      </c>
      <c r="E262" s="646"/>
      <c r="F262" s="59">
        <v>0.12</v>
      </c>
      <c r="G262" s="35">
        <v>15</v>
      </c>
      <c r="H262" s="59">
        <v>1.8</v>
      </c>
      <c r="I262" s="59">
        <v>1.9750000000000001</v>
      </c>
      <c r="J262" s="35">
        <v>216</v>
      </c>
      <c r="K262" s="35" t="s">
        <v>345</v>
      </c>
      <c r="L262" s="35" t="s">
        <v>46</v>
      </c>
      <c r="M262" s="36" t="s">
        <v>344</v>
      </c>
      <c r="N262" s="36"/>
      <c r="O262" s="35">
        <v>45</v>
      </c>
      <c r="P262" s="78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2" s="648"/>
      <c r="R262" s="648"/>
      <c r="S262" s="648"/>
      <c r="T262" s="649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IFERROR(IF(Y262=0,"",ROUNDUP(Y262/H262,0)*0.0059),"")</f>
        <v/>
      </c>
      <c r="AA262" s="65" t="s">
        <v>46</v>
      </c>
      <c r="AB262" s="66" t="s">
        <v>46</v>
      </c>
      <c r="AC262" s="337" t="s">
        <v>443</v>
      </c>
      <c r="AG262" s="75"/>
      <c r="AJ262" s="79" t="s">
        <v>46</v>
      </c>
      <c r="AK262" s="79">
        <v>0</v>
      </c>
      <c r="BB262" s="33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x14ac:dyDescent="0.2">
      <c r="A263" s="654"/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5"/>
      <c r="P263" s="651" t="s">
        <v>40</v>
      </c>
      <c r="Q263" s="652"/>
      <c r="R263" s="652"/>
      <c r="S263" s="652"/>
      <c r="T263" s="652"/>
      <c r="U263" s="652"/>
      <c r="V263" s="653"/>
      <c r="W263" s="40" t="s">
        <v>39</v>
      </c>
      <c r="X263" s="41">
        <f>IFERROR(X262/H262,"0")</f>
        <v>0</v>
      </c>
      <c r="Y263" s="41">
        <f>IFERROR(Y262/H262,"0")</f>
        <v>0</v>
      </c>
      <c r="Z263" s="41">
        <f>IFERROR(IF(Z262="",0,Z262),"0")</f>
        <v>0</v>
      </c>
      <c r="AA263" s="64"/>
      <c r="AB263" s="64"/>
      <c r="AC263" s="64"/>
    </row>
    <row r="264" spans="1:68" x14ac:dyDescent="0.2">
      <c r="A264" s="654"/>
      <c r="B264" s="654"/>
      <c r="C264" s="654"/>
      <c r="D264" s="654"/>
      <c r="E264" s="654"/>
      <c r="F264" s="654"/>
      <c r="G264" s="654"/>
      <c r="H264" s="654"/>
      <c r="I264" s="654"/>
      <c r="J264" s="654"/>
      <c r="K264" s="654"/>
      <c r="L264" s="654"/>
      <c r="M264" s="654"/>
      <c r="N264" s="654"/>
      <c r="O264" s="655"/>
      <c r="P264" s="651" t="s">
        <v>40</v>
      </c>
      <c r="Q264" s="652"/>
      <c r="R264" s="652"/>
      <c r="S264" s="652"/>
      <c r="T264" s="652"/>
      <c r="U264" s="652"/>
      <c r="V264" s="653"/>
      <c r="W264" s="40" t="s">
        <v>0</v>
      </c>
      <c r="X264" s="41">
        <f>IFERROR(SUM(X262:X262),"0")</f>
        <v>0</v>
      </c>
      <c r="Y264" s="41">
        <f>IFERROR(SUM(Y262:Y262),"0")</f>
        <v>0</v>
      </c>
      <c r="Z264" s="40"/>
      <c r="AA264" s="64"/>
      <c r="AB264" s="64"/>
      <c r="AC264" s="64"/>
    </row>
    <row r="265" spans="1:68" ht="14.25" customHeight="1" x14ac:dyDescent="0.25">
      <c r="A265" s="645" t="s">
        <v>444</v>
      </c>
      <c r="B265" s="645"/>
      <c r="C265" s="645"/>
      <c r="D265" s="645"/>
      <c r="E265" s="645"/>
      <c r="F265" s="645"/>
      <c r="G265" s="645"/>
      <c r="H265" s="645"/>
      <c r="I265" s="645"/>
      <c r="J265" s="645"/>
      <c r="K265" s="645"/>
      <c r="L265" s="645"/>
      <c r="M265" s="645"/>
      <c r="N265" s="645"/>
      <c r="O265" s="645"/>
      <c r="P265" s="645"/>
      <c r="Q265" s="645"/>
      <c r="R265" s="645"/>
      <c r="S265" s="645"/>
      <c r="T265" s="645"/>
      <c r="U265" s="645"/>
      <c r="V265" s="645"/>
      <c r="W265" s="645"/>
      <c r="X265" s="645"/>
      <c r="Y265" s="645"/>
      <c r="Z265" s="645"/>
      <c r="AA265" s="63"/>
      <c r="AB265" s="63"/>
      <c r="AC265" s="63"/>
    </row>
    <row r="266" spans="1:68" ht="27" customHeight="1" x14ac:dyDescent="0.25">
      <c r="A266" s="60" t="s">
        <v>445</v>
      </c>
      <c r="B266" s="60" t="s">
        <v>446</v>
      </c>
      <c r="C266" s="34">
        <v>4301041004</v>
      </c>
      <c r="D266" s="646">
        <v>4680115886704</v>
      </c>
      <c r="E266" s="646"/>
      <c r="F266" s="59">
        <v>5.5E-2</v>
      </c>
      <c r="G266" s="35">
        <v>18</v>
      </c>
      <c r="H266" s="59">
        <v>0.99</v>
      </c>
      <c r="I266" s="59">
        <v>1.18</v>
      </c>
      <c r="J266" s="35">
        <v>216</v>
      </c>
      <c r="K266" s="35" t="s">
        <v>345</v>
      </c>
      <c r="L266" s="35" t="s">
        <v>46</v>
      </c>
      <c r="M266" s="36" t="s">
        <v>344</v>
      </c>
      <c r="N266" s="36"/>
      <c r="O266" s="35">
        <v>90</v>
      </c>
      <c r="P266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6" s="648"/>
      <c r="R266" s="648"/>
      <c r="S266" s="648"/>
      <c r="T266" s="649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IFERROR(IF(Y266=0,"",ROUNDUP(Y266/H266,0)*0.0059),"")</f>
        <v/>
      </c>
      <c r="AA266" s="65" t="s">
        <v>46</v>
      </c>
      <c r="AB266" s="66" t="s">
        <v>46</v>
      </c>
      <c r="AC266" s="339" t="s">
        <v>447</v>
      </c>
      <c r="AG266" s="75"/>
      <c r="AJ266" s="79" t="s">
        <v>46</v>
      </c>
      <c r="AK266" s="79">
        <v>0</v>
      </c>
      <c r="BB266" s="340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27" customHeight="1" x14ac:dyDescent="0.25">
      <c r="A267" s="60" t="s">
        <v>448</v>
      </c>
      <c r="B267" s="60" t="s">
        <v>449</v>
      </c>
      <c r="C267" s="34">
        <v>4301041008</v>
      </c>
      <c r="D267" s="646">
        <v>4680115886681</v>
      </c>
      <c r="E267" s="646"/>
      <c r="F267" s="59">
        <v>0.12</v>
      </c>
      <c r="G267" s="35">
        <v>15</v>
      </c>
      <c r="H267" s="59">
        <v>1.8</v>
      </c>
      <c r="I267" s="59">
        <v>1.9750000000000001</v>
      </c>
      <c r="J267" s="35">
        <v>216</v>
      </c>
      <c r="K267" s="35" t="s">
        <v>345</v>
      </c>
      <c r="L267" s="35" t="s">
        <v>46</v>
      </c>
      <c r="M267" s="36" t="s">
        <v>344</v>
      </c>
      <c r="N267" s="36"/>
      <c r="O267" s="35">
        <v>90</v>
      </c>
      <c r="P267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7" s="648"/>
      <c r="R267" s="648"/>
      <c r="S267" s="648"/>
      <c r="T267" s="649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IFERROR(IF(Y267=0,"",ROUNDUP(Y267/H267,0)*0.0059),"")</f>
        <v/>
      </c>
      <c r="AA267" s="65" t="s">
        <v>46</v>
      </c>
      <c r="AB267" s="66" t="s">
        <v>46</v>
      </c>
      <c r="AC267" s="341" t="s">
        <v>447</v>
      </c>
      <c r="AG267" s="75"/>
      <c r="AJ267" s="79" t="s">
        <v>46</v>
      </c>
      <c r="AK267" s="79">
        <v>0</v>
      </c>
      <c r="BB267" s="34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27" customHeight="1" x14ac:dyDescent="0.25">
      <c r="A268" s="60" t="s">
        <v>450</v>
      </c>
      <c r="B268" s="60" t="s">
        <v>451</v>
      </c>
      <c r="C268" s="34">
        <v>4301041007</v>
      </c>
      <c r="D268" s="646">
        <v>4680115886735</v>
      </c>
      <c r="E268" s="646"/>
      <c r="F268" s="59">
        <v>0.05</v>
      </c>
      <c r="G268" s="35">
        <v>18</v>
      </c>
      <c r="H268" s="59">
        <v>0.9</v>
      </c>
      <c r="I268" s="59">
        <v>1.0900000000000001</v>
      </c>
      <c r="J268" s="35">
        <v>216</v>
      </c>
      <c r="K268" s="35" t="s">
        <v>345</v>
      </c>
      <c r="L268" s="35" t="s">
        <v>46</v>
      </c>
      <c r="M268" s="36" t="s">
        <v>344</v>
      </c>
      <c r="N268" s="36"/>
      <c r="O268" s="35">
        <v>90</v>
      </c>
      <c r="P268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8" s="648"/>
      <c r="R268" s="648"/>
      <c r="S268" s="648"/>
      <c r="T268" s="649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IFERROR(IF(Y268=0,"",ROUNDUP(Y268/H268,0)*0.0059),"")</f>
        <v/>
      </c>
      <c r="AA268" s="65" t="s">
        <v>46</v>
      </c>
      <c r="AB268" s="66" t="s">
        <v>46</v>
      </c>
      <c r="AC268" s="343" t="s">
        <v>447</v>
      </c>
      <c r="AG268" s="75"/>
      <c r="AJ268" s="79" t="s">
        <v>46</v>
      </c>
      <c r="AK268" s="79">
        <v>0</v>
      </c>
      <c r="BB268" s="34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t="27" customHeight="1" x14ac:dyDescent="0.25">
      <c r="A269" s="60" t="s">
        <v>452</v>
      </c>
      <c r="B269" s="60" t="s">
        <v>453</v>
      </c>
      <c r="C269" s="34">
        <v>4301041006</v>
      </c>
      <c r="D269" s="646">
        <v>4680115886728</v>
      </c>
      <c r="E269" s="646"/>
      <c r="F269" s="59">
        <v>5.5E-2</v>
      </c>
      <c r="G269" s="35">
        <v>18</v>
      </c>
      <c r="H269" s="59">
        <v>0.99</v>
      </c>
      <c r="I269" s="59">
        <v>1.18</v>
      </c>
      <c r="J269" s="35">
        <v>216</v>
      </c>
      <c r="K269" s="35" t="s">
        <v>345</v>
      </c>
      <c r="L269" s="35" t="s">
        <v>46</v>
      </c>
      <c r="M269" s="36" t="s">
        <v>344</v>
      </c>
      <c r="N269" s="36"/>
      <c r="O269" s="35">
        <v>90</v>
      </c>
      <c r="P269" s="78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>IFERROR(IF(X269="",0,CEILING((X269/$H269),1)*$H269),"")</f>
        <v>0</v>
      </c>
      <c r="Z269" s="39" t="str">
        <f>IFERROR(IF(Y269=0,"",ROUNDUP(Y269/H269,0)*0.0059),"")</f>
        <v/>
      </c>
      <c r="AA269" s="65" t="s">
        <v>46</v>
      </c>
      <c r="AB269" s="66" t="s">
        <v>46</v>
      </c>
      <c r="AC269" s="345" t="s">
        <v>447</v>
      </c>
      <c r="AG269" s="75"/>
      <c r="AJ269" s="79" t="s">
        <v>46</v>
      </c>
      <c r="AK269" s="79">
        <v>0</v>
      </c>
      <c r="BB269" s="346" t="s">
        <v>67</v>
      </c>
      <c r="BM269" s="75">
        <f>IFERROR(X269*I269/H269,"0")</f>
        <v>0</v>
      </c>
      <c r="BN269" s="75">
        <f>IFERROR(Y269*I269/H269,"0")</f>
        <v>0</v>
      </c>
      <c r="BO269" s="75">
        <f>IFERROR(1/J269*(X269/H269),"0")</f>
        <v>0</v>
      </c>
      <c r="BP269" s="75">
        <f>IFERROR(1/J269*(Y269/H269),"0")</f>
        <v>0</v>
      </c>
    </row>
    <row r="270" spans="1:68" ht="27" customHeight="1" x14ac:dyDescent="0.25">
      <c r="A270" s="60" t="s">
        <v>454</v>
      </c>
      <c r="B270" s="60" t="s">
        <v>455</v>
      </c>
      <c r="C270" s="34">
        <v>4301041005</v>
      </c>
      <c r="D270" s="646">
        <v>4680115886711</v>
      </c>
      <c r="E270" s="646"/>
      <c r="F270" s="59">
        <v>5.5E-2</v>
      </c>
      <c r="G270" s="35">
        <v>18</v>
      </c>
      <c r="H270" s="59">
        <v>0.99</v>
      </c>
      <c r="I270" s="59">
        <v>1.18</v>
      </c>
      <c r="J270" s="35">
        <v>216</v>
      </c>
      <c r="K270" s="35" t="s">
        <v>345</v>
      </c>
      <c r="L270" s="35" t="s">
        <v>46</v>
      </c>
      <c r="M270" s="36" t="s">
        <v>344</v>
      </c>
      <c r="N270" s="36"/>
      <c r="O270" s="35">
        <v>90</v>
      </c>
      <c r="P270" s="78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IFERROR(IF(Y270=0,"",ROUNDUP(Y270/H270,0)*0.0059),"")</f>
        <v/>
      </c>
      <c r="AA270" s="65" t="s">
        <v>46</v>
      </c>
      <c r="AB270" s="66" t="s">
        <v>46</v>
      </c>
      <c r="AC270" s="347" t="s">
        <v>447</v>
      </c>
      <c r="AG270" s="75"/>
      <c r="AJ270" s="79" t="s">
        <v>46</v>
      </c>
      <c r="AK270" s="79">
        <v>0</v>
      </c>
      <c r="BB270" s="348" t="s">
        <v>67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x14ac:dyDescent="0.2">
      <c r="A271" s="654"/>
      <c r="B271" s="654"/>
      <c r="C271" s="654"/>
      <c r="D271" s="654"/>
      <c r="E271" s="654"/>
      <c r="F271" s="654"/>
      <c r="G271" s="654"/>
      <c r="H271" s="654"/>
      <c r="I271" s="654"/>
      <c r="J271" s="654"/>
      <c r="K271" s="654"/>
      <c r="L271" s="654"/>
      <c r="M271" s="654"/>
      <c r="N271" s="654"/>
      <c r="O271" s="655"/>
      <c r="P271" s="651" t="s">
        <v>40</v>
      </c>
      <c r="Q271" s="652"/>
      <c r="R271" s="652"/>
      <c r="S271" s="652"/>
      <c r="T271" s="652"/>
      <c r="U271" s="652"/>
      <c r="V271" s="653"/>
      <c r="W271" s="40" t="s">
        <v>39</v>
      </c>
      <c r="X271" s="41">
        <f>IFERROR(X266/H266,"0")+IFERROR(X267/H267,"0")+IFERROR(X268/H268,"0")+IFERROR(X269/H269,"0")+IFERROR(X270/H270,"0")</f>
        <v>0</v>
      </c>
      <c r="Y271" s="41">
        <f>IFERROR(Y266/H266,"0")+IFERROR(Y267/H267,"0")+IFERROR(Y268/H268,"0")+IFERROR(Y269/H269,"0")+IFERROR(Y270/H270,"0")</f>
        <v>0</v>
      </c>
      <c r="Z271" s="41">
        <f>IFERROR(IF(Z266="",0,Z266),"0")+IFERROR(IF(Z267="",0,Z267),"0")+IFERROR(IF(Z268="",0,Z268),"0")+IFERROR(IF(Z269="",0,Z269),"0")+IFERROR(IF(Z270="",0,Z270),"0")</f>
        <v>0</v>
      </c>
      <c r="AA271" s="64"/>
      <c r="AB271" s="64"/>
      <c r="AC271" s="64"/>
    </row>
    <row r="272" spans="1:68" x14ac:dyDescent="0.2">
      <c r="A272" s="654"/>
      <c r="B272" s="654"/>
      <c r="C272" s="654"/>
      <c r="D272" s="654"/>
      <c r="E272" s="654"/>
      <c r="F272" s="654"/>
      <c r="G272" s="654"/>
      <c r="H272" s="654"/>
      <c r="I272" s="654"/>
      <c r="J272" s="654"/>
      <c r="K272" s="654"/>
      <c r="L272" s="654"/>
      <c r="M272" s="654"/>
      <c r="N272" s="654"/>
      <c r="O272" s="655"/>
      <c r="P272" s="651" t="s">
        <v>40</v>
      </c>
      <c r="Q272" s="652"/>
      <c r="R272" s="652"/>
      <c r="S272" s="652"/>
      <c r="T272" s="652"/>
      <c r="U272" s="652"/>
      <c r="V272" s="653"/>
      <c r="W272" s="40" t="s">
        <v>0</v>
      </c>
      <c r="X272" s="41">
        <f>IFERROR(SUM(X266:X270),"0")</f>
        <v>0</v>
      </c>
      <c r="Y272" s="41">
        <f>IFERROR(SUM(Y266:Y270),"0")</f>
        <v>0</v>
      </c>
      <c r="Z272" s="40"/>
      <c r="AA272" s="64"/>
      <c r="AB272" s="64"/>
      <c r="AC272" s="64"/>
    </row>
    <row r="273" spans="1:68" ht="16.5" customHeight="1" x14ac:dyDescent="0.25">
      <c r="A273" s="644" t="s">
        <v>456</v>
      </c>
      <c r="B273" s="644"/>
      <c r="C273" s="644"/>
      <c r="D273" s="644"/>
      <c r="E273" s="644"/>
      <c r="F273" s="644"/>
      <c r="G273" s="644"/>
      <c r="H273" s="644"/>
      <c r="I273" s="644"/>
      <c r="J273" s="644"/>
      <c r="K273" s="644"/>
      <c r="L273" s="644"/>
      <c r="M273" s="644"/>
      <c r="N273" s="644"/>
      <c r="O273" s="644"/>
      <c r="P273" s="644"/>
      <c r="Q273" s="644"/>
      <c r="R273" s="644"/>
      <c r="S273" s="644"/>
      <c r="T273" s="644"/>
      <c r="U273" s="644"/>
      <c r="V273" s="644"/>
      <c r="W273" s="644"/>
      <c r="X273" s="644"/>
      <c r="Y273" s="644"/>
      <c r="Z273" s="644"/>
      <c r="AA273" s="62"/>
      <c r="AB273" s="62"/>
      <c r="AC273" s="62"/>
    </row>
    <row r="274" spans="1:68" ht="14.25" customHeight="1" x14ac:dyDescent="0.25">
      <c r="A274" s="645" t="s">
        <v>125</v>
      </c>
      <c r="B274" s="645"/>
      <c r="C274" s="645"/>
      <c r="D274" s="645"/>
      <c r="E274" s="645"/>
      <c r="F274" s="645"/>
      <c r="G274" s="645"/>
      <c r="H274" s="645"/>
      <c r="I274" s="645"/>
      <c r="J274" s="645"/>
      <c r="K274" s="645"/>
      <c r="L274" s="645"/>
      <c r="M274" s="645"/>
      <c r="N274" s="645"/>
      <c r="O274" s="645"/>
      <c r="P274" s="645"/>
      <c r="Q274" s="645"/>
      <c r="R274" s="645"/>
      <c r="S274" s="645"/>
      <c r="T274" s="645"/>
      <c r="U274" s="645"/>
      <c r="V274" s="645"/>
      <c r="W274" s="645"/>
      <c r="X274" s="645"/>
      <c r="Y274" s="645"/>
      <c r="Z274" s="645"/>
      <c r="AA274" s="63"/>
      <c r="AB274" s="63"/>
      <c r="AC274" s="63"/>
    </row>
    <row r="275" spans="1:68" ht="27" customHeight="1" x14ac:dyDescent="0.25">
      <c r="A275" s="60" t="s">
        <v>457</v>
      </c>
      <c r="B275" s="60" t="s">
        <v>458</v>
      </c>
      <c r="C275" s="34">
        <v>4301011855</v>
      </c>
      <c r="D275" s="646">
        <v>4680115885837</v>
      </c>
      <c r="E275" s="646"/>
      <c r="F275" s="59">
        <v>1.35</v>
      </c>
      <c r="G275" s="35">
        <v>8</v>
      </c>
      <c r="H275" s="59">
        <v>10.8</v>
      </c>
      <c r="I275" s="59">
        <v>11.21</v>
      </c>
      <c r="J275" s="35">
        <v>64</v>
      </c>
      <c r="K275" s="35" t="s">
        <v>130</v>
      </c>
      <c r="L275" s="35" t="s">
        <v>46</v>
      </c>
      <c r="M275" s="36" t="s">
        <v>129</v>
      </c>
      <c r="N275" s="36"/>
      <c r="O275" s="35">
        <v>55</v>
      </c>
      <c r="P275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108</v>
      </c>
      <c r="Y275" s="53">
        <f>IFERROR(IF(X275="",0,CEILING((X275/$H275),1)*$H275),"")</f>
        <v>108</v>
      </c>
      <c r="Z275" s="39">
        <f>IFERROR(IF(Y275=0,"",ROUNDUP(Y275/H275,0)*0.01898),"")</f>
        <v>0.1898</v>
      </c>
      <c r="AA275" s="65" t="s">
        <v>46</v>
      </c>
      <c r="AB275" s="66" t="s">
        <v>46</v>
      </c>
      <c r="AC275" s="349" t="s">
        <v>459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112.1</v>
      </c>
      <c r="BN275" s="75">
        <f>IFERROR(Y275*I275/H275,"0")</f>
        <v>112.1</v>
      </c>
      <c r="BO275" s="75">
        <f>IFERROR(1/J275*(X275/H275),"0")</f>
        <v>0.15625</v>
      </c>
      <c r="BP275" s="75">
        <f>IFERROR(1/J275*(Y275/H275),"0")</f>
        <v>0.15625</v>
      </c>
    </row>
    <row r="276" spans="1:68" ht="37.5" customHeight="1" x14ac:dyDescent="0.25">
      <c r="A276" s="60" t="s">
        <v>460</v>
      </c>
      <c r="B276" s="60" t="s">
        <v>461</v>
      </c>
      <c r="C276" s="34">
        <v>4301012234</v>
      </c>
      <c r="D276" s="646">
        <v>4680115887237</v>
      </c>
      <c r="E276" s="646"/>
      <c r="F276" s="59">
        <v>1.35</v>
      </c>
      <c r="G276" s="35">
        <v>8</v>
      </c>
      <c r="H276" s="59">
        <v>10.8</v>
      </c>
      <c r="I276" s="59">
        <v>11.21</v>
      </c>
      <c r="J276" s="35">
        <v>64</v>
      </c>
      <c r="K276" s="35" t="s">
        <v>130</v>
      </c>
      <c r="L276" s="35" t="s">
        <v>46</v>
      </c>
      <c r="M276" s="36" t="s">
        <v>129</v>
      </c>
      <c r="N276" s="36"/>
      <c r="O276" s="35">
        <v>55</v>
      </c>
      <c r="P276" s="78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54</v>
      </c>
      <c r="Y276" s="53">
        <f>IFERROR(IF(X276="",0,CEILING((X276/$H276),1)*$H276),"")</f>
        <v>54</v>
      </c>
      <c r="Z276" s="39">
        <f>IFERROR(IF(Y276=0,"",ROUNDUP(Y276/H276,0)*0.01898),"")</f>
        <v>9.4899999999999998E-2</v>
      </c>
      <c r="AA276" s="65" t="s">
        <v>46</v>
      </c>
      <c r="AB276" s="66" t="s">
        <v>46</v>
      </c>
      <c r="AC276" s="351" t="s">
        <v>462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56.05</v>
      </c>
      <c r="BN276" s="75">
        <f>IFERROR(Y276*I276/H276,"0")</f>
        <v>56.05</v>
      </c>
      <c r="BO276" s="75">
        <f>IFERROR(1/J276*(X276/H276),"0")</f>
        <v>7.8125E-2</v>
      </c>
      <c r="BP276" s="75">
        <f>IFERROR(1/J276*(Y276/H276),"0")</f>
        <v>7.8125E-2</v>
      </c>
    </row>
    <row r="277" spans="1:68" ht="27" customHeight="1" x14ac:dyDescent="0.25">
      <c r="A277" s="60" t="s">
        <v>463</v>
      </c>
      <c r="B277" s="60" t="s">
        <v>464</v>
      </c>
      <c r="C277" s="34">
        <v>4301011850</v>
      </c>
      <c r="D277" s="646">
        <v>4680115885806</v>
      </c>
      <c r="E277" s="646"/>
      <c r="F277" s="59">
        <v>1.35</v>
      </c>
      <c r="G277" s="35">
        <v>8</v>
      </c>
      <c r="H277" s="59">
        <v>10.8</v>
      </c>
      <c r="I277" s="59">
        <v>11.21</v>
      </c>
      <c r="J277" s="35">
        <v>64</v>
      </c>
      <c r="K277" s="35" t="s">
        <v>130</v>
      </c>
      <c r="L277" s="35" t="s">
        <v>46</v>
      </c>
      <c r="M277" s="36" t="s">
        <v>129</v>
      </c>
      <c r="N277" s="36"/>
      <c r="O277" s="35">
        <v>55</v>
      </c>
      <c r="P277" s="79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7" s="648"/>
      <c r="R277" s="648"/>
      <c r="S277" s="648"/>
      <c r="T277" s="649"/>
      <c r="U277" s="37" t="s">
        <v>46</v>
      </c>
      <c r="V277" s="37" t="s">
        <v>46</v>
      </c>
      <c r="W277" s="38" t="s">
        <v>0</v>
      </c>
      <c r="X277" s="56">
        <v>162</v>
      </c>
      <c r="Y277" s="53">
        <f>IFERROR(IF(X277="",0,CEILING((X277/$H277),1)*$H277),"")</f>
        <v>162</v>
      </c>
      <c r="Z277" s="39">
        <f>IFERROR(IF(Y277=0,"",ROUNDUP(Y277/H277,0)*0.01898),"")</f>
        <v>0.28470000000000001</v>
      </c>
      <c r="AA277" s="65" t="s">
        <v>46</v>
      </c>
      <c r="AB277" s="66" t="s">
        <v>46</v>
      </c>
      <c r="AC277" s="353" t="s">
        <v>465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168.15</v>
      </c>
      <c r="BN277" s="75">
        <f>IFERROR(Y277*I277/H277,"0")</f>
        <v>168.15</v>
      </c>
      <c r="BO277" s="75">
        <f>IFERROR(1/J277*(X277/H277),"0")</f>
        <v>0.23437499999999997</v>
      </c>
      <c r="BP277" s="75">
        <f>IFERROR(1/J277*(Y277/H277),"0")</f>
        <v>0.23437499999999997</v>
      </c>
    </row>
    <row r="278" spans="1:68" ht="27" customHeight="1" x14ac:dyDescent="0.25">
      <c r="A278" s="60" t="s">
        <v>466</v>
      </c>
      <c r="B278" s="60" t="s">
        <v>467</v>
      </c>
      <c r="C278" s="34">
        <v>4301011852</v>
      </c>
      <c r="D278" s="646">
        <v>4680115885844</v>
      </c>
      <c r="E278" s="646"/>
      <c r="F278" s="59">
        <v>0.4</v>
      </c>
      <c r="G278" s="35">
        <v>10</v>
      </c>
      <c r="H278" s="59">
        <v>4</v>
      </c>
      <c r="I278" s="59">
        <v>4.1900000000000004</v>
      </c>
      <c r="J278" s="35">
        <v>132</v>
      </c>
      <c r="K278" s="35" t="s">
        <v>137</v>
      </c>
      <c r="L278" s="35" t="s">
        <v>46</v>
      </c>
      <c r="M278" s="36" t="s">
        <v>129</v>
      </c>
      <c r="N278" s="36"/>
      <c r="O278" s="35">
        <v>55</v>
      </c>
      <c r="P278" s="79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8" s="648"/>
      <c r="R278" s="648"/>
      <c r="S278" s="648"/>
      <c r="T278" s="649"/>
      <c r="U278" s="37" t="s">
        <v>46</v>
      </c>
      <c r="V278" s="37" t="s">
        <v>46</v>
      </c>
      <c r="W278" s="38" t="s">
        <v>0</v>
      </c>
      <c r="X278" s="56">
        <v>8</v>
      </c>
      <c r="Y278" s="53">
        <f>IFERROR(IF(X278="",0,CEILING((X278/$H278),1)*$H278),"")</f>
        <v>8</v>
      </c>
      <c r="Z278" s="39">
        <f>IFERROR(IF(Y278=0,"",ROUNDUP(Y278/H278,0)*0.00902),"")</f>
        <v>1.804E-2</v>
      </c>
      <c r="AA278" s="65" t="s">
        <v>46</v>
      </c>
      <c r="AB278" s="66" t="s">
        <v>46</v>
      </c>
      <c r="AC278" s="355" t="s">
        <v>468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8.3800000000000008</v>
      </c>
      <c r="BN278" s="75">
        <f>IFERROR(Y278*I278/H278,"0")</f>
        <v>8.3800000000000008</v>
      </c>
      <c r="BO278" s="75">
        <f>IFERROR(1/J278*(X278/H278),"0")</f>
        <v>1.5151515151515152E-2</v>
      </c>
      <c r="BP278" s="75">
        <f>IFERROR(1/J278*(Y278/H278),"0")</f>
        <v>1.5151515151515152E-2</v>
      </c>
    </row>
    <row r="279" spans="1:68" ht="37.5" customHeight="1" x14ac:dyDescent="0.25">
      <c r="A279" s="60" t="s">
        <v>469</v>
      </c>
      <c r="B279" s="60" t="s">
        <v>470</v>
      </c>
      <c r="C279" s="34">
        <v>4301011851</v>
      </c>
      <c r="D279" s="646">
        <v>4680115885820</v>
      </c>
      <c r="E279" s="646"/>
      <c r="F279" s="59">
        <v>0.4</v>
      </c>
      <c r="G279" s="35">
        <v>10</v>
      </c>
      <c r="H279" s="59">
        <v>4</v>
      </c>
      <c r="I279" s="59">
        <v>4.1900000000000004</v>
      </c>
      <c r="J279" s="35">
        <v>132</v>
      </c>
      <c r="K279" s="35" t="s">
        <v>137</v>
      </c>
      <c r="L279" s="35" t="s">
        <v>46</v>
      </c>
      <c r="M279" s="36" t="s">
        <v>129</v>
      </c>
      <c r="N279" s="36"/>
      <c r="O279" s="35">
        <v>55</v>
      </c>
      <c r="P279" s="79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9" s="648"/>
      <c r="R279" s="648"/>
      <c r="S279" s="648"/>
      <c r="T279" s="649"/>
      <c r="U279" s="37" t="s">
        <v>46</v>
      </c>
      <c r="V279" s="37" t="s">
        <v>46</v>
      </c>
      <c r="W279" s="38" t="s">
        <v>0</v>
      </c>
      <c r="X279" s="56">
        <v>16</v>
      </c>
      <c r="Y279" s="53">
        <f>IFERROR(IF(X279="",0,CEILING((X279/$H279),1)*$H279),"")</f>
        <v>16</v>
      </c>
      <c r="Z279" s="39">
        <f>IFERROR(IF(Y279=0,"",ROUNDUP(Y279/H279,0)*0.00902),"")</f>
        <v>3.6080000000000001E-2</v>
      </c>
      <c r="AA279" s="65" t="s">
        <v>46</v>
      </c>
      <c r="AB279" s="66" t="s">
        <v>46</v>
      </c>
      <c r="AC279" s="357" t="s">
        <v>471</v>
      </c>
      <c r="AG279" s="75"/>
      <c r="AJ279" s="79" t="s">
        <v>46</v>
      </c>
      <c r="AK279" s="79">
        <v>0</v>
      </c>
      <c r="BB279" s="358" t="s">
        <v>67</v>
      </c>
      <c r="BM279" s="75">
        <f>IFERROR(X279*I279/H279,"0")</f>
        <v>16.760000000000002</v>
      </c>
      <c r="BN279" s="75">
        <f>IFERROR(Y279*I279/H279,"0")</f>
        <v>16.760000000000002</v>
      </c>
      <c r="BO279" s="75">
        <f>IFERROR(1/J279*(X279/H279),"0")</f>
        <v>3.0303030303030304E-2</v>
      </c>
      <c r="BP279" s="75">
        <f>IFERROR(1/J279*(Y279/H279),"0")</f>
        <v>3.0303030303030304E-2</v>
      </c>
    </row>
    <row r="280" spans="1:68" x14ac:dyDescent="0.2">
      <c r="A280" s="654"/>
      <c r="B280" s="654"/>
      <c r="C280" s="654"/>
      <c r="D280" s="654"/>
      <c r="E280" s="654"/>
      <c r="F280" s="654"/>
      <c r="G280" s="654"/>
      <c r="H280" s="654"/>
      <c r="I280" s="654"/>
      <c r="J280" s="654"/>
      <c r="K280" s="654"/>
      <c r="L280" s="654"/>
      <c r="M280" s="654"/>
      <c r="N280" s="654"/>
      <c r="O280" s="655"/>
      <c r="P280" s="651" t="s">
        <v>40</v>
      </c>
      <c r="Q280" s="652"/>
      <c r="R280" s="652"/>
      <c r="S280" s="652"/>
      <c r="T280" s="652"/>
      <c r="U280" s="652"/>
      <c r="V280" s="653"/>
      <c r="W280" s="40" t="s">
        <v>39</v>
      </c>
      <c r="X280" s="41">
        <f>IFERROR(X275/H275,"0")+IFERROR(X276/H276,"0")+IFERROR(X277/H277,"0")+IFERROR(X278/H278,"0")+IFERROR(X279/H279,"0")</f>
        <v>36</v>
      </c>
      <c r="Y280" s="41">
        <f>IFERROR(Y275/H275,"0")+IFERROR(Y276/H276,"0")+IFERROR(Y277/H277,"0")+IFERROR(Y278/H278,"0")+IFERROR(Y279/H279,"0")</f>
        <v>36</v>
      </c>
      <c r="Z280" s="41">
        <f>IFERROR(IF(Z275="",0,Z275),"0")+IFERROR(IF(Z276="",0,Z276),"0")+IFERROR(IF(Z277="",0,Z277),"0")+IFERROR(IF(Z278="",0,Z278),"0")+IFERROR(IF(Z279="",0,Z279),"0")</f>
        <v>0.62351999999999996</v>
      </c>
      <c r="AA280" s="64"/>
      <c r="AB280" s="64"/>
      <c r="AC280" s="64"/>
    </row>
    <row r="281" spans="1:68" x14ac:dyDescent="0.2">
      <c r="A281" s="654"/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5"/>
      <c r="P281" s="651" t="s">
        <v>40</v>
      </c>
      <c r="Q281" s="652"/>
      <c r="R281" s="652"/>
      <c r="S281" s="652"/>
      <c r="T281" s="652"/>
      <c r="U281" s="652"/>
      <c r="V281" s="653"/>
      <c r="W281" s="40" t="s">
        <v>0</v>
      </c>
      <c r="X281" s="41">
        <f>IFERROR(SUM(X275:X279),"0")</f>
        <v>348</v>
      </c>
      <c r="Y281" s="41">
        <f>IFERROR(SUM(Y275:Y279),"0")</f>
        <v>348</v>
      </c>
      <c r="Z281" s="40"/>
      <c r="AA281" s="64"/>
      <c r="AB281" s="64"/>
      <c r="AC281" s="64"/>
    </row>
    <row r="282" spans="1:68" ht="16.5" customHeight="1" x14ac:dyDescent="0.25">
      <c r="A282" s="644" t="s">
        <v>472</v>
      </c>
      <c r="B282" s="644"/>
      <c r="C282" s="644"/>
      <c r="D282" s="644"/>
      <c r="E282" s="644"/>
      <c r="F282" s="644"/>
      <c r="G282" s="644"/>
      <c r="H282" s="644"/>
      <c r="I282" s="644"/>
      <c r="J282" s="644"/>
      <c r="K282" s="644"/>
      <c r="L282" s="644"/>
      <c r="M282" s="644"/>
      <c r="N282" s="644"/>
      <c r="O282" s="644"/>
      <c r="P282" s="644"/>
      <c r="Q282" s="644"/>
      <c r="R282" s="644"/>
      <c r="S282" s="644"/>
      <c r="T282" s="644"/>
      <c r="U282" s="644"/>
      <c r="V282" s="644"/>
      <c r="W282" s="644"/>
      <c r="X282" s="644"/>
      <c r="Y282" s="644"/>
      <c r="Z282" s="644"/>
      <c r="AA282" s="62"/>
      <c r="AB282" s="62"/>
      <c r="AC282" s="62"/>
    </row>
    <row r="283" spans="1:68" ht="14.25" customHeight="1" x14ac:dyDescent="0.25">
      <c r="A283" s="645" t="s">
        <v>125</v>
      </c>
      <c r="B283" s="645"/>
      <c r="C283" s="645"/>
      <c r="D283" s="645"/>
      <c r="E283" s="645"/>
      <c r="F283" s="645"/>
      <c r="G283" s="645"/>
      <c r="H283" s="645"/>
      <c r="I283" s="645"/>
      <c r="J283" s="645"/>
      <c r="K283" s="645"/>
      <c r="L283" s="645"/>
      <c r="M283" s="645"/>
      <c r="N283" s="645"/>
      <c r="O283" s="645"/>
      <c r="P283" s="645"/>
      <c r="Q283" s="645"/>
      <c r="R283" s="645"/>
      <c r="S283" s="645"/>
      <c r="T283" s="645"/>
      <c r="U283" s="645"/>
      <c r="V283" s="645"/>
      <c r="W283" s="645"/>
      <c r="X283" s="645"/>
      <c r="Y283" s="645"/>
      <c r="Z283" s="645"/>
      <c r="AA283" s="63"/>
      <c r="AB283" s="63"/>
      <c r="AC283" s="63"/>
    </row>
    <row r="284" spans="1:68" ht="27" customHeight="1" x14ac:dyDescent="0.25">
      <c r="A284" s="60" t="s">
        <v>473</v>
      </c>
      <c r="B284" s="60" t="s">
        <v>474</v>
      </c>
      <c r="C284" s="34">
        <v>4301011223</v>
      </c>
      <c r="D284" s="646">
        <v>4607091383423</v>
      </c>
      <c r="E284" s="646"/>
      <c r="F284" s="59">
        <v>1.35</v>
      </c>
      <c r="G284" s="35">
        <v>8</v>
      </c>
      <c r="H284" s="59">
        <v>10.8</v>
      </c>
      <c r="I284" s="59">
        <v>11.305999999999999</v>
      </c>
      <c r="J284" s="35">
        <v>64</v>
      </c>
      <c r="K284" s="35" t="s">
        <v>130</v>
      </c>
      <c r="L284" s="35" t="s">
        <v>46</v>
      </c>
      <c r="M284" s="36" t="s">
        <v>91</v>
      </c>
      <c r="N284" s="36"/>
      <c r="O284" s="35">
        <v>35</v>
      </c>
      <c r="P284" s="79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>IFERROR(IF(X284="",0,CEILING((X284/$H284),1)*$H284),"")</f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128</v>
      </c>
      <c r="AG284" s="75"/>
      <c r="AJ284" s="79" t="s">
        <v>46</v>
      </c>
      <c r="AK284" s="79">
        <v>0</v>
      </c>
      <c r="BB284" s="360" t="s">
        <v>67</v>
      </c>
      <c r="BM284" s="75">
        <f>IFERROR(X284*I284/H284,"0")</f>
        <v>0</v>
      </c>
      <c r="BN284" s="75">
        <f>IFERROR(Y284*I284/H284,"0")</f>
        <v>0</v>
      </c>
      <c r="BO284" s="75">
        <f>IFERROR(1/J284*(X284/H284),"0")</f>
        <v>0</v>
      </c>
      <c r="BP284" s="75">
        <f>IFERROR(1/J284*(Y284/H284),"0")</f>
        <v>0</v>
      </c>
    </row>
    <row r="285" spans="1:68" ht="37.5" customHeight="1" x14ac:dyDescent="0.25">
      <c r="A285" s="60" t="s">
        <v>475</v>
      </c>
      <c r="B285" s="60" t="s">
        <v>476</v>
      </c>
      <c r="C285" s="34">
        <v>4301012199</v>
      </c>
      <c r="D285" s="646">
        <v>4680115886957</v>
      </c>
      <c r="E285" s="646"/>
      <c r="F285" s="59">
        <v>1.35</v>
      </c>
      <c r="G285" s="35">
        <v>8</v>
      </c>
      <c r="H285" s="59">
        <v>10.8</v>
      </c>
      <c r="I285" s="59">
        <v>11.21</v>
      </c>
      <c r="J285" s="35">
        <v>64</v>
      </c>
      <c r="K285" s="35" t="s">
        <v>130</v>
      </c>
      <c r="L285" s="35" t="s">
        <v>46</v>
      </c>
      <c r="M285" s="36" t="s">
        <v>91</v>
      </c>
      <c r="N285" s="36"/>
      <c r="O285" s="35">
        <v>30</v>
      </c>
      <c r="P285" s="79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477</v>
      </c>
      <c r="AG285" s="75"/>
      <c r="AJ285" s="79" t="s">
        <v>46</v>
      </c>
      <c r="AK285" s="79">
        <v>0</v>
      </c>
      <c r="BB285" s="362" t="s">
        <v>67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customHeight="1" x14ac:dyDescent="0.25">
      <c r="A286" s="60" t="s">
        <v>478</v>
      </c>
      <c r="B286" s="60" t="s">
        <v>479</v>
      </c>
      <c r="C286" s="34">
        <v>4301012098</v>
      </c>
      <c r="D286" s="646">
        <v>4680115885660</v>
      </c>
      <c r="E286" s="646"/>
      <c r="F286" s="59">
        <v>1.35</v>
      </c>
      <c r="G286" s="35">
        <v>8</v>
      </c>
      <c r="H286" s="59">
        <v>10.8</v>
      </c>
      <c r="I286" s="59">
        <v>11.21</v>
      </c>
      <c r="J286" s="35">
        <v>64</v>
      </c>
      <c r="K286" s="35" t="s">
        <v>130</v>
      </c>
      <c r="L286" s="35" t="s">
        <v>46</v>
      </c>
      <c r="M286" s="36" t="s">
        <v>91</v>
      </c>
      <c r="N286" s="36"/>
      <c r="O286" s="35">
        <v>35</v>
      </c>
      <c r="P286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IFERROR(IF(Y286=0,"",ROUNDUP(Y286/H286,0)*0.01898),"")</f>
        <v/>
      </c>
      <c r="AA286" s="65" t="s">
        <v>46</v>
      </c>
      <c r="AB286" s="66" t="s">
        <v>46</v>
      </c>
      <c r="AC286" s="363" t="s">
        <v>426</v>
      </c>
      <c r="AG286" s="75"/>
      <c r="AJ286" s="79" t="s">
        <v>46</v>
      </c>
      <c r="AK286" s="79">
        <v>0</v>
      </c>
      <c r="BB286" s="364" t="s">
        <v>67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37.5" customHeight="1" x14ac:dyDescent="0.25">
      <c r="A287" s="60" t="s">
        <v>480</v>
      </c>
      <c r="B287" s="60" t="s">
        <v>481</v>
      </c>
      <c r="C287" s="34">
        <v>4301012176</v>
      </c>
      <c r="D287" s="646">
        <v>4680115886773</v>
      </c>
      <c r="E287" s="646"/>
      <c r="F287" s="59">
        <v>0.9</v>
      </c>
      <c r="G287" s="35">
        <v>10</v>
      </c>
      <c r="H287" s="59">
        <v>9</v>
      </c>
      <c r="I287" s="59">
        <v>9.41</v>
      </c>
      <c r="J287" s="35">
        <v>64</v>
      </c>
      <c r="K287" s="35" t="s">
        <v>130</v>
      </c>
      <c r="L287" s="35" t="s">
        <v>46</v>
      </c>
      <c r="M287" s="36" t="s">
        <v>129</v>
      </c>
      <c r="N287" s="36"/>
      <c r="O287" s="35">
        <v>31</v>
      </c>
      <c r="P287" s="79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IFERROR(IF(Y287=0,"",ROUNDUP(Y287/H287,0)*0.01898),"")</f>
        <v/>
      </c>
      <c r="AA287" s="65" t="s">
        <v>46</v>
      </c>
      <c r="AB287" s="66" t="s">
        <v>46</v>
      </c>
      <c r="AC287" s="365" t="s">
        <v>482</v>
      </c>
      <c r="AG287" s="75"/>
      <c r="AJ287" s="79" t="s">
        <v>46</v>
      </c>
      <c r="AK287" s="79">
        <v>0</v>
      </c>
      <c r="BB287" s="366" t="s">
        <v>67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654"/>
      <c r="B288" s="654"/>
      <c r="C288" s="654"/>
      <c r="D288" s="654"/>
      <c r="E288" s="654"/>
      <c r="F288" s="654"/>
      <c r="G288" s="654"/>
      <c r="H288" s="654"/>
      <c r="I288" s="654"/>
      <c r="J288" s="654"/>
      <c r="K288" s="654"/>
      <c r="L288" s="654"/>
      <c r="M288" s="654"/>
      <c r="N288" s="654"/>
      <c r="O288" s="655"/>
      <c r="P288" s="651" t="s">
        <v>40</v>
      </c>
      <c r="Q288" s="652"/>
      <c r="R288" s="652"/>
      <c r="S288" s="652"/>
      <c r="T288" s="652"/>
      <c r="U288" s="652"/>
      <c r="V288" s="653"/>
      <c r="W288" s="40" t="s">
        <v>39</v>
      </c>
      <c r="X288" s="41">
        <f>IFERROR(X284/H284,"0")+IFERROR(X285/H285,"0")+IFERROR(X286/H286,"0")+IFERROR(X287/H287,"0")</f>
        <v>0</v>
      </c>
      <c r="Y288" s="41">
        <f>IFERROR(Y284/H284,"0")+IFERROR(Y285/H285,"0")+IFERROR(Y286/H286,"0")+IFERROR(Y287/H287,"0")</f>
        <v>0</v>
      </c>
      <c r="Z288" s="41">
        <f>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x14ac:dyDescent="0.2">
      <c r="A289" s="654"/>
      <c r="B289" s="654"/>
      <c r="C289" s="654"/>
      <c r="D289" s="654"/>
      <c r="E289" s="654"/>
      <c r="F289" s="654"/>
      <c r="G289" s="654"/>
      <c r="H289" s="654"/>
      <c r="I289" s="654"/>
      <c r="J289" s="654"/>
      <c r="K289" s="654"/>
      <c r="L289" s="654"/>
      <c r="M289" s="654"/>
      <c r="N289" s="654"/>
      <c r="O289" s="655"/>
      <c r="P289" s="651" t="s">
        <v>40</v>
      </c>
      <c r="Q289" s="652"/>
      <c r="R289" s="652"/>
      <c r="S289" s="652"/>
      <c r="T289" s="652"/>
      <c r="U289" s="652"/>
      <c r="V289" s="653"/>
      <c r="W289" s="40" t="s">
        <v>0</v>
      </c>
      <c r="X289" s="41">
        <f>IFERROR(SUM(X284:X287),"0")</f>
        <v>0</v>
      </c>
      <c r="Y289" s="41">
        <f>IFERROR(SUM(Y284:Y287),"0")</f>
        <v>0</v>
      </c>
      <c r="Z289" s="40"/>
      <c r="AA289" s="64"/>
      <c r="AB289" s="64"/>
      <c r="AC289" s="64"/>
    </row>
    <row r="290" spans="1:68" ht="16.5" customHeight="1" x14ac:dyDescent="0.25">
      <c r="A290" s="644" t="s">
        <v>483</v>
      </c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44"/>
      <c r="P290" s="644"/>
      <c r="Q290" s="644"/>
      <c r="R290" s="644"/>
      <c r="S290" s="644"/>
      <c r="T290" s="644"/>
      <c r="U290" s="644"/>
      <c r="V290" s="644"/>
      <c r="W290" s="644"/>
      <c r="X290" s="644"/>
      <c r="Y290" s="644"/>
      <c r="Z290" s="644"/>
      <c r="AA290" s="62"/>
      <c r="AB290" s="62"/>
      <c r="AC290" s="62"/>
    </row>
    <row r="291" spans="1:68" ht="14.25" customHeight="1" x14ac:dyDescent="0.25">
      <c r="A291" s="645" t="s">
        <v>87</v>
      </c>
      <c r="B291" s="645"/>
      <c r="C291" s="645"/>
      <c r="D291" s="645"/>
      <c r="E291" s="645"/>
      <c r="F291" s="645"/>
      <c r="G291" s="645"/>
      <c r="H291" s="645"/>
      <c r="I291" s="645"/>
      <c r="J291" s="645"/>
      <c r="K291" s="645"/>
      <c r="L291" s="645"/>
      <c r="M291" s="645"/>
      <c r="N291" s="645"/>
      <c r="O291" s="645"/>
      <c r="P291" s="645"/>
      <c r="Q291" s="645"/>
      <c r="R291" s="645"/>
      <c r="S291" s="645"/>
      <c r="T291" s="645"/>
      <c r="U291" s="645"/>
      <c r="V291" s="645"/>
      <c r="W291" s="645"/>
      <c r="X291" s="645"/>
      <c r="Y291" s="645"/>
      <c r="Z291" s="645"/>
      <c r="AA291" s="63"/>
      <c r="AB291" s="63"/>
      <c r="AC291" s="63"/>
    </row>
    <row r="292" spans="1:68" ht="27" customHeight="1" x14ac:dyDescent="0.25">
      <c r="A292" s="60" t="s">
        <v>484</v>
      </c>
      <c r="B292" s="60" t="s">
        <v>485</v>
      </c>
      <c r="C292" s="34">
        <v>4301051893</v>
      </c>
      <c r="D292" s="646">
        <v>4680115886186</v>
      </c>
      <c r="E292" s="646"/>
      <c r="F292" s="59">
        <v>0.3</v>
      </c>
      <c r="G292" s="35">
        <v>6</v>
      </c>
      <c r="H292" s="59">
        <v>1.8</v>
      </c>
      <c r="I292" s="59">
        <v>1.98</v>
      </c>
      <c r="J292" s="35">
        <v>182</v>
      </c>
      <c r="K292" s="35" t="s">
        <v>82</v>
      </c>
      <c r="L292" s="35" t="s">
        <v>46</v>
      </c>
      <c r="M292" s="36" t="s">
        <v>91</v>
      </c>
      <c r="N292" s="36"/>
      <c r="O292" s="35">
        <v>45</v>
      </c>
      <c r="P292" s="79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2" s="648"/>
      <c r="R292" s="648"/>
      <c r="S292" s="648"/>
      <c r="T292" s="649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67" t="s">
        <v>486</v>
      </c>
      <c r="AG292" s="75"/>
      <c r="AJ292" s="79" t="s">
        <v>46</v>
      </c>
      <c r="AK292" s="79">
        <v>0</v>
      </c>
      <c r="BB292" s="368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customHeight="1" x14ac:dyDescent="0.25">
      <c r="A293" s="60" t="s">
        <v>487</v>
      </c>
      <c r="B293" s="60" t="s">
        <v>488</v>
      </c>
      <c r="C293" s="34">
        <v>4301051795</v>
      </c>
      <c r="D293" s="646">
        <v>4680115881228</v>
      </c>
      <c r="E293" s="646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82</v>
      </c>
      <c r="L293" s="35" t="s">
        <v>46</v>
      </c>
      <c r="M293" s="36" t="s">
        <v>97</v>
      </c>
      <c r="N293" s="36"/>
      <c r="O293" s="35">
        <v>40</v>
      </c>
      <c r="P293" s="79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3" s="648"/>
      <c r="R293" s="648"/>
      <c r="S293" s="648"/>
      <c r="T293" s="649"/>
      <c r="U293" s="37" t="s">
        <v>46</v>
      </c>
      <c r="V293" s="37" t="s">
        <v>46</v>
      </c>
      <c r="W293" s="38" t="s">
        <v>0</v>
      </c>
      <c r="X293" s="56">
        <v>12</v>
      </c>
      <c r="Y293" s="53">
        <f>IFERROR(IF(X293="",0,CEILING((X293/$H293),1)*$H293),"")</f>
        <v>12</v>
      </c>
      <c r="Z293" s="39">
        <f>IFERROR(IF(Y293=0,"",ROUNDUP(Y293/H293,0)*0.00651),"")</f>
        <v>3.2550000000000003E-2</v>
      </c>
      <c r="AA293" s="65" t="s">
        <v>46</v>
      </c>
      <c r="AB293" s="66" t="s">
        <v>46</v>
      </c>
      <c r="AC293" s="369" t="s">
        <v>489</v>
      </c>
      <c r="AG293" s="75"/>
      <c r="AJ293" s="79" t="s">
        <v>46</v>
      </c>
      <c r="AK293" s="79">
        <v>0</v>
      </c>
      <c r="BB293" s="370" t="s">
        <v>67</v>
      </c>
      <c r="BM293" s="75">
        <f>IFERROR(X293*I293/H293,"0")</f>
        <v>13.260000000000002</v>
      </c>
      <c r="BN293" s="75">
        <f>IFERROR(Y293*I293/H293,"0")</f>
        <v>13.260000000000002</v>
      </c>
      <c r="BO293" s="75">
        <f>IFERROR(1/J293*(X293/H293),"0")</f>
        <v>2.7472527472527476E-2</v>
      </c>
      <c r="BP293" s="75">
        <f>IFERROR(1/J293*(Y293/H293),"0")</f>
        <v>2.7472527472527476E-2</v>
      </c>
    </row>
    <row r="294" spans="1:68" ht="27" customHeight="1" x14ac:dyDescent="0.25">
      <c r="A294" s="60" t="s">
        <v>490</v>
      </c>
      <c r="B294" s="60" t="s">
        <v>491</v>
      </c>
      <c r="C294" s="34">
        <v>4301051388</v>
      </c>
      <c r="D294" s="646">
        <v>4680115881211</v>
      </c>
      <c r="E294" s="646"/>
      <c r="F294" s="59">
        <v>0.4</v>
      </c>
      <c r="G294" s="35">
        <v>6</v>
      </c>
      <c r="H294" s="59">
        <v>2.4</v>
      </c>
      <c r="I294" s="59">
        <v>2.58</v>
      </c>
      <c r="J294" s="35">
        <v>182</v>
      </c>
      <c r="K294" s="35" t="s">
        <v>82</v>
      </c>
      <c r="L294" s="35" t="s">
        <v>46</v>
      </c>
      <c r="M294" s="36" t="s">
        <v>91</v>
      </c>
      <c r="N294" s="36"/>
      <c r="O294" s="35">
        <v>45</v>
      </c>
      <c r="P294" s="79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4" s="648"/>
      <c r="R294" s="648"/>
      <c r="S294" s="648"/>
      <c r="T294" s="649"/>
      <c r="U294" s="37" t="s">
        <v>46</v>
      </c>
      <c r="V294" s="37" t="s">
        <v>46</v>
      </c>
      <c r="W294" s="38" t="s">
        <v>0</v>
      </c>
      <c r="X294" s="56">
        <v>12</v>
      </c>
      <c r="Y294" s="53">
        <f>IFERROR(IF(X294="",0,CEILING((X294/$H294),1)*$H294),"")</f>
        <v>12</v>
      </c>
      <c r="Z294" s="39">
        <f>IFERROR(IF(Y294=0,"",ROUNDUP(Y294/H294,0)*0.00651),"")</f>
        <v>3.2550000000000003E-2</v>
      </c>
      <c r="AA294" s="65" t="s">
        <v>46</v>
      </c>
      <c r="AB294" s="66" t="s">
        <v>46</v>
      </c>
      <c r="AC294" s="371" t="s">
        <v>486</v>
      </c>
      <c r="AG294" s="75"/>
      <c r="AJ294" s="79" t="s">
        <v>46</v>
      </c>
      <c r="AK294" s="79">
        <v>0</v>
      </c>
      <c r="BB294" s="372" t="s">
        <v>67</v>
      </c>
      <c r="BM294" s="75">
        <f>IFERROR(X294*I294/H294,"0")</f>
        <v>12.9</v>
      </c>
      <c r="BN294" s="75">
        <f>IFERROR(Y294*I294/H294,"0")</f>
        <v>12.9</v>
      </c>
      <c r="BO294" s="75">
        <f>IFERROR(1/J294*(X294/H294),"0")</f>
        <v>2.7472527472527476E-2</v>
      </c>
      <c r="BP294" s="75">
        <f>IFERROR(1/J294*(Y294/H294),"0")</f>
        <v>2.7472527472527476E-2</v>
      </c>
    </row>
    <row r="295" spans="1:68" x14ac:dyDescent="0.2">
      <c r="A295" s="654"/>
      <c r="B295" s="654"/>
      <c r="C295" s="654"/>
      <c r="D295" s="654"/>
      <c r="E295" s="654"/>
      <c r="F295" s="654"/>
      <c r="G295" s="654"/>
      <c r="H295" s="654"/>
      <c r="I295" s="654"/>
      <c r="J295" s="654"/>
      <c r="K295" s="654"/>
      <c r="L295" s="654"/>
      <c r="M295" s="654"/>
      <c r="N295" s="654"/>
      <c r="O295" s="655"/>
      <c r="P295" s="651" t="s">
        <v>40</v>
      </c>
      <c r="Q295" s="652"/>
      <c r="R295" s="652"/>
      <c r="S295" s="652"/>
      <c r="T295" s="652"/>
      <c r="U295" s="652"/>
      <c r="V295" s="653"/>
      <c r="W295" s="40" t="s">
        <v>39</v>
      </c>
      <c r="X295" s="41">
        <f>IFERROR(X292/H292,"0")+IFERROR(X293/H293,"0")+IFERROR(X294/H294,"0")</f>
        <v>10</v>
      </c>
      <c r="Y295" s="41">
        <f>IFERROR(Y292/H292,"0")+IFERROR(Y293/H293,"0")+IFERROR(Y294/H294,"0")</f>
        <v>10</v>
      </c>
      <c r="Z295" s="41">
        <f>IFERROR(IF(Z292="",0,Z292),"0")+IFERROR(IF(Z293="",0,Z293),"0")+IFERROR(IF(Z294="",0,Z294),"0")</f>
        <v>6.5100000000000005E-2</v>
      </c>
      <c r="AA295" s="64"/>
      <c r="AB295" s="64"/>
      <c r="AC295" s="64"/>
    </row>
    <row r="296" spans="1:68" x14ac:dyDescent="0.2">
      <c r="A296" s="654"/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5"/>
      <c r="P296" s="651" t="s">
        <v>40</v>
      </c>
      <c r="Q296" s="652"/>
      <c r="R296" s="652"/>
      <c r="S296" s="652"/>
      <c r="T296" s="652"/>
      <c r="U296" s="652"/>
      <c r="V296" s="653"/>
      <c r="W296" s="40" t="s">
        <v>0</v>
      </c>
      <c r="X296" s="41">
        <f>IFERROR(SUM(X292:X294),"0")</f>
        <v>24</v>
      </c>
      <c r="Y296" s="41">
        <f>IFERROR(SUM(Y292:Y294),"0")</f>
        <v>24</v>
      </c>
      <c r="Z296" s="40"/>
      <c r="AA296" s="64"/>
      <c r="AB296" s="64"/>
      <c r="AC296" s="64"/>
    </row>
    <row r="297" spans="1:68" ht="16.5" customHeight="1" x14ac:dyDescent="0.25">
      <c r="A297" s="644" t="s">
        <v>492</v>
      </c>
      <c r="B297" s="644"/>
      <c r="C297" s="644"/>
      <c r="D297" s="644"/>
      <c r="E297" s="644"/>
      <c r="F297" s="644"/>
      <c r="G297" s="644"/>
      <c r="H297" s="644"/>
      <c r="I297" s="644"/>
      <c r="J297" s="644"/>
      <c r="K297" s="644"/>
      <c r="L297" s="644"/>
      <c r="M297" s="644"/>
      <c r="N297" s="644"/>
      <c r="O297" s="644"/>
      <c r="P297" s="644"/>
      <c r="Q297" s="644"/>
      <c r="R297" s="644"/>
      <c r="S297" s="644"/>
      <c r="T297" s="644"/>
      <c r="U297" s="644"/>
      <c r="V297" s="644"/>
      <c r="W297" s="644"/>
      <c r="X297" s="644"/>
      <c r="Y297" s="644"/>
      <c r="Z297" s="644"/>
      <c r="AA297" s="62"/>
      <c r="AB297" s="62"/>
      <c r="AC297" s="62"/>
    </row>
    <row r="298" spans="1:68" ht="14.25" customHeight="1" x14ac:dyDescent="0.25">
      <c r="A298" s="645" t="s">
        <v>77</v>
      </c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5"/>
      <c r="P298" s="645"/>
      <c r="Q298" s="645"/>
      <c r="R298" s="645"/>
      <c r="S298" s="645"/>
      <c r="T298" s="645"/>
      <c r="U298" s="645"/>
      <c r="V298" s="645"/>
      <c r="W298" s="645"/>
      <c r="X298" s="645"/>
      <c r="Y298" s="645"/>
      <c r="Z298" s="645"/>
      <c r="AA298" s="63"/>
      <c r="AB298" s="63"/>
      <c r="AC298" s="63"/>
    </row>
    <row r="299" spans="1:68" ht="27" customHeight="1" x14ac:dyDescent="0.25">
      <c r="A299" s="60" t="s">
        <v>493</v>
      </c>
      <c r="B299" s="60" t="s">
        <v>494</v>
      </c>
      <c r="C299" s="34">
        <v>4301031445</v>
      </c>
      <c r="D299" s="646">
        <v>4680115888319</v>
      </c>
      <c r="E299" s="646"/>
      <c r="F299" s="59">
        <v>0.35</v>
      </c>
      <c r="G299" s="35">
        <v>6</v>
      </c>
      <c r="H299" s="59">
        <v>2.1</v>
      </c>
      <c r="I299" s="59">
        <v>2.23</v>
      </c>
      <c r="J299" s="35">
        <v>234</v>
      </c>
      <c r="K299" s="35" t="s">
        <v>86</v>
      </c>
      <c r="L299" s="35" t="s">
        <v>46</v>
      </c>
      <c r="M299" s="36" t="s">
        <v>81</v>
      </c>
      <c r="N299" s="36"/>
      <c r="O299" s="35">
        <v>45</v>
      </c>
      <c r="P299" s="80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299" s="648"/>
      <c r="R299" s="648"/>
      <c r="S299" s="648"/>
      <c r="T299" s="649"/>
      <c r="U299" s="37" t="s">
        <v>46</v>
      </c>
      <c r="V299" s="37" t="s">
        <v>46</v>
      </c>
      <c r="W299" s="38" t="s">
        <v>0</v>
      </c>
      <c r="X299" s="56">
        <v>10.5</v>
      </c>
      <c r="Y299" s="53">
        <f>IFERROR(IF(X299="",0,CEILING((X299/$H299),1)*$H299),"")</f>
        <v>10.5</v>
      </c>
      <c r="Z299" s="39">
        <f>IFERROR(IF(Y299=0,"",ROUNDUP(Y299/H299,0)*0.00502),"")</f>
        <v>2.5100000000000001E-2</v>
      </c>
      <c r="AA299" s="65" t="s">
        <v>46</v>
      </c>
      <c r="AB299" s="66" t="s">
        <v>46</v>
      </c>
      <c r="AC299" s="373" t="s">
        <v>327</v>
      </c>
      <c r="AG299" s="75"/>
      <c r="AJ299" s="79" t="s">
        <v>46</v>
      </c>
      <c r="AK299" s="79">
        <v>0</v>
      </c>
      <c r="BB299" s="374" t="s">
        <v>67</v>
      </c>
      <c r="BM299" s="75">
        <f>IFERROR(X299*I299/H299,"0")</f>
        <v>11.149999999999999</v>
      </c>
      <c r="BN299" s="75">
        <f>IFERROR(Y299*I299/H299,"0")</f>
        <v>11.149999999999999</v>
      </c>
      <c r="BO299" s="75">
        <f>IFERROR(1/J299*(X299/H299),"0")</f>
        <v>2.1367521367521368E-2</v>
      </c>
      <c r="BP299" s="75">
        <f>IFERROR(1/J299*(Y299/H299),"0")</f>
        <v>2.1367521367521368E-2</v>
      </c>
    </row>
    <row r="300" spans="1:68" ht="27" customHeight="1" x14ac:dyDescent="0.25">
      <c r="A300" s="60" t="s">
        <v>495</v>
      </c>
      <c r="B300" s="60" t="s">
        <v>496</v>
      </c>
      <c r="C300" s="34">
        <v>4301031502</v>
      </c>
      <c r="D300" s="646">
        <v>4680115884700</v>
      </c>
      <c r="E300" s="646"/>
      <c r="F300" s="59">
        <v>0.57999999999999996</v>
      </c>
      <c r="G300" s="35">
        <v>4</v>
      </c>
      <c r="H300" s="59">
        <v>2.3199999999999998</v>
      </c>
      <c r="I300" s="59">
        <v>2.42</v>
      </c>
      <c r="J300" s="35">
        <v>234</v>
      </c>
      <c r="K300" s="35" t="s">
        <v>86</v>
      </c>
      <c r="L300" s="35" t="s">
        <v>46</v>
      </c>
      <c r="M300" s="36" t="s">
        <v>81</v>
      </c>
      <c r="N300" s="36"/>
      <c r="O300" s="35">
        <v>40</v>
      </c>
      <c r="P300" s="80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0" s="648"/>
      <c r="R300" s="648"/>
      <c r="S300" s="648"/>
      <c r="T300" s="649"/>
      <c r="U300" s="37" t="s">
        <v>46</v>
      </c>
      <c r="V300" s="37" t="s">
        <v>46</v>
      </c>
      <c r="W300" s="38" t="s">
        <v>0</v>
      </c>
      <c r="X300" s="56">
        <v>6.96</v>
      </c>
      <c r="Y300" s="53">
        <f>IFERROR(IF(X300="",0,CEILING((X300/$H300),1)*$H300),"")</f>
        <v>6.9599999999999991</v>
      </c>
      <c r="Z300" s="39">
        <f>IFERROR(IF(Y300=0,"",ROUNDUP(Y300/H300,0)*0.00502),"")</f>
        <v>1.506E-2</v>
      </c>
      <c r="AA300" s="65" t="s">
        <v>46</v>
      </c>
      <c r="AB300" s="66" t="s">
        <v>46</v>
      </c>
      <c r="AC300" s="375" t="s">
        <v>497</v>
      </c>
      <c r="AG300" s="75"/>
      <c r="AJ300" s="79" t="s">
        <v>46</v>
      </c>
      <c r="AK300" s="79">
        <v>0</v>
      </c>
      <c r="BB300" s="376" t="s">
        <v>67</v>
      </c>
      <c r="BM300" s="75">
        <f>IFERROR(X300*I300/H300,"0")</f>
        <v>7.2600000000000007</v>
      </c>
      <c r="BN300" s="75">
        <f>IFERROR(Y300*I300/H300,"0")</f>
        <v>7.2599999999999989</v>
      </c>
      <c r="BO300" s="75">
        <f>IFERROR(1/J300*(X300/H300),"0")</f>
        <v>1.2820512820512822E-2</v>
      </c>
      <c r="BP300" s="75">
        <f>IFERROR(1/J300*(Y300/H300),"0")</f>
        <v>1.2820512820512822E-2</v>
      </c>
    </row>
    <row r="301" spans="1:68" ht="27" customHeight="1" x14ac:dyDescent="0.25">
      <c r="A301" s="60" t="s">
        <v>498</v>
      </c>
      <c r="B301" s="60" t="s">
        <v>499</v>
      </c>
      <c r="C301" s="34">
        <v>4301031307</v>
      </c>
      <c r="D301" s="646">
        <v>4680115880344</v>
      </c>
      <c r="E301" s="646"/>
      <c r="F301" s="59">
        <v>0.28000000000000003</v>
      </c>
      <c r="G301" s="35">
        <v>6</v>
      </c>
      <c r="H301" s="59">
        <v>1.68</v>
      </c>
      <c r="I301" s="59">
        <v>1.78</v>
      </c>
      <c r="J301" s="35">
        <v>234</v>
      </c>
      <c r="K301" s="35" t="s">
        <v>86</v>
      </c>
      <c r="L301" s="35" t="s">
        <v>46</v>
      </c>
      <c r="M301" s="36" t="s">
        <v>81</v>
      </c>
      <c r="N301" s="36"/>
      <c r="O301" s="35">
        <v>40</v>
      </c>
      <c r="P301" s="8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10.08</v>
      </c>
      <c r="Y301" s="53">
        <f>IFERROR(IF(X301="",0,CEILING((X301/$H301),1)*$H301),"")</f>
        <v>10.08</v>
      </c>
      <c r="Z301" s="39">
        <f>IFERROR(IF(Y301=0,"",ROUNDUP(Y301/H301,0)*0.00502),"")</f>
        <v>3.0120000000000001E-2</v>
      </c>
      <c r="AA301" s="65" t="s">
        <v>46</v>
      </c>
      <c r="AB301" s="66" t="s">
        <v>46</v>
      </c>
      <c r="AC301" s="377" t="s">
        <v>500</v>
      </c>
      <c r="AG301" s="75"/>
      <c r="AJ301" s="79" t="s">
        <v>46</v>
      </c>
      <c r="AK301" s="79">
        <v>0</v>
      </c>
      <c r="BB301" s="378" t="s">
        <v>67</v>
      </c>
      <c r="BM301" s="75">
        <f>IFERROR(X301*I301/H301,"0")</f>
        <v>10.68</v>
      </c>
      <c r="BN301" s="75">
        <f>IFERROR(Y301*I301/H301,"0")</f>
        <v>10.68</v>
      </c>
      <c r="BO301" s="75">
        <f>IFERROR(1/J301*(X301/H301),"0")</f>
        <v>2.5641025641025644E-2</v>
      </c>
      <c r="BP301" s="75">
        <f>IFERROR(1/J301*(Y301/H301),"0")</f>
        <v>2.5641025641025644E-2</v>
      </c>
    </row>
    <row r="302" spans="1:68" ht="27" customHeight="1" x14ac:dyDescent="0.25">
      <c r="A302" s="60" t="s">
        <v>501</v>
      </c>
      <c r="B302" s="60" t="s">
        <v>502</v>
      </c>
      <c r="C302" s="34">
        <v>4301031501</v>
      </c>
      <c r="D302" s="646">
        <v>4680115886919</v>
      </c>
      <c r="E302" s="646"/>
      <c r="F302" s="59">
        <v>0.4</v>
      </c>
      <c r="G302" s="35">
        <v>6</v>
      </c>
      <c r="H302" s="59">
        <v>2.4</v>
      </c>
      <c r="I302" s="59">
        <v>2.58</v>
      </c>
      <c r="J302" s="35">
        <v>182</v>
      </c>
      <c r="K302" s="35" t="s">
        <v>82</v>
      </c>
      <c r="L302" s="35" t="s">
        <v>46</v>
      </c>
      <c r="M302" s="36" t="s">
        <v>81</v>
      </c>
      <c r="N302" s="36"/>
      <c r="O302" s="35">
        <v>40</v>
      </c>
      <c r="P302" s="80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379" t="s">
        <v>503</v>
      </c>
      <c r="AG302" s="75"/>
      <c r="AJ302" s="79" t="s">
        <v>46</v>
      </c>
      <c r="AK302" s="79">
        <v>0</v>
      </c>
      <c r="BB302" s="380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x14ac:dyDescent="0.2">
      <c r="A303" s="654"/>
      <c r="B303" s="654"/>
      <c r="C303" s="654"/>
      <c r="D303" s="654"/>
      <c r="E303" s="654"/>
      <c r="F303" s="654"/>
      <c r="G303" s="654"/>
      <c r="H303" s="654"/>
      <c r="I303" s="654"/>
      <c r="J303" s="654"/>
      <c r="K303" s="654"/>
      <c r="L303" s="654"/>
      <c r="M303" s="654"/>
      <c r="N303" s="654"/>
      <c r="O303" s="655"/>
      <c r="P303" s="651" t="s">
        <v>40</v>
      </c>
      <c r="Q303" s="652"/>
      <c r="R303" s="652"/>
      <c r="S303" s="652"/>
      <c r="T303" s="652"/>
      <c r="U303" s="652"/>
      <c r="V303" s="653"/>
      <c r="W303" s="40" t="s">
        <v>39</v>
      </c>
      <c r="X303" s="41">
        <f>IFERROR(X299/H299,"0")+IFERROR(X300/H300,"0")+IFERROR(X301/H301,"0")+IFERROR(X302/H302,"0")</f>
        <v>14</v>
      </c>
      <c r="Y303" s="41">
        <f>IFERROR(Y299/H299,"0")+IFERROR(Y300/H300,"0")+IFERROR(Y301/H301,"0")+IFERROR(Y302/H302,"0")</f>
        <v>14</v>
      </c>
      <c r="Z303" s="41">
        <f>IFERROR(IF(Z299="",0,Z299),"0")+IFERROR(IF(Z300="",0,Z300),"0")+IFERROR(IF(Z301="",0,Z301),"0")+IFERROR(IF(Z302="",0,Z302),"0")</f>
        <v>7.0280000000000009E-2</v>
      </c>
      <c r="AA303" s="64"/>
      <c r="AB303" s="64"/>
      <c r="AC303" s="64"/>
    </row>
    <row r="304" spans="1:68" x14ac:dyDescent="0.2">
      <c r="A304" s="654"/>
      <c r="B304" s="654"/>
      <c r="C304" s="654"/>
      <c r="D304" s="654"/>
      <c r="E304" s="654"/>
      <c r="F304" s="654"/>
      <c r="G304" s="654"/>
      <c r="H304" s="654"/>
      <c r="I304" s="654"/>
      <c r="J304" s="654"/>
      <c r="K304" s="654"/>
      <c r="L304" s="654"/>
      <c r="M304" s="654"/>
      <c r="N304" s="654"/>
      <c r="O304" s="655"/>
      <c r="P304" s="651" t="s">
        <v>40</v>
      </c>
      <c r="Q304" s="652"/>
      <c r="R304" s="652"/>
      <c r="S304" s="652"/>
      <c r="T304" s="652"/>
      <c r="U304" s="652"/>
      <c r="V304" s="653"/>
      <c r="W304" s="40" t="s">
        <v>0</v>
      </c>
      <c r="X304" s="41">
        <f>IFERROR(SUM(X299:X302),"0")</f>
        <v>27.54</v>
      </c>
      <c r="Y304" s="41">
        <f>IFERROR(SUM(Y299:Y302),"0")</f>
        <v>27.54</v>
      </c>
      <c r="Z304" s="40"/>
      <c r="AA304" s="64"/>
      <c r="AB304" s="64"/>
      <c r="AC304" s="64"/>
    </row>
    <row r="305" spans="1:68" ht="14.25" customHeight="1" x14ac:dyDescent="0.25">
      <c r="A305" s="645" t="s">
        <v>87</v>
      </c>
      <c r="B305" s="645"/>
      <c r="C305" s="645"/>
      <c r="D305" s="645"/>
      <c r="E305" s="645"/>
      <c r="F305" s="645"/>
      <c r="G305" s="645"/>
      <c r="H305" s="645"/>
      <c r="I305" s="645"/>
      <c r="J305" s="645"/>
      <c r="K305" s="645"/>
      <c r="L305" s="645"/>
      <c r="M305" s="645"/>
      <c r="N305" s="645"/>
      <c r="O305" s="645"/>
      <c r="P305" s="645"/>
      <c r="Q305" s="645"/>
      <c r="R305" s="645"/>
      <c r="S305" s="645"/>
      <c r="T305" s="645"/>
      <c r="U305" s="645"/>
      <c r="V305" s="645"/>
      <c r="W305" s="645"/>
      <c r="X305" s="645"/>
      <c r="Y305" s="645"/>
      <c r="Z305" s="645"/>
      <c r="AA305" s="63"/>
      <c r="AB305" s="63"/>
      <c r="AC305" s="63"/>
    </row>
    <row r="306" spans="1:68" ht="37.5" customHeight="1" x14ac:dyDescent="0.25">
      <c r="A306" s="60" t="s">
        <v>504</v>
      </c>
      <c r="B306" s="60" t="s">
        <v>505</v>
      </c>
      <c r="C306" s="34">
        <v>4301051782</v>
      </c>
      <c r="D306" s="646">
        <v>4680115884618</v>
      </c>
      <c r="E306" s="646"/>
      <c r="F306" s="59">
        <v>0.6</v>
      </c>
      <c r="G306" s="35">
        <v>6</v>
      </c>
      <c r="H306" s="59">
        <v>3.6</v>
      </c>
      <c r="I306" s="59">
        <v>3.79</v>
      </c>
      <c r="J306" s="35">
        <v>132</v>
      </c>
      <c r="K306" s="35" t="s">
        <v>137</v>
      </c>
      <c r="L306" s="35" t="s">
        <v>46</v>
      </c>
      <c r="M306" s="36" t="s">
        <v>91</v>
      </c>
      <c r="N306" s="36"/>
      <c r="O306" s="35">
        <v>45</v>
      </c>
      <c r="P306" s="80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>IFERROR(IF(X306="",0,CEILING((X306/$H306),1)*$H306),"")</f>
        <v>0</v>
      </c>
      <c r="Z306" s="39" t="str">
        <f>IFERROR(IF(Y306=0,"",ROUNDUP(Y306/H306,0)*0.00902),"")</f>
        <v/>
      </c>
      <c r="AA306" s="65" t="s">
        <v>46</v>
      </c>
      <c r="AB306" s="66" t="s">
        <v>46</v>
      </c>
      <c r="AC306" s="381" t="s">
        <v>506</v>
      </c>
      <c r="AG306" s="75"/>
      <c r="AJ306" s="79" t="s">
        <v>46</v>
      </c>
      <c r="AK306" s="79">
        <v>0</v>
      </c>
      <c r="BB306" s="382" t="s">
        <v>67</v>
      </c>
      <c r="BM306" s="75">
        <f>IFERROR(X306*I306/H306,"0")</f>
        <v>0</v>
      </c>
      <c r="BN306" s="75">
        <f>IFERROR(Y306*I306/H306,"0")</f>
        <v>0</v>
      </c>
      <c r="BO306" s="75">
        <f>IFERROR(1/J306*(X306/H306),"0")</f>
        <v>0</v>
      </c>
      <c r="BP306" s="75">
        <f>IFERROR(1/J306*(Y306/H306),"0")</f>
        <v>0</v>
      </c>
    </row>
    <row r="307" spans="1:68" ht="27" customHeight="1" x14ac:dyDescent="0.25">
      <c r="A307" s="60" t="s">
        <v>507</v>
      </c>
      <c r="B307" s="60" t="s">
        <v>508</v>
      </c>
      <c r="C307" s="34">
        <v>4301052057</v>
      </c>
      <c r="D307" s="646">
        <v>4680115887114</v>
      </c>
      <c r="E307" s="646"/>
      <c r="F307" s="59">
        <v>0.55000000000000004</v>
      </c>
      <c r="G307" s="35">
        <v>6</v>
      </c>
      <c r="H307" s="59">
        <v>3.3</v>
      </c>
      <c r="I307" s="59">
        <v>3.49</v>
      </c>
      <c r="J307" s="35">
        <v>132</v>
      </c>
      <c r="K307" s="35" t="s">
        <v>137</v>
      </c>
      <c r="L307" s="35" t="s">
        <v>46</v>
      </c>
      <c r="M307" s="36" t="s">
        <v>91</v>
      </c>
      <c r="N307" s="36"/>
      <c r="O307" s="35">
        <v>45</v>
      </c>
      <c r="P307" s="80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83" t="s">
        <v>509</v>
      </c>
      <c r="AG307" s="75"/>
      <c r="AJ307" s="79" t="s">
        <v>46</v>
      </c>
      <c r="AK307" s="79">
        <v>0</v>
      </c>
      <c r="BB307" s="384" t="s">
        <v>67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x14ac:dyDescent="0.2">
      <c r="A308" s="654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51" t="s">
        <v>40</v>
      </c>
      <c r="Q308" s="652"/>
      <c r="R308" s="652"/>
      <c r="S308" s="652"/>
      <c r="T308" s="652"/>
      <c r="U308" s="652"/>
      <c r="V308" s="653"/>
      <c r="W308" s="40" t="s">
        <v>39</v>
      </c>
      <c r="X308" s="41">
        <f>IFERROR(X306/H306,"0")+IFERROR(X307/H307,"0")</f>
        <v>0</v>
      </c>
      <c r="Y308" s="41">
        <f>IFERROR(Y306/H306,"0")+IFERROR(Y307/H307,"0")</f>
        <v>0</v>
      </c>
      <c r="Z308" s="41">
        <f>IFERROR(IF(Z306="",0,Z306),"0")+IFERROR(IF(Z307="",0,Z307),"0")</f>
        <v>0</v>
      </c>
      <c r="AA308" s="64"/>
      <c r="AB308" s="64"/>
      <c r="AC308" s="64"/>
    </row>
    <row r="309" spans="1:68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51" t="s">
        <v>40</v>
      </c>
      <c r="Q309" s="652"/>
      <c r="R309" s="652"/>
      <c r="S309" s="652"/>
      <c r="T309" s="652"/>
      <c r="U309" s="652"/>
      <c r="V309" s="653"/>
      <c r="W309" s="40" t="s">
        <v>0</v>
      </c>
      <c r="X309" s="41">
        <f>IFERROR(SUM(X306:X307),"0")</f>
        <v>0</v>
      </c>
      <c r="Y309" s="41">
        <f>IFERROR(SUM(Y306:Y307),"0")</f>
        <v>0</v>
      </c>
      <c r="Z309" s="40"/>
      <c r="AA309" s="64"/>
      <c r="AB309" s="64"/>
      <c r="AC309" s="64"/>
    </row>
    <row r="310" spans="1:68" ht="16.5" customHeight="1" x14ac:dyDescent="0.25">
      <c r="A310" s="644" t="s">
        <v>510</v>
      </c>
      <c r="B310" s="644"/>
      <c r="C310" s="644"/>
      <c r="D310" s="644"/>
      <c r="E310" s="644"/>
      <c r="F310" s="644"/>
      <c r="G310" s="644"/>
      <c r="H310" s="644"/>
      <c r="I310" s="644"/>
      <c r="J310" s="644"/>
      <c r="K310" s="644"/>
      <c r="L310" s="644"/>
      <c r="M310" s="644"/>
      <c r="N310" s="644"/>
      <c r="O310" s="644"/>
      <c r="P310" s="644"/>
      <c r="Q310" s="644"/>
      <c r="R310" s="644"/>
      <c r="S310" s="644"/>
      <c r="T310" s="644"/>
      <c r="U310" s="644"/>
      <c r="V310" s="644"/>
      <c r="W310" s="644"/>
      <c r="X310" s="644"/>
      <c r="Y310" s="644"/>
      <c r="Z310" s="644"/>
      <c r="AA310" s="62"/>
      <c r="AB310" s="62"/>
      <c r="AC310" s="62"/>
    </row>
    <row r="311" spans="1:68" ht="14.25" customHeight="1" x14ac:dyDescent="0.25">
      <c r="A311" s="645" t="s">
        <v>125</v>
      </c>
      <c r="B311" s="645"/>
      <c r="C311" s="645"/>
      <c r="D311" s="645"/>
      <c r="E311" s="645"/>
      <c r="F311" s="645"/>
      <c r="G311" s="645"/>
      <c r="H311" s="645"/>
      <c r="I311" s="645"/>
      <c r="J311" s="645"/>
      <c r="K311" s="645"/>
      <c r="L311" s="645"/>
      <c r="M311" s="645"/>
      <c r="N311" s="645"/>
      <c r="O311" s="645"/>
      <c r="P311" s="645"/>
      <c r="Q311" s="645"/>
      <c r="R311" s="645"/>
      <c r="S311" s="645"/>
      <c r="T311" s="645"/>
      <c r="U311" s="645"/>
      <c r="V311" s="645"/>
      <c r="W311" s="645"/>
      <c r="X311" s="645"/>
      <c r="Y311" s="645"/>
      <c r="Z311" s="645"/>
      <c r="AA311" s="63"/>
      <c r="AB311" s="63"/>
      <c r="AC311" s="63"/>
    </row>
    <row r="312" spans="1:68" ht="27" customHeight="1" x14ac:dyDescent="0.25">
      <c r="A312" s="60" t="s">
        <v>511</v>
      </c>
      <c r="B312" s="60" t="s">
        <v>512</v>
      </c>
      <c r="C312" s="34">
        <v>4301012324</v>
      </c>
      <c r="D312" s="646">
        <v>4680115887947</v>
      </c>
      <c r="E312" s="646"/>
      <c r="F312" s="59">
        <v>1.3</v>
      </c>
      <c r="G312" s="35">
        <v>6</v>
      </c>
      <c r="H312" s="59">
        <v>7.8</v>
      </c>
      <c r="I312" s="59">
        <v>8.2100000000000009</v>
      </c>
      <c r="J312" s="35">
        <v>64</v>
      </c>
      <c r="K312" s="35" t="s">
        <v>130</v>
      </c>
      <c r="L312" s="35" t="s">
        <v>46</v>
      </c>
      <c r="M312" s="36" t="s">
        <v>91</v>
      </c>
      <c r="N312" s="36"/>
      <c r="O312" s="35">
        <v>60</v>
      </c>
      <c r="P312" s="80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12" s="648"/>
      <c r="R312" s="648"/>
      <c r="S312" s="648"/>
      <c r="T312" s="649"/>
      <c r="U312" s="37" t="s">
        <v>46</v>
      </c>
      <c r="V312" s="37" t="s">
        <v>46</v>
      </c>
      <c r="W312" s="38" t="s">
        <v>0</v>
      </c>
      <c r="X312" s="56">
        <v>15.6</v>
      </c>
      <c r="Y312" s="53">
        <f>IFERROR(IF(X312="",0,CEILING((X312/$H312),1)*$H312),"")</f>
        <v>15.6</v>
      </c>
      <c r="Z312" s="39">
        <f>IFERROR(IF(Y312=0,"",ROUNDUP(Y312/H312,0)*0.01898),"")</f>
        <v>3.7960000000000001E-2</v>
      </c>
      <c r="AA312" s="65" t="s">
        <v>46</v>
      </c>
      <c r="AB312" s="66" t="s">
        <v>46</v>
      </c>
      <c r="AC312" s="385" t="s">
        <v>513</v>
      </c>
      <c r="AG312" s="75"/>
      <c r="AJ312" s="79" t="s">
        <v>46</v>
      </c>
      <c r="AK312" s="79">
        <v>0</v>
      </c>
      <c r="BB312" s="386" t="s">
        <v>67</v>
      </c>
      <c r="BM312" s="75">
        <f>IFERROR(X312*I312/H312,"0")</f>
        <v>16.420000000000002</v>
      </c>
      <c r="BN312" s="75">
        <f>IFERROR(Y312*I312/H312,"0")</f>
        <v>16.420000000000002</v>
      </c>
      <c r="BO312" s="75">
        <f>IFERROR(1/J312*(X312/H312),"0")</f>
        <v>3.125E-2</v>
      </c>
      <c r="BP312" s="75">
        <f>IFERROR(1/J312*(Y312/H312),"0")</f>
        <v>3.125E-2</v>
      </c>
    </row>
    <row r="313" spans="1:68" ht="27" customHeight="1" x14ac:dyDescent="0.25">
      <c r="A313" s="60" t="s">
        <v>514</v>
      </c>
      <c r="B313" s="60" t="s">
        <v>515</v>
      </c>
      <c r="C313" s="34">
        <v>4301012325</v>
      </c>
      <c r="D313" s="646">
        <v>4680115887978</v>
      </c>
      <c r="E313" s="646"/>
      <c r="F313" s="59">
        <v>1.3</v>
      </c>
      <c r="G313" s="35">
        <v>6</v>
      </c>
      <c r="H313" s="59">
        <v>7.8</v>
      </c>
      <c r="I313" s="59">
        <v>8.2100000000000009</v>
      </c>
      <c r="J313" s="35">
        <v>64</v>
      </c>
      <c r="K313" s="35" t="s">
        <v>130</v>
      </c>
      <c r="L313" s="35" t="s">
        <v>46</v>
      </c>
      <c r="M313" s="36" t="s">
        <v>91</v>
      </c>
      <c r="N313" s="36"/>
      <c r="O313" s="35">
        <v>60</v>
      </c>
      <c r="P313" s="80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13" s="648"/>
      <c r="R313" s="648"/>
      <c r="S313" s="648"/>
      <c r="T313" s="649"/>
      <c r="U313" s="37" t="s">
        <v>46</v>
      </c>
      <c r="V313" s="37" t="s">
        <v>46</v>
      </c>
      <c r="W313" s="38" t="s">
        <v>0</v>
      </c>
      <c r="X313" s="56">
        <v>15.6</v>
      </c>
      <c r="Y313" s="53">
        <f>IFERROR(IF(X313="",0,CEILING((X313/$H313),1)*$H313),"")</f>
        <v>15.6</v>
      </c>
      <c r="Z313" s="39">
        <f>IFERROR(IF(Y313=0,"",ROUNDUP(Y313/H313,0)*0.01898),"")</f>
        <v>3.7960000000000001E-2</v>
      </c>
      <c r="AA313" s="65" t="s">
        <v>46</v>
      </c>
      <c r="AB313" s="66" t="s">
        <v>46</v>
      </c>
      <c r="AC313" s="387" t="s">
        <v>516</v>
      </c>
      <c r="AG313" s="75"/>
      <c r="AJ313" s="79" t="s">
        <v>46</v>
      </c>
      <c r="AK313" s="79">
        <v>0</v>
      </c>
      <c r="BB313" s="388" t="s">
        <v>67</v>
      </c>
      <c r="BM313" s="75">
        <f>IFERROR(X313*I313/H313,"0")</f>
        <v>16.420000000000002</v>
      </c>
      <c r="BN313" s="75">
        <f>IFERROR(Y313*I313/H313,"0")</f>
        <v>16.420000000000002</v>
      </c>
      <c r="BO313" s="75">
        <f>IFERROR(1/J313*(X313/H313),"0")</f>
        <v>3.125E-2</v>
      </c>
      <c r="BP313" s="75">
        <f>IFERROR(1/J313*(Y313/H313),"0")</f>
        <v>3.125E-2</v>
      </c>
    </row>
    <row r="314" spans="1:68" ht="27" customHeight="1" x14ac:dyDescent="0.25">
      <c r="A314" s="60" t="s">
        <v>517</v>
      </c>
      <c r="B314" s="60" t="s">
        <v>518</v>
      </c>
      <c r="C314" s="34">
        <v>4301012327</v>
      </c>
      <c r="D314" s="646">
        <v>4680115887992</v>
      </c>
      <c r="E314" s="646"/>
      <c r="F314" s="59">
        <v>1.3</v>
      </c>
      <c r="G314" s="35">
        <v>6</v>
      </c>
      <c r="H314" s="59">
        <v>7.8</v>
      </c>
      <c r="I314" s="59">
        <v>8.2100000000000009</v>
      </c>
      <c r="J314" s="35">
        <v>64</v>
      </c>
      <c r="K314" s="35" t="s">
        <v>130</v>
      </c>
      <c r="L314" s="35" t="s">
        <v>46</v>
      </c>
      <c r="M314" s="36" t="s">
        <v>91</v>
      </c>
      <c r="N314" s="36"/>
      <c r="O314" s="35">
        <v>60</v>
      </c>
      <c r="P314" s="80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14" s="648"/>
      <c r="R314" s="648"/>
      <c r="S314" s="648"/>
      <c r="T314" s="649"/>
      <c r="U314" s="37" t="s">
        <v>46</v>
      </c>
      <c r="V314" s="37" t="s">
        <v>46</v>
      </c>
      <c r="W314" s="38" t="s">
        <v>0</v>
      </c>
      <c r="X314" s="56">
        <v>15.6</v>
      </c>
      <c r="Y314" s="53">
        <f>IFERROR(IF(X314="",0,CEILING((X314/$H314),1)*$H314),"")</f>
        <v>15.6</v>
      </c>
      <c r="Z314" s="39">
        <f>IFERROR(IF(Y314=0,"",ROUNDUP(Y314/H314,0)*0.01898),"")</f>
        <v>3.7960000000000001E-2</v>
      </c>
      <c r="AA314" s="65" t="s">
        <v>46</v>
      </c>
      <c r="AB314" s="66" t="s">
        <v>46</v>
      </c>
      <c r="AC314" s="389" t="s">
        <v>519</v>
      </c>
      <c r="AG314" s="75"/>
      <c r="AJ314" s="79" t="s">
        <v>46</v>
      </c>
      <c r="AK314" s="79">
        <v>0</v>
      </c>
      <c r="BB314" s="390" t="s">
        <v>67</v>
      </c>
      <c r="BM314" s="75">
        <f>IFERROR(X314*I314/H314,"0")</f>
        <v>16.420000000000002</v>
      </c>
      <c r="BN314" s="75">
        <f>IFERROR(Y314*I314/H314,"0")</f>
        <v>16.420000000000002</v>
      </c>
      <c r="BO314" s="75">
        <f>IFERROR(1/J314*(X314/H314),"0")</f>
        <v>3.125E-2</v>
      </c>
      <c r="BP314" s="75">
        <f>IFERROR(1/J314*(Y314/H314),"0")</f>
        <v>3.125E-2</v>
      </c>
    </row>
    <row r="315" spans="1:68" x14ac:dyDescent="0.2">
      <c r="A315" s="654"/>
      <c r="B315" s="654"/>
      <c r="C315" s="654"/>
      <c r="D315" s="654"/>
      <c r="E315" s="654"/>
      <c r="F315" s="654"/>
      <c r="G315" s="654"/>
      <c r="H315" s="654"/>
      <c r="I315" s="654"/>
      <c r="J315" s="654"/>
      <c r="K315" s="654"/>
      <c r="L315" s="654"/>
      <c r="M315" s="654"/>
      <c r="N315" s="654"/>
      <c r="O315" s="655"/>
      <c r="P315" s="651" t="s">
        <v>40</v>
      </c>
      <c r="Q315" s="652"/>
      <c r="R315" s="652"/>
      <c r="S315" s="652"/>
      <c r="T315" s="652"/>
      <c r="U315" s="652"/>
      <c r="V315" s="653"/>
      <c r="W315" s="40" t="s">
        <v>39</v>
      </c>
      <c r="X315" s="41">
        <f>IFERROR(X312/H312,"0")+IFERROR(X313/H313,"0")+IFERROR(X314/H314,"0")</f>
        <v>6</v>
      </c>
      <c r="Y315" s="41">
        <f>IFERROR(Y312/H312,"0")+IFERROR(Y313/H313,"0")+IFERROR(Y314/H314,"0")</f>
        <v>6</v>
      </c>
      <c r="Z315" s="41">
        <f>IFERROR(IF(Z312="",0,Z312),"0")+IFERROR(IF(Z313="",0,Z313),"0")+IFERROR(IF(Z314="",0,Z314),"0")</f>
        <v>0.11388000000000001</v>
      </c>
      <c r="AA315" s="64"/>
      <c r="AB315" s="64"/>
      <c r="AC315" s="64"/>
    </row>
    <row r="316" spans="1:68" x14ac:dyDescent="0.2">
      <c r="A316" s="654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51" t="s">
        <v>40</v>
      </c>
      <c r="Q316" s="652"/>
      <c r="R316" s="652"/>
      <c r="S316" s="652"/>
      <c r="T316" s="652"/>
      <c r="U316" s="652"/>
      <c r="V316" s="653"/>
      <c r="W316" s="40" t="s">
        <v>0</v>
      </c>
      <c r="X316" s="41">
        <f>IFERROR(SUM(X312:X314),"0")</f>
        <v>46.8</v>
      </c>
      <c r="Y316" s="41">
        <f>IFERROR(SUM(Y312:Y314),"0")</f>
        <v>46.8</v>
      </c>
      <c r="Z316" s="40"/>
      <c r="AA316" s="64"/>
      <c r="AB316" s="64"/>
      <c r="AC316" s="64"/>
    </row>
    <row r="317" spans="1:68" ht="16.5" customHeight="1" x14ac:dyDescent="0.25">
      <c r="A317" s="644" t="s">
        <v>520</v>
      </c>
      <c r="B317" s="644"/>
      <c r="C317" s="644"/>
      <c r="D317" s="644"/>
      <c r="E317" s="644"/>
      <c r="F317" s="644"/>
      <c r="G317" s="644"/>
      <c r="H317" s="644"/>
      <c r="I317" s="644"/>
      <c r="J317" s="644"/>
      <c r="K317" s="644"/>
      <c r="L317" s="644"/>
      <c r="M317" s="644"/>
      <c r="N317" s="644"/>
      <c r="O317" s="644"/>
      <c r="P317" s="644"/>
      <c r="Q317" s="644"/>
      <c r="R317" s="644"/>
      <c r="S317" s="644"/>
      <c r="T317" s="644"/>
      <c r="U317" s="644"/>
      <c r="V317" s="644"/>
      <c r="W317" s="644"/>
      <c r="X317" s="644"/>
      <c r="Y317" s="644"/>
      <c r="Z317" s="644"/>
      <c r="AA317" s="62"/>
      <c r="AB317" s="62"/>
      <c r="AC317" s="62"/>
    </row>
    <row r="318" spans="1:68" ht="14.25" customHeight="1" x14ac:dyDescent="0.25">
      <c r="A318" s="645" t="s">
        <v>125</v>
      </c>
      <c r="B318" s="645"/>
      <c r="C318" s="645"/>
      <c r="D318" s="645"/>
      <c r="E318" s="645"/>
      <c r="F318" s="645"/>
      <c r="G318" s="645"/>
      <c r="H318" s="645"/>
      <c r="I318" s="645"/>
      <c r="J318" s="645"/>
      <c r="K318" s="645"/>
      <c r="L318" s="645"/>
      <c r="M318" s="645"/>
      <c r="N318" s="645"/>
      <c r="O318" s="645"/>
      <c r="P318" s="645"/>
      <c r="Q318" s="645"/>
      <c r="R318" s="645"/>
      <c r="S318" s="645"/>
      <c r="T318" s="645"/>
      <c r="U318" s="645"/>
      <c r="V318" s="645"/>
      <c r="W318" s="645"/>
      <c r="X318" s="645"/>
      <c r="Y318" s="645"/>
      <c r="Z318" s="645"/>
      <c r="AA318" s="63"/>
      <c r="AB318" s="63"/>
      <c r="AC318" s="63"/>
    </row>
    <row r="319" spans="1:68" ht="27" customHeight="1" x14ac:dyDescent="0.25">
      <c r="A319" s="60" t="s">
        <v>521</v>
      </c>
      <c r="B319" s="60" t="s">
        <v>522</v>
      </c>
      <c r="C319" s="34">
        <v>4301012126</v>
      </c>
      <c r="D319" s="646">
        <v>4607091386004</v>
      </c>
      <c r="E319" s="646"/>
      <c r="F319" s="59">
        <v>1.35</v>
      </c>
      <c r="G319" s="35">
        <v>8</v>
      </c>
      <c r="H319" s="59">
        <v>10.8</v>
      </c>
      <c r="I319" s="59">
        <v>11.21</v>
      </c>
      <c r="J319" s="35">
        <v>64</v>
      </c>
      <c r="K319" s="35" t="s">
        <v>130</v>
      </c>
      <c r="L319" s="35" t="s">
        <v>46</v>
      </c>
      <c r="M319" s="36" t="s">
        <v>129</v>
      </c>
      <c r="N319" s="36"/>
      <c r="O319" s="35">
        <v>55</v>
      </c>
      <c r="P319" s="80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324</v>
      </c>
      <c r="Y319" s="53">
        <f t="shared" ref="Y319:Y325" si="43">IFERROR(IF(X319="",0,CEILING((X319/$H319),1)*$H319),"")</f>
        <v>324</v>
      </c>
      <c r="Z319" s="39">
        <f>IFERROR(IF(Y319=0,"",ROUNDUP(Y319/H319,0)*0.01898),"")</f>
        <v>0.56940000000000002</v>
      </c>
      <c r="AA319" s="65" t="s">
        <v>46</v>
      </c>
      <c r="AB319" s="66" t="s">
        <v>46</v>
      </c>
      <c r="AC319" s="391" t="s">
        <v>523</v>
      </c>
      <c r="AG319" s="75"/>
      <c r="AJ319" s="79" t="s">
        <v>46</v>
      </c>
      <c r="AK319" s="79">
        <v>0</v>
      </c>
      <c r="BB319" s="392" t="s">
        <v>67</v>
      </c>
      <c r="BM319" s="75">
        <f t="shared" ref="BM319:BM325" si="44">IFERROR(X319*I319/H319,"0")</f>
        <v>336.3</v>
      </c>
      <c r="BN319" s="75">
        <f t="shared" ref="BN319:BN325" si="45">IFERROR(Y319*I319/H319,"0")</f>
        <v>336.3</v>
      </c>
      <c r="BO319" s="75">
        <f t="shared" ref="BO319:BO325" si="46">IFERROR(1/J319*(X319/H319),"0")</f>
        <v>0.46874999999999994</v>
      </c>
      <c r="BP319" s="75">
        <f t="shared" ref="BP319:BP325" si="47">IFERROR(1/J319*(Y319/H319),"0")</f>
        <v>0.46874999999999994</v>
      </c>
    </row>
    <row r="320" spans="1:68" ht="27" customHeight="1" x14ac:dyDescent="0.25">
      <c r="A320" s="60" t="s">
        <v>524</v>
      </c>
      <c r="B320" s="60" t="s">
        <v>525</v>
      </c>
      <c r="C320" s="34">
        <v>4301012024</v>
      </c>
      <c r="D320" s="646">
        <v>4680115885615</v>
      </c>
      <c r="E320" s="646"/>
      <c r="F320" s="59">
        <v>1.35</v>
      </c>
      <c r="G320" s="35">
        <v>8</v>
      </c>
      <c r="H320" s="59">
        <v>10.8</v>
      </c>
      <c r="I320" s="59">
        <v>11.21</v>
      </c>
      <c r="J320" s="35">
        <v>64</v>
      </c>
      <c r="K320" s="35" t="s">
        <v>130</v>
      </c>
      <c r="L320" s="35" t="s">
        <v>46</v>
      </c>
      <c r="M320" s="36" t="s">
        <v>91</v>
      </c>
      <c r="N320" s="36"/>
      <c r="O320" s="35">
        <v>55</v>
      </c>
      <c r="P320" s="81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108</v>
      </c>
      <c r="Y320" s="53">
        <f t="shared" si="43"/>
        <v>108</v>
      </c>
      <c r="Z320" s="39">
        <f>IFERROR(IF(Y320=0,"",ROUNDUP(Y320/H320,0)*0.01898),"")</f>
        <v>0.1898</v>
      </c>
      <c r="AA320" s="65" t="s">
        <v>46</v>
      </c>
      <c r="AB320" s="66" t="s">
        <v>46</v>
      </c>
      <c r="AC320" s="393" t="s">
        <v>526</v>
      </c>
      <c r="AG320" s="75"/>
      <c r="AJ320" s="79" t="s">
        <v>46</v>
      </c>
      <c r="AK320" s="79">
        <v>0</v>
      </c>
      <c r="BB320" s="394" t="s">
        <v>67</v>
      </c>
      <c r="BM320" s="75">
        <f t="shared" si="44"/>
        <v>112.1</v>
      </c>
      <c r="BN320" s="75">
        <f t="shared" si="45"/>
        <v>112.1</v>
      </c>
      <c r="BO320" s="75">
        <f t="shared" si="46"/>
        <v>0.15625</v>
      </c>
      <c r="BP320" s="75">
        <f t="shared" si="47"/>
        <v>0.15625</v>
      </c>
    </row>
    <row r="321" spans="1:68" ht="27" customHeight="1" x14ac:dyDescent="0.25">
      <c r="A321" s="60" t="s">
        <v>527</v>
      </c>
      <c r="B321" s="60" t="s">
        <v>528</v>
      </c>
      <c r="C321" s="34">
        <v>4301012235</v>
      </c>
      <c r="D321" s="646">
        <v>4680115887190</v>
      </c>
      <c r="E321" s="646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130</v>
      </c>
      <c r="L321" s="35" t="s">
        <v>46</v>
      </c>
      <c r="M321" s="36" t="s">
        <v>129</v>
      </c>
      <c r="N321" s="36"/>
      <c r="O321" s="35">
        <v>55</v>
      </c>
      <c r="P321" s="81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si="43"/>
        <v>0</v>
      </c>
      <c r="Z321" s="39" t="str">
        <f>IFERROR(IF(Y321=0,"",ROUNDUP(Y321/H321,0)*0.01898),"")</f>
        <v/>
      </c>
      <c r="AA321" s="65" t="s">
        <v>46</v>
      </c>
      <c r="AB321" s="66" t="s">
        <v>46</v>
      </c>
      <c r="AC321" s="395" t="s">
        <v>529</v>
      </c>
      <c r="AG321" s="75"/>
      <c r="AJ321" s="79" t="s">
        <v>46</v>
      </c>
      <c r="AK321" s="79">
        <v>0</v>
      </c>
      <c r="BB321" s="396" t="s">
        <v>67</v>
      </c>
      <c r="BM321" s="75">
        <f t="shared" si="44"/>
        <v>0</v>
      </c>
      <c r="BN321" s="75">
        <f t="shared" si="45"/>
        <v>0</v>
      </c>
      <c r="BO321" s="75">
        <f t="shared" si="46"/>
        <v>0</v>
      </c>
      <c r="BP321" s="75">
        <f t="shared" si="47"/>
        <v>0</v>
      </c>
    </row>
    <row r="322" spans="1:68" ht="37.5" customHeight="1" x14ac:dyDescent="0.25">
      <c r="A322" s="60" t="s">
        <v>530</v>
      </c>
      <c r="B322" s="60" t="s">
        <v>531</v>
      </c>
      <c r="C322" s="34">
        <v>4301012233</v>
      </c>
      <c r="D322" s="646">
        <v>4680115887138</v>
      </c>
      <c r="E322" s="646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130</v>
      </c>
      <c r="L322" s="35" t="s">
        <v>46</v>
      </c>
      <c r="M322" s="36" t="s">
        <v>129</v>
      </c>
      <c r="N322" s="36"/>
      <c r="O322" s="35">
        <v>55</v>
      </c>
      <c r="P322" s="81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22" s="648"/>
      <c r="R322" s="648"/>
      <c r="S322" s="648"/>
      <c r="T322" s="649"/>
      <c r="U322" s="37" t="s">
        <v>46</v>
      </c>
      <c r="V322" s="37" t="s">
        <v>46</v>
      </c>
      <c r="W322" s="38" t="s">
        <v>0</v>
      </c>
      <c r="X322" s="56">
        <v>54</v>
      </c>
      <c r="Y322" s="53">
        <f t="shared" si="43"/>
        <v>54</v>
      </c>
      <c r="Z322" s="39">
        <f>IFERROR(IF(Y322=0,"",ROUNDUP(Y322/H322,0)*0.01898),"")</f>
        <v>9.4899999999999998E-2</v>
      </c>
      <c r="AA322" s="65" t="s">
        <v>46</v>
      </c>
      <c r="AB322" s="66" t="s">
        <v>46</v>
      </c>
      <c r="AC322" s="397" t="s">
        <v>532</v>
      </c>
      <c r="AG322" s="75"/>
      <c r="AJ322" s="79" t="s">
        <v>46</v>
      </c>
      <c r="AK322" s="79">
        <v>0</v>
      </c>
      <c r="BB322" s="398" t="s">
        <v>67</v>
      </c>
      <c r="BM322" s="75">
        <f t="shared" si="44"/>
        <v>56.05</v>
      </c>
      <c r="BN322" s="75">
        <f t="shared" si="45"/>
        <v>56.05</v>
      </c>
      <c r="BO322" s="75">
        <f t="shared" si="46"/>
        <v>7.8125E-2</v>
      </c>
      <c r="BP322" s="75">
        <f t="shared" si="47"/>
        <v>7.8125E-2</v>
      </c>
    </row>
    <row r="323" spans="1:68" ht="27" customHeight="1" x14ac:dyDescent="0.25">
      <c r="A323" s="60" t="s">
        <v>533</v>
      </c>
      <c r="B323" s="60" t="s">
        <v>534</v>
      </c>
      <c r="C323" s="34">
        <v>4301012016</v>
      </c>
      <c r="D323" s="646">
        <v>4680115885554</v>
      </c>
      <c r="E323" s="646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130</v>
      </c>
      <c r="L323" s="35" t="s">
        <v>46</v>
      </c>
      <c r="M323" s="36" t="s">
        <v>91</v>
      </c>
      <c r="N323" s="36"/>
      <c r="O323" s="35">
        <v>55</v>
      </c>
      <c r="P323" s="8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3" s="648"/>
      <c r="R323" s="648"/>
      <c r="S323" s="648"/>
      <c r="T323" s="649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4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399" t="s">
        <v>535</v>
      </c>
      <c r="AG323" s="75"/>
      <c r="AJ323" s="79" t="s">
        <v>46</v>
      </c>
      <c r="AK323" s="79">
        <v>0</v>
      </c>
      <c r="BB323" s="400" t="s">
        <v>67</v>
      </c>
      <c r="BM323" s="75">
        <f t="shared" si="44"/>
        <v>0</v>
      </c>
      <c r="BN323" s="75">
        <f t="shared" si="45"/>
        <v>0</v>
      </c>
      <c r="BO323" s="75">
        <f t="shared" si="46"/>
        <v>0</v>
      </c>
      <c r="BP323" s="75">
        <f t="shared" si="47"/>
        <v>0</v>
      </c>
    </row>
    <row r="324" spans="1:68" ht="27" customHeight="1" x14ac:dyDescent="0.25">
      <c r="A324" s="60" t="s">
        <v>536</v>
      </c>
      <c r="B324" s="60" t="s">
        <v>537</v>
      </c>
      <c r="C324" s="34">
        <v>4301012236</v>
      </c>
      <c r="D324" s="646">
        <v>4680115887220</v>
      </c>
      <c r="E324" s="646"/>
      <c r="F324" s="59">
        <v>0.4</v>
      </c>
      <c r="G324" s="35">
        <v>10</v>
      </c>
      <c r="H324" s="59">
        <v>4</v>
      </c>
      <c r="I324" s="59">
        <v>4.1900000000000004</v>
      </c>
      <c r="J324" s="35">
        <v>132</v>
      </c>
      <c r="K324" s="35" t="s">
        <v>137</v>
      </c>
      <c r="L324" s="35" t="s">
        <v>46</v>
      </c>
      <c r="M324" s="36" t="s">
        <v>129</v>
      </c>
      <c r="N324" s="36"/>
      <c r="O324" s="35">
        <v>55</v>
      </c>
      <c r="P324" s="81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24" s="648"/>
      <c r="R324" s="648"/>
      <c r="S324" s="648"/>
      <c r="T324" s="649"/>
      <c r="U324" s="37" t="s">
        <v>46</v>
      </c>
      <c r="V324" s="37" t="s">
        <v>46</v>
      </c>
      <c r="W324" s="38" t="s">
        <v>0</v>
      </c>
      <c r="X324" s="56">
        <v>8</v>
      </c>
      <c r="Y324" s="53">
        <f t="shared" si="43"/>
        <v>8</v>
      </c>
      <c r="Z324" s="39">
        <f>IFERROR(IF(Y324=0,"",ROUNDUP(Y324/H324,0)*0.00902),"")</f>
        <v>1.804E-2</v>
      </c>
      <c r="AA324" s="65" t="s">
        <v>46</v>
      </c>
      <c r="AB324" s="66" t="s">
        <v>46</v>
      </c>
      <c r="AC324" s="401" t="s">
        <v>529</v>
      </c>
      <c r="AG324" s="75"/>
      <c r="AJ324" s="79" t="s">
        <v>46</v>
      </c>
      <c r="AK324" s="79">
        <v>0</v>
      </c>
      <c r="BB324" s="402" t="s">
        <v>67</v>
      </c>
      <c r="BM324" s="75">
        <f t="shared" si="44"/>
        <v>8.3800000000000008</v>
      </c>
      <c r="BN324" s="75">
        <f t="shared" si="45"/>
        <v>8.3800000000000008</v>
      </c>
      <c r="BO324" s="75">
        <f t="shared" si="46"/>
        <v>1.5151515151515152E-2</v>
      </c>
      <c r="BP324" s="75">
        <f t="shared" si="47"/>
        <v>1.5151515151515152E-2</v>
      </c>
    </row>
    <row r="325" spans="1:68" ht="27" customHeight="1" x14ac:dyDescent="0.25">
      <c r="A325" s="60" t="s">
        <v>538</v>
      </c>
      <c r="B325" s="60" t="s">
        <v>539</v>
      </c>
      <c r="C325" s="34">
        <v>4301011859</v>
      </c>
      <c r="D325" s="646">
        <v>4680115885608</v>
      </c>
      <c r="E325" s="646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137</v>
      </c>
      <c r="L325" s="35" t="s">
        <v>46</v>
      </c>
      <c r="M325" s="36" t="s">
        <v>129</v>
      </c>
      <c r="N325" s="36"/>
      <c r="O325" s="35">
        <v>55</v>
      </c>
      <c r="P325" s="81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5" s="648"/>
      <c r="R325" s="648"/>
      <c r="S325" s="648"/>
      <c r="T325" s="649"/>
      <c r="U325" s="37" t="s">
        <v>46</v>
      </c>
      <c r="V325" s="37" t="s">
        <v>46</v>
      </c>
      <c r="W325" s="38" t="s">
        <v>0</v>
      </c>
      <c r="X325" s="56">
        <v>20</v>
      </c>
      <c r="Y325" s="53">
        <f t="shared" si="43"/>
        <v>20</v>
      </c>
      <c r="Z325" s="39">
        <f>IFERROR(IF(Y325=0,"",ROUNDUP(Y325/H325,0)*0.00902),"")</f>
        <v>4.5100000000000001E-2</v>
      </c>
      <c r="AA325" s="65" t="s">
        <v>46</v>
      </c>
      <c r="AB325" s="66" t="s">
        <v>46</v>
      </c>
      <c r="AC325" s="403" t="s">
        <v>540</v>
      </c>
      <c r="AG325" s="75"/>
      <c r="AJ325" s="79" t="s">
        <v>46</v>
      </c>
      <c r="AK325" s="79">
        <v>0</v>
      </c>
      <c r="BB325" s="404" t="s">
        <v>67</v>
      </c>
      <c r="BM325" s="75">
        <f t="shared" si="44"/>
        <v>20.950000000000003</v>
      </c>
      <c r="BN325" s="75">
        <f t="shared" si="45"/>
        <v>20.950000000000003</v>
      </c>
      <c r="BO325" s="75">
        <f t="shared" si="46"/>
        <v>3.787878787878788E-2</v>
      </c>
      <c r="BP325" s="75">
        <f t="shared" si="47"/>
        <v>3.787878787878788E-2</v>
      </c>
    </row>
    <row r="326" spans="1:68" x14ac:dyDescent="0.2">
      <c r="A326" s="654"/>
      <c r="B326" s="654"/>
      <c r="C326" s="654"/>
      <c r="D326" s="654"/>
      <c r="E326" s="654"/>
      <c r="F326" s="654"/>
      <c r="G326" s="654"/>
      <c r="H326" s="654"/>
      <c r="I326" s="654"/>
      <c r="J326" s="654"/>
      <c r="K326" s="654"/>
      <c r="L326" s="654"/>
      <c r="M326" s="654"/>
      <c r="N326" s="654"/>
      <c r="O326" s="655"/>
      <c r="P326" s="651" t="s">
        <v>40</v>
      </c>
      <c r="Q326" s="652"/>
      <c r="R326" s="652"/>
      <c r="S326" s="652"/>
      <c r="T326" s="652"/>
      <c r="U326" s="652"/>
      <c r="V326" s="653"/>
      <c r="W326" s="40" t="s">
        <v>39</v>
      </c>
      <c r="X326" s="41">
        <f>IFERROR(X319/H319,"0")+IFERROR(X320/H320,"0")+IFERROR(X321/H321,"0")+IFERROR(X322/H322,"0")+IFERROR(X323/H323,"0")+IFERROR(X324/H324,"0")+IFERROR(X325/H325,"0")</f>
        <v>52</v>
      </c>
      <c r="Y326" s="41">
        <f>IFERROR(Y319/H319,"0")+IFERROR(Y320/H320,"0")+IFERROR(Y321/H321,"0")+IFERROR(Y322/H322,"0")+IFERROR(Y323/H323,"0")+IFERROR(Y324/H324,"0")+IFERROR(Y325/H325,"0")</f>
        <v>52</v>
      </c>
      <c r="Z326" s="41">
        <f>IFERROR(IF(Z319="",0,Z319),"0")+IFERROR(IF(Z320="",0,Z320),"0")+IFERROR(IF(Z321="",0,Z321),"0")+IFERROR(IF(Z322="",0,Z322),"0")+IFERROR(IF(Z323="",0,Z323),"0")+IFERROR(IF(Z324="",0,Z324),"0")+IFERROR(IF(Z325="",0,Z325),"0")</f>
        <v>0.91723999999999994</v>
      </c>
      <c r="AA326" s="64"/>
      <c r="AB326" s="64"/>
      <c r="AC326" s="64"/>
    </row>
    <row r="327" spans="1:68" x14ac:dyDescent="0.2">
      <c r="A327" s="654"/>
      <c r="B327" s="654"/>
      <c r="C327" s="654"/>
      <c r="D327" s="654"/>
      <c r="E327" s="654"/>
      <c r="F327" s="654"/>
      <c r="G327" s="654"/>
      <c r="H327" s="654"/>
      <c r="I327" s="654"/>
      <c r="J327" s="654"/>
      <c r="K327" s="654"/>
      <c r="L327" s="654"/>
      <c r="M327" s="654"/>
      <c r="N327" s="654"/>
      <c r="O327" s="655"/>
      <c r="P327" s="651" t="s">
        <v>40</v>
      </c>
      <c r="Q327" s="652"/>
      <c r="R327" s="652"/>
      <c r="S327" s="652"/>
      <c r="T327" s="652"/>
      <c r="U327" s="652"/>
      <c r="V327" s="653"/>
      <c r="W327" s="40" t="s">
        <v>0</v>
      </c>
      <c r="X327" s="41">
        <f>IFERROR(SUM(X319:X325),"0")</f>
        <v>514</v>
      </c>
      <c r="Y327" s="41">
        <f>IFERROR(SUM(Y319:Y325),"0")</f>
        <v>514</v>
      </c>
      <c r="Z327" s="40"/>
      <c r="AA327" s="64"/>
      <c r="AB327" s="64"/>
      <c r="AC327" s="64"/>
    </row>
    <row r="328" spans="1:68" ht="14.25" customHeight="1" x14ac:dyDescent="0.25">
      <c r="A328" s="645" t="s">
        <v>77</v>
      </c>
      <c r="B328" s="645"/>
      <c r="C328" s="645"/>
      <c r="D328" s="645"/>
      <c r="E328" s="645"/>
      <c r="F328" s="645"/>
      <c r="G328" s="645"/>
      <c r="H328" s="645"/>
      <c r="I328" s="645"/>
      <c r="J328" s="645"/>
      <c r="K328" s="645"/>
      <c r="L328" s="645"/>
      <c r="M328" s="645"/>
      <c r="N328" s="645"/>
      <c r="O328" s="645"/>
      <c r="P328" s="645"/>
      <c r="Q328" s="645"/>
      <c r="R328" s="645"/>
      <c r="S328" s="645"/>
      <c r="T328" s="645"/>
      <c r="U328" s="645"/>
      <c r="V328" s="645"/>
      <c r="W328" s="645"/>
      <c r="X328" s="645"/>
      <c r="Y328" s="645"/>
      <c r="Z328" s="645"/>
      <c r="AA328" s="63"/>
      <c r="AB328" s="63"/>
      <c r="AC328" s="63"/>
    </row>
    <row r="329" spans="1:68" ht="27" customHeight="1" x14ac:dyDescent="0.25">
      <c r="A329" s="60" t="s">
        <v>541</v>
      </c>
      <c r="B329" s="60" t="s">
        <v>542</v>
      </c>
      <c r="C329" s="34">
        <v>4301030878</v>
      </c>
      <c r="D329" s="646">
        <v>4607091387193</v>
      </c>
      <c r="E329" s="646"/>
      <c r="F329" s="59">
        <v>0.7</v>
      </c>
      <c r="G329" s="35">
        <v>6</v>
      </c>
      <c r="H329" s="59">
        <v>4.2</v>
      </c>
      <c r="I329" s="59">
        <v>4.45</v>
      </c>
      <c r="J329" s="35">
        <v>132</v>
      </c>
      <c r="K329" s="35" t="s">
        <v>137</v>
      </c>
      <c r="L329" s="35" t="s">
        <v>46</v>
      </c>
      <c r="M329" s="36" t="s">
        <v>81</v>
      </c>
      <c r="N329" s="36"/>
      <c r="O329" s="35">
        <v>35</v>
      </c>
      <c r="P329" s="8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84</v>
      </c>
      <c r="Y329" s="53">
        <f t="shared" ref="Y329:Y335" si="48">IFERROR(IF(X329="",0,CEILING((X329/$H329),1)*$H329),"")</f>
        <v>84</v>
      </c>
      <c r="Z329" s="39">
        <f>IFERROR(IF(Y329=0,"",ROUNDUP(Y329/H329,0)*0.00902),"")</f>
        <v>0.1804</v>
      </c>
      <c r="AA329" s="65" t="s">
        <v>46</v>
      </c>
      <c r="AB329" s="66" t="s">
        <v>46</v>
      </c>
      <c r="AC329" s="405" t="s">
        <v>543</v>
      </c>
      <c r="AG329" s="75"/>
      <c r="AJ329" s="79" t="s">
        <v>46</v>
      </c>
      <c r="AK329" s="79">
        <v>0</v>
      </c>
      <c r="BB329" s="406" t="s">
        <v>67</v>
      </c>
      <c r="BM329" s="75">
        <f t="shared" ref="BM329:BM335" si="49">IFERROR(X329*I329/H329,"0")</f>
        <v>89</v>
      </c>
      <c r="BN329" s="75">
        <f t="shared" ref="BN329:BN335" si="50">IFERROR(Y329*I329/H329,"0")</f>
        <v>89</v>
      </c>
      <c r="BO329" s="75">
        <f t="shared" ref="BO329:BO335" si="51">IFERROR(1/J329*(X329/H329),"0")</f>
        <v>0.15151515151515152</v>
      </c>
      <c r="BP329" s="75">
        <f t="shared" ref="BP329:BP335" si="52">IFERROR(1/J329*(Y329/H329),"0")</f>
        <v>0.15151515151515152</v>
      </c>
    </row>
    <row r="330" spans="1:68" ht="27" customHeight="1" x14ac:dyDescent="0.25">
      <c r="A330" s="60" t="s">
        <v>544</v>
      </c>
      <c r="B330" s="60" t="s">
        <v>545</v>
      </c>
      <c r="C330" s="34">
        <v>4301031153</v>
      </c>
      <c r="D330" s="646">
        <v>4607091387230</v>
      </c>
      <c r="E330" s="646"/>
      <c r="F330" s="59">
        <v>0.7</v>
      </c>
      <c r="G330" s="35">
        <v>6</v>
      </c>
      <c r="H330" s="59">
        <v>4.2</v>
      </c>
      <c r="I330" s="59">
        <v>4.45</v>
      </c>
      <c r="J330" s="35">
        <v>132</v>
      </c>
      <c r="K330" s="35" t="s">
        <v>137</v>
      </c>
      <c r="L330" s="35" t="s">
        <v>46</v>
      </c>
      <c r="M330" s="36" t="s">
        <v>81</v>
      </c>
      <c r="N330" s="36"/>
      <c r="O330" s="35">
        <v>40</v>
      </c>
      <c r="P330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42</v>
      </c>
      <c r="Y330" s="53">
        <f t="shared" si="48"/>
        <v>42</v>
      </c>
      <c r="Z330" s="39">
        <f>IFERROR(IF(Y330=0,"",ROUNDUP(Y330/H330,0)*0.00902),"")</f>
        <v>9.0200000000000002E-2</v>
      </c>
      <c r="AA330" s="65" t="s">
        <v>46</v>
      </c>
      <c r="AB330" s="66" t="s">
        <v>46</v>
      </c>
      <c r="AC330" s="407" t="s">
        <v>546</v>
      </c>
      <c r="AG330" s="75"/>
      <c r="AJ330" s="79" t="s">
        <v>46</v>
      </c>
      <c r="AK330" s="79">
        <v>0</v>
      </c>
      <c r="BB330" s="408" t="s">
        <v>67</v>
      </c>
      <c r="BM330" s="75">
        <f t="shared" si="49"/>
        <v>44.5</v>
      </c>
      <c r="BN330" s="75">
        <f t="shared" si="50"/>
        <v>44.5</v>
      </c>
      <c r="BO330" s="75">
        <f t="shared" si="51"/>
        <v>7.575757575757576E-2</v>
      </c>
      <c r="BP330" s="75">
        <f t="shared" si="52"/>
        <v>7.575757575757576E-2</v>
      </c>
    </row>
    <row r="331" spans="1:68" ht="27" customHeight="1" x14ac:dyDescent="0.25">
      <c r="A331" s="60" t="s">
        <v>547</v>
      </c>
      <c r="B331" s="60" t="s">
        <v>548</v>
      </c>
      <c r="C331" s="34">
        <v>4301031154</v>
      </c>
      <c r="D331" s="646">
        <v>4607091387292</v>
      </c>
      <c r="E331" s="646"/>
      <c r="F331" s="59">
        <v>0.73</v>
      </c>
      <c r="G331" s="35">
        <v>6</v>
      </c>
      <c r="H331" s="59">
        <v>4.38</v>
      </c>
      <c r="I331" s="59">
        <v>4.63</v>
      </c>
      <c r="J331" s="35">
        <v>132</v>
      </c>
      <c r="K331" s="35" t="s">
        <v>137</v>
      </c>
      <c r="L331" s="35" t="s">
        <v>46</v>
      </c>
      <c r="M331" s="36" t="s">
        <v>81</v>
      </c>
      <c r="N331" s="36"/>
      <c r="O331" s="35">
        <v>45</v>
      </c>
      <c r="P331" s="81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1" s="648"/>
      <c r="R331" s="648"/>
      <c r="S331" s="648"/>
      <c r="T331" s="649"/>
      <c r="U331" s="37" t="s">
        <v>46</v>
      </c>
      <c r="V331" s="37" t="s">
        <v>46</v>
      </c>
      <c r="W331" s="38" t="s">
        <v>0</v>
      </c>
      <c r="X331" s="56">
        <v>30.66</v>
      </c>
      <c r="Y331" s="53">
        <f t="shared" si="48"/>
        <v>30.66</v>
      </c>
      <c r="Z331" s="39">
        <f>IFERROR(IF(Y331=0,"",ROUNDUP(Y331/H331,0)*0.00902),"")</f>
        <v>6.3140000000000002E-2</v>
      </c>
      <c r="AA331" s="65" t="s">
        <v>46</v>
      </c>
      <c r="AB331" s="66" t="s">
        <v>46</v>
      </c>
      <c r="AC331" s="409" t="s">
        <v>549</v>
      </c>
      <c r="AG331" s="75"/>
      <c r="AJ331" s="79" t="s">
        <v>46</v>
      </c>
      <c r="AK331" s="79">
        <v>0</v>
      </c>
      <c r="BB331" s="410" t="s">
        <v>67</v>
      </c>
      <c r="BM331" s="75">
        <f t="shared" si="49"/>
        <v>32.410000000000004</v>
      </c>
      <c r="BN331" s="75">
        <f t="shared" si="50"/>
        <v>32.410000000000004</v>
      </c>
      <c r="BO331" s="75">
        <f t="shared" si="51"/>
        <v>5.3030303030303032E-2</v>
      </c>
      <c r="BP331" s="75">
        <f t="shared" si="52"/>
        <v>5.3030303030303032E-2</v>
      </c>
    </row>
    <row r="332" spans="1:68" ht="27" customHeight="1" x14ac:dyDescent="0.25">
      <c r="A332" s="60" t="s">
        <v>550</v>
      </c>
      <c r="B332" s="60" t="s">
        <v>551</v>
      </c>
      <c r="C332" s="34">
        <v>4301031152</v>
      </c>
      <c r="D332" s="646">
        <v>4607091387285</v>
      </c>
      <c r="E332" s="646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86</v>
      </c>
      <c r="L332" s="35" t="s">
        <v>46</v>
      </c>
      <c r="M332" s="36" t="s">
        <v>81</v>
      </c>
      <c r="N332" s="36"/>
      <c r="O332" s="35">
        <v>40</v>
      </c>
      <c r="P332" s="8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2" s="648"/>
      <c r="R332" s="648"/>
      <c r="S332" s="648"/>
      <c r="T332" s="649"/>
      <c r="U332" s="37" t="s">
        <v>46</v>
      </c>
      <c r="V332" s="37" t="s">
        <v>46</v>
      </c>
      <c r="W332" s="38" t="s">
        <v>0</v>
      </c>
      <c r="X332" s="56">
        <v>12.6</v>
      </c>
      <c r="Y332" s="53">
        <f t="shared" si="48"/>
        <v>12.600000000000001</v>
      </c>
      <c r="Z332" s="39">
        <f>IFERROR(IF(Y332=0,"",ROUNDUP(Y332/H332,0)*0.00502),"")</f>
        <v>3.0120000000000001E-2</v>
      </c>
      <c r="AA332" s="65" t="s">
        <v>46</v>
      </c>
      <c r="AB332" s="66" t="s">
        <v>46</v>
      </c>
      <c r="AC332" s="411" t="s">
        <v>546</v>
      </c>
      <c r="AG332" s="75"/>
      <c r="AJ332" s="79" t="s">
        <v>46</v>
      </c>
      <c r="AK332" s="79">
        <v>0</v>
      </c>
      <c r="BB332" s="412" t="s">
        <v>67</v>
      </c>
      <c r="BM332" s="75">
        <f t="shared" si="49"/>
        <v>13.379999999999999</v>
      </c>
      <c r="BN332" s="75">
        <f t="shared" si="50"/>
        <v>13.38</v>
      </c>
      <c r="BO332" s="75">
        <f t="shared" si="51"/>
        <v>2.5641025641025644E-2</v>
      </c>
      <c r="BP332" s="75">
        <f t="shared" si="52"/>
        <v>2.5641025641025644E-2</v>
      </c>
    </row>
    <row r="333" spans="1:68" ht="27" customHeight="1" x14ac:dyDescent="0.25">
      <c r="A333" s="60" t="s">
        <v>552</v>
      </c>
      <c r="B333" s="60" t="s">
        <v>553</v>
      </c>
      <c r="C333" s="34">
        <v>4301031305</v>
      </c>
      <c r="D333" s="646">
        <v>4607091389845</v>
      </c>
      <c r="E333" s="646"/>
      <c r="F333" s="59">
        <v>0.35</v>
      </c>
      <c r="G333" s="35">
        <v>6</v>
      </c>
      <c r="H333" s="59">
        <v>2.1</v>
      </c>
      <c r="I333" s="59">
        <v>2.2000000000000002</v>
      </c>
      <c r="J333" s="35">
        <v>234</v>
      </c>
      <c r="K333" s="35" t="s">
        <v>86</v>
      </c>
      <c r="L333" s="35" t="s">
        <v>46</v>
      </c>
      <c r="M333" s="36" t="s">
        <v>81</v>
      </c>
      <c r="N333" s="36"/>
      <c r="O333" s="35">
        <v>40</v>
      </c>
      <c r="P333" s="82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33" s="648"/>
      <c r="R333" s="648"/>
      <c r="S333" s="648"/>
      <c r="T333" s="649"/>
      <c r="U333" s="37" t="s">
        <v>46</v>
      </c>
      <c r="V333" s="37" t="s">
        <v>46</v>
      </c>
      <c r="W333" s="38" t="s">
        <v>0</v>
      </c>
      <c r="X333" s="56">
        <v>12.6</v>
      </c>
      <c r="Y333" s="53">
        <f t="shared" si="48"/>
        <v>12.600000000000001</v>
      </c>
      <c r="Z333" s="39">
        <f>IFERROR(IF(Y333=0,"",ROUNDUP(Y333/H333,0)*0.00502),"")</f>
        <v>3.0120000000000001E-2</v>
      </c>
      <c r="AA333" s="65" t="s">
        <v>46</v>
      </c>
      <c r="AB333" s="66" t="s">
        <v>46</v>
      </c>
      <c r="AC333" s="413" t="s">
        <v>554</v>
      </c>
      <c r="AG333" s="75"/>
      <c r="AJ333" s="79" t="s">
        <v>46</v>
      </c>
      <c r="AK333" s="79">
        <v>0</v>
      </c>
      <c r="BB333" s="414" t="s">
        <v>67</v>
      </c>
      <c r="BM333" s="75">
        <f t="shared" si="49"/>
        <v>13.200000000000001</v>
      </c>
      <c r="BN333" s="75">
        <f t="shared" si="50"/>
        <v>13.200000000000003</v>
      </c>
      <c r="BO333" s="75">
        <f t="shared" si="51"/>
        <v>2.5641025641025644E-2</v>
      </c>
      <c r="BP333" s="75">
        <f t="shared" si="52"/>
        <v>2.5641025641025644E-2</v>
      </c>
    </row>
    <row r="334" spans="1:68" ht="27" customHeight="1" x14ac:dyDescent="0.25">
      <c r="A334" s="60" t="s">
        <v>555</v>
      </c>
      <c r="B334" s="60" t="s">
        <v>556</v>
      </c>
      <c r="C334" s="34">
        <v>4301031460</v>
      </c>
      <c r="D334" s="646">
        <v>4680115887442</v>
      </c>
      <c r="E334" s="646"/>
      <c r="F334" s="59">
        <v>0.73</v>
      </c>
      <c r="G334" s="35">
        <v>6</v>
      </c>
      <c r="H334" s="59">
        <v>4.38</v>
      </c>
      <c r="I334" s="59">
        <v>4.63</v>
      </c>
      <c r="J334" s="35">
        <v>132</v>
      </c>
      <c r="K334" s="35" t="s">
        <v>137</v>
      </c>
      <c r="L334" s="35" t="s">
        <v>46</v>
      </c>
      <c r="M334" s="36" t="s">
        <v>81</v>
      </c>
      <c r="N334" s="36"/>
      <c r="O334" s="35">
        <v>45</v>
      </c>
      <c r="P334" s="82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34" s="648"/>
      <c r="R334" s="648"/>
      <c r="S334" s="648"/>
      <c r="T334" s="649"/>
      <c r="U334" s="37" t="s">
        <v>46</v>
      </c>
      <c r="V334" s="37" t="s">
        <v>46</v>
      </c>
      <c r="W334" s="38" t="s">
        <v>0</v>
      </c>
      <c r="X334" s="56">
        <v>0</v>
      </c>
      <c r="Y334" s="53">
        <f t="shared" si="48"/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5" t="s">
        <v>549</v>
      </c>
      <c r="AG334" s="75"/>
      <c r="AJ334" s="79" t="s">
        <v>46</v>
      </c>
      <c r="AK334" s="79">
        <v>0</v>
      </c>
      <c r="BB334" s="416" t="s">
        <v>67</v>
      </c>
      <c r="BM334" s="75">
        <f t="shared" si="49"/>
        <v>0</v>
      </c>
      <c r="BN334" s="75">
        <f t="shared" si="50"/>
        <v>0</v>
      </c>
      <c r="BO334" s="75">
        <f t="shared" si="51"/>
        <v>0</v>
      </c>
      <c r="BP334" s="75">
        <f t="shared" si="52"/>
        <v>0</v>
      </c>
    </row>
    <row r="335" spans="1:68" ht="27" customHeight="1" x14ac:dyDescent="0.25">
      <c r="A335" s="60" t="s">
        <v>557</v>
      </c>
      <c r="B335" s="60" t="s">
        <v>558</v>
      </c>
      <c r="C335" s="34">
        <v>4301031066</v>
      </c>
      <c r="D335" s="646">
        <v>4607091383836</v>
      </c>
      <c r="E335" s="646"/>
      <c r="F335" s="59">
        <v>0.3</v>
      </c>
      <c r="G335" s="35">
        <v>6</v>
      </c>
      <c r="H335" s="59">
        <v>1.8</v>
      </c>
      <c r="I335" s="59">
        <v>2.028</v>
      </c>
      <c r="J335" s="35">
        <v>182</v>
      </c>
      <c r="K335" s="35" t="s">
        <v>82</v>
      </c>
      <c r="L335" s="35" t="s">
        <v>46</v>
      </c>
      <c r="M335" s="36" t="s">
        <v>81</v>
      </c>
      <c r="N335" s="36"/>
      <c r="O335" s="35">
        <v>40</v>
      </c>
      <c r="P335" s="82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 t="shared" si="48"/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7" t="s">
        <v>559</v>
      </c>
      <c r="AG335" s="75"/>
      <c r="AJ335" s="79" t="s">
        <v>46</v>
      </c>
      <c r="AK335" s="79">
        <v>0</v>
      </c>
      <c r="BB335" s="418" t="s">
        <v>67</v>
      </c>
      <c r="BM335" s="75">
        <f t="shared" si="49"/>
        <v>0</v>
      </c>
      <c r="BN335" s="75">
        <f t="shared" si="50"/>
        <v>0</v>
      </c>
      <c r="BO335" s="75">
        <f t="shared" si="51"/>
        <v>0</v>
      </c>
      <c r="BP335" s="75">
        <f t="shared" si="52"/>
        <v>0</v>
      </c>
    </row>
    <row r="336" spans="1:68" x14ac:dyDescent="0.2">
      <c r="A336" s="654"/>
      <c r="B336" s="654"/>
      <c r="C336" s="654"/>
      <c r="D336" s="654"/>
      <c r="E336" s="654"/>
      <c r="F336" s="654"/>
      <c r="G336" s="654"/>
      <c r="H336" s="654"/>
      <c r="I336" s="654"/>
      <c r="J336" s="654"/>
      <c r="K336" s="654"/>
      <c r="L336" s="654"/>
      <c r="M336" s="654"/>
      <c r="N336" s="654"/>
      <c r="O336" s="655"/>
      <c r="P336" s="651" t="s">
        <v>40</v>
      </c>
      <c r="Q336" s="652"/>
      <c r="R336" s="652"/>
      <c r="S336" s="652"/>
      <c r="T336" s="652"/>
      <c r="U336" s="652"/>
      <c r="V336" s="653"/>
      <c r="W336" s="40" t="s">
        <v>39</v>
      </c>
      <c r="X336" s="41">
        <f>IFERROR(X329/H329,"0")+IFERROR(X330/H330,"0")+IFERROR(X331/H331,"0")+IFERROR(X332/H332,"0")+IFERROR(X333/H333,"0")+IFERROR(X334/H334,"0")+IFERROR(X335/H335,"0")</f>
        <v>49</v>
      </c>
      <c r="Y336" s="41">
        <f>IFERROR(Y329/H329,"0")+IFERROR(Y330/H330,"0")+IFERROR(Y331/H331,"0")+IFERROR(Y332/H332,"0")+IFERROR(Y333/H333,"0")+IFERROR(Y334/H334,"0")+IFERROR(Y335/H335,"0")</f>
        <v>49</v>
      </c>
      <c r="Z336" s="41">
        <f>IFERROR(IF(Z329="",0,Z329),"0")+IFERROR(IF(Z330="",0,Z330),"0")+IFERROR(IF(Z331="",0,Z331),"0")+IFERROR(IF(Z332="",0,Z332),"0")+IFERROR(IF(Z333="",0,Z333),"0")+IFERROR(IF(Z334="",0,Z334),"0")+IFERROR(IF(Z335="",0,Z335),"0")</f>
        <v>0.39398</v>
      </c>
      <c r="AA336" s="64"/>
      <c r="AB336" s="64"/>
      <c r="AC336" s="64"/>
    </row>
    <row r="337" spans="1:68" x14ac:dyDescent="0.2">
      <c r="A337" s="654"/>
      <c r="B337" s="654"/>
      <c r="C337" s="654"/>
      <c r="D337" s="654"/>
      <c r="E337" s="654"/>
      <c r="F337" s="654"/>
      <c r="G337" s="654"/>
      <c r="H337" s="654"/>
      <c r="I337" s="654"/>
      <c r="J337" s="654"/>
      <c r="K337" s="654"/>
      <c r="L337" s="654"/>
      <c r="M337" s="654"/>
      <c r="N337" s="654"/>
      <c r="O337" s="655"/>
      <c r="P337" s="651" t="s">
        <v>40</v>
      </c>
      <c r="Q337" s="652"/>
      <c r="R337" s="652"/>
      <c r="S337" s="652"/>
      <c r="T337" s="652"/>
      <c r="U337" s="652"/>
      <c r="V337" s="653"/>
      <c r="W337" s="40" t="s">
        <v>0</v>
      </c>
      <c r="X337" s="41">
        <f>IFERROR(SUM(X329:X335),"0")</f>
        <v>181.85999999999999</v>
      </c>
      <c r="Y337" s="41">
        <f>IFERROR(SUM(Y329:Y335),"0")</f>
        <v>181.85999999999999</v>
      </c>
      <c r="Z337" s="40"/>
      <c r="AA337" s="64"/>
      <c r="AB337" s="64"/>
      <c r="AC337" s="64"/>
    </row>
    <row r="338" spans="1:68" ht="14.25" customHeight="1" x14ac:dyDescent="0.25">
      <c r="A338" s="645" t="s">
        <v>87</v>
      </c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5"/>
      <c r="P338" s="645"/>
      <c r="Q338" s="645"/>
      <c r="R338" s="645"/>
      <c r="S338" s="645"/>
      <c r="T338" s="645"/>
      <c r="U338" s="645"/>
      <c r="V338" s="645"/>
      <c r="W338" s="645"/>
      <c r="X338" s="645"/>
      <c r="Y338" s="645"/>
      <c r="Z338" s="645"/>
      <c r="AA338" s="63"/>
      <c r="AB338" s="63"/>
      <c r="AC338" s="63"/>
    </row>
    <row r="339" spans="1:68" ht="27" customHeight="1" x14ac:dyDescent="0.25">
      <c r="A339" s="60" t="s">
        <v>560</v>
      </c>
      <c r="B339" s="60" t="s">
        <v>561</v>
      </c>
      <c r="C339" s="34">
        <v>4301051100</v>
      </c>
      <c r="D339" s="646">
        <v>4607091387766</v>
      </c>
      <c r="E339" s="646"/>
      <c r="F339" s="59">
        <v>1.3</v>
      </c>
      <c r="G339" s="35">
        <v>6</v>
      </c>
      <c r="H339" s="59">
        <v>7.8</v>
      </c>
      <c r="I339" s="59">
        <v>8.2880000000000003</v>
      </c>
      <c r="J339" s="35">
        <v>64</v>
      </c>
      <c r="K339" s="35" t="s">
        <v>130</v>
      </c>
      <c r="L339" s="35" t="s">
        <v>46</v>
      </c>
      <c r="M339" s="36" t="s">
        <v>91</v>
      </c>
      <c r="N339" s="36"/>
      <c r="O339" s="35">
        <v>40</v>
      </c>
      <c r="P339" s="82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9" s="648"/>
      <c r="R339" s="648"/>
      <c r="S339" s="648"/>
      <c r="T339" s="649"/>
      <c r="U339" s="37" t="s">
        <v>46</v>
      </c>
      <c r="V339" s="37" t="s">
        <v>46</v>
      </c>
      <c r="W339" s="38" t="s">
        <v>0</v>
      </c>
      <c r="X339" s="56">
        <v>1154.4000000000001</v>
      </c>
      <c r="Y339" s="53">
        <f>IFERROR(IF(X339="",0,CEILING((X339/$H339),1)*$H339),"")</f>
        <v>1154.3999999999999</v>
      </c>
      <c r="Z339" s="39">
        <f>IFERROR(IF(Y339=0,"",ROUNDUP(Y339/H339,0)*0.01898),"")</f>
        <v>2.80904</v>
      </c>
      <c r="AA339" s="65" t="s">
        <v>46</v>
      </c>
      <c r="AB339" s="66" t="s">
        <v>46</v>
      </c>
      <c r="AC339" s="419" t="s">
        <v>562</v>
      </c>
      <c r="AG339" s="75"/>
      <c r="AJ339" s="79" t="s">
        <v>46</v>
      </c>
      <c r="AK339" s="79">
        <v>0</v>
      </c>
      <c r="BB339" s="420" t="s">
        <v>67</v>
      </c>
      <c r="BM339" s="75">
        <f>IFERROR(X339*I339/H339,"0")</f>
        <v>1226.6240000000003</v>
      </c>
      <c r="BN339" s="75">
        <f>IFERROR(Y339*I339/H339,"0")</f>
        <v>1226.624</v>
      </c>
      <c r="BO339" s="75">
        <f>IFERROR(1/J339*(X339/H339),"0")</f>
        <v>2.3125000000000004</v>
      </c>
      <c r="BP339" s="75">
        <f>IFERROR(1/J339*(Y339/H339),"0")</f>
        <v>2.3125</v>
      </c>
    </row>
    <row r="340" spans="1:68" ht="27" customHeight="1" x14ac:dyDescent="0.25">
      <c r="A340" s="60" t="s">
        <v>563</v>
      </c>
      <c r="B340" s="60" t="s">
        <v>564</v>
      </c>
      <c r="C340" s="34">
        <v>4301051818</v>
      </c>
      <c r="D340" s="646">
        <v>4607091387957</v>
      </c>
      <c r="E340" s="646"/>
      <c r="F340" s="59">
        <v>1.3</v>
      </c>
      <c r="G340" s="35">
        <v>6</v>
      </c>
      <c r="H340" s="59">
        <v>7.8</v>
      </c>
      <c r="I340" s="59">
        <v>8.2940000000000005</v>
      </c>
      <c r="J340" s="35">
        <v>64</v>
      </c>
      <c r="K340" s="35" t="s">
        <v>130</v>
      </c>
      <c r="L340" s="35" t="s">
        <v>46</v>
      </c>
      <c r="M340" s="36" t="s">
        <v>91</v>
      </c>
      <c r="N340" s="36"/>
      <c r="O340" s="35">
        <v>40</v>
      </c>
      <c r="P340" s="8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0" s="648"/>
      <c r="R340" s="648"/>
      <c r="S340" s="648"/>
      <c r="T340" s="649"/>
      <c r="U340" s="37" t="s">
        <v>46</v>
      </c>
      <c r="V340" s="37" t="s">
        <v>46</v>
      </c>
      <c r="W340" s="38" t="s">
        <v>0</v>
      </c>
      <c r="X340" s="56">
        <v>23.4</v>
      </c>
      <c r="Y340" s="53">
        <f>IFERROR(IF(X340="",0,CEILING((X340/$H340),1)*$H340),"")</f>
        <v>23.4</v>
      </c>
      <c r="Z340" s="39">
        <f>IFERROR(IF(Y340=0,"",ROUNDUP(Y340/H340,0)*0.01898),"")</f>
        <v>5.6940000000000004E-2</v>
      </c>
      <c r="AA340" s="65" t="s">
        <v>46</v>
      </c>
      <c r="AB340" s="66" t="s">
        <v>46</v>
      </c>
      <c r="AC340" s="421" t="s">
        <v>565</v>
      </c>
      <c r="AG340" s="75"/>
      <c r="AJ340" s="79" t="s">
        <v>46</v>
      </c>
      <c r="AK340" s="79">
        <v>0</v>
      </c>
      <c r="BB340" s="422" t="s">
        <v>67</v>
      </c>
      <c r="BM340" s="75">
        <f>IFERROR(X340*I340/H340,"0")</f>
        <v>24.882000000000001</v>
      </c>
      <c r="BN340" s="75">
        <f>IFERROR(Y340*I340/H340,"0")</f>
        <v>24.882000000000001</v>
      </c>
      <c r="BO340" s="75">
        <f>IFERROR(1/J340*(X340/H340),"0")</f>
        <v>4.6875E-2</v>
      </c>
      <c r="BP340" s="75">
        <f>IFERROR(1/J340*(Y340/H340),"0")</f>
        <v>4.6875E-2</v>
      </c>
    </row>
    <row r="341" spans="1:68" ht="27" customHeight="1" x14ac:dyDescent="0.25">
      <c r="A341" s="60" t="s">
        <v>566</v>
      </c>
      <c r="B341" s="60" t="s">
        <v>567</v>
      </c>
      <c r="C341" s="34">
        <v>4301051819</v>
      </c>
      <c r="D341" s="646">
        <v>4607091387964</v>
      </c>
      <c r="E341" s="646"/>
      <c r="F341" s="59">
        <v>1.35</v>
      </c>
      <c r="G341" s="35">
        <v>6</v>
      </c>
      <c r="H341" s="59">
        <v>8.1</v>
      </c>
      <c r="I341" s="59">
        <v>8.5760000000000005</v>
      </c>
      <c r="J341" s="35">
        <v>64</v>
      </c>
      <c r="K341" s="35" t="s">
        <v>130</v>
      </c>
      <c r="L341" s="35" t="s">
        <v>46</v>
      </c>
      <c r="M341" s="36" t="s">
        <v>91</v>
      </c>
      <c r="N341" s="36"/>
      <c r="O341" s="35">
        <v>40</v>
      </c>
      <c r="P341" s="8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1" s="648"/>
      <c r="R341" s="648"/>
      <c r="S341" s="648"/>
      <c r="T341" s="649"/>
      <c r="U341" s="37" t="s">
        <v>46</v>
      </c>
      <c r="V341" s="37" t="s">
        <v>46</v>
      </c>
      <c r="W341" s="38" t="s">
        <v>0</v>
      </c>
      <c r="X341" s="56">
        <v>24.3</v>
      </c>
      <c r="Y341" s="53">
        <f>IFERROR(IF(X341="",0,CEILING((X341/$H341),1)*$H341),"")</f>
        <v>24.299999999999997</v>
      </c>
      <c r="Z341" s="39">
        <f>IFERROR(IF(Y341=0,"",ROUNDUP(Y341/H341,0)*0.01898),"")</f>
        <v>5.6940000000000004E-2</v>
      </c>
      <c r="AA341" s="65" t="s">
        <v>46</v>
      </c>
      <c r="AB341" s="66" t="s">
        <v>46</v>
      </c>
      <c r="AC341" s="423" t="s">
        <v>568</v>
      </c>
      <c r="AG341" s="75"/>
      <c r="AJ341" s="79" t="s">
        <v>46</v>
      </c>
      <c r="AK341" s="79">
        <v>0</v>
      </c>
      <c r="BB341" s="424" t="s">
        <v>67</v>
      </c>
      <c r="BM341" s="75">
        <f>IFERROR(X341*I341/H341,"0")</f>
        <v>25.728000000000002</v>
      </c>
      <c r="BN341" s="75">
        <f>IFERROR(Y341*I341/H341,"0")</f>
        <v>25.727999999999998</v>
      </c>
      <c r="BO341" s="75">
        <f>IFERROR(1/J341*(X341/H341),"0")</f>
        <v>4.6875E-2</v>
      </c>
      <c r="BP341" s="75">
        <f>IFERROR(1/J341*(Y341/H341),"0")</f>
        <v>4.6875E-2</v>
      </c>
    </row>
    <row r="342" spans="1:68" ht="27" customHeight="1" x14ac:dyDescent="0.25">
      <c r="A342" s="60" t="s">
        <v>569</v>
      </c>
      <c r="B342" s="60" t="s">
        <v>570</v>
      </c>
      <c r="C342" s="34">
        <v>4301051734</v>
      </c>
      <c r="D342" s="646">
        <v>4680115884588</v>
      </c>
      <c r="E342" s="646"/>
      <c r="F342" s="59">
        <v>0.5</v>
      </c>
      <c r="G342" s="35">
        <v>6</v>
      </c>
      <c r="H342" s="59">
        <v>3</v>
      </c>
      <c r="I342" s="59">
        <v>3.246</v>
      </c>
      <c r="J342" s="35">
        <v>182</v>
      </c>
      <c r="K342" s="35" t="s">
        <v>82</v>
      </c>
      <c r="L342" s="35" t="s">
        <v>46</v>
      </c>
      <c r="M342" s="36" t="s">
        <v>91</v>
      </c>
      <c r="N342" s="36"/>
      <c r="O342" s="35">
        <v>40</v>
      </c>
      <c r="P342" s="8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6</v>
      </c>
      <c r="Y342" s="53">
        <f>IFERROR(IF(X342="",0,CEILING((X342/$H342),1)*$H342),"")</f>
        <v>6</v>
      </c>
      <c r="Z342" s="39">
        <f>IFERROR(IF(Y342=0,"",ROUNDUP(Y342/H342,0)*0.00651),"")</f>
        <v>1.302E-2</v>
      </c>
      <c r="AA342" s="65" t="s">
        <v>46</v>
      </c>
      <c r="AB342" s="66" t="s">
        <v>46</v>
      </c>
      <c r="AC342" s="425" t="s">
        <v>562</v>
      </c>
      <c r="AG342" s="75"/>
      <c r="AJ342" s="79" t="s">
        <v>46</v>
      </c>
      <c r="AK342" s="79">
        <v>0</v>
      </c>
      <c r="BB342" s="426" t="s">
        <v>67</v>
      </c>
      <c r="BM342" s="75">
        <f>IFERROR(X342*I342/H342,"0")</f>
        <v>6.492</v>
      </c>
      <c r="BN342" s="75">
        <f>IFERROR(Y342*I342/H342,"0")</f>
        <v>6.492</v>
      </c>
      <c r="BO342" s="75">
        <f>IFERROR(1/J342*(X342/H342),"0")</f>
        <v>1.098901098901099E-2</v>
      </c>
      <c r="BP342" s="75">
        <f>IFERROR(1/J342*(Y342/H342),"0")</f>
        <v>1.098901098901099E-2</v>
      </c>
    </row>
    <row r="343" spans="1:68" x14ac:dyDescent="0.2">
      <c r="A343" s="654"/>
      <c r="B343" s="654"/>
      <c r="C343" s="654"/>
      <c r="D343" s="654"/>
      <c r="E343" s="654"/>
      <c r="F343" s="654"/>
      <c r="G343" s="654"/>
      <c r="H343" s="654"/>
      <c r="I343" s="654"/>
      <c r="J343" s="654"/>
      <c r="K343" s="654"/>
      <c r="L343" s="654"/>
      <c r="M343" s="654"/>
      <c r="N343" s="654"/>
      <c r="O343" s="655"/>
      <c r="P343" s="651" t="s">
        <v>40</v>
      </c>
      <c r="Q343" s="652"/>
      <c r="R343" s="652"/>
      <c r="S343" s="652"/>
      <c r="T343" s="652"/>
      <c r="U343" s="652"/>
      <c r="V343" s="653"/>
      <c r="W343" s="40" t="s">
        <v>39</v>
      </c>
      <c r="X343" s="41">
        <f>IFERROR(X339/H339,"0")+IFERROR(X340/H340,"0")+IFERROR(X341/H341,"0")+IFERROR(X342/H342,"0")</f>
        <v>156.00000000000003</v>
      </c>
      <c r="Y343" s="41">
        <f>IFERROR(Y339/H339,"0")+IFERROR(Y340/H340,"0")+IFERROR(Y341/H341,"0")+IFERROR(Y342/H342,"0")</f>
        <v>156</v>
      </c>
      <c r="Z343" s="41">
        <f>IFERROR(IF(Z339="",0,Z339),"0")+IFERROR(IF(Z340="",0,Z340),"0")+IFERROR(IF(Z341="",0,Z341),"0")+IFERROR(IF(Z342="",0,Z342),"0")</f>
        <v>2.93594</v>
      </c>
      <c r="AA343" s="64"/>
      <c r="AB343" s="64"/>
      <c r="AC343" s="64"/>
    </row>
    <row r="344" spans="1:68" x14ac:dyDescent="0.2">
      <c r="A344" s="654"/>
      <c r="B344" s="654"/>
      <c r="C344" s="654"/>
      <c r="D344" s="654"/>
      <c r="E344" s="654"/>
      <c r="F344" s="654"/>
      <c r="G344" s="654"/>
      <c r="H344" s="654"/>
      <c r="I344" s="654"/>
      <c r="J344" s="654"/>
      <c r="K344" s="654"/>
      <c r="L344" s="654"/>
      <c r="M344" s="654"/>
      <c r="N344" s="654"/>
      <c r="O344" s="655"/>
      <c r="P344" s="651" t="s">
        <v>40</v>
      </c>
      <c r="Q344" s="652"/>
      <c r="R344" s="652"/>
      <c r="S344" s="652"/>
      <c r="T344" s="652"/>
      <c r="U344" s="652"/>
      <c r="V344" s="653"/>
      <c r="W344" s="40" t="s">
        <v>0</v>
      </c>
      <c r="X344" s="41">
        <f>IFERROR(SUM(X339:X342),"0")</f>
        <v>1208.1000000000001</v>
      </c>
      <c r="Y344" s="41">
        <f>IFERROR(SUM(Y339:Y342),"0")</f>
        <v>1208.0999999999999</v>
      </c>
      <c r="Z344" s="40"/>
      <c r="AA344" s="64"/>
      <c r="AB344" s="64"/>
      <c r="AC344" s="64"/>
    </row>
    <row r="345" spans="1:68" ht="14.25" customHeight="1" x14ac:dyDescent="0.25">
      <c r="A345" s="645" t="s">
        <v>176</v>
      </c>
      <c r="B345" s="645"/>
      <c r="C345" s="645"/>
      <c r="D345" s="645"/>
      <c r="E345" s="645"/>
      <c r="F345" s="645"/>
      <c r="G345" s="645"/>
      <c r="H345" s="645"/>
      <c r="I345" s="645"/>
      <c r="J345" s="645"/>
      <c r="K345" s="645"/>
      <c r="L345" s="645"/>
      <c r="M345" s="645"/>
      <c r="N345" s="645"/>
      <c r="O345" s="645"/>
      <c r="P345" s="645"/>
      <c r="Q345" s="645"/>
      <c r="R345" s="645"/>
      <c r="S345" s="645"/>
      <c r="T345" s="645"/>
      <c r="U345" s="645"/>
      <c r="V345" s="645"/>
      <c r="W345" s="645"/>
      <c r="X345" s="645"/>
      <c r="Y345" s="645"/>
      <c r="Z345" s="645"/>
      <c r="AA345" s="63"/>
      <c r="AB345" s="63"/>
      <c r="AC345" s="63"/>
    </row>
    <row r="346" spans="1:68" ht="27" customHeight="1" x14ac:dyDescent="0.25">
      <c r="A346" s="60" t="s">
        <v>571</v>
      </c>
      <c r="B346" s="60" t="s">
        <v>572</v>
      </c>
      <c r="C346" s="34">
        <v>4301060387</v>
      </c>
      <c r="D346" s="646">
        <v>4607091380880</v>
      </c>
      <c r="E346" s="646"/>
      <c r="F346" s="59">
        <v>1.4</v>
      </c>
      <c r="G346" s="35">
        <v>6</v>
      </c>
      <c r="H346" s="59">
        <v>8.4</v>
      </c>
      <c r="I346" s="59">
        <v>8.8940000000000001</v>
      </c>
      <c r="J346" s="35">
        <v>64</v>
      </c>
      <c r="K346" s="35" t="s">
        <v>130</v>
      </c>
      <c r="L346" s="35" t="s">
        <v>46</v>
      </c>
      <c r="M346" s="36" t="s">
        <v>91</v>
      </c>
      <c r="N346" s="36"/>
      <c r="O346" s="35">
        <v>30</v>
      </c>
      <c r="P346" s="82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25.2</v>
      </c>
      <c r="Y346" s="53">
        <f>IFERROR(IF(X346="",0,CEILING((X346/$H346),1)*$H346),"")</f>
        <v>25.200000000000003</v>
      </c>
      <c r="Z346" s="39">
        <f>IFERROR(IF(Y346=0,"",ROUNDUP(Y346/H346,0)*0.01898),"")</f>
        <v>5.6940000000000004E-2</v>
      </c>
      <c r="AA346" s="65" t="s">
        <v>46</v>
      </c>
      <c r="AB346" s="66" t="s">
        <v>46</v>
      </c>
      <c r="AC346" s="427" t="s">
        <v>573</v>
      </c>
      <c r="AG346" s="75"/>
      <c r="AJ346" s="79" t="s">
        <v>46</v>
      </c>
      <c r="AK346" s="79">
        <v>0</v>
      </c>
      <c r="BB346" s="428" t="s">
        <v>67</v>
      </c>
      <c r="BM346" s="75">
        <f>IFERROR(X346*I346/H346,"0")</f>
        <v>26.681999999999999</v>
      </c>
      <c r="BN346" s="75">
        <f>IFERROR(Y346*I346/H346,"0")</f>
        <v>26.682000000000002</v>
      </c>
      <c r="BO346" s="75">
        <f>IFERROR(1/J346*(X346/H346),"0")</f>
        <v>4.6875E-2</v>
      </c>
      <c r="BP346" s="75">
        <f>IFERROR(1/J346*(Y346/H346),"0")</f>
        <v>4.6875E-2</v>
      </c>
    </row>
    <row r="347" spans="1:68" ht="27" customHeight="1" x14ac:dyDescent="0.25">
      <c r="A347" s="60" t="s">
        <v>574</v>
      </c>
      <c r="B347" s="60" t="s">
        <v>575</v>
      </c>
      <c r="C347" s="34">
        <v>4301060406</v>
      </c>
      <c r="D347" s="646">
        <v>4607091384482</v>
      </c>
      <c r="E347" s="646"/>
      <c r="F347" s="59">
        <v>1.3</v>
      </c>
      <c r="G347" s="35">
        <v>6</v>
      </c>
      <c r="H347" s="59">
        <v>7.8</v>
      </c>
      <c r="I347" s="59">
        <v>8.2940000000000005</v>
      </c>
      <c r="J347" s="35">
        <v>64</v>
      </c>
      <c r="K347" s="35" t="s">
        <v>130</v>
      </c>
      <c r="L347" s="35" t="s">
        <v>46</v>
      </c>
      <c r="M347" s="36" t="s">
        <v>91</v>
      </c>
      <c r="N347" s="36"/>
      <c r="O347" s="35">
        <v>30</v>
      </c>
      <c r="P347" s="82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7" s="648"/>
      <c r="R347" s="648"/>
      <c r="S347" s="648"/>
      <c r="T347" s="649"/>
      <c r="U347" s="37" t="s">
        <v>46</v>
      </c>
      <c r="V347" s="37" t="s">
        <v>46</v>
      </c>
      <c r="W347" s="38" t="s">
        <v>0</v>
      </c>
      <c r="X347" s="56">
        <v>78</v>
      </c>
      <c r="Y347" s="53">
        <f>IFERROR(IF(X347="",0,CEILING((X347/$H347),1)*$H347),"")</f>
        <v>78</v>
      </c>
      <c r="Z347" s="39">
        <f>IFERROR(IF(Y347=0,"",ROUNDUP(Y347/H347,0)*0.01898),"")</f>
        <v>0.1898</v>
      </c>
      <c r="AA347" s="65" t="s">
        <v>46</v>
      </c>
      <c r="AB347" s="66" t="s">
        <v>46</v>
      </c>
      <c r="AC347" s="429" t="s">
        <v>576</v>
      </c>
      <c r="AG347" s="75"/>
      <c r="AJ347" s="79" t="s">
        <v>46</v>
      </c>
      <c r="AK347" s="79">
        <v>0</v>
      </c>
      <c r="BB347" s="430" t="s">
        <v>67</v>
      </c>
      <c r="BM347" s="75">
        <f>IFERROR(X347*I347/H347,"0")</f>
        <v>82.94</v>
      </c>
      <c r="BN347" s="75">
        <f>IFERROR(Y347*I347/H347,"0")</f>
        <v>82.94</v>
      </c>
      <c r="BO347" s="75">
        <f>IFERROR(1/J347*(X347/H347),"0")</f>
        <v>0.15625</v>
      </c>
      <c r="BP347" s="75">
        <f>IFERROR(1/J347*(Y347/H347),"0")</f>
        <v>0.15625</v>
      </c>
    </row>
    <row r="348" spans="1:68" ht="16.5" customHeight="1" x14ac:dyDescent="0.25">
      <c r="A348" s="60" t="s">
        <v>577</v>
      </c>
      <c r="B348" s="60" t="s">
        <v>578</v>
      </c>
      <c r="C348" s="34">
        <v>4301060484</v>
      </c>
      <c r="D348" s="646">
        <v>4607091380897</v>
      </c>
      <c r="E348" s="646"/>
      <c r="F348" s="59">
        <v>1.4</v>
      </c>
      <c r="G348" s="35">
        <v>6</v>
      </c>
      <c r="H348" s="59">
        <v>8.4</v>
      </c>
      <c r="I348" s="59">
        <v>8.8940000000000001</v>
      </c>
      <c r="J348" s="35">
        <v>64</v>
      </c>
      <c r="K348" s="35" t="s">
        <v>130</v>
      </c>
      <c r="L348" s="35" t="s">
        <v>46</v>
      </c>
      <c r="M348" s="36" t="s">
        <v>97</v>
      </c>
      <c r="N348" s="36"/>
      <c r="O348" s="35">
        <v>30</v>
      </c>
      <c r="P348" s="8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8" s="648"/>
      <c r="R348" s="648"/>
      <c r="S348" s="648"/>
      <c r="T348" s="649"/>
      <c r="U348" s="37" t="s">
        <v>46</v>
      </c>
      <c r="V348" s="37" t="s">
        <v>46</v>
      </c>
      <c r="W348" s="38" t="s">
        <v>0</v>
      </c>
      <c r="X348" s="56">
        <v>50.4</v>
      </c>
      <c r="Y348" s="53">
        <f>IFERROR(IF(X348="",0,CEILING((X348/$H348),1)*$H348),"")</f>
        <v>50.400000000000006</v>
      </c>
      <c r="Z348" s="39">
        <f>IFERROR(IF(Y348=0,"",ROUNDUP(Y348/H348,0)*0.01898),"")</f>
        <v>0.11388000000000001</v>
      </c>
      <c r="AA348" s="65" t="s">
        <v>46</v>
      </c>
      <c r="AB348" s="66" t="s">
        <v>46</v>
      </c>
      <c r="AC348" s="431" t="s">
        <v>579</v>
      </c>
      <c r="AG348" s="75"/>
      <c r="AJ348" s="79" t="s">
        <v>46</v>
      </c>
      <c r="AK348" s="79">
        <v>0</v>
      </c>
      <c r="BB348" s="432" t="s">
        <v>67</v>
      </c>
      <c r="BM348" s="75">
        <f>IFERROR(X348*I348/H348,"0")</f>
        <v>53.363999999999997</v>
      </c>
      <c r="BN348" s="75">
        <f>IFERROR(Y348*I348/H348,"0")</f>
        <v>53.364000000000004</v>
      </c>
      <c r="BO348" s="75">
        <f>IFERROR(1/J348*(X348/H348),"0")</f>
        <v>9.375E-2</v>
      </c>
      <c r="BP348" s="75">
        <f>IFERROR(1/J348*(Y348/H348),"0")</f>
        <v>9.375E-2</v>
      </c>
    </row>
    <row r="349" spans="1:68" x14ac:dyDescent="0.2">
      <c r="A349" s="654"/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5"/>
      <c r="P349" s="651" t="s">
        <v>40</v>
      </c>
      <c r="Q349" s="652"/>
      <c r="R349" s="652"/>
      <c r="S349" s="652"/>
      <c r="T349" s="652"/>
      <c r="U349" s="652"/>
      <c r="V349" s="653"/>
      <c r="W349" s="40" t="s">
        <v>39</v>
      </c>
      <c r="X349" s="41">
        <f>IFERROR(X346/H346,"0")+IFERROR(X347/H347,"0")+IFERROR(X348/H348,"0")</f>
        <v>19</v>
      </c>
      <c r="Y349" s="41">
        <f>IFERROR(Y346/H346,"0")+IFERROR(Y347/H347,"0")+IFERROR(Y348/H348,"0")</f>
        <v>19</v>
      </c>
      <c r="Z349" s="41">
        <f>IFERROR(IF(Z346="",0,Z346),"0")+IFERROR(IF(Z347="",0,Z347),"0")+IFERROR(IF(Z348="",0,Z348),"0")</f>
        <v>0.36062000000000005</v>
      </c>
      <c r="AA349" s="64"/>
      <c r="AB349" s="64"/>
      <c r="AC349" s="64"/>
    </row>
    <row r="350" spans="1:68" x14ac:dyDescent="0.2">
      <c r="A350" s="654"/>
      <c r="B350" s="654"/>
      <c r="C350" s="654"/>
      <c r="D350" s="654"/>
      <c r="E350" s="654"/>
      <c r="F350" s="654"/>
      <c r="G350" s="654"/>
      <c r="H350" s="654"/>
      <c r="I350" s="654"/>
      <c r="J350" s="654"/>
      <c r="K350" s="654"/>
      <c r="L350" s="654"/>
      <c r="M350" s="654"/>
      <c r="N350" s="654"/>
      <c r="O350" s="655"/>
      <c r="P350" s="651" t="s">
        <v>40</v>
      </c>
      <c r="Q350" s="652"/>
      <c r="R350" s="652"/>
      <c r="S350" s="652"/>
      <c r="T350" s="652"/>
      <c r="U350" s="652"/>
      <c r="V350" s="653"/>
      <c r="W350" s="40" t="s">
        <v>0</v>
      </c>
      <c r="X350" s="41">
        <f>IFERROR(SUM(X346:X348),"0")</f>
        <v>153.6</v>
      </c>
      <c r="Y350" s="41">
        <f>IFERROR(SUM(Y346:Y348),"0")</f>
        <v>153.60000000000002</v>
      </c>
      <c r="Z350" s="40"/>
      <c r="AA350" s="64"/>
      <c r="AB350" s="64"/>
      <c r="AC350" s="64"/>
    </row>
    <row r="351" spans="1:68" ht="14.25" customHeight="1" x14ac:dyDescent="0.25">
      <c r="A351" s="645" t="s">
        <v>110</v>
      </c>
      <c r="B351" s="645"/>
      <c r="C351" s="645"/>
      <c r="D351" s="645"/>
      <c r="E351" s="645"/>
      <c r="F351" s="645"/>
      <c r="G351" s="645"/>
      <c r="H351" s="645"/>
      <c r="I351" s="645"/>
      <c r="J351" s="645"/>
      <c r="K351" s="645"/>
      <c r="L351" s="645"/>
      <c r="M351" s="645"/>
      <c r="N351" s="645"/>
      <c r="O351" s="645"/>
      <c r="P351" s="645"/>
      <c r="Q351" s="645"/>
      <c r="R351" s="645"/>
      <c r="S351" s="645"/>
      <c r="T351" s="645"/>
      <c r="U351" s="645"/>
      <c r="V351" s="645"/>
      <c r="W351" s="645"/>
      <c r="X351" s="645"/>
      <c r="Y351" s="645"/>
      <c r="Z351" s="645"/>
      <c r="AA351" s="63"/>
      <c r="AB351" s="63"/>
      <c r="AC351" s="63"/>
    </row>
    <row r="352" spans="1:68" ht="27" customHeight="1" x14ac:dyDescent="0.25">
      <c r="A352" s="60" t="s">
        <v>580</v>
      </c>
      <c r="B352" s="60" t="s">
        <v>581</v>
      </c>
      <c r="C352" s="34">
        <v>4301030235</v>
      </c>
      <c r="D352" s="646">
        <v>4607091388381</v>
      </c>
      <c r="E352" s="646"/>
      <c r="F352" s="59">
        <v>0.38</v>
      </c>
      <c r="G352" s="35">
        <v>8</v>
      </c>
      <c r="H352" s="59">
        <v>3.04</v>
      </c>
      <c r="I352" s="59">
        <v>3.31</v>
      </c>
      <c r="J352" s="35">
        <v>132</v>
      </c>
      <c r="K352" s="35" t="s">
        <v>137</v>
      </c>
      <c r="L352" s="35" t="s">
        <v>46</v>
      </c>
      <c r="M352" s="36" t="s">
        <v>115</v>
      </c>
      <c r="N352" s="36"/>
      <c r="O352" s="35">
        <v>180</v>
      </c>
      <c r="P352" s="83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52" s="648"/>
      <c r="R352" s="648"/>
      <c r="S352" s="648"/>
      <c r="T352" s="649"/>
      <c r="U352" s="37" t="s">
        <v>46</v>
      </c>
      <c r="V352" s="37" t="s">
        <v>46</v>
      </c>
      <c r="W352" s="38" t="s">
        <v>0</v>
      </c>
      <c r="X352" s="56">
        <v>3.04</v>
      </c>
      <c r="Y352" s="53">
        <f>IFERROR(IF(X352="",0,CEILING((X352/$H352),1)*$H352),"")</f>
        <v>3.04</v>
      </c>
      <c r="Z352" s="39">
        <f>IFERROR(IF(Y352=0,"",ROUNDUP(Y352/H352,0)*0.00902),"")</f>
        <v>9.0200000000000002E-3</v>
      </c>
      <c r="AA352" s="65" t="s">
        <v>46</v>
      </c>
      <c r="AB352" s="66" t="s">
        <v>46</v>
      </c>
      <c r="AC352" s="433" t="s">
        <v>582</v>
      </c>
      <c r="AG352" s="75"/>
      <c r="AJ352" s="79" t="s">
        <v>46</v>
      </c>
      <c r="AK352" s="79">
        <v>0</v>
      </c>
      <c r="BB352" s="434" t="s">
        <v>67</v>
      </c>
      <c r="BM352" s="75">
        <f>IFERROR(X352*I352/H352,"0")</f>
        <v>3.31</v>
      </c>
      <c r="BN352" s="75">
        <f>IFERROR(Y352*I352/H352,"0")</f>
        <v>3.31</v>
      </c>
      <c r="BO352" s="75">
        <f>IFERROR(1/J352*(X352/H352),"0")</f>
        <v>7.575757575757576E-3</v>
      </c>
      <c r="BP352" s="75">
        <f>IFERROR(1/J352*(Y352/H352),"0")</f>
        <v>7.575757575757576E-3</v>
      </c>
    </row>
    <row r="353" spans="1:68" ht="27" customHeight="1" x14ac:dyDescent="0.25">
      <c r="A353" s="60" t="s">
        <v>583</v>
      </c>
      <c r="B353" s="60" t="s">
        <v>584</v>
      </c>
      <c r="C353" s="34">
        <v>4301030232</v>
      </c>
      <c r="D353" s="646">
        <v>4607091388374</v>
      </c>
      <c r="E353" s="646"/>
      <c r="F353" s="59">
        <v>0.38</v>
      </c>
      <c r="G353" s="35">
        <v>8</v>
      </c>
      <c r="H353" s="59">
        <v>3.04</v>
      </c>
      <c r="I353" s="59">
        <v>3.27</v>
      </c>
      <c r="J353" s="35">
        <v>132</v>
      </c>
      <c r="K353" s="35" t="s">
        <v>137</v>
      </c>
      <c r="L353" s="35" t="s">
        <v>46</v>
      </c>
      <c r="M353" s="36" t="s">
        <v>115</v>
      </c>
      <c r="N353" s="36"/>
      <c r="O353" s="35">
        <v>180</v>
      </c>
      <c r="P353" s="8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53" s="648"/>
      <c r="R353" s="648"/>
      <c r="S353" s="648"/>
      <c r="T353" s="649"/>
      <c r="U353" s="37" t="s">
        <v>46</v>
      </c>
      <c r="V353" s="37" t="s">
        <v>46</v>
      </c>
      <c r="W353" s="38" t="s">
        <v>0</v>
      </c>
      <c r="X353" s="56">
        <v>3.04</v>
      </c>
      <c r="Y353" s="53">
        <f>IFERROR(IF(X353="",0,CEILING((X353/$H353),1)*$H353),"")</f>
        <v>3.04</v>
      </c>
      <c r="Z353" s="39">
        <f>IFERROR(IF(Y353=0,"",ROUNDUP(Y353/H353,0)*0.00902),"")</f>
        <v>9.0200000000000002E-3</v>
      </c>
      <c r="AA353" s="65" t="s">
        <v>46</v>
      </c>
      <c r="AB353" s="66" t="s">
        <v>46</v>
      </c>
      <c r="AC353" s="435" t="s">
        <v>582</v>
      </c>
      <c r="AG353" s="75"/>
      <c r="AJ353" s="79" t="s">
        <v>46</v>
      </c>
      <c r="AK353" s="79">
        <v>0</v>
      </c>
      <c r="BB353" s="436" t="s">
        <v>67</v>
      </c>
      <c r="BM353" s="75">
        <f>IFERROR(X353*I353/H353,"0")</f>
        <v>3.2699999999999996</v>
      </c>
      <c r="BN353" s="75">
        <f>IFERROR(Y353*I353/H353,"0")</f>
        <v>3.2699999999999996</v>
      </c>
      <c r="BO353" s="75">
        <f>IFERROR(1/J353*(X353/H353),"0")</f>
        <v>7.575757575757576E-3</v>
      </c>
      <c r="BP353" s="75">
        <f>IFERROR(1/J353*(Y353/H353),"0")</f>
        <v>7.575757575757576E-3</v>
      </c>
    </row>
    <row r="354" spans="1:68" ht="27" customHeight="1" x14ac:dyDescent="0.25">
      <c r="A354" s="60" t="s">
        <v>585</v>
      </c>
      <c r="B354" s="60" t="s">
        <v>586</v>
      </c>
      <c r="C354" s="34">
        <v>4301032015</v>
      </c>
      <c r="D354" s="646">
        <v>4607091383102</v>
      </c>
      <c r="E354" s="646"/>
      <c r="F354" s="59">
        <v>0.17</v>
      </c>
      <c r="G354" s="35">
        <v>15</v>
      </c>
      <c r="H354" s="59">
        <v>2.5499999999999998</v>
      </c>
      <c r="I354" s="59">
        <v>2.9550000000000001</v>
      </c>
      <c r="J354" s="35">
        <v>182</v>
      </c>
      <c r="K354" s="35" t="s">
        <v>82</v>
      </c>
      <c r="L354" s="35" t="s">
        <v>46</v>
      </c>
      <c r="M354" s="36" t="s">
        <v>115</v>
      </c>
      <c r="N354" s="36"/>
      <c r="O354" s="35">
        <v>180</v>
      </c>
      <c r="P354" s="8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4" s="648"/>
      <c r="R354" s="648"/>
      <c r="S354" s="648"/>
      <c r="T354" s="649"/>
      <c r="U354" s="37" t="s">
        <v>46</v>
      </c>
      <c r="V354" s="37" t="s">
        <v>46</v>
      </c>
      <c r="W354" s="38" t="s">
        <v>0</v>
      </c>
      <c r="X354" s="56">
        <v>2.5499999999999998</v>
      </c>
      <c r="Y354" s="53">
        <f>IFERROR(IF(X354="",0,CEILING((X354/$H354),1)*$H354),"")</f>
        <v>2.5499999999999998</v>
      </c>
      <c r="Z354" s="39">
        <f>IFERROR(IF(Y354=0,"",ROUNDUP(Y354/H354,0)*0.00651),"")</f>
        <v>6.5100000000000002E-3</v>
      </c>
      <c r="AA354" s="65" t="s">
        <v>46</v>
      </c>
      <c r="AB354" s="66" t="s">
        <v>46</v>
      </c>
      <c r="AC354" s="437" t="s">
        <v>582</v>
      </c>
      <c r="AG354" s="75"/>
      <c r="AJ354" s="79" t="s">
        <v>46</v>
      </c>
      <c r="AK354" s="79">
        <v>0</v>
      </c>
      <c r="BB354" s="438" t="s">
        <v>67</v>
      </c>
      <c r="BM354" s="75">
        <f>IFERROR(X354*I354/H354,"0")</f>
        <v>2.9550000000000001</v>
      </c>
      <c r="BN354" s="75">
        <f>IFERROR(Y354*I354/H354,"0")</f>
        <v>2.9550000000000001</v>
      </c>
      <c r="BO354" s="75">
        <f>IFERROR(1/J354*(X354/H354),"0")</f>
        <v>5.4945054945054949E-3</v>
      </c>
      <c r="BP354" s="75">
        <f>IFERROR(1/J354*(Y354/H354),"0")</f>
        <v>5.4945054945054949E-3</v>
      </c>
    </row>
    <row r="355" spans="1:68" ht="27" customHeight="1" x14ac:dyDescent="0.25">
      <c r="A355" s="60" t="s">
        <v>587</v>
      </c>
      <c r="B355" s="60" t="s">
        <v>588</v>
      </c>
      <c r="C355" s="34">
        <v>4301030233</v>
      </c>
      <c r="D355" s="646">
        <v>4607091388404</v>
      </c>
      <c r="E355" s="646"/>
      <c r="F355" s="59">
        <v>0.17</v>
      </c>
      <c r="G355" s="35">
        <v>15</v>
      </c>
      <c r="H355" s="59">
        <v>2.5499999999999998</v>
      </c>
      <c r="I355" s="59">
        <v>2.88</v>
      </c>
      <c r="J355" s="35">
        <v>182</v>
      </c>
      <c r="K355" s="35" t="s">
        <v>82</v>
      </c>
      <c r="L355" s="35" t="s">
        <v>46</v>
      </c>
      <c r="M355" s="36" t="s">
        <v>115</v>
      </c>
      <c r="N355" s="36"/>
      <c r="O355" s="35">
        <v>180</v>
      </c>
      <c r="P355" s="8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5" s="648"/>
      <c r="R355" s="648"/>
      <c r="S355" s="648"/>
      <c r="T355" s="649"/>
      <c r="U355" s="37" t="s">
        <v>46</v>
      </c>
      <c r="V355" s="37" t="s">
        <v>46</v>
      </c>
      <c r="W355" s="38" t="s">
        <v>0</v>
      </c>
      <c r="X355" s="56">
        <v>2.5499999999999998</v>
      </c>
      <c r="Y355" s="53">
        <f>IFERROR(IF(X355="",0,CEILING((X355/$H355),1)*$H355),"")</f>
        <v>2.5499999999999998</v>
      </c>
      <c r="Z355" s="39">
        <f>IFERROR(IF(Y355=0,"",ROUNDUP(Y355/H355,0)*0.00651),"")</f>
        <v>6.5100000000000002E-3</v>
      </c>
      <c r="AA355" s="65" t="s">
        <v>46</v>
      </c>
      <c r="AB355" s="66" t="s">
        <v>46</v>
      </c>
      <c r="AC355" s="439" t="s">
        <v>582</v>
      </c>
      <c r="AG355" s="75"/>
      <c r="AJ355" s="79" t="s">
        <v>46</v>
      </c>
      <c r="AK355" s="79">
        <v>0</v>
      </c>
      <c r="BB355" s="440" t="s">
        <v>67</v>
      </c>
      <c r="BM355" s="75">
        <f>IFERROR(X355*I355/H355,"0")</f>
        <v>2.88</v>
      </c>
      <c r="BN355" s="75">
        <f>IFERROR(Y355*I355/H355,"0")</f>
        <v>2.88</v>
      </c>
      <c r="BO355" s="75">
        <f>IFERROR(1/J355*(X355/H355),"0")</f>
        <v>5.4945054945054949E-3</v>
      </c>
      <c r="BP355" s="75">
        <f>IFERROR(1/J355*(Y355/H355),"0")</f>
        <v>5.4945054945054949E-3</v>
      </c>
    </row>
    <row r="356" spans="1:68" x14ac:dyDescent="0.2">
      <c r="A356" s="654"/>
      <c r="B356" s="654"/>
      <c r="C356" s="654"/>
      <c r="D356" s="654"/>
      <c r="E356" s="654"/>
      <c r="F356" s="654"/>
      <c r="G356" s="654"/>
      <c r="H356" s="654"/>
      <c r="I356" s="654"/>
      <c r="J356" s="654"/>
      <c r="K356" s="654"/>
      <c r="L356" s="654"/>
      <c r="M356" s="654"/>
      <c r="N356" s="654"/>
      <c r="O356" s="655"/>
      <c r="P356" s="651" t="s">
        <v>40</v>
      </c>
      <c r="Q356" s="652"/>
      <c r="R356" s="652"/>
      <c r="S356" s="652"/>
      <c r="T356" s="652"/>
      <c r="U356" s="652"/>
      <c r="V356" s="653"/>
      <c r="W356" s="40" t="s">
        <v>39</v>
      </c>
      <c r="X356" s="41">
        <f>IFERROR(X352/H352,"0")+IFERROR(X353/H353,"0")+IFERROR(X354/H354,"0")+IFERROR(X355/H355,"0")</f>
        <v>4</v>
      </c>
      <c r="Y356" s="41">
        <f>IFERROR(Y352/H352,"0")+IFERROR(Y353/H353,"0")+IFERROR(Y354/H354,"0")+IFERROR(Y355/H355,"0")</f>
        <v>4</v>
      </c>
      <c r="Z356" s="41">
        <f>IFERROR(IF(Z352="",0,Z352),"0")+IFERROR(IF(Z353="",0,Z353),"0")+IFERROR(IF(Z354="",0,Z354),"0")+IFERROR(IF(Z355="",0,Z355),"0")</f>
        <v>3.1060000000000004E-2</v>
      </c>
      <c r="AA356" s="64"/>
      <c r="AB356" s="64"/>
      <c r="AC356" s="64"/>
    </row>
    <row r="357" spans="1:68" x14ac:dyDescent="0.2">
      <c r="A357" s="654"/>
      <c r="B357" s="654"/>
      <c r="C357" s="654"/>
      <c r="D357" s="654"/>
      <c r="E357" s="654"/>
      <c r="F357" s="654"/>
      <c r="G357" s="654"/>
      <c r="H357" s="654"/>
      <c r="I357" s="654"/>
      <c r="J357" s="654"/>
      <c r="K357" s="654"/>
      <c r="L357" s="654"/>
      <c r="M357" s="654"/>
      <c r="N357" s="654"/>
      <c r="O357" s="655"/>
      <c r="P357" s="651" t="s">
        <v>40</v>
      </c>
      <c r="Q357" s="652"/>
      <c r="R357" s="652"/>
      <c r="S357" s="652"/>
      <c r="T357" s="652"/>
      <c r="U357" s="652"/>
      <c r="V357" s="653"/>
      <c r="W357" s="40" t="s">
        <v>0</v>
      </c>
      <c r="X357" s="41">
        <f>IFERROR(SUM(X352:X355),"0")</f>
        <v>11.18</v>
      </c>
      <c r="Y357" s="41">
        <f>IFERROR(SUM(Y352:Y355),"0")</f>
        <v>11.18</v>
      </c>
      <c r="Z357" s="40"/>
      <c r="AA357" s="64"/>
      <c r="AB357" s="64"/>
      <c r="AC357" s="64"/>
    </row>
    <row r="358" spans="1:68" ht="14.25" customHeight="1" x14ac:dyDescent="0.25">
      <c r="A358" s="645" t="s">
        <v>589</v>
      </c>
      <c r="B358" s="645"/>
      <c r="C358" s="645"/>
      <c r="D358" s="645"/>
      <c r="E358" s="645"/>
      <c r="F358" s="645"/>
      <c r="G358" s="645"/>
      <c r="H358" s="645"/>
      <c r="I358" s="645"/>
      <c r="J358" s="645"/>
      <c r="K358" s="645"/>
      <c r="L358" s="645"/>
      <c r="M358" s="645"/>
      <c r="N358" s="645"/>
      <c r="O358" s="645"/>
      <c r="P358" s="645"/>
      <c r="Q358" s="645"/>
      <c r="R358" s="645"/>
      <c r="S358" s="645"/>
      <c r="T358" s="645"/>
      <c r="U358" s="645"/>
      <c r="V358" s="645"/>
      <c r="W358" s="645"/>
      <c r="X358" s="645"/>
      <c r="Y358" s="645"/>
      <c r="Z358" s="645"/>
      <c r="AA358" s="63"/>
      <c r="AB358" s="63"/>
      <c r="AC358" s="63"/>
    </row>
    <row r="359" spans="1:68" ht="16.5" customHeight="1" x14ac:dyDescent="0.25">
      <c r="A359" s="60" t="s">
        <v>590</v>
      </c>
      <c r="B359" s="60" t="s">
        <v>591</v>
      </c>
      <c r="C359" s="34">
        <v>4301180007</v>
      </c>
      <c r="D359" s="646">
        <v>4680115881808</v>
      </c>
      <c r="E359" s="646"/>
      <c r="F359" s="59">
        <v>0.1</v>
      </c>
      <c r="G359" s="35">
        <v>20</v>
      </c>
      <c r="H359" s="59">
        <v>2</v>
      </c>
      <c r="I359" s="59">
        <v>2.2400000000000002</v>
      </c>
      <c r="J359" s="35">
        <v>238</v>
      </c>
      <c r="K359" s="35" t="s">
        <v>82</v>
      </c>
      <c r="L359" s="35" t="s">
        <v>46</v>
      </c>
      <c r="M359" s="36" t="s">
        <v>593</v>
      </c>
      <c r="N359" s="36"/>
      <c r="O359" s="35">
        <v>730</v>
      </c>
      <c r="P359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9" s="648"/>
      <c r="R359" s="648"/>
      <c r="S359" s="648"/>
      <c r="T359" s="649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IFERROR(IF(Y359=0,"",ROUNDUP(Y359/H359,0)*0.00474),"")</f>
        <v/>
      </c>
      <c r="AA359" s="65" t="s">
        <v>46</v>
      </c>
      <c r="AB359" s="66" t="s">
        <v>46</v>
      </c>
      <c r="AC359" s="441" t="s">
        <v>592</v>
      </c>
      <c r="AG359" s="75"/>
      <c r="AJ359" s="79" t="s">
        <v>46</v>
      </c>
      <c r="AK359" s="79">
        <v>0</v>
      </c>
      <c r="BB359" s="442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customHeight="1" x14ac:dyDescent="0.25">
      <c r="A360" s="60" t="s">
        <v>594</v>
      </c>
      <c r="B360" s="60" t="s">
        <v>595</v>
      </c>
      <c r="C360" s="34">
        <v>4301180006</v>
      </c>
      <c r="D360" s="646">
        <v>4680115881822</v>
      </c>
      <c r="E360" s="646"/>
      <c r="F360" s="59">
        <v>0.1</v>
      </c>
      <c r="G360" s="35">
        <v>20</v>
      </c>
      <c r="H360" s="59">
        <v>2</v>
      </c>
      <c r="I360" s="59">
        <v>2.2400000000000002</v>
      </c>
      <c r="J360" s="35">
        <v>238</v>
      </c>
      <c r="K360" s="35" t="s">
        <v>82</v>
      </c>
      <c r="L360" s="35" t="s">
        <v>46</v>
      </c>
      <c r="M360" s="36" t="s">
        <v>593</v>
      </c>
      <c r="N360" s="36"/>
      <c r="O360" s="35">
        <v>730</v>
      </c>
      <c r="P360" s="83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0" s="648"/>
      <c r="R360" s="648"/>
      <c r="S360" s="648"/>
      <c r="T360" s="649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IFERROR(IF(Y360=0,"",ROUNDUP(Y360/H360,0)*0.00474),"")</f>
        <v/>
      </c>
      <c r="AA360" s="65" t="s">
        <v>46</v>
      </c>
      <c r="AB360" s="66" t="s">
        <v>46</v>
      </c>
      <c r="AC360" s="443" t="s">
        <v>592</v>
      </c>
      <c r="AG360" s="75"/>
      <c r="AJ360" s="79" t="s">
        <v>46</v>
      </c>
      <c r="AK360" s="79">
        <v>0</v>
      </c>
      <c r="BB360" s="444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customHeight="1" x14ac:dyDescent="0.25">
      <c r="A361" s="60" t="s">
        <v>596</v>
      </c>
      <c r="B361" s="60" t="s">
        <v>597</v>
      </c>
      <c r="C361" s="34">
        <v>4301180001</v>
      </c>
      <c r="D361" s="646">
        <v>4680115880016</v>
      </c>
      <c r="E361" s="646"/>
      <c r="F361" s="59">
        <v>0.1</v>
      </c>
      <c r="G361" s="35">
        <v>20</v>
      </c>
      <c r="H361" s="59">
        <v>2</v>
      </c>
      <c r="I361" s="59">
        <v>2.2400000000000002</v>
      </c>
      <c r="J361" s="35">
        <v>238</v>
      </c>
      <c r="K361" s="35" t="s">
        <v>82</v>
      </c>
      <c r="L361" s="35" t="s">
        <v>46</v>
      </c>
      <c r="M361" s="36" t="s">
        <v>593</v>
      </c>
      <c r="N361" s="36"/>
      <c r="O361" s="35">
        <v>730</v>
      </c>
      <c r="P361" s="8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1" s="648"/>
      <c r="R361" s="648"/>
      <c r="S361" s="648"/>
      <c r="T361" s="649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IFERROR(IF(Y361=0,"",ROUNDUP(Y361/H361,0)*0.00474),"")</f>
        <v/>
      </c>
      <c r="AA361" s="65" t="s">
        <v>46</v>
      </c>
      <c r="AB361" s="66" t="s">
        <v>46</v>
      </c>
      <c r="AC361" s="445" t="s">
        <v>592</v>
      </c>
      <c r="AG361" s="75"/>
      <c r="AJ361" s="79" t="s">
        <v>46</v>
      </c>
      <c r="AK361" s="79">
        <v>0</v>
      </c>
      <c r="BB361" s="446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54"/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5"/>
      <c r="P362" s="651" t="s">
        <v>40</v>
      </c>
      <c r="Q362" s="652"/>
      <c r="R362" s="652"/>
      <c r="S362" s="652"/>
      <c r="T362" s="652"/>
      <c r="U362" s="652"/>
      <c r="V362" s="653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x14ac:dyDescent="0.2">
      <c r="A363" s="654"/>
      <c r="B363" s="654"/>
      <c r="C363" s="654"/>
      <c r="D363" s="654"/>
      <c r="E363" s="654"/>
      <c r="F363" s="654"/>
      <c r="G363" s="654"/>
      <c r="H363" s="654"/>
      <c r="I363" s="654"/>
      <c r="J363" s="654"/>
      <c r="K363" s="654"/>
      <c r="L363" s="654"/>
      <c r="M363" s="654"/>
      <c r="N363" s="654"/>
      <c r="O363" s="655"/>
      <c r="P363" s="651" t="s">
        <v>40</v>
      </c>
      <c r="Q363" s="652"/>
      <c r="R363" s="652"/>
      <c r="S363" s="652"/>
      <c r="T363" s="652"/>
      <c r="U363" s="652"/>
      <c r="V363" s="653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customHeight="1" x14ac:dyDescent="0.25">
      <c r="A364" s="644" t="s">
        <v>598</v>
      </c>
      <c r="B364" s="644"/>
      <c r="C364" s="644"/>
      <c r="D364" s="644"/>
      <c r="E364" s="644"/>
      <c r="F364" s="644"/>
      <c r="G364" s="644"/>
      <c r="H364" s="644"/>
      <c r="I364" s="644"/>
      <c r="J364" s="644"/>
      <c r="K364" s="644"/>
      <c r="L364" s="644"/>
      <c r="M364" s="644"/>
      <c r="N364" s="644"/>
      <c r="O364" s="644"/>
      <c r="P364" s="644"/>
      <c r="Q364" s="644"/>
      <c r="R364" s="644"/>
      <c r="S364" s="644"/>
      <c r="T364" s="644"/>
      <c r="U364" s="644"/>
      <c r="V364" s="644"/>
      <c r="W364" s="644"/>
      <c r="X364" s="644"/>
      <c r="Y364" s="644"/>
      <c r="Z364" s="644"/>
      <c r="AA364" s="62"/>
      <c r="AB364" s="62"/>
      <c r="AC364" s="62"/>
    </row>
    <row r="365" spans="1:68" ht="14.25" customHeight="1" x14ac:dyDescent="0.25">
      <c r="A365" s="645" t="s">
        <v>87</v>
      </c>
      <c r="B365" s="645"/>
      <c r="C365" s="645"/>
      <c r="D365" s="645"/>
      <c r="E365" s="645"/>
      <c r="F365" s="645"/>
      <c r="G365" s="645"/>
      <c r="H365" s="645"/>
      <c r="I365" s="645"/>
      <c r="J365" s="645"/>
      <c r="K365" s="645"/>
      <c r="L365" s="645"/>
      <c r="M365" s="645"/>
      <c r="N365" s="645"/>
      <c r="O365" s="645"/>
      <c r="P365" s="645"/>
      <c r="Q365" s="645"/>
      <c r="R365" s="645"/>
      <c r="S365" s="645"/>
      <c r="T365" s="645"/>
      <c r="U365" s="645"/>
      <c r="V365" s="645"/>
      <c r="W365" s="645"/>
      <c r="X365" s="645"/>
      <c r="Y365" s="645"/>
      <c r="Z365" s="645"/>
      <c r="AA365" s="63"/>
      <c r="AB365" s="63"/>
      <c r="AC365" s="63"/>
    </row>
    <row r="366" spans="1:68" ht="27" customHeight="1" x14ac:dyDescent="0.25">
      <c r="A366" s="60" t="s">
        <v>599</v>
      </c>
      <c r="B366" s="60" t="s">
        <v>600</v>
      </c>
      <c r="C366" s="34">
        <v>4301051489</v>
      </c>
      <c r="D366" s="646">
        <v>4607091387919</v>
      </c>
      <c r="E366" s="646"/>
      <c r="F366" s="59">
        <v>1.35</v>
      </c>
      <c r="G366" s="35">
        <v>6</v>
      </c>
      <c r="H366" s="59">
        <v>8.1</v>
      </c>
      <c r="I366" s="59">
        <v>8.5939999999999994</v>
      </c>
      <c r="J366" s="35">
        <v>64</v>
      </c>
      <c r="K366" s="35" t="s">
        <v>130</v>
      </c>
      <c r="L366" s="35" t="s">
        <v>46</v>
      </c>
      <c r="M366" s="36" t="s">
        <v>97</v>
      </c>
      <c r="N366" s="36"/>
      <c r="O366" s="35">
        <v>45</v>
      </c>
      <c r="P366" s="8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81</v>
      </c>
      <c r="Y366" s="53">
        <f>IFERROR(IF(X366="",0,CEILING((X366/$H366),1)*$H366),"")</f>
        <v>81</v>
      </c>
      <c r="Z366" s="39">
        <f>IFERROR(IF(Y366=0,"",ROUNDUP(Y366/H366,0)*0.01898),"")</f>
        <v>0.1898</v>
      </c>
      <c r="AA366" s="65" t="s">
        <v>46</v>
      </c>
      <c r="AB366" s="66" t="s">
        <v>46</v>
      </c>
      <c r="AC366" s="447" t="s">
        <v>601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85.94</v>
      </c>
      <c r="BN366" s="75">
        <f>IFERROR(Y366*I366/H366,"0")</f>
        <v>85.94</v>
      </c>
      <c r="BO366" s="75">
        <f>IFERROR(1/J366*(X366/H366),"0")</f>
        <v>0.15625</v>
      </c>
      <c r="BP366" s="75">
        <f>IFERROR(1/J366*(Y366/H366),"0")</f>
        <v>0.15625</v>
      </c>
    </row>
    <row r="367" spans="1:68" ht="27" customHeight="1" x14ac:dyDescent="0.25">
      <c r="A367" s="60" t="s">
        <v>602</v>
      </c>
      <c r="B367" s="60" t="s">
        <v>603</v>
      </c>
      <c r="C367" s="34">
        <v>4301051461</v>
      </c>
      <c r="D367" s="646">
        <v>4680115883604</v>
      </c>
      <c r="E367" s="646"/>
      <c r="F367" s="59">
        <v>0.35</v>
      </c>
      <c r="G367" s="35">
        <v>6</v>
      </c>
      <c r="H367" s="59">
        <v>2.1</v>
      </c>
      <c r="I367" s="59">
        <v>2.3519999999999999</v>
      </c>
      <c r="J367" s="35">
        <v>182</v>
      </c>
      <c r="K367" s="35" t="s">
        <v>82</v>
      </c>
      <c r="L367" s="35" t="s">
        <v>46</v>
      </c>
      <c r="M367" s="36" t="s">
        <v>91</v>
      </c>
      <c r="N367" s="36"/>
      <c r="O367" s="35">
        <v>45</v>
      </c>
      <c r="P367" s="8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10.5</v>
      </c>
      <c r="Y367" s="53">
        <f>IFERROR(IF(X367="",0,CEILING((X367/$H367),1)*$H367),"")</f>
        <v>10.5</v>
      </c>
      <c r="Z367" s="39">
        <f>IFERROR(IF(Y367=0,"",ROUNDUP(Y367/H367,0)*0.00651),"")</f>
        <v>3.2550000000000003E-2</v>
      </c>
      <c r="AA367" s="65" t="s">
        <v>46</v>
      </c>
      <c r="AB367" s="66" t="s">
        <v>46</v>
      </c>
      <c r="AC367" s="449" t="s">
        <v>604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11.759999999999998</v>
      </c>
      <c r="BN367" s="75">
        <f>IFERROR(Y367*I367/H367,"0")</f>
        <v>11.759999999999998</v>
      </c>
      <c r="BO367" s="75">
        <f>IFERROR(1/J367*(X367/H367),"0")</f>
        <v>2.7472527472527476E-2</v>
      </c>
      <c r="BP367" s="75">
        <f>IFERROR(1/J367*(Y367/H367),"0")</f>
        <v>2.7472527472527476E-2</v>
      </c>
    </row>
    <row r="368" spans="1:68" ht="27" customHeight="1" x14ac:dyDescent="0.25">
      <c r="A368" s="60" t="s">
        <v>605</v>
      </c>
      <c r="B368" s="60" t="s">
        <v>606</v>
      </c>
      <c r="C368" s="34">
        <v>4301051864</v>
      </c>
      <c r="D368" s="646">
        <v>4680115883567</v>
      </c>
      <c r="E368" s="646"/>
      <c r="F368" s="59">
        <v>0.35</v>
      </c>
      <c r="G368" s="35">
        <v>6</v>
      </c>
      <c r="H368" s="59">
        <v>2.1</v>
      </c>
      <c r="I368" s="59">
        <v>2.34</v>
      </c>
      <c r="J368" s="35">
        <v>182</v>
      </c>
      <c r="K368" s="35" t="s">
        <v>82</v>
      </c>
      <c r="L368" s="35" t="s">
        <v>46</v>
      </c>
      <c r="M368" s="36" t="s">
        <v>97</v>
      </c>
      <c r="N368" s="36"/>
      <c r="O368" s="35">
        <v>40</v>
      </c>
      <c r="P368" s="83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10.5</v>
      </c>
      <c r="Y368" s="53">
        <f>IFERROR(IF(X368="",0,CEILING((X368/$H368),1)*$H368),"")</f>
        <v>10.5</v>
      </c>
      <c r="Z368" s="39">
        <f>IFERROR(IF(Y368=0,"",ROUNDUP(Y368/H368,0)*0.00651),"")</f>
        <v>3.2550000000000003E-2</v>
      </c>
      <c r="AA368" s="65" t="s">
        <v>46</v>
      </c>
      <c r="AB368" s="66" t="s">
        <v>46</v>
      </c>
      <c r="AC368" s="451" t="s">
        <v>607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11.7</v>
      </c>
      <c r="BN368" s="75">
        <f>IFERROR(Y368*I368/H368,"0")</f>
        <v>11.7</v>
      </c>
      <c r="BO368" s="75">
        <f>IFERROR(1/J368*(X368/H368),"0")</f>
        <v>2.7472527472527476E-2</v>
      </c>
      <c r="BP368" s="75">
        <f>IFERROR(1/J368*(Y368/H368),"0")</f>
        <v>2.7472527472527476E-2</v>
      </c>
    </row>
    <row r="369" spans="1:68" x14ac:dyDescent="0.2">
      <c r="A369" s="654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51" t="s">
        <v>40</v>
      </c>
      <c r="Q369" s="652"/>
      <c r="R369" s="652"/>
      <c r="S369" s="652"/>
      <c r="T369" s="652"/>
      <c r="U369" s="652"/>
      <c r="V369" s="653"/>
      <c r="W369" s="40" t="s">
        <v>39</v>
      </c>
      <c r="X369" s="41">
        <f>IFERROR(X366/H366,"0")+IFERROR(X367/H367,"0")+IFERROR(X368/H368,"0")</f>
        <v>20</v>
      </c>
      <c r="Y369" s="41">
        <f>IFERROR(Y366/H366,"0")+IFERROR(Y367/H367,"0")+IFERROR(Y368/H368,"0")</f>
        <v>20</v>
      </c>
      <c r="Z369" s="41">
        <f>IFERROR(IF(Z366="",0,Z366),"0")+IFERROR(IF(Z367="",0,Z367),"0")+IFERROR(IF(Z368="",0,Z368),"0")</f>
        <v>0.25490000000000002</v>
      </c>
      <c r="AA369" s="64"/>
      <c r="AB369" s="64"/>
      <c r="AC369" s="64"/>
    </row>
    <row r="370" spans="1:68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51" t="s">
        <v>40</v>
      </c>
      <c r="Q370" s="652"/>
      <c r="R370" s="652"/>
      <c r="S370" s="652"/>
      <c r="T370" s="652"/>
      <c r="U370" s="652"/>
      <c r="V370" s="653"/>
      <c r="W370" s="40" t="s">
        <v>0</v>
      </c>
      <c r="X370" s="41">
        <f>IFERROR(SUM(X366:X368),"0")</f>
        <v>102</v>
      </c>
      <c r="Y370" s="41">
        <f>IFERROR(SUM(Y366:Y368),"0")</f>
        <v>102</v>
      </c>
      <c r="Z370" s="40"/>
      <c r="AA370" s="64"/>
      <c r="AB370" s="64"/>
      <c r="AC370" s="64"/>
    </row>
    <row r="371" spans="1:68" ht="27.75" customHeight="1" x14ac:dyDescent="0.2">
      <c r="A371" s="643" t="s">
        <v>608</v>
      </c>
      <c r="B371" s="643"/>
      <c r="C371" s="643"/>
      <c r="D371" s="643"/>
      <c r="E371" s="643"/>
      <c r="F371" s="643"/>
      <c r="G371" s="643"/>
      <c r="H371" s="643"/>
      <c r="I371" s="643"/>
      <c r="J371" s="643"/>
      <c r="K371" s="643"/>
      <c r="L371" s="643"/>
      <c r="M371" s="643"/>
      <c r="N371" s="643"/>
      <c r="O371" s="643"/>
      <c r="P371" s="643"/>
      <c r="Q371" s="643"/>
      <c r="R371" s="643"/>
      <c r="S371" s="643"/>
      <c r="T371" s="643"/>
      <c r="U371" s="643"/>
      <c r="V371" s="643"/>
      <c r="W371" s="643"/>
      <c r="X371" s="643"/>
      <c r="Y371" s="643"/>
      <c r="Z371" s="643"/>
      <c r="AA371" s="52"/>
      <c r="AB371" s="52"/>
      <c r="AC371" s="52"/>
    </row>
    <row r="372" spans="1:68" ht="16.5" customHeight="1" x14ac:dyDescent="0.25">
      <c r="A372" s="644" t="s">
        <v>609</v>
      </c>
      <c r="B372" s="644"/>
      <c r="C372" s="644"/>
      <c r="D372" s="644"/>
      <c r="E372" s="644"/>
      <c r="F372" s="644"/>
      <c r="G372" s="644"/>
      <c r="H372" s="644"/>
      <c r="I372" s="644"/>
      <c r="J372" s="644"/>
      <c r="K372" s="644"/>
      <c r="L372" s="644"/>
      <c r="M372" s="644"/>
      <c r="N372" s="644"/>
      <c r="O372" s="644"/>
      <c r="P372" s="644"/>
      <c r="Q372" s="644"/>
      <c r="R372" s="644"/>
      <c r="S372" s="644"/>
      <c r="T372" s="644"/>
      <c r="U372" s="644"/>
      <c r="V372" s="644"/>
      <c r="W372" s="644"/>
      <c r="X372" s="644"/>
      <c r="Y372" s="644"/>
      <c r="Z372" s="644"/>
      <c r="AA372" s="62"/>
      <c r="AB372" s="62"/>
      <c r="AC372" s="62"/>
    </row>
    <row r="373" spans="1:68" ht="14.25" customHeight="1" x14ac:dyDescent="0.25">
      <c r="A373" s="645" t="s">
        <v>125</v>
      </c>
      <c r="B373" s="645"/>
      <c r="C373" s="645"/>
      <c r="D373" s="645"/>
      <c r="E373" s="645"/>
      <c r="F373" s="645"/>
      <c r="G373" s="645"/>
      <c r="H373" s="645"/>
      <c r="I373" s="645"/>
      <c r="J373" s="645"/>
      <c r="K373" s="645"/>
      <c r="L373" s="645"/>
      <c r="M373" s="645"/>
      <c r="N373" s="645"/>
      <c r="O373" s="645"/>
      <c r="P373" s="645"/>
      <c r="Q373" s="645"/>
      <c r="R373" s="645"/>
      <c r="S373" s="645"/>
      <c r="T373" s="645"/>
      <c r="U373" s="645"/>
      <c r="V373" s="645"/>
      <c r="W373" s="645"/>
      <c r="X373" s="645"/>
      <c r="Y373" s="645"/>
      <c r="Z373" s="645"/>
      <c r="AA373" s="63"/>
      <c r="AB373" s="63"/>
      <c r="AC373" s="63"/>
    </row>
    <row r="374" spans="1:68" ht="27" customHeight="1" x14ac:dyDescent="0.25">
      <c r="A374" s="60" t="s">
        <v>610</v>
      </c>
      <c r="B374" s="60" t="s">
        <v>611</v>
      </c>
      <c r="C374" s="34">
        <v>4301012332</v>
      </c>
      <c r="D374" s="646">
        <v>4680115888401</v>
      </c>
      <c r="E374" s="646"/>
      <c r="F374" s="59">
        <v>2.5</v>
      </c>
      <c r="G374" s="35">
        <v>6</v>
      </c>
      <c r="H374" s="59">
        <v>15</v>
      </c>
      <c r="I374" s="59">
        <v>15.47</v>
      </c>
      <c r="J374" s="35">
        <v>48</v>
      </c>
      <c r="K374" s="35" t="s">
        <v>130</v>
      </c>
      <c r="L374" s="35" t="s">
        <v>46</v>
      </c>
      <c r="M374" s="36" t="s">
        <v>97</v>
      </c>
      <c r="N374" s="36"/>
      <c r="O374" s="35">
        <v>60</v>
      </c>
      <c r="P374" s="84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150</v>
      </c>
      <c r="Y374" s="53">
        <f t="shared" ref="Y374:Y381" si="53">IFERROR(IF(X374="",0,CEILING((X374/$H374),1)*$H374),"")</f>
        <v>150</v>
      </c>
      <c r="Z374" s="39">
        <f>IFERROR(IF(Y374=0,"",ROUNDUP(Y374/H374,0)*0.02175),"")</f>
        <v>0.21749999999999997</v>
      </c>
      <c r="AA374" s="65" t="s">
        <v>46</v>
      </c>
      <c r="AB374" s="66" t="s">
        <v>46</v>
      </c>
      <c r="AC374" s="453" t="s">
        <v>612</v>
      </c>
      <c r="AG374" s="75"/>
      <c r="AJ374" s="79" t="s">
        <v>46</v>
      </c>
      <c r="AK374" s="79">
        <v>0</v>
      </c>
      <c r="BB374" s="454" t="s">
        <v>67</v>
      </c>
      <c r="BM374" s="75">
        <f t="shared" ref="BM374:BM381" si="54">IFERROR(X374*I374/H374,"0")</f>
        <v>154.69999999999999</v>
      </c>
      <c r="BN374" s="75">
        <f t="shared" ref="BN374:BN381" si="55">IFERROR(Y374*I374/H374,"0")</f>
        <v>154.69999999999999</v>
      </c>
      <c r="BO374" s="75">
        <f t="shared" ref="BO374:BO381" si="56">IFERROR(1/J374*(X374/H374),"0")</f>
        <v>0.20833333333333331</v>
      </c>
      <c r="BP374" s="75">
        <f t="shared" ref="BP374:BP381" si="57">IFERROR(1/J374*(Y374/H374),"0")</f>
        <v>0.20833333333333331</v>
      </c>
    </row>
    <row r="375" spans="1:68" ht="37.5" customHeight="1" x14ac:dyDescent="0.25">
      <c r="A375" s="60" t="s">
        <v>613</v>
      </c>
      <c r="B375" s="60" t="s">
        <v>614</v>
      </c>
      <c r="C375" s="34">
        <v>4301011869</v>
      </c>
      <c r="D375" s="646">
        <v>4680115884847</v>
      </c>
      <c r="E375" s="646"/>
      <c r="F375" s="59">
        <v>2.5</v>
      </c>
      <c r="G375" s="35">
        <v>6</v>
      </c>
      <c r="H375" s="59">
        <v>15</v>
      </c>
      <c r="I375" s="59">
        <v>15.47</v>
      </c>
      <c r="J375" s="35">
        <v>48</v>
      </c>
      <c r="K375" s="35" t="s">
        <v>130</v>
      </c>
      <c r="L375" s="35" t="s">
        <v>46</v>
      </c>
      <c r="M375" s="36" t="s">
        <v>81</v>
      </c>
      <c r="N375" s="36"/>
      <c r="O375" s="35">
        <v>60</v>
      </c>
      <c r="P375" s="8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300</v>
      </c>
      <c r="Y375" s="53">
        <f t="shared" si="53"/>
        <v>300</v>
      </c>
      <c r="Z375" s="39">
        <f>IFERROR(IF(Y375=0,"",ROUNDUP(Y375/H375,0)*0.02175),"")</f>
        <v>0.43499999999999994</v>
      </c>
      <c r="AA375" s="65" t="s">
        <v>46</v>
      </c>
      <c r="AB375" s="66" t="s">
        <v>46</v>
      </c>
      <c r="AC375" s="455" t="s">
        <v>615</v>
      </c>
      <c r="AG375" s="75"/>
      <c r="AJ375" s="79" t="s">
        <v>46</v>
      </c>
      <c r="AK375" s="79">
        <v>0</v>
      </c>
      <c r="BB375" s="456" t="s">
        <v>67</v>
      </c>
      <c r="BM375" s="75">
        <f t="shared" si="54"/>
        <v>309.39999999999998</v>
      </c>
      <c r="BN375" s="75">
        <f t="shared" si="55"/>
        <v>309.39999999999998</v>
      </c>
      <c r="BO375" s="75">
        <f t="shared" si="56"/>
        <v>0.41666666666666663</v>
      </c>
      <c r="BP375" s="75">
        <f t="shared" si="57"/>
        <v>0.41666666666666663</v>
      </c>
    </row>
    <row r="376" spans="1:68" ht="27" customHeight="1" x14ac:dyDescent="0.25">
      <c r="A376" s="60" t="s">
        <v>616</v>
      </c>
      <c r="B376" s="60" t="s">
        <v>617</v>
      </c>
      <c r="C376" s="34">
        <v>4301012083</v>
      </c>
      <c r="D376" s="646">
        <v>4680115884854</v>
      </c>
      <c r="E376" s="646"/>
      <c r="F376" s="59">
        <v>2.5</v>
      </c>
      <c r="G376" s="35">
        <v>6</v>
      </c>
      <c r="H376" s="59">
        <v>15</v>
      </c>
      <c r="I376" s="59">
        <v>15.47</v>
      </c>
      <c r="J376" s="35">
        <v>48</v>
      </c>
      <c r="K376" s="35" t="s">
        <v>130</v>
      </c>
      <c r="L376" s="35" t="s">
        <v>46</v>
      </c>
      <c r="M376" s="36" t="s">
        <v>129</v>
      </c>
      <c r="N376" s="36"/>
      <c r="O376" s="35">
        <v>60</v>
      </c>
      <c r="P376" s="84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720</v>
      </c>
      <c r="Y376" s="53">
        <f t="shared" si="53"/>
        <v>720</v>
      </c>
      <c r="Z376" s="39">
        <f>IFERROR(IF(Y376=0,"",ROUNDUP(Y376/H376,0)*0.02175),"")</f>
        <v>1.044</v>
      </c>
      <c r="AA376" s="65" t="s">
        <v>46</v>
      </c>
      <c r="AB376" s="66" t="s">
        <v>46</v>
      </c>
      <c r="AC376" s="457" t="s">
        <v>618</v>
      </c>
      <c r="AG376" s="75"/>
      <c r="AJ376" s="79" t="s">
        <v>46</v>
      </c>
      <c r="AK376" s="79">
        <v>0</v>
      </c>
      <c r="BB376" s="458" t="s">
        <v>67</v>
      </c>
      <c r="BM376" s="75">
        <f t="shared" si="54"/>
        <v>742.56</v>
      </c>
      <c r="BN376" s="75">
        <f t="shared" si="55"/>
        <v>742.56</v>
      </c>
      <c r="BO376" s="75">
        <f t="shared" si="56"/>
        <v>1</v>
      </c>
      <c r="BP376" s="75">
        <f t="shared" si="57"/>
        <v>1</v>
      </c>
    </row>
    <row r="377" spans="1:68" ht="27" customHeight="1" x14ac:dyDescent="0.25">
      <c r="A377" s="60" t="s">
        <v>619</v>
      </c>
      <c r="B377" s="60" t="s">
        <v>620</v>
      </c>
      <c r="C377" s="34">
        <v>4301011867</v>
      </c>
      <c r="D377" s="646">
        <v>4680115884830</v>
      </c>
      <c r="E377" s="646"/>
      <c r="F377" s="59">
        <v>2.5</v>
      </c>
      <c r="G377" s="35">
        <v>6</v>
      </c>
      <c r="H377" s="59">
        <v>15</v>
      </c>
      <c r="I377" s="59">
        <v>15.47</v>
      </c>
      <c r="J377" s="35">
        <v>48</v>
      </c>
      <c r="K377" s="35" t="s">
        <v>130</v>
      </c>
      <c r="L377" s="35" t="s">
        <v>46</v>
      </c>
      <c r="M377" s="36" t="s">
        <v>81</v>
      </c>
      <c r="N377" s="36"/>
      <c r="O377" s="35">
        <v>60</v>
      </c>
      <c r="P377" s="84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3"/>
        <v>0</v>
      </c>
      <c r="Z377" s="39" t="str">
        <f>IFERROR(IF(Y377=0,"",ROUNDUP(Y377/H377,0)*0.02175),"")</f>
        <v/>
      </c>
      <c r="AA377" s="65" t="s">
        <v>46</v>
      </c>
      <c r="AB377" s="66" t="s">
        <v>46</v>
      </c>
      <c r="AC377" s="459" t="s">
        <v>621</v>
      </c>
      <c r="AG377" s="75"/>
      <c r="AJ377" s="79" t="s">
        <v>46</v>
      </c>
      <c r="AK377" s="79">
        <v>0</v>
      </c>
      <c r="BB377" s="460" t="s">
        <v>67</v>
      </c>
      <c r="BM377" s="75">
        <f t="shared" si="54"/>
        <v>0</v>
      </c>
      <c r="BN377" s="75">
        <f t="shared" si="55"/>
        <v>0</v>
      </c>
      <c r="BO377" s="75">
        <f t="shared" si="56"/>
        <v>0</v>
      </c>
      <c r="BP377" s="75">
        <f t="shared" si="57"/>
        <v>0</v>
      </c>
    </row>
    <row r="378" spans="1:68" ht="27" customHeight="1" x14ac:dyDescent="0.25">
      <c r="A378" s="60" t="s">
        <v>622</v>
      </c>
      <c r="B378" s="60" t="s">
        <v>623</v>
      </c>
      <c r="C378" s="34">
        <v>4301012215</v>
      </c>
      <c r="D378" s="646">
        <v>4680115887046</v>
      </c>
      <c r="E378" s="646"/>
      <c r="F378" s="59">
        <v>2.5</v>
      </c>
      <c r="G378" s="35">
        <v>6</v>
      </c>
      <c r="H378" s="59">
        <v>15</v>
      </c>
      <c r="I378" s="59">
        <v>15.47</v>
      </c>
      <c r="J378" s="35">
        <v>48</v>
      </c>
      <c r="K378" s="35" t="s">
        <v>130</v>
      </c>
      <c r="L378" s="35" t="s">
        <v>46</v>
      </c>
      <c r="M378" s="36" t="s">
        <v>97</v>
      </c>
      <c r="N378" s="36"/>
      <c r="O378" s="35">
        <v>60</v>
      </c>
      <c r="P378" s="84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1050</v>
      </c>
      <c r="Y378" s="53">
        <f t="shared" si="53"/>
        <v>1050</v>
      </c>
      <c r="Z378" s="39">
        <f>IFERROR(IF(Y378=0,"",ROUNDUP(Y378/H378,0)*0.02175),"")</f>
        <v>1.5225</v>
      </c>
      <c r="AA378" s="65" t="s">
        <v>46</v>
      </c>
      <c r="AB378" s="66" t="s">
        <v>46</v>
      </c>
      <c r="AC378" s="461" t="s">
        <v>624</v>
      </c>
      <c r="AG378" s="75"/>
      <c r="AJ378" s="79" t="s">
        <v>46</v>
      </c>
      <c r="AK378" s="79">
        <v>0</v>
      </c>
      <c r="BB378" s="462" t="s">
        <v>67</v>
      </c>
      <c r="BM378" s="75">
        <f t="shared" si="54"/>
        <v>1082.9000000000001</v>
      </c>
      <c r="BN378" s="75">
        <f t="shared" si="55"/>
        <v>1082.9000000000001</v>
      </c>
      <c r="BO378" s="75">
        <f t="shared" si="56"/>
        <v>1.4583333333333333</v>
      </c>
      <c r="BP378" s="75">
        <f t="shared" si="57"/>
        <v>1.4583333333333333</v>
      </c>
    </row>
    <row r="379" spans="1:68" ht="27" customHeight="1" x14ac:dyDescent="0.25">
      <c r="A379" s="60" t="s">
        <v>625</v>
      </c>
      <c r="B379" s="60" t="s">
        <v>626</v>
      </c>
      <c r="C379" s="34">
        <v>4301011433</v>
      </c>
      <c r="D379" s="646">
        <v>4680115882638</v>
      </c>
      <c r="E379" s="646"/>
      <c r="F379" s="59">
        <v>0.4</v>
      </c>
      <c r="G379" s="35">
        <v>10</v>
      </c>
      <c r="H379" s="59">
        <v>4</v>
      </c>
      <c r="I379" s="59">
        <v>4.1900000000000004</v>
      </c>
      <c r="J379" s="35">
        <v>132</v>
      </c>
      <c r="K379" s="35" t="s">
        <v>137</v>
      </c>
      <c r="L379" s="35" t="s">
        <v>46</v>
      </c>
      <c r="M379" s="36" t="s">
        <v>129</v>
      </c>
      <c r="N379" s="36"/>
      <c r="O379" s="35">
        <v>90</v>
      </c>
      <c r="P379" s="84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9" s="648"/>
      <c r="R379" s="648"/>
      <c r="S379" s="648"/>
      <c r="T379" s="649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3" t="s">
        <v>627</v>
      </c>
      <c r="AG379" s="75"/>
      <c r="AJ379" s="79" t="s">
        <v>46</v>
      </c>
      <c r="AK379" s="79">
        <v>0</v>
      </c>
      <c r="BB379" s="464" t="s">
        <v>67</v>
      </c>
      <c r="BM379" s="75">
        <f t="shared" si="54"/>
        <v>0</v>
      </c>
      <c r="BN379" s="75">
        <f t="shared" si="55"/>
        <v>0</v>
      </c>
      <c r="BO379" s="75">
        <f t="shared" si="56"/>
        <v>0</v>
      </c>
      <c r="BP379" s="75">
        <f t="shared" si="57"/>
        <v>0</v>
      </c>
    </row>
    <row r="380" spans="1:68" ht="27" customHeight="1" x14ac:dyDescent="0.25">
      <c r="A380" s="60" t="s">
        <v>628</v>
      </c>
      <c r="B380" s="60" t="s">
        <v>629</v>
      </c>
      <c r="C380" s="34">
        <v>4301011952</v>
      </c>
      <c r="D380" s="646">
        <v>4680115884922</v>
      </c>
      <c r="E380" s="646"/>
      <c r="F380" s="59">
        <v>0.5</v>
      </c>
      <c r="G380" s="35">
        <v>10</v>
      </c>
      <c r="H380" s="59">
        <v>5</v>
      </c>
      <c r="I380" s="59">
        <v>5.19</v>
      </c>
      <c r="J380" s="35">
        <v>132</v>
      </c>
      <c r="K380" s="35" t="s">
        <v>137</v>
      </c>
      <c r="L380" s="35" t="s">
        <v>46</v>
      </c>
      <c r="M380" s="36" t="s">
        <v>81</v>
      </c>
      <c r="N380" s="36"/>
      <c r="O380" s="35">
        <v>60</v>
      </c>
      <c r="P380" s="84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0" s="648"/>
      <c r="R380" s="648"/>
      <c r="S380" s="648"/>
      <c r="T380" s="649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65" t="s">
        <v>630</v>
      </c>
      <c r="AG380" s="75"/>
      <c r="AJ380" s="79" t="s">
        <v>46</v>
      </c>
      <c r="AK380" s="79">
        <v>0</v>
      </c>
      <c r="BB380" s="466" t="s">
        <v>67</v>
      </c>
      <c r="BM380" s="75">
        <f t="shared" si="54"/>
        <v>0</v>
      </c>
      <c r="BN380" s="75">
        <f t="shared" si="55"/>
        <v>0</v>
      </c>
      <c r="BO380" s="75">
        <f t="shared" si="56"/>
        <v>0</v>
      </c>
      <c r="BP380" s="75">
        <f t="shared" si="57"/>
        <v>0</v>
      </c>
    </row>
    <row r="381" spans="1:68" ht="37.5" customHeight="1" x14ac:dyDescent="0.25">
      <c r="A381" s="60" t="s">
        <v>631</v>
      </c>
      <c r="B381" s="60" t="s">
        <v>632</v>
      </c>
      <c r="C381" s="34">
        <v>4301011868</v>
      </c>
      <c r="D381" s="646">
        <v>4680115884861</v>
      </c>
      <c r="E381" s="646"/>
      <c r="F381" s="59">
        <v>0.5</v>
      </c>
      <c r="G381" s="35">
        <v>10</v>
      </c>
      <c r="H381" s="59">
        <v>5</v>
      </c>
      <c r="I381" s="59">
        <v>5.19</v>
      </c>
      <c r="J381" s="35">
        <v>132</v>
      </c>
      <c r="K381" s="35" t="s">
        <v>137</v>
      </c>
      <c r="L381" s="35" t="s">
        <v>46</v>
      </c>
      <c r="M381" s="36" t="s">
        <v>81</v>
      </c>
      <c r="N381" s="36"/>
      <c r="O381" s="35">
        <v>60</v>
      </c>
      <c r="P381" s="84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1" s="648"/>
      <c r="R381" s="648"/>
      <c r="S381" s="648"/>
      <c r="T381" s="649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53"/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67" t="s">
        <v>633</v>
      </c>
      <c r="AG381" s="75"/>
      <c r="AJ381" s="79" t="s">
        <v>46</v>
      </c>
      <c r="AK381" s="79">
        <v>0</v>
      </c>
      <c r="BB381" s="468" t="s">
        <v>67</v>
      </c>
      <c r="BM381" s="75">
        <f t="shared" si="54"/>
        <v>0</v>
      </c>
      <c r="BN381" s="75">
        <f t="shared" si="55"/>
        <v>0</v>
      </c>
      <c r="BO381" s="75">
        <f t="shared" si="56"/>
        <v>0</v>
      </c>
      <c r="BP381" s="75">
        <f t="shared" si="57"/>
        <v>0</v>
      </c>
    </row>
    <row r="382" spans="1:68" x14ac:dyDescent="0.2">
      <c r="A382" s="654"/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5"/>
      <c r="P382" s="651" t="s">
        <v>40</v>
      </c>
      <c r="Q382" s="652"/>
      <c r="R382" s="652"/>
      <c r="S382" s="652"/>
      <c r="T382" s="652"/>
      <c r="U382" s="652"/>
      <c r="V382" s="653"/>
      <c r="W382" s="40" t="s">
        <v>39</v>
      </c>
      <c r="X382" s="41">
        <f>IFERROR(X374/H374,"0")+IFERROR(X375/H375,"0")+IFERROR(X376/H376,"0")+IFERROR(X377/H377,"0")+IFERROR(X378/H378,"0")+IFERROR(X379/H379,"0")+IFERROR(X380/H380,"0")+IFERROR(X381/H381,"0")</f>
        <v>148</v>
      </c>
      <c r="Y382" s="41">
        <f>IFERROR(Y374/H374,"0")+IFERROR(Y375/H375,"0")+IFERROR(Y376/H376,"0")+IFERROR(Y377/H377,"0")+IFERROR(Y378/H378,"0")+IFERROR(Y379/H379,"0")+IFERROR(Y380/H380,"0")+IFERROR(Y381/H381,"0")</f>
        <v>148</v>
      </c>
      <c r="Z382" s="41">
        <f>IFERROR(IF(Z374="",0,Z374),"0")+IFERROR(IF(Z375="",0,Z375),"0")+IFERROR(IF(Z376="",0,Z376),"0")+IFERROR(IF(Z377="",0,Z377),"0")+IFERROR(IF(Z378="",0,Z378),"0")+IFERROR(IF(Z379="",0,Z379),"0")+IFERROR(IF(Z380="",0,Z380),"0")+IFERROR(IF(Z381="",0,Z381),"0")</f>
        <v>3.2189999999999999</v>
      </c>
      <c r="AA382" s="64"/>
      <c r="AB382" s="64"/>
      <c r="AC382" s="64"/>
    </row>
    <row r="383" spans="1:68" x14ac:dyDescent="0.2">
      <c r="A383" s="654"/>
      <c r="B383" s="654"/>
      <c r="C383" s="654"/>
      <c r="D383" s="654"/>
      <c r="E383" s="654"/>
      <c r="F383" s="654"/>
      <c r="G383" s="654"/>
      <c r="H383" s="654"/>
      <c r="I383" s="654"/>
      <c r="J383" s="654"/>
      <c r="K383" s="654"/>
      <c r="L383" s="654"/>
      <c r="M383" s="654"/>
      <c r="N383" s="654"/>
      <c r="O383" s="655"/>
      <c r="P383" s="651" t="s">
        <v>40</v>
      </c>
      <c r="Q383" s="652"/>
      <c r="R383" s="652"/>
      <c r="S383" s="652"/>
      <c r="T383" s="652"/>
      <c r="U383" s="652"/>
      <c r="V383" s="653"/>
      <c r="W383" s="40" t="s">
        <v>0</v>
      </c>
      <c r="X383" s="41">
        <f>IFERROR(SUM(X374:X381),"0")</f>
        <v>2220</v>
      </c>
      <c r="Y383" s="41">
        <f>IFERROR(SUM(Y374:Y381),"0")</f>
        <v>2220</v>
      </c>
      <c r="Z383" s="40"/>
      <c r="AA383" s="64"/>
      <c r="AB383" s="64"/>
      <c r="AC383" s="64"/>
    </row>
    <row r="384" spans="1:68" ht="14.25" customHeight="1" x14ac:dyDescent="0.25">
      <c r="A384" s="645" t="s">
        <v>159</v>
      </c>
      <c r="B384" s="645"/>
      <c r="C384" s="645"/>
      <c r="D384" s="645"/>
      <c r="E384" s="645"/>
      <c r="F384" s="645"/>
      <c r="G384" s="645"/>
      <c r="H384" s="645"/>
      <c r="I384" s="645"/>
      <c r="J384" s="645"/>
      <c r="K384" s="645"/>
      <c r="L384" s="645"/>
      <c r="M384" s="645"/>
      <c r="N384" s="645"/>
      <c r="O384" s="645"/>
      <c r="P384" s="645"/>
      <c r="Q384" s="645"/>
      <c r="R384" s="645"/>
      <c r="S384" s="645"/>
      <c r="T384" s="645"/>
      <c r="U384" s="645"/>
      <c r="V384" s="645"/>
      <c r="W384" s="645"/>
      <c r="X384" s="645"/>
      <c r="Y384" s="645"/>
      <c r="Z384" s="645"/>
      <c r="AA384" s="63"/>
      <c r="AB384" s="63"/>
      <c r="AC384" s="63"/>
    </row>
    <row r="385" spans="1:68" ht="27" customHeight="1" x14ac:dyDescent="0.25">
      <c r="A385" s="60" t="s">
        <v>634</v>
      </c>
      <c r="B385" s="60" t="s">
        <v>635</v>
      </c>
      <c r="C385" s="34">
        <v>4301020178</v>
      </c>
      <c r="D385" s="646">
        <v>4607091383980</v>
      </c>
      <c r="E385" s="646"/>
      <c r="F385" s="59">
        <v>2.5</v>
      </c>
      <c r="G385" s="35">
        <v>6</v>
      </c>
      <c r="H385" s="59">
        <v>15</v>
      </c>
      <c r="I385" s="59">
        <v>15.47</v>
      </c>
      <c r="J385" s="35">
        <v>48</v>
      </c>
      <c r="K385" s="35" t="s">
        <v>130</v>
      </c>
      <c r="L385" s="35" t="s">
        <v>46</v>
      </c>
      <c r="M385" s="36" t="s">
        <v>129</v>
      </c>
      <c r="N385" s="36"/>
      <c r="O385" s="35">
        <v>50</v>
      </c>
      <c r="P385" s="8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720</v>
      </c>
      <c r="Y385" s="53">
        <f>IFERROR(IF(X385="",0,CEILING((X385/$H385),1)*$H385),"")</f>
        <v>720</v>
      </c>
      <c r="Z385" s="39">
        <f>IFERROR(IF(Y385=0,"",ROUNDUP(Y385/H385,0)*0.02175),"")</f>
        <v>1.044</v>
      </c>
      <c r="AA385" s="65" t="s">
        <v>46</v>
      </c>
      <c r="AB385" s="66" t="s">
        <v>46</v>
      </c>
      <c r="AC385" s="469" t="s">
        <v>636</v>
      </c>
      <c r="AG385" s="75"/>
      <c r="AJ385" s="79" t="s">
        <v>46</v>
      </c>
      <c r="AK385" s="79">
        <v>0</v>
      </c>
      <c r="BB385" s="470" t="s">
        <v>67</v>
      </c>
      <c r="BM385" s="75">
        <f>IFERROR(X385*I385/H385,"0")</f>
        <v>742.56</v>
      </c>
      <c r="BN385" s="75">
        <f>IFERROR(Y385*I385/H385,"0")</f>
        <v>742.56</v>
      </c>
      <c r="BO385" s="75">
        <f>IFERROR(1/J385*(X385/H385),"0")</f>
        <v>1</v>
      </c>
      <c r="BP385" s="75">
        <f>IFERROR(1/J385*(Y385/H385),"0")</f>
        <v>1</v>
      </c>
    </row>
    <row r="386" spans="1:68" ht="27" customHeight="1" x14ac:dyDescent="0.25">
      <c r="A386" s="60" t="s">
        <v>637</v>
      </c>
      <c r="B386" s="60" t="s">
        <v>638</v>
      </c>
      <c r="C386" s="34">
        <v>4301020355</v>
      </c>
      <c r="D386" s="646">
        <v>4680115888425</v>
      </c>
      <c r="E386" s="646"/>
      <c r="F386" s="59">
        <v>2.5</v>
      </c>
      <c r="G386" s="35">
        <v>6</v>
      </c>
      <c r="H386" s="59">
        <v>15</v>
      </c>
      <c r="I386" s="59">
        <v>15.47</v>
      </c>
      <c r="J386" s="35">
        <v>48</v>
      </c>
      <c r="K386" s="35" t="s">
        <v>130</v>
      </c>
      <c r="L386" s="35" t="s">
        <v>46</v>
      </c>
      <c r="M386" s="36" t="s">
        <v>129</v>
      </c>
      <c r="N386" s="36"/>
      <c r="O386" s="35">
        <v>50</v>
      </c>
      <c r="P386" s="84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386" s="648"/>
      <c r="R386" s="648"/>
      <c r="S386" s="648"/>
      <c r="T386" s="649"/>
      <c r="U386" s="37" t="s">
        <v>46</v>
      </c>
      <c r="V386" s="37" t="s">
        <v>46</v>
      </c>
      <c r="W386" s="38" t="s">
        <v>0</v>
      </c>
      <c r="X386" s="56">
        <v>75</v>
      </c>
      <c r="Y386" s="53">
        <f>IFERROR(IF(X386="",0,CEILING((X386/$H386),1)*$H386),"")</f>
        <v>75</v>
      </c>
      <c r="Z386" s="39">
        <f>IFERROR(IF(Y386=0,"",ROUNDUP(Y386/H386,0)*0.02175),"")</f>
        <v>0.10874999999999999</v>
      </c>
      <c r="AA386" s="65" t="s">
        <v>46</v>
      </c>
      <c r="AB386" s="66" t="s">
        <v>46</v>
      </c>
      <c r="AC386" s="471" t="s">
        <v>639</v>
      </c>
      <c r="AG386" s="75"/>
      <c r="AJ386" s="79" t="s">
        <v>46</v>
      </c>
      <c r="AK386" s="79">
        <v>0</v>
      </c>
      <c r="BB386" s="472" t="s">
        <v>67</v>
      </c>
      <c r="BM386" s="75">
        <f>IFERROR(X386*I386/H386,"0")</f>
        <v>77.349999999999994</v>
      </c>
      <c r="BN386" s="75">
        <f>IFERROR(Y386*I386/H386,"0")</f>
        <v>77.349999999999994</v>
      </c>
      <c r="BO386" s="75">
        <f>IFERROR(1/J386*(X386/H386),"0")</f>
        <v>0.10416666666666666</v>
      </c>
      <c r="BP386" s="75">
        <f>IFERROR(1/J386*(Y386/H386),"0")</f>
        <v>0.10416666666666666</v>
      </c>
    </row>
    <row r="387" spans="1:68" ht="27" customHeight="1" x14ac:dyDescent="0.25">
      <c r="A387" s="60" t="s">
        <v>640</v>
      </c>
      <c r="B387" s="60" t="s">
        <v>641</v>
      </c>
      <c r="C387" s="34">
        <v>4301020179</v>
      </c>
      <c r="D387" s="646">
        <v>4607091384178</v>
      </c>
      <c r="E387" s="646"/>
      <c r="F387" s="59">
        <v>0.4</v>
      </c>
      <c r="G387" s="35">
        <v>10</v>
      </c>
      <c r="H387" s="59">
        <v>4</v>
      </c>
      <c r="I387" s="59">
        <v>4.1900000000000004</v>
      </c>
      <c r="J387" s="35">
        <v>132</v>
      </c>
      <c r="K387" s="35" t="s">
        <v>137</v>
      </c>
      <c r="L387" s="35" t="s">
        <v>46</v>
      </c>
      <c r="M387" s="36" t="s">
        <v>129</v>
      </c>
      <c r="N387" s="36"/>
      <c r="O387" s="35">
        <v>50</v>
      </c>
      <c r="P387" s="8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7" s="648"/>
      <c r="R387" s="648"/>
      <c r="S387" s="648"/>
      <c r="T387" s="649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IFERROR(IF(Y387=0,"",ROUNDUP(Y387/H387,0)*0.00902),"")</f>
        <v/>
      </c>
      <c r="AA387" s="65" t="s">
        <v>46</v>
      </c>
      <c r="AB387" s="66" t="s">
        <v>46</v>
      </c>
      <c r="AC387" s="473" t="s">
        <v>642</v>
      </c>
      <c r="AG387" s="75"/>
      <c r="AJ387" s="79" t="s">
        <v>46</v>
      </c>
      <c r="AK387" s="79">
        <v>0</v>
      </c>
      <c r="BB387" s="474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x14ac:dyDescent="0.2">
      <c r="A388" s="654"/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5"/>
      <c r="P388" s="651" t="s">
        <v>40</v>
      </c>
      <c r="Q388" s="652"/>
      <c r="R388" s="652"/>
      <c r="S388" s="652"/>
      <c r="T388" s="652"/>
      <c r="U388" s="652"/>
      <c r="V388" s="653"/>
      <c r="W388" s="40" t="s">
        <v>39</v>
      </c>
      <c r="X388" s="41">
        <f>IFERROR(X385/H385,"0")+IFERROR(X386/H386,"0")+IFERROR(X387/H387,"0")</f>
        <v>53</v>
      </c>
      <c r="Y388" s="41">
        <f>IFERROR(Y385/H385,"0")+IFERROR(Y386/H386,"0")+IFERROR(Y387/H387,"0")</f>
        <v>53</v>
      </c>
      <c r="Z388" s="41">
        <f>IFERROR(IF(Z385="",0,Z385),"0")+IFERROR(IF(Z386="",0,Z386),"0")+IFERROR(IF(Z387="",0,Z387),"0")</f>
        <v>1.1527499999999999</v>
      </c>
      <c r="AA388" s="64"/>
      <c r="AB388" s="64"/>
      <c r="AC388" s="64"/>
    </row>
    <row r="389" spans="1:68" x14ac:dyDescent="0.2">
      <c r="A389" s="654"/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5"/>
      <c r="P389" s="651" t="s">
        <v>40</v>
      </c>
      <c r="Q389" s="652"/>
      <c r="R389" s="652"/>
      <c r="S389" s="652"/>
      <c r="T389" s="652"/>
      <c r="U389" s="652"/>
      <c r="V389" s="653"/>
      <c r="W389" s="40" t="s">
        <v>0</v>
      </c>
      <c r="X389" s="41">
        <f>IFERROR(SUM(X385:X387),"0")</f>
        <v>795</v>
      </c>
      <c r="Y389" s="41">
        <f>IFERROR(SUM(Y385:Y387),"0")</f>
        <v>795</v>
      </c>
      <c r="Z389" s="40"/>
      <c r="AA389" s="64"/>
      <c r="AB389" s="64"/>
      <c r="AC389" s="64"/>
    </row>
    <row r="390" spans="1:68" ht="14.25" customHeight="1" x14ac:dyDescent="0.25">
      <c r="A390" s="645" t="s">
        <v>87</v>
      </c>
      <c r="B390" s="645"/>
      <c r="C390" s="645"/>
      <c r="D390" s="645"/>
      <c r="E390" s="645"/>
      <c r="F390" s="645"/>
      <c r="G390" s="645"/>
      <c r="H390" s="645"/>
      <c r="I390" s="645"/>
      <c r="J390" s="645"/>
      <c r="K390" s="645"/>
      <c r="L390" s="645"/>
      <c r="M390" s="645"/>
      <c r="N390" s="645"/>
      <c r="O390" s="645"/>
      <c r="P390" s="645"/>
      <c r="Q390" s="645"/>
      <c r="R390" s="645"/>
      <c r="S390" s="645"/>
      <c r="T390" s="645"/>
      <c r="U390" s="645"/>
      <c r="V390" s="645"/>
      <c r="W390" s="645"/>
      <c r="X390" s="645"/>
      <c r="Y390" s="645"/>
      <c r="Z390" s="645"/>
      <c r="AA390" s="63"/>
      <c r="AB390" s="63"/>
      <c r="AC390" s="63"/>
    </row>
    <row r="391" spans="1:68" ht="27" customHeight="1" x14ac:dyDescent="0.25">
      <c r="A391" s="60" t="s">
        <v>643</v>
      </c>
      <c r="B391" s="60" t="s">
        <v>644</v>
      </c>
      <c r="C391" s="34">
        <v>4301051903</v>
      </c>
      <c r="D391" s="646">
        <v>4607091383928</v>
      </c>
      <c r="E391" s="646"/>
      <c r="F391" s="59">
        <v>1.5</v>
      </c>
      <c r="G391" s="35">
        <v>6</v>
      </c>
      <c r="H391" s="59">
        <v>9</v>
      </c>
      <c r="I391" s="59">
        <v>9.5</v>
      </c>
      <c r="J391" s="35">
        <v>64</v>
      </c>
      <c r="K391" s="35" t="s">
        <v>130</v>
      </c>
      <c r="L391" s="35" t="s">
        <v>46</v>
      </c>
      <c r="M391" s="36" t="s">
        <v>91</v>
      </c>
      <c r="N391" s="36"/>
      <c r="O391" s="35">
        <v>40</v>
      </c>
      <c r="P391" s="85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18</v>
      </c>
      <c r="Y391" s="53">
        <f>IFERROR(IF(X391="",0,CEILING((X391/$H391),1)*$H391),"")</f>
        <v>18</v>
      </c>
      <c r="Z391" s="39">
        <f>IFERROR(IF(Y391=0,"",ROUNDUP(Y391/H391,0)*0.01898),"")</f>
        <v>3.7960000000000001E-2</v>
      </c>
      <c r="AA391" s="65" t="s">
        <v>46</v>
      </c>
      <c r="AB391" s="66" t="s">
        <v>46</v>
      </c>
      <c r="AC391" s="475" t="s">
        <v>645</v>
      </c>
      <c r="AG391" s="75"/>
      <c r="AJ391" s="79" t="s">
        <v>46</v>
      </c>
      <c r="AK391" s="79">
        <v>0</v>
      </c>
      <c r="BB391" s="476" t="s">
        <v>67</v>
      </c>
      <c r="BM391" s="75">
        <f>IFERROR(X391*I391/H391,"0")</f>
        <v>19</v>
      </c>
      <c r="BN391" s="75">
        <f>IFERROR(Y391*I391/H391,"0")</f>
        <v>19</v>
      </c>
      <c r="BO391" s="75">
        <f>IFERROR(1/J391*(X391/H391),"0")</f>
        <v>3.125E-2</v>
      </c>
      <c r="BP391" s="75">
        <f>IFERROR(1/J391*(Y391/H391),"0")</f>
        <v>3.125E-2</v>
      </c>
    </row>
    <row r="392" spans="1:68" ht="27" customHeight="1" x14ac:dyDescent="0.25">
      <c r="A392" s="60" t="s">
        <v>646</v>
      </c>
      <c r="B392" s="60" t="s">
        <v>647</v>
      </c>
      <c r="C392" s="34">
        <v>4301051897</v>
      </c>
      <c r="D392" s="646">
        <v>4607091384260</v>
      </c>
      <c r="E392" s="646"/>
      <c r="F392" s="59">
        <v>1.5</v>
      </c>
      <c r="G392" s="35">
        <v>6</v>
      </c>
      <c r="H392" s="59">
        <v>9</v>
      </c>
      <c r="I392" s="59">
        <v>9.4939999999999998</v>
      </c>
      <c r="J392" s="35">
        <v>64</v>
      </c>
      <c r="K392" s="35" t="s">
        <v>130</v>
      </c>
      <c r="L392" s="35" t="s">
        <v>46</v>
      </c>
      <c r="M392" s="36" t="s">
        <v>91</v>
      </c>
      <c r="N392" s="36"/>
      <c r="O392" s="35">
        <v>40</v>
      </c>
      <c r="P392" s="8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92" s="648"/>
      <c r="R392" s="648"/>
      <c r="S392" s="648"/>
      <c r="T392" s="649"/>
      <c r="U392" s="37" t="s">
        <v>46</v>
      </c>
      <c r="V392" s="37" t="s">
        <v>46</v>
      </c>
      <c r="W392" s="38" t="s">
        <v>0</v>
      </c>
      <c r="X392" s="56">
        <v>9</v>
      </c>
      <c r="Y392" s="53">
        <f>IFERROR(IF(X392="",0,CEILING((X392/$H392),1)*$H392),"")</f>
        <v>9</v>
      </c>
      <c r="Z392" s="39">
        <f>IFERROR(IF(Y392=0,"",ROUNDUP(Y392/H392,0)*0.01898),"")</f>
        <v>1.898E-2</v>
      </c>
      <c r="AA392" s="65" t="s">
        <v>46</v>
      </c>
      <c r="AB392" s="66" t="s">
        <v>46</v>
      </c>
      <c r="AC392" s="477" t="s">
        <v>648</v>
      </c>
      <c r="AG392" s="75"/>
      <c r="AJ392" s="79" t="s">
        <v>46</v>
      </c>
      <c r="AK392" s="79">
        <v>0</v>
      </c>
      <c r="BB392" s="478" t="s">
        <v>67</v>
      </c>
      <c r="BM392" s="75">
        <f>IFERROR(X392*I392/H392,"0")</f>
        <v>9.4939999999999998</v>
      </c>
      <c r="BN392" s="75">
        <f>IFERROR(Y392*I392/H392,"0")</f>
        <v>9.4939999999999998</v>
      </c>
      <c r="BO392" s="75">
        <f>IFERROR(1/J392*(X392/H392),"0")</f>
        <v>1.5625E-2</v>
      </c>
      <c r="BP392" s="75">
        <f>IFERROR(1/J392*(Y392/H392),"0")</f>
        <v>1.5625E-2</v>
      </c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51" t="s">
        <v>40</v>
      </c>
      <c r="Q393" s="652"/>
      <c r="R393" s="652"/>
      <c r="S393" s="652"/>
      <c r="T393" s="652"/>
      <c r="U393" s="652"/>
      <c r="V393" s="653"/>
      <c r="W393" s="40" t="s">
        <v>39</v>
      </c>
      <c r="X393" s="41">
        <f>IFERROR(X391/H391,"0")+IFERROR(X392/H392,"0")</f>
        <v>3</v>
      </c>
      <c r="Y393" s="41">
        <f>IFERROR(Y391/H391,"0")+IFERROR(Y392/H392,"0")</f>
        <v>3</v>
      </c>
      <c r="Z393" s="41">
        <f>IFERROR(IF(Z391="",0,Z391),"0")+IFERROR(IF(Z392="",0,Z392),"0")</f>
        <v>5.6940000000000004E-2</v>
      </c>
      <c r="AA393" s="64"/>
      <c r="AB393" s="64"/>
      <c r="AC393" s="64"/>
    </row>
    <row r="394" spans="1:68" x14ac:dyDescent="0.2">
      <c r="A394" s="654"/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5"/>
      <c r="P394" s="651" t="s">
        <v>40</v>
      </c>
      <c r="Q394" s="652"/>
      <c r="R394" s="652"/>
      <c r="S394" s="652"/>
      <c r="T394" s="652"/>
      <c r="U394" s="652"/>
      <c r="V394" s="653"/>
      <c r="W394" s="40" t="s">
        <v>0</v>
      </c>
      <c r="X394" s="41">
        <f>IFERROR(SUM(X391:X392),"0")</f>
        <v>27</v>
      </c>
      <c r="Y394" s="41">
        <f>IFERROR(SUM(Y391:Y392),"0")</f>
        <v>27</v>
      </c>
      <c r="Z394" s="40"/>
      <c r="AA394" s="64"/>
      <c r="AB394" s="64"/>
      <c r="AC394" s="64"/>
    </row>
    <row r="395" spans="1:68" ht="14.25" customHeight="1" x14ac:dyDescent="0.25">
      <c r="A395" s="645" t="s">
        <v>176</v>
      </c>
      <c r="B395" s="645"/>
      <c r="C395" s="645"/>
      <c r="D395" s="645"/>
      <c r="E395" s="645"/>
      <c r="F395" s="645"/>
      <c r="G395" s="645"/>
      <c r="H395" s="645"/>
      <c r="I395" s="645"/>
      <c r="J395" s="645"/>
      <c r="K395" s="645"/>
      <c r="L395" s="645"/>
      <c r="M395" s="645"/>
      <c r="N395" s="645"/>
      <c r="O395" s="645"/>
      <c r="P395" s="645"/>
      <c r="Q395" s="645"/>
      <c r="R395" s="645"/>
      <c r="S395" s="645"/>
      <c r="T395" s="645"/>
      <c r="U395" s="645"/>
      <c r="V395" s="645"/>
      <c r="W395" s="645"/>
      <c r="X395" s="645"/>
      <c r="Y395" s="645"/>
      <c r="Z395" s="645"/>
      <c r="AA395" s="63"/>
      <c r="AB395" s="63"/>
      <c r="AC395" s="63"/>
    </row>
    <row r="396" spans="1:68" ht="16.5" customHeight="1" x14ac:dyDescent="0.25">
      <c r="A396" s="60" t="s">
        <v>649</v>
      </c>
      <c r="B396" s="60" t="s">
        <v>650</v>
      </c>
      <c r="C396" s="34">
        <v>4301060524</v>
      </c>
      <c r="D396" s="646">
        <v>4607091384673</v>
      </c>
      <c r="E396" s="646"/>
      <c r="F396" s="59">
        <v>1.5</v>
      </c>
      <c r="G396" s="35">
        <v>6</v>
      </c>
      <c r="H396" s="59">
        <v>9</v>
      </c>
      <c r="I396" s="59">
        <v>9.4939999999999998</v>
      </c>
      <c r="J396" s="35">
        <v>64</v>
      </c>
      <c r="K396" s="35" t="s">
        <v>130</v>
      </c>
      <c r="L396" s="35" t="s">
        <v>46</v>
      </c>
      <c r="M396" s="36" t="s">
        <v>91</v>
      </c>
      <c r="N396" s="36"/>
      <c r="O396" s="35">
        <v>40</v>
      </c>
      <c r="P396" s="85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IFERROR(IF(Y396=0,"",ROUNDUP(Y396/H396,0)*0.01898),"")</f>
        <v/>
      </c>
      <c r="AA396" s="65" t="s">
        <v>46</v>
      </c>
      <c r="AB396" s="66" t="s">
        <v>46</v>
      </c>
      <c r="AC396" s="479" t="s">
        <v>651</v>
      </c>
      <c r="AG396" s="75"/>
      <c r="AJ396" s="79" t="s">
        <v>46</v>
      </c>
      <c r="AK396" s="79">
        <v>0</v>
      </c>
      <c r="BB396" s="48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x14ac:dyDescent="0.2">
      <c r="A397" s="654"/>
      <c r="B397" s="654"/>
      <c r="C397" s="654"/>
      <c r="D397" s="654"/>
      <c r="E397" s="654"/>
      <c r="F397" s="654"/>
      <c r="G397" s="654"/>
      <c r="H397" s="654"/>
      <c r="I397" s="654"/>
      <c r="J397" s="654"/>
      <c r="K397" s="654"/>
      <c r="L397" s="654"/>
      <c r="M397" s="654"/>
      <c r="N397" s="654"/>
      <c r="O397" s="655"/>
      <c r="P397" s="651" t="s">
        <v>40</v>
      </c>
      <c r="Q397" s="652"/>
      <c r="R397" s="652"/>
      <c r="S397" s="652"/>
      <c r="T397" s="652"/>
      <c r="U397" s="652"/>
      <c r="V397" s="653"/>
      <c r="W397" s="40" t="s">
        <v>39</v>
      </c>
      <c r="X397" s="41">
        <f>IFERROR(X396/H396,"0")</f>
        <v>0</v>
      </c>
      <c r="Y397" s="41">
        <f>IFERROR(Y396/H396,"0")</f>
        <v>0</v>
      </c>
      <c r="Z397" s="41">
        <f>IFERROR(IF(Z396="",0,Z396),"0")</f>
        <v>0</v>
      </c>
      <c r="AA397" s="64"/>
      <c r="AB397" s="64"/>
      <c r="AC397" s="64"/>
    </row>
    <row r="398" spans="1:68" x14ac:dyDescent="0.2">
      <c r="A398" s="654"/>
      <c r="B398" s="654"/>
      <c r="C398" s="654"/>
      <c r="D398" s="654"/>
      <c r="E398" s="654"/>
      <c r="F398" s="654"/>
      <c r="G398" s="654"/>
      <c r="H398" s="654"/>
      <c r="I398" s="654"/>
      <c r="J398" s="654"/>
      <c r="K398" s="654"/>
      <c r="L398" s="654"/>
      <c r="M398" s="654"/>
      <c r="N398" s="654"/>
      <c r="O398" s="655"/>
      <c r="P398" s="651" t="s">
        <v>40</v>
      </c>
      <c r="Q398" s="652"/>
      <c r="R398" s="652"/>
      <c r="S398" s="652"/>
      <c r="T398" s="652"/>
      <c r="U398" s="652"/>
      <c r="V398" s="653"/>
      <c r="W398" s="40" t="s">
        <v>0</v>
      </c>
      <c r="X398" s="41">
        <f>IFERROR(SUM(X396:X396),"0")</f>
        <v>0</v>
      </c>
      <c r="Y398" s="41">
        <f>IFERROR(SUM(Y396:Y396),"0")</f>
        <v>0</v>
      </c>
      <c r="Z398" s="40"/>
      <c r="AA398" s="64"/>
      <c r="AB398" s="64"/>
      <c r="AC398" s="64"/>
    </row>
    <row r="399" spans="1:68" ht="16.5" customHeight="1" x14ac:dyDescent="0.25">
      <c r="A399" s="644" t="s">
        <v>652</v>
      </c>
      <c r="B399" s="644"/>
      <c r="C399" s="644"/>
      <c r="D399" s="644"/>
      <c r="E399" s="644"/>
      <c r="F399" s="644"/>
      <c r="G399" s="644"/>
      <c r="H399" s="644"/>
      <c r="I399" s="644"/>
      <c r="J399" s="644"/>
      <c r="K399" s="644"/>
      <c r="L399" s="644"/>
      <c r="M399" s="644"/>
      <c r="N399" s="644"/>
      <c r="O399" s="644"/>
      <c r="P399" s="644"/>
      <c r="Q399" s="644"/>
      <c r="R399" s="644"/>
      <c r="S399" s="644"/>
      <c r="T399" s="644"/>
      <c r="U399" s="644"/>
      <c r="V399" s="644"/>
      <c r="W399" s="644"/>
      <c r="X399" s="644"/>
      <c r="Y399" s="644"/>
      <c r="Z399" s="644"/>
      <c r="AA399" s="62"/>
      <c r="AB399" s="62"/>
      <c r="AC399" s="62"/>
    </row>
    <row r="400" spans="1:68" ht="14.25" customHeight="1" x14ac:dyDescent="0.25">
      <c r="A400" s="645" t="s">
        <v>125</v>
      </c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5"/>
      <c r="P400" s="645"/>
      <c r="Q400" s="645"/>
      <c r="R400" s="645"/>
      <c r="S400" s="645"/>
      <c r="T400" s="645"/>
      <c r="U400" s="645"/>
      <c r="V400" s="645"/>
      <c r="W400" s="645"/>
      <c r="X400" s="645"/>
      <c r="Y400" s="645"/>
      <c r="Z400" s="645"/>
      <c r="AA400" s="63"/>
      <c r="AB400" s="63"/>
      <c r="AC400" s="63"/>
    </row>
    <row r="401" spans="1:68" ht="27" customHeight="1" x14ac:dyDescent="0.25">
      <c r="A401" s="60" t="s">
        <v>653</v>
      </c>
      <c r="B401" s="60" t="s">
        <v>654</v>
      </c>
      <c r="C401" s="34">
        <v>4301011875</v>
      </c>
      <c r="D401" s="646">
        <v>4680115884885</v>
      </c>
      <c r="E401" s="646"/>
      <c r="F401" s="59">
        <v>0.8</v>
      </c>
      <c r="G401" s="35">
        <v>15</v>
      </c>
      <c r="H401" s="59">
        <v>12</v>
      </c>
      <c r="I401" s="59">
        <v>12.41</v>
      </c>
      <c r="J401" s="35">
        <v>64</v>
      </c>
      <c r="K401" s="35" t="s">
        <v>130</v>
      </c>
      <c r="L401" s="35" t="s">
        <v>46</v>
      </c>
      <c r="M401" s="36" t="s">
        <v>81</v>
      </c>
      <c r="N401" s="36"/>
      <c r="O401" s="35">
        <v>60</v>
      </c>
      <c r="P401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1" s="648"/>
      <c r="R401" s="648"/>
      <c r="S401" s="648"/>
      <c r="T401" s="649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IFERROR(IF(Y401=0,"",ROUNDUP(Y401/H401,0)*0.01898),"")</f>
        <v/>
      </c>
      <c r="AA401" s="65" t="s">
        <v>46</v>
      </c>
      <c r="AB401" s="66" t="s">
        <v>46</v>
      </c>
      <c r="AC401" s="481" t="s">
        <v>655</v>
      </c>
      <c r="AG401" s="75"/>
      <c r="AJ401" s="79" t="s">
        <v>46</v>
      </c>
      <c r="AK401" s="79">
        <v>0</v>
      </c>
      <c r="BB401" s="482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37.5" customHeight="1" x14ac:dyDescent="0.25">
      <c r="A402" s="60" t="s">
        <v>656</v>
      </c>
      <c r="B402" s="60" t="s">
        <v>657</v>
      </c>
      <c r="C402" s="34">
        <v>4301011871</v>
      </c>
      <c r="D402" s="646">
        <v>4680115884908</v>
      </c>
      <c r="E402" s="646"/>
      <c r="F402" s="59">
        <v>0.4</v>
      </c>
      <c r="G402" s="35">
        <v>10</v>
      </c>
      <c r="H402" s="59">
        <v>4</v>
      </c>
      <c r="I402" s="59">
        <v>4.1900000000000004</v>
      </c>
      <c r="J402" s="35">
        <v>132</v>
      </c>
      <c r="K402" s="35" t="s">
        <v>137</v>
      </c>
      <c r="L402" s="35" t="s">
        <v>46</v>
      </c>
      <c r="M402" s="36" t="s">
        <v>81</v>
      </c>
      <c r="N402" s="36"/>
      <c r="O402" s="35">
        <v>60</v>
      </c>
      <c r="P402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483" t="s">
        <v>655</v>
      </c>
      <c r="AG402" s="75"/>
      <c r="AJ402" s="79" t="s">
        <v>46</v>
      </c>
      <c r="AK402" s="79">
        <v>0</v>
      </c>
      <c r="BB402" s="484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x14ac:dyDescent="0.2">
      <c r="A403" s="654"/>
      <c r="B403" s="654"/>
      <c r="C403" s="654"/>
      <c r="D403" s="654"/>
      <c r="E403" s="654"/>
      <c r="F403" s="654"/>
      <c r="G403" s="654"/>
      <c r="H403" s="654"/>
      <c r="I403" s="654"/>
      <c r="J403" s="654"/>
      <c r="K403" s="654"/>
      <c r="L403" s="654"/>
      <c r="M403" s="654"/>
      <c r="N403" s="654"/>
      <c r="O403" s="655"/>
      <c r="P403" s="651" t="s">
        <v>40</v>
      </c>
      <c r="Q403" s="652"/>
      <c r="R403" s="652"/>
      <c r="S403" s="652"/>
      <c r="T403" s="652"/>
      <c r="U403" s="652"/>
      <c r="V403" s="653"/>
      <c r="W403" s="40" t="s">
        <v>39</v>
      </c>
      <c r="X403" s="41">
        <f>IFERROR(X401/H401,"0")+IFERROR(X402/H402,"0")</f>
        <v>0</v>
      </c>
      <c r="Y403" s="41">
        <f>IFERROR(Y401/H401,"0")+IFERROR(Y402/H402,"0")</f>
        <v>0</v>
      </c>
      <c r="Z403" s="41">
        <f>IFERROR(IF(Z401="",0,Z401),"0")+IFERROR(IF(Z402="",0,Z402),"0")</f>
        <v>0</v>
      </c>
      <c r="AA403" s="64"/>
      <c r="AB403" s="64"/>
      <c r="AC403" s="64"/>
    </row>
    <row r="404" spans="1:68" x14ac:dyDescent="0.2">
      <c r="A404" s="654"/>
      <c r="B404" s="654"/>
      <c r="C404" s="654"/>
      <c r="D404" s="654"/>
      <c r="E404" s="654"/>
      <c r="F404" s="654"/>
      <c r="G404" s="654"/>
      <c r="H404" s="654"/>
      <c r="I404" s="654"/>
      <c r="J404" s="654"/>
      <c r="K404" s="654"/>
      <c r="L404" s="654"/>
      <c r="M404" s="654"/>
      <c r="N404" s="654"/>
      <c r="O404" s="655"/>
      <c r="P404" s="651" t="s">
        <v>40</v>
      </c>
      <c r="Q404" s="652"/>
      <c r="R404" s="652"/>
      <c r="S404" s="652"/>
      <c r="T404" s="652"/>
      <c r="U404" s="652"/>
      <c r="V404" s="653"/>
      <c r="W404" s="40" t="s">
        <v>0</v>
      </c>
      <c r="X404" s="41">
        <f>IFERROR(SUM(X401:X402),"0")</f>
        <v>0</v>
      </c>
      <c r="Y404" s="41">
        <f>IFERROR(SUM(Y401:Y402),"0")</f>
        <v>0</v>
      </c>
      <c r="Z404" s="40"/>
      <c r="AA404" s="64"/>
      <c r="AB404" s="64"/>
      <c r="AC404" s="64"/>
    </row>
    <row r="405" spans="1:68" ht="14.25" customHeight="1" x14ac:dyDescent="0.25">
      <c r="A405" s="645" t="s">
        <v>77</v>
      </c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5"/>
      <c r="P405" s="645"/>
      <c r="Q405" s="645"/>
      <c r="R405" s="645"/>
      <c r="S405" s="645"/>
      <c r="T405" s="645"/>
      <c r="U405" s="645"/>
      <c r="V405" s="645"/>
      <c r="W405" s="645"/>
      <c r="X405" s="645"/>
      <c r="Y405" s="645"/>
      <c r="Z405" s="645"/>
      <c r="AA405" s="63"/>
      <c r="AB405" s="63"/>
      <c r="AC405" s="63"/>
    </row>
    <row r="406" spans="1:68" ht="27" customHeight="1" x14ac:dyDescent="0.25">
      <c r="A406" s="60" t="s">
        <v>658</v>
      </c>
      <c r="B406" s="60" t="s">
        <v>659</v>
      </c>
      <c r="C406" s="34">
        <v>4301031457</v>
      </c>
      <c r="D406" s="646">
        <v>4607091384802</v>
      </c>
      <c r="E406" s="646"/>
      <c r="F406" s="59">
        <v>0.7</v>
      </c>
      <c r="G406" s="35">
        <v>6</v>
      </c>
      <c r="H406" s="59">
        <v>4.2</v>
      </c>
      <c r="I406" s="59">
        <v>4.45</v>
      </c>
      <c r="J406" s="35">
        <v>132</v>
      </c>
      <c r="K406" s="35" t="s">
        <v>137</v>
      </c>
      <c r="L406" s="35" t="s">
        <v>46</v>
      </c>
      <c r="M406" s="36" t="s">
        <v>81</v>
      </c>
      <c r="N406" s="36"/>
      <c r="O406" s="35">
        <v>50</v>
      </c>
      <c r="P406" s="85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06" s="648"/>
      <c r="R406" s="648"/>
      <c r="S406" s="648"/>
      <c r="T406" s="649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85" t="s">
        <v>660</v>
      </c>
      <c r="AG406" s="75"/>
      <c r="AJ406" s="79" t="s">
        <v>46</v>
      </c>
      <c r="AK406" s="79">
        <v>0</v>
      </c>
      <c r="BB406" s="486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x14ac:dyDescent="0.2">
      <c r="A407" s="654"/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5"/>
      <c r="P407" s="651" t="s">
        <v>40</v>
      </c>
      <c r="Q407" s="652"/>
      <c r="R407" s="652"/>
      <c r="S407" s="652"/>
      <c r="T407" s="652"/>
      <c r="U407" s="652"/>
      <c r="V407" s="653"/>
      <c r="W407" s="40" t="s">
        <v>39</v>
      </c>
      <c r="X407" s="41">
        <f>IFERROR(X406/H406,"0")</f>
        <v>0</v>
      </c>
      <c r="Y407" s="41">
        <f>IFERROR(Y406/H406,"0")</f>
        <v>0</v>
      </c>
      <c r="Z407" s="41">
        <f>IFERROR(IF(Z406="",0,Z406),"0")</f>
        <v>0</v>
      </c>
      <c r="AA407" s="64"/>
      <c r="AB407" s="64"/>
      <c r="AC407" s="64"/>
    </row>
    <row r="408" spans="1:68" x14ac:dyDescent="0.2">
      <c r="A408" s="654"/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5"/>
      <c r="P408" s="651" t="s">
        <v>40</v>
      </c>
      <c r="Q408" s="652"/>
      <c r="R408" s="652"/>
      <c r="S408" s="652"/>
      <c r="T408" s="652"/>
      <c r="U408" s="652"/>
      <c r="V408" s="653"/>
      <c r="W408" s="40" t="s">
        <v>0</v>
      </c>
      <c r="X408" s="41">
        <f>IFERROR(SUM(X406:X406),"0")</f>
        <v>0</v>
      </c>
      <c r="Y408" s="41">
        <f>IFERROR(SUM(Y406:Y406),"0")</f>
        <v>0</v>
      </c>
      <c r="Z408" s="40"/>
      <c r="AA408" s="64"/>
      <c r="AB408" s="64"/>
      <c r="AC408" s="64"/>
    </row>
    <row r="409" spans="1:68" ht="14.25" customHeight="1" x14ac:dyDescent="0.25">
      <c r="A409" s="645" t="s">
        <v>87</v>
      </c>
      <c r="B409" s="645"/>
      <c r="C409" s="645"/>
      <c r="D409" s="645"/>
      <c r="E409" s="645"/>
      <c r="F409" s="645"/>
      <c r="G409" s="645"/>
      <c r="H409" s="645"/>
      <c r="I409" s="645"/>
      <c r="J409" s="645"/>
      <c r="K409" s="645"/>
      <c r="L409" s="645"/>
      <c r="M409" s="645"/>
      <c r="N409" s="645"/>
      <c r="O409" s="645"/>
      <c r="P409" s="645"/>
      <c r="Q409" s="645"/>
      <c r="R409" s="645"/>
      <c r="S409" s="645"/>
      <c r="T409" s="645"/>
      <c r="U409" s="645"/>
      <c r="V409" s="645"/>
      <c r="W409" s="645"/>
      <c r="X409" s="645"/>
      <c r="Y409" s="645"/>
      <c r="Z409" s="645"/>
      <c r="AA409" s="63"/>
      <c r="AB409" s="63"/>
      <c r="AC409" s="63"/>
    </row>
    <row r="410" spans="1:68" ht="27" customHeight="1" x14ac:dyDescent="0.25">
      <c r="A410" s="60" t="s">
        <v>661</v>
      </c>
      <c r="B410" s="60" t="s">
        <v>662</v>
      </c>
      <c r="C410" s="34">
        <v>4301051899</v>
      </c>
      <c r="D410" s="646">
        <v>4607091384246</v>
      </c>
      <c r="E410" s="646"/>
      <c r="F410" s="59">
        <v>1.5</v>
      </c>
      <c r="G410" s="35">
        <v>6</v>
      </c>
      <c r="H410" s="59">
        <v>9</v>
      </c>
      <c r="I410" s="59">
        <v>9.4939999999999998</v>
      </c>
      <c r="J410" s="35">
        <v>64</v>
      </c>
      <c r="K410" s="35" t="s">
        <v>130</v>
      </c>
      <c r="L410" s="35" t="s">
        <v>46</v>
      </c>
      <c r="M410" s="36" t="s">
        <v>91</v>
      </c>
      <c r="N410" s="36"/>
      <c r="O410" s="35">
        <v>40</v>
      </c>
      <c r="P410" s="8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18</v>
      </c>
      <c r="Y410" s="53">
        <f>IFERROR(IF(X410="",0,CEILING((X410/$H410),1)*$H410),"")</f>
        <v>18</v>
      </c>
      <c r="Z410" s="39">
        <f>IFERROR(IF(Y410=0,"",ROUNDUP(Y410/H410,0)*0.01898),"")</f>
        <v>3.7960000000000001E-2</v>
      </c>
      <c r="AA410" s="65" t="s">
        <v>46</v>
      </c>
      <c r="AB410" s="66" t="s">
        <v>46</v>
      </c>
      <c r="AC410" s="487" t="s">
        <v>663</v>
      </c>
      <c r="AG410" s="75"/>
      <c r="AJ410" s="79" t="s">
        <v>46</v>
      </c>
      <c r="AK410" s="79">
        <v>0</v>
      </c>
      <c r="BB410" s="488" t="s">
        <v>67</v>
      </c>
      <c r="BM410" s="75">
        <f>IFERROR(X410*I410/H410,"0")</f>
        <v>18.988</v>
      </c>
      <c r="BN410" s="75">
        <f>IFERROR(Y410*I410/H410,"0")</f>
        <v>18.988</v>
      </c>
      <c r="BO410" s="75">
        <f>IFERROR(1/J410*(X410/H410),"0")</f>
        <v>3.125E-2</v>
      </c>
      <c r="BP410" s="75">
        <f>IFERROR(1/J410*(Y410/H410),"0")</f>
        <v>3.125E-2</v>
      </c>
    </row>
    <row r="411" spans="1:68" ht="27" customHeight="1" x14ac:dyDescent="0.25">
      <c r="A411" s="60" t="s">
        <v>664</v>
      </c>
      <c r="B411" s="60" t="s">
        <v>665</v>
      </c>
      <c r="C411" s="34">
        <v>4301051660</v>
      </c>
      <c r="D411" s="646">
        <v>4607091384253</v>
      </c>
      <c r="E411" s="646"/>
      <c r="F411" s="59">
        <v>0.4</v>
      </c>
      <c r="G411" s="35">
        <v>6</v>
      </c>
      <c r="H411" s="59">
        <v>2.4</v>
      </c>
      <c r="I411" s="59">
        <v>2.6640000000000001</v>
      </c>
      <c r="J411" s="35">
        <v>182</v>
      </c>
      <c r="K411" s="35" t="s">
        <v>82</v>
      </c>
      <c r="L411" s="35" t="s">
        <v>46</v>
      </c>
      <c r="M411" s="36" t="s">
        <v>91</v>
      </c>
      <c r="N411" s="36"/>
      <c r="O411" s="35">
        <v>40</v>
      </c>
      <c r="P411" s="8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1" s="648"/>
      <c r="R411" s="648"/>
      <c r="S411" s="648"/>
      <c r="T411" s="649"/>
      <c r="U411" s="37" t="s">
        <v>46</v>
      </c>
      <c r="V411" s="37" t="s">
        <v>46</v>
      </c>
      <c r="W411" s="38" t="s">
        <v>0</v>
      </c>
      <c r="X411" s="56">
        <v>2.4</v>
      </c>
      <c r="Y411" s="53">
        <f>IFERROR(IF(X411="",0,CEILING((X411/$H411),1)*$H411),"")</f>
        <v>2.4</v>
      </c>
      <c r="Z411" s="39">
        <f>IFERROR(IF(Y411=0,"",ROUNDUP(Y411/H411,0)*0.00651),"")</f>
        <v>6.5100000000000002E-3</v>
      </c>
      <c r="AA411" s="65" t="s">
        <v>46</v>
      </c>
      <c r="AB411" s="66" t="s">
        <v>46</v>
      </c>
      <c r="AC411" s="489" t="s">
        <v>663</v>
      </c>
      <c r="AG411" s="75"/>
      <c r="AJ411" s="79" t="s">
        <v>46</v>
      </c>
      <c r="AK411" s="79">
        <v>0</v>
      </c>
      <c r="BB411" s="490" t="s">
        <v>67</v>
      </c>
      <c r="BM411" s="75">
        <f>IFERROR(X411*I411/H411,"0")</f>
        <v>2.6640000000000001</v>
      </c>
      <c r="BN411" s="75">
        <f>IFERROR(Y411*I411/H411,"0")</f>
        <v>2.6640000000000001</v>
      </c>
      <c r="BO411" s="75">
        <f>IFERROR(1/J411*(X411/H411),"0")</f>
        <v>5.4945054945054949E-3</v>
      </c>
      <c r="BP411" s="75">
        <f>IFERROR(1/J411*(Y411/H411),"0")</f>
        <v>5.4945054945054949E-3</v>
      </c>
    </row>
    <row r="412" spans="1:68" ht="27" customHeight="1" x14ac:dyDescent="0.25">
      <c r="A412" s="60" t="s">
        <v>664</v>
      </c>
      <c r="B412" s="60" t="s">
        <v>666</v>
      </c>
      <c r="C412" s="34">
        <v>4301052069</v>
      </c>
      <c r="D412" s="646">
        <v>4607091384253</v>
      </c>
      <c r="E412" s="646"/>
      <c r="F412" s="59">
        <v>0.4</v>
      </c>
      <c r="G412" s="35">
        <v>6</v>
      </c>
      <c r="H412" s="59">
        <v>2.4</v>
      </c>
      <c r="I412" s="59">
        <v>2.6640000000000001</v>
      </c>
      <c r="J412" s="35">
        <v>182</v>
      </c>
      <c r="K412" s="35" t="s">
        <v>82</v>
      </c>
      <c r="L412" s="35" t="s">
        <v>46</v>
      </c>
      <c r="M412" s="36" t="s">
        <v>91</v>
      </c>
      <c r="N412" s="36"/>
      <c r="O412" s="35">
        <v>40</v>
      </c>
      <c r="P412" s="85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12" s="648"/>
      <c r="R412" s="648"/>
      <c r="S412" s="648"/>
      <c r="T412" s="649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IFERROR(IF(Y412=0,"",ROUNDUP(Y412/H412,0)*0.00651),"")</f>
        <v/>
      </c>
      <c r="AA412" s="65" t="s">
        <v>46</v>
      </c>
      <c r="AB412" s="66" t="s">
        <v>46</v>
      </c>
      <c r="AC412" s="491" t="s">
        <v>667</v>
      </c>
      <c r="AG412" s="75"/>
      <c r="AJ412" s="79" t="s">
        <v>46</v>
      </c>
      <c r="AK412" s="79">
        <v>0</v>
      </c>
      <c r="BB412" s="492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54"/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5"/>
      <c r="P413" s="651" t="s">
        <v>40</v>
      </c>
      <c r="Q413" s="652"/>
      <c r="R413" s="652"/>
      <c r="S413" s="652"/>
      <c r="T413" s="652"/>
      <c r="U413" s="652"/>
      <c r="V413" s="653"/>
      <c r="W413" s="40" t="s">
        <v>39</v>
      </c>
      <c r="X413" s="41">
        <f>IFERROR(X410/H410,"0")+IFERROR(X411/H411,"0")+IFERROR(X412/H412,"0")</f>
        <v>3</v>
      </c>
      <c r="Y413" s="41">
        <f>IFERROR(Y410/H410,"0")+IFERROR(Y411/H411,"0")+IFERROR(Y412/H412,"0")</f>
        <v>3</v>
      </c>
      <c r="Z413" s="41">
        <f>IFERROR(IF(Z410="",0,Z410),"0")+IFERROR(IF(Z411="",0,Z411),"0")+IFERROR(IF(Z412="",0,Z412),"0")</f>
        <v>4.4470000000000003E-2</v>
      </c>
      <c r="AA413" s="64"/>
      <c r="AB413" s="64"/>
      <c r="AC413" s="64"/>
    </row>
    <row r="414" spans="1:68" x14ac:dyDescent="0.2">
      <c r="A414" s="654"/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5"/>
      <c r="P414" s="651" t="s">
        <v>40</v>
      </c>
      <c r="Q414" s="652"/>
      <c r="R414" s="652"/>
      <c r="S414" s="652"/>
      <c r="T414" s="652"/>
      <c r="U414" s="652"/>
      <c r="V414" s="653"/>
      <c r="W414" s="40" t="s">
        <v>0</v>
      </c>
      <c r="X414" s="41">
        <f>IFERROR(SUM(X410:X412),"0")</f>
        <v>20.399999999999999</v>
      </c>
      <c r="Y414" s="41">
        <f>IFERROR(SUM(Y410:Y412),"0")</f>
        <v>20.399999999999999</v>
      </c>
      <c r="Z414" s="40"/>
      <c r="AA414" s="64"/>
      <c r="AB414" s="64"/>
      <c r="AC414" s="64"/>
    </row>
    <row r="415" spans="1:68" ht="27.75" customHeight="1" x14ac:dyDescent="0.2">
      <c r="A415" s="643" t="s">
        <v>668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52"/>
      <c r="AB415" s="52"/>
      <c r="AC415" s="52"/>
    </row>
    <row r="416" spans="1:68" ht="16.5" customHeight="1" x14ac:dyDescent="0.25">
      <c r="A416" s="644" t="s">
        <v>669</v>
      </c>
      <c r="B416" s="644"/>
      <c r="C416" s="644"/>
      <c r="D416" s="644"/>
      <c r="E416" s="644"/>
      <c r="F416" s="644"/>
      <c r="G416" s="644"/>
      <c r="H416" s="644"/>
      <c r="I416" s="644"/>
      <c r="J416" s="644"/>
      <c r="K416" s="644"/>
      <c r="L416" s="644"/>
      <c r="M416" s="644"/>
      <c r="N416" s="644"/>
      <c r="O416" s="644"/>
      <c r="P416" s="644"/>
      <c r="Q416" s="644"/>
      <c r="R416" s="644"/>
      <c r="S416" s="644"/>
      <c r="T416" s="644"/>
      <c r="U416" s="644"/>
      <c r="V416" s="644"/>
      <c r="W416" s="644"/>
      <c r="X416" s="644"/>
      <c r="Y416" s="644"/>
      <c r="Z416" s="644"/>
      <c r="AA416" s="62"/>
      <c r="AB416" s="62"/>
      <c r="AC416" s="62"/>
    </row>
    <row r="417" spans="1:68" ht="14.25" customHeight="1" x14ac:dyDescent="0.25">
      <c r="A417" s="645" t="s">
        <v>77</v>
      </c>
      <c r="B417" s="645"/>
      <c r="C417" s="645"/>
      <c r="D417" s="645"/>
      <c r="E417" s="645"/>
      <c r="F417" s="645"/>
      <c r="G417" s="645"/>
      <c r="H417" s="645"/>
      <c r="I417" s="645"/>
      <c r="J417" s="645"/>
      <c r="K417" s="645"/>
      <c r="L417" s="645"/>
      <c r="M417" s="645"/>
      <c r="N417" s="645"/>
      <c r="O417" s="645"/>
      <c r="P417" s="645"/>
      <c r="Q417" s="645"/>
      <c r="R417" s="645"/>
      <c r="S417" s="645"/>
      <c r="T417" s="645"/>
      <c r="U417" s="645"/>
      <c r="V417" s="645"/>
      <c r="W417" s="645"/>
      <c r="X417" s="645"/>
      <c r="Y417" s="645"/>
      <c r="Z417" s="645"/>
      <c r="AA417" s="63"/>
      <c r="AB417" s="63"/>
      <c r="AC417" s="63"/>
    </row>
    <row r="418" spans="1:68" ht="27" customHeight="1" x14ac:dyDescent="0.25">
      <c r="A418" s="60" t="s">
        <v>670</v>
      </c>
      <c r="B418" s="60" t="s">
        <v>671</v>
      </c>
      <c r="C418" s="34">
        <v>4301031405</v>
      </c>
      <c r="D418" s="646">
        <v>4680115886100</v>
      </c>
      <c r="E418" s="646"/>
      <c r="F418" s="59">
        <v>0.9</v>
      </c>
      <c r="G418" s="35">
        <v>6</v>
      </c>
      <c r="H418" s="59">
        <v>5.4</v>
      </c>
      <c r="I418" s="59">
        <v>5.59</v>
      </c>
      <c r="J418" s="35">
        <v>132</v>
      </c>
      <c r="K418" s="35" t="s">
        <v>137</v>
      </c>
      <c r="L418" s="35" t="s">
        <v>46</v>
      </c>
      <c r="M418" s="36" t="s">
        <v>81</v>
      </c>
      <c r="N418" s="36"/>
      <c r="O418" s="35">
        <v>50</v>
      </c>
      <c r="P418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8" s="648"/>
      <c r="R418" s="648"/>
      <c r="S418" s="648"/>
      <c r="T418" s="649"/>
      <c r="U418" s="37" t="s">
        <v>46</v>
      </c>
      <c r="V418" s="37" t="s">
        <v>46</v>
      </c>
      <c r="W418" s="38" t="s">
        <v>0</v>
      </c>
      <c r="X418" s="56">
        <v>21.6</v>
      </c>
      <c r="Y418" s="53">
        <f t="shared" ref="Y418:Y424" si="58">IFERROR(IF(X418="",0,CEILING((X418/$H418),1)*$H418),"")</f>
        <v>21.6</v>
      </c>
      <c r="Z418" s="39">
        <f>IFERROR(IF(Y418=0,"",ROUNDUP(Y418/H418,0)*0.00902),"")</f>
        <v>3.6080000000000001E-2</v>
      </c>
      <c r="AA418" s="65" t="s">
        <v>46</v>
      </c>
      <c r="AB418" s="66" t="s">
        <v>46</v>
      </c>
      <c r="AC418" s="493" t="s">
        <v>672</v>
      </c>
      <c r="AG418" s="75"/>
      <c r="AJ418" s="79" t="s">
        <v>46</v>
      </c>
      <c r="AK418" s="79">
        <v>0</v>
      </c>
      <c r="BB418" s="494" t="s">
        <v>67</v>
      </c>
      <c r="BM418" s="75">
        <f t="shared" ref="BM418:BM424" si="59">IFERROR(X418*I418/H418,"0")</f>
        <v>22.36</v>
      </c>
      <c r="BN418" s="75">
        <f t="shared" ref="BN418:BN424" si="60">IFERROR(Y418*I418/H418,"0")</f>
        <v>22.36</v>
      </c>
      <c r="BO418" s="75">
        <f t="shared" ref="BO418:BO424" si="61">IFERROR(1/J418*(X418/H418),"0")</f>
        <v>3.0303030303030304E-2</v>
      </c>
      <c r="BP418" s="75">
        <f t="shared" ref="BP418:BP424" si="62">IFERROR(1/J418*(Y418/H418),"0")</f>
        <v>3.0303030303030304E-2</v>
      </c>
    </row>
    <row r="419" spans="1:68" ht="27" customHeight="1" x14ac:dyDescent="0.25">
      <c r="A419" s="60" t="s">
        <v>673</v>
      </c>
      <c r="B419" s="60" t="s">
        <v>674</v>
      </c>
      <c r="C419" s="34">
        <v>4301031406</v>
      </c>
      <c r="D419" s="646">
        <v>4680115886117</v>
      </c>
      <c r="E419" s="646"/>
      <c r="F419" s="59">
        <v>0.9</v>
      </c>
      <c r="G419" s="35">
        <v>6</v>
      </c>
      <c r="H419" s="59">
        <v>5.4</v>
      </c>
      <c r="I419" s="59">
        <v>5.59</v>
      </c>
      <c r="J419" s="35">
        <v>132</v>
      </c>
      <c r="K419" s="35" t="s">
        <v>137</v>
      </c>
      <c r="L419" s="35" t="s">
        <v>46</v>
      </c>
      <c r="M419" s="36" t="s">
        <v>81</v>
      </c>
      <c r="N419" s="36"/>
      <c r="O419" s="35">
        <v>50</v>
      </c>
      <c r="P419" s="8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9" s="648"/>
      <c r="R419" s="648"/>
      <c r="S419" s="648"/>
      <c r="T419" s="649"/>
      <c r="U419" s="37" t="s">
        <v>46</v>
      </c>
      <c r="V419" s="37" t="s">
        <v>46</v>
      </c>
      <c r="W419" s="38" t="s">
        <v>0</v>
      </c>
      <c r="X419" s="56">
        <v>0</v>
      </c>
      <c r="Y419" s="53">
        <f t="shared" si="58"/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495" t="s">
        <v>675</v>
      </c>
      <c r="AG419" s="75"/>
      <c r="AJ419" s="79" t="s">
        <v>46</v>
      </c>
      <c r="AK419" s="79">
        <v>0</v>
      </c>
      <c r="BB419" s="496" t="s">
        <v>67</v>
      </c>
      <c r="BM419" s="75">
        <f t="shared" si="59"/>
        <v>0</v>
      </c>
      <c r="BN419" s="75">
        <f t="shared" si="60"/>
        <v>0</v>
      </c>
      <c r="BO419" s="75">
        <f t="shared" si="61"/>
        <v>0</v>
      </c>
      <c r="BP419" s="75">
        <f t="shared" si="62"/>
        <v>0</v>
      </c>
    </row>
    <row r="420" spans="1:68" ht="27" customHeight="1" x14ac:dyDescent="0.25">
      <c r="A420" s="60" t="s">
        <v>676</v>
      </c>
      <c r="B420" s="60" t="s">
        <v>677</v>
      </c>
      <c r="C420" s="34">
        <v>4301031402</v>
      </c>
      <c r="D420" s="646">
        <v>4680115886124</v>
      </c>
      <c r="E420" s="646"/>
      <c r="F420" s="59">
        <v>0.9</v>
      </c>
      <c r="G420" s="35">
        <v>6</v>
      </c>
      <c r="H420" s="59">
        <v>5.4</v>
      </c>
      <c r="I420" s="59">
        <v>5.59</v>
      </c>
      <c r="J420" s="35">
        <v>132</v>
      </c>
      <c r="K420" s="35" t="s">
        <v>137</v>
      </c>
      <c r="L420" s="35" t="s">
        <v>46</v>
      </c>
      <c r="M420" s="36" t="s">
        <v>81</v>
      </c>
      <c r="N420" s="36"/>
      <c r="O420" s="35">
        <v>50</v>
      </c>
      <c r="P420" s="8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20" s="648"/>
      <c r="R420" s="648"/>
      <c r="S420" s="648"/>
      <c r="T420" s="649"/>
      <c r="U420" s="37" t="s">
        <v>46</v>
      </c>
      <c r="V420" s="37" t="s">
        <v>46</v>
      </c>
      <c r="W420" s="38" t="s">
        <v>0</v>
      </c>
      <c r="X420" s="56">
        <v>21.6</v>
      </c>
      <c r="Y420" s="53">
        <f t="shared" si="58"/>
        <v>21.6</v>
      </c>
      <c r="Z420" s="39">
        <f>IFERROR(IF(Y420=0,"",ROUNDUP(Y420/H420,0)*0.00902),"")</f>
        <v>3.6080000000000001E-2</v>
      </c>
      <c r="AA420" s="65" t="s">
        <v>46</v>
      </c>
      <c r="AB420" s="66" t="s">
        <v>46</v>
      </c>
      <c r="AC420" s="497" t="s">
        <v>678</v>
      </c>
      <c r="AG420" s="75"/>
      <c r="AJ420" s="79" t="s">
        <v>46</v>
      </c>
      <c r="AK420" s="79">
        <v>0</v>
      </c>
      <c r="BB420" s="498" t="s">
        <v>67</v>
      </c>
      <c r="BM420" s="75">
        <f t="shared" si="59"/>
        <v>22.36</v>
      </c>
      <c r="BN420" s="75">
        <f t="shared" si="60"/>
        <v>22.36</v>
      </c>
      <c r="BO420" s="75">
        <f t="shared" si="61"/>
        <v>3.0303030303030304E-2</v>
      </c>
      <c r="BP420" s="75">
        <f t="shared" si="62"/>
        <v>3.0303030303030304E-2</v>
      </c>
    </row>
    <row r="421" spans="1:68" ht="27" customHeight="1" x14ac:dyDescent="0.25">
      <c r="A421" s="60" t="s">
        <v>679</v>
      </c>
      <c r="B421" s="60" t="s">
        <v>680</v>
      </c>
      <c r="C421" s="34">
        <v>4301031362</v>
      </c>
      <c r="D421" s="646">
        <v>4607091384338</v>
      </c>
      <c r="E421" s="646"/>
      <c r="F421" s="59">
        <v>0.35</v>
      </c>
      <c r="G421" s="35">
        <v>6</v>
      </c>
      <c r="H421" s="59">
        <v>2.1</v>
      </c>
      <c r="I421" s="59">
        <v>2.23</v>
      </c>
      <c r="J421" s="35">
        <v>234</v>
      </c>
      <c r="K421" s="35" t="s">
        <v>86</v>
      </c>
      <c r="L421" s="35" t="s">
        <v>46</v>
      </c>
      <c r="M421" s="36" t="s">
        <v>81</v>
      </c>
      <c r="N421" s="36"/>
      <c r="O421" s="35">
        <v>50</v>
      </c>
      <c r="P421" s="86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21" s="648"/>
      <c r="R421" s="648"/>
      <c r="S421" s="648"/>
      <c r="T421" s="649"/>
      <c r="U421" s="37" t="s">
        <v>46</v>
      </c>
      <c r="V421" s="37" t="s">
        <v>46</v>
      </c>
      <c r="W421" s="38" t="s">
        <v>0</v>
      </c>
      <c r="X421" s="56">
        <v>8.4</v>
      </c>
      <c r="Y421" s="53">
        <f t="shared" si="58"/>
        <v>8.4</v>
      </c>
      <c r="Z421" s="39">
        <f>IFERROR(IF(Y421=0,"",ROUNDUP(Y421/H421,0)*0.00502),"")</f>
        <v>2.0080000000000001E-2</v>
      </c>
      <c r="AA421" s="65" t="s">
        <v>46</v>
      </c>
      <c r="AB421" s="66" t="s">
        <v>46</v>
      </c>
      <c r="AC421" s="499" t="s">
        <v>672</v>
      </c>
      <c r="AG421" s="75"/>
      <c r="AJ421" s="79" t="s">
        <v>46</v>
      </c>
      <c r="AK421" s="79">
        <v>0</v>
      </c>
      <c r="BB421" s="500" t="s">
        <v>67</v>
      </c>
      <c r="BM421" s="75">
        <f t="shared" si="59"/>
        <v>8.92</v>
      </c>
      <c r="BN421" s="75">
        <f t="shared" si="60"/>
        <v>8.92</v>
      </c>
      <c r="BO421" s="75">
        <f t="shared" si="61"/>
        <v>1.7094017094017096E-2</v>
      </c>
      <c r="BP421" s="75">
        <f t="shared" si="62"/>
        <v>1.7094017094017096E-2</v>
      </c>
    </row>
    <row r="422" spans="1:68" ht="27" customHeight="1" x14ac:dyDescent="0.25">
      <c r="A422" s="60" t="s">
        <v>681</v>
      </c>
      <c r="B422" s="60" t="s">
        <v>682</v>
      </c>
      <c r="C422" s="34">
        <v>4301031364</v>
      </c>
      <c r="D422" s="646">
        <v>4680115883161</v>
      </c>
      <c r="E422" s="646"/>
      <c r="F422" s="59">
        <v>0.28000000000000003</v>
      </c>
      <c r="G422" s="35">
        <v>6</v>
      </c>
      <c r="H422" s="59">
        <v>1.68</v>
      </c>
      <c r="I422" s="59">
        <v>1.81</v>
      </c>
      <c r="J422" s="35">
        <v>234</v>
      </c>
      <c r="K422" s="35" t="s">
        <v>86</v>
      </c>
      <c r="L422" s="35" t="s">
        <v>46</v>
      </c>
      <c r="M422" s="36" t="s">
        <v>81</v>
      </c>
      <c r="N422" s="36"/>
      <c r="O422" s="35">
        <v>50</v>
      </c>
      <c r="P422" s="86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22" s="648"/>
      <c r="R422" s="648"/>
      <c r="S422" s="648"/>
      <c r="T422" s="649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si="58"/>
        <v>0</v>
      </c>
      <c r="Z422" s="39" t="str">
        <f>IFERROR(IF(Y422=0,"",ROUNDUP(Y422/H422,0)*0.00502),"")</f>
        <v/>
      </c>
      <c r="AA422" s="65" t="s">
        <v>46</v>
      </c>
      <c r="AB422" s="66" t="s">
        <v>46</v>
      </c>
      <c r="AC422" s="501" t="s">
        <v>683</v>
      </c>
      <c r="AG422" s="75"/>
      <c r="AJ422" s="79" t="s">
        <v>46</v>
      </c>
      <c r="AK422" s="79">
        <v>0</v>
      </c>
      <c r="BB422" s="502" t="s">
        <v>67</v>
      </c>
      <c r="BM422" s="75">
        <f t="shared" si="59"/>
        <v>0</v>
      </c>
      <c r="BN422" s="75">
        <f t="shared" si="60"/>
        <v>0</v>
      </c>
      <c r="BO422" s="75">
        <f t="shared" si="61"/>
        <v>0</v>
      </c>
      <c r="BP422" s="75">
        <f t="shared" si="62"/>
        <v>0</v>
      </c>
    </row>
    <row r="423" spans="1:68" ht="27" customHeight="1" x14ac:dyDescent="0.25">
      <c r="A423" s="60" t="s">
        <v>684</v>
      </c>
      <c r="B423" s="60" t="s">
        <v>685</v>
      </c>
      <c r="C423" s="34">
        <v>4301031358</v>
      </c>
      <c r="D423" s="646">
        <v>4607091389531</v>
      </c>
      <c r="E423" s="646"/>
      <c r="F423" s="59">
        <v>0.35</v>
      </c>
      <c r="G423" s="35">
        <v>6</v>
      </c>
      <c r="H423" s="59">
        <v>2.1</v>
      </c>
      <c r="I423" s="59">
        <v>2.23</v>
      </c>
      <c r="J423" s="35">
        <v>234</v>
      </c>
      <c r="K423" s="35" t="s">
        <v>86</v>
      </c>
      <c r="L423" s="35" t="s">
        <v>46</v>
      </c>
      <c r="M423" s="36" t="s">
        <v>81</v>
      </c>
      <c r="N423" s="36"/>
      <c r="O423" s="35">
        <v>50</v>
      </c>
      <c r="P423" s="86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10.5</v>
      </c>
      <c r="Y423" s="53">
        <f t="shared" si="58"/>
        <v>10.5</v>
      </c>
      <c r="Z423" s="39">
        <f>IFERROR(IF(Y423=0,"",ROUNDUP(Y423/H423,0)*0.00502),"")</f>
        <v>2.5100000000000001E-2</v>
      </c>
      <c r="AA423" s="65" t="s">
        <v>46</v>
      </c>
      <c r="AB423" s="66" t="s">
        <v>46</v>
      </c>
      <c r="AC423" s="503" t="s">
        <v>686</v>
      </c>
      <c r="AG423" s="75"/>
      <c r="AJ423" s="79" t="s">
        <v>46</v>
      </c>
      <c r="AK423" s="79">
        <v>0</v>
      </c>
      <c r="BB423" s="504" t="s">
        <v>67</v>
      </c>
      <c r="BM423" s="75">
        <f t="shared" si="59"/>
        <v>11.149999999999999</v>
      </c>
      <c r="BN423" s="75">
        <f t="shared" si="60"/>
        <v>11.149999999999999</v>
      </c>
      <c r="BO423" s="75">
        <f t="shared" si="61"/>
        <v>2.1367521367521368E-2</v>
      </c>
      <c r="BP423" s="75">
        <f t="shared" si="62"/>
        <v>2.1367521367521368E-2</v>
      </c>
    </row>
    <row r="424" spans="1:68" ht="37.5" customHeight="1" x14ac:dyDescent="0.25">
      <c r="A424" s="60" t="s">
        <v>687</v>
      </c>
      <c r="B424" s="60" t="s">
        <v>688</v>
      </c>
      <c r="C424" s="34">
        <v>4301031360</v>
      </c>
      <c r="D424" s="646">
        <v>4607091384345</v>
      </c>
      <c r="E424" s="646"/>
      <c r="F424" s="59">
        <v>0.35</v>
      </c>
      <c r="G424" s="35">
        <v>6</v>
      </c>
      <c r="H424" s="59">
        <v>2.1</v>
      </c>
      <c r="I424" s="59">
        <v>2.23</v>
      </c>
      <c r="J424" s="35">
        <v>234</v>
      </c>
      <c r="K424" s="35" t="s">
        <v>86</v>
      </c>
      <c r="L424" s="35" t="s">
        <v>46</v>
      </c>
      <c r="M424" s="36" t="s">
        <v>81</v>
      </c>
      <c r="N424" s="36"/>
      <c r="O424" s="35">
        <v>50</v>
      </c>
      <c r="P424" s="86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8"/>
        <v>0</v>
      </c>
      <c r="Z424" s="39" t="str">
        <f>IFERROR(IF(Y424=0,"",ROUNDUP(Y424/H424,0)*0.00502),"")</f>
        <v/>
      </c>
      <c r="AA424" s="65" t="s">
        <v>46</v>
      </c>
      <c r="AB424" s="66" t="s">
        <v>46</v>
      </c>
      <c r="AC424" s="505" t="s">
        <v>683</v>
      </c>
      <c r="AG424" s="75"/>
      <c r="AJ424" s="79" t="s">
        <v>46</v>
      </c>
      <c r="AK424" s="79">
        <v>0</v>
      </c>
      <c r="BB424" s="506" t="s">
        <v>67</v>
      </c>
      <c r="BM424" s="75">
        <f t="shared" si="59"/>
        <v>0</v>
      </c>
      <c r="BN424" s="75">
        <f t="shared" si="60"/>
        <v>0</v>
      </c>
      <c r="BO424" s="75">
        <f t="shared" si="61"/>
        <v>0</v>
      </c>
      <c r="BP424" s="75">
        <f t="shared" si="62"/>
        <v>0</v>
      </c>
    </row>
    <row r="425" spans="1:68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51" t="s">
        <v>40</v>
      </c>
      <c r="Q425" s="652"/>
      <c r="R425" s="652"/>
      <c r="S425" s="652"/>
      <c r="T425" s="652"/>
      <c r="U425" s="652"/>
      <c r="V425" s="653"/>
      <c r="W425" s="40" t="s">
        <v>39</v>
      </c>
      <c r="X425" s="41">
        <f>IFERROR(X418/H418,"0")+IFERROR(X419/H419,"0")+IFERROR(X420/H420,"0")+IFERROR(X421/H421,"0")+IFERROR(X422/H422,"0")+IFERROR(X423/H423,"0")+IFERROR(X424/H424,"0")</f>
        <v>17</v>
      </c>
      <c r="Y425" s="41">
        <f>IFERROR(Y418/H418,"0")+IFERROR(Y419/H419,"0")+IFERROR(Y420/H420,"0")+IFERROR(Y421/H421,"0")+IFERROR(Y422/H422,"0")+IFERROR(Y423/H423,"0")+IFERROR(Y424/H424,"0")</f>
        <v>17</v>
      </c>
      <c r="Z425" s="41">
        <f>IFERROR(IF(Z418="",0,Z418),"0")+IFERROR(IF(Z419="",0,Z419),"0")+IFERROR(IF(Z420="",0,Z420),"0")+IFERROR(IF(Z421="",0,Z421),"0")+IFERROR(IF(Z422="",0,Z422),"0")+IFERROR(IF(Z423="",0,Z423),"0")+IFERROR(IF(Z424="",0,Z424),"0")</f>
        <v>0.11734</v>
      </c>
      <c r="AA425" s="64"/>
      <c r="AB425" s="64"/>
      <c r="AC425" s="64"/>
    </row>
    <row r="426" spans="1:68" x14ac:dyDescent="0.2">
      <c r="A426" s="654"/>
      <c r="B426" s="654"/>
      <c r="C426" s="654"/>
      <c r="D426" s="654"/>
      <c r="E426" s="654"/>
      <c r="F426" s="654"/>
      <c r="G426" s="654"/>
      <c r="H426" s="654"/>
      <c r="I426" s="654"/>
      <c r="J426" s="654"/>
      <c r="K426" s="654"/>
      <c r="L426" s="654"/>
      <c r="M426" s="654"/>
      <c r="N426" s="654"/>
      <c r="O426" s="655"/>
      <c r="P426" s="651" t="s">
        <v>40</v>
      </c>
      <c r="Q426" s="652"/>
      <c r="R426" s="652"/>
      <c r="S426" s="652"/>
      <c r="T426" s="652"/>
      <c r="U426" s="652"/>
      <c r="V426" s="653"/>
      <c r="W426" s="40" t="s">
        <v>0</v>
      </c>
      <c r="X426" s="41">
        <f>IFERROR(SUM(X418:X424),"0")</f>
        <v>62.1</v>
      </c>
      <c r="Y426" s="41">
        <f>IFERROR(SUM(Y418:Y424),"0")</f>
        <v>62.1</v>
      </c>
      <c r="Z426" s="40"/>
      <c r="AA426" s="64"/>
      <c r="AB426" s="64"/>
      <c r="AC426" s="64"/>
    </row>
    <row r="427" spans="1:68" ht="14.25" customHeight="1" x14ac:dyDescent="0.25">
      <c r="A427" s="645" t="s">
        <v>87</v>
      </c>
      <c r="B427" s="645"/>
      <c r="C427" s="645"/>
      <c r="D427" s="645"/>
      <c r="E427" s="645"/>
      <c r="F427" s="645"/>
      <c r="G427" s="645"/>
      <c r="H427" s="645"/>
      <c r="I427" s="645"/>
      <c r="J427" s="645"/>
      <c r="K427" s="645"/>
      <c r="L427" s="645"/>
      <c r="M427" s="645"/>
      <c r="N427" s="645"/>
      <c r="O427" s="645"/>
      <c r="P427" s="645"/>
      <c r="Q427" s="645"/>
      <c r="R427" s="645"/>
      <c r="S427" s="645"/>
      <c r="T427" s="645"/>
      <c r="U427" s="645"/>
      <c r="V427" s="645"/>
      <c r="W427" s="645"/>
      <c r="X427" s="645"/>
      <c r="Y427" s="645"/>
      <c r="Z427" s="645"/>
      <c r="AA427" s="63"/>
      <c r="AB427" s="63"/>
      <c r="AC427" s="63"/>
    </row>
    <row r="428" spans="1:68" ht="27" customHeight="1" x14ac:dyDescent="0.25">
      <c r="A428" s="60" t="s">
        <v>689</v>
      </c>
      <c r="B428" s="60" t="s">
        <v>690</v>
      </c>
      <c r="C428" s="34">
        <v>4301051284</v>
      </c>
      <c r="D428" s="646">
        <v>4607091384352</v>
      </c>
      <c r="E428" s="646"/>
      <c r="F428" s="59">
        <v>0.6</v>
      </c>
      <c r="G428" s="35">
        <v>4</v>
      </c>
      <c r="H428" s="59">
        <v>2.4</v>
      </c>
      <c r="I428" s="59">
        <v>2.6259999999999999</v>
      </c>
      <c r="J428" s="35">
        <v>132</v>
      </c>
      <c r="K428" s="35" t="s">
        <v>137</v>
      </c>
      <c r="L428" s="35" t="s">
        <v>46</v>
      </c>
      <c r="M428" s="36" t="s">
        <v>91</v>
      </c>
      <c r="N428" s="36"/>
      <c r="O428" s="35">
        <v>45</v>
      </c>
      <c r="P428" s="86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7" t="s">
        <v>691</v>
      </c>
      <c r="AG428" s="75"/>
      <c r="AJ428" s="79" t="s">
        <v>46</v>
      </c>
      <c r="AK428" s="79">
        <v>0</v>
      </c>
      <c r="BB428" s="508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t="27" customHeight="1" x14ac:dyDescent="0.25">
      <c r="A429" s="60" t="s">
        <v>692</v>
      </c>
      <c r="B429" s="60" t="s">
        <v>693</v>
      </c>
      <c r="C429" s="34">
        <v>4301051431</v>
      </c>
      <c r="D429" s="646">
        <v>4607091389654</v>
      </c>
      <c r="E429" s="646"/>
      <c r="F429" s="59">
        <v>0.33</v>
      </c>
      <c r="G429" s="35">
        <v>6</v>
      </c>
      <c r="H429" s="59">
        <v>1.98</v>
      </c>
      <c r="I429" s="59">
        <v>2.238</v>
      </c>
      <c r="J429" s="35">
        <v>182</v>
      </c>
      <c r="K429" s="35" t="s">
        <v>82</v>
      </c>
      <c r="L429" s="35" t="s">
        <v>46</v>
      </c>
      <c r="M429" s="36" t="s">
        <v>91</v>
      </c>
      <c r="N429" s="36"/>
      <c r="O429" s="35">
        <v>45</v>
      </c>
      <c r="P429" s="8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IFERROR(IF(Y429=0,"",ROUNDUP(Y429/H429,0)*0.00651),"")</f>
        <v/>
      </c>
      <c r="AA429" s="65" t="s">
        <v>46</v>
      </c>
      <c r="AB429" s="66" t="s">
        <v>46</v>
      </c>
      <c r="AC429" s="509" t="s">
        <v>694</v>
      </c>
      <c r="AG429" s="75"/>
      <c r="AJ429" s="79" t="s">
        <v>46</v>
      </c>
      <c r="AK429" s="79">
        <v>0</v>
      </c>
      <c r="BB429" s="510" t="s">
        <v>67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x14ac:dyDescent="0.2">
      <c r="A430" s="654"/>
      <c r="B430" s="654"/>
      <c r="C430" s="654"/>
      <c r="D430" s="654"/>
      <c r="E430" s="654"/>
      <c r="F430" s="654"/>
      <c r="G430" s="654"/>
      <c r="H430" s="654"/>
      <c r="I430" s="654"/>
      <c r="J430" s="654"/>
      <c r="K430" s="654"/>
      <c r="L430" s="654"/>
      <c r="M430" s="654"/>
      <c r="N430" s="654"/>
      <c r="O430" s="655"/>
      <c r="P430" s="651" t="s">
        <v>40</v>
      </c>
      <c r="Q430" s="652"/>
      <c r="R430" s="652"/>
      <c r="S430" s="652"/>
      <c r="T430" s="652"/>
      <c r="U430" s="652"/>
      <c r="V430" s="653"/>
      <c r="W430" s="40" t="s">
        <v>39</v>
      </c>
      <c r="X430" s="41">
        <f>IFERROR(X428/H428,"0")+IFERROR(X429/H429,"0")</f>
        <v>0</v>
      </c>
      <c r="Y430" s="41">
        <f>IFERROR(Y428/H428,"0")+IFERROR(Y429/H429,"0")</f>
        <v>0</v>
      </c>
      <c r="Z430" s="41">
        <f>IFERROR(IF(Z428="",0,Z428),"0")+IFERROR(IF(Z429="",0,Z429),"0")</f>
        <v>0</v>
      </c>
      <c r="AA430" s="64"/>
      <c r="AB430" s="64"/>
      <c r="AC430" s="64"/>
    </row>
    <row r="431" spans="1:68" x14ac:dyDescent="0.2">
      <c r="A431" s="654"/>
      <c r="B431" s="654"/>
      <c r="C431" s="654"/>
      <c r="D431" s="654"/>
      <c r="E431" s="654"/>
      <c r="F431" s="654"/>
      <c r="G431" s="654"/>
      <c r="H431" s="654"/>
      <c r="I431" s="654"/>
      <c r="J431" s="654"/>
      <c r="K431" s="654"/>
      <c r="L431" s="654"/>
      <c r="M431" s="654"/>
      <c r="N431" s="654"/>
      <c r="O431" s="655"/>
      <c r="P431" s="651" t="s">
        <v>40</v>
      </c>
      <c r="Q431" s="652"/>
      <c r="R431" s="652"/>
      <c r="S431" s="652"/>
      <c r="T431" s="652"/>
      <c r="U431" s="652"/>
      <c r="V431" s="653"/>
      <c r="W431" s="40" t="s">
        <v>0</v>
      </c>
      <c r="X431" s="41">
        <f>IFERROR(SUM(X428:X429),"0")</f>
        <v>0</v>
      </c>
      <c r="Y431" s="41">
        <f>IFERROR(SUM(Y428:Y429),"0")</f>
        <v>0</v>
      </c>
      <c r="Z431" s="40"/>
      <c r="AA431" s="64"/>
      <c r="AB431" s="64"/>
      <c r="AC431" s="64"/>
    </row>
    <row r="432" spans="1:68" ht="16.5" customHeight="1" x14ac:dyDescent="0.25">
      <c r="A432" s="644" t="s">
        <v>695</v>
      </c>
      <c r="B432" s="644"/>
      <c r="C432" s="644"/>
      <c r="D432" s="644"/>
      <c r="E432" s="644"/>
      <c r="F432" s="644"/>
      <c r="G432" s="644"/>
      <c r="H432" s="644"/>
      <c r="I432" s="644"/>
      <c r="J432" s="644"/>
      <c r="K432" s="644"/>
      <c r="L432" s="644"/>
      <c r="M432" s="644"/>
      <c r="N432" s="644"/>
      <c r="O432" s="644"/>
      <c r="P432" s="644"/>
      <c r="Q432" s="644"/>
      <c r="R432" s="644"/>
      <c r="S432" s="644"/>
      <c r="T432" s="644"/>
      <c r="U432" s="644"/>
      <c r="V432" s="644"/>
      <c r="W432" s="644"/>
      <c r="X432" s="644"/>
      <c r="Y432" s="644"/>
      <c r="Z432" s="644"/>
      <c r="AA432" s="62"/>
      <c r="AB432" s="62"/>
      <c r="AC432" s="62"/>
    </row>
    <row r="433" spans="1:68" ht="14.25" customHeight="1" x14ac:dyDescent="0.25">
      <c r="A433" s="645" t="s">
        <v>159</v>
      </c>
      <c r="B433" s="645"/>
      <c r="C433" s="645"/>
      <c r="D433" s="645"/>
      <c r="E433" s="645"/>
      <c r="F433" s="645"/>
      <c r="G433" s="645"/>
      <c r="H433" s="645"/>
      <c r="I433" s="645"/>
      <c r="J433" s="645"/>
      <c r="K433" s="645"/>
      <c r="L433" s="645"/>
      <c r="M433" s="645"/>
      <c r="N433" s="645"/>
      <c r="O433" s="645"/>
      <c r="P433" s="645"/>
      <c r="Q433" s="645"/>
      <c r="R433" s="645"/>
      <c r="S433" s="645"/>
      <c r="T433" s="645"/>
      <c r="U433" s="645"/>
      <c r="V433" s="645"/>
      <c r="W433" s="645"/>
      <c r="X433" s="645"/>
      <c r="Y433" s="645"/>
      <c r="Z433" s="645"/>
      <c r="AA433" s="63"/>
      <c r="AB433" s="63"/>
      <c r="AC433" s="63"/>
    </row>
    <row r="434" spans="1:68" ht="27" customHeight="1" x14ac:dyDescent="0.25">
      <c r="A434" s="60" t="s">
        <v>696</v>
      </c>
      <c r="B434" s="60" t="s">
        <v>697</v>
      </c>
      <c r="C434" s="34">
        <v>4301020416</v>
      </c>
      <c r="D434" s="646">
        <v>4680115885240</v>
      </c>
      <c r="E434" s="646"/>
      <c r="F434" s="59">
        <v>0.35</v>
      </c>
      <c r="G434" s="35">
        <v>6</v>
      </c>
      <c r="H434" s="59">
        <v>2.1</v>
      </c>
      <c r="I434" s="59">
        <v>2.31</v>
      </c>
      <c r="J434" s="35">
        <v>182</v>
      </c>
      <c r="K434" s="35" t="s">
        <v>82</v>
      </c>
      <c r="L434" s="35" t="s">
        <v>46</v>
      </c>
      <c r="M434" s="36" t="s">
        <v>81</v>
      </c>
      <c r="N434" s="36"/>
      <c r="O434" s="35">
        <v>40</v>
      </c>
      <c r="P434" s="8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8.4</v>
      </c>
      <c r="Y434" s="53">
        <f>IFERROR(IF(X434="",0,CEILING((X434/$H434),1)*$H434),"")</f>
        <v>8.4</v>
      </c>
      <c r="Z434" s="39">
        <f>IFERROR(IF(Y434=0,"",ROUNDUP(Y434/H434,0)*0.00651),"")</f>
        <v>2.6040000000000001E-2</v>
      </c>
      <c r="AA434" s="65" t="s">
        <v>46</v>
      </c>
      <c r="AB434" s="66" t="s">
        <v>46</v>
      </c>
      <c r="AC434" s="511" t="s">
        <v>698</v>
      </c>
      <c r="AG434" s="75"/>
      <c r="AJ434" s="79" t="s">
        <v>46</v>
      </c>
      <c r="AK434" s="79">
        <v>0</v>
      </c>
      <c r="BB434" s="512" t="s">
        <v>67</v>
      </c>
      <c r="BM434" s="75">
        <f>IFERROR(X434*I434/H434,"0")</f>
        <v>9.24</v>
      </c>
      <c r="BN434" s="75">
        <f>IFERROR(Y434*I434/H434,"0")</f>
        <v>9.24</v>
      </c>
      <c r="BO434" s="75">
        <f>IFERROR(1/J434*(X434/H434),"0")</f>
        <v>2.197802197802198E-2</v>
      </c>
      <c r="BP434" s="75">
        <f>IFERROR(1/J434*(Y434/H434),"0")</f>
        <v>2.197802197802198E-2</v>
      </c>
    </row>
    <row r="435" spans="1:68" x14ac:dyDescent="0.2">
      <c r="A435" s="654"/>
      <c r="B435" s="654"/>
      <c r="C435" s="654"/>
      <c r="D435" s="654"/>
      <c r="E435" s="654"/>
      <c r="F435" s="654"/>
      <c r="G435" s="654"/>
      <c r="H435" s="654"/>
      <c r="I435" s="654"/>
      <c r="J435" s="654"/>
      <c r="K435" s="654"/>
      <c r="L435" s="654"/>
      <c r="M435" s="654"/>
      <c r="N435" s="654"/>
      <c r="O435" s="655"/>
      <c r="P435" s="651" t="s">
        <v>40</v>
      </c>
      <c r="Q435" s="652"/>
      <c r="R435" s="652"/>
      <c r="S435" s="652"/>
      <c r="T435" s="652"/>
      <c r="U435" s="652"/>
      <c r="V435" s="653"/>
      <c r="W435" s="40" t="s">
        <v>39</v>
      </c>
      <c r="X435" s="41">
        <f>IFERROR(X434/H434,"0")</f>
        <v>4</v>
      </c>
      <c r="Y435" s="41">
        <f>IFERROR(Y434/H434,"0")</f>
        <v>4</v>
      </c>
      <c r="Z435" s="41">
        <f>IFERROR(IF(Z434="",0,Z434),"0")</f>
        <v>2.6040000000000001E-2</v>
      </c>
      <c r="AA435" s="64"/>
      <c r="AB435" s="64"/>
      <c r="AC435" s="64"/>
    </row>
    <row r="436" spans="1:68" x14ac:dyDescent="0.2">
      <c r="A436" s="654"/>
      <c r="B436" s="654"/>
      <c r="C436" s="654"/>
      <c r="D436" s="654"/>
      <c r="E436" s="654"/>
      <c r="F436" s="654"/>
      <c r="G436" s="654"/>
      <c r="H436" s="654"/>
      <c r="I436" s="654"/>
      <c r="J436" s="654"/>
      <c r="K436" s="654"/>
      <c r="L436" s="654"/>
      <c r="M436" s="654"/>
      <c r="N436" s="654"/>
      <c r="O436" s="655"/>
      <c r="P436" s="651" t="s">
        <v>40</v>
      </c>
      <c r="Q436" s="652"/>
      <c r="R436" s="652"/>
      <c r="S436" s="652"/>
      <c r="T436" s="652"/>
      <c r="U436" s="652"/>
      <c r="V436" s="653"/>
      <c r="W436" s="40" t="s">
        <v>0</v>
      </c>
      <c r="X436" s="41">
        <f>IFERROR(SUM(X434:X434),"0")</f>
        <v>8.4</v>
      </c>
      <c r="Y436" s="41">
        <f>IFERROR(SUM(Y434:Y434),"0")</f>
        <v>8.4</v>
      </c>
      <c r="Z436" s="40"/>
      <c r="AA436" s="64"/>
      <c r="AB436" s="64"/>
      <c r="AC436" s="64"/>
    </row>
    <row r="437" spans="1:68" ht="14.25" customHeight="1" x14ac:dyDescent="0.25">
      <c r="A437" s="645" t="s">
        <v>77</v>
      </c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5"/>
      <c r="P437" s="645"/>
      <c r="Q437" s="645"/>
      <c r="R437" s="645"/>
      <c r="S437" s="645"/>
      <c r="T437" s="645"/>
      <c r="U437" s="645"/>
      <c r="V437" s="645"/>
      <c r="W437" s="645"/>
      <c r="X437" s="645"/>
      <c r="Y437" s="645"/>
      <c r="Z437" s="645"/>
      <c r="AA437" s="63"/>
      <c r="AB437" s="63"/>
      <c r="AC437" s="63"/>
    </row>
    <row r="438" spans="1:68" ht="27" customHeight="1" x14ac:dyDescent="0.25">
      <c r="A438" s="60" t="s">
        <v>699</v>
      </c>
      <c r="B438" s="60" t="s">
        <v>700</v>
      </c>
      <c r="C438" s="34">
        <v>4301031407</v>
      </c>
      <c r="D438" s="646">
        <v>4680115886094</v>
      </c>
      <c r="E438" s="646"/>
      <c r="F438" s="59">
        <v>0.9</v>
      </c>
      <c r="G438" s="35">
        <v>6</v>
      </c>
      <c r="H438" s="59">
        <v>5.4</v>
      </c>
      <c r="I438" s="59">
        <v>5.59</v>
      </c>
      <c r="J438" s="35">
        <v>132</v>
      </c>
      <c r="K438" s="35" t="s">
        <v>137</v>
      </c>
      <c r="L438" s="35" t="s">
        <v>46</v>
      </c>
      <c r="M438" s="36" t="s">
        <v>81</v>
      </c>
      <c r="N438" s="36"/>
      <c r="O438" s="35">
        <v>50</v>
      </c>
      <c r="P438" s="8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8" s="648"/>
      <c r="R438" s="648"/>
      <c r="S438" s="648"/>
      <c r="T438" s="649"/>
      <c r="U438" s="37" t="s">
        <v>46</v>
      </c>
      <c r="V438" s="37" t="s">
        <v>46</v>
      </c>
      <c r="W438" s="38" t="s">
        <v>0</v>
      </c>
      <c r="X438" s="56">
        <v>27</v>
      </c>
      <c r="Y438" s="53">
        <f>IFERROR(IF(X438="",0,CEILING((X438/$H438),1)*$H438),"")</f>
        <v>27</v>
      </c>
      <c r="Z438" s="39">
        <f>IFERROR(IF(Y438=0,"",ROUNDUP(Y438/H438,0)*0.00902),"")</f>
        <v>4.5100000000000001E-2</v>
      </c>
      <c r="AA438" s="65" t="s">
        <v>46</v>
      </c>
      <c r="AB438" s="66" t="s">
        <v>46</v>
      </c>
      <c r="AC438" s="513" t="s">
        <v>701</v>
      </c>
      <c r="AG438" s="75"/>
      <c r="AJ438" s="79" t="s">
        <v>46</v>
      </c>
      <c r="AK438" s="79">
        <v>0</v>
      </c>
      <c r="BB438" s="514" t="s">
        <v>67</v>
      </c>
      <c r="BM438" s="75">
        <f>IFERROR(X438*I438/H438,"0")</f>
        <v>27.95</v>
      </c>
      <c r="BN438" s="75">
        <f>IFERROR(Y438*I438/H438,"0")</f>
        <v>27.95</v>
      </c>
      <c r="BO438" s="75">
        <f>IFERROR(1/J438*(X438/H438),"0")</f>
        <v>3.787878787878788E-2</v>
      </c>
      <c r="BP438" s="75">
        <f>IFERROR(1/J438*(Y438/H438),"0")</f>
        <v>3.787878787878788E-2</v>
      </c>
    </row>
    <row r="439" spans="1:68" ht="27" customHeight="1" x14ac:dyDescent="0.25">
      <c r="A439" s="60" t="s">
        <v>702</v>
      </c>
      <c r="B439" s="60" t="s">
        <v>703</v>
      </c>
      <c r="C439" s="34">
        <v>4301031373</v>
      </c>
      <c r="D439" s="646">
        <v>4680115880771</v>
      </c>
      <c r="E439" s="646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86</v>
      </c>
      <c r="L439" s="35" t="s">
        <v>46</v>
      </c>
      <c r="M439" s="36" t="s">
        <v>81</v>
      </c>
      <c r="N439" s="36"/>
      <c r="O439" s="35">
        <v>50</v>
      </c>
      <c r="P439" s="8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9" s="648"/>
      <c r="R439" s="648"/>
      <c r="S439" s="648"/>
      <c r="T439" s="649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IFERROR(IF(Y439=0,"",ROUNDUP(Y439/H439,0)*0.00502),"")</f>
        <v/>
      </c>
      <c r="AA439" s="65" t="s">
        <v>46</v>
      </c>
      <c r="AB439" s="66" t="s">
        <v>46</v>
      </c>
      <c r="AC439" s="515" t="s">
        <v>704</v>
      </c>
      <c r="AG439" s="75"/>
      <c r="AJ439" s="79" t="s">
        <v>46</v>
      </c>
      <c r="AK439" s="79">
        <v>0</v>
      </c>
      <c r="BB439" s="516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705</v>
      </c>
      <c r="B440" s="60" t="s">
        <v>706</v>
      </c>
      <c r="C440" s="34">
        <v>4301031359</v>
      </c>
      <c r="D440" s="646">
        <v>4607091389500</v>
      </c>
      <c r="E440" s="646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86</v>
      </c>
      <c r="L440" s="35" t="s">
        <v>46</v>
      </c>
      <c r="M440" s="36" t="s">
        <v>81</v>
      </c>
      <c r="N440" s="36"/>
      <c r="O440" s="35">
        <v>50</v>
      </c>
      <c r="P440" s="8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10.5</v>
      </c>
      <c r="Y440" s="53">
        <f>IFERROR(IF(X440="",0,CEILING((X440/$H440),1)*$H440),"")</f>
        <v>10.5</v>
      </c>
      <c r="Z440" s="39">
        <f>IFERROR(IF(Y440=0,"",ROUNDUP(Y440/H440,0)*0.00502),"")</f>
        <v>2.5100000000000001E-2</v>
      </c>
      <c r="AA440" s="65" t="s">
        <v>46</v>
      </c>
      <c r="AB440" s="66" t="s">
        <v>46</v>
      </c>
      <c r="AC440" s="517" t="s">
        <v>704</v>
      </c>
      <c r="AG440" s="75"/>
      <c r="AJ440" s="79" t="s">
        <v>46</v>
      </c>
      <c r="AK440" s="79">
        <v>0</v>
      </c>
      <c r="BB440" s="518" t="s">
        <v>67</v>
      </c>
      <c r="BM440" s="75">
        <f>IFERROR(X440*I440/H440,"0")</f>
        <v>11.149999999999999</v>
      </c>
      <c r="BN440" s="75">
        <f>IFERROR(Y440*I440/H440,"0")</f>
        <v>11.149999999999999</v>
      </c>
      <c r="BO440" s="75">
        <f>IFERROR(1/J440*(X440/H440),"0")</f>
        <v>2.1367521367521368E-2</v>
      </c>
      <c r="BP440" s="75">
        <f>IFERROR(1/J440*(Y440/H440),"0")</f>
        <v>2.1367521367521368E-2</v>
      </c>
    </row>
    <row r="441" spans="1:68" x14ac:dyDescent="0.2">
      <c r="A441" s="654"/>
      <c r="B441" s="654"/>
      <c r="C441" s="654"/>
      <c r="D441" s="654"/>
      <c r="E441" s="654"/>
      <c r="F441" s="654"/>
      <c r="G441" s="654"/>
      <c r="H441" s="654"/>
      <c r="I441" s="654"/>
      <c r="J441" s="654"/>
      <c r="K441" s="654"/>
      <c r="L441" s="654"/>
      <c r="M441" s="654"/>
      <c r="N441" s="654"/>
      <c r="O441" s="655"/>
      <c r="P441" s="651" t="s">
        <v>40</v>
      </c>
      <c r="Q441" s="652"/>
      <c r="R441" s="652"/>
      <c r="S441" s="652"/>
      <c r="T441" s="652"/>
      <c r="U441" s="652"/>
      <c r="V441" s="653"/>
      <c r="W441" s="40" t="s">
        <v>39</v>
      </c>
      <c r="X441" s="41">
        <f>IFERROR(X438/H438,"0")+IFERROR(X439/H439,"0")+IFERROR(X440/H440,"0")</f>
        <v>10</v>
      </c>
      <c r="Y441" s="41">
        <f>IFERROR(Y438/H438,"0")+IFERROR(Y439/H439,"0")+IFERROR(Y440/H440,"0")</f>
        <v>10</v>
      </c>
      <c r="Z441" s="41">
        <f>IFERROR(IF(Z438="",0,Z438),"0")+IFERROR(IF(Z439="",0,Z439),"0")+IFERROR(IF(Z440="",0,Z440),"0")</f>
        <v>7.0199999999999999E-2</v>
      </c>
      <c r="AA441" s="64"/>
      <c r="AB441" s="64"/>
      <c r="AC441" s="64"/>
    </row>
    <row r="442" spans="1:68" x14ac:dyDescent="0.2">
      <c r="A442" s="654"/>
      <c r="B442" s="654"/>
      <c r="C442" s="654"/>
      <c r="D442" s="654"/>
      <c r="E442" s="654"/>
      <c r="F442" s="654"/>
      <c r="G442" s="654"/>
      <c r="H442" s="654"/>
      <c r="I442" s="654"/>
      <c r="J442" s="654"/>
      <c r="K442" s="654"/>
      <c r="L442" s="654"/>
      <c r="M442" s="654"/>
      <c r="N442" s="654"/>
      <c r="O442" s="655"/>
      <c r="P442" s="651" t="s">
        <v>40</v>
      </c>
      <c r="Q442" s="652"/>
      <c r="R442" s="652"/>
      <c r="S442" s="652"/>
      <c r="T442" s="652"/>
      <c r="U442" s="652"/>
      <c r="V442" s="653"/>
      <c r="W442" s="40" t="s">
        <v>0</v>
      </c>
      <c r="X442" s="41">
        <f>IFERROR(SUM(X438:X440),"0")</f>
        <v>37.5</v>
      </c>
      <c r="Y442" s="41">
        <f>IFERROR(SUM(Y438:Y440),"0")</f>
        <v>37.5</v>
      </c>
      <c r="Z442" s="40"/>
      <c r="AA442" s="64"/>
      <c r="AB442" s="64"/>
      <c r="AC442" s="64"/>
    </row>
    <row r="443" spans="1:68" ht="27.75" customHeight="1" x14ac:dyDescent="0.2">
      <c r="A443" s="643" t="s">
        <v>707</v>
      </c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3"/>
      <c r="P443" s="643"/>
      <c r="Q443" s="643"/>
      <c r="R443" s="643"/>
      <c r="S443" s="643"/>
      <c r="T443" s="643"/>
      <c r="U443" s="643"/>
      <c r="V443" s="643"/>
      <c r="W443" s="643"/>
      <c r="X443" s="643"/>
      <c r="Y443" s="643"/>
      <c r="Z443" s="643"/>
      <c r="AA443" s="52"/>
      <c r="AB443" s="52"/>
      <c r="AC443" s="52"/>
    </row>
    <row r="444" spans="1:68" ht="16.5" customHeight="1" x14ac:dyDescent="0.25">
      <c r="A444" s="644" t="s">
        <v>707</v>
      </c>
      <c r="B444" s="644"/>
      <c r="C444" s="644"/>
      <c r="D444" s="644"/>
      <c r="E444" s="644"/>
      <c r="F444" s="644"/>
      <c r="G444" s="644"/>
      <c r="H444" s="644"/>
      <c r="I444" s="644"/>
      <c r="J444" s="644"/>
      <c r="K444" s="644"/>
      <c r="L444" s="644"/>
      <c r="M444" s="644"/>
      <c r="N444" s="644"/>
      <c r="O444" s="644"/>
      <c r="P444" s="644"/>
      <c r="Q444" s="644"/>
      <c r="R444" s="644"/>
      <c r="S444" s="644"/>
      <c r="T444" s="644"/>
      <c r="U444" s="644"/>
      <c r="V444" s="644"/>
      <c r="W444" s="644"/>
      <c r="X444" s="644"/>
      <c r="Y444" s="644"/>
      <c r="Z444" s="644"/>
      <c r="AA444" s="62"/>
      <c r="AB444" s="62"/>
      <c r="AC444" s="62"/>
    </row>
    <row r="445" spans="1:68" ht="14.25" customHeight="1" x14ac:dyDescent="0.25">
      <c r="A445" s="645" t="s">
        <v>125</v>
      </c>
      <c r="B445" s="645"/>
      <c r="C445" s="645"/>
      <c r="D445" s="645"/>
      <c r="E445" s="645"/>
      <c r="F445" s="645"/>
      <c r="G445" s="645"/>
      <c r="H445" s="645"/>
      <c r="I445" s="645"/>
      <c r="J445" s="645"/>
      <c r="K445" s="645"/>
      <c r="L445" s="645"/>
      <c r="M445" s="645"/>
      <c r="N445" s="645"/>
      <c r="O445" s="645"/>
      <c r="P445" s="645"/>
      <c r="Q445" s="645"/>
      <c r="R445" s="645"/>
      <c r="S445" s="645"/>
      <c r="T445" s="645"/>
      <c r="U445" s="645"/>
      <c r="V445" s="645"/>
      <c r="W445" s="645"/>
      <c r="X445" s="645"/>
      <c r="Y445" s="645"/>
      <c r="Z445" s="645"/>
      <c r="AA445" s="63"/>
      <c r="AB445" s="63"/>
      <c r="AC445" s="63"/>
    </row>
    <row r="446" spans="1:68" ht="27" customHeight="1" x14ac:dyDescent="0.25">
      <c r="A446" s="60" t="s">
        <v>708</v>
      </c>
      <c r="B446" s="60" t="s">
        <v>709</v>
      </c>
      <c r="C446" s="34">
        <v>4301011769</v>
      </c>
      <c r="D446" s="646">
        <v>4607091389067</v>
      </c>
      <c r="E446" s="646"/>
      <c r="F446" s="59">
        <v>0.88</v>
      </c>
      <c r="G446" s="35">
        <v>6</v>
      </c>
      <c r="H446" s="59">
        <v>5.28</v>
      </c>
      <c r="I446" s="59">
        <v>5.63</v>
      </c>
      <c r="J446" s="35">
        <v>104</v>
      </c>
      <c r="K446" s="35" t="s">
        <v>130</v>
      </c>
      <c r="L446" s="35" t="s">
        <v>46</v>
      </c>
      <c r="M446" s="36" t="s">
        <v>91</v>
      </c>
      <c r="N446" s="36"/>
      <c r="O446" s="35">
        <v>60</v>
      </c>
      <c r="P446" s="87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ref="Y446:Y456" si="63">IFERROR(IF(X446="",0,CEILING((X446/$H446),1)*$H446),"")</f>
        <v>0</v>
      </c>
      <c r="Z446" s="39" t="str">
        <f t="shared" ref="Z446:Z451" si="64">IFERROR(IF(Y446=0,"",ROUNDUP(Y446/H446,0)*0.01196),"")</f>
        <v/>
      </c>
      <c r="AA446" s="65" t="s">
        <v>46</v>
      </c>
      <c r="AB446" s="66" t="s">
        <v>46</v>
      </c>
      <c r="AC446" s="519" t="s">
        <v>128</v>
      </c>
      <c r="AG446" s="75"/>
      <c r="AJ446" s="79" t="s">
        <v>46</v>
      </c>
      <c r="AK446" s="79">
        <v>0</v>
      </c>
      <c r="BB446" s="520" t="s">
        <v>67</v>
      </c>
      <c r="BM446" s="75">
        <f t="shared" ref="BM446:BM456" si="65">IFERROR(X446*I446/H446,"0")</f>
        <v>0</v>
      </c>
      <c r="BN446" s="75">
        <f t="shared" ref="BN446:BN456" si="66">IFERROR(Y446*I446/H446,"0")</f>
        <v>0</v>
      </c>
      <c r="BO446" s="75">
        <f t="shared" ref="BO446:BO456" si="67">IFERROR(1/J446*(X446/H446),"0")</f>
        <v>0</v>
      </c>
      <c r="BP446" s="75">
        <f t="shared" ref="BP446:BP456" si="68">IFERROR(1/J446*(Y446/H446),"0")</f>
        <v>0</v>
      </c>
    </row>
    <row r="447" spans="1:68" ht="27" customHeight="1" x14ac:dyDescent="0.25">
      <c r="A447" s="60" t="s">
        <v>710</v>
      </c>
      <c r="B447" s="60" t="s">
        <v>711</v>
      </c>
      <c r="C447" s="34">
        <v>4301012210</v>
      </c>
      <c r="D447" s="646">
        <v>4607091383522</v>
      </c>
      <c r="E447" s="646"/>
      <c r="F447" s="59">
        <v>0.88</v>
      </c>
      <c r="G447" s="35">
        <v>6</v>
      </c>
      <c r="H447" s="59">
        <v>5.28</v>
      </c>
      <c r="I447" s="59">
        <v>5.63</v>
      </c>
      <c r="J447" s="35">
        <v>104</v>
      </c>
      <c r="K447" s="35" t="s">
        <v>130</v>
      </c>
      <c r="L447" s="35" t="s">
        <v>46</v>
      </c>
      <c r="M447" s="36" t="s">
        <v>129</v>
      </c>
      <c r="N447" s="36"/>
      <c r="O447" s="35">
        <v>60</v>
      </c>
      <c r="P447" s="87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10.56</v>
      </c>
      <c r="Y447" s="53">
        <f t="shared" si="63"/>
        <v>10.56</v>
      </c>
      <c r="Z447" s="39">
        <f t="shared" si="64"/>
        <v>2.392E-2</v>
      </c>
      <c r="AA447" s="65" t="s">
        <v>46</v>
      </c>
      <c r="AB447" s="66" t="s">
        <v>46</v>
      </c>
      <c r="AC447" s="521" t="s">
        <v>712</v>
      </c>
      <c r="AG447" s="75"/>
      <c r="AJ447" s="79" t="s">
        <v>46</v>
      </c>
      <c r="AK447" s="79">
        <v>0</v>
      </c>
      <c r="BB447" s="522" t="s">
        <v>67</v>
      </c>
      <c r="BM447" s="75">
        <f t="shared" si="65"/>
        <v>11.26</v>
      </c>
      <c r="BN447" s="75">
        <f t="shared" si="66"/>
        <v>11.26</v>
      </c>
      <c r="BO447" s="75">
        <f t="shared" si="67"/>
        <v>1.9230769230769232E-2</v>
      </c>
      <c r="BP447" s="75">
        <f t="shared" si="68"/>
        <v>1.9230769230769232E-2</v>
      </c>
    </row>
    <row r="448" spans="1:68" ht="27" customHeight="1" x14ac:dyDescent="0.25">
      <c r="A448" s="60" t="s">
        <v>713</v>
      </c>
      <c r="B448" s="60" t="s">
        <v>714</v>
      </c>
      <c r="C448" s="34">
        <v>4301011961</v>
      </c>
      <c r="D448" s="646">
        <v>4680115885271</v>
      </c>
      <c r="E448" s="646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130</v>
      </c>
      <c r="L448" s="35" t="s">
        <v>46</v>
      </c>
      <c r="M448" s="36" t="s">
        <v>129</v>
      </c>
      <c r="N448" s="36"/>
      <c r="O448" s="35">
        <v>60</v>
      </c>
      <c r="P448" s="87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8" s="648"/>
      <c r="R448" s="648"/>
      <c r="S448" s="648"/>
      <c r="T448" s="649"/>
      <c r="U448" s="37" t="s">
        <v>46</v>
      </c>
      <c r="V448" s="37" t="s">
        <v>46</v>
      </c>
      <c r="W448" s="38" t="s">
        <v>0</v>
      </c>
      <c r="X448" s="56">
        <v>5.28</v>
      </c>
      <c r="Y448" s="53">
        <f t="shared" si="63"/>
        <v>5.28</v>
      </c>
      <c r="Z448" s="39">
        <f t="shared" si="64"/>
        <v>1.196E-2</v>
      </c>
      <c r="AA448" s="65" t="s">
        <v>46</v>
      </c>
      <c r="AB448" s="66" t="s">
        <v>46</v>
      </c>
      <c r="AC448" s="523" t="s">
        <v>715</v>
      </c>
      <c r="AG448" s="75"/>
      <c r="AJ448" s="79" t="s">
        <v>46</v>
      </c>
      <c r="AK448" s="79">
        <v>0</v>
      </c>
      <c r="BB448" s="524" t="s">
        <v>67</v>
      </c>
      <c r="BM448" s="75">
        <f t="shared" si="65"/>
        <v>5.63</v>
      </c>
      <c r="BN448" s="75">
        <f t="shared" si="66"/>
        <v>5.63</v>
      </c>
      <c r="BO448" s="75">
        <f t="shared" si="67"/>
        <v>9.6153846153846159E-3</v>
      </c>
      <c r="BP448" s="75">
        <f t="shared" si="68"/>
        <v>9.6153846153846159E-3</v>
      </c>
    </row>
    <row r="449" spans="1:68" ht="27" customHeight="1" x14ac:dyDescent="0.25">
      <c r="A449" s="60" t="s">
        <v>716</v>
      </c>
      <c r="B449" s="60" t="s">
        <v>717</v>
      </c>
      <c r="C449" s="34">
        <v>4301011369</v>
      </c>
      <c r="D449" s="646">
        <v>4680115885226</v>
      </c>
      <c r="E449" s="646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130</v>
      </c>
      <c r="L449" s="35" t="s">
        <v>46</v>
      </c>
      <c r="M449" s="36" t="s">
        <v>129</v>
      </c>
      <c r="N449" s="36"/>
      <c r="O449" s="35">
        <v>60</v>
      </c>
      <c r="P449" s="87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9" s="648"/>
      <c r="R449" s="648"/>
      <c r="S449" s="648"/>
      <c r="T449" s="649"/>
      <c r="U449" s="37" t="s">
        <v>46</v>
      </c>
      <c r="V449" s="37" t="s">
        <v>46</v>
      </c>
      <c r="W449" s="38" t="s">
        <v>0</v>
      </c>
      <c r="X449" s="56">
        <v>10.56</v>
      </c>
      <c r="Y449" s="53">
        <f t="shared" si="63"/>
        <v>10.56</v>
      </c>
      <c r="Z449" s="39">
        <f t="shared" si="64"/>
        <v>2.392E-2</v>
      </c>
      <c r="AA449" s="65" t="s">
        <v>46</v>
      </c>
      <c r="AB449" s="66" t="s">
        <v>46</v>
      </c>
      <c r="AC449" s="525" t="s">
        <v>718</v>
      </c>
      <c r="AG449" s="75"/>
      <c r="AJ449" s="79" t="s">
        <v>46</v>
      </c>
      <c r="AK449" s="79">
        <v>0</v>
      </c>
      <c r="BB449" s="526" t="s">
        <v>67</v>
      </c>
      <c r="BM449" s="75">
        <f t="shared" si="65"/>
        <v>11.26</v>
      </c>
      <c r="BN449" s="75">
        <f t="shared" si="66"/>
        <v>11.26</v>
      </c>
      <c r="BO449" s="75">
        <f t="shared" si="67"/>
        <v>1.9230769230769232E-2</v>
      </c>
      <c r="BP449" s="75">
        <f t="shared" si="68"/>
        <v>1.9230769230769232E-2</v>
      </c>
    </row>
    <row r="450" spans="1:68" ht="16.5" customHeight="1" x14ac:dyDescent="0.25">
      <c r="A450" s="60" t="s">
        <v>719</v>
      </c>
      <c r="B450" s="60" t="s">
        <v>720</v>
      </c>
      <c r="C450" s="34">
        <v>4301011797</v>
      </c>
      <c r="D450" s="646">
        <v>4680115884502</v>
      </c>
      <c r="E450" s="646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130</v>
      </c>
      <c r="L450" s="35" t="s">
        <v>46</v>
      </c>
      <c r="M450" s="36" t="s">
        <v>91</v>
      </c>
      <c r="N450" s="36"/>
      <c r="O450" s="35">
        <v>60</v>
      </c>
      <c r="P450" s="87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0" s="648"/>
      <c r="R450" s="648"/>
      <c r="S450" s="648"/>
      <c r="T450" s="649"/>
      <c r="U450" s="37" t="s">
        <v>46</v>
      </c>
      <c r="V450" s="37" t="s">
        <v>46</v>
      </c>
      <c r="W450" s="38" t="s">
        <v>0</v>
      </c>
      <c r="X450" s="56">
        <v>0</v>
      </c>
      <c r="Y450" s="53">
        <f t="shared" si="63"/>
        <v>0</v>
      </c>
      <c r="Z450" s="39" t="str">
        <f t="shared" si="64"/>
        <v/>
      </c>
      <c r="AA450" s="65" t="s">
        <v>46</v>
      </c>
      <c r="AB450" s="66" t="s">
        <v>46</v>
      </c>
      <c r="AC450" s="527" t="s">
        <v>721</v>
      </c>
      <c r="AG450" s="75"/>
      <c r="AJ450" s="79" t="s">
        <v>46</v>
      </c>
      <c r="AK450" s="79">
        <v>0</v>
      </c>
      <c r="BB450" s="528" t="s">
        <v>67</v>
      </c>
      <c r="BM450" s="75">
        <f t="shared" si="65"/>
        <v>0</v>
      </c>
      <c r="BN450" s="75">
        <f t="shared" si="66"/>
        <v>0</v>
      </c>
      <c r="BO450" s="75">
        <f t="shared" si="67"/>
        <v>0</v>
      </c>
      <c r="BP450" s="75">
        <f t="shared" si="68"/>
        <v>0</v>
      </c>
    </row>
    <row r="451" spans="1:68" ht="27" customHeight="1" x14ac:dyDescent="0.25">
      <c r="A451" s="60" t="s">
        <v>722</v>
      </c>
      <c r="B451" s="60" t="s">
        <v>723</v>
      </c>
      <c r="C451" s="34">
        <v>4301011771</v>
      </c>
      <c r="D451" s="646">
        <v>4607091389104</v>
      </c>
      <c r="E451" s="646"/>
      <c r="F451" s="59">
        <v>0.88</v>
      </c>
      <c r="G451" s="35">
        <v>6</v>
      </c>
      <c r="H451" s="59">
        <v>5.28</v>
      </c>
      <c r="I451" s="59">
        <v>5.63</v>
      </c>
      <c r="J451" s="35">
        <v>104</v>
      </c>
      <c r="K451" s="35" t="s">
        <v>130</v>
      </c>
      <c r="L451" s="35" t="s">
        <v>46</v>
      </c>
      <c r="M451" s="36" t="s">
        <v>129</v>
      </c>
      <c r="N451" s="36"/>
      <c r="O451" s="35">
        <v>60</v>
      </c>
      <c r="P451" s="87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1" s="648"/>
      <c r="R451" s="648"/>
      <c r="S451" s="648"/>
      <c r="T451" s="649"/>
      <c r="U451" s="37" t="s">
        <v>46</v>
      </c>
      <c r="V451" s="37" t="s">
        <v>46</v>
      </c>
      <c r="W451" s="38" t="s">
        <v>0</v>
      </c>
      <c r="X451" s="56">
        <v>10.56</v>
      </c>
      <c r="Y451" s="53">
        <f t="shared" si="63"/>
        <v>10.56</v>
      </c>
      <c r="Z451" s="39">
        <f t="shared" si="64"/>
        <v>2.392E-2</v>
      </c>
      <c r="AA451" s="65" t="s">
        <v>46</v>
      </c>
      <c r="AB451" s="66" t="s">
        <v>46</v>
      </c>
      <c r="AC451" s="529" t="s">
        <v>724</v>
      </c>
      <c r="AG451" s="75"/>
      <c r="AJ451" s="79" t="s">
        <v>46</v>
      </c>
      <c r="AK451" s="79">
        <v>0</v>
      </c>
      <c r="BB451" s="530" t="s">
        <v>67</v>
      </c>
      <c r="BM451" s="75">
        <f t="shared" si="65"/>
        <v>11.26</v>
      </c>
      <c r="BN451" s="75">
        <f t="shared" si="66"/>
        <v>11.26</v>
      </c>
      <c r="BO451" s="75">
        <f t="shared" si="67"/>
        <v>1.9230769230769232E-2</v>
      </c>
      <c r="BP451" s="75">
        <f t="shared" si="68"/>
        <v>1.9230769230769232E-2</v>
      </c>
    </row>
    <row r="452" spans="1:68" ht="27" customHeight="1" x14ac:dyDescent="0.25">
      <c r="A452" s="60" t="s">
        <v>725</v>
      </c>
      <c r="B452" s="60" t="s">
        <v>726</v>
      </c>
      <c r="C452" s="34">
        <v>4301012125</v>
      </c>
      <c r="D452" s="646">
        <v>4680115886391</v>
      </c>
      <c r="E452" s="646"/>
      <c r="F452" s="59">
        <v>0.4</v>
      </c>
      <c r="G452" s="35">
        <v>6</v>
      </c>
      <c r="H452" s="59">
        <v>2.4</v>
      </c>
      <c r="I452" s="59">
        <v>2.58</v>
      </c>
      <c r="J452" s="35">
        <v>182</v>
      </c>
      <c r="K452" s="35" t="s">
        <v>82</v>
      </c>
      <c r="L452" s="35" t="s">
        <v>46</v>
      </c>
      <c r="M452" s="36" t="s">
        <v>91</v>
      </c>
      <c r="N452" s="36"/>
      <c r="O452" s="35">
        <v>60</v>
      </c>
      <c r="P452" s="87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 t="shared" si="63"/>
        <v>0</v>
      </c>
      <c r="Z452" s="39" t="str">
        <f>IFERROR(IF(Y452=0,"",ROUNDUP(Y452/H452,0)*0.00651),"")</f>
        <v/>
      </c>
      <c r="AA452" s="65" t="s">
        <v>46</v>
      </c>
      <c r="AB452" s="66" t="s">
        <v>46</v>
      </c>
      <c r="AC452" s="531" t="s">
        <v>128</v>
      </c>
      <c r="AG452" s="75"/>
      <c r="AJ452" s="79" t="s">
        <v>46</v>
      </c>
      <c r="AK452" s="79">
        <v>0</v>
      </c>
      <c r="BB452" s="532" t="s">
        <v>67</v>
      </c>
      <c r="BM452" s="75">
        <f t="shared" si="65"/>
        <v>0</v>
      </c>
      <c r="BN452" s="75">
        <f t="shared" si="66"/>
        <v>0</v>
      </c>
      <c r="BO452" s="75">
        <f t="shared" si="67"/>
        <v>0</v>
      </c>
      <c r="BP452" s="75">
        <f t="shared" si="68"/>
        <v>0</v>
      </c>
    </row>
    <row r="453" spans="1:68" ht="27" customHeight="1" x14ac:dyDescent="0.25">
      <c r="A453" s="60" t="s">
        <v>727</v>
      </c>
      <c r="B453" s="60" t="s">
        <v>728</v>
      </c>
      <c r="C453" s="34">
        <v>4301012048</v>
      </c>
      <c r="D453" s="646">
        <v>4680115880603</v>
      </c>
      <c r="E453" s="646"/>
      <c r="F453" s="59">
        <v>0.6</v>
      </c>
      <c r="G453" s="35">
        <v>8</v>
      </c>
      <c r="H453" s="59">
        <v>4.8</v>
      </c>
      <c r="I453" s="59">
        <v>6.91</v>
      </c>
      <c r="J453" s="35">
        <v>132</v>
      </c>
      <c r="K453" s="35" t="s">
        <v>137</v>
      </c>
      <c r="L453" s="35" t="s">
        <v>46</v>
      </c>
      <c r="M453" s="36" t="s">
        <v>91</v>
      </c>
      <c r="N453" s="36"/>
      <c r="O453" s="35">
        <v>60</v>
      </c>
      <c r="P453" s="8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 t="shared" si="63"/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3" t="s">
        <v>128</v>
      </c>
      <c r="AG453" s="75"/>
      <c r="AJ453" s="79" t="s">
        <v>46</v>
      </c>
      <c r="AK453" s="79">
        <v>0</v>
      </c>
      <c r="BB453" s="534" t="s">
        <v>67</v>
      </c>
      <c r="BM453" s="75">
        <f t="shared" si="65"/>
        <v>0</v>
      </c>
      <c r="BN453" s="75">
        <f t="shared" si="66"/>
        <v>0</v>
      </c>
      <c r="BO453" s="75">
        <f t="shared" si="67"/>
        <v>0</v>
      </c>
      <c r="BP453" s="75">
        <f t="shared" si="68"/>
        <v>0</v>
      </c>
    </row>
    <row r="454" spans="1:68" ht="27" customHeight="1" x14ac:dyDescent="0.25">
      <c r="A454" s="60" t="s">
        <v>729</v>
      </c>
      <c r="B454" s="60" t="s">
        <v>730</v>
      </c>
      <c r="C454" s="34">
        <v>4301012036</v>
      </c>
      <c r="D454" s="646">
        <v>4680115882782</v>
      </c>
      <c r="E454" s="646"/>
      <c r="F454" s="59">
        <v>0.6</v>
      </c>
      <c r="G454" s="35">
        <v>8</v>
      </c>
      <c r="H454" s="59">
        <v>4.8</v>
      </c>
      <c r="I454" s="59">
        <v>6.91</v>
      </c>
      <c r="J454" s="35">
        <v>132</v>
      </c>
      <c r="K454" s="35" t="s">
        <v>137</v>
      </c>
      <c r="L454" s="35" t="s">
        <v>46</v>
      </c>
      <c r="M454" s="36" t="s">
        <v>129</v>
      </c>
      <c r="N454" s="36"/>
      <c r="O454" s="35">
        <v>60</v>
      </c>
      <c r="P454" s="88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4" s="648"/>
      <c r="R454" s="648"/>
      <c r="S454" s="648"/>
      <c r="T454" s="649"/>
      <c r="U454" s="37" t="s">
        <v>46</v>
      </c>
      <c r="V454" s="37" t="s">
        <v>46</v>
      </c>
      <c r="W454" s="38" t="s">
        <v>0</v>
      </c>
      <c r="X454" s="56">
        <v>0</v>
      </c>
      <c r="Y454" s="53">
        <f t="shared" si="63"/>
        <v>0</v>
      </c>
      <c r="Z454" s="39" t="str">
        <f>IFERROR(IF(Y454=0,"",ROUNDUP(Y454/H454,0)*0.00902),"")</f>
        <v/>
      </c>
      <c r="AA454" s="65" t="s">
        <v>46</v>
      </c>
      <c r="AB454" s="66" t="s">
        <v>46</v>
      </c>
      <c r="AC454" s="535" t="s">
        <v>715</v>
      </c>
      <c r="AG454" s="75"/>
      <c r="AJ454" s="79" t="s">
        <v>46</v>
      </c>
      <c r="AK454" s="79">
        <v>0</v>
      </c>
      <c r="BB454" s="536" t="s">
        <v>67</v>
      </c>
      <c r="BM454" s="75">
        <f t="shared" si="65"/>
        <v>0</v>
      </c>
      <c r="BN454" s="75">
        <f t="shared" si="66"/>
        <v>0</v>
      </c>
      <c r="BO454" s="75">
        <f t="shared" si="67"/>
        <v>0</v>
      </c>
      <c r="BP454" s="75">
        <f t="shared" si="68"/>
        <v>0</v>
      </c>
    </row>
    <row r="455" spans="1:68" ht="27" customHeight="1" x14ac:dyDescent="0.25">
      <c r="A455" s="60" t="s">
        <v>731</v>
      </c>
      <c r="B455" s="60" t="s">
        <v>732</v>
      </c>
      <c r="C455" s="34">
        <v>4301012050</v>
      </c>
      <c r="D455" s="646">
        <v>4680115885479</v>
      </c>
      <c r="E455" s="646"/>
      <c r="F455" s="59">
        <v>0.4</v>
      </c>
      <c r="G455" s="35">
        <v>6</v>
      </c>
      <c r="H455" s="59">
        <v>2.4</v>
      </c>
      <c r="I455" s="59">
        <v>2.58</v>
      </c>
      <c r="J455" s="35">
        <v>182</v>
      </c>
      <c r="K455" s="35" t="s">
        <v>82</v>
      </c>
      <c r="L455" s="35" t="s">
        <v>46</v>
      </c>
      <c r="M455" s="36" t="s">
        <v>129</v>
      </c>
      <c r="N455" s="36"/>
      <c r="O455" s="35">
        <v>60</v>
      </c>
      <c r="P455" s="88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5" s="648"/>
      <c r="R455" s="648"/>
      <c r="S455" s="648"/>
      <c r="T455" s="649"/>
      <c r="U455" s="37" t="s">
        <v>46</v>
      </c>
      <c r="V455" s="37" t="s">
        <v>46</v>
      </c>
      <c r="W455" s="38" t="s">
        <v>0</v>
      </c>
      <c r="X455" s="56">
        <v>0</v>
      </c>
      <c r="Y455" s="53">
        <f t="shared" si="63"/>
        <v>0</v>
      </c>
      <c r="Z455" s="39" t="str">
        <f>IFERROR(IF(Y455=0,"",ROUNDUP(Y455/H455,0)*0.00651),"")</f>
        <v/>
      </c>
      <c r="AA455" s="65" t="s">
        <v>46</v>
      </c>
      <c r="AB455" s="66" t="s">
        <v>46</v>
      </c>
      <c r="AC455" s="537" t="s">
        <v>724</v>
      </c>
      <c r="AG455" s="75"/>
      <c r="AJ455" s="79" t="s">
        <v>46</v>
      </c>
      <c r="AK455" s="79">
        <v>0</v>
      </c>
      <c r="BB455" s="538" t="s">
        <v>67</v>
      </c>
      <c r="BM455" s="75">
        <f t="shared" si="65"/>
        <v>0</v>
      </c>
      <c r="BN455" s="75">
        <f t="shared" si="66"/>
        <v>0</v>
      </c>
      <c r="BO455" s="75">
        <f t="shared" si="67"/>
        <v>0</v>
      </c>
      <c r="BP455" s="75">
        <f t="shared" si="68"/>
        <v>0</v>
      </c>
    </row>
    <row r="456" spans="1:68" ht="27" customHeight="1" x14ac:dyDescent="0.25">
      <c r="A456" s="60" t="s">
        <v>733</v>
      </c>
      <c r="B456" s="60" t="s">
        <v>734</v>
      </c>
      <c r="C456" s="34">
        <v>4301012034</v>
      </c>
      <c r="D456" s="646">
        <v>4607091389982</v>
      </c>
      <c r="E456" s="646"/>
      <c r="F456" s="59">
        <v>0.6</v>
      </c>
      <c r="G456" s="35">
        <v>8</v>
      </c>
      <c r="H456" s="59">
        <v>4.8</v>
      </c>
      <c r="I456" s="59">
        <v>6.91</v>
      </c>
      <c r="J456" s="35">
        <v>132</v>
      </c>
      <c r="K456" s="35" t="s">
        <v>137</v>
      </c>
      <c r="L456" s="35" t="s">
        <v>46</v>
      </c>
      <c r="M456" s="36" t="s">
        <v>129</v>
      </c>
      <c r="N456" s="36"/>
      <c r="O456" s="35">
        <v>60</v>
      </c>
      <c r="P456" s="8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6" s="648"/>
      <c r="R456" s="648"/>
      <c r="S456" s="648"/>
      <c r="T456" s="649"/>
      <c r="U456" s="37" t="s">
        <v>46</v>
      </c>
      <c r="V456" s="37" t="s">
        <v>46</v>
      </c>
      <c r="W456" s="38" t="s">
        <v>0</v>
      </c>
      <c r="X456" s="56">
        <v>0</v>
      </c>
      <c r="Y456" s="53">
        <f t="shared" si="63"/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39" t="s">
        <v>724</v>
      </c>
      <c r="AG456" s="75"/>
      <c r="AJ456" s="79" t="s">
        <v>46</v>
      </c>
      <c r="AK456" s="79">
        <v>0</v>
      </c>
      <c r="BB456" s="540" t="s">
        <v>67</v>
      </c>
      <c r="BM456" s="75">
        <f t="shared" si="65"/>
        <v>0</v>
      </c>
      <c r="BN456" s="75">
        <f t="shared" si="66"/>
        <v>0</v>
      </c>
      <c r="BO456" s="75">
        <f t="shared" si="67"/>
        <v>0</v>
      </c>
      <c r="BP456" s="75">
        <f t="shared" si="68"/>
        <v>0</v>
      </c>
    </row>
    <row r="457" spans="1:68" x14ac:dyDescent="0.2">
      <c r="A457" s="654"/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5"/>
      <c r="P457" s="651" t="s">
        <v>40</v>
      </c>
      <c r="Q457" s="652"/>
      <c r="R457" s="652"/>
      <c r="S457" s="652"/>
      <c r="T457" s="652"/>
      <c r="U457" s="652"/>
      <c r="V457" s="653"/>
      <c r="W457" s="40" t="s">
        <v>39</v>
      </c>
      <c r="X457" s="41">
        <f>IFERROR(X446/H446,"0")+IFERROR(X447/H447,"0")+IFERROR(X448/H448,"0")+IFERROR(X449/H449,"0")+IFERROR(X450/H450,"0")+IFERROR(X451/H451,"0")+IFERROR(X452/H452,"0")+IFERROR(X453/H453,"0")+IFERROR(X454/H454,"0")+IFERROR(X455/H455,"0")+IFERROR(X456/H456,"0")</f>
        <v>7</v>
      </c>
      <c r="Y457" s="41">
        <f>IFERROR(Y446/H446,"0")+IFERROR(Y447/H447,"0")+IFERROR(Y448/H448,"0")+IFERROR(Y449/H449,"0")+IFERROR(Y450/H450,"0")+IFERROR(Y451/H451,"0")+IFERROR(Y452/H452,"0")+IFERROR(Y453/H453,"0")+IFERROR(Y454/H454,"0")+IFERROR(Y455/H455,"0")+IFERROR(Y456/H456,"0")</f>
        <v>7</v>
      </c>
      <c r="Z457" s="41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</f>
        <v>8.3720000000000003E-2</v>
      </c>
      <c r="AA457" s="64"/>
      <c r="AB457" s="64"/>
      <c r="AC457" s="64"/>
    </row>
    <row r="458" spans="1:68" x14ac:dyDescent="0.2">
      <c r="A458" s="654"/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5"/>
      <c r="P458" s="651" t="s">
        <v>40</v>
      </c>
      <c r="Q458" s="652"/>
      <c r="R458" s="652"/>
      <c r="S458" s="652"/>
      <c r="T458" s="652"/>
      <c r="U458" s="652"/>
      <c r="V458" s="653"/>
      <c r="W458" s="40" t="s">
        <v>0</v>
      </c>
      <c r="X458" s="41">
        <f>IFERROR(SUM(X446:X456),"0")</f>
        <v>36.96</v>
      </c>
      <c r="Y458" s="41">
        <f>IFERROR(SUM(Y446:Y456),"0")</f>
        <v>36.96</v>
      </c>
      <c r="Z458" s="40"/>
      <c r="AA458" s="64"/>
      <c r="AB458" s="64"/>
      <c r="AC458" s="64"/>
    </row>
    <row r="459" spans="1:68" ht="14.25" customHeight="1" x14ac:dyDescent="0.25">
      <c r="A459" s="645" t="s">
        <v>159</v>
      </c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5"/>
      <c r="P459" s="645"/>
      <c r="Q459" s="645"/>
      <c r="R459" s="645"/>
      <c r="S459" s="645"/>
      <c r="T459" s="645"/>
      <c r="U459" s="645"/>
      <c r="V459" s="645"/>
      <c r="W459" s="645"/>
      <c r="X459" s="645"/>
      <c r="Y459" s="645"/>
      <c r="Z459" s="645"/>
      <c r="AA459" s="63"/>
      <c r="AB459" s="63"/>
      <c r="AC459" s="63"/>
    </row>
    <row r="460" spans="1:68" ht="16.5" customHeight="1" x14ac:dyDescent="0.25">
      <c r="A460" s="60" t="s">
        <v>735</v>
      </c>
      <c r="B460" s="60" t="s">
        <v>736</v>
      </c>
      <c r="C460" s="34">
        <v>4301020334</v>
      </c>
      <c r="D460" s="646">
        <v>4607091388930</v>
      </c>
      <c r="E460" s="646"/>
      <c r="F460" s="59">
        <v>0.88</v>
      </c>
      <c r="G460" s="35">
        <v>6</v>
      </c>
      <c r="H460" s="59">
        <v>5.28</v>
      </c>
      <c r="I460" s="59">
        <v>5.63</v>
      </c>
      <c r="J460" s="35">
        <v>104</v>
      </c>
      <c r="K460" s="35" t="s">
        <v>130</v>
      </c>
      <c r="L460" s="35" t="s">
        <v>46</v>
      </c>
      <c r="M460" s="36" t="s">
        <v>91</v>
      </c>
      <c r="N460" s="36"/>
      <c r="O460" s="35">
        <v>70</v>
      </c>
      <c r="P460" s="8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0" s="648"/>
      <c r="R460" s="648"/>
      <c r="S460" s="648"/>
      <c r="T460" s="649"/>
      <c r="U460" s="37" t="s">
        <v>46</v>
      </c>
      <c r="V460" s="37" t="s">
        <v>46</v>
      </c>
      <c r="W460" s="38" t="s">
        <v>0</v>
      </c>
      <c r="X460" s="56">
        <v>10.56</v>
      </c>
      <c r="Y460" s="53">
        <f>IFERROR(IF(X460="",0,CEILING((X460/$H460),1)*$H460),"")</f>
        <v>10.56</v>
      </c>
      <c r="Z460" s="39">
        <f>IFERROR(IF(Y460=0,"",ROUNDUP(Y460/H460,0)*0.01196),"")</f>
        <v>2.392E-2</v>
      </c>
      <c r="AA460" s="65" t="s">
        <v>46</v>
      </c>
      <c r="AB460" s="66" t="s">
        <v>46</v>
      </c>
      <c r="AC460" s="541" t="s">
        <v>737</v>
      </c>
      <c r="AG460" s="75"/>
      <c r="AJ460" s="79" t="s">
        <v>46</v>
      </c>
      <c r="AK460" s="79">
        <v>0</v>
      </c>
      <c r="BB460" s="542" t="s">
        <v>67</v>
      </c>
      <c r="BM460" s="75">
        <f>IFERROR(X460*I460/H460,"0")</f>
        <v>11.26</v>
      </c>
      <c r="BN460" s="75">
        <f>IFERROR(Y460*I460/H460,"0")</f>
        <v>11.26</v>
      </c>
      <c r="BO460" s="75">
        <f>IFERROR(1/J460*(X460/H460),"0")</f>
        <v>1.9230769230769232E-2</v>
      </c>
      <c r="BP460" s="75">
        <f>IFERROR(1/J460*(Y460/H460),"0")</f>
        <v>1.9230769230769232E-2</v>
      </c>
    </row>
    <row r="461" spans="1:68" ht="16.5" customHeight="1" x14ac:dyDescent="0.25">
      <c r="A461" s="60" t="s">
        <v>738</v>
      </c>
      <c r="B461" s="60" t="s">
        <v>739</v>
      </c>
      <c r="C461" s="34">
        <v>4301020374</v>
      </c>
      <c r="D461" s="646">
        <v>4680115886407</v>
      </c>
      <c r="E461" s="646"/>
      <c r="F461" s="59">
        <v>0.4</v>
      </c>
      <c r="G461" s="35">
        <v>6</v>
      </c>
      <c r="H461" s="59">
        <v>2.4</v>
      </c>
      <c r="I461" s="59">
        <v>2.58</v>
      </c>
      <c r="J461" s="35">
        <v>182</v>
      </c>
      <c r="K461" s="35" t="s">
        <v>82</v>
      </c>
      <c r="L461" s="35" t="s">
        <v>46</v>
      </c>
      <c r="M461" s="36" t="s">
        <v>129</v>
      </c>
      <c r="N461" s="36"/>
      <c r="O461" s="35">
        <v>70</v>
      </c>
      <c r="P461" s="8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43" t="s">
        <v>737</v>
      </c>
      <c r="AG461" s="75"/>
      <c r="AJ461" s="79" t="s">
        <v>46</v>
      </c>
      <c r="AK461" s="79">
        <v>0</v>
      </c>
      <c r="BB461" s="544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16.5" customHeight="1" x14ac:dyDescent="0.25">
      <c r="A462" s="60" t="s">
        <v>740</v>
      </c>
      <c r="B462" s="60" t="s">
        <v>741</v>
      </c>
      <c r="C462" s="34">
        <v>4301020385</v>
      </c>
      <c r="D462" s="646">
        <v>4680115880054</v>
      </c>
      <c r="E462" s="646"/>
      <c r="F462" s="59">
        <v>0.6</v>
      </c>
      <c r="G462" s="35">
        <v>8</v>
      </c>
      <c r="H462" s="59">
        <v>4.8</v>
      </c>
      <c r="I462" s="59">
        <v>6.91</v>
      </c>
      <c r="J462" s="35">
        <v>132</v>
      </c>
      <c r="K462" s="35" t="s">
        <v>137</v>
      </c>
      <c r="L462" s="35" t="s">
        <v>46</v>
      </c>
      <c r="M462" s="36" t="s">
        <v>129</v>
      </c>
      <c r="N462" s="36"/>
      <c r="O462" s="35">
        <v>70</v>
      </c>
      <c r="P462" s="8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45" t="s">
        <v>737</v>
      </c>
      <c r="AG462" s="75"/>
      <c r="AJ462" s="79" t="s">
        <v>46</v>
      </c>
      <c r="AK462" s="79">
        <v>0</v>
      </c>
      <c r="BB462" s="546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54"/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5"/>
      <c r="P463" s="651" t="s">
        <v>40</v>
      </c>
      <c r="Q463" s="652"/>
      <c r="R463" s="652"/>
      <c r="S463" s="652"/>
      <c r="T463" s="652"/>
      <c r="U463" s="652"/>
      <c r="V463" s="653"/>
      <c r="W463" s="40" t="s">
        <v>39</v>
      </c>
      <c r="X463" s="41">
        <f>IFERROR(X460/H460,"0")+IFERROR(X461/H461,"0")+IFERROR(X462/H462,"0")</f>
        <v>2</v>
      </c>
      <c r="Y463" s="41">
        <f>IFERROR(Y460/H460,"0")+IFERROR(Y461/H461,"0")+IFERROR(Y462/H462,"0")</f>
        <v>2</v>
      </c>
      <c r="Z463" s="41">
        <f>IFERROR(IF(Z460="",0,Z460),"0")+IFERROR(IF(Z461="",0,Z461),"0")+IFERROR(IF(Z462="",0,Z462),"0")</f>
        <v>2.392E-2</v>
      </c>
      <c r="AA463" s="64"/>
      <c r="AB463" s="64"/>
      <c r="AC463" s="64"/>
    </row>
    <row r="464" spans="1:68" x14ac:dyDescent="0.2">
      <c r="A464" s="654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51" t="s">
        <v>40</v>
      </c>
      <c r="Q464" s="652"/>
      <c r="R464" s="652"/>
      <c r="S464" s="652"/>
      <c r="T464" s="652"/>
      <c r="U464" s="652"/>
      <c r="V464" s="653"/>
      <c r="W464" s="40" t="s">
        <v>0</v>
      </c>
      <c r="X464" s="41">
        <f>IFERROR(SUM(X460:X462),"0")</f>
        <v>10.56</v>
      </c>
      <c r="Y464" s="41">
        <f>IFERROR(SUM(Y460:Y462),"0")</f>
        <v>10.56</v>
      </c>
      <c r="Z464" s="40"/>
      <c r="AA464" s="64"/>
      <c r="AB464" s="64"/>
      <c r="AC464" s="64"/>
    </row>
    <row r="465" spans="1:68" ht="14.25" customHeight="1" x14ac:dyDescent="0.25">
      <c r="A465" s="645" t="s">
        <v>77</v>
      </c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5"/>
      <c r="P465" s="645"/>
      <c r="Q465" s="645"/>
      <c r="R465" s="645"/>
      <c r="S465" s="645"/>
      <c r="T465" s="645"/>
      <c r="U465" s="645"/>
      <c r="V465" s="645"/>
      <c r="W465" s="645"/>
      <c r="X465" s="645"/>
      <c r="Y465" s="645"/>
      <c r="Z465" s="645"/>
      <c r="AA465" s="63"/>
      <c r="AB465" s="63"/>
      <c r="AC465" s="63"/>
    </row>
    <row r="466" spans="1:68" ht="27" customHeight="1" x14ac:dyDescent="0.25">
      <c r="A466" s="60" t="s">
        <v>742</v>
      </c>
      <c r="B466" s="60" t="s">
        <v>743</v>
      </c>
      <c r="C466" s="34">
        <v>4301031349</v>
      </c>
      <c r="D466" s="646">
        <v>4680115883116</v>
      </c>
      <c r="E466" s="646"/>
      <c r="F466" s="59">
        <v>0.88</v>
      </c>
      <c r="G466" s="35">
        <v>6</v>
      </c>
      <c r="H466" s="59">
        <v>5.28</v>
      </c>
      <c r="I466" s="59">
        <v>5.63</v>
      </c>
      <c r="J466" s="35">
        <v>104</v>
      </c>
      <c r="K466" s="35" t="s">
        <v>130</v>
      </c>
      <c r="L466" s="35" t="s">
        <v>46</v>
      </c>
      <c r="M466" s="36" t="s">
        <v>129</v>
      </c>
      <c r="N466" s="36"/>
      <c r="O466" s="35">
        <v>70</v>
      </c>
      <c r="P466" s="8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6" s="648"/>
      <c r="R466" s="648"/>
      <c r="S466" s="648"/>
      <c r="T466" s="649"/>
      <c r="U466" s="37" t="s">
        <v>46</v>
      </c>
      <c r="V466" s="37" t="s">
        <v>46</v>
      </c>
      <c r="W466" s="38" t="s">
        <v>0</v>
      </c>
      <c r="X466" s="56">
        <v>10.56</v>
      </c>
      <c r="Y466" s="53">
        <f t="shared" ref="Y466:Y472" si="69">IFERROR(IF(X466="",0,CEILING((X466/$H466),1)*$H466),"")</f>
        <v>10.56</v>
      </c>
      <c r="Z466" s="39">
        <f>IFERROR(IF(Y466=0,"",ROUNDUP(Y466/H466,0)*0.01196),"")</f>
        <v>2.392E-2</v>
      </c>
      <c r="AA466" s="65" t="s">
        <v>46</v>
      </c>
      <c r="AB466" s="66" t="s">
        <v>46</v>
      </c>
      <c r="AC466" s="547" t="s">
        <v>744</v>
      </c>
      <c r="AG466" s="75"/>
      <c r="AJ466" s="79" t="s">
        <v>46</v>
      </c>
      <c r="AK466" s="79">
        <v>0</v>
      </c>
      <c r="BB466" s="548" t="s">
        <v>67</v>
      </c>
      <c r="BM466" s="75">
        <f t="shared" ref="BM466:BM472" si="70">IFERROR(X466*I466/H466,"0")</f>
        <v>11.26</v>
      </c>
      <c r="BN466" s="75">
        <f t="shared" ref="BN466:BN472" si="71">IFERROR(Y466*I466/H466,"0")</f>
        <v>11.26</v>
      </c>
      <c r="BO466" s="75">
        <f t="shared" ref="BO466:BO472" si="72">IFERROR(1/J466*(X466/H466),"0")</f>
        <v>1.9230769230769232E-2</v>
      </c>
      <c r="BP466" s="75">
        <f t="shared" ref="BP466:BP472" si="73">IFERROR(1/J466*(Y466/H466),"0")</f>
        <v>1.9230769230769232E-2</v>
      </c>
    </row>
    <row r="467" spans="1:68" ht="27" customHeight="1" x14ac:dyDescent="0.25">
      <c r="A467" s="60" t="s">
        <v>745</v>
      </c>
      <c r="B467" s="60" t="s">
        <v>746</v>
      </c>
      <c r="C467" s="34">
        <v>4301031350</v>
      </c>
      <c r="D467" s="646">
        <v>4680115883093</v>
      </c>
      <c r="E467" s="646"/>
      <c r="F467" s="59">
        <v>0.88</v>
      </c>
      <c r="G467" s="35">
        <v>6</v>
      </c>
      <c r="H467" s="59">
        <v>5.28</v>
      </c>
      <c r="I467" s="59">
        <v>5.63</v>
      </c>
      <c r="J467" s="35">
        <v>104</v>
      </c>
      <c r="K467" s="35" t="s">
        <v>130</v>
      </c>
      <c r="L467" s="35" t="s">
        <v>46</v>
      </c>
      <c r="M467" s="36" t="s">
        <v>81</v>
      </c>
      <c r="N467" s="36"/>
      <c r="O467" s="35">
        <v>70</v>
      </c>
      <c r="P467" s="88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7" s="648"/>
      <c r="R467" s="648"/>
      <c r="S467" s="648"/>
      <c r="T467" s="649"/>
      <c r="U467" s="37" t="s">
        <v>46</v>
      </c>
      <c r="V467" s="37" t="s">
        <v>46</v>
      </c>
      <c r="W467" s="38" t="s">
        <v>0</v>
      </c>
      <c r="X467" s="56">
        <v>10.56</v>
      </c>
      <c r="Y467" s="53">
        <f t="shared" si="69"/>
        <v>10.56</v>
      </c>
      <c r="Z467" s="39">
        <f>IFERROR(IF(Y467=0,"",ROUNDUP(Y467/H467,0)*0.01196),"")</f>
        <v>2.392E-2</v>
      </c>
      <c r="AA467" s="65" t="s">
        <v>46</v>
      </c>
      <c r="AB467" s="66" t="s">
        <v>46</v>
      </c>
      <c r="AC467" s="549" t="s">
        <v>747</v>
      </c>
      <c r="AG467" s="75"/>
      <c r="AJ467" s="79" t="s">
        <v>46</v>
      </c>
      <c r="AK467" s="79">
        <v>0</v>
      </c>
      <c r="BB467" s="550" t="s">
        <v>67</v>
      </c>
      <c r="BM467" s="75">
        <f t="shared" si="70"/>
        <v>11.26</v>
      </c>
      <c r="BN467" s="75">
        <f t="shared" si="71"/>
        <v>11.26</v>
      </c>
      <c r="BO467" s="75">
        <f t="shared" si="72"/>
        <v>1.9230769230769232E-2</v>
      </c>
      <c r="BP467" s="75">
        <f t="shared" si="73"/>
        <v>1.9230769230769232E-2</v>
      </c>
    </row>
    <row r="468" spans="1:68" ht="27" customHeight="1" x14ac:dyDescent="0.25">
      <c r="A468" s="60" t="s">
        <v>748</v>
      </c>
      <c r="B468" s="60" t="s">
        <v>749</v>
      </c>
      <c r="C468" s="34">
        <v>4301031353</v>
      </c>
      <c r="D468" s="646">
        <v>4680115883109</v>
      </c>
      <c r="E468" s="646"/>
      <c r="F468" s="59">
        <v>0.88</v>
      </c>
      <c r="G468" s="35">
        <v>6</v>
      </c>
      <c r="H468" s="59">
        <v>5.28</v>
      </c>
      <c r="I468" s="59">
        <v>5.63</v>
      </c>
      <c r="J468" s="35">
        <v>104</v>
      </c>
      <c r="K468" s="35" t="s">
        <v>130</v>
      </c>
      <c r="L468" s="35" t="s">
        <v>46</v>
      </c>
      <c r="M468" s="36" t="s">
        <v>81</v>
      </c>
      <c r="N468" s="36"/>
      <c r="O468" s="35">
        <v>70</v>
      </c>
      <c r="P468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8" s="648"/>
      <c r="R468" s="648"/>
      <c r="S468" s="648"/>
      <c r="T468" s="649"/>
      <c r="U468" s="37" t="s">
        <v>46</v>
      </c>
      <c r="V468" s="37" t="s">
        <v>46</v>
      </c>
      <c r="W468" s="38" t="s">
        <v>0</v>
      </c>
      <c r="X468" s="56">
        <v>10.56</v>
      </c>
      <c r="Y468" s="53">
        <f t="shared" si="69"/>
        <v>10.56</v>
      </c>
      <c r="Z468" s="39">
        <f>IFERROR(IF(Y468=0,"",ROUNDUP(Y468/H468,0)*0.01196),"")</f>
        <v>2.392E-2</v>
      </c>
      <c r="AA468" s="65" t="s">
        <v>46</v>
      </c>
      <c r="AB468" s="66" t="s">
        <v>46</v>
      </c>
      <c r="AC468" s="551" t="s">
        <v>750</v>
      </c>
      <c r="AG468" s="75"/>
      <c r="AJ468" s="79" t="s">
        <v>46</v>
      </c>
      <c r="AK468" s="79">
        <v>0</v>
      </c>
      <c r="BB468" s="552" t="s">
        <v>67</v>
      </c>
      <c r="BM468" s="75">
        <f t="shared" si="70"/>
        <v>11.26</v>
      </c>
      <c r="BN468" s="75">
        <f t="shared" si="71"/>
        <v>11.26</v>
      </c>
      <c r="BO468" s="75">
        <f t="shared" si="72"/>
        <v>1.9230769230769232E-2</v>
      </c>
      <c r="BP468" s="75">
        <f t="shared" si="73"/>
        <v>1.9230769230769232E-2</v>
      </c>
    </row>
    <row r="469" spans="1:68" ht="27" customHeight="1" x14ac:dyDescent="0.25">
      <c r="A469" s="60" t="s">
        <v>751</v>
      </c>
      <c r="B469" s="60" t="s">
        <v>752</v>
      </c>
      <c r="C469" s="34">
        <v>4301031419</v>
      </c>
      <c r="D469" s="646">
        <v>4680115882072</v>
      </c>
      <c r="E469" s="646"/>
      <c r="F469" s="59">
        <v>0.6</v>
      </c>
      <c r="G469" s="35">
        <v>8</v>
      </c>
      <c r="H469" s="59">
        <v>4.8</v>
      </c>
      <c r="I469" s="59">
        <v>6.91</v>
      </c>
      <c r="J469" s="35">
        <v>132</v>
      </c>
      <c r="K469" s="35" t="s">
        <v>137</v>
      </c>
      <c r="L469" s="35" t="s">
        <v>46</v>
      </c>
      <c r="M469" s="36" t="s">
        <v>129</v>
      </c>
      <c r="N469" s="36"/>
      <c r="O469" s="35">
        <v>70</v>
      </c>
      <c r="P469" s="8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10.56</v>
      </c>
      <c r="Y469" s="53">
        <f t="shared" si="69"/>
        <v>14.399999999999999</v>
      </c>
      <c r="Z469" s="39">
        <f>IFERROR(IF(Y469=0,"",ROUNDUP(Y469/H469,0)*0.00902),"")</f>
        <v>2.7060000000000001E-2</v>
      </c>
      <c r="AA469" s="65" t="s">
        <v>46</v>
      </c>
      <c r="AB469" s="66" t="s">
        <v>46</v>
      </c>
      <c r="AC469" s="553" t="s">
        <v>744</v>
      </c>
      <c r="AG469" s="75"/>
      <c r="AJ469" s="79" t="s">
        <v>46</v>
      </c>
      <c r="AK469" s="79">
        <v>0</v>
      </c>
      <c r="BB469" s="554" t="s">
        <v>67</v>
      </c>
      <c r="BM469" s="75">
        <f t="shared" si="70"/>
        <v>15.202</v>
      </c>
      <c r="BN469" s="75">
        <f t="shared" si="71"/>
        <v>20.73</v>
      </c>
      <c r="BO469" s="75">
        <f t="shared" si="72"/>
        <v>1.666666666666667E-2</v>
      </c>
      <c r="BP469" s="75">
        <f t="shared" si="73"/>
        <v>2.2727272727272728E-2</v>
      </c>
    </row>
    <row r="470" spans="1:68" ht="27" customHeight="1" x14ac:dyDescent="0.25">
      <c r="A470" s="60" t="s">
        <v>753</v>
      </c>
      <c r="B470" s="60" t="s">
        <v>754</v>
      </c>
      <c r="C470" s="34">
        <v>4301031352</v>
      </c>
      <c r="D470" s="646">
        <v>4680115882102</v>
      </c>
      <c r="E470" s="646"/>
      <c r="F470" s="59">
        <v>0.6</v>
      </c>
      <c r="G470" s="35">
        <v>6</v>
      </c>
      <c r="H470" s="59">
        <v>3.6</v>
      </c>
      <c r="I470" s="59">
        <v>3.79</v>
      </c>
      <c r="J470" s="35">
        <v>132</v>
      </c>
      <c r="K470" s="35" t="s">
        <v>137</v>
      </c>
      <c r="L470" s="35" t="s">
        <v>46</v>
      </c>
      <c r="M470" s="36" t="s">
        <v>81</v>
      </c>
      <c r="N470" s="36"/>
      <c r="O470" s="35">
        <v>70</v>
      </c>
      <c r="P470" s="89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69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5" t="s">
        <v>747</v>
      </c>
      <c r="AG470" s="75"/>
      <c r="AJ470" s="79" t="s">
        <v>46</v>
      </c>
      <c r="AK470" s="79">
        <v>0</v>
      </c>
      <c r="BB470" s="556" t="s">
        <v>67</v>
      </c>
      <c r="BM470" s="75">
        <f t="shared" si="70"/>
        <v>0</v>
      </c>
      <c r="BN470" s="75">
        <f t="shared" si="71"/>
        <v>0</v>
      </c>
      <c r="BO470" s="75">
        <f t="shared" si="72"/>
        <v>0</v>
      </c>
      <c r="BP470" s="75">
        <f t="shared" si="73"/>
        <v>0</v>
      </c>
    </row>
    <row r="471" spans="1:68" ht="27" customHeight="1" x14ac:dyDescent="0.25">
      <c r="A471" s="60" t="s">
        <v>753</v>
      </c>
      <c r="B471" s="60" t="s">
        <v>755</v>
      </c>
      <c r="C471" s="34">
        <v>4301031418</v>
      </c>
      <c r="D471" s="646">
        <v>4680115882102</v>
      </c>
      <c r="E471" s="646"/>
      <c r="F471" s="59">
        <v>0.6</v>
      </c>
      <c r="G471" s="35">
        <v>8</v>
      </c>
      <c r="H471" s="59">
        <v>4.8</v>
      </c>
      <c r="I471" s="59">
        <v>6.67</v>
      </c>
      <c r="J471" s="35">
        <v>132</v>
      </c>
      <c r="K471" s="35" t="s">
        <v>137</v>
      </c>
      <c r="L471" s="35" t="s">
        <v>46</v>
      </c>
      <c r="M471" s="36" t="s">
        <v>81</v>
      </c>
      <c r="N471" s="36"/>
      <c r="O471" s="35">
        <v>70</v>
      </c>
      <c r="P471" s="89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69"/>
        <v>0</v>
      </c>
      <c r="Z471" s="39" t="str">
        <f>IFERROR(IF(Y471=0,"",ROUNDUP(Y471/H471,0)*0.00902),"")</f>
        <v/>
      </c>
      <c r="AA471" s="65" t="s">
        <v>46</v>
      </c>
      <c r="AB471" s="66" t="s">
        <v>46</v>
      </c>
      <c r="AC471" s="557" t="s">
        <v>747</v>
      </c>
      <c r="AG471" s="75"/>
      <c r="AJ471" s="79" t="s">
        <v>46</v>
      </c>
      <c r="AK471" s="79">
        <v>0</v>
      </c>
      <c r="BB471" s="558" t="s">
        <v>67</v>
      </c>
      <c r="BM471" s="75">
        <f t="shared" si="70"/>
        <v>0</v>
      </c>
      <c r="BN471" s="75">
        <f t="shared" si="71"/>
        <v>0</v>
      </c>
      <c r="BO471" s="75">
        <f t="shared" si="72"/>
        <v>0</v>
      </c>
      <c r="BP471" s="75">
        <f t="shared" si="73"/>
        <v>0</v>
      </c>
    </row>
    <row r="472" spans="1:68" ht="27" customHeight="1" x14ac:dyDescent="0.25">
      <c r="A472" s="60" t="s">
        <v>756</v>
      </c>
      <c r="B472" s="60" t="s">
        <v>757</v>
      </c>
      <c r="C472" s="34">
        <v>4301031417</v>
      </c>
      <c r="D472" s="646">
        <v>4680115882096</v>
      </c>
      <c r="E472" s="646"/>
      <c r="F472" s="59">
        <v>0.6</v>
      </c>
      <c r="G472" s="35">
        <v>8</v>
      </c>
      <c r="H472" s="59">
        <v>4.8</v>
      </c>
      <c r="I472" s="59">
        <v>6.67</v>
      </c>
      <c r="J472" s="35">
        <v>132</v>
      </c>
      <c r="K472" s="35" t="s">
        <v>137</v>
      </c>
      <c r="L472" s="35" t="s">
        <v>46</v>
      </c>
      <c r="M472" s="36" t="s">
        <v>81</v>
      </c>
      <c r="N472" s="36"/>
      <c r="O472" s="35">
        <v>70</v>
      </c>
      <c r="P472" s="8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9"/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59" t="s">
        <v>750</v>
      </c>
      <c r="AG472" s="75"/>
      <c r="AJ472" s="79" t="s">
        <v>46</v>
      </c>
      <c r="AK472" s="79">
        <v>0</v>
      </c>
      <c r="BB472" s="560" t="s">
        <v>67</v>
      </c>
      <c r="BM472" s="75">
        <f t="shared" si="70"/>
        <v>0</v>
      </c>
      <c r="BN472" s="75">
        <f t="shared" si="71"/>
        <v>0</v>
      </c>
      <c r="BO472" s="75">
        <f t="shared" si="72"/>
        <v>0</v>
      </c>
      <c r="BP472" s="75">
        <f t="shared" si="73"/>
        <v>0</v>
      </c>
    </row>
    <row r="473" spans="1:68" x14ac:dyDescent="0.2">
      <c r="A473" s="654"/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5"/>
      <c r="P473" s="651" t="s">
        <v>40</v>
      </c>
      <c r="Q473" s="652"/>
      <c r="R473" s="652"/>
      <c r="S473" s="652"/>
      <c r="T473" s="652"/>
      <c r="U473" s="652"/>
      <c r="V473" s="653"/>
      <c r="W473" s="40" t="s">
        <v>39</v>
      </c>
      <c r="X473" s="41">
        <f>IFERROR(X466/H466,"0")+IFERROR(X467/H467,"0")+IFERROR(X468/H468,"0")+IFERROR(X469/H469,"0")+IFERROR(X470/H470,"0")+IFERROR(X471/H471,"0")+IFERROR(X472/H472,"0")</f>
        <v>8.1999999999999993</v>
      </c>
      <c r="Y473" s="41">
        <f>IFERROR(Y466/H466,"0")+IFERROR(Y467/H467,"0")+IFERROR(Y468/H468,"0")+IFERROR(Y469/H469,"0")+IFERROR(Y470/H470,"0")+IFERROR(Y471/H471,"0")+IFERROR(Y472/H472,"0")</f>
        <v>9</v>
      </c>
      <c r="Z473" s="41">
        <f>IFERROR(IF(Z466="",0,Z466),"0")+IFERROR(IF(Z467="",0,Z467),"0")+IFERROR(IF(Z468="",0,Z468),"0")+IFERROR(IF(Z469="",0,Z469),"0")+IFERROR(IF(Z470="",0,Z470),"0")+IFERROR(IF(Z471="",0,Z471),"0")+IFERROR(IF(Z472="",0,Z472),"0")</f>
        <v>9.8820000000000005E-2</v>
      </c>
      <c r="AA473" s="64"/>
      <c r="AB473" s="64"/>
      <c r="AC473" s="64"/>
    </row>
    <row r="474" spans="1:68" x14ac:dyDescent="0.2">
      <c r="A474" s="654"/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5"/>
      <c r="P474" s="651" t="s">
        <v>40</v>
      </c>
      <c r="Q474" s="652"/>
      <c r="R474" s="652"/>
      <c r="S474" s="652"/>
      <c r="T474" s="652"/>
      <c r="U474" s="652"/>
      <c r="V474" s="653"/>
      <c r="W474" s="40" t="s">
        <v>0</v>
      </c>
      <c r="X474" s="41">
        <f>IFERROR(SUM(X466:X472),"0")</f>
        <v>42.24</v>
      </c>
      <c r="Y474" s="41">
        <f>IFERROR(SUM(Y466:Y472),"0")</f>
        <v>46.08</v>
      </c>
      <c r="Z474" s="40"/>
      <c r="AA474" s="64"/>
      <c r="AB474" s="64"/>
      <c r="AC474" s="64"/>
    </row>
    <row r="475" spans="1:68" ht="27.75" customHeight="1" x14ac:dyDescent="0.2">
      <c r="A475" s="643" t="s">
        <v>758</v>
      </c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3"/>
      <c r="P475" s="643"/>
      <c r="Q475" s="643"/>
      <c r="R475" s="643"/>
      <c r="S475" s="643"/>
      <c r="T475" s="643"/>
      <c r="U475" s="643"/>
      <c r="V475" s="643"/>
      <c r="W475" s="643"/>
      <c r="X475" s="643"/>
      <c r="Y475" s="643"/>
      <c r="Z475" s="643"/>
      <c r="AA475" s="52"/>
      <c r="AB475" s="52"/>
      <c r="AC475" s="52"/>
    </row>
    <row r="476" spans="1:68" ht="16.5" customHeight="1" x14ac:dyDescent="0.25">
      <c r="A476" s="644" t="s">
        <v>758</v>
      </c>
      <c r="B476" s="644"/>
      <c r="C476" s="644"/>
      <c r="D476" s="644"/>
      <c r="E476" s="644"/>
      <c r="F476" s="644"/>
      <c r="G476" s="644"/>
      <c r="H476" s="644"/>
      <c r="I476" s="644"/>
      <c r="J476" s="644"/>
      <c r="K476" s="644"/>
      <c r="L476" s="644"/>
      <c r="M476" s="644"/>
      <c r="N476" s="644"/>
      <c r="O476" s="644"/>
      <c r="P476" s="644"/>
      <c r="Q476" s="644"/>
      <c r="R476" s="644"/>
      <c r="S476" s="644"/>
      <c r="T476" s="644"/>
      <c r="U476" s="644"/>
      <c r="V476" s="644"/>
      <c r="W476" s="644"/>
      <c r="X476" s="644"/>
      <c r="Y476" s="644"/>
      <c r="Z476" s="644"/>
      <c r="AA476" s="62"/>
      <c r="AB476" s="62"/>
      <c r="AC476" s="62"/>
    </row>
    <row r="477" spans="1:68" ht="14.25" customHeight="1" x14ac:dyDescent="0.25">
      <c r="A477" s="645" t="s">
        <v>125</v>
      </c>
      <c r="B477" s="645"/>
      <c r="C477" s="645"/>
      <c r="D477" s="645"/>
      <c r="E477" s="645"/>
      <c r="F477" s="645"/>
      <c r="G477" s="645"/>
      <c r="H477" s="645"/>
      <c r="I477" s="645"/>
      <c r="J477" s="645"/>
      <c r="K477" s="645"/>
      <c r="L477" s="645"/>
      <c r="M477" s="645"/>
      <c r="N477" s="645"/>
      <c r="O477" s="645"/>
      <c r="P477" s="645"/>
      <c r="Q477" s="645"/>
      <c r="R477" s="645"/>
      <c r="S477" s="645"/>
      <c r="T477" s="645"/>
      <c r="U477" s="645"/>
      <c r="V477" s="645"/>
      <c r="W477" s="645"/>
      <c r="X477" s="645"/>
      <c r="Y477" s="645"/>
      <c r="Z477" s="645"/>
      <c r="AA477" s="63"/>
      <c r="AB477" s="63"/>
      <c r="AC477" s="63"/>
    </row>
    <row r="478" spans="1:68" ht="27" customHeight="1" x14ac:dyDescent="0.25">
      <c r="A478" s="60" t="s">
        <v>759</v>
      </c>
      <c r="B478" s="60" t="s">
        <v>760</v>
      </c>
      <c r="C478" s="34">
        <v>4301011584</v>
      </c>
      <c r="D478" s="646">
        <v>4640242180564</v>
      </c>
      <c r="E478" s="646"/>
      <c r="F478" s="59">
        <v>1.5</v>
      </c>
      <c r="G478" s="35">
        <v>8</v>
      </c>
      <c r="H478" s="59">
        <v>12</v>
      </c>
      <c r="I478" s="59">
        <v>12.41</v>
      </c>
      <c r="J478" s="35">
        <v>64</v>
      </c>
      <c r="K478" s="35" t="s">
        <v>130</v>
      </c>
      <c r="L478" s="35" t="s">
        <v>46</v>
      </c>
      <c r="M478" s="36" t="s">
        <v>129</v>
      </c>
      <c r="N478" s="36"/>
      <c r="O478" s="35">
        <v>50</v>
      </c>
      <c r="P478" s="89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IFERROR(IF(Y478=0,"",ROUNDUP(Y478/H478,0)*0.01898),"")</f>
        <v/>
      </c>
      <c r="AA478" s="65" t="s">
        <v>46</v>
      </c>
      <c r="AB478" s="66" t="s">
        <v>46</v>
      </c>
      <c r="AC478" s="561" t="s">
        <v>761</v>
      </c>
      <c r="AG478" s="75"/>
      <c r="AJ478" s="79" t="s">
        <v>46</v>
      </c>
      <c r="AK478" s="79">
        <v>0</v>
      </c>
      <c r="BB478" s="562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x14ac:dyDescent="0.2">
      <c r="A479" s="654"/>
      <c r="B479" s="654"/>
      <c r="C479" s="654"/>
      <c r="D479" s="654"/>
      <c r="E479" s="654"/>
      <c r="F479" s="654"/>
      <c r="G479" s="654"/>
      <c r="H479" s="654"/>
      <c r="I479" s="654"/>
      <c r="J479" s="654"/>
      <c r="K479" s="654"/>
      <c r="L479" s="654"/>
      <c r="M479" s="654"/>
      <c r="N479" s="654"/>
      <c r="O479" s="655"/>
      <c r="P479" s="651" t="s">
        <v>40</v>
      </c>
      <c r="Q479" s="652"/>
      <c r="R479" s="652"/>
      <c r="S479" s="652"/>
      <c r="T479" s="652"/>
      <c r="U479" s="652"/>
      <c r="V479" s="653"/>
      <c r="W479" s="40" t="s">
        <v>39</v>
      </c>
      <c r="X479" s="41">
        <f>IFERROR(X478/H478,"0")</f>
        <v>0</v>
      </c>
      <c r="Y479" s="41">
        <f>IFERROR(Y478/H478,"0")</f>
        <v>0</v>
      </c>
      <c r="Z479" s="41">
        <f>IFERROR(IF(Z478="",0,Z478),"0")</f>
        <v>0</v>
      </c>
      <c r="AA479" s="64"/>
      <c r="AB479" s="64"/>
      <c r="AC479" s="64"/>
    </row>
    <row r="480" spans="1:68" x14ac:dyDescent="0.2">
      <c r="A480" s="654"/>
      <c r="B480" s="654"/>
      <c r="C480" s="654"/>
      <c r="D480" s="654"/>
      <c r="E480" s="654"/>
      <c r="F480" s="654"/>
      <c r="G480" s="654"/>
      <c r="H480" s="654"/>
      <c r="I480" s="654"/>
      <c r="J480" s="654"/>
      <c r="K480" s="654"/>
      <c r="L480" s="654"/>
      <c r="M480" s="654"/>
      <c r="N480" s="654"/>
      <c r="O480" s="655"/>
      <c r="P480" s="651" t="s">
        <v>40</v>
      </c>
      <c r="Q480" s="652"/>
      <c r="R480" s="652"/>
      <c r="S480" s="652"/>
      <c r="T480" s="652"/>
      <c r="U480" s="652"/>
      <c r="V480" s="653"/>
      <c r="W480" s="40" t="s">
        <v>0</v>
      </c>
      <c r="X480" s="41">
        <f>IFERROR(SUM(X478:X478),"0")</f>
        <v>0</v>
      </c>
      <c r="Y480" s="41">
        <f>IFERROR(SUM(Y478:Y478),"0")</f>
        <v>0</v>
      </c>
      <c r="Z480" s="40"/>
      <c r="AA480" s="64"/>
      <c r="AB480" s="64"/>
      <c r="AC480" s="64"/>
    </row>
    <row r="481" spans="1:68" ht="14.25" customHeight="1" x14ac:dyDescent="0.25">
      <c r="A481" s="645" t="s">
        <v>159</v>
      </c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5"/>
      <c r="P481" s="645"/>
      <c r="Q481" s="645"/>
      <c r="R481" s="645"/>
      <c r="S481" s="645"/>
      <c r="T481" s="645"/>
      <c r="U481" s="645"/>
      <c r="V481" s="645"/>
      <c r="W481" s="645"/>
      <c r="X481" s="645"/>
      <c r="Y481" s="645"/>
      <c r="Z481" s="645"/>
      <c r="AA481" s="63"/>
      <c r="AB481" s="63"/>
      <c r="AC481" s="63"/>
    </row>
    <row r="482" spans="1:68" ht="27" customHeight="1" x14ac:dyDescent="0.25">
      <c r="A482" s="60" t="s">
        <v>762</v>
      </c>
      <c r="B482" s="60" t="s">
        <v>763</v>
      </c>
      <c r="C482" s="34">
        <v>4301020400</v>
      </c>
      <c r="D482" s="646">
        <v>4640242180519</v>
      </c>
      <c r="E482" s="646"/>
      <c r="F482" s="59">
        <v>1.5</v>
      </c>
      <c r="G482" s="35">
        <v>8</v>
      </c>
      <c r="H482" s="59">
        <v>12</v>
      </c>
      <c r="I482" s="59">
        <v>12.41</v>
      </c>
      <c r="J482" s="35">
        <v>64</v>
      </c>
      <c r="K482" s="35" t="s">
        <v>130</v>
      </c>
      <c r="L482" s="35" t="s">
        <v>46</v>
      </c>
      <c r="M482" s="36" t="s">
        <v>129</v>
      </c>
      <c r="N482" s="36"/>
      <c r="O482" s="35">
        <v>50</v>
      </c>
      <c r="P482" s="8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2" s="648"/>
      <c r="R482" s="648"/>
      <c r="S482" s="648"/>
      <c r="T482" s="649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IFERROR(IF(Y482=0,"",ROUNDUP(Y482/H482,0)*0.01898),"")</f>
        <v/>
      </c>
      <c r="AA482" s="65" t="s">
        <v>46</v>
      </c>
      <c r="AB482" s="66" t="s">
        <v>46</v>
      </c>
      <c r="AC482" s="563" t="s">
        <v>764</v>
      </c>
      <c r="AG482" s="75"/>
      <c r="AJ482" s="79" t="s">
        <v>46</v>
      </c>
      <c r="AK482" s="79">
        <v>0</v>
      </c>
      <c r="BB482" s="564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x14ac:dyDescent="0.2">
      <c r="A483" s="654"/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5"/>
      <c r="P483" s="651" t="s">
        <v>40</v>
      </c>
      <c r="Q483" s="652"/>
      <c r="R483" s="652"/>
      <c r="S483" s="652"/>
      <c r="T483" s="652"/>
      <c r="U483" s="652"/>
      <c r="V483" s="653"/>
      <c r="W483" s="40" t="s">
        <v>39</v>
      </c>
      <c r="X483" s="41">
        <f>IFERROR(X482/H482,"0")</f>
        <v>0</v>
      </c>
      <c r="Y483" s="41">
        <f>IFERROR(Y482/H482,"0")</f>
        <v>0</v>
      </c>
      <c r="Z483" s="41">
        <f>IFERROR(IF(Z482="",0,Z482),"0")</f>
        <v>0</v>
      </c>
      <c r="AA483" s="64"/>
      <c r="AB483" s="64"/>
      <c r="AC483" s="64"/>
    </row>
    <row r="484" spans="1:68" x14ac:dyDescent="0.2">
      <c r="A484" s="654"/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5"/>
      <c r="P484" s="651" t="s">
        <v>40</v>
      </c>
      <c r="Q484" s="652"/>
      <c r="R484" s="652"/>
      <c r="S484" s="652"/>
      <c r="T484" s="652"/>
      <c r="U484" s="652"/>
      <c r="V484" s="653"/>
      <c r="W484" s="40" t="s">
        <v>0</v>
      </c>
      <c r="X484" s="41">
        <f>IFERROR(SUM(X482:X482),"0")</f>
        <v>0</v>
      </c>
      <c r="Y484" s="41">
        <f>IFERROR(SUM(Y482:Y482),"0")</f>
        <v>0</v>
      </c>
      <c r="Z484" s="40"/>
      <c r="AA484" s="64"/>
      <c r="AB484" s="64"/>
      <c r="AC484" s="64"/>
    </row>
    <row r="485" spans="1:68" ht="14.25" customHeight="1" x14ac:dyDescent="0.25">
      <c r="A485" s="645" t="s">
        <v>77</v>
      </c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5"/>
      <c r="P485" s="645"/>
      <c r="Q485" s="645"/>
      <c r="R485" s="645"/>
      <c r="S485" s="645"/>
      <c r="T485" s="645"/>
      <c r="U485" s="645"/>
      <c r="V485" s="645"/>
      <c r="W485" s="645"/>
      <c r="X485" s="645"/>
      <c r="Y485" s="645"/>
      <c r="Z485" s="645"/>
      <c r="AA485" s="63"/>
      <c r="AB485" s="63"/>
      <c r="AC485" s="63"/>
    </row>
    <row r="486" spans="1:68" ht="27" customHeight="1" x14ac:dyDescent="0.25">
      <c r="A486" s="60" t="s">
        <v>765</v>
      </c>
      <c r="B486" s="60" t="s">
        <v>766</v>
      </c>
      <c r="C486" s="34">
        <v>4301031467</v>
      </c>
      <c r="D486" s="646">
        <v>4640242180595</v>
      </c>
      <c r="E486" s="646"/>
      <c r="F486" s="59">
        <v>0.8</v>
      </c>
      <c r="G486" s="35">
        <v>6</v>
      </c>
      <c r="H486" s="59">
        <v>4.8</v>
      </c>
      <c r="I486" s="59">
        <v>5.05</v>
      </c>
      <c r="J486" s="35">
        <v>132</v>
      </c>
      <c r="K486" s="35" t="s">
        <v>137</v>
      </c>
      <c r="L486" s="35" t="s">
        <v>46</v>
      </c>
      <c r="M486" s="36" t="s">
        <v>81</v>
      </c>
      <c r="N486" s="36"/>
      <c r="O486" s="35">
        <v>40</v>
      </c>
      <c r="P486" s="89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6" s="648"/>
      <c r="R486" s="648"/>
      <c r="S486" s="648"/>
      <c r="T486" s="649"/>
      <c r="U486" s="37" t="s">
        <v>46</v>
      </c>
      <c r="V486" s="37" t="s">
        <v>46</v>
      </c>
      <c r="W486" s="38" t="s">
        <v>0</v>
      </c>
      <c r="X486" s="56">
        <v>24</v>
      </c>
      <c r="Y486" s="53">
        <f>IFERROR(IF(X486="",0,CEILING((X486/$H486),1)*$H486),"")</f>
        <v>24</v>
      </c>
      <c r="Z486" s="39">
        <f>IFERROR(IF(Y486=0,"",ROUNDUP(Y486/H486,0)*0.00902),"")</f>
        <v>4.5100000000000001E-2</v>
      </c>
      <c r="AA486" s="65" t="s">
        <v>46</v>
      </c>
      <c r="AB486" s="66" t="s">
        <v>46</v>
      </c>
      <c r="AC486" s="565" t="s">
        <v>767</v>
      </c>
      <c r="AG486" s="75"/>
      <c r="AJ486" s="79" t="s">
        <v>46</v>
      </c>
      <c r="AK486" s="79">
        <v>0</v>
      </c>
      <c r="BB486" s="566" t="s">
        <v>67</v>
      </c>
      <c r="BM486" s="75">
        <f>IFERROR(X486*I486/H486,"0")</f>
        <v>25.25</v>
      </c>
      <c r="BN486" s="75">
        <f>IFERROR(Y486*I486/H486,"0")</f>
        <v>25.25</v>
      </c>
      <c r="BO486" s="75">
        <f>IFERROR(1/J486*(X486/H486),"0")</f>
        <v>3.787878787878788E-2</v>
      </c>
      <c r="BP486" s="75">
        <f>IFERROR(1/J486*(Y486/H486),"0")</f>
        <v>3.787878787878788E-2</v>
      </c>
    </row>
    <row r="487" spans="1:68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51" t="s">
        <v>40</v>
      </c>
      <c r="Q487" s="652"/>
      <c r="R487" s="652"/>
      <c r="S487" s="652"/>
      <c r="T487" s="652"/>
      <c r="U487" s="652"/>
      <c r="V487" s="653"/>
      <c r="W487" s="40" t="s">
        <v>39</v>
      </c>
      <c r="X487" s="41">
        <f>IFERROR(X486/H486,"0")</f>
        <v>5</v>
      </c>
      <c r="Y487" s="41">
        <f>IFERROR(Y486/H486,"0")</f>
        <v>5</v>
      </c>
      <c r="Z487" s="41">
        <f>IFERROR(IF(Z486="",0,Z486),"0")</f>
        <v>4.5100000000000001E-2</v>
      </c>
      <c r="AA487" s="64"/>
      <c r="AB487" s="64"/>
      <c r="AC487" s="64"/>
    </row>
    <row r="488" spans="1:68" x14ac:dyDescent="0.2">
      <c r="A488" s="654"/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5"/>
      <c r="P488" s="651" t="s">
        <v>40</v>
      </c>
      <c r="Q488" s="652"/>
      <c r="R488" s="652"/>
      <c r="S488" s="652"/>
      <c r="T488" s="652"/>
      <c r="U488" s="652"/>
      <c r="V488" s="653"/>
      <c r="W488" s="40" t="s">
        <v>0</v>
      </c>
      <c r="X488" s="41">
        <f>IFERROR(SUM(X486:X486),"0")</f>
        <v>24</v>
      </c>
      <c r="Y488" s="41">
        <f>IFERROR(SUM(Y486:Y486),"0")</f>
        <v>24</v>
      </c>
      <c r="Z488" s="40"/>
      <c r="AA488" s="64"/>
      <c r="AB488" s="64"/>
      <c r="AC488" s="64"/>
    </row>
    <row r="489" spans="1:68" ht="14.25" customHeight="1" x14ac:dyDescent="0.25">
      <c r="A489" s="645" t="s">
        <v>87</v>
      </c>
      <c r="B489" s="645"/>
      <c r="C489" s="645"/>
      <c r="D489" s="645"/>
      <c r="E489" s="645"/>
      <c r="F489" s="645"/>
      <c r="G489" s="645"/>
      <c r="H489" s="645"/>
      <c r="I489" s="645"/>
      <c r="J489" s="645"/>
      <c r="K489" s="645"/>
      <c r="L489" s="645"/>
      <c r="M489" s="645"/>
      <c r="N489" s="645"/>
      <c r="O489" s="645"/>
      <c r="P489" s="645"/>
      <c r="Q489" s="645"/>
      <c r="R489" s="645"/>
      <c r="S489" s="645"/>
      <c r="T489" s="645"/>
      <c r="U489" s="645"/>
      <c r="V489" s="645"/>
      <c r="W489" s="645"/>
      <c r="X489" s="645"/>
      <c r="Y489" s="645"/>
      <c r="Z489" s="645"/>
      <c r="AA489" s="63"/>
      <c r="AB489" s="63"/>
      <c r="AC489" s="63"/>
    </row>
    <row r="490" spans="1:68" ht="27" customHeight="1" x14ac:dyDescent="0.25">
      <c r="A490" s="60" t="s">
        <v>768</v>
      </c>
      <c r="B490" s="60" t="s">
        <v>769</v>
      </c>
      <c r="C490" s="34">
        <v>4301052046</v>
      </c>
      <c r="D490" s="646">
        <v>4640242180533</v>
      </c>
      <c r="E490" s="646"/>
      <c r="F490" s="59">
        <v>1.5</v>
      </c>
      <c r="G490" s="35">
        <v>6</v>
      </c>
      <c r="H490" s="59">
        <v>9</v>
      </c>
      <c r="I490" s="59">
        <v>9.4939999999999998</v>
      </c>
      <c r="J490" s="35">
        <v>64</v>
      </c>
      <c r="K490" s="35" t="s">
        <v>130</v>
      </c>
      <c r="L490" s="35" t="s">
        <v>46</v>
      </c>
      <c r="M490" s="36" t="s">
        <v>97</v>
      </c>
      <c r="N490" s="36"/>
      <c r="O490" s="35">
        <v>45</v>
      </c>
      <c r="P490" s="89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18</v>
      </c>
      <c r="Y490" s="53">
        <f>IFERROR(IF(X490="",0,CEILING((X490/$H490),1)*$H490),"")</f>
        <v>18</v>
      </c>
      <c r="Z490" s="39">
        <f>IFERROR(IF(Y490=0,"",ROUNDUP(Y490/H490,0)*0.01898),"")</f>
        <v>3.7960000000000001E-2</v>
      </c>
      <c r="AA490" s="65" t="s">
        <v>46</v>
      </c>
      <c r="AB490" s="66" t="s">
        <v>46</v>
      </c>
      <c r="AC490" s="567" t="s">
        <v>770</v>
      </c>
      <c r="AG490" s="75"/>
      <c r="AJ490" s="79" t="s">
        <v>46</v>
      </c>
      <c r="AK490" s="79">
        <v>0</v>
      </c>
      <c r="BB490" s="568" t="s">
        <v>67</v>
      </c>
      <c r="BM490" s="75">
        <f>IFERROR(X490*I490/H490,"0")</f>
        <v>18.988</v>
      </c>
      <c r="BN490" s="75">
        <f>IFERROR(Y490*I490/H490,"0")</f>
        <v>18.988</v>
      </c>
      <c r="BO490" s="75">
        <f>IFERROR(1/J490*(X490/H490),"0")</f>
        <v>3.125E-2</v>
      </c>
      <c r="BP490" s="75">
        <f>IFERROR(1/J490*(Y490/H490),"0")</f>
        <v>3.125E-2</v>
      </c>
    </row>
    <row r="491" spans="1:68" x14ac:dyDescent="0.2">
      <c r="A491" s="654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51" t="s">
        <v>40</v>
      </c>
      <c r="Q491" s="652"/>
      <c r="R491" s="652"/>
      <c r="S491" s="652"/>
      <c r="T491" s="652"/>
      <c r="U491" s="652"/>
      <c r="V491" s="653"/>
      <c r="W491" s="40" t="s">
        <v>39</v>
      </c>
      <c r="X491" s="41">
        <f>IFERROR(X490/H490,"0")</f>
        <v>2</v>
      </c>
      <c r="Y491" s="41">
        <f>IFERROR(Y490/H490,"0")</f>
        <v>2</v>
      </c>
      <c r="Z491" s="41">
        <f>IFERROR(IF(Z490="",0,Z490),"0")</f>
        <v>3.7960000000000001E-2</v>
      </c>
      <c r="AA491" s="64"/>
      <c r="AB491" s="64"/>
      <c r="AC491" s="64"/>
    </row>
    <row r="492" spans="1:68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51" t="s">
        <v>40</v>
      </c>
      <c r="Q492" s="652"/>
      <c r="R492" s="652"/>
      <c r="S492" s="652"/>
      <c r="T492" s="652"/>
      <c r="U492" s="652"/>
      <c r="V492" s="653"/>
      <c r="W492" s="40" t="s">
        <v>0</v>
      </c>
      <c r="X492" s="41">
        <f>IFERROR(SUM(X490:X490),"0")</f>
        <v>18</v>
      </c>
      <c r="Y492" s="41">
        <f>IFERROR(SUM(Y490:Y490),"0")</f>
        <v>18</v>
      </c>
      <c r="Z492" s="40"/>
      <c r="AA492" s="64"/>
      <c r="AB492" s="64"/>
      <c r="AC492" s="64"/>
    </row>
    <row r="493" spans="1:68" ht="14.25" customHeight="1" x14ac:dyDescent="0.25">
      <c r="A493" s="645" t="s">
        <v>176</v>
      </c>
      <c r="B493" s="645"/>
      <c r="C493" s="645"/>
      <c r="D493" s="645"/>
      <c r="E493" s="645"/>
      <c r="F493" s="645"/>
      <c r="G493" s="645"/>
      <c r="H493" s="645"/>
      <c r="I493" s="645"/>
      <c r="J493" s="645"/>
      <c r="K493" s="645"/>
      <c r="L493" s="645"/>
      <c r="M493" s="645"/>
      <c r="N493" s="645"/>
      <c r="O493" s="645"/>
      <c r="P493" s="645"/>
      <c r="Q493" s="645"/>
      <c r="R493" s="645"/>
      <c r="S493" s="645"/>
      <c r="T493" s="645"/>
      <c r="U493" s="645"/>
      <c r="V493" s="645"/>
      <c r="W493" s="645"/>
      <c r="X493" s="645"/>
      <c r="Y493" s="645"/>
      <c r="Z493" s="645"/>
      <c r="AA493" s="63"/>
      <c r="AB493" s="63"/>
      <c r="AC493" s="63"/>
    </row>
    <row r="494" spans="1:68" ht="27" customHeight="1" x14ac:dyDescent="0.25">
      <c r="A494" s="60" t="s">
        <v>771</v>
      </c>
      <c r="B494" s="60" t="s">
        <v>772</v>
      </c>
      <c r="C494" s="34">
        <v>4301060491</v>
      </c>
      <c r="D494" s="646">
        <v>4640242180120</v>
      </c>
      <c r="E494" s="646"/>
      <c r="F494" s="59">
        <v>1.5</v>
      </c>
      <c r="G494" s="35">
        <v>6</v>
      </c>
      <c r="H494" s="59">
        <v>9</v>
      </c>
      <c r="I494" s="59">
        <v>9.41</v>
      </c>
      <c r="J494" s="35">
        <v>64</v>
      </c>
      <c r="K494" s="35" t="s">
        <v>130</v>
      </c>
      <c r="L494" s="35" t="s">
        <v>46</v>
      </c>
      <c r="M494" s="36" t="s">
        <v>91</v>
      </c>
      <c r="N494" s="36"/>
      <c r="O494" s="35">
        <v>40</v>
      </c>
      <c r="P494" s="89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4" s="648"/>
      <c r="R494" s="648"/>
      <c r="S494" s="648"/>
      <c r="T494" s="649"/>
      <c r="U494" s="37" t="s">
        <v>46</v>
      </c>
      <c r="V494" s="37" t="s">
        <v>46</v>
      </c>
      <c r="W494" s="38" t="s">
        <v>0</v>
      </c>
      <c r="X494" s="56">
        <v>9</v>
      </c>
      <c r="Y494" s="53">
        <f>IFERROR(IF(X494="",0,CEILING((X494/$H494),1)*$H494),"")</f>
        <v>9</v>
      </c>
      <c r="Z494" s="39">
        <f>IFERROR(IF(Y494=0,"",ROUNDUP(Y494/H494,0)*0.01898),"")</f>
        <v>1.898E-2</v>
      </c>
      <c r="AA494" s="65" t="s">
        <v>46</v>
      </c>
      <c r="AB494" s="66" t="s">
        <v>46</v>
      </c>
      <c r="AC494" s="569" t="s">
        <v>773</v>
      </c>
      <c r="AG494" s="75"/>
      <c r="AJ494" s="79" t="s">
        <v>46</v>
      </c>
      <c r="AK494" s="79">
        <v>0</v>
      </c>
      <c r="BB494" s="570" t="s">
        <v>67</v>
      </c>
      <c r="BM494" s="75">
        <f>IFERROR(X494*I494/H494,"0")</f>
        <v>9.41</v>
      </c>
      <c r="BN494" s="75">
        <f>IFERROR(Y494*I494/H494,"0")</f>
        <v>9.41</v>
      </c>
      <c r="BO494" s="75">
        <f>IFERROR(1/J494*(X494/H494),"0")</f>
        <v>1.5625E-2</v>
      </c>
      <c r="BP494" s="75">
        <f>IFERROR(1/J494*(Y494/H494),"0")</f>
        <v>1.5625E-2</v>
      </c>
    </row>
    <row r="495" spans="1:68" ht="27" customHeight="1" x14ac:dyDescent="0.25">
      <c r="A495" s="60" t="s">
        <v>774</v>
      </c>
      <c r="B495" s="60" t="s">
        <v>775</v>
      </c>
      <c r="C495" s="34">
        <v>4301060493</v>
      </c>
      <c r="D495" s="646">
        <v>4640242180137</v>
      </c>
      <c r="E495" s="646"/>
      <c r="F495" s="59">
        <v>1.5</v>
      </c>
      <c r="G495" s="35">
        <v>6</v>
      </c>
      <c r="H495" s="59">
        <v>9</v>
      </c>
      <c r="I495" s="59">
        <v>9.41</v>
      </c>
      <c r="J495" s="35">
        <v>64</v>
      </c>
      <c r="K495" s="35" t="s">
        <v>130</v>
      </c>
      <c r="L495" s="35" t="s">
        <v>46</v>
      </c>
      <c r="M495" s="36" t="s">
        <v>91</v>
      </c>
      <c r="N495" s="36"/>
      <c r="O495" s="35">
        <v>40</v>
      </c>
      <c r="P495" s="89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5" s="648"/>
      <c r="R495" s="648"/>
      <c r="S495" s="648"/>
      <c r="T495" s="649"/>
      <c r="U495" s="37" t="s">
        <v>46</v>
      </c>
      <c r="V495" s="37" t="s">
        <v>46</v>
      </c>
      <c r="W495" s="38" t="s">
        <v>0</v>
      </c>
      <c r="X495" s="56">
        <v>9</v>
      </c>
      <c r="Y495" s="53">
        <f>IFERROR(IF(X495="",0,CEILING((X495/$H495),1)*$H495),"")</f>
        <v>9</v>
      </c>
      <c r="Z495" s="39">
        <f>IFERROR(IF(Y495=0,"",ROUNDUP(Y495/H495,0)*0.01898),"")</f>
        <v>1.898E-2</v>
      </c>
      <c r="AA495" s="65" t="s">
        <v>46</v>
      </c>
      <c r="AB495" s="66" t="s">
        <v>46</v>
      </c>
      <c r="AC495" s="571" t="s">
        <v>776</v>
      </c>
      <c r="AG495" s="75"/>
      <c r="AJ495" s="79" t="s">
        <v>46</v>
      </c>
      <c r="AK495" s="79">
        <v>0</v>
      </c>
      <c r="BB495" s="572" t="s">
        <v>67</v>
      </c>
      <c r="BM495" s="75">
        <f>IFERROR(X495*I495/H495,"0")</f>
        <v>9.41</v>
      </c>
      <c r="BN495" s="75">
        <f>IFERROR(Y495*I495/H495,"0")</f>
        <v>9.41</v>
      </c>
      <c r="BO495" s="75">
        <f>IFERROR(1/J495*(X495/H495),"0")</f>
        <v>1.5625E-2</v>
      </c>
      <c r="BP495" s="75">
        <f>IFERROR(1/J495*(Y495/H495),"0")</f>
        <v>1.5625E-2</v>
      </c>
    </row>
    <row r="496" spans="1:68" x14ac:dyDescent="0.2">
      <c r="A496" s="654"/>
      <c r="B496" s="654"/>
      <c r="C496" s="654"/>
      <c r="D496" s="654"/>
      <c r="E496" s="654"/>
      <c r="F496" s="654"/>
      <c r="G496" s="654"/>
      <c r="H496" s="654"/>
      <c r="I496" s="654"/>
      <c r="J496" s="654"/>
      <c r="K496" s="654"/>
      <c r="L496" s="654"/>
      <c r="M496" s="654"/>
      <c r="N496" s="654"/>
      <c r="O496" s="655"/>
      <c r="P496" s="651" t="s">
        <v>40</v>
      </c>
      <c r="Q496" s="652"/>
      <c r="R496" s="652"/>
      <c r="S496" s="652"/>
      <c r="T496" s="652"/>
      <c r="U496" s="652"/>
      <c r="V496" s="653"/>
      <c r="W496" s="40" t="s">
        <v>39</v>
      </c>
      <c r="X496" s="41">
        <f>IFERROR(X494/H494,"0")+IFERROR(X495/H495,"0")</f>
        <v>2</v>
      </c>
      <c r="Y496" s="41">
        <f>IFERROR(Y494/H494,"0")+IFERROR(Y495/H495,"0")</f>
        <v>2</v>
      </c>
      <c r="Z496" s="41">
        <f>IFERROR(IF(Z494="",0,Z494),"0")+IFERROR(IF(Z495="",0,Z495),"0")</f>
        <v>3.7960000000000001E-2</v>
      </c>
      <c r="AA496" s="64"/>
      <c r="AB496" s="64"/>
      <c r="AC496" s="64"/>
    </row>
    <row r="497" spans="1:68" x14ac:dyDescent="0.2">
      <c r="A497" s="654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51" t="s">
        <v>40</v>
      </c>
      <c r="Q497" s="652"/>
      <c r="R497" s="652"/>
      <c r="S497" s="652"/>
      <c r="T497" s="652"/>
      <c r="U497" s="652"/>
      <c r="V497" s="653"/>
      <c r="W497" s="40" t="s">
        <v>0</v>
      </c>
      <c r="X497" s="41">
        <f>IFERROR(SUM(X494:X495),"0")</f>
        <v>18</v>
      </c>
      <c r="Y497" s="41">
        <f>IFERROR(SUM(Y494:Y495),"0")</f>
        <v>18</v>
      </c>
      <c r="Z497" s="40"/>
      <c r="AA497" s="64"/>
      <c r="AB497" s="64"/>
      <c r="AC497" s="64"/>
    </row>
    <row r="498" spans="1:68" ht="16.5" customHeight="1" x14ac:dyDescent="0.25">
      <c r="A498" s="644" t="s">
        <v>777</v>
      </c>
      <c r="B498" s="644"/>
      <c r="C498" s="644"/>
      <c r="D498" s="644"/>
      <c r="E498" s="644"/>
      <c r="F498" s="644"/>
      <c r="G498" s="644"/>
      <c r="H498" s="644"/>
      <c r="I498" s="644"/>
      <c r="J498" s="644"/>
      <c r="K498" s="644"/>
      <c r="L498" s="644"/>
      <c r="M498" s="644"/>
      <c r="N498" s="644"/>
      <c r="O498" s="644"/>
      <c r="P498" s="644"/>
      <c r="Q498" s="644"/>
      <c r="R498" s="644"/>
      <c r="S498" s="644"/>
      <c r="T498" s="644"/>
      <c r="U498" s="644"/>
      <c r="V498" s="644"/>
      <c r="W498" s="644"/>
      <c r="X498" s="644"/>
      <c r="Y498" s="644"/>
      <c r="Z498" s="644"/>
      <c r="AA498" s="62"/>
      <c r="AB498" s="62"/>
      <c r="AC498" s="62"/>
    </row>
    <row r="499" spans="1:68" ht="14.25" customHeight="1" x14ac:dyDescent="0.25">
      <c r="A499" s="645" t="s">
        <v>159</v>
      </c>
      <c r="B499" s="645"/>
      <c r="C499" s="645"/>
      <c r="D499" s="645"/>
      <c r="E499" s="645"/>
      <c r="F499" s="645"/>
      <c r="G499" s="645"/>
      <c r="H499" s="645"/>
      <c r="I499" s="645"/>
      <c r="J499" s="645"/>
      <c r="K499" s="645"/>
      <c r="L499" s="645"/>
      <c r="M499" s="645"/>
      <c r="N499" s="645"/>
      <c r="O499" s="645"/>
      <c r="P499" s="645"/>
      <c r="Q499" s="645"/>
      <c r="R499" s="645"/>
      <c r="S499" s="645"/>
      <c r="T499" s="645"/>
      <c r="U499" s="645"/>
      <c r="V499" s="645"/>
      <c r="W499" s="645"/>
      <c r="X499" s="645"/>
      <c r="Y499" s="645"/>
      <c r="Z499" s="645"/>
      <c r="AA499" s="63"/>
      <c r="AB499" s="63"/>
      <c r="AC499" s="63"/>
    </row>
    <row r="500" spans="1:68" ht="27" customHeight="1" x14ac:dyDescent="0.25">
      <c r="A500" s="60" t="s">
        <v>778</v>
      </c>
      <c r="B500" s="60" t="s">
        <v>779</v>
      </c>
      <c r="C500" s="34">
        <v>4301020314</v>
      </c>
      <c r="D500" s="646">
        <v>4640242180090</v>
      </c>
      <c r="E500" s="64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130</v>
      </c>
      <c r="L500" s="35" t="s">
        <v>46</v>
      </c>
      <c r="M500" s="36" t="s">
        <v>129</v>
      </c>
      <c r="N500" s="36"/>
      <c r="O500" s="35">
        <v>50</v>
      </c>
      <c r="P500" s="9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3" t="s">
        <v>780</v>
      </c>
      <c r="AG500" s="75"/>
      <c r="AJ500" s="79" t="s">
        <v>46</v>
      </c>
      <c r="AK500" s="79">
        <v>0</v>
      </c>
      <c r="BB500" s="574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54"/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5"/>
      <c r="P501" s="651" t="s">
        <v>40</v>
      </c>
      <c r="Q501" s="652"/>
      <c r="R501" s="652"/>
      <c r="S501" s="652"/>
      <c r="T501" s="652"/>
      <c r="U501" s="652"/>
      <c r="V501" s="653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54"/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5"/>
      <c r="P502" s="651" t="s">
        <v>40</v>
      </c>
      <c r="Q502" s="652"/>
      <c r="R502" s="652"/>
      <c r="S502" s="652"/>
      <c r="T502" s="652"/>
      <c r="U502" s="652"/>
      <c r="V502" s="653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5" customHeight="1" x14ac:dyDescent="0.2">
      <c r="A503" s="654"/>
      <c r="B503" s="654"/>
      <c r="C503" s="654"/>
      <c r="D503" s="654"/>
      <c r="E503" s="654"/>
      <c r="F503" s="654"/>
      <c r="G503" s="654"/>
      <c r="H503" s="654"/>
      <c r="I503" s="654"/>
      <c r="J503" s="654"/>
      <c r="K503" s="654"/>
      <c r="L503" s="654"/>
      <c r="M503" s="654"/>
      <c r="N503" s="654"/>
      <c r="O503" s="904"/>
      <c r="P503" s="901" t="s">
        <v>33</v>
      </c>
      <c r="Q503" s="902"/>
      <c r="R503" s="902"/>
      <c r="S503" s="902"/>
      <c r="T503" s="902"/>
      <c r="U503" s="902"/>
      <c r="V503" s="903"/>
      <c r="W503" s="40" t="s">
        <v>0</v>
      </c>
      <c r="X503" s="41">
        <f>IFERROR(X25+X35+X39+X46+X55+X65+X72+X77+X82+X90+X97+X108+X116+X123+X127+X133+X138+X143+X149+X153+X168+X172+X178+X195+X201+X205+X211+X216+X227+X240+X245+X256+X260+X264+X272+X281+X289+X296+X304+X309+X316+X327+X337+X344+X350+X357+X363+X370+X383+X389+X394+X398+X404+X408+X414+X426+X431+X436+X442+X458+X464+X474+X480+X484+X488+X492+X497+X502,"0")</f>
        <v>7661.46</v>
      </c>
      <c r="Y503" s="41">
        <f>IFERROR(Y25+Y35+Y39+Y46+Y55+Y65+Y72+Y77+Y82+Y90+Y97+Y108+Y116+Y123+Y127+Y133+Y138+Y143+Y149+Y153+Y168+Y172+Y178+Y195+Y201+Y205+Y211+Y216+Y227+Y240+Y245+Y256+Y260+Y264+Y272+Y281+Y289+Y296+Y304+Y309+Y316+Y327+Y337+Y344+Y350+Y357+Y363+Y370+Y383+Y389+Y394+Y398+Y404+Y408+Y414+Y426+Y431+Y436+Y442+Y458+Y464+Y474+Y480+Y484+Y488+Y492+Y497+Y502,"0")</f>
        <v>7666.4000000000005</v>
      </c>
      <c r="Z503" s="40"/>
      <c r="AA503" s="64"/>
      <c r="AB503" s="64"/>
      <c r="AC503" s="64"/>
    </row>
    <row r="504" spans="1:68" x14ac:dyDescent="0.2">
      <c r="A504" s="654"/>
      <c r="B504" s="654"/>
      <c r="C504" s="654"/>
      <c r="D504" s="654"/>
      <c r="E504" s="654"/>
      <c r="F504" s="654"/>
      <c r="G504" s="654"/>
      <c r="H504" s="654"/>
      <c r="I504" s="654"/>
      <c r="J504" s="654"/>
      <c r="K504" s="654"/>
      <c r="L504" s="654"/>
      <c r="M504" s="654"/>
      <c r="N504" s="654"/>
      <c r="O504" s="904"/>
      <c r="P504" s="901" t="s">
        <v>34</v>
      </c>
      <c r="Q504" s="902"/>
      <c r="R504" s="902"/>
      <c r="S504" s="902"/>
      <c r="T504" s="902"/>
      <c r="U504" s="902"/>
      <c r="V504" s="903"/>
      <c r="W504" s="40" t="s">
        <v>0</v>
      </c>
      <c r="X504" s="41">
        <f>IFERROR(SUM(BM22:BM500),"0")</f>
        <v>8005.9904955908287</v>
      </c>
      <c r="Y504" s="41">
        <f>IFERROR(SUM(BN22:BN500),"0")</f>
        <v>8012.6929999999993</v>
      </c>
      <c r="Z504" s="40"/>
      <c r="AA504" s="64"/>
      <c r="AB504" s="64"/>
      <c r="AC504" s="64"/>
    </row>
    <row r="505" spans="1:68" x14ac:dyDescent="0.2">
      <c r="A505" s="654"/>
      <c r="B505" s="654"/>
      <c r="C505" s="654"/>
      <c r="D505" s="654"/>
      <c r="E505" s="654"/>
      <c r="F505" s="654"/>
      <c r="G505" s="654"/>
      <c r="H505" s="654"/>
      <c r="I505" s="654"/>
      <c r="J505" s="654"/>
      <c r="K505" s="654"/>
      <c r="L505" s="654"/>
      <c r="M505" s="654"/>
      <c r="N505" s="654"/>
      <c r="O505" s="904"/>
      <c r="P505" s="901" t="s">
        <v>35</v>
      </c>
      <c r="Q505" s="902"/>
      <c r="R505" s="902"/>
      <c r="S505" s="902"/>
      <c r="T505" s="902"/>
      <c r="U505" s="902"/>
      <c r="V505" s="903"/>
      <c r="W505" s="40" t="s">
        <v>20</v>
      </c>
      <c r="X505" s="42">
        <f>ROUNDUP(SUM(BO22:BO500),0)</f>
        <v>13</v>
      </c>
      <c r="Y505" s="42">
        <f>ROUNDUP(SUM(BP22:BP500),0)</f>
        <v>13</v>
      </c>
      <c r="Z505" s="40"/>
      <c r="AA505" s="64"/>
      <c r="AB505" s="64"/>
      <c r="AC505" s="64"/>
    </row>
    <row r="506" spans="1:68" x14ac:dyDescent="0.2">
      <c r="A506" s="654"/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904"/>
      <c r="P506" s="901" t="s">
        <v>36</v>
      </c>
      <c r="Q506" s="902"/>
      <c r="R506" s="902"/>
      <c r="S506" s="902"/>
      <c r="T506" s="902"/>
      <c r="U506" s="902"/>
      <c r="V506" s="903"/>
      <c r="W506" s="40" t="s">
        <v>0</v>
      </c>
      <c r="X506" s="41">
        <f>GrossWeightTotal+PalletQtyTotal*25</f>
        <v>8330.9904955908278</v>
      </c>
      <c r="Y506" s="41">
        <f>GrossWeightTotalR+PalletQtyTotalR*25</f>
        <v>8337.6929999999993</v>
      </c>
      <c r="Z506" s="40"/>
      <c r="AA506" s="64"/>
      <c r="AB506" s="64"/>
      <c r="AC506" s="64"/>
    </row>
    <row r="507" spans="1:68" x14ac:dyDescent="0.2">
      <c r="A507" s="654"/>
      <c r="B507" s="654"/>
      <c r="C507" s="654"/>
      <c r="D507" s="654"/>
      <c r="E507" s="654"/>
      <c r="F507" s="654"/>
      <c r="G507" s="654"/>
      <c r="H507" s="654"/>
      <c r="I507" s="654"/>
      <c r="J507" s="654"/>
      <c r="K507" s="654"/>
      <c r="L507" s="654"/>
      <c r="M507" s="654"/>
      <c r="N507" s="654"/>
      <c r="O507" s="904"/>
      <c r="P507" s="901" t="s">
        <v>37</v>
      </c>
      <c r="Q507" s="902"/>
      <c r="R507" s="902"/>
      <c r="S507" s="902"/>
      <c r="T507" s="902"/>
      <c r="U507" s="902"/>
      <c r="V507" s="903"/>
      <c r="W507" s="40" t="s">
        <v>20</v>
      </c>
      <c r="X507" s="41">
        <f>IFERROR(X24+X34+X38+X45+X54+X64+X71+X76+X81+X89+X96+X107+X115+X122+X126+X132+X137+X142+X148+X152+X167+X171+X177+X194+X200+X204+X210+X215+X226+X239+X244+X255+X259+X263+X271+X280+X288+X295+X303+X308+X315+X326+X336+X343+X349+X356+X362+X369+X382+X388+X393+X397+X403+X407+X413+X425+X430+X435+X441+X457+X463+X473+X479+X483+X487+X491+X496+X501,"0")</f>
        <v>964.95837742504409</v>
      </c>
      <c r="Y507" s="41">
        <f>IFERROR(Y24+Y34+Y38+Y45+Y54+Y64+Y71+Y76+Y81+Y89+Y96+Y107+Y115+Y122+Y126+Y132+Y137+Y142+Y148+Y152+Y167+Y171+Y177+Y194+Y200+Y204+Y210+Y215+Y226+Y239+Y244+Y255+Y259+Y263+Y271+Y280+Y288+Y295+Y303+Y308+Y315+Y326+Y336+Y343+Y349+Y356+Y362+Y369+Y382+Y388+Y393+Y397+Y403+Y407+Y413+Y425+Y430+Y435+Y441+Y457+Y463+Y473+Y479+Y483+Y487+Y491+Y496+Y501,"0")</f>
        <v>966</v>
      </c>
      <c r="Z507" s="40"/>
      <c r="AA507" s="64"/>
      <c r="AB507" s="64"/>
      <c r="AC507" s="64"/>
    </row>
    <row r="508" spans="1:68" ht="14.25" x14ac:dyDescent="0.2">
      <c r="A508" s="654"/>
      <c r="B508" s="654"/>
      <c r="C508" s="654"/>
      <c r="D508" s="654"/>
      <c r="E508" s="654"/>
      <c r="F508" s="654"/>
      <c r="G508" s="654"/>
      <c r="H508" s="654"/>
      <c r="I508" s="654"/>
      <c r="J508" s="654"/>
      <c r="K508" s="654"/>
      <c r="L508" s="654"/>
      <c r="M508" s="654"/>
      <c r="N508" s="654"/>
      <c r="O508" s="904"/>
      <c r="P508" s="901" t="s">
        <v>38</v>
      </c>
      <c r="Q508" s="902"/>
      <c r="R508" s="902"/>
      <c r="S508" s="902"/>
      <c r="T508" s="902"/>
      <c r="U508" s="902"/>
      <c r="V508" s="903"/>
      <c r="W508" s="43" t="s">
        <v>52</v>
      </c>
      <c r="X508" s="40"/>
      <c r="Y508" s="40"/>
      <c r="Z508" s="40">
        <f>IFERROR(Z24+Z34+Z38+Z45+Z54+Z64+Z71+Z76+Z81+Z89+Z96+Z107+Z115+Z122+Z126+Z132+Z137+Z142+Z148+Z152+Z167+Z171+Z177+Z194+Z200+Z204+Z210+Z215+Z226+Z239+Z244+Z255+Z259+Z263+Z271+Z280+Z288+Z295+Z303+Z308+Z315+Z326+Z336+Z343+Z349+Z356+Z362+Z369+Z382+Z388+Z393+Z397+Z403+Z407+Z413+Z425+Z430+Z435+Z441+Z457+Z463+Z473+Z479+Z483+Z487+Z491+Z496+Z501,"0")</f>
        <v>14.322760000000001</v>
      </c>
      <c r="AA508" s="64"/>
      <c r="AB508" s="64"/>
      <c r="AC508" s="64"/>
    </row>
    <row r="509" spans="1:68" ht="13.5" thickBot="1" x14ac:dyDescent="0.25"/>
    <row r="510" spans="1:68" ht="27" thickTop="1" thickBot="1" x14ac:dyDescent="0.25">
      <c r="A510" s="44" t="s">
        <v>9</v>
      </c>
      <c r="B510" s="80" t="s">
        <v>76</v>
      </c>
      <c r="C510" s="80" t="s">
        <v>45</v>
      </c>
      <c r="D510" s="907" t="s">
        <v>123</v>
      </c>
      <c r="E510" s="907" t="s">
        <v>123</v>
      </c>
      <c r="F510" s="907" t="s">
        <v>123</v>
      </c>
      <c r="G510" s="907" t="s">
        <v>123</v>
      </c>
      <c r="H510" s="907" t="s">
        <v>123</v>
      </c>
      <c r="I510" s="907" t="s">
        <v>123</v>
      </c>
      <c r="J510" s="907" t="s">
        <v>298</v>
      </c>
      <c r="K510" s="907" t="s">
        <v>298</v>
      </c>
      <c r="L510" s="907" t="s">
        <v>298</v>
      </c>
      <c r="M510" s="907" t="s">
        <v>298</v>
      </c>
      <c r="N510" s="908"/>
      <c r="O510" s="907" t="s">
        <v>298</v>
      </c>
      <c r="P510" s="907" t="s">
        <v>298</v>
      </c>
      <c r="Q510" s="907" t="s">
        <v>298</v>
      </c>
      <c r="R510" s="907" t="s">
        <v>298</v>
      </c>
      <c r="S510" s="907" t="s">
        <v>298</v>
      </c>
      <c r="T510" s="907" t="s">
        <v>298</v>
      </c>
      <c r="U510" s="907" t="s">
        <v>608</v>
      </c>
      <c r="V510" s="907" t="s">
        <v>608</v>
      </c>
      <c r="W510" s="907" t="s">
        <v>668</v>
      </c>
      <c r="X510" s="907" t="s">
        <v>668</v>
      </c>
      <c r="Y510" s="80" t="s">
        <v>707</v>
      </c>
      <c r="Z510" s="907" t="s">
        <v>758</v>
      </c>
      <c r="AA510" s="907" t="s">
        <v>758</v>
      </c>
      <c r="AB510" s="9"/>
      <c r="AC510" s="9"/>
      <c r="AF510" s="1"/>
    </row>
    <row r="511" spans="1:68" ht="14.25" customHeight="1" thickTop="1" x14ac:dyDescent="0.2">
      <c r="A511" s="905" t="s">
        <v>10</v>
      </c>
      <c r="B511" s="907" t="s">
        <v>76</v>
      </c>
      <c r="C511" s="907" t="s">
        <v>116</v>
      </c>
      <c r="D511" s="907" t="s">
        <v>124</v>
      </c>
      <c r="E511" s="907" t="s">
        <v>140</v>
      </c>
      <c r="F511" s="907" t="s">
        <v>183</v>
      </c>
      <c r="G511" s="907" t="s">
        <v>204</v>
      </c>
      <c r="H511" s="907" t="s">
        <v>245</v>
      </c>
      <c r="I511" s="907" t="s">
        <v>123</v>
      </c>
      <c r="J511" s="907" t="s">
        <v>299</v>
      </c>
      <c r="K511" s="907" t="s">
        <v>354</v>
      </c>
      <c r="L511" s="907" t="s">
        <v>417</v>
      </c>
      <c r="M511" s="907" t="s">
        <v>456</v>
      </c>
      <c r="N511" s="1"/>
      <c r="O511" s="907" t="s">
        <v>472</v>
      </c>
      <c r="P511" s="907" t="s">
        <v>483</v>
      </c>
      <c r="Q511" s="907" t="s">
        <v>492</v>
      </c>
      <c r="R511" s="907" t="s">
        <v>510</v>
      </c>
      <c r="S511" s="907" t="s">
        <v>520</v>
      </c>
      <c r="T511" s="907" t="s">
        <v>598</v>
      </c>
      <c r="U511" s="907" t="s">
        <v>609</v>
      </c>
      <c r="V511" s="907" t="s">
        <v>652</v>
      </c>
      <c r="W511" s="907" t="s">
        <v>669</v>
      </c>
      <c r="X511" s="907" t="s">
        <v>695</v>
      </c>
      <c r="Y511" s="907" t="s">
        <v>707</v>
      </c>
      <c r="Z511" s="907" t="s">
        <v>758</v>
      </c>
      <c r="AA511" s="907" t="s">
        <v>777</v>
      </c>
      <c r="AB511" s="9"/>
      <c r="AC511" s="9"/>
      <c r="AF511" s="1"/>
    </row>
    <row r="512" spans="1:68" ht="13.5" thickBot="1" x14ac:dyDescent="0.25">
      <c r="A512" s="906"/>
      <c r="B512" s="907"/>
      <c r="C512" s="907"/>
      <c r="D512" s="907"/>
      <c r="E512" s="907"/>
      <c r="F512" s="907"/>
      <c r="G512" s="907"/>
      <c r="H512" s="907"/>
      <c r="I512" s="907"/>
      <c r="J512" s="907"/>
      <c r="K512" s="907"/>
      <c r="L512" s="907"/>
      <c r="M512" s="907"/>
      <c r="N512" s="1"/>
      <c r="O512" s="907"/>
      <c r="P512" s="907"/>
      <c r="Q512" s="907"/>
      <c r="R512" s="907"/>
      <c r="S512" s="907"/>
      <c r="T512" s="907"/>
      <c r="U512" s="907"/>
      <c r="V512" s="907"/>
      <c r="W512" s="907"/>
      <c r="X512" s="907"/>
      <c r="Y512" s="907"/>
      <c r="Z512" s="907"/>
      <c r="AA512" s="907"/>
      <c r="AB512" s="9"/>
      <c r="AC512" s="9"/>
      <c r="AF512" s="1"/>
    </row>
    <row r="513" spans="1:32" ht="18" thickTop="1" thickBot="1" x14ac:dyDescent="0.25">
      <c r="A513" s="44" t="s">
        <v>13</v>
      </c>
      <c r="B513" s="50">
        <f>IFERROR(Y22*1,"0")+IFERROR(Y23*1,"0")+IFERROR(Y27*1,"0")+IFERROR(Y28*1,"0")+IFERROR(Y29*1,"0")+IFERROR(Y30*1,"0")+IFERROR(Y31*1,"0")+IFERROR(Y32*1,"0")+IFERROR(Y33*1,"0")+IFERROR(Y37*1,"0")</f>
        <v>10.08</v>
      </c>
      <c r="C513" s="50">
        <f>IFERROR(Y43*1,"0")+IFERROR(Y44*1,"0")</f>
        <v>7.68</v>
      </c>
      <c r="D513" s="50">
        <f>IFERROR(Y50*1,"0")+IFERROR(Y51*1,"0")+IFERROR(Y52*1,"0")+IFERROR(Y53*1,"0")</f>
        <v>182</v>
      </c>
      <c r="E513" s="50">
        <f>IFERROR(Y58*1,"0")+IFERROR(Y59*1,"0")+IFERROR(Y60*1,"0")+IFERROR(Y61*1,"0")+IFERROR(Y62*1,"0")+IFERROR(Y63*1,"0")+IFERROR(Y67*1,"0")+IFERROR(Y68*1,"0")+IFERROR(Y69*1,"0")+IFERROR(Y70*1,"0")+IFERROR(Y74*1,"0")+IFERROR(Y75*1,"0")+IFERROR(Y79*1,"0")+IFERROR(Y80*1,"0")</f>
        <v>429.50000000000006</v>
      </c>
      <c r="F513" s="50">
        <f>IFERROR(Y85*1,"0")+IFERROR(Y86*1,"0")+IFERROR(Y87*1,"0")+IFERROR(Y88*1,"0")+IFERROR(Y92*1,"0")+IFERROR(Y93*1,"0")+IFERROR(Y94*1,"0")+IFERROR(Y95*1,"0")</f>
        <v>246.78000000000003</v>
      </c>
      <c r="G513" s="50">
        <f>IFERROR(Y100*1,"0")+IFERROR(Y101*1,"0")+IFERROR(Y102*1,"0")+IFERROR(Y103*1,"0")+IFERROR(Y104*1,"0")+IFERROR(Y105*1,"0")+IFERROR(Y106*1,"0")+IFERROR(Y110*1,"0")+IFERROR(Y111*1,"0")+IFERROR(Y112*1,"0")+IFERROR(Y113*1,"0")+IFERROR(Y114*1,"0")+IFERROR(Y118*1,"0")+IFERROR(Y119*1,"0")+IFERROR(Y120*1,"0")+IFERROR(Y121*1,"0")+IFERROR(Y125*1,"0")</f>
        <v>209.7</v>
      </c>
      <c r="H513" s="50">
        <f>IFERROR(Y130*1,"0")+IFERROR(Y131*1,"0")+IFERROR(Y135*1,"0")+IFERROR(Y136*1,"0")+IFERROR(Y140*1,"0")+IFERROR(Y141*1,"0")</f>
        <v>15.200000000000001</v>
      </c>
      <c r="I513" s="50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165*1,"0")+IFERROR(Y166*1,"0")+IFERROR(Y170*1,"0")</f>
        <v>159.04000000000005</v>
      </c>
      <c r="J513" s="50">
        <f>IFERROR(Y176*1,"0")+IFERROR(Y180*1,"0")+IFERROR(Y181*1,"0")+IFERROR(Y182*1,"0")+IFERROR(Y183*1,"0")+IFERROR(Y184*1,"0")+IFERROR(Y185*1,"0")+IFERROR(Y186*1,"0")+IFERROR(Y187*1,"0")+IFERROR(Y188*1,"0")+IFERROR(Y189*1,"0")+IFERROR(Y190*1,"0")+IFERROR(Y191*1,"0")+IFERROR(Y192*1,"0")+IFERROR(Y193*1,"0")+IFERROR(Y197*1,"0")+IFERROR(Y198*1,"0")+IFERROR(Y199*1,"0")+IFERROR(Y203*1,"0")</f>
        <v>139.64000000000001</v>
      </c>
      <c r="K513" s="50">
        <f>IFERROR(Y208*1,"0")+IFERROR(Y209*1,"0")+IFERROR(Y213*1,"0")+IFERROR(Y214*1,"0")+IFERROR(Y218*1,"0")+IFERROR(Y219*1,"0")+IFERROR(Y220*1,"0")+IFERROR(Y221*1,"0")+IFERROR(Y222*1,"0")+IFERROR(Y223*1,"0")+IFERROR(Y224*1,"0")+IFERROR(Y225*1,"0")+IFERROR(Y229*1,"0")+IFERROR(Y230*1,"0")+IFERROR(Y231*1,"0")+IFERROR(Y232*1,"0")+IFERROR(Y233*1,"0")+IFERROR(Y234*1,"0")+IFERROR(Y235*1,"0")+IFERROR(Y236*1,"0")+IFERROR(Y237*1,"0")+IFERROR(Y238*1,"0")+IFERROR(Y242*1,"0")+IFERROR(Y243*1,"0")</f>
        <v>284.10000000000002</v>
      </c>
      <c r="L513" s="50">
        <f>IFERROR(Y248*1,"0")+IFERROR(Y249*1,"0")+IFERROR(Y250*1,"0")+IFERROR(Y251*1,"0")+IFERROR(Y252*1,"0")+IFERROR(Y253*1,"0")+IFERROR(Y254*1,"0")+IFERROR(Y258*1,"0")+IFERROR(Y262*1,"0")+IFERROR(Y266*1,"0")+IFERROR(Y267*1,"0")+IFERROR(Y268*1,"0")+IFERROR(Y269*1,"0")+IFERROR(Y270*1,"0")</f>
        <v>41.6</v>
      </c>
      <c r="M513" s="50">
        <f>IFERROR(Y275*1,"0")+IFERROR(Y276*1,"0")+IFERROR(Y277*1,"0")+IFERROR(Y278*1,"0")+IFERROR(Y279*1,"0")</f>
        <v>348</v>
      </c>
      <c r="N513" s="1"/>
      <c r="O513" s="50">
        <f>IFERROR(Y284*1,"0")+IFERROR(Y285*1,"0")+IFERROR(Y286*1,"0")+IFERROR(Y287*1,"0")</f>
        <v>0</v>
      </c>
      <c r="P513" s="50">
        <f>IFERROR(Y292*1,"0")+IFERROR(Y293*1,"0")+IFERROR(Y294*1,"0")</f>
        <v>24</v>
      </c>
      <c r="Q513" s="50">
        <f>IFERROR(Y299*1,"0")+IFERROR(Y300*1,"0")+IFERROR(Y301*1,"0")+IFERROR(Y302*1,"0")+IFERROR(Y306*1,"0")+IFERROR(Y307*1,"0")</f>
        <v>27.54</v>
      </c>
      <c r="R513" s="50">
        <f>IFERROR(Y312*1,"0")+IFERROR(Y313*1,"0")+IFERROR(Y314*1,"0")</f>
        <v>46.8</v>
      </c>
      <c r="S513" s="50">
        <f>IFERROR(Y319*1,"0")+IFERROR(Y320*1,"0")+IFERROR(Y321*1,"0")+IFERROR(Y322*1,"0")+IFERROR(Y323*1,"0")+IFERROR(Y324*1,"0")+IFERROR(Y325*1,"0")+IFERROR(Y329*1,"0")+IFERROR(Y330*1,"0")+IFERROR(Y331*1,"0")+IFERROR(Y332*1,"0")+IFERROR(Y333*1,"0")+IFERROR(Y334*1,"0")+IFERROR(Y335*1,"0")+IFERROR(Y339*1,"0")+IFERROR(Y340*1,"0")+IFERROR(Y341*1,"0")+IFERROR(Y342*1,"0")+IFERROR(Y346*1,"0")+IFERROR(Y347*1,"0")+IFERROR(Y348*1,"0")+IFERROR(Y352*1,"0")+IFERROR(Y353*1,"0")+IFERROR(Y354*1,"0")+IFERROR(Y355*1,"0")+IFERROR(Y359*1,"0")+IFERROR(Y360*1,"0")+IFERROR(Y361*1,"0")</f>
        <v>2068.7400000000002</v>
      </c>
      <c r="T513" s="50">
        <f>IFERROR(Y366*1,"0")+IFERROR(Y367*1,"0")+IFERROR(Y368*1,"0")</f>
        <v>102</v>
      </c>
      <c r="U513" s="50">
        <f>IFERROR(Y374*1,"0")+IFERROR(Y375*1,"0")+IFERROR(Y376*1,"0")+IFERROR(Y377*1,"0")+IFERROR(Y378*1,"0")+IFERROR(Y379*1,"0")+IFERROR(Y380*1,"0")+IFERROR(Y381*1,"0")+IFERROR(Y385*1,"0")+IFERROR(Y386*1,"0")+IFERROR(Y387*1,"0")+IFERROR(Y391*1,"0")+IFERROR(Y392*1,"0")+IFERROR(Y396*1,"0")</f>
        <v>3042</v>
      </c>
      <c r="V513" s="50">
        <f>IFERROR(Y401*1,"0")+IFERROR(Y402*1,"0")+IFERROR(Y406*1,"0")+IFERROR(Y410*1,"0")+IFERROR(Y411*1,"0")+IFERROR(Y412*1,"0")</f>
        <v>20.399999999999999</v>
      </c>
      <c r="W513" s="50">
        <f>IFERROR(Y418*1,"0")+IFERROR(Y419*1,"0")+IFERROR(Y420*1,"0")+IFERROR(Y421*1,"0")+IFERROR(Y422*1,"0")+IFERROR(Y423*1,"0")+IFERROR(Y424*1,"0")+IFERROR(Y428*1,"0")+IFERROR(Y429*1,"0")</f>
        <v>62.1</v>
      </c>
      <c r="X513" s="50">
        <f>IFERROR(Y434*1,"0")+IFERROR(Y438*1,"0")+IFERROR(Y439*1,"0")+IFERROR(Y440*1,"0")</f>
        <v>45.9</v>
      </c>
      <c r="Y513" s="50">
        <f>IFERROR(Y446*1,"0")+IFERROR(Y447*1,"0")+IFERROR(Y448*1,"0")+IFERROR(Y449*1,"0")+IFERROR(Y450*1,"0")+IFERROR(Y451*1,"0")+IFERROR(Y452*1,"0")+IFERROR(Y453*1,"0")+IFERROR(Y454*1,"0")+IFERROR(Y455*1,"0")+IFERROR(Y456*1,"0")+IFERROR(Y460*1,"0")+IFERROR(Y461*1,"0")+IFERROR(Y462*1,"0")+IFERROR(Y466*1,"0")+IFERROR(Y467*1,"0")+IFERROR(Y468*1,"0")+IFERROR(Y469*1,"0")+IFERROR(Y470*1,"0")+IFERROR(Y471*1,"0")+IFERROR(Y472*1,"0")</f>
        <v>93.6</v>
      </c>
      <c r="Z513" s="50">
        <f>IFERROR(Y478*1,"0")+IFERROR(Y482*1,"0")+IFERROR(Y486*1,"0")+IFERROR(Y490*1,"0")+IFERROR(Y494*1,"0")+IFERROR(Y495*1,"0")</f>
        <v>60</v>
      </c>
      <c r="AA513" s="50">
        <f>IFERROR(Y500*1,"0")</f>
        <v>0</v>
      </c>
      <c r="AB513" s="9"/>
      <c r="AC513" s="9"/>
      <c r="AF513" s="1"/>
    </row>
  </sheetData>
  <sheetProtection algorithmName="SHA-512" hashValue="nzta0E1Nz+6j5Jsg+a5+jNlr3mDDEjYK0YAZep3lkO0NCqCnfyYe4RlGrkSVPoZAJkI7omOKoi08lDtVguVv4Q==" saltValue="MU6+VMQpysfIJvasDk1y1g==" spinCount="100000" sheet="1" objects="1" scenarios="1" sort="0" autoFilter="0" pivotTables="0"/>
  <autoFilter ref="A18:AF50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03">
    <mergeCell ref="U511:U512"/>
    <mergeCell ref="V511:V512"/>
    <mergeCell ref="W511:W512"/>
    <mergeCell ref="X511:X512"/>
    <mergeCell ref="Y511:Y512"/>
    <mergeCell ref="Z511:Z512"/>
    <mergeCell ref="AA511:AA512"/>
    <mergeCell ref="D510:I510"/>
    <mergeCell ref="J510:T510"/>
    <mergeCell ref="U510:V510"/>
    <mergeCell ref="W510:X510"/>
    <mergeCell ref="Z510:AA510"/>
    <mergeCell ref="J511:J512"/>
    <mergeCell ref="K511:K512"/>
    <mergeCell ref="L511:L512"/>
    <mergeCell ref="M511:M512"/>
    <mergeCell ref="O511:O512"/>
    <mergeCell ref="P511:P512"/>
    <mergeCell ref="Q511:Q512"/>
    <mergeCell ref="R511:R512"/>
    <mergeCell ref="S511:S512"/>
    <mergeCell ref="T511:T512"/>
    <mergeCell ref="A511:A512"/>
    <mergeCell ref="B511:B512"/>
    <mergeCell ref="C511:C512"/>
    <mergeCell ref="D511:D512"/>
    <mergeCell ref="E511:E512"/>
    <mergeCell ref="F511:F512"/>
    <mergeCell ref="G511:G512"/>
    <mergeCell ref="H511:H512"/>
    <mergeCell ref="I511:I512"/>
    <mergeCell ref="A498:Z498"/>
    <mergeCell ref="A499:Z499"/>
    <mergeCell ref="D500:E500"/>
    <mergeCell ref="P500:T500"/>
    <mergeCell ref="P501:V501"/>
    <mergeCell ref="A501:O502"/>
    <mergeCell ref="P502:V502"/>
    <mergeCell ref="P503:V503"/>
    <mergeCell ref="A503:O508"/>
    <mergeCell ref="P504:V504"/>
    <mergeCell ref="P505:V505"/>
    <mergeCell ref="P506:V506"/>
    <mergeCell ref="P507:V507"/>
    <mergeCell ref="P508:V508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P496:V496"/>
    <mergeCell ref="A496:O497"/>
    <mergeCell ref="P497:V497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P483:V483"/>
    <mergeCell ref="A483:O484"/>
    <mergeCell ref="P484:V484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A445:Z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A444:Z444"/>
    <mergeCell ref="A433:Z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A427:Z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P425:V425"/>
    <mergeCell ref="A425:O426"/>
    <mergeCell ref="P426:V426"/>
    <mergeCell ref="A415:Z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P407:V407"/>
    <mergeCell ref="A407:O408"/>
    <mergeCell ref="P408:V408"/>
    <mergeCell ref="D396:E396"/>
    <mergeCell ref="P396:T396"/>
    <mergeCell ref="P397:V397"/>
    <mergeCell ref="A397:O398"/>
    <mergeCell ref="P398:V398"/>
    <mergeCell ref="A399:Z399"/>
    <mergeCell ref="A400:Z400"/>
    <mergeCell ref="D401:E401"/>
    <mergeCell ref="P401:T401"/>
    <mergeCell ref="A390:Z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A372:Z372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D360:E360"/>
    <mergeCell ref="P360:T360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D354:E354"/>
    <mergeCell ref="P354:T354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D348:E348"/>
    <mergeCell ref="P348:T348"/>
    <mergeCell ref="A338:Z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A310:Z310"/>
    <mergeCell ref="A311:Z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P303:V303"/>
    <mergeCell ref="A303:O304"/>
    <mergeCell ref="P304:V304"/>
    <mergeCell ref="A305:Z305"/>
    <mergeCell ref="D306:E306"/>
    <mergeCell ref="P306:T306"/>
    <mergeCell ref="D307:E307"/>
    <mergeCell ref="P307:T307"/>
    <mergeCell ref="P308:V308"/>
    <mergeCell ref="A308:O309"/>
    <mergeCell ref="P309:V309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79:E279"/>
    <mergeCell ref="P279:T279"/>
    <mergeCell ref="P280:V280"/>
    <mergeCell ref="A280:O281"/>
    <mergeCell ref="P281:V281"/>
    <mergeCell ref="A282:Z282"/>
    <mergeCell ref="A283:Z283"/>
    <mergeCell ref="D284:E284"/>
    <mergeCell ref="P284:T284"/>
    <mergeCell ref="A273:Z273"/>
    <mergeCell ref="A274:Z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P271:V271"/>
    <mergeCell ref="A271:O272"/>
    <mergeCell ref="P272:V272"/>
    <mergeCell ref="A261:Z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D250:E250"/>
    <mergeCell ref="P250:T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4:V244"/>
    <mergeCell ref="A244:O245"/>
    <mergeCell ref="P245:V245"/>
    <mergeCell ref="A246:Z246"/>
    <mergeCell ref="A247:Z247"/>
    <mergeCell ref="D248:E248"/>
    <mergeCell ref="P248:T248"/>
    <mergeCell ref="D249:E249"/>
    <mergeCell ref="P249:T249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43:E243"/>
    <mergeCell ref="P243:T243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A228:Z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P204:V204"/>
    <mergeCell ref="A204:O205"/>
    <mergeCell ref="P205:V205"/>
    <mergeCell ref="A206:Z206"/>
    <mergeCell ref="A207:Z207"/>
    <mergeCell ref="D208:E208"/>
    <mergeCell ref="P208:T208"/>
    <mergeCell ref="D209:E209"/>
    <mergeCell ref="P209:T209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A169:Z169"/>
    <mergeCell ref="D170:E170"/>
    <mergeCell ref="P170:T170"/>
    <mergeCell ref="P171:V171"/>
    <mergeCell ref="A171:O172"/>
    <mergeCell ref="P172:V172"/>
    <mergeCell ref="A173:Z173"/>
    <mergeCell ref="A174:Z174"/>
    <mergeCell ref="A175:Z175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D106:E106"/>
    <mergeCell ref="P106:T106"/>
    <mergeCell ref="P107:V107"/>
    <mergeCell ref="A107:O108"/>
    <mergeCell ref="P108:V108"/>
    <mergeCell ref="A109:Z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A78:Z78"/>
    <mergeCell ref="D79:E79"/>
    <mergeCell ref="P79:T79"/>
    <mergeCell ref="D80:E80"/>
    <mergeCell ref="P80:T80"/>
    <mergeCell ref="P81:V81"/>
    <mergeCell ref="A81:O82"/>
    <mergeCell ref="P82:V82"/>
    <mergeCell ref="A83:Z83"/>
    <mergeCell ref="P71:V71"/>
    <mergeCell ref="A71:O72"/>
    <mergeCell ref="P72:V72"/>
    <mergeCell ref="A73:Z73"/>
    <mergeCell ref="D74:E74"/>
    <mergeCell ref="P74:T74"/>
    <mergeCell ref="D75:E75"/>
    <mergeCell ref="P75:T75"/>
    <mergeCell ref="P76:V76"/>
    <mergeCell ref="A76:O77"/>
    <mergeCell ref="P77:V77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P54:V54"/>
    <mergeCell ref="A54:O55"/>
    <mergeCell ref="P55:V55"/>
    <mergeCell ref="A56:Z56"/>
    <mergeCell ref="A57:Z57"/>
    <mergeCell ref="D58:E58"/>
    <mergeCell ref="P58:T58"/>
    <mergeCell ref="D59:E59"/>
    <mergeCell ref="P59:T59"/>
    <mergeCell ref="A49:Z49"/>
    <mergeCell ref="D50:E50"/>
    <mergeCell ref="P50:T50"/>
    <mergeCell ref="D51:E51"/>
    <mergeCell ref="P51:T51"/>
    <mergeCell ref="D52:E52"/>
    <mergeCell ref="P52:T52"/>
    <mergeCell ref="D53:E53"/>
    <mergeCell ref="P53:T53"/>
    <mergeCell ref="D43:E43"/>
    <mergeCell ref="P43:T43"/>
    <mergeCell ref="D44:E44"/>
    <mergeCell ref="P44:T44"/>
    <mergeCell ref="P45:V45"/>
    <mergeCell ref="A45:O46"/>
    <mergeCell ref="P46:V46"/>
    <mergeCell ref="A47:Z47"/>
    <mergeCell ref="A48:Z48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1" t="s">
        <v>782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783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784</v>
      </c>
      <c r="C6" s="51" t="s">
        <v>785</v>
      </c>
      <c r="D6" s="51" t="s">
        <v>786</v>
      </c>
      <c r="E6" s="51" t="s">
        <v>46</v>
      </c>
    </row>
    <row r="7" spans="2:8" x14ac:dyDescent="0.2">
      <c r="B7" s="51" t="s">
        <v>787</v>
      </c>
      <c r="C7" s="51" t="s">
        <v>788</v>
      </c>
      <c r="D7" s="51" t="s">
        <v>789</v>
      </c>
      <c r="E7" s="51" t="s">
        <v>46</v>
      </c>
    </row>
    <row r="8" spans="2:8" x14ac:dyDescent="0.2">
      <c r="B8" s="51" t="s">
        <v>790</v>
      </c>
      <c r="C8" s="51" t="s">
        <v>791</v>
      </c>
      <c r="D8" s="51" t="s">
        <v>792</v>
      </c>
      <c r="E8" s="51" t="s">
        <v>46</v>
      </c>
    </row>
    <row r="10" spans="2:8" x14ac:dyDescent="0.2">
      <c r="B10" s="51" t="s">
        <v>793</v>
      </c>
      <c r="C10" s="51" t="s">
        <v>785</v>
      </c>
      <c r="D10" s="51" t="s">
        <v>46</v>
      </c>
      <c r="E10" s="51" t="s">
        <v>46</v>
      </c>
    </row>
    <row r="12" spans="2:8" x14ac:dyDescent="0.2">
      <c r="B12" s="51" t="s">
        <v>794</v>
      </c>
      <c r="C12" s="51" t="s">
        <v>788</v>
      </c>
      <c r="D12" s="51" t="s">
        <v>46</v>
      </c>
      <c r="E12" s="51" t="s">
        <v>46</v>
      </c>
    </row>
    <row r="14" spans="2:8" x14ac:dyDescent="0.2">
      <c r="B14" s="51" t="s">
        <v>795</v>
      </c>
      <c r="C14" s="51" t="s">
        <v>791</v>
      </c>
      <c r="D14" s="51" t="s">
        <v>46</v>
      </c>
      <c r="E14" s="51" t="s">
        <v>46</v>
      </c>
    </row>
    <row r="16" spans="2:8" x14ac:dyDescent="0.2">
      <c r="B16" s="51" t="s">
        <v>796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797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798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799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800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801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802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803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804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805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806</v>
      </c>
      <c r="C26" s="51" t="s">
        <v>46</v>
      </c>
      <c r="D26" s="51" t="s">
        <v>46</v>
      </c>
      <c r="E26" s="51" t="s">
        <v>46</v>
      </c>
    </row>
  </sheetData>
  <sheetProtection algorithmName="SHA-512" hashValue="R33VVVQ60d61/UAQ7BxDOM38wKdo5AbXSpdV1vSKsPfjTR3mUR1ImVxTEvU/daCThQhN0fPFzxanf9etcLpttQ==" saltValue="Rt78XPUp+aRc6VUdDUgl1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http://schemas.microsoft.com/office/2006/documentManagement/types"/>
    <ds:schemaRef ds:uri="bb0b2827-4eb3-461f-8866-28597c48f473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1033</vt:i4>
      </vt:variant>
    </vt:vector>
  </HeadingPairs>
  <TitlesOfParts>
    <vt:vector size="103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2026-06-24T05:44:42Z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