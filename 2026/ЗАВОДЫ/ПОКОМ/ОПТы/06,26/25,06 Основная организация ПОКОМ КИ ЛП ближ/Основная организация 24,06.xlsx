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25,06 Основная организация ПОКОМ КИ ЛП ближ\"/>
    </mc:Choice>
  </mc:AlternateContent>
  <xr:revisionPtr revIDLastSave="0" documentId="13_ncr:1_{0679F503-6366-4293-AF4D-1514466CFC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1" l="1"/>
  <c r="B32" i="1"/>
  <c r="B31" i="1"/>
  <c r="B30" i="1"/>
  <c r="B29" i="1"/>
  <c r="B28" i="1"/>
  <c r="B27" i="1"/>
  <c r="B18" i="1"/>
</calcChain>
</file>

<file path=xl/sharedStrings.xml><?xml version="1.0" encoding="utf-8"?>
<sst xmlns="http://schemas.openxmlformats.org/spreadsheetml/2006/main" count="164" uniqueCount="132">
  <si>
    <t>кг</t>
  </si>
  <si>
    <t>Колбаса Сервелат Мясорубский ТМ Стародворье с рубленной грудинкой в оболочке фиброуз в вакуум уп, кг</t>
  </si>
  <si>
    <t>Колбаса Филейбургская с душистым чесноком ТМ Баварушка в оболочке фиброуз в ваккумной упаковке, кг</t>
  </si>
  <si>
    <t>Колбаса Сочинка по-европейски с сочной грудинкой ТМ Стародворье оболочке фиброуз в в/у, кг</t>
  </si>
  <si>
    <t>Колбаса Сочинка по-фински с сочным окороком ТМ Стародворье в оболочке фиброуз в в.у., кг</t>
  </si>
  <si>
    <t>Колбаса Сочинка рубленая с сочным окороком ТМ Стародворье в оболочке фиброуз в в.у., кг</t>
  </si>
  <si>
    <t>Ветчина Нежная ТМ Особый рецепт в оболочке полиамид большой батон, кг</t>
  </si>
  <si>
    <t>Колбаса Сливушка ТМ Вязанка в оболочке полиамид вес, кг</t>
  </si>
  <si>
    <t>Ветчина Сливушка с индейкой ТМ Вязанка в оболочке полиамид.Продукт из мяса птицы варенный охлажденны, кг</t>
  </si>
  <si>
    <t>Колбаса Докторская ГОСТ ТМ Стародворские колбасы ТС Вязанка в оболочке вектор УВС2, кг</t>
  </si>
  <si>
    <t>Колбаса вареная Молокуша ТМ Вязанка в оболочке полиамид, кг</t>
  </si>
  <si>
    <t>Сосиски Датские ТМ Зареченские колбасы ТС Зареченские продукты в оболочке полиамид в МГС НТУ, кг</t>
  </si>
  <si>
    <t>Колбаса Филейная (Докторская) ТМ Особый рецепт в оболчке полиамид большой батон, кг</t>
  </si>
  <si>
    <t>Ветчина Дугушка ТМ Стародворье ТС Дугушка в оболочке вектор УВС, кг</t>
  </si>
  <si>
    <t>Колбаса Дугушка ГОСТ ТМ Стародворье ТС Дугушка в полиамидной оболочке, кг</t>
  </si>
  <si>
    <t>Колбаса Дугушка Стародворская ТМ Стародворье ТС Дугушка в полиамидной оболочке, кг</t>
  </si>
  <si>
    <t>Колбаса Салями запеченная ТМ Стародворье ТС Дугушка в оболочке вектор, кг</t>
  </si>
  <si>
    <t>Колбаса Рубленая запеченная ТМ Стародворье ТС Дугушка в оболочке вектор УВС, кг</t>
  </si>
  <si>
    <t>Классическа 0.45 кг Вязанка *Филейская*** (шт.)Колбаса вареная Филейская ТМ Вязанка ТС Классическая в оболочке полиамид 0.45 кг, шт</t>
  </si>
  <si>
    <t>Колбаса Молочная Особая ТМ Особый рецепт в оболочке полиамид, кг</t>
  </si>
  <si>
    <t>Сосиски Вязанка Молочные ТМ Стародворские колбасы ТС Вязанка в оболочке амицел в модиф газ среде УВС, кг</t>
  </si>
  <si>
    <t>Колбаса Нежная ТМ Зареченские ТС Зареченские продукты в оболочке полиамид НТУ, кг</t>
  </si>
  <si>
    <t>Колбаса Со шпиком ТМ Особый рецепт в оболочке полиамид большой батон, кг</t>
  </si>
  <si>
    <t>Сардельки Стародвоские с говядиной ТМ Стародворье в оболочке NDX в модиф.газ.среде, кг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</si>
  <si>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</si>
  <si>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</si>
  <si>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</si>
  <si>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нет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</si>
  <si>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</si>
  <si>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</si>
  <si>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</si>
  <si>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SU002943</t>
  </si>
  <si>
    <t>P003401</t>
  </si>
  <si>
    <t>В/к колбасы «Сочинка по-фински с сочным окороком» Весовой фиброуз ТМ «Стародворье»</t>
  </si>
  <si>
    <t>SU002947</t>
  </si>
  <si>
    <t>P003384</t>
  </si>
  <si>
    <t>П/к колбасы «Сочинка рубленая с сочным окороком» Весовой фиброуз ТМ «Стародворье»</t>
  </si>
  <si>
    <t>SU000126</t>
  </si>
  <si>
    <t>P002555</t>
  </si>
  <si>
    <t>Ветчины Нежная Особая Особая Весовые П/а Особый рецепт большой батон</t>
  </si>
  <si>
    <t>SU002928</t>
  </si>
  <si>
    <t>P003357</t>
  </si>
  <si>
    <t>Вареные колбасы «Сливушка» Вес П/а ТМ «Вязанка»</t>
  </si>
  <si>
    <t>SU002833</t>
  </si>
  <si>
    <t>P005008</t>
  </si>
  <si>
    <t>Ветчины «Сливушка с индейкой» Весовой п/а ТМ «Вязанка»</t>
  </si>
  <si>
    <t>SU000722</t>
  </si>
  <si>
    <t>P003011</t>
  </si>
  <si>
    <t>Вареные колбасы Докторская ГОСТ Вязанка Весовые Вектор Вязанка</t>
  </si>
  <si>
    <t>SU002830</t>
  </si>
  <si>
    <t>P003239</t>
  </si>
  <si>
    <t>Вареные колбасы Молокуша Вязанка Вес п/а Вязанка</t>
  </si>
  <si>
    <t>SU002655</t>
  </si>
  <si>
    <t>P004991</t>
  </si>
  <si>
    <t>Сосиски «Датские» Весовой п/а ТМ «Зареченские продукты»</t>
  </si>
  <si>
    <t>SU003420</t>
  </si>
  <si>
    <t>P004252</t>
  </si>
  <si>
    <t>Вареные колбасы «Филейная» Весовой п/а ТМ «Особый рецепт» большой батон</t>
  </si>
  <si>
    <t>SU002035</t>
  </si>
  <si>
    <t>P004460</t>
  </si>
  <si>
    <t>Ветчины Дугушка Дугушка Вес б/о Дугушка</t>
  </si>
  <si>
    <t>SU002634</t>
  </si>
  <si>
    <t>P002989</t>
  </si>
  <si>
    <t>Вареные колбасы «Дугушка Стародворская» Вес п/а ТМ «Дугушка»</t>
  </si>
  <si>
    <t>SU002158</t>
  </si>
  <si>
    <t>P004466</t>
  </si>
  <si>
    <t>В/к колбасы «Салями Запеченая» Весовые ТМ «Дугушка»</t>
  </si>
  <si>
    <t>SU002150</t>
  </si>
  <si>
    <t>P004465</t>
  </si>
  <si>
    <t>В/к колбасы «Рубленая Запеченная» Весовые Вектор ТМ «Дугушка»</t>
  </si>
  <si>
    <t>SU002815</t>
  </si>
  <si>
    <t>P003227</t>
  </si>
  <si>
    <t>Вареные колбасы «Филейская» Фикс.вес 0,45 Вектор ТМ «Вязанка»</t>
  </si>
  <si>
    <t>SU003422</t>
  </si>
  <si>
    <t>P004256</t>
  </si>
  <si>
    <t>Вареные колбасы «Молочная» Весовой п/а ТМ «Особый рецепт»</t>
  </si>
  <si>
    <t>SU001523</t>
  </si>
  <si>
    <t>P003986</t>
  </si>
  <si>
    <t>Сосиски «Молокуши (Вязанка Молочные)» Весовой п/а мгс ТМ «Вязанка»</t>
  </si>
  <si>
    <t>SU002808</t>
  </si>
  <si>
    <t>P003582</t>
  </si>
  <si>
    <t>Вареные колбасы «Нежная» НТУ Весовые П/а ТМ «Зареченские»</t>
  </si>
  <si>
    <t>SU003423</t>
  </si>
  <si>
    <t>P004257</t>
  </si>
  <si>
    <t>Вареные колбасы «Со шпиком» Весовой п/а ТМ «Особый рецепт» большой батон</t>
  </si>
  <si>
    <t>SU000227</t>
  </si>
  <si>
    <t>P002536</t>
  </si>
  <si>
    <t>Сардельки «Стародворские с говядиной» Весовые NDX ТМ «Стародворье»</t>
  </si>
  <si>
    <t>Удалить (ХИМИЧ)</t>
  </si>
  <si>
    <t>SU002011</t>
  </si>
  <si>
    <t>P004028</t>
  </si>
  <si>
    <t>Вареные колбасы Докторская ГОСТ Дугушка Весовые Вектор Дугушка</t>
  </si>
  <si>
    <t>Сардельки Сочные ТМ Особый рецепт в оболочке NDX в модифицированной газовой среде, кг</t>
  </si>
  <si>
    <t>Сосиски Вязанка Сливочные ТМ Стародворские колбасы ТС Вязанка в оболочке амицел в модиф газ среде, кг</t>
  </si>
  <si>
    <t>Сосиски Молочные для завтрака ТМ Особый рецепт в оболочке полиамид в модифицированной газовой среде, кг</t>
  </si>
  <si>
    <t>Сосиски Баварские с сыром ТМ Стародворье в оболочке айпил в МГС 0.35 кг, шт</t>
  </si>
  <si>
    <t xml:space="preserve">Сосиски Баварские ТМ Стародворье в оболочке айпил в МГС 0.35 кг, шт </t>
  </si>
  <si>
    <t>Сосиски Вязанка Сливочные 0.45кг ТМ Стародворские Колбасы ТС Вязанка в оболочке амицел в м.газ.сред., шт</t>
  </si>
  <si>
    <t>Сосиски Вязанка Молочные 0.45кг ТМ Стародворские Колбасы ТС Вязанка в оболочке вискофан в мод.газ.ср, шт</t>
  </si>
  <si>
    <t xml:space="preserve">фас.Молочные Для Завтрака ТМ Стародворье 0.400 гр (шт.) </t>
  </si>
  <si>
    <t>Колбаса Швейцарская ТМ Стародворье в оболочке фиброуз в терм.пак.0.17 кг ТУ Стародворские Колбасы, шт</t>
  </si>
  <si>
    <t>Сосиски Сочинки с сочной грудинкой 0.4кг ТМ Стародворье в оболочке полиамид в мод.газ.среде, шт</t>
  </si>
  <si>
    <t>SU002287</t>
  </si>
  <si>
    <t>P005080</t>
  </si>
  <si>
    <t>Сардельки «Сочные» Весовой п/а ТМ «Особый рецепт»</t>
  </si>
  <si>
    <t>SU001721</t>
  </si>
  <si>
    <t>P003988</t>
  </si>
  <si>
    <t>Сосиски «Сливочные Вязанка» Весовой п/а мгс ТМ «Вязанка»</t>
  </si>
  <si>
    <t>SU002074</t>
  </si>
  <si>
    <t>P004844</t>
  </si>
  <si>
    <t>Сосиски «Молочные для завтрака» Весовой п/а ТМ «Особый рецепт»</t>
  </si>
  <si>
    <t>SU003168</t>
  </si>
  <si>
    <t>P003364</t>
  </si>
  <si>
    <t>Сосиски «Баварские с сыром» Фикс.вес 0,35 п/а ТМ «Стародворье»</t>
  </si>
  <si>
    <t>SU003167</t>
  </si>
  <si>
    <t>P003363</t>
  </si>
  <si>
    <t>Сосиски «Баварские» Фикс.вес 0,35 П/а ТМ «Стародворье»</t>
  </si>
  <si>
    <t>SU001720</t>
  </si>
  <si>
    <t>P003989</t>
  </si>
  <si>
    <t>Сосиски «Сливочные» ф/в 0,45 п/а мгс ТМ «Вязанка»</t>
  </si>
  <si>
    <t>SU001718</t>
  </si>
  <si>
    <t>P003985</t>
  </si>
  <si>
    <t>Сосиски «Молокуши» ф/в 0,45 п/а мгс ТМ «Вязанка»</t>
  </si>
  <si>
    <t>SU002205</t>
  </si>
  <si>
    <t>P003969</t>
  </si>
  <si>
    <t>Сосиски «Молочные для завтрака» Фикс.вес 0,4 П/а мгс ТМ «Особый рецепт»</t>
  </si>
  <si>
    <t>SU001869</t>
  </si>
  <si>
    <t>P001909</t>
  </si>
  <si>
    <t>С/к колбасы Швейцарская Бордо Фикс.вес 0,17 Фиброуз терм/п Стародворье</t>
  </si>
  <si>
    <t>SU002618</t>
  </si>
  <si>
    <t>P003957</t>
  </si>
  <si>
    <t>Сосиски «Сочинки с сочной грудинкой» Фикс.вес 0,4 П/а мгс ТМ «Стародворье»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</si>
</sst>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1" fontId="0" fillId="2" borderId="2" xfId="0" applyNumberForma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1" fontId="0" fillId="3" borderId="0" xfId="0" applyNumberFormat="1" applyFill="1" applyBorder="1" applyAlignment="1">
      <alignment vertical="center"/>
    </xf>
    <xf numFmtId="0" fontId="0" fillId="3" borderId="5" xfId="0" applyFill="1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1" fontId="0" fillId="0" borderId="0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" fontId="0" fillId="0" borderId="7" xfId="0" applyNumberFormat="1" applyBorder="1" applyAlignment="1">
      <alignment vertical="center"/>
    </xf>
    <xf numFmtId="0" fontId="0" fillId="0" borderId="8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8" workbookViewId="0">
      <selection activeCell="G37" sqref="G37"/>
    </sheetView>
  </sheetViews>
  <sheetFormatPr defaultRowHeight="15" x14ac:dyDescent="0.25"/>
  <cols>
    <col min="1" max="1" width="105.140625" style="1" customWidth="1"/>
    <col min="2" max="2" width="9.140625" style="1"/>
    <col min="3" max="3" width="5" style="1" customWidth="1"/>
    <col min="4" max="5" width="9.140625" style="2"/>
    <col min="6" max="6" width="11" style="2" bestFit="1" customWidth="1"/>
    <col min="7" max="7" width="14.140625" style="2" bestFit="1" customWidth="1"/>
    <col min="8" max="8" width="99.140625" style="1" bestFit="1" customWidth="1"/>
    <col min="9" max="16384" width="9.140625" style="1"/>
  </cols>
  <sheetData>
    <row r="1" spans="1:8" x14ac:dyDescent="0.25">
      <c r="A1" s="6" t="s">
        <v>1</v>
      </c>
      <c r="B1" s="7">
        <v>20</v>
      </c>
      <c r="C1" s="7" t="s">
        <v>0</v>
      </c>
      <c r="D1" s="8" t="s">
        <v>24</v>
      </c>
      <c r="E1" s="8" t="s">
        <v>25</v>
      </c>
      <c r="F1" s="8">
        <v>4301031201</v>
      </c>
      <c r="G1" s="8">
        <v>4680115881563</v>
      </c>
      <c r="H1" s="9" t="s">
        <v>26</v>
      </c>
    </row>
    <row r="2" spans="1:8" s="5" customFormat="1" ht="60" customHeight="1" x14ac:dyDescent="0.25">
      <c r="A2" s="10" t="s">
        <v>2</v>
      </c>
      <c r="B2" s="11">
        <v>0</v>
      </c>
      <c r="C2" s="11" t="s">
        <v>0</v>
      </c>
      <c r="D2" s="12" t="s">
        <v>27</v>
      </c>
      <c r="E2" s="12"/>
      <c r="F2" s="12"/>
      <c r="G2" s="12"/>
      <c r="H2" s="13" t="s">
        <v>88</v>
      </c>
    </row>
    <row r="3" spans="1:8" x14ac:dyDescent="0.25">
      <c r="A3" s="14" t="s">
        <v>3</v>
      </c>
      <c r="B3" s="15">
        <v>80</v>
      </c>
      <c r="C3" s="15" t="s">
        <v>0</v>
      </c>
      <c r="D3" s="16" t="s">
        <v>28</v>
      </c>
      <c r="E3" s="16" t="s">
        <v>29</v>
      </c>
      <c r="F3" s="16">
        <v>4301031224</v>
      </c>
      <c r="G3" s="16">
        <v>4680115882683</v>
      </c>
      <c r="H3" s="17" t="s">
        <v>30</v>
      </c>
    </row>
    <row r="4" spans="1:8" x14ac:dyDescent="0.25">
      <c r="A4" s="14" t="s">
        <v>4</v>
      </c>
      <c r="B4" s="15">
        <v>80</v>
      </c>
      <c r="C4" s="15" t="s">
        <v>0</v>
      </c>
      <c r="D4" s="16" t="s">
        <v>31</v>
      </c>
      <c r="E4" s="16" t="s">
        <v>32</v>
      </c>
      <c r="F4" s="16">
        <v>4301031230</v>
      </c>
      <c r="G4" s="16">
        <v>4680115882690</v>
      </c>
      <c r="H4" s="17" t="s">
        <v>33</v>
      </c>
    </row>
    <row r="5" spans="1:8" x14ac:dyDescent="0.25">
      <c r="A5" s="14" t="s">
        <v>5</v>
      </c>
      <c r="B5" s="15">
        <v>50</v>
      </c>
      <c r="C5" s="15" t="s">
        <v>0</v>
      </c>
      <c r="D5" s="16" t="s">
        <v>34</v>
      </c>
      <c r="E5" s="16" t="s">
        <v>35</v>
      </c>
      <c r="F5" s="16">
        <v>4301031221</v>
      </c>
      <c r="G5" s="16">
        <v>4680115882676</v>
      </c>
      <c r="H5" s="17" t="s">
        <v>36</v>
      </c>
    </row>
    <row r="6" spans="1:8" x14ac:dyDescent="0.25">
      <c r="A6" s="14" t="s">
        <v>6</v>
      </c>
      <c r="B6" s="15">
        <v>1200</v>
      </c>
      <c r="C6" s="15" t="s">
        <v>0</v>
      </c>
      <c r="D6" s="16" t="s">
        <v>37</v>
      </c>
      <c r="E6" s="16" t="s">
        <v>38</v>
      </c>
      <c r="F6" s="16">
        <v>4301020178</v>
      </c>
      <c r="G6" s="16">
        <v>4607091383980</v>
      </c>
      <c r="H6" s="17" t="s">
        <v>39</v>
      </c>
    </row>
    <row r="7" spans="1:8" x14ac:dyDescent="0.25">
      <c r="A7" s="14" t="s">
        <v>7</v>
      </c>
      <c r="B7" s="15">
        <v>50</v>
      </c>
      <c r="C7" s="15" t="s">
        <v>0</v>
      </c>
      <c r="D7" s="16" t="s">
        <v>40</v>
      </c>
      <c r="E7" s="16" t="s">
        <v>41</v>
      </c>
      <c r="F7" s="16">
        <v>4301011514</v>
      </c>
      <c r="G7" s="16">
        <v>4680115882133</v>
      </c>
      <c r="H7" s="17" t="s">
        <v>42</v>
      </c>
    </row>
    <row r="8" spans="1:8" x14ac:dyDescent="0.25">
      <c r="A8" s="14" t="s">
        <v>8</v>
      </c>
      <c r="B8" s="15">
        <v>50</v>
      </c>
      <c r="C8" s="15" t="s">
        <v>0</v>
      </c>
      <c r="D8" s="16" t="s">
        <v>43</v>
      </c>
      <c r="E8" s="16" t="s">
        <v>44</v>
      </c>
      <c r="F8" s="16">
        <v>4301020391</v>
      </c>
      <c r="G8" s="16">
        <v>4680115881488</v>
      </c>
      <c r="H8" s="17" t="s">
        <v>45</v>
      </c>
    </row>
    <row r="9" spans="1:8" x14ac:dyDescent="0.25">
      <c r="A9" s="14" t="s">
        <v>9</v>
      </c>
      <c r="B9" s="15">
        <v>500</v>
      </c>
      <c r="C9" s="15" t="s">
        <v>0</v>
      </c>
      <c r="D9" s="16" t="s">
        <v>46</v>
      </c>
      <c r="E9" s="16" t="s">
        <v>47</v>
      </c>
      <c r="F9" s="16">
        <v>4301011380</v>
      </c>
      <c r="G9" s="16">
        <v>4607091385670</v>
      </c>
      <c r="H9" s="17" t="s">
        <v>48</v>
      </c>
    </row>
    <row r="10" spans="1:8" x14ac:dyDescent="0.25">
      <c r="A10" s="14" t="s">
        <v>10</v>
      </c>
      <c r="B10" s="15">
        <v>150</v>
      </c>
      <c r="C10" s="15" t="s">
        <v>0</v>
      </c>
      <c r="D10" s="16" t="s">
        <v>49</v>
      </c>
      <c r="E10" s="16" t="s">
        <v>50</v>
      </c>
      <c r="F10" s="16">
        <v>4301011468</v>
      </c>
      <c r="G10" s="16">
        <v>4680115881327</v>
      </c>
      <c r="H10" s="17" t="s">
        <v>51</v>
      </c>
    </row>
    <row r="11" spans="1:8" x14ac:dyDescent="0.25">
      <c r="A11" s="14" t="s">
        <v>11</v>
      </c>
      <c r="B11" s="15">
        <v>80</v>
      </c>
      <c r="C11" s="15" t="s">
        <v>0</v>
      </c>
      <c r="D11" s="16" t="s">
        <v>52</v>
      </c>
      <c r="E11" s="16" t="s">
        <v>53</v>
      </c>
      <c r="F11" s="16">
        <v>4301052046</v>
      </c>
      <c r="G11" s="16">
        <v>4640242180533</v>
      </c>
      <c r="H11" s="17" t="s">
        <v>54</v>
      </c>
    </row>
    <row r="12" spans="1:8" x14ac:dyDescent="0.25">
      <c r="A12" s="14" t="s">
        <v>12</v>
      </c>
      <c r="B12" s="15">
        <v>2250</v>
      </c>
      <c r="C12" s="15" t="s">
        <v>0</v>
      </c>
      <c r="D12" s="16" t="s">
        <v>55</v>
      </c>
      <c r="E12" s="16" t="s">
        <v>56</v>
      </c>
      <c r="F12" s="16">
        <v>4301011867</v>
      </c>
      <c r="G12" s="16">
        <v>4680115884830</v>
      </c>
      <c r="H12" s="17" t="s">
        <v>57</v>
      </c>
    </row>
    <row r="13" spans="1:8" x14ac:dyDescent="0.25">
      <c r="A13" s="14" t="s">
        <v>13</v>
      </c>
      <c r="B13" s="15">
        <v>1000</v>
      </c>
      <c r="C13" s="15" t="s">
        <v>0</v>
      </c>
      <c r="D13" s="16" t="s">
        <v>58</v>
      </c>
      <c r="E13" s="16" t="s">
        <v>59</v>
      </c>
      <c r="F13" s="16">
        <v>4301020334</v>
      </c>
      <c r="G13" s="16">
        <v>4607091388930</v>
      </c>
      <c r="H13" s="17" t="s">
        <v>60</v>
      </c>
    </row>
    <row r="14" spans="1:8" x14ac:dyDescent="0.25">
      <c r="A14" s="14" t="s">
        <v>14</v>
      </c>
      <c r="B14" s="15">
        <v>100</v>
      </c>
      <c r="C14" s="15" t="s">
        <v>0</v>
      </c>
      <c r="D14" s="16" t="s">
        <v>89</v>
      </c>
      <c r="E14" s="16" t="s">
        <v>90</v>
      </c>
      <c r="F14" s="16">
        <v>4301011769</v>
      </c>
      <c r="G14" s="16">
        <v>4607091389067</v>
      </c>
      <c r="H14" s="18" t="s">
        <v>91</v>
      </c>
    </row>
    <row r="15" spans="1:8" x14ac:dyDescent="0.25">
      <c r="A15" s="14" t="s">
        <v>15</v>
      </c>
      <c r="B15" s="15">
        <v>500</v>
      </c>
      <c r="C15" s="15" t="s">
        <v>0</v>
      </c>
      <c r="D15" s="16" t="s">
        <v>61</v>
      </c>
      <c r="E15" s="16" t="s">
        <v>62</v>
      </c>
      <c r="F15" s="16">
        <v>4301011369</v>
      </c>
      <c r="G15" s="16">
        <v>4680115885226</v>
      </c>
      <c r="H15" s="17" t="s">
        <v>63</v>
      </c>
    </row>
    <row r="16" spans="1:8" x14ac:dyDescent="0.25">
      <c r="A16" s="14" t="s">
        <v>16</v>
      </c>
      <c r="B16" s="15">
        <v>500</v>
      </c>
      <c r="C16" s="15" t="s">
        <v>0</v>
      </c>
      <c r="D16" s="16" t="s">
        <v>64</v>
      </c>
      <c r="E16" s="16" t="s">
        <v>65</v>
      </c>
      <c r="F16" s="16">
        <v>4301031350</v>
      </c>
      <c r="G16" s="16">
        <v>4680115883093</v>
      </c>
      <c r="H16" s="17" t="s">
        <v>66</v>
      </c>
    </row>
    <row r="17" spans="1:8" x14ac:dyDescent="0.25">
      <c r="A17" s="14" t="s">
        <v>17</v>
      </c>
      <c r="B17" s="15">
        <v>500</v>
      </c>
      <c r="C17" s="15" t="s">
        <v>0</v>
      </c>
      <c r="D17" s="16" t="s">
        <v>67</v>
      </c>
      <c r="E17" s="16" t="s">
        <v>68</v>
      </c>
      <c r="F17" s="16">
        <v>4301031349</v>
      </c>
      <c r="G17" s="16">
        <v>4680115883116</v>
      </c>
      <c r="H17" s="17" t="s">
        <v>69</v>
      </c>
    </row>
    <row r="18" spans="1:8" ht="30" x14ac:dyDescent="0.25">
      <c r="A18" s="19" t="s">
        <v>18</v>
      </c>
      <c r="B18" s="15">
        <f>50*0.45</f>
        <v>22.5</v>
      </c>
      <c r="C18" s="15" t="s">
        <v>0</v>
      </c>
      <c r="D18" s="16" t="s">
        <v>70</v>
      </c>
      <c r="E18" s="16" t="s">
        <v>71</v>
      </c>
      <c r="F18" s="16">
        <v>4301011801</v>
      </c>
      <c r="G18" s="16">
        <v>4680115881419</v>
      </c>
      <c r="H18" s="17" t="s">
        <v>72</v>
      </c>
    </row>
    <row r="19" spans="1:8" x14ac:dyDescent="0.25">
      <c r="A19" s="14" t="s">
        <v>19</v>
      </c>
      <c r="B19" s="15">
        <v>1500</v>
      </c>
      <c r="C19" s="15" t="s">
        <v>0</v>
      </c>
      <c r="D19" s="16" t="s">
        <v>73</v>
      </c>
      <c r="E19" s="16" t="s">
        <v>74</v>
      </c>
      <c r="F19" s="16">
        <v>4301011869</v>
      </c>
      <c r="G19" s="16">
        <v>4680115884847</v>
      </c>
      <c r="H19" s="17" t="s">
        <v>75</v>
      </c>
    </row>
    <row r="20" spans="1:8" x14ac:dyDescent="0.25">
      <c r="A20" s="14" t="s">
        <v>20</v>
      </c>
      <c r="B20" s="15">
        <v>60</v>
      </c>
      <c r="C20" s="15" t="s">
        <v>0</v>
      </c>
      <c r="D20" s="16" t="s">
        <v>76</v>
      </c>
      <c r="E20" s="16" t="s">
        <v>77</v>
      </c>
      <c r="F20" s="16">
        <v>4301051712</v>
      </c>
      <c r="G20" s="16">
        <v>4607091386967</v>
      </c>
      <c r="H20" s="17" t="s">
        <v>78</v>
      </c>
    </row>
    <row r="21" spans="1:8" x14ac:dyDescent="0.25">
      <c r="A21" s="14" t="s">
        <v>21</v>
      </c>
      <c r="B21" s="15">
        <v>60</v>
      </c>
      <c r="C21" s="15" t="s">
        <v>0</v>
      </c>
      <c r="D21" s="16" t="s">
        <v>79</v>
      </c>
      <c r="E21" s="16" t="s">
        <v>80</v>
      </c>
      <c r="F21" s="16">
        <v>4301011584</v>
      </c>
      <c r="G21" s="16">
        <v>4640242180564</v>
      </c>
      <c r="H21" s="17" t="s">
        <v>81</v>
      </c>
    </row>
    <row r="22" spans="1:8" x14ac:dyDescent="0.25">
      <c r="A22" s="14" t="s">
        <v>22</v>
      </c>
      <c r="B22" s="15">
        <v>750</v>
      </c>
      <c r="C22" s="15" t="s">
        <v>0</v>
      </c>
      <c r="D22" s="16" t="s">
        <v>82</v>
      </c>
      <c r="E22" s="16" t="s">
        <v>83</v>
      </c>
      <c r="F22" s="16">
        <v>4301012083</v>
      </c>
      <c r="G22" s="16">
        <v>4680115884854</v>
      </c>
      <c r="H22" s="17" t="s">
        <v>84</v>
      </c>
    </row>
    <row r="23" spans="1:8" ht="15.75" thickBot="1" x14ac:dyDescent="0.3">
      <c r="A23" s="20" t="s">
        <v>23</v>
      </c>
      <c r="B23" s="21">
        <v>700</v>
      </c>
      <c r="C23" s="21" t="s">
        <v>0</v>
      </c>
      <c r="D23" s="22" t="s">
        <v>85</v>
      </c>
      <c r="E23" s="22" t="s">
        <v>86</v>
      </c>
      <c r="F23" s="22">
        <v>4301060406</v>
      </c>
      <c r="G23" s="22">
        <v>4607091384482</v>
      </c>
      <c r="H23" s="23" t="s">
        <v>87</v>
      </c>
    </row>
    <row r="24" spans="1:8" x14ac:dyDescent="0.25">
      <c r="A24" s="1" t="s">
        <v>92</v>
      </c>
      <c r="B24" s="1">
        <v>60</v>
      </c>
      <c r="C24" s="1" t="s">
        <v>0</v>
      </c>
      <c r="D24" s="2" t="s">
        <v>102</v>
      </c>
      <c r="E24" s="2" t="s">
        <v>103</v>
      </c>
      <c r="F24" s="2">
        <v>4301060524</v>
      </c>
      <c r="G24" s="2">
        <v>4607091384673</v>
      </c>
      <c r="H24" s="1" t="s">
        <v>104</v>
      </c>
    </row>
    <row r="25" spans="1:8" x14ac:dyDescent="0.25">
      <c r="A25" s="1" t="s">
        <v>93</v>
      </c>
      <c r="B25" s="1">
        <v>500</v>
      </c>
      <c r="C25" s="1" t="s">
        <v>0</v>
      </c>
      <c r="D25" s="2" t="s">
        <v>105</v>
      </c>
      <c r="E25" s="2" t="s">
        <v>106</v>
      </c>
      <c r="F25" s="2">
        <v>4301051724</v>
      </c>
      <c r="G25" s="2">
        <v>4607091385168</v>
      </c>
      <c r="H25" s="1" t="s">
        <v>107</v>
      </c>
    </row>
    <row r="26" spans="1:8" x14ac:dyDescent="0.25">
      <c r="A26" s="1" t="s">
        <v>94</v>
      </c>
      <c r="B26" s="1">
        <v>4000</v>
      </c>
      <c r="C26" s="1" t="s">
        <v>0</v>
      </c>
      <c r="D26" s="2" t="s">
        <v>108</v>
      </c>
      <c r="E26" s="2" t="s">
        <v>109</v>
      </c>
      <c r="F26" s="2">
        <v>4301051899</v>
      </c>
      <c r="G26" s="2">
        <v>4607091384246</v>
      </c>
      <c r="H26" s="1" t="s">
        <v>110</v>
      </c>
    </row>
    <row r="27" spans="1:8" x14ac:dyDescent="0.25">
      <c r="A27" s="1" t="s">
        <v>95</v>
      </c>
      <c r="B27" s="1">
        <f>150*0.35</f>
        <v>52.5</v>
      </c>
      <c r="C27" s="1" t="s">
        <v>0</v>
      </c>
      <c r="D27" s="2" t="s">
        <v>111</v>
      </c>
      <c r="E27" s="2" t="s">
        <v>112</v>
      </c>
      <c r="F27" s="2">
        <v>4301051864</v>
      </c>
      <c r="G27" s="2">
        <v>4680115883567</v>
      </c>
      <c r="H27" s="1" t="s">
        <v>113</v>
      </c>
    </row>
    <row r="28" spans="1:8" x14ac:dyDescent="0.25">
      <c r="A28" s="1" t="s">
        <v>96</v>
      </c>
      <c r="B28" s="1">
        <f>210*0.35</f>
        <v>73.5</v>
      </c>
      <c r="C28" s="1" t="s">
        <v>0</v>
      </c>
      <c r="D28" s="2" t="s">
        <v>114</v>
      </c>
      <c r="E28" s="2" t="s">
        <v>115</v>
      </c>
      <c r="F28" s="2">
        <v>4301051461</v>
      </c>
      <c r="G28" s="2">
        <v>4680115883604</v>
      </c>
      <c r="H28" s="1" t="s">
        <v>116</v>
      </c>
    </row>
    <row r="29" spans="1:8" x14ac:dyDescent="0.25">
      <c r="A29" s="1" t="s">
        <v>97</v>
      </c>
      <c r="B29" s="1">
        <f>180*0.45</f>
        <v>81</v>
      </c>
      <c r="C29" s="1" t="s">
        <v>0</v>
      </c>
      <c r="D29" s="2" t="s">
        <v>117</v>
      </c>
      <c r="E29" s="2" t="s">
        <v>118</v>
      </c>
      <c r="F29" s="2">
        <v>4301051721</v>
      </c>
      <c r="G29" s="2">
        <v>4607091385748</v>
      </c>
      <c r="H29" s="1" t="s">
        <v>119</v>
      </c>
    </row>
    <row r="30" spans="1:8" x14ac:dyDescent="0.25">
      <c r="A30" s="1" t="s">
        <v>98</v>
      </c>
      <c r="B30" s="1">
        <f>120*0.45</f>
        <v>54</v>
      </c>
      <c r="C30" s="1" t="s">
        <v>0</v>
      </c>
      <c r="D30" s="2" t="s">
        <v>120</v>
      </c>
      <c r="E30" s="2" t="s">
        <v>121</v>
      </c>
      <c r="F30" s="2">
        <v>4301051718</v>
      </c>
      <c r="G30" s="2">
        <v>4607091385731</v>
      </c>
      <c r="H30" s="1" t="s">
        <v>122</v>
      </c>
    </row>
    <row r="31" spans="1:8" x14ac:dyDescent="0.25">
      <c r="A31" s="1" t="s">
        <v>99</v>
      </c>
      <c r="B31" s="1">
        <f>120*0.4</f>
        <v>48</v>
      </c>
      <c r="C31" s="1" t="s">
        <v>0</v>
      </c>
      <c r="D31" s="3" t="s">
        <v>123</v>
      </c>
      <c r="E31" s="3" t="s">
        <v>124</v>
      </c>
      <c r="F31" s="3">
        <v>4301051660</v>
      </c>
      <c r="G31" s="3">
        <v>4607091384253</v>
      </c>
      <c r="H31" s="4" t="s">
        <v>125</v>
      </c>
    </row>
    <row r="32" spans="1:8" x14ac:dyDescent="0.25">
      <c r="A32" s="1" t="s">
        <v>100</v>
      </c>
      <c r="B32" s="1">
        <f>150*0.17</f>
        <v>25.500000000000004</v>
      </c>
      <c r="C32" s="1" t="s">
        <v>0</v>
      </c>
      <c r="D32" s="2" t="s">
        <v>126</v>
      </c>
      <c r="E32" s="2" t="s">
        <v>127</v>
      </c>
      <c r="F32" s="2">
        <v>4301030233</v>
      </c>
      <c r="G32" s="2">
        <v>4607091388404</v>
      </c>
      <c r="H32" s="1" t="s">
        <v>128</v>
      </c>
    </row>
    <row r="33" spans="1:8" x14ac:dyDescent="0.25">
      <c r="A33" s="1" t="s">
        <v>101</v>
      </c>
      <c r="B33" s="1">
        <f>390*0.4</f>
        <v>156</v>
      </c>
      <c r="C33" s="1" t="s">
        <v>0</v>
      </c>
      <c r="D33" s="2" t="s">
        <v>129</v>
      </c>
      <c r="E33" s="2" t="s">
        <v>130</v>
      </c>
      <c r="F33" s="2">
        <v>4301051666</v>
      </c>
      <c r="G33" s="2">
        <v>4680115880092</v>
      </c>
      <c r="H33" s="1" t="s">
        <v>131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2026-06-25T10:38:08Z</dcterms:modified>
</cp:coreProperties>
</file>