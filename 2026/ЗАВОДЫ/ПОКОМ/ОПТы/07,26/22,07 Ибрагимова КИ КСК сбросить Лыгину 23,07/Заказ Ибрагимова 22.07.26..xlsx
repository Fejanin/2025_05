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98682EB9-95EA-452B-8B23-E2FD131FDC1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151" i="2" l="1"/>
  <c r="BN151" i="2"/>
  <c r="Z176" i="2"/>
  <c r="Z394" i="2"/>
  <c r="Z30" i="2"/>
  <c r="Z316" i="2"/>
  <c r="Z214" i="2"/>
  <c r="Z372" i="2"/>
  <c r="BP419" i="2"/>
  <c r="Z498" i="2"/>
  <c r="Y382" i="2"/>
  <c r="Z52" i="2"/>
  <c r="Y84" i="2"/>
  <c r="Z188" i="2"/>
  <c r="BN188" i="2"/>
  <c r="Z262" i="2"/>
  <c r="Z385" i="2"/>
  <c r="Z413" i="2"/>
  <c r="Z425" i="2"/>
  <c r="BN425" i="2"/>
  <c r="Y471" i="2"/>
  <c r="Z506" i="2"/>
  <c r="Y56" i="2"/>
  <c r="BN108" i="2"/>
  <c r="BN162" i="2"/>
  <c r="BN175" i="2"/>
  <c r="BN200" i="2"/>
  <c r="BN215" i="2"/>
  <c r="BN275" i="2"/>
  <c r="BN318" i="2"/>
  <c r="BN336" i="2"/>
  <c r="BN375" i="2"/>
  <c r="BN381" i="2"/>
  <c r="BN386" i="2"/>
  <c r="Y390" i="2"/>
  <c r="BN392" i="2"/>
  <c r="BN416" i="2"/>
  <c r="BN420" i="2"/>
  <c r="BN426" i="2"/>
  <c r="BP431" i="2"/>
  <c r="BN442" i="2"/>
  <c r="Y445" i="2"/>
  <c r="BN447" i="2"/>
  <c r="BN462" i="2"/>
  <c r="BN474" i="2"/>
  <c r="Y476" i="2"/>
  <c r="BN494" i="2"/>
  <c r="BN499" i="2"/>
  <c r="BP509" i="2"/>
  <c r="BN520" i="2"/>
  <c r="BN51" i="2"/>
  <c r="BN62" i="2"/>
  <c r="BN95" i="2"/>
  <c r="BN103" i="2"/>
  <c r="BP113" i="2"/>
  <c r="BN222" i="2"/>
  <c r="BP260" i="2"/>
  <c r="BN261" i="2"/>
  <c r="BN271" i="2"/>
  <c r="BP301" i="2"/>
  <c r="BN305" i="2"/>
  <c r="BN325" i="2"/>
  <c r="BN363" i="2"/>
  <c r="Z28" i="2"/>
  <c r="BN28" i="2"/>
  <c r="BP30" i="2"/>
  <c r="BP52" i="2"/>
  <c r="Z59" i="2"/>
  <c r="BN59" i="2"/>
  <c r="BN71" i="2"/>
  <c r="Z77" i="2"/>
  <c r="BN83" i="2"/>
  <c r="BN97" i="2"/>
  <c r="Z113" i="2"/>
  <c r="Z115" i="2"/>
  <c r="BN115" i="2"/>
  <c r="Z121" i="2"/>
  <c r="BN121" i="2"/>
  <c r="Z138" i="2"/>
  <c r="BN138" i="2"/>
  <c r="Y163" i="2"/>
  <c r="Z170" i="2"/>
  <c r="BN170" i="2"/>
  <c r="BN172" i="2"/>
  <c r="Z182" i="2"/>
  <c r="Z184" i="2" s="1"/>
  <c r="BN182" i="2"/>
  <c r="BN183" i="2"/>
  <c r="BN218" i="2"/>
  <c r="BN223" i="2"/>
  <c r="BN255" i="2"/>
  <c r="Z260" i="2"/>
  <c r="BN273" i="2"/>
  <c r="Z301" i="2"/>
  <c r="Z302" i="2" s="1"/>
  <c r="Y306" i="2"/>
  <c r="Z310" i="2"/>
  <c r="BN319" i="2"/>
  <c r="BN353" i="2"/>
  <c r="BP394" i="2"/>
  <c r="BP413" i="2"/>
  <c r="BN414" i="2"/>
  <c r="Y428" i="2"/>
  <c r="Z431" i="2"/>
  <c r="BN452" i="2"/>
  <c r="Z489" i="2"/>
  <c r="BN489" i="2"/>
  <c r="BN491" i="2"/>
  <c r="Z509" i="2"/>
  <c r="Y521" i="2"/>
  <c r="Y536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X545" i="2" l="1"/>
  <c r="Z99" i="2"/>
  <c r="Z256" i="2"/>
  <c r="Z427" i="2"/>
  <c r="Z152" i="2"/>
  <c r="Z79" i="2"/>
  <c r="Z349" i="2"/>
  <c r="Z24" i="2"/>
  <c r="Z389" i="2"/>
  <c r="Z139" i="2"/>
  <c r="Z328" i="2"/>
  <c r="Z67" i="2"/>
  <c r="Z337" i="2"/>
  <c r="Z267" i="2"/>
  <c r="Z46" i="2"/>
  <c r="Z124" i="2"/>
  <c r="Z421" i="2"/>
  <c r="Z535" i="2"/>
  <c r="Z382" i="2"/>
  <c r="Z144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<sst xmlns="http://schemas.openxmlformats.org/spreadsheetml/2006/main" count="4109" uniqueCount="872">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</sst>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2"/>
  <sheetViews>
    <sheetView showGridLines="0" tabSelected="1" topLeftCell="A514" zoomScaleNormal="100" zoomScaleSheetLayoutView="100" workbookViewId="0">
      <selection activeCell="X548" sqref="X5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/>
      <c r="I5" s="631"/>
      <c r="J5" s="631"/>
      <c r="K5" s="631"/>
      <c r="L5" s="631"/>
      <c r="M5" s="631"/>
      <c r="N5" s="72"/>
      <c r="P5" s="27" t="s">
        <v>4</v>
      </c>
      <c r="Q5" s="633">
        <v>46223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854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Понедельник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0.375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32.4</v>
      </c>
      <c r="Y61" s="55">
        <f t="shared" si="0"/>
        <v>32.400000000000006</v>
      </c>
      <c r="Z61" s="41">
        <f>IFERROR(IF(Y61=0,"",ROUNDUP(Y61/H61,0)*0.01898),"")</f>
        <v>5.6940000000000004E-2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33.629999999999995</v>
      </c>
      <c r="BN61" s="78">
        <f t="shared" si="2"/>
        <v>33.630000000000003</v>
      </c>
      <c r="BO61" s="78">
        <f t="shared" si="3"/>
        <v>4.6874999999999993E-2</v>
      </c>
      <c r="BP61" s="78">
        <f t="shared" si="4"/>
        <v>4.6875000000000007E-2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2.9999999999999996</v>
      </c>
      <c r="Y67" s="43">
        <f>IFERROR(Y59/H59,"0")+IFERROR(Y60/H60,"0")+IFERROR(Y61/H61,"0")+IFERROR(Y62/H62,"0")+IFERROR(Y63/H63,"0")+IFERROR(Y64/H64,"0")+IFERROR(Y65/H65,"0")+IFERROR(Y66/H66,"0")</f>
        <v>3.0000000000000004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5.6940000000000004E-2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32.4</v>
      </c>
      <c r="Y68" s="43">
        <f>IFERROR(SUM(Y59:Y66),"0")</f>
        <v>32.400000000000006</v>
      </c>
      <c r="Z68" s="42"/>
      <c r="AA68" s="67"/>
      <c r="AB68" s="67"/>
      <c r="AC68" s="67"/>
    </row>
    <row r="69" spans="1:68" ht="14.25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21.6</v>
      </c>
      <c r="Y70" s="55">
        <f>IFERROR(IF(X70="",0,CEILING((X70/$H70),1)*$H70),"")</f>
        <v>21.6</v>
      </c>
      <c r="Z70" s="41">
        <f>IFERROR(IF(Y70=0,"",ROUNDUP(Y70/H70,0)*0.01898),"")</f>
        <v>3.7960000000000001E-2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22.42</v>
      </c>
      <c r="BN70" s="78">
        <f>IFERROR(Y70*I70/H70,"0")</f>
        <v>22.42</v>
      </c>
      <c r="BO70" s="78">
        <f>IFERROR(1/J70*(X70/H70),"0")</f>
        <v>3.125E-2</v>
      </c>
      <c r="BP70" s="78">
        <f>IFERROR(1/J70*(Y70/H70),"0")</f>
        <v>3.125E-2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2</v>
      </c>
      <c r="Y74" s="43">
        <f>IFERROR(Y70/H70,"0")+IFERROR(Y71/H71,"0")+IFERROR(Y72/H72,"0")+IFERROR(Y73/H73,"0")</f>
        <v>2</v>
      </c>
      <c r="Z74" s="43">
        <f>IFERROR(IF(Z70="",0,Z70),"0")+IFERROR(IF(Z71="",0,Z71),"0")+IFERROR(IF(Z72="",0,Z72),"0")+IFERROR(IF(Z73="",0,Z73),"0")</f>
        <v>3.7960000000000001E-2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21.6</v>
      </c>
      <c r="Y75" s="43">
        <f>IFERROR(SUM(Y70:Y73),"0")</f>
        <v>21.6</v>
      </c>
      <c r="Z75" s="42"/>
      <c r="AA75" s="67"/>
      <c r="AB75" s="67"/>
      <c r="AC75" s="67"/>
    </row>
    <row r="76" spans="1:68" ht="14.25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21.6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22.42</v>
      </c>
      <c r="BN88" s="78">
        <f>IFERROR(Y88*I88/H88,"0")</f>
        <v>22.42</v>
      </c>
      <c r="BO88" s="78">
        <f>IFERROR(1/J88*(X88/H88),"0")</f>
        <v>3.125E-2</v>
      </c>
      <c r="BP88" s="78">
        <f>IFERROR(1/J88*(Y88/H88),"0")</f>
        <v>3.125E-2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2</v>
      </c>
      <c r="Y92" s="43">
        <f>IFERROR(Y88/H88,"0")+IFERROR(Y89/H89,"0")+IFERROR(Y90/H90,"0")+IFERROR(Y91/H91,"0")</f>
        <v>2</v>
      </c>
      <c r="Z92" s="43">
        <f>IFERROR(IF(Z88="",0,Z88),"0")+IFERROR(IF(Z89="",0,Z89),"0")+IFERROR(IF(Z90="",0,Z90),"0")+IFERROR(IF(Z91="",0,Z91),"0")</f>
        <v>3.7960000000000001E-2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21.6</v>
      </c>
      <c r="Y93" s="43">
        <f>IFERROR(SUM(Y88:Y91),"0")</f>
        <v>21.6</v>
      </c>
      <c r="Z93" s="42"/>
      <c r="AA93" s="67"/>
      <c r="AB93" s="67"/>
      <c r="AC93" s="67"/>
    </row>
    <row r="94" spans="1:68" ht="14.25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40.5</v>
      </c>
      <c r="Y120" s="55">
        <f>IFERROR(IF(X120="",0,CEILING((X120/$H120),1)*$H120),"")</f>
        <v>40.5</v>
      </c>
      <c r="Z120" s="41">
        <f>IFERROR(IF(Y120=0,"",ROUNDUP(Y120/H120,0)*0.01898),"")</f>
        <v>9.4899999999999998E-2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42.94</v>
      </c>
      <c r="BN120" s="78">
        <f>IFERROR(Y120*I120/H120,"0")</f>
        <v>42.94</v>
      </c>
      <c r="BO120" s="78">
        <f>IFERROR(1/J120*(X120/H120),"0")</f>
        <v>7.8125E-2</v>
      </c>
      <c r="BP120" s="78">
        <f>IFERROR(1/J120*(Y120/H120),"0")</f>
        <v>7.8125E-2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5</v>
      </c>
      <c r="Y124" s="43">
        <f>IFERROR(Y120/H120,"0")+IFERROR(Y121/H121,"0")+IFERROR(Y122/H122,"0")+IFERROR(Y123/H123,"0")</f>
        <v>5</v>
      </c>
      <c r="Z124" s="43">
        <f>IFERROR(IF(Z120="",0,Z120),"0")+IFERROR(IF(Z121="",0,Z121),"0")+IFERROR(IF(Z122="",0,Z122),"0")+IFERROR(IF(Z123="",0,Z123),"0")</f>
        <v>9.4899999999999998E-2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40.5</v>
      </c>
      <c r="Y125" s="43">
        <f>IFERROR(SUM(Y120:Y123),"0")</f>
        <v>40.5</v>
      </c>
      <c r="Z125" s="42"/>
      <c r="AA125" s="67"/>
      <c r="AB125" s="67"/>
      <c r="AC125" s="67"/>
    </row>
    <row r="126" spans="1:68" ht="14.25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27</v>
      </c>
      <c r="Y259" s="55">
        <f t="shared" ref="Y259:Y266" si="27">IFERROR(IF(X259="",0,CEILING((X259/$H259),1)*$H259),"")</f>
        <v>27</v>
      </c>
      <c r="Z259" s="41">
        <f>IFERROR(IF(Y259=0,"",ROUNDUP(Y259/H259,0)*0.00902),"")</f>
        <v>4.5100000000000001E-2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27.95</v>
      </c>
      <c r="BN259" s="78">
        <f t="shared" ref="BN259:BN266" si="29">IFERROR(Y259*I259/H259,"0")</f>
        <v>27.95</v>
      </c>
      <c r="BO259" s="78">
        <f t="shared" ref="BO259:BO266" si="30">IFERROR(1/J259*(X259/H259),"0")</f>
        <v>3.787878787878788E-2</v>
      </c>
      <c r="BP259" s="78">
        <f t="shared" ref="BP259:BP266" si="31">IFERROR(1/J259*(Y259/H259),"0")</f>
        <v>3.787878787878788E-2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27</v>
      </c>
      <c r="Y260" s="55">
        <f t="shared" si="27"/>
        <v>27</v>
      </c>
      <c r="Z260" s="41">
        <f>IFERROR(IF(Y260=0,"",ROUNDUP(Y260/H260,0)*0.00902),"")</f>
        <v>4.5100000000000001E-2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27.95</v>
      </c>
      <c r="BN260" s="78">
        <f t="shared" si="29"/>
        <v>27.95</v>
      </c>
      <c r="BO260" s="78">
        <f t="shared" si="30"/>
        <v>3.787878787878788E-2</v>
      </c>
      <c r="BP260" s="78">
        <f t="shared" si="31"/>
        <v>3.787878787878788E-2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27</v>
      </c>
      <c r="Y261" s="55">
        <f t="shared" si="27"/>
        <v>27</v>
      </c>
      <c r="Z261" s="41">
        <f>IFERROR(IF(Y261=0,"",ROUNDUP(Y261/H261,0)*0.00902),"")</f>
        <v>4.5100000000000001E-2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27.95</v>
      </c>
      <c r="BN261" s="78">
        <f t="shared" si="29"/>
        <v>27.95</v>
      </c>
      <c r="BO261" s="78">
        <f t="shared" si="30"/>
        <v>3.787878787878788E-2</v>
      </c>
      <c r="BP261" s="78">
        <f t="shared" si="31"/>
        <v>3.787878787878788E-2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27</v>
      </c>
      <c r="Y262" s="55">
        <f t="shared" si="27"/>
        <v>27</v>
      </c>
      <c r="Z262" s="41">
        <f>IFERROR(IF(Y262=0,"",ROUNDUP(Y262/H262,0)*0.00902),"")</f>
        <v>4.5100000000000001E-2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27.95</v>
      </c>
      <c r="BN262" s="78">
        <f t="shared" si="29"/>
        <v>27.95</v>
      </c>
      <c r="BO262" s="78">
        <f t="shared" si="30"/>
        <v>3.787878787878788E-2</v>
      </c>
      <c r="BP262" s="78">
        <f t="shared" si="31"/>
        <v>3.787878787878788E-2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20</v>
      </c>
      <c r="Y267" s="43">
        <f>IFERROR(Y259/H259,"0")+IFERROR(Y260/H260,"0")+IFERROR(Y261/H261,"0")+IFERROR(Y262/H262,"0")+IFERROR(Y263/H263,"0")+IFERROR(Y264/H264,"0")+IFERROR(Y265/H265,"0")+IFERROR(Y266/H266,"0")</f>
        <v>20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0.1804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108</v>
      </c>
      <c r="Y268" s="43">
        <f>IFERROR(SUM(Y259:Y266),"0")</f>
        <v>108</v>
      </c>
      <c r="Z268" s="42"/>
      <c r="AA268" s="67"/>
      <c r="AB268" s="67"/>
      <c r="AC268" s="67"/>
    </row>
    <row r="269" spans="1:68" ht="14.25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105</v>
      </c>
      <c r="Y414" s="55">
        <f t="shared" si="52"/>
        <v>105</v>
      </c>
      <c r="Z414" s="41">
        <f>IFERROR(IF(Y414=0,"",ROUNDUP(Y414/H414,0)*0.02175),"")</f>
        <v>0.15225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108.29</v>
      </c>
      <c r="BN414" s="78">
        <f t="shared" si="54"/>
        <v>108.29</v>
      </c>
      <c r="BO414" s="78">
        <f t="shared" si="55"/>
        <v>0.14583333333333331</v>
      </c>
      <c r="BP414" s="78">
        <f t="shared" si="56"/>
        <v>0.14583333333333331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75</v>
      </c>
      <c r="Y415" s="55">
        <f t="shared" si="52"/>
        <v>75</v>
      </c>
      <c r="Z415" s="41">
        <f>IFERROR(IF(Y415=0,"",ROUNDUP(Y415/H415,0)*0.02175),"")</f>
        <v>0.10874999999999999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77.349999999999994</v>
      </c>
      <c r="BN415" s="78">
        <f t="shared" si="54"/>
        <v>77.349999999999994</v>
      </c>
      <c r="BO415" s="78">
        <f t="shared" si="55"/>
        <v>0.10416666666666666</v>
      </c>
      <c r="BP415" s="78">
        <f t="shared" si="56"/>
        <v>0.10416666666666666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105</v>
      </c>
      <c r="Y417" s="55">
        <f t="shared" si="52"/>
        <v>105</v>
      </c>
      <c r="Z417" s="41">
        <f>IFERROR(IF(Y417=0,"",ROUNDUP(Y417/H417,0)*0.02175),"")</f>
        <v>0.15225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108.29</v>
      </c>
      <c r="BN417" s="78">
        <f t="shared" si="54"/>
        <v>108.29</v>
      </c>
      <c r="BO417" s="78">
        <f t="shared" si="55"/>
        <v>0.14583333333333331</v>
      </c>
      <c r="BP417" s="78">
        <f t="shared" si="56"/>
        <v>0.14583333333333331</v>
      </c>
    </row>
    <row r="418" spans="1:68" ht="27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19</v>
      </c>
      <c r="Y421" s="43">
        <f>IFERROR(Y413/H413,"0")+IFERROR(Y414/H414,"0")+IFERROR(Y415/H415,"0")+IFERROR(Y416/H416,"0")+IFERROR(Y417/H417,"0")+IFERROR(Y418/H418,"0")+IFERROR(Y419/H419,"0")+IFERROR(Y420/H420,"0")</f>
        <v>19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0.41325000000000001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285</v>
      </c>
      <c r="Y422" s="43">
        <f>IFERROR(SUM(Y413:Y420),"0")</f>
        <v>285</v>
      </c>
      <c r="Z422" s="42"/>
      <c r="AA422" s="67"/>
      <c r="AB422" s="67"/>
      <c r="AC422" s="67"/>
    </row>
    <row r="423" spans="1:68" ht="14.25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105</v>
      </c>
      <c r="Y424" s="55">
        <f>IFERROR(IF(X424="",0,CEILING((X424/$H424),1)*$H424),"")</f>
        <v>105</v>
      </c>
      <c r="Z424" s="41">
        <f>IFERROR(IF(Y424=0,"",ROUNDUP(Y424/H424,0)*0.02175),"")</f>
        <v>0.15225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108.29</v>
      </c>
      <c r="BN424" s="78">
        <f>IFERROR(Y424*I424/H424,"0")</f>
        <v>108.29</v>
      </c>
      <c r="BO424" s="78">
        <f>IFERROR(1/J424*(X424/H424),"0")</f>
        <v>0.14583333333333331</v>
      </c>
      <c r="BP424" s="78">
        <f>IFERROR(1/J424*(Y424/H424),"0")</f>
        <v>0.14583333333333331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7</v>
      </c>
      <c r="Y427" s="43">
        <f>IFERROR(Y424/H424,"0")+IFERROR(Y425/H425,"0")+IFERROR(Y426/H426,"0")</f>
        <v>7</v>
      </c>
      <c r="Z427" s="43">
        <f>IFERROR(IF(Z424="",0,Z424),"0")+IFERROR(IF(Z425="",0,Z425),"0")+IFERROR(IF(Z426="",0,Z426),"0")</f>
        <v>0.15225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105</v>
      </c>
      <c r="Y428" s="43">
        <f>IFERROR(SUM(Y424:Y426),"0")</f>
        <v>105</v>
      </c>
      <c r="Z428" s="42"/>
      <c r="AA428" s="67"/>
      <c r="AB428" s="67"/>
      <c r="AC428" s="67"/>
    </row>
    <row r="429" spans="1:68" ht="14.25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27</v>
      </c>
      <c r="Y460" s="55">
        <f t="shared" si="57"/>
        <v>27</v>
      </c>
      <c r="Z460" s="41">
        <f>IFERROR(IF(Y460=0,"",ROUNDUP(Y460/H460,0)*0.00902),"")</f>
        <v>4.5100000000000001E-2</v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27.95</v>
      </c>
      <c r="BN460" s="78">
        <f t="shared" si="59"/>
        <v>27.95</v>
      </c>
      <c r="BO460" s="78">
        <f t="shared" si="60"/>
        <v>3.787878787878788E-2</v>
      </c>
      <c r="BP460" s="78">
        <f t="shared" si="61"/>
        <v>3.787878787878788E-2</v>
      </c>
    </row>
    <row r="461" spans="1:68" ht="27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5</v>
      </c>
      <c r="Y465" s="43">
        <f>IFERROR(Y459/H459,"0")+IFERROR(Y460/H460,"0")+IFERROR(Y461/H461,"0")+IFERROR(Y462/H462,"0")+IFERROR(Y463/H463,"0")+IFERROR(Y464/H464,"0")</f>
        <v>5</v>
      </c>
      <c r="Z465" s="43">
        <f>IFERROR(IF(Z459="",0,Z459),"0")+IFERROR(IF(Z460="",0,Z460),"0")+IFERROR(IF(Z461="",0,Z461),"0")+IFERROR(IF(Z462="",0,Z462),"0")+IFERROR(IF(Z463="",0,Z463),"0")+IFERROR(IF(Z464="",0,Z464),"0")</f>
        <v>4.5100000000000001E-2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27</v>
      </c>
      <c r="Y466" s="43">
        <f>IFERROR(SUM(Y459:Y464),"0")</f>
        <v>27</v>
      </c>
      <c r="Z466" s="42"/>
      <c r="AA466" s="67"/>
      <c r="AB466" s="67"/>
      <c r="AC466" s="67"/>
    </row>
    <row r="467" spans="1:68" ht="14.25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27</v>
      </c>
      <c r="Y478" s="55">
        <f>IFERROR(IF(X478="",0,CEILING((X478/$H478),1)*$H478),"")</f>
        <v>27</v>
      </c>
      <c r="Z478" s="41">
        <f>IFERROR(IF(Y478=0,"",ROUNDUP(Y478/H478,0)*0.00902),"")</f>
        <v>4.5100000000000001E-2</v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27.95</v>
      </c>
      <c r="BN478" s="78">
        <f>IFERROR(Y478*I478/H478,"0")</f>
        <v>27.95</v>
      </c>
      <c r="BO478" s="78">
        <f>IFERROR(1/J478*(X478/H478),"0")</f>
        <v>3.787878787878788E-2</v>
      </c>
      <c r="BP478" s="78">
        <f>IFERROR(1/J478*(Y478/H478),"0")</f>
        <v>3.787878787878788E-2</v>
      </c>
    </row>
    <row r="479" spans="1:68" ht="27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5</v>
      </c>
      <c r="Y481" s="43">
        <f>IFERROR(Y478/H478,"0")+IFERROR(Y479/H479,"0")+IFERROR(Y480/H480,"0")</f>
        <v>5</v>
      </c>
      <c r="Z481" s="43">
        <f>IFERROR(IF(Z478="",0,Z478),"0")+IFERROR(IF(Z479="",0,Z479),"0")+IFERROR(IF(Z480="",0,Z480),"0")</f>
        <v>4.5100000000000001E-2</v>
      </c>
      <c r="AA481" s="67"/>
      <c r="AB481" s="67"/>
      <c r="AC481" s="67"/>
    </row>
    <row r="482" spans="1:68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27</v>
      </c>
      <c r="Y482" s="43">
        <f>IFERROR(SUM(Y478:Y480),"0")</f>
        <v>27</v>
      </c>
      <c r="Z482" s="42"/>
      <c r="AA482" s="67"/>
      <c r="AB482" s="67"/>
      <c r="AC482" s="67"/>
    </row>
    <row r="483" spans="1:68" ht="27.75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52.8</v>
      </c>
      <c r="Y489" s="55">
        <f t="shared" si="62"/>
        <v>52.800000000000004</v>
      </c>
      <c r="Z489" s="41">
        <f t="shared" si="63"/>
        <v>0.1196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56.29999999999999</v>
      </c>
      <c r="BN489" s="78">
        <f t="shared" si="65"/>
        <v>56.3</v>
      </c>
      <c r="BO489" s="78">
        <f t="shared" si="66"/>
        <v>9.6153846153846145E-2</v>
      </c>
      <c r="BP489" s="78">
        <f t="shared" si="67"/>
        <v>9.6153846153846159E-2</v>
      </c>
    </row>
    <row r="490" spans="1:68" ht="16.5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26.4</v>
      </c>
      <c r="Y491" s="55">
        <f t="shared" si="62"/>
        <v>26.400000000000002</v>
      </c>
      <c r="Z491" s="41">
        <f t="shared" si="63"/>
        <v>5.9799999999999999E-2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28.149999999999995</v>
      </c>
      <c r="BN491" s="78">
        <f t="shared" si="65"/>
        <v>28.15</v>
      </c>
      <c r="BO491" s="78">
        <f t="shared" si="66"/>
        <v>4.8076923076923073E-2</v>
      </c>
      <c r="BP491" s="78">
        <f t="shared" si="67"/>
        <v>4.807692307692308E-2</v>
      </c>
    </row>
    <row r="492" spans="1:68" ht="27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14.999999999999996</v>
      </c>
      <c r="Y495" s="43">
        <f>IFERROR(Y486/H486,"0")+IFERROR(Y487/H487,"0")+IFERROR(Y488/H488,"0")+IFERROR(Y489/H489,"0")+IFERROR(Y490/H490,"0")+IFERROR(Y491/H491,"0")+IFERROR(Y492/H492,"0")+IFERROR(Y493/H493,"0")+IFERROR(Y494/H494,"0")</f>
        <v>15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0.1794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79.199999999999989</v>
      </c>
      <c r="Y496" s="43">
        <f>IFERROR(SUM(Y486:Y494),"0")</f>
        <v>79.2</v>
      </c>
      <c r="Z496" s="42"/>
      <c r="AA496" s="67"/>
      <c r="AB496" s="67"/>
      <c r="AC496" s="67"/>
    </row>
    <row r="497" spans="1:68" ht="14.25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26.4</v>
      </c>
      <c r="Y498" s="55">
        <f>IFERROR(IF(X498="",0,CEILING((X498/$H498),1)*$H498),"")</f>
        <v>26.400000000000002</v>
      </c>
      <c r="Z498" s="41">
        <f>IFERROR(IF(Y498=0,"",ROUNDUP(Y498/H498,0)*0.01196),"")</f>
        <v>5.9799999999999999E-2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28.149999999999995</v>
      </c>
      <c r="BN498" s="78">
        <f>IFERROR(Y498*I498/H498,"0")</f>
        <v>28.15</v>
      </c>
      <c r="BO498" s="78">
        <f>IFERROR(1/J498*(X498/H498),"0")</f>
        <v>4.8076923076923073E-2</v>
      </c>
      <c r="BP498" s="78">
        <f>IFERROR(1/J498*(Y498/H498),"0")</f>
        <v>4.807692307692308E-2</v>
      </c>
    </row>
    <row r="499" spans="1:68" ht="16.5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4.9999999999999991</v>
      </c>
      <c r="Y501" s="43">
        <f>IFERROR(Y498/H498,"0")+IFERROR(Y499/H499,"0")+IFERROR(Y500/H500,"0")</f>
        <v>5</v>
      </c>
      <c r="Z501" s="43">
        <f>IFERROR(IF(Z498="",0,Z498),"0")+IFERROR(IF(Z499="",0,Z499),"0")+IFERROR(IF(Z500="",0,Z500),"0")</f>
        <v>5.9799999999999999E-2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26.4</v>
      </c>
      <c r="Y502" s="43">
        <f>IFERROR(SUM(Y498:Y500),"0")</f>
        <v>26.400000000000002</v>
      </c>
      <c r="Z502" s="42"/>
      <c r="AA502" s="67"/>
      <c r="AB502" s="67"/>
      <c r="AC502" s="67"/>
    </row>
    <row r="503" spans="1:68" ht="14.25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15.84</v>
      </c>
      <c r="Y504" s="55">
        <f t="shared" ref="Y504:Y510" si="68">IFERROR(IF(X504="",0,CEILING((X504/$H504),1)*$H504),"")</f>
        <v>15.84</v>
      </c>
      <c r="Z504" s="41">
        <f>IFERROR(IF(Y504=0,"",ROUNDUP(Y504/H504,0)*0.01196),"")</f>
        <v>3.5880000000000002E-2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16.889999999999997</v>
      </c>
      <c r="BN504" s="78">
        <f t="shared" ref="BN504:BN510" si="70">IFERROR(Y504*I504/H504,"0")</f>
        <v>16.889999999999997</v>
      </c>
      <c r="BO504" s="78">
        <f t="shared" ref="BO504:BO510" si="71">IFERROR(1/J504*(X504/H504),"0")</f>
        <v>2.8846153846153848E-2</v>
      </c>
      <c r="BP504" s="78">
        <f t="shared" ref="BP504:BP510" si="72">IFERROR(1/J504*(Y504/H504),"0")</f>
        <v>2.8846153846153848E-2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3</v>
      </c>
      <c r="Y511" s="43">
        <f>IFERROR(Y504/H504,"0")+IFERROR(Y505/H505,"0")+IFERROR(Y506/H506,"0")+IFERROR(Y507/H507,"0")+IFERROR(Y508/H508,"0")+IFERROR(Y509/H509,"0")+IFERROR(Y510/H510,"0")</f>
        <v>3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3.5880000000000002E-2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15.84</v>
      </c>
      <c r="Y512" s="43">
        <f>IFERROR(SUM(Y504:Y510),"0")</f>
        <v>15.84</v>
      </c>
      <c r="Z512" s="42"/>
      <c r="AA512" s="67"/>
      <c r="AB512" s="67"/>
      <c r="AC512" s="67"/>
    </row>
    <row r="513" spans="1:68" ht="27.75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45</v>
      </c>
      <c r="Y529" s="55">
        <f>IFERROR(IF(X529="",0,CEILING((X529/$H529),1)*$H529),"")</f>
        <v>45</v>
      </c>
      <c r="Z529" s="41">
        <f>IFERROR(IF(Y529=0,"",ROUNDUP(Y529/H529,0)*0.01898),"")</f>
        <v>9.4899999999999998E-2</v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47.47</v>
      </c>
      <c r="BN529" s="78">
        <f>IFERROR(Y529*I529/H529,"0")</f>
        <v>47.47</v>
      </c>
      <c r="BO529" s="78">
        <f>IFERROR(1/J529*(X529/H529),"0")</f>
        <v>7.8125E-2</v>
      </c>
      <c r="BP529" s="78">
        <f>IFERROR(1/J529*(Y529/H529),"0")</f>
        <v>7.8125E-2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5</v>
      </c>
      <c r="Y530" s="43">
        <f>IFERROR(Y529/H529,"0")</f>
        <v>5</v>
      </c>
      <c r="Z530" s="43">
        <f>IFERROR(IF(Z529="",0,Z529),"0")</f>
        <v>9.4899999999999998E-2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45</v>
      </c>
      <c r="Y531" s="43">
        <f>IFERROR(SUM(Y529:Y529),"0")</f>
        <v>45</v>
      </c>
      <c r="Z531" s="42"/>
      <c r="AA531" s="67"/>
      <c r="AB531" s="67"/>
      <c r="AC531" s="67"/>
    </row>
    <row r="532" spans="1:68" ht="14.25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834.54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834.54000000000008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868.28999999999985</v>
      </c>
      <c r="Y543" s="43">
        <f>IFERROR(SUM(BN22:BN539),"0")</f>
        <v>868.28999999999985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2</v>
      </c>
      <c r="Y544" s="44">
        <f>ROUNDUP(SUM(BP22:BP539),0)</f>
        <v>2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918.28999999999985</v>
      </c>
      <c r="Y545" s="43">
        <f>GrossWeightTotalR+PalletQtyTotalR*25</f>
        <v>918.28999999999985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96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96</v>
      </c>
      <c r="Z546" s="42"/>
      <c r="AA546" s="67"/>
      <c r="AB546" s="67"/>
      <c r="AC546" s="67"/>
    </row>
    <row r="547" spans="1:32" ht="14.25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1.4338399999999998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54.000000000000007</v>
      </c>
      <c r="F552" s="52">
        <f>IFERROR(Y88*1,"0")+IFERROR(Y89*1,"0")+IFERROR(Y90*1,"0")+IFERROR(Y91*1,"0")+IFERROR(Y95*1,"0")+IFERROR(Y96*1,"0")+IFERROR(Y97*1,"0")+IFERROR(Y98*1,"0")</f>
        <v>21.6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40.5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108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390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27</v>
      </c>
      <c r="Y552" s="52">
        <f>IFERROR(Y474*1,"0")+IFERROR(Y478*1,"0")+IFERROR(Y479*1,"0")+IFERROR(Y480*1,"0")</f>
        <v>27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121.44000000000001</v>
      </c>
      <c r="AA552" s="52">
        <f>IFERROR(Y516*1,"0")+IFERROR(Y520*1,"0")+IFERROR(Y524*1,"0")+IFERROR(Y525*1,"0")+IFERROR(Y529*1,"0")+IFERROR(Y533*1,"0")+IFERROR(Y534*1,"0")</f>
        <v>45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2026-07-22T10:46:09Z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