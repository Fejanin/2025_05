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E6BFF700-56CB-43E7-87E9-BB8AAC2D90D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Y514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Y493" i="2" s="1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P461" i="2"/>
  <c r="BO460" i="2"/>
  <c r="BM460" i="2"/>
  <c r="Y460" i="2"/>
  <c r="BP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6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Z429" i="2" s="1"/>
  <c r="Z430" i="2" s="1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Z408" i="2" s="1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BN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Y228" i="2" s="1"/>
  <c r="P213" i="2"/>
  <c r="X211" i="2"/>
  <c r="X210" i="2"/>
  <c r="BO209" i="2"/>
  <c r="BM209" i="2"/>
  <c r="Y209" i="2"/>
  <c r="Y211" i="2" s="1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BN198" i="2" s="1"/>
  <c r="P198" i="2"/>
  <c r="X194" i="2"/>
  <c r="X193" i="2"/>
  <c r="BO192" i="2"/>
  <c r="BM192" i="2"/>
  <c r="Y192" i="2"/>
  <c r="Y194" i="2" s="1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Y92" i="2" s="1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A10" i="2" s="1"/>
  <c r="D7" i="2"/>
  <c r="Q6" i="2"/>
  <c r="P2" i="2"/>
  <c r="Z264" i="2" l="1"/>
  <c r="BN264" i="2"/>
  <c r="Z139" i="2"/>
  <c r="BP373" i="2"/>
  <c r="BP53" i="2"/>
  <c r="Z209" i="2"/>
  <c r="Z210" i="2" s="1"/>
  <c r="BN209" i="2"/>
  <c r="BP209" i="2"/>
  <c r="Y210" i="2"/>
  <c r="Z318" i="2"/>
  <c r="Z419" i="2"/>
  <c r="X535" i="2"/>
  <c r="Z27" i="2"/>
  <c r="BN27" i="2"/>
  <c r="Z73" i="2"/>
  <c r="BN73" i="2"/>
  <c r="Z192" i="2"/>
  <c r="Z193" i="2" s="1"/>
  <c r="BN192" i="2"/>
  <c r="BP192" i="2"/>
  <c r="Y193" i="2"/>
  <c r="Z293" i="2"/>
  <c r="BN293" i="2"/>
  <c r="Z354" i="2"/>
  <c r="Z409" i="2"/>
  <c r="Z460" i="2"/>
  <c r="BN460" i="2"/>
  <c r="Y462" i="2"/>
  <c r="Z42" i="2"/>
  <c r="BN42" i="2"/>
  <c r="Z63" i="2"/>
  <c r="BN63" i="2"/>
  <c r="Z174" i="2"/>
  <c r="BN174" i="2"/>
  <c r="Z201" i="2"/>
  <c r="Z218" i="2"/>
  <c r="Z255" i="2"/>
  <c r="Y268" i="2"/>
  <c r="Z271" i="2"/>
  <c r="Z295" i="2"/>
  <c r="Z327" i="2"/>
  <c r="BN327" i="2"/>
  <c r="Z372" i="2"/>
  <c r="Z407" i="2"/>
  <c r="BN407" i="2"/>
  <c r="Z411" i="2"/>
  <c r="BN411" i="2"/>
  <c r="Z516" i="2"/>
  <c r="X538" i="2"/>
  <c r="BN170" i="2"/>
  <c r="BN203" i="2"/>
  <c r="BN217" i="2"/>
  <c r="BP219" i="2"/>
  <c r="BP221" i="2"/>
  <c r="X536" i="2"/>
  <c r="X537" i="2" s="1"/>
  <c r="X534" i="2"/>
  <c r="Y37" i="2"/>
  <c r="Z65" i="2"/>
  <c r="BN65" i="2"/>
  <c r="Z89" i="2"/>
  <c r="BN91" i="2"/>
  <c r="BP108" i="2"/>
  <c r="BN113" i="2"/>
  <c r="Z117" i="2"/>
  <c r="BN117" i="2"/>
  <c r="BN123" i="2"/>
  <c r="Z129" i="2"/>
  <c r="Z130" i="2" s="1"/>
  <c r="BN129" i="2"/>
  <c r="BP129" i="2"/>
  <c r="Y130" i="2"/>
  <c r="Z152" i="2"/>
  <c r="BN152" i="2"/>
  <c r="BN159" i="2"/>
  <c r="Z163" i="2"/>
  <c r="Z164" i="2" s="1"/>
  <c r="Z176" i="2"/>
  <c r="BN176" i="2"/>
  <c r="BP199" i="2"/>
  <c r="Z202" i="2"/>
  <c r="Z219" i="2"/>
  <c r="Z221" i="2"/>
  <c r="Z222" i="2"/>
  <c r="BN225" i="2"/>
  <c r="Z231" i="2"/>
  <c r="Z232" i="2"/>
  <c r="Z254" i="2"/>
  <c r="Z262" i="2"/>
  <c r="BN262" i="2"/>
  <c r="Z275" i="2"/>
  <c r="BN276" i="2"/>
  <c r="BN278" i="2"/>
  <c r="Z281" i="2"/>
  <c r="BN281" i="2"/>
  <c r="BP294" i="2"/>
  <c r="Z297" i="2"/>
  <c r="Z309" i="2"/>
  <c r="BP317" i="2"/>
  <c r="Z320" i="2"/>
  <c r="BN320" i="2"/>
  <c r="Z325" i="2"/>
  <c r="BN346" i="2"/>
  <c r="Y350" i="2"/>
  <c r="BP356" i="2"/>
  <c r="BN357" i="2"/>
  <c r="BP393" i="2"/>
  <c r="BN394" i="2"/>
  <c r="BP399" i="2"/>
  <c r="BN400" i="2"/>
  <c r="BP413" i="2"/>
  <c r="BN429" i="2"/>
  <c r="BN445" i="2"/>
  <c r="BN454" i="2"/>
  <c r="BN482" i="2"/>
  <c r="Y165" i="2"/>
  <c r="BP202" i="2"/>
  <c r="BP231" i="2"/>
  <c r="BP297" i="2"/>
  <c r="BP309" i="2"/>
  <c r="BN310" i="2"/>
  <c r="BN336" i="2"/>
  <c r="BP353" i="2"/>
  <c r="Z356" i="2"/>
  <c r="BN362" i="2"/>
  <c r="Z365" i="2"/>
  <c r="BN366" i="2"/>
  <c r="Z368" i="2"/>
  <c r="BN368" i="2"/>
  <c r="BP372" i="2"/>
  <c r="Z374" i="2"/>
  <c r="Y383" i="2"/>
  <c r="BN380" i="2"/>
  <c r="Z381" i="2"/>
  <c r="BN387" i="2"/>
  <c r="Z393" i="2"/>
  <c r="Y395" i="2"/>
  <c r="Z399" i="2"/>
  <c r="BP408" i="2"/>
  <c r="Z413" i="2"/>
  <c r="BP418" i="2"/>
  <c r="Y430" i="2"/>
  <c r="BN452" i="2"/>
  <c r="Y463" i="2"/>
  <c r="BN497" i="2"/>
  <c r="BN499" i="2"/>
  <c r="Z512" i="2"/>
  <c r="Z513" i="2" s="1"/>
  <c r="BP517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BN311" i="2"/>
  <c r="BP311" i="2"/>
  <c r="Z311" i="2"/>
  <c r="BP333" i="2"/>
  <c r="BN333" i="2"/>
  <c r="BN420" i="2"/>
  <c r="Z420" i="2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Z141" i="2" s="1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Y160" i="2"/>
  <c r="BN158" i="2"/>
  <c r="BP158" i="2"/>
  <c r="Z158" i="2"/>
  <c r="Z160" i="2" s="1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BP249" i="2"/>
  <c r="Y252" i="2"/>
  <c r="Z250" i="2"/>
  <c r="BN250" i="2"/>
  <c r="Z367" i="2"/>
  <c r="BN367" i="2"/>
  <c r="BN401" i="2"/>
  <c r="BP401" i="2"/>
  <c r="Z401" i="2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Z421" i="2"/>
  <c r="Y436" i="2"/>
  <c r="BP479" i="2"/>
  <c r="K544" i="2"/>
  <c r="BP203" i="2"/>
  <c r="BP222" i="2"/>
  <c r="Z225" i="2"/>
  <c r="BP232" i="2"/>
  <c r="BP240" i="2"/>
  <c r="Z256" i="2"/>
  <c r="Y257" i="2"/>
  <c r="BP265" i="2"/>
  <c r="Z270" i="2"/>
  <c r="BP273" i="2"/>
  <c r="Z276" i="2"/>
  <c r="Z296" i="2"/>
  <c r="BP310" i="2"/>
  <c r="P544" i="2"/>
  <c r="BP318" i="2"/>
  <c r="Z326" i="2"/>
  <c r="Z328" i="2" s="1"/>
  <c r="Z336" i="2"/>
  <c r="BP346" i="2"/>
  <c r="Z355" i="2"/>
  <c r="BP357" i="2"/>
  <c r="Z362" i="2"/>
  <c r="Z364" i="2"/>
  <c r="Z366" i="2"/>
  <c r="Z375" i="2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Z136" i="2"/>
  <c r="BP135" i="2"/>
  <c r="Y141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Z241" i="2"/>
  <c r="BN61" i="2"/>
  <c r="Y32" i="2"/>
  <c r="Z53" i="2"/>
  <c r="Z64" i="2"/>
  <c r="BP66" i="2"/>
  <c r="Y79" i="2"/>
  <c r="BP89" i="2"/>
  <c r="Z97" i="2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BN326" i="2"/>
  <c r="Y338" i="2"/>
  <c r="Z348" i="2"/>
  <c r="BN381" i="2"/>
  <c r="Z414" i="2"/>
  <c r="Y427" i="2"/>
  <c r="BN439" i="2"/>
  <c r="Z451" i="2"/>
  <c r="Z461" i="2"/>
  <c r="Z462" i="2" s="1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Y206" i="2"/>
  <c r="Z216" i="2"/>
  <c r="BN226" i="2"/>
  <c r="BP238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Y532" i="2"/>
  <c r="Z66" i="2"/>
  <c r="Z125" i="2"/>
  <c r="F544" i="2"/>
  <c r="Y544" i="2"/>
  <c r="Z71" i="2"/>
  <c r="Z105" i="2"/>
  <c r="Z29" i="2"/>
  <c r="BN43" i="2"/>
  <c r="Y46" i="2"/>
  <c r="Y136" i="2"/>
  <c r="Z187" i="2"/>
  <c r="Z189" i="2" s="1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Y533" i="2"/>
  <c r="BN443" i="2"/>
  <c r="BN490" i="2"/>
  <c r="Z298" i="2" l="1"/>
  <c r="Z235" i="2"/>
  <c r="Z426" i="2"/>
  <c r="Z184" i="2"/>
  <c r="Z46" i="2"/>
  <c r="Z395" i="2"/>
  <c r="Z349" i="2"/>
  <c r="Z321" i="2"/>
  <c r="Z359" i="2"/>
  <c r="Z402" i="2"/>
  <c r="Z312" i="2"/>
  <c r="Z376" i="2"/>
  <c r="Z518" i="2"/>
  <c r="Z92" i="2"/>
  <c r="Z55" i="2"/>
  <c r="Z389" i="2"/>
  <c r="Z32" i="2"/>
  <c r="Z527" i="2"/>
  <c r="Z473" i="2"/>
  <c r="Z382" i="2"/>
  <c r="Z415" i="2"/>
  <c r="Z282" i="2"/>
  <c r="Z99" i="2"/>
  <c r="Z369" i="2"/>
  <c r="Z267" i="2"/>
  <c r="Z251" i="2"/>
  <c r="Z154" i="2"/>
  <c r="Z84" i="2"/>
  <c r="Z205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<sst xmlns="http://schemas.openxmlformats.org/spreadsheetml/2006/main" count="4039" uniqueCount="855">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</sst>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A513" zoomScaleNormal="100" zoomScaleSheetLayoutView="100" workbookViewId="0">
      <selection activeCell="X540" sqref="X5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/>
      <c r="I5" s="621"/>
      <c r="J5" s="621"/>
      <c r="K5" s="621"/>
      <c r="L5" s="621"/>
      <c r="M5" s="621"/>
      <c r="N5" s="72"/>
      <c r="P5" s="27" t="s">
        <v>4</v>
      </c>
      <c r="Q5" s="623">
        <v>46216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837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Понедельник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1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0.375</v>
      </c>
      <c r="R8" s="643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645" t="s">
        <v>46</v>
      </c>
      <c r="E9" s="646"/>
      <c r="F9" s="6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7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7"/>
      <c r="L9" s="647"/>
      <c r="M9" s="647"/>
      <c r="N9" s="70"/>
      <c r="P9" s="31" t="s">
        <v>15</v>
      </c>
      <c r="Q9" s="648"/>
      <c r="R9" s="648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645"/>
      <c r="E10" s="646"/>
      <c r="F10" s="6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649" t="str">
        <f>IFERROR(VLOOKUP($D$10,Proxy,2,FALSE),"")</f>
        <v/>
      </c>
      <c r="I10" s="649"/>
      <c r="J10" s="649"/>
      <c r="K10" s="649"/>
      <c r="L10" s="649"/>
      <c r="M10" s="649"/>
      <c r="N10" s="71"/>
      <c r="P10" s="31" t="s">
        <v>32</v>
      </c>
      <c r="Q10" s="650"/>
      <c r="R10" s="650"/>
      <c r="U10" s="29" t="s">
        <v>12</v>
      </c>
      <c r="V10" s="651" t="s">
        <v>71</v>
      </c>
      <c r="W10" s="65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3"/>
      <c r="R11" s="653"/>
      <c r="U11" s="29" t="s">
        <v>28</v>
      </c>
      <c r="V11" s="654" t="s">
        <v>55</v>
      </c>
      <c r="W11" s="6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5" t="s">
        <v>72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5"/>
      <c r="N12" s="76"/>
      <c r="P12" s="27" t="s">
        <v>30</v>
      </c>
      <c r="Q12" s="643"/>
      <c r="R12" s="643"/>
      <c r="S12" s="28"/>
      <c r="T12"/>
      <c r="U12" s="29" t="s">
        <v>46</v>
      </c>
      <c r="V12" s="656"/>
      <c r="W12" s="656"/>
      <c r="X12"/>
      <c r="AB12" s="59"/>
      <c r="AC12" s="59"/>
      <c r="AD12" s="59"/>
      <c r="AE12" s="59"/>
    </row>
    <row r="13" spans="1:32" s="17" customFormat="1" ht="23.25" customHeight="1" x14ac:dyDescent="0.2">
      <c r="A13" s="655" t="s">
        <v>73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5"/>
      <c r="N13" s="76"/>
      <c r="O13" s="31"/>
      <c r="P13" s="31" t="s">
        <v>31</v>
      </c>
      <c r="Q13" s="654"/>
      <c r="R13" s="6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5" t="s">
        <v>74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7" t="s">
        <v>75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7"/>
      <c r="N15" s="77"/>
      <c r="O15"/>
      <c r="P15" s="658" t="s">
        <v>61</v>
      </c>
      <c r="Q15" s="658"/>
      <c r="R15" s="658"/>
      <c r="S15" s="658"/>
      <c r="T15" s="65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9"/>
      <c r="Q16" s="659"/>
      <c r="R16" s="659"/>
      <c r="S16" s="659"/>
      <c r="T16" s="65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2" t="s">
        <v>59</v>
      </c>
      <c r="B17" s="662" t="s">
        <v>49</v>
      </c>
      <c r="C17" s="664" t="s">
        <v>48</v>
      </c>
      <c r="D17" s="666" t="s">
        <v>50</v>
      </c>
      <c r="E17" s="667"/>
      <c r="F17" s="662" t="s">
        <v>21</v>
      </c>
      <c r="G17" s="662" t="s">
        <v>24</v>
      </c>
      <c r="H17" s="662" t="s">
        <v>22</v>
      </c>
      <c r="I17" s="662" t="s">
        <v>23</v>
      </c>
      <c r="J17" s="662" t="s">
        <v>16</v>
      </c>
      <c r="K17" s="662" t="s">
        <v>66</v>
      </c>
      <c r="L17" s="662" t="s">
        <v>64</v>
      </c>
      <c r="M17" s="662" t="s">
        <v>2</v>
      </c>
      <c r="N17" s="662" t="s">
        <v>63</v>
      </c>
      <c r="O17" s="662" t="s">
        <v>25</v>
      </c>
      <c r="P17" s="666" t="s">
        <v>17</v>
      </c>
      <c r="Q17" s="670"/>
      <c r="R17" s="670"/>
      <c r="S17" s="670"/>
      <c r="T17" s="667"/>
      <c r="U17" s="660" t="s">
        <v>56</v>
      </c>
      <c r="V17" s="661"/>
      <c r="W17" s="662" t="s">
        <v>6</v>
      </c>
      <c r="X17" s="662" t="s">
        <v>41</v>
      </c>
      <c r="Y17" s="672" t="s">
        <v>54</v>
      </c>
      <c r="Z17" s="674" t="s">
        <v>18</v>
      </c>
      <c r="AA17" s="676" t="s">
        <v>60</v>
      </c>
      <c r="AB17" s="676" t="s">
        <v>19</v>
      </c>
      <c r="AC17" s="676" t="s">
        <v>65</v>
      </c>
      <c r="AD17" s="678" t="s">
        <v>57</v>
      </c>
      <c r="AE17" s="679"/>
      <c r="AF17" s="680"/>
      <c r="AG17" s="82"/>
      <c r="BD17" s="81" t="s">
        <v>62</v>
      </c>
    </row>
    <row r="18" spans="1:68" ht="14.25" customHeight="1" x14ac:dyDescent="0.2">
      <c r="A18" s="663"/>
      <c r="B18" s="663"/>
      <c r="C18" s="665"/>
      <c r="D18" s="668"/>
      <c r="E18" s="669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668"/>
      <c r="Q18" s="671"/>
      <c r="R18" s="671"/>
      <c r="S18" s="671"/>
      <c r="T18" s="669"/>
      <c r="U18" s="83" t="s">
        <v>44</v>
      </c>
      <c r="V18" s="83" t="s">
        <v>43</v>
      </c>
      <c r="W18" s="663"/>
      <c r="X18" s="663"/>
      <c r="Y18" s="673"/>
      <c r="Z18" s="675"/>
      <c r="AA18" s="677"/>
      <c r="AB18" s="677"/>
      <c r="AC18" s="677"/>
      <c r="AD18" s="681"/>
      <c r="AE18" s="682"/>
      <c r="AF18" s="683"/>
      <c r="AG18" s="82"/>
      <c r="BD18" s="81"/>
    </row>
    <row r="19" spans="1:68" ht="27.75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customHeight="1" x14ac:dyDescent="0.25">
      <c r="A20" s="685" t="s">
        <v>76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 s="685"/>
      <c r="P20" s="685"/>
      <c r="Q20" s="685"/>
      <c r="R20" s="685"/>
      <c r="S20" s="685"/>
      <c r="T20" s="685"/>
      <c r="U20" s="685"/>
      <c r="V20" s="685"/>
      <c r="W20" s="685"/>
      <c r="X20" s="685"/>
      <c r="Y20" s="685"/>
      <c r="Z20" s="685"/>
      <c r="AA20" s="65"/>
      <c r="AB20" s="65"/>
      <c r="AC20" s="79"/>
    </row>
    <row r="21" spans="1:68" ht="14.25" customHeight="1" x14ac:dyDescent="0.25">
      <c r="A21" s="686" t="s">
        <v>77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87">
        <v>4680115886643</v>
      </c>
      <c r="E22" s="68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9"/>
      <c r="R22" s="689"/>
      <c r="S22" s="689"/>
      <c r="T22" s="69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87">
        <v>4680115889071</v>
      </c>
      <c r="E23" s="68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9"/>
      <c r="R23" s="689"/>
      <c r="S23" s="689"/>
      <c r="T23" s="69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95"/>
      <c r="B24" s="695"/>
      <c r="C24" s="695"/>
      <c r="D24" s="695"/>
      <c r="E24" s="695"/>
      <c r="F24" s="695"/>
      <c r="G24" s="695"/>
      <c r="H24" s="695"/>
      <c r="I24" s="695"/>
      <c r="J24" s="695"/>
      <c r="K24" s="695"/>
      <c r="L24" s="695"/>
      <c r="M24" s="695"/>
      <c r="N24" s="695"/>
      <c r="O24" s="696"/>
      <c r="P24" s="692" t="s">
        <v>40</v>
      </c>
      <c r="Q24" s="693"/>
      <c r="R24" s="693"/>
      <c r="S24" s="693"/>
      <c r="T24" s="693"/>
      <c r="U24" s="693"/>
      <c r="V24" s="69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95"/>
      <c r="B25" s="695"/>
      <c r="C25" s="695"/>
      <c r="D25" s="695"/>
      <c r="E25" s="695"/>
      <c r="F25" s="695"/>
      <c r="G25" s="695"/>
      <c r="H25" s="695"/>
      <c r="I25" s="695"/>
      <c r="J25" s="695"/>
      <c r="K25" s="695"/>
      <c r="L25" s="695"/>
      <c r="M25" s="695"/>
      <c r="N25" s="695"/>
      <c r="O25" s="696"/>
      <c r="P25" s="692" t="s">
        <v>40</v>
      </c>
      <c r="Q25" s="693"/>
      <c r="R25" s="693"/>
      <c r="S25" s="693"/>
      <c r="T25" s="693"/>
      <c r="U25" s="693"/>
      <c r="V25" s="69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86" t="s">
        <v>86</v>
      </c>
      <c r="B26" s="686"/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6"/>
      <c r="N26" s="686"/>
      <c r="O26" s="686"/>
      <c r="P26" s="686"/>
      <c r="Q26" s="686"/>
      <c r="R26" s="686"/>
      <c r="S26" s="686"/>
      <c r="T26" s="686"/>
      <c r="U26" s="686"/>
      <c r="V26" s="686"/>
      <c r="W26" s="686"/>
      <c r="X26" s="686"/>
      <c r="Y26" s="686"/>
      <c r="Z26" s="68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87">
        <v>4680115885912</v>
      </c>
      <c r="E27" s="68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9"/>
      <c r="R27" s="689"/>
      <c r="S27" s="689"/>
      <c r="T27" s="69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87">
        <v>4607091388237</v>
      </c>
      <c r="E28" s="68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9"/>
      <c r="R28" s="689"/>
      <c r="S28" s="689"/>
      <c r="T28" s="69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87">
        <v>4680115887350</v>
      </c>
      <c r="E29" s="68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9"/>
      <c r="R29" s="689"/>
      <c r="S29" s="689"/>
      <c r="T29" s="69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87">
        <v>4680115885905</v>
      </c>
      <c r="E30" s="68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9"/>
      <c r="R30" s="689"/>
      <c r="S30" s="689"/>
      <c r="T30" s="69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87">
        <v>4680115887619</v>
      </c>
      <c r="E31" s="68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89"/>
      <c r="R31" s="689"/>
      <c r="S31" s="689"/>
      <c r="T31" s="69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95"/>
      <c r="B32" s="695"/>
      <c r="C32" s="695"/>
      <c r="D32" s="695"/>
      <c r="E32" s="695"/>
      <c r="F32" s="695"/>
      <c r="G32" s="695"/>
      <c r="H32" s="695"/>
      <c r="I32" s="695"/>
      <c r="J32" s="695"/>
      <c r="K32" s="695"/>
      <c r="L32" s="695"/>
      <c r="M32" s="695"/>
      <c r="N32" s="695"/>
      <c r="O32" s="696"/>
      <c r="P32" s="692" t="s">
        <v>40</v>
      </c>
      <c r="Q32" s="693"/>
      <c r="R32" s="693"/>
      <c r="S32" s="693"/>
      <c r="T32" s="693"/>
      <c r="U32" s="693"/>
      <c r="V32" s="69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95"/>
      <c r="B33" s="695"/>
      <c r="C33" s="695"/>
      <c r="D33" s="695"/>
      <c r="E33" s="695"/>
      <c r="F33" s="695"/>
      <c r="G33" s="695"/>
      <c r="H33" s="695"/>
      <c r="I33" s="695"/>
      <c r="J33" s="695"/>
      <c r="K33" s="695"/>
      <c r="L33" s="695"/>
      <c r="M33" s="695"/>
      <c r="N33" s="695"/>
      <c r="O33" s="696"/>
      <c r="P33" s="692" t="s">
        <v>40</v>
      </c>
      <c r="Q33" s="693"/>
      <c r="R33" s="693"/>
      <c r="S33" s="693"/>
      <c r="T33" s="693"/>
      <c r="U33" s="693"/>
      <c r="V33" s="69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86" t="s">
        <v>104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87">
        <v>4607091388503</v>
      </c>
      <c r="E35" s="68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89"/>
      <c r="R35" s="689"/>
      <c r="S35" s="689"/>
      <c r="T35" s="69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95"/>
      <c r="B36" s="695"/>
      <c r="C36" s="695"/>
      <c r="D36" s="695"/>
      <c r="E36" s="695"/>
      <c r="F36" s="695"/>
      <c r="G36" s="695"/>
      <c r="H36" s="695"/>
      <c r="I36" s="695"/>
      <c r="J36" s="695"/>
      <c r="K36" s="695"/>
      <c r="L36" s="695"/>
      <c r="M36" s="695"/>
      <c r="N36" s="695"/>
      <c r="O36" s="696"/>
      <c r="P36" s="692" t="s">
        <v>40</v>
      </c>
      <c r="Q36" s="693"/>
      <c r="R36" s="693"/>
      <c r="S36" s="693"/>
      <c r="T36" s="693"/>
      <c r="U36" s="693"/>
      <c r="V36" s="69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95"/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6"/>
      <c r="P37" s="692" t="s">
        <v>40</v>
      </c>
      <c r="Q37" s="693"/>
      <c r="R37" s="693"/>
      <c r="S37" s="693"/>
      <c r="T37" s="693"/>
      <c r="U37" s="693"/>
      <c r="V37" s="69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84" t="s">
        <v>45</v>
      </c>
      <c r="B38" s="684"/>
      <c r="C38" s="684"/>
      <c r="D38" s="684"/>
      <c r="E38" s="684"/>
      <c r="F38" s="684"/>
      <c r="G38" s="684"/>
      <c r="H38" s="684"/>
      <c r="I38" s="684"/>
      <c r="J38" s="684"/>
      <c r="K38" s="684"/>
      <c r="L38" s="684"/>
      <c r="M38" s="684"/>
      <c r="N38" s="684"/>
      <c r="O38" s="684"/>
      <c r="P38" s="684"/>
      <c r="Q38" s="684"/>
      <c r="R38" s="684"/>
      <c r="S38" s="684"/>
      <c r="T38" s="684"/>
      <c r="U38" s="684"/>
      <c r="V38" s="684"/>
      <c r="W38" s="684"/>
      <c r="X38" s="684"/>
      <c r="Y38" s="684"/>
      <c r="Z38" s="684"/>
      <c r="AA38" s="54"/>
      <c r="AB38" s="54"/>
      <c r="AC38" s="54"/>
    </row>
    <row r="39" spans="1:68" ht="16.5" customHeight="1" x14ac:dyDescent="0.25">
      <c r="A39" s="685" t="s">
        <v>110</v>
      </c>
      <c r="B39" s="685"/>
      <c r="C39" s="685"/>
      <c r="D39" s="685"/>
      <c r="E39" s="685"/>
      <c r="F39" s="685"/>
      <c r="G39" s="685"/>
      <c r="H39" s="685"/>
      <c r="I39" s="685"/>
      <c r="J39" s="685"/>
      <c r="K39" s="685"/>
      <c r="L39" s="685"/>
      <c r="M39" s="685"/>
      <c r="N39" s="685"/>
      <c r="O39" s="685"/>
      <c r="P39" s="685"/>
      <c r="Q39" s="685"/>
      <c r="R39" s="685"/>
      <c r="S39" s="685"/>
      <c r="T39" s="685"/>
      <c r="U39" s="685"/>
      <c r="V39" s="685"/>
      <c r="W39" s="685"/>
      <c r="X39" s="685"/>
      <c r="Y39" s="685"/>
      <c r="Z39" s="685"/>
      <c r="AA39" s="65"/>
      <c r="AB39" s="65"/>
      <c r="AC39" s="79"/>
    </row>
    <row r="40" spans="1:68" ht="14.25" customHeight="1" x14ac:dyDescent="0.25">
      <c r="A40" s="686" t="s">
        <v>86</v>
      </c>
      <c r="B40" s="686"/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6"/>
      <c r="N40" s="686"/>
      <c r="O40" s="686"/>
      <c r="P40" s="686"/>
      <c r="Q40" s="686"/>
      <c r="R40" s="686"/>
      <c r="S40" s="686"/>
      <c r="T40" s="686"/>
      <c r="U40" s="686"/>
      <c r="V40" s="686"/>
      <c r="W40" s="686"/>
      <c r="X40" s="686"/>
      <c r="Y40" s="686"/>
      <c r="Z40" s="686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87">
        <v>4680115889354</v>
      </c>
      <c r="E41" s="68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89"/>
      <c r="R41" s="689"/>
      <c r="S41" s="689"/>
      <c r="T41" s="69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115</v>
      </c>
      <c r="B42" s="63" t="s">
        <v>116</v>
      </c>
      <c r="C42" s="36">
        <v>4301052198</v>
      </c>
      <c r="D42" s="687">
        <v>4680115888463</v>
      </c>
      <c r="E42" s="68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89"/>
      <c r="R42" s="689"/>
      <c r="S42" s="689"/>
      <c r="T42" s="69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4301052202</v>
      </c>
      <c r="D43" s="687">
        <v>4680115888494</v>
      </c>
      <c r="E43" s="68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89"/>
      <c r="R43" s="689"/>
      <c r="S43" s="689"/>
      <c r="T43" s="69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87">
        <v>4680115888272</v>
      </c>
      <c r="E44" s="68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89"/>
      <c r="R44" s="689"/>
      <c r="S44" s="689"/>
      <c r="T44" s="69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87">
        <v>4680115888364</v>
      </c>
      <c r="E45" s="68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89"/>
      <c r="R45" s="689"/>
      <c r="S45" s="689"/>
      <c r="T45" s="69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95"/>
      <c r="B46" s="695"/>
      <c r="C46" s="695"/>
      <c r="D46" s="695"/>
      <c r="E46" s="695"/>
      <c r="F46" s="695"/>
      <c r="G46" s="695"/>
      <c r="H46" s="695"/>
      <c r="I46" s="695"/>
      <c r="J46" s="695"/>
      <c r="K46" s="695"/>
      <c r="L46" s="695"/>
      <c r="M46" s="695"/>
      <c r="N46" s="695"/>
      <c r="O46" s="696"/>
      <c r="P46" s="692" t="s">
        <v>40</v>
      </c>
      <c r="Q46" s="693"/>
      <c r="R46" s="693"/>
      <c r="S46" s="693"/>
      <c r="T46" s="693"/>
      <c r="U46" s="693"/>
      <c r="V46" s="69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95"/>
      <c r="B47" s="695"/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6"/>
      <c r="P47" s="692" t="s">
        <v>40</v>
      </c>
      <c r="Q47" s="693"/>
      <c r="R47" s="693"/>
      <c r="S47" s="693"/>
      <c r="T47" s="693"/>
      <c r="U47" s="693"/>
      <c r="V47" s="69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84" t="s">
        <v>127</v>
      </c>
      <c r="B48" s="684"/>
      <c r="C48" s="684"/>
      <c r="D48" s="684"/>
      <c r="E48" s="684"/>
      <c r="F48" s="684"/>
      <c r="G48" s="684"/>
      <c r="H48" s="684"/>
      <c r="I48" s="684"/>
      <c r="J48" s="684"/>
      <c r="K48" s="684"/>
      <c r="L48" s="684"/>
      <c r="M48" s="684"/>
      <c r="N48" s="684"/>
      <c r="O48" s="684"/>
      <c r="P48" s="684"/>
      <c r="Q48" s="684"/>
      <c r="R48" s="684"/>
      <c r="S48" s="684"/>
      <c r="T48" s="684"/>
      <c r="U48" s="684"/>
      <c r="V48" s="684"/>
      <c r="W48" s="684"/>
      <c r="X48" s="684"/>
      <c r="Y48" s="684"/>
      <c r="Z48" s="684"/>
      <c r="AA48" s="54"/>
      <c r="AB48" s="54"/>
      <c r="AC48" s="54"/>
    </row>
    <row r="49" spans="1:68" ht="16.5" customHeight="1" x14ac:dyDescent="0.25">
      <c r="A49" s="685" t="s">
        <v>128</v>
      </c>
      <c r="B49" s="685"/>
      <c r="C49" s="685"/>
      <c r="D49" s="685"/>
      <c r="E49" s="685"/>
      <c r="F49" s="685"/>
      <c r="G49" s="685"/>
      <c r="H49" s="685"/>
      <c r="I49" s="685"/>
      <c r="J49" s="685"/>
      <c r="K49" s="685"/>
      <c r="L49" s="685"/>
      <c r="M49" s="685"/>
      <c r="N49" s="685"/>
      <c r="O49" s="685"/>
      <c r="P49" s="685"/>
      <c r="Q49" s="685"/>
      <c r="R49" s="685"/>
      <c r="S49" s="685"/>
      <c r="T49" s="685"/>
      <c r="U49" s="685"/>
      <c r="V49" s="685"/>
      <c r="W49" s="685"/>
      <c r="X49" s="685"/>
      <c r="Y49" s="685"/>
      <c r="Z49" s="685"/>
      <c r="AA49" s="65"/>
      <c r="AB49" s="65"/>
      <c r="AC49" s="79"/>
    </row>
    <row r="50" spans="1:68" ht="14.25" customHeight="1" x14ac:dyDescent="0.25">
      <c r="A50" s="686" t="s">
        <v>129</v>
      </c>
      <c r="B50" s="686"/>
      <c r="C50" s="686"/>
      <c r="D50" s="686"/>
      <c r="E50" s="686"/>
      <c r="F50" s="686"/>
      <c r="G50" s="686"/>
      <c r="H50" s="686"/>
      <c r="I50" s="686"/>
      <c r="J50" s="686"/>
      <c r="K50" s="686"/>
      <c r="L50" s="686"/>
      <c r="M50" s="686"/>
      <c r="N50" s="686"/>
      <c r="O50" s="686"/>
      <c r="P50" s="686"/>
      <c r="Q50" s="686"/>
      <c r="R50" s="686"/>
      <c r="S50" s="686"/>
      <c r="T50" s="686"/>
      <c r="U50" s="686"/>
      <c r="V50" s="686"/>
      <c r="W50" s="686"/>
      <c r="X50" s="686"/>
      <c r="Y50" s="686"/>
      <c r="Z50" s="686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7">
        <v>4607091385670</v>
      </c>
      <c r="E51" s="68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89"/>
      <c r="R51" s="689"/>
      <c r="S51" s="689"/>
      <c r="T51" s="690"/>
      <c r="U51" s="39" t="s">
        <v>46</v>
      </c>
      <c r="V51" s="39" t="s">
        <v>46</v>
      </c>
      <c r="W51" s="40" t="s">
        <v>0</v>
      </c>
      <c r="X51" s="58">
        <v>35</v>
      </c>
      <c r="Y51" s="55">
        <f>IFERROR(IF(X51="",0,CEILING((X51/$H51),1)*$H51),"")</f>
        <v>43.2</v>
      </c>
      <c r="Z51" s="41">
        <f>IFERROR(IF(Y51=0,"",ROUNDUP(Y51/H51,0)*0.01898),"")</f>
        <v>7.5920000000000001E-2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36.328703703703702</v>
      </c>
      <c r="BN51" s="78">
        <f>IFERROR(Y51*I51/H51,"0")</f>
        <v>44.84</v>
      </c>
      <c r="BO51" s="78">
        <f>IFERROR(1/J51*(X51/H51),"0")</f>
        <v>5.063657407407407E-2</v>
      </c>
      <c r="BP51" s="78">
        <f>IFERROR(1/J51*(Y51/H51),"0")</f>
        <v>6.25E-2</v>
      </c>
    </row>
    <row r="52" spans="1:68" ht="27" customHeight="1" x14ac:dyDescent="0.25">
      <c r="A52" s="63" t="s">
        <v>135</v>
      </c>
      <c r="B52" s="63" t="s">
        <v>136</v>
      </c>
      <c r="C52" s="36">
        <v>4301012053</v>
      </c>
      <c r="D52" s="687">
        <v>4680115887725</v>
      </c>
      <c r="E52" s="68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89"/>
      <c r="R52" s="689"/>
      <c r="S52" s="689"/>
      <c r="T52" s="69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7">
        <v>4607091385687</v>
      </c>
      <c r="E53" s="68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89"/>
      <c r="R53" s="689"/>
      <c r="S53" s="689"/>
      <c r="T53" s="690"/>
      <c r="U53" s="39" t="s">
        <v>46</v>
      </c>
      <c r="V53" s="39" t="s">
        <v>46</v>
      </c>
      <c r="W53" s="40" t="s">
        <v>0</v>
      </c>
      <c r="X53" s="58">
        <v>8</v>
      </c>
      <c r="Y53" s="55">
        <f>IFERROR(IF(X53="",0,CEILING((X53/$H53),1)*$H53),"")</f>
        <v>8</v>
      </c>
      <c r="Z53" s="41">
        <f>IFERROR(IF(Y53=0,"",ROUNDUP(Y53/H53,0)*0.00902),"")</f>
        <v>1.804E-2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8.3800000000000008</v>
      </c>
      <c r="BN53" s="78">
        <f>IFERROR(Y53*I53/H53,"0")</f>
        <v>8.3800000000000008</v>
      </c>
      <c r="BO53" s="78">
        <f>IFERROR(1/J53*(X53/H53),"0")</f>
        <v>1.5151515151515152E-2</v>
      </c>
      <c r="BP53" s="78">
        <f>IFERROR(1/J53*(Y53/H53),"0")</f>
        <v>1.5151515151515152E-2</v>
      </c>
    </row>
    <row r="54" spans="1:68" ht="27" customHeight="1" x14ac:dyDescent="0.25">
      <c r="A54" s="63" t="s">
        <v>142</v>
      </c>
      <c r="B54" s="63" t="s">
        <v>143</v>
      </c>
      <c r="C54" s="36">
        <v>4301011565</v>
      </c>
      <c r="D54" s="687">
        <v>4680115882539</v>
      </c>
      <c r="E54" s="68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89"/>
      <c r="R54" s="689"/>
      <c r="S54" s="689"/>
      <c r="T54" s="69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5"/>
      <c r="B55" s="695"/>
      <c r="C55" s="695"/>
      <c r="D55" s="695"/>
      <c r="E55" s="695"/>
      <c r="F55" s="695"/>
      <c r="G55" s="695"/>
      <c r="H55" s="695"/>
      <c r="I55" s="695"/>
      <c r="J55" s="695"/>
      <c r="K55" s="695"/>
      <c r="L55" s="695"/>
      <c r="M55" s="695"/>
      <c r="N55" s="695"/>
      <c r="O55" s="696"/>
      <c r="P55" s="692" t="s">
        <v>40</v>
      </c>
      <c r="Q55" s="693"/>
      <c r="R55" s="693"/>
      <c r="S55" s="693"/>
      <c r="T55" s="693"/>
      <c r="U55" s="693"/>
      <c r="V55" s="694"/>
      <c r="W55" s="42" t="s">
        <v>39</v>
      </c>
      <c r="X55" s="43">
        <f>IFERROR(X51/H51,"0")+IFERROR(X52/H52,"0")+IFERROR(X53/H53,"0")+IFERROR(X54/H54,"0")</f>
        <v>5.2407407407407405</v>
      </c>
      <c r="Y55" s="43">
        <f>IFERROR(Y51/H51,"0")+IFERROR(Y52/H52,"0")+IFERROR(Y53/H53,"0")+IFERROR(Y54/H54,"0")</f>
        <v>6</v>
      </c>
      <c r="Z55" s="43">
        <f>IFERROR(IF(Z51="",0,Z51),"0")+IFERROR(IF(Z52="",0,Z52),"0")+IFERROR(IF(Z53="",0,Z53),"0")+IFERROR(IF(Z54="",0,Z54),"0")</f>
        <v>9.3960000000000002E-2</v>
      </c>
      <c r="AA55" s="67"/>
      <c r="AB55" s="67"/>
      <c r="AC55" s="67"/>
    </row>
    <row r="56" spans="1:68" x14ac:dyDescent="0.2">
      <c r="A56" s="695"/>
      <c r="B56" s="695"/>
      <c r="C56" s="695"/>
      <c r="D56" s="695"/>
      <c r="E56" s="695"/>
      <c r="F56" s="695"/>
      <c r="G56" s="695"/>
      <c r="H56" s="695"/>
      <c r="I56" s="695"/>
      <c r="J56" s="695"/>
      <c r="K56" s="695"/>
      <c r="L56" s="695"/>
      <c r="M56" s="695"/>
      <c r="N56" s="695"/>
      <c r="O56" s="696"/>
      <c r="P56" s="692" t="s">
        <v>40</v>
      </c>
      <c r="Q56" s="693"/>
      <c r="R56" s="693"/>
      <c r="S56" s="693"/>
      <c r="T56" s="693"/>
      <c r="U56" s="693"/>
      <c r="V56" s="694"/>
      <c r="W56" s="42" t="s">
        <v>0</v>
      </c>
      <c r="X56" s="43">
        <f>IFERROR(SUM(X51:X54),"0")</f>
        <v>43</v>
      </c>
      <c r="Y56" s="43">
        <f>IFERROR(SUM(Y51:Y54),"0")</f>
        <v>51.2</v>
      </c>
      <c r="Z56" s="42"/>
      <c r="AA56" s="67"/>
      <c r="AB56" s="67"/>
      <c r="AC56" s="67"/>
    </row>
    <row r="57" spans="1:68" ht="16.5" customHeight="1" x14ac:dyDescent="0.25">
      <c r="A57" s="685" t="s">
        <v>144</v>
      </c>
      <c r="B57" s="685"/>
      <c r="C57" s="685"/>
      <c r="D57" s="685"/>
      <c r="E57" s="685"/>
      <c r="F57" s="685"/>
      <c r="G57" s="685"/>
      <c r="H57" s="685"/>
      <c r="I57" s="685"/>
      <c r="J57" s="685"/>
      <c r="K57" s="685"/>
      <c r="L57" s="685"/>
      <c r="M57" s="685"/>
      <c r="N57" s="685"/>
      <c r="O57" s="685"/>
      <c r="P57" s="685"/>
      <c r="Q57" s="685"/>
      <c r="R57" s="685"/>
      <c r="S57" s="685"/>
      <c r="T57" s="685"/>
      <c r="U57" s="685"/>
      <c r="V57" s="685"/>
      <c r="W57" s="685"/>
      <c r="X57" s="685"/>
      <c r="Y57" s="685"/>
      <c r="Z57" s="685"/>
      <c r="AA57" s="65"/>
      <c r="AB57" s="65"/>
      <c r="AC57" s="79"/>
    </row>
    <row r="58" spans="1:68" ht="14.25" customHeight="1" x14ac:dyDescent="0.25">
      <c r="A58" s="686" t="s">
        <v>129</v>
      </c>
      <c r="B58" s="686"/>
      <c r="C58" s="686"/>
      <c r="D58" s="686"/>
      <c r="E58" s="686"/>
      <c r="F58" s="686"/>
      <c r="G58" s="686"/>
      <c r="H58" s="686"/>
      <c r="I58" s="686"/>
      <c r="J58" s="686"/>
      <c r="K58" s="686"/>
      <c r="L58" s="686"/>
      <c r="M58" s="686"/>
      <c r="N58" s="686"/>
      <c r="O58" s="686"/>
      <c r="P58" s="686"/>
      <c r="Q58" s="686"/>
      <c r="R58" s="686"/>
      <c r="S58" s="686"/>
      <c r="T58" s="686"/>
      <c r="U58" s="686"/>
      <c r="V58" s="686"/>
      <c r="W58" s="686"/>
      <c r="X58" s="686"/>
      <c r="Y58" s="686"/>
      <c r="Z58" s="686"/>
      <c r="AA58" s="66"/>
      <c r="AB58" s="66"/>
      <c r="AC58" s="80"/>
    </row>
    <row r="59" spans="1:68" ht="27" customHeight="1" x14ac:dyDescent="0.25">
      <c r="A59" s="63" t="s">
        <v>145</v>
      </c>
      <c r="B59" s="63" t="s">
        <v>146</v>
      </c>
      <c r="C59" s="36">
        <v>4301012030</v>
      </c>
      <c r="D59" s="687">
        <v>4680115885882</v>
      </c>
      <c r="E59" s="68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89"/>
      <c r="R59" s="689"/>
      <c r="S59" s="689"/>
      <c r="T59" s="69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145</v>
      </c>
      <c r="B60" s="63" t="s">
        <v>148</v>
      </c>
      <c r="C60" s="36">
        <v>4301012161</v>
      </c>
      <c r="D60" s="687">
        <v>4680115885882</v>
      </c>
      <c r="E60" s="68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89"/>
      <c r="R60" s="689"/>
      <c r="S60" s="689"/>
      <c r="T60" s="69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7">
        <v>4680115881426</v>
      </c>
      <c r="E61" s="68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89"/>
      <c r="R61" s="689"/>
      <c r="S61" s="689"/>
      <c r="T61" s="690"/>
      <c r="U61" s="39" t="s">
        <v>46</v>
      </c>
      <c r="V61" s="39" t="s">
        <v>46</v>
      </c>
      <c r="W61" s="40" t="s">
        <v>0</v>
      </c>
      <c r="X61" s="58">
        <v>40</v>
      </c>
      <c r="Y61" s="55">
        <f t="shared" si="0"/>
        <v>43.2</v>
      </c>
      <c r="Z61" s="41">
        <f>IFERROR(IF(Y61=0,"",ROUNDUP(Y61/H61,0)*0.01898),"")</f>
        <v>7.5920000000000001E-2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41.518518518518519</v>
      </c>
      <c r="BN61" s="78">
        <f t="shared" si="2"/>
        <v>44.84</v>
      </c>
      <c r="BO61" s="78">
        <f t="shared" si="3"/>
        <v>5.7870370370370364E-2</v>
      </c>
      <c r="BP61" s="78">
        <f t="shared" si="4"/>
        <v>6.25E-2</v>
      </c>
    </row>
    <row r="62" spans="1:68" ht="27" customHeight="1" x14ac:dyDescent="0.25">
      <c r="A62" s="63" t="s">
        <v>153</v>
      </c>
      <c r="B62" s="63" t="s">
        <v>154</v>
      </c>
      <c r="C62" s="36">
        <v>4301011386</v>
      </c>
      <c r="D62" s="687">
        <v>4680115880283</v>
      </c>
      <c r="E62" s="68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89"/>
      <c r="R62" s="689"/>
      <c r="S62" s="689"/>
      <c r="T62" s="69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153</v>
      </c>
      <c r="B63" s="63" t="s">
        <v>157</v>
      </c>
      <c r="C63" s="36">
        <v>4301012259</v>
      </c>
      <c r="D63" s="687">
        <v>4680115880283</v>
      </c>
      <c r="E63" s="68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89"/>
      <c r="R63" s="689"/>
      <c r="S63" s="689"/>
      <c r="T63" s="690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4301011806</v>
      </c>
      <c r="D64" s="687">
        <v>4680115881525</v>
      </c>
      <c r="E64" s="68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9"/>
      <c r="R64" s="689"/>
      <c r="S64" s="689"/>
      <c r="T64" s="69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87">
        <v>4680115885899</v>
      </c>
      <c r="E65" s="68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9"/>
      <c r="R65" s="689"/>
      <c r="S65" s="689"/>
      <c r="T65" s="69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7">
        <v>4680115881419</v>
      </c>
      <c r="E66" s="68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1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9"/>
      <c r="R66" s="689"/>
      <c r="S66" s="689"/>
      <c r="T66" s="690"/>
      <c r="U66" s="39" t="s">
        <v>46</v>
      </c>
      <c r="V66" s="39" t="s">
        <v>46</v>
      </c>
      <c r="W66" s="40" t="s">
        <v>0</v>
      </c>
      <c r="X66" s="58">
        <v>9</v>
      </c>
      <c r="Y66" s="55">
        <f t="shared" si="0"/>
        <v>9</v>
      </c>
      <c r="Z66" s="41">
        <f>IFERROR(IF(Y66=0,"",ROUNDUP(Y66/H66,0)*0.00902),"")</f>
        <v>1.804E-2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9.3800000000000008</v>
      </c>
      <c r="BN66" s="78">
        <f t="shared" si="2"/>
        <v>9.3800000000000008</v>
      </c>
      <c r="BO66" s="78">
        <f t="shared" si="3"/>
        <v>1.5151515151515152E-2</v>
      </c>
      <c r="BP66" s="78">
        <f t="shared" si="4"/>
        <v>1.5151515151515152E-2</v>
      </c>
    </row>
    <row r="67" spans="1:68" x14ac:dyDescent="0.2">
      <c r="A67" s="695"/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5"/>
      <c r="N67" s="695"/>
      <c r="O67" s="696"/>
      <c r="P67" s="692" t="s">
        <v>40</v>
      </c>
      <c r="Q67" s="693"/>
      <c r="R67" s="693"/>
      <c r="S67" s="693"/>
      <c r="T67" s="693"/>
      <c r="U67" s="693"/>
      <c r="V67" s="69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5.7037037037037033</v>
      </c>
      <c r="Y67" s="43">
        <f>IFERROR(Y59/H59,"0")+IFERROR(Y60/H60,"0")+IFERROR(Y61/H61,"0")+IFERROR(Y62/H62,"0")+IFERROR(Y63/H63,"0")+IFERROR(Y64/H64,"0")+IFERROR(Y65/H65,"0")+IFERROR(Y66/H66,"0")</f>
        <v>6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9.3960000000000002E-2</v>
      </c>
      <c r="AA67" s="67"/>
      <c r="AB67" s="67"/>
      <c r="AC67" s="67"/>
    </row>
    <row r="68" spans="1:68" x14ac:dyDescent="0.2">
      <c r="A68" s="695"/>
      <c r="B68" s="695"/>
      <c r="C68" s="695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5"/>
      <c r="O68" s="696"/>
      <c r="P68" s="692" t="s">
        <v>40</v>
      </c>
      <c r="Q68" s="693"/>
      <c r="R68" s="693"/>
      <c r="S68" s="693"/>
      <c r="T68" s="693"/>
      <c r="U68" s="693"/>
      <c r="V68" s="694"/>
      <c r="W68" s="42" t="s">
        <v>0</v>
      </c>
      <c r="X68" s="43">
        <f>IFERROR(SUM(X59:X66),"0")</f>
        <v>49</v>
      </c>
      <c r="Y68" s="43">
        <f>IFERROR(SUM(Y59:Y66),"0")</f>
        <v>52.2</v>
      </c>
      <c r="Z68" s="42"/>
      <c r="AA68" s="67"/>
      <c r="AB68" s="67"/>
      <c r="AC68" s="67"/>
    </row>
    <row r="69" spans="1:68" ht="14.25" customHeight="1" x14ac:dyDescent="0.25">
      <c r="A69" s="686" t="s">
        <v>166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86"/>
      <c r="W69" s="686"/>
      <c r="X69" s="686"/>
      <c r="Y69" s="686"/>
      <c r="Z69" s="686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7">
        <v>4680115881440</v>
      </c>
      <c r="E70" s="68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9"/>
      <c r="R70" s="689"/>
      <c r="S70" s="689"/>
      <c r="T70" s="690"/>
      <c r="U70" s="39" t="s">
        <v>46</v>
      </c>
      <c r="V70" s="39" t="s">
        <v>46</v>
      </c>
      <c r="W70" s="40" t="s">
        <v>0</v>
      </c>
      <c r="X70" s="58">
        <v>20</v>
      </c>
      <c r="Y70" s="55">
        <f>IFERROR(IF(X70="",0,CEILING((X70/$H70),1)*$H70),"")</f>
        <v>21.6</v>
      </c>
      <c r="Z70" s="41">
        <f>IFERROR(IF(Y70=0,"",ROUNDUP(Y70/H70,0)*0.01898),"")</f>
        <v>3.7960000000000001E-2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20.75925925925926</v>
      </c>
      <c r="BN70" s="78">
        <f>IFERROR(Y70*I70/H70,"0")</f>
        <v>22.42</v>
      </c>
      <c r="BO70" s="78">
        <f>IFERROR(1/J70*(X70/H70),"0")</f>
        <v>2.8935185185185182E-2</v>
      </c>
      <c r="BP70" s="78">
        <f>IFERROR(1/J70*(Y70/H70),"0")</f>
        <v>3.125E-2</v>
      </c>
    </row>
    <row r="71" spans="1:68" ht="16.5" customHeight="1" x14ac:dyDescent="0.25">
      <c r="A71" s="63" t="s">
        <v>170</v>
      </c>
      <c r="B71" s="63" t="s">
        <v>171</v>
      </c>
      <c r="C71" s="36">
        <v>4301020358</v>
      </c>
      <c r="D71" s="687">
        <v>4680115885950</v>
      </c>
      <c r="E71" s="68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9"/>
      <c r="R71" s="689"/>
      <c r="S71" s="689"/>
      <c r="T71" s="69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87">
        <v>4680115887688</v>
      </c>
      <c r="E72" s="68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9"/>
      <c r="R72" s="689"/>
      <c r="S72" s="689"/>
      <c r="T72" s="69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7">
        <v>4680115881433</v>
      </c>
      <c r="E73" s="68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9"/>
      <c r="R73" s="689"/>
      <c r="S73" s="689"/>
      <c r="T73" s="690"/>
      <c r="U73" s="39" t="s">
        <v>46</v>
      </c>
      <c r="V73" s="39" t="s">
        <v>46</v>
      </c>
      <c r="W73" s="40" t="s">
        <v>0</v>
      </c>
      <c r="X73" s="58">
        <v>9</v>
      </c>
      <c r="Y73" s="55">
        <f>IFERROR(IF(X73="",0,CEILING((X73/$H73),1)*$H73),"")</f>
        <v>10.8</v>
      </c>
      <c r="Z73" s="41">
        <f>IFERROR(IF(Y73=0,"",ROUNDUP(Y73/H73,0)*0.00651),"")</f>
        <v>2.6040000000000001E-2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9.5999999999999979</v>
      </c>
      <c r="BN73" s="78">
        <f>IFERROR(Y73*I73/H73,"0")</f>
        <v>11.52</v>
      </c>
      <c r="BO73" s="78">
        <f>IFERROR(1/J73*(X73/H73),"0")</f>
        <v>1.8315018315018316E-2</v>
      </c>
      <c r="BP73" s="78">
        <f>IFERROR(1/J73*(Y73/H73),"0")</f>
        <v>2.197802197802198E-2</v>
      </c>
    </row>
    <row r="74" spans="1:68" x14ac:dyDescent="0.2">
      <c r="A74" s="695"/>
      <c r="B74" s="695"/>
      <c r="C74" s="695"/>
      <c r="D74" s="695"/>
      <c r="E74" s="695"/>
      <c r="F74" s="695"/>
      <c r="G74" s="695"/>
      <c r="H74" s="695"/>
      <c r="I74" s="695"/>
      <c r="J74" s="695"/>
      <c r="K74" s="695"/>
      <c r="L74" s="695"/>
      <c r="M74" s="695"/>
      <c r="N74" s="695"/>
      <c r="O74" s="696"/>
      <c r="P74" s="692" t="s">
        <v>40</v>
      </c>
      <c r="Q74" s="693"/>
      <c r="R74" s="693"/>
      <c r="S74" s="693"/>
      <c r="T74" s="693"/>
      <c r="U74" s="693"/>
      <c r="V74" s="694"/>
      <c r="W74" s="42" t="s">
        <v>39</v>
      </c>
      <c r="X74" s="43">
        <f>IFERROR(X70/H70,"0")+IFERROR(X71/H71,"0")+IFERROR(X72/H72,"0")+IFERROR(X73/H73,"0")</f>
        <v>5.1851851851851851</v>
      </c>
      <c r="Y74" s="43">
        <f>IFERROR(Y70/H70,"0")+IFERROR(Y71/H71,"0")+IFERROR(Y72/H72,"0")+IFERROR(Y73/H73,"0")</f>
        <v>6</v>
      </c>
      <c r="Z74" s="43">
        <f>IFERROR(IF(Z70="",0,Z70),"0")+IFERROR(IF(Z71="",0,Z71),"0")+IFERROR(IF(Z72="",0,Z72),"0")+IFERROR(IF(Z73="",0,Z73),"0")</f>
        <v>6.4000000000000001E-2</v>
      </c>
      <c r="AA74" s="67"/>
      <c r="AB74" s="67"/>
      <c r="AC74" s="67"/>
    </row>
    <row r="75" spans="1:68" x14ac:dyDescent="0.2">
      <c r="A75" s="695"/>
      <c r="B75" s="695"/>
      <c r="C75" s="695"/>
      <c r="D75" s="695"/>
      <c r="E75" s="695"/>
      <c r="F75" s="695"/>
      <c r="G75" s="695"/>
      <c r="H75" s="695"/>
      <c r="I75" s="695"/>
      <c r="J75" s="695"/>
      <c r="K75" s="695"/>
      <c r="L75" s="695"/>
      <c r="M75" s="695"/>
      <c r="N75" s="695"/>
      <c r="O75" s="696"/>
      <c r="P75" s="692" t="s">
        <v>40</v>
      </c>
      <c r="Q75" s="693"/>
      <c r="R75" s="693"/>
      <c r="S75" s="693"/>
      <c r="T75" s="693"/>
      <c r="U75" s="693"/>
      <c r="V75" s="694"/>
      <c r="W75" s="42" t="s">
        <v>0</v>
      </c>
      <c r="X75" s="43">
        <f>IFERROR(SUM(X70:X73),"0")</f>
        <v>29</v>
      </c>
      <c r="Y75" s="43">
        <f>IFERROR(SUM(Y70:Y73),"0")</f>
        <v>32.400000000000006</v>
      </c>
      <c r="Z75" s="42"/>
      <c r="AA75" s="67"/>
      <c r="AB75" s="67"/>
      <c r="AC75" s="67"/>
    </row>
    <row r="76" spans="1:68" ht="14.25" customHeight="1" x14ac:dyDescent="0.25">
      <c r="A76" s="686" t="s">
        <v>86</v>
      </c>
      <c r="B76" s="686"/>
      <c r="C76" s="686"/>
      <c r="D76" s="686"/>
      <c r="E76" s="686"/>
      <c r="F76" s="686"/>
      <c r="G76" s="686"/>
      <c r="H76" s="686"/>
      <c r="I76" s="686"/>
      <c r="J76" s="686"/>
      <c r="K76" s="686"/>
      <c r="L76" s="686"/>
      <c r="M76" s="686"/>
      <c r="N76" s="686"/>
      <c r="O76" s="686"/>
      <c r="P76" s="686"/>
      <c r="Q76" s="686"/>
      <c r="R76" s="686"/>
      <c r="S76" s="686"/>
      <c r="T76" s="686"/>
      <c r="U76" s="686"/>
      <c r="V76" s="686"/>
      <c r="W76" s="686"/>
      <c r="X76" s="686"/>
      <c r="Y76" s="686"/>
      <c r="Z76" s="686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87">
        <v>4680115884311</v>
      </c>
      <c r="E77" s="68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9"/>
      <c r="R77" s="689"/>
      <c r="S77" s="689"/>
      <c r="T77" s="69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4301051929</v>
      </c>
      <c r="D78" s="687">
        <v>4680115884403</v>
      </c>
      <c r="E78" s="68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9"/>
      <c r="R78" s="689"/>
      <c r="S78" s="689"/>
      <c r="T78" s="69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95"/>
      <c r="B79" s="695"/>
      <c r="C79" s="695"/>
      <c r="D79" s="695"/>
      <c r="E79" s="695"/>
      <c r="F79" s="695"/>
      <c r="G79" s="695"/>
      <c r="H79" s="695"/>
      <c r="I79" s="695"/>
      <c r="J79" s="695"/>
      <c r="K79" s="695"/>
      <c r="L79" s="695"/>
      <c r="M79" s="695"/>
      <c r="N79" s="695"/>
      <c r="O79" s="696"/>
      <c r="P79" s="692" t="s">
        <v>40</v>
      </c>
      <c r="Q79" s="693"/>
      <c r="R79" s="693"/>
      <c r="S79" s="693"/>
      <c r="T79" s="693"/>
      <c r="U79" s="693"/>
      <c r="V79" s="69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95"/>
      <c r="B80" s="695"/>
      <c r="C80" s="695"/>
      <c r="D80" s="695"/>
      <c r="E80" s="695"/>
      <c r="F80" s="695"/>
      <c r="G80" s="695"/>
      <c r="H80" s="695"/>
      <c r="I80" s="695"/>
      <c r="J80" s="695"/>
      <c r="K80" s="695"/>
      <c r="L80" s="695"/>
      <c r="M80" s="695"/>
      <c r="N80" s="695"/>
      <c r="O80" s="696"/>
      <c r="P80" s="692" t="s">
        <v>40</v>
      </c>
      <c r="Q80" s="693"/>
      <c r="R80" s="693"/>
      <c r="S80" s="693"/>
      <c r="T80" s="693"/>
      <c r="U80" s="693"/>
      <c r="V80" s="69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86" t="s">
        <v>183</v>
      </c>
      <c r="B81" s="686"/>
      <c r="C81" s="686"/>
      <c r="D81" s="686"/>
      <c r="E81" s="686"/>
      <c r="F81" s="686"/>
      <c r="G81" s="686"/>
      <c r="H81" s="686"/>
      <c r="I81" s="686"/>
      <c r="J81" s="686"/>
      <c r="K81" s="686"/>
      <c r="L81" s="686"/>
      <c r="M81" s="686"/>
      <c r="N81" s="686"/>
      <c r="O81" s="686"/>
      <c r="P81" s="686"/>
      <c r="Q81" s="686"/>
      <c r="R81" s="686"/>
      <c r="S81" s="686"/>
      <c r="T81" s="686"/>
      <c r="U81" s="686"/>
      <c r="V81" s="686"/>
      <c r="W81" s="686"/>
      <c r="X81" s="686"/>
      <c r="Y81" s="686"/>
      <c r="Z81" s="686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87">
        <v>4680115881532</v>
      </c>
      <c r="E82" s="68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9"/>
      <c r="R82" s="689"/>
      <c r="S82" s="689"/>
      <c r="T82" s="69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187</v>
      </c>
      <c r="B83" s="63" t="s">
        <v>188</v>
      </c>
      <c r="C83" s="36">
        <v>4301060351</v>
      </c>
      <c r="D83" s="687">
        <v>4680115881464</v>
      </c>
      <c r="E83" s="68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9"/>
      <c r="R83" s="689"/>
      <c r="S83" s="689"/>
      <c r="T83" s="69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5"/>
      <c r="B84" s="695"/>
      <c r="C84" s="695"/>
      <c r="D84" s="695"/>
      <c r="E84" s="695"/>
      <c r="F84" s="695"/>
      <c r="G84" s="695"/>
      <c r="H84" s="695"/>
      <c r="I84" s="695"/>
      <c r="J84" s="695"/>
      <c r="K84" s="695"/>
      <c r="L84" s="695"/>
      <c r="M84" s="695"/>
      <c r="N84" s="695"/>
      <c r="O84" s="696"/>
      <c r="P84" s="692" t="s">
        <v>40</v>
      </c>
      <c r="Q84" s="693"/>
      <c r="R84" s="693"/>
      <c r="S84" s="693"/>
      <c r="T84" s="693"/>
      <c r="U84" s="693"/>
      <c r="V84" s="69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95"/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95"/>
      <c r="O85" s="696"/>
      <c r="P85" s="692" t="s">
        <v>40</v>
      </c>
      <c r="Q85" s="693"/>
      <c r="R85" s="693"/>
      <c r="S85" s="693"/>
      <c r="T85" s="693"/>
      <c r="U85" s="693"/>
      <c r="V85" s="69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85" t="s">
        <v>190</v>
      </c>
      <c r="B86" s="685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85"/>
      <c r="Q86" s="685"/>
      <c r="R86" s="685"/>
      <c r="S86" s="685"/>
      <c r="T86" s="685"/>
      <c r="U86" s="685"/>
      <c r="V86" s="685"/>
      <c r="W86" s="685"/>
      <c r="X86" s="685"/>
      <c r="Y86" s="685"/>
      <c r="Z86" s="685"/>
      <c r="AA86" s="65"/>
      <c r="AB86" s="65"/>
      <c r="AC86" s="79"/>
    </row>
    <row r="87" spans="1:68" ht="14.25" customHeight="1" x14ac:dyDescent="0.25">
      <c r="A87" s="686" t="s">
        <v>129</v>
      </c>
      <c r="B87" s="686"/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6"/>
      <c r="N87" s="686"/>
      <c r="O87" s="686"/>
      <c r="P87" s="686"/>
      <c r="Q87" s="686"/>
      <c r="R87" s="686"/>
      <c r="S87" s="686"/>
      <c r="T87" s="686"/>
      <c r="U87" s="686"/>
      <c r="V87" s="686"/>
      <c r="W87" s="686"/>
      <c r="X87" s="686"/>
      <c r="Y87" s="686"/>
      <c r="Z87" s="686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87">
        <v>4680115881327</v>
      </c>
      <c r="E88" s="68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9"/>
      <c r="R88" s="689"/>
      <c r="S88" s="689"/>
      <c r="T88" s="690"/>
      <c r="U88" s="39" t="s">
        <v>46</v>
      </c>
      <c r="V88" s="39" t="s">
        <v>46</v>
      </c>
      <c r="W88" s="40" t="s">
        <v>0</v>
      </c>
      <c r="X88" s="58">
        <v>45</v>
      </c>
      <c r="Y88" s="55">
        <f>IFERROR(IF(X88="",0,CEILING((X88/$H88),1)*$H88),"")</f>
        <v>54</v>
      </c>
      <c r="Z88" s="41">
        <f>IFERROR(IF(Y88=0,"",ROUNDUP(Y88/H88,0)*0.01898),"")</f>
        <v>9.4899999999999998E-2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46.708333333333336</v>
      </c>
      <c r="BN88" s="78">
        <f>IFERROR(Y88*I88/H88,"0")</f>
        <v>56.05</v>
      </c>
      <c r="BO88" s="78">
        <f>IFERROR(1/J88*(X88/H88),"0")</f>
        <v>6.5104166666666657E-2</v>
      </c>
      <c r="BP88" s="78">
        <f>IFERROR(1/J88*(Y88/H88),"0")</f>
        <v>7.8125E-2</v>
      </c>
    </row>
    <row r="89" spans="1:68" ht="27" customHeight="1" x14ac:dyDescent="0.25">
      <c r="A89" s="63" t="s">
        <v>194</v>
      </c>
      <c r="B89" s="63" t="s">
        <v>195</v>
      </c>
      <c r="C89" s="36">
        <v>4301011261</v>
      </c>
      <c r="D89" s="687">
        <v>4680115887732</v>
      </c>
      <c r="E89" s="68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9"/>
      <c r="R89" s="689"/>
      <c r="S89" s="689"/>
      <c r="T89" s="69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197</v>
      </c>
      <c r="B90" s="63" t="s">
        <v>198</v>
      </c>
      <c r="C90" s="36">
        <v>4301011476</v>
      </c>
      <c r="D90" s="687">
        <v>4680115881518</v>
      </c>
      <c r="E90" s="68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9"/>
      <c r="R90" s="689"/>
      <c r="S90" s="689"/>
      <c r="T90" s="69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87">
        <v>4680115881303</v>
      </c>
      <c r="E91" s="68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9"/>
      <c r="R91" s="689"/>
      <c r="S91" s="689"/>
      <c r="T91" s="69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95"/>
      <c r="B92" s="695"/>
      <c r="C92" s="695"/>
      <c r="D92" s="695"/>
      <c r="E92" s="695"/>
      <c r="F92" s="695"/>
      <c r="G92" s="695"/>
      <c r="H92" s="695"/>
      <c r="I92" s="695"/>
      <c r="J92" s="695"/>
      <c r="K92" s="695"/>
      <c r="L92" s="695"/>
      <c r="M92" s="695"/>
      <c r="N92" s="695"/>
      <c r="O92" s="696"/>
      <c r="P92" s="692" t="s">
        <v>40</v>
      </c>
      <c r="Q92" s="693"/>
      <c r="R92" s="693"/>
      <c r="S92" s="693"/>
      <c r="T92" s="693"/>
      <c r="U92" s="693"/>
      <c r="V92" s="694"/>
      <c r="W92" s="42" t="s">
        <v>39</v>
      </c>
      <c r="X92" s="43">
        <f>IFERROR(X88/H88,"0")+IFERROR(X89/H89,"0")+IFERROR(X90/H90,"0")+IFERROR(X91/H91,"0")</f>
        <v>4.1666666666666661</v>
      </c>
      <c r="Y92" s="43">
        <f>IFERROR(Y88/H88,"0")+IFERROR(Y89/H89,"0")+IFERROR(Y90/H90,"0")+IFERROR(Y91/H91,"0")</f>
        <v>5</v>
      </c>
      <c r="Z92" s="43">
        <f>IFERROR(IF(Z88="",0,Z88),"0")+IFERROR(IF(Z89="",0,Z89),"0")+IFERROR(IF(Z90="",0,Z90),"0")+IFERROR(IF(Z91="",0,Z91),"0")</f>
        <v>9.4899999999999998E-2</v>
      </c>
      <c r="AA92" s="67"/>
      <c r="AB92" s="67"/>
      <c r="AC92" s="67"/>
    </row>
    <row r="93" spans="1:68" x14ac:dyDescent="0.2">
      <c r="A93" s="695"/>
      <c r="B93" s="695"/>
      <c r="C93" s="695"/>
      <c r="D93" s="695"/>
      <c r="E93" s="695"/>
      <c r="F93" s="695"/>
      <c r="G93" s="695"/>
      <c r="H93" s="695"/>
      <c r="I93" s="695"/>
      <c r="J93" s="695"/>
      <c r="K93" s="695"/>
      <c r="L93" s="695"/>
      <c r="M93" s="695"/>
      <c r="N93" s="695"/>
      <c r="O93" s="696"/>
      <c r="P93" s="692" t="s">
        <v>40</v>
      </c>
      <c r="Q93" s="693"/>
      <c r="R93" s="693"/>
      <c r="S93" s="693"/>
      <c r="T93" s="693"/>
      <c r="U93" s="693"/>
      <c r="V93" s="694"/>
      <c r="W93" s="42" t="s">
        <v>0</v>
      </c>
      <c r="X93" s="43">
        <f>IFERROR(SUM(X88:X91),"0")</f>
        <v>45</v>
      </c>
      <c r="Y93" s="43">
        <f>IFERROR(SUM(Y88:Y91),"0")</f>
        <v>54</v>
      </c>
      <c r="Z93" s="42"/>
      <c r="AA93" s="67"/>
      <c r="AB93" s="67"/>
      <c r="AC93" s="67"/>
    </row>
    <row r="94" spans="1:68" ht="14.25" customHeight="1" x14ac:dyDescent="0.25">
      <c r="A94" s="686" t="s">
        <v>86</v>
      </c>
      <c r="B94" s="686"/>
      <c r="C94" s="686"/>
      <c r="D94" s="686"/>
      <c r="E94" s="686"/>
      <c r="F94" s="686"/>
      <c r="G94" s="686"/>
      <c r="H94" s="686"/>
      <c r="I94" s="686"/>
      <c r="J94" s="686"/>
      <c r="K94" s="686"/>
      <c r="L94" s="686"/>
      <c r="M94" s="686"/>
      <c r="N94" s="686"/>
      <c r="O94" s="686"/>
      <c r="P94" s="686"/>
      <c r="Q94" s="686"/>
      <c r="R94" s="686"/>
      <c r="S94" s="686"/>
      <c r="T94" s="686"/>
      <c r="U94" s="686"/>
      <c r="V94" s="686"/>
      <c r="W94" s="686"/>
      <c r="X94" s="686"/>
      <c r="Y94" s="686"/>
      <c r="Z94" s="686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87">
        <v>4607091386967</v>
      </c>
      <c r="E95" s="68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9"/>
      <c r="R95" s="689"/>
      <c r="S95" s="689"/>
      <c r="T95" s="690"/>
      <c r="U95" s="39" t="s">
        <v>46</v>
      </c>
      <c r="V95" s="39" t="s">
        <v>46</v>
      </c>
      <c r="W95" s="40" t="s">
        <v>0</v>
      </c>
      <c r="X95" s="58">
        <v>35</v>
      </c>
      <c r="Y95" s="55">
        <f>IFERROR(IF(X95="",0,CEILING((X95/$H95),1)*$H95),"")</f>
        <v>40.5</v>
      </c>
      <c r="Z95" s="41">
        <f>IFERROR(IF(Y95=0,"",ROUNDUP(Y95/H95,0)*0.01898),"")</f>
        <v>9.4899999999999998E-2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37.134567901234568</v>
      </c>
      <c r="BN95" s="78">
        <f>IFERROR(Y95*I95/H95,"0")</f>
        <v>42.97</v>
      </c>
      <c r="BO95" s="78">
        <f>IFERROR(1/J95*(X95/H95),"0")</f>
        <v>6.751543209876544E-2</v>
      </c>
      <c r="BP95" s="78">
        <f>IFERROR(1/J95*(Y95/H95),"0")</f>
        <v>7.8125E-2</v>
      </c>
    </row>
    <row r="96" spans="1:68" ht="27" customHeight="1" x14ac:dyDescent="0.25">
      <c r="A96" s="63" t="s">
        <v>204</v>
      </c>
      <c r="B96" s="63" t="s">
        <v>205</v>
      </c>
      <c r="C96" s="36">
        <v>4301051788</v>
      </c>
      <c r="D96" s="687">
        <v>4680115884953</v>
      </c>
      <c r="E96" s="68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9"/>
      <c r="R96" s="689"/>
      <c r="S96" s="689"/>
      <c r="T96" s="69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87">
        <v>4607091385731</v>
      </c>
      <c r="E97" s="68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9"/>
      <c r="R97" s="689"/>
      <c r="S97" s="689"/>
      <c r="T97" s="69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208</v>
      </c>
      <c r="B98" s="63" t="s">
        <v>209</v>
      </c>
      <c r="C98" s="36">
        <v>4301052092</v>
      </c>
      <c r="D98" s="687">
        <v>4680115880894</v>
      </c>
      <c r="E98" s="68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9"/>
      <c r="R98" s="689"/>
      <c r="S98" s="689"/>
      <c r="T98" s="69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5"/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6"/>
      <c r="P99" s="692" t="s">
        <v>40</v>
      </c>
      <c r="Q99" s="693"/>
      <c r="R99" s="693"/>
      <c r="S99" s="693"/>
      <c r="T99" s="693"/>
      <c r="U99" s="693"/>
      <c r="V99" s="694"/>
      <c r="W99" s="42" t="s">
        <v>39</v>
      </c>
      <c r="X99" s="43">
        <f>IFERROR(X95/H95,"0")+IFERROR(X96/H96,"0")+IFERROR(X97/H97,"0")+IFERROR(X98/H98,"0")</f>
        <v>4.3209876543209882</v>
      </c>
      <c r="Y99" s="43">
        <f>IFERROR(Y95/H95,"0")+IFERROR(Y96/H96,"0")+IFERROR(Y97/H97,"0")+IFERROR(Y98/H98,"0")</f>
        <v>5</v>
      </c>
      <c r="Z99" s="43">
        <f>IFERROR(IF(Z95="",0,Z95),"0")+IFERROR(IF(Z96="",0,Z96),"0")+IFERROR(IF(Z97="",0,Z97),"0")+IFERROR(IF(Z98="",0,Z98),"0")</f>
        <v>9.4899999999999998E-2</v>
      </c>
      <c r="AA99" s="67"/>
      <c r="AB99" s="67"/>
      <c r="AC99" s="67"/>
    </row>
    <row r="100" spans="1:68" x14ac:dyDescent="0.2">
      <c r="A100" s="695"/>
      <c r="B100" s="695"/>
      <c r="C100" s="695"/>
      <c r="D100" s="695"/>
      <c r="E100" s="695"/>
      <c r="F100" s="695"/>
      <c r="G100" s="695"/>
      <c r="H100" s="695"/>
      <c r="I100" s="695"/>
      <c r="J100" s="695"/>
      <c r="K100" s="695"/>
      <c r="L100" s="695"/>
      <c r="M100" s="695"/>
      <c r="N100" s="695"/>
      <c r="O100" s="696"/>
      <c r="P100" s="692" t="s">
        <v>40</v>
      </c>
      <c r="Q100" s="693"/>
      <c r="R100" s="693"/>
      <c r="S100" s="693"/>
      <c r="T100" s="693"/>
      <c r="U100" s="693"/>
      <c r="V100" s="694"/>
      <c r="W100" s="42" t="s">
        <v>0</v>
      </c>
      <c r="X100" s="43">
        <f>IFERROR(SUM(X95:X98),"0")</f>
        <v>35</v>
      </c>
      <c r="Y100" s="43">
        <f>IFERROR(SUM(Y95:Y98),"0")</f>
        <v>40.5</v>
      </c>
      <c r="Z100" s="42"/>
      <c r="AA100" s="67"/>
      <c r="AB100" s="67"/>
      <c r="AC100" s="67"/>
    </row>
    <row r="101" spans="1:68" ht="16.5" customHeight="1" x14ac:dyDescent="0.25">
      <c r="A101" s="685" t="s">
        <v>211</v>
      </c>
      <c r="B101" s="685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685"/>
      <c r="Q101" s="685"/>
      <c r="R101" s="685"/>
      <c r="S101" s="685"/>
      <c r="T101" s="685"/>
      <c r="U101" s="685"/>
      <c r="V101" s="685"/>
      <c r="W101" s="685"/>
      <c r="X101" s="685"/>
      <c r="Y101" s="685"/>
      <c r="Z101" s="685"/>
      <c r="AA101" s="65"/>
      <c r="AB101" s="65"/>
      <c r="AC101" s="79"/>
    </row>
    <row r="102" spans="1:68" ht="14.25" customHeight="1" x14ac:dyDescent="0.25">
      <c r="A102" s="686" t="s">
        <v>129</v>
      </c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6"/>
      <c r="P102" s="686"/>
      <c r="Q102" s="686"/>
      <c r="R102" s="686"/>
      <c r="S102" s="686"/>
      <c r="T102" s="686"/>
      <c r="U102" s="686"/>
      <c r="V102" s="686"/>
      <c r="W102" s="686"/>
      <c r="X102" s="686"/>
      <c r="Y102" s="686"/>
      <c r="Z102" s="686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87">
        <v>4680115882133</v>
      </c>
      <c r="E103" s="68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9"/>
      <c r="R103" s="689"/>
      <c r="S103" s="689"/>
      <c r="T103" s="690"/>
      <c r="U103" s="39" t="s">
        <v>46</v>
      </c>
      <c r="V103" s="39" t="s">
        <v>46</v>
      </c>
      <c r="W103" s="40" t="s">
        <v>0</v>
      </c>
      <c r="X103" s="58">
        <v>30</v>
      </c>
      <c r="Y103" s="55">
        <f t="shared" ref="Y103:Y108" si="5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31.138888888888889</v>
      </c>
      <c r="BN103" s="78">
        <f t="shared" ref="BN103:BN108" si="7">IFERROR(Y103*I103/H103,"0")</f>
        <v>33.630000000000003</v>
      </c>
      <c r="BO103" s="78">
        <f t="shared" ref="BO103:BO108" si="8">IFERROR(1/J103*(X103/H103),"0")</f>
        <v>4.3402777777777776E-2</v>
      </c>
      <c r="BP103" s="78">
        <f t="shared" ref="BP103:BP108" si="9">IFERROR(1/J103*(Y103/H103),"0")</f>
        <v>4.6875000000000007E-2</v>
      </c>
    </row>
    <row r="104" spans="1:68" ht="27" customHeight="1" x14ac:dyDescent="0.25">
      <c r="A104" s="63" t="s">
        <v>215</v>
      </c>
      <c r="B104" s="63" t="s">
        <v>216</v>
      </c>
      <c r="C104" s="36">
        <v>4301012051</v>
      </c>
      <c r="D104" s="687">
        <v>4680115887718</v>
      </c>
      <c r="E104" s="68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9"/>
      <c r="R104" s="689"/>
      <c r="S104" s="689"/>
      <c r="T104" s="69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215</v>
      </c>
      <c r="B105" s="63" t="s">
        <v>218</v>
      </c>
      <c r="C105" s="36">
        <v>4301012334</v>
      </c>
      <c r="D105" s="687">
        <v>4680115887718</v>
      </c>
      <c r="E105" s="68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9"/>
      <c r="R105" s="689"/>
      <c r="S105" s="689"/>
      <c r="T105" s="69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4301011417</v>
      </c>
      <c r="D106" s="687">
        <v>4680115880269</v>
      </c>
      <c r="E106" s="68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3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9"/>
      <c r="R106" s="689"/>
      <c r="S106" s="689"/>
      <c r="T106" s="69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87">
        <v>4680115880429</v>
      </c>
      <c r="E107" s="68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9"/>
      <c r="R107" s="689"/>
      <c r="S107" s="689"/>
      <c r="T107" s="69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223</v>
      </c>
      <c r="B108" s="63" t="s">
        <v>224</v>
      </c>
      <c r="C108" s="36">
        <v>4301011462</v>
      </c>
      <c r="D108" s="687">
        <v>4680115881457</v>
      </c>
      <c r="E108" s="68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9"/>
      <c r="R108" s="689"/>
      <c r="S108" s="689"/>
      <c r="T108" s="69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95"/>
      <c r="B109" s="695"/>
      <c r="C109" s="695"/>
      <c r="D109" s="695"/>
      <c r="E109" s="695"/>
      <c r="F109" s="695"/>
      <c r="G109" s="695"/>
      <c r="H109" s="695"/>
      <c r="I109" s="695"/>
      <c r="J109" s="695"/>
      <c r="K109" s="695"/>
      <c r="L109" s="695"/>
      <c r="M109" s="695"/>
      <c r="N109" s="695"/>
      <c r="O109" s="696"/>
      <c r="P109" s="692" t="s">
        <v>40</v>
      </c>
      <c r="Q109" s="693"/>
      <c r="R109" s="693"/>
      <c r="S109" s="693"/>
      <c r="T109" s="693"/>
      <c r="U109" s="693"/>
      <c r="V109" s="694"/>
      <c r="W109" s="42" t="s">
        <v>39</v>
      </c>
      <c r="X109" s="43">
        <f>IFERROR(X103/H103,"0")+IFERROR(X104/H104,"0")+IFERROR(X105/H105,"0")+IFERROR(X106/H106,"0")+IFERROR(X107/H107,"0")+IFERROR(X108/H108,"0")</f>
        <v>2.7777777777777777</v>
      </c>
      <c r="Y109" s="43">
        <f>IFERROR(Y103/H103,"0")+IFERROR(Y104/H104,"0")+IFERROR(Y105/H105,"0")+IFERROR(Y106/H106,"0")+IFERROR(Y107/H107,"0")+IFERROR(Y108/H108,"0")</f>
        <v>3.0000000000000004</v>
      </c>
      <c r="Z109" s="43">
        <f>IFERROR(IF(Z103="",0,Z103),"0")+IFERROR(IF(Z104="",0,Z104),"0")+IFERROR(IF(Z105="",0,Z105),"0")+IFERROR(IF(Z106="",0,Z106),"0")+IFERROR(IF(Z107="",0,Z107),"0")+IFERROR(IF(Z108="",0,Z108),"0")</f>
        <v>5.6940000000000004E-2</v>
      </c>
      <c r="AA109" s="67"/>
      <c r="AB109" s="67"/>
      <c r="AC109" s="67"/>
    </row>
    <row r="110" spans="1:68" x14ac:dyDescent="0.2">
      <c r="A110" s="695"/>
      <c r="B110" s="695"/>
      <c r="C110" s="695"/>
      <c r="D110" s="695"/>
      <c r="E110" s="695"/>
      <c r="F110" s="695"/>
      <c r="G110" s="695"/>
      <c r="H110" s="695"/>
      <c r="I110" s="695"/>
      <c r="J110" s="695"/>
      <c r="K110" s="695"/>
      <c r="L110" s="695"/>
      <c r="M110" s="695"/>
      <c r="N110" s="695"/>
      <c r="O110" s="696"/>
      <c r="P110" s="692" t="s">
        <v>40</v>
      </c>
      <c r="Q110" s="693"/>
      <c r="R110" s="693"/>
      <c r="S110" s="693"/>
      <c r="T110" s="693"/>
      <c r="U110" s="693"/>
      <c r="V110" s="694"/>
      <c r="W110" s="42" t="s">
        <v>0</v>
      </c>
      <c r="X110" s="43">
        <f>IFERROR(SUM(X103:X108),"0")</f>
        <v>30</v>
      </c>
      <c r="Y110" s="43">
        <f>IFERROR(SUM(Y103:Y108),"0")</f>
        <v>32.400000000000006</v>
      </c>
      <c r="Z110" s="42"/>
      <c r="AA110" s="67"/>
      <c r="AB110" s="67"/>
      <c r="AC110" s="67"/>
    </row>
    <row r="111" spans="1:68" ht="14.25" customHeight="1" x14ac:dyDescent="0.25">
      <c r="A111" s="686" t="s">
        <v>166</v>
      </c>
      <c r="B111" s="686"/>
      <c r="C111" s="686"/>
      <c r="D111" s="686"/>
      <c r="E111" s="686"/>
      <c r="F111" s="686"/>
      <c r="G111" s="686"/>
      <c r="H111" s="686"/>
      <c r="I111" s="686"/>
      <c r="J111" s="686"/>
      <c r="K111" s="686"/>
      <c r="L111" s="686"/>
      <c r="M111" s="686"/>
      <c r="N111" s="686"/>
      <c r="O111" s="686"/>
      <c r="P111" s="686"/>
      <c r="Q111" s="686"/>
      <c r="R111" s="686"/>
      <c r="S111" s="686"/>
      <c r="T111" s="686"/>
      <c r="U111" s="686"/>
      <c r="V111" s="686"/>
      <c r="W111" s="686"/>
      <c r="X111" s="686"/>
      <c r="Y111" s="686"/>
      <c r="Z111" s="686"/>
      <c r="AA111" s="66"/>
      <c r="AB111" s="66"/>
      <c r="AC111" s="80"/>
    </row>
    <row r="112" spans="1:68" ht="16.5" customHeight="1" x14ac:dyDescent="0.25">
      <c r="A112" s="63" t="s">
        <v>225</v>
      </c>
      <c r="B112" s="63" t="s">
        <v>226</v>
      </c>
      <c r="C112" s="36">
        <v>4301020345</v>
      </c>
      <c r="D112" s="687">
        <v>4680115881488</v>
      </c>
      <c r="E112" s="68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9"/>
      <c r="R112" s="689"/>
      <c r="S112" s="689"/>
      <c r="T112" s="69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customHeight="1" x14ac:dyDescent="0.25">
      <c r="A113" s="63" t="s">
        <v>225</v>
      </c>
      <c r="B113" s="63" t="s">
        <v>228</v>
      </c>
      <c r="C113" s="36">
        <v>4301020391</v>
      </c>
      <c r="D113" s="687">
        <v>4680115881488</v>
      </c>
      <c r="E113" s="68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89"/>
      <c r="R113" s="689"/>
      <c r="S113" s="689"/>
      <c r="T113" s="69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87">
        <v>4680115887664</v>
      </c>
      <c r="E114" s="687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89"/>
      <c r="R114" s="689"/>
      <c r="S114" s="689"/>
      <c r="T114" s="69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customHeight="1" x14ac:dyDescent="0.25">
      <c r="A115" s="63" t="s">
        <v>230</v>
      </c>
      <c r="B115" s="63" t="s">
        <v>234</v>
      </c>
      <c r="C115" s="36">
        <v>4301020430</v>
      </c>
      <c r="D115" s="687">
        <v>4680115887664</v>
      </c>
      <c r="E115" s="687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9"/>
      <c r="R115" s="689"/>
      <c r="S115" s="689"/>
      <c r="T115" s="69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4301020393</v>
      </c>
      <c r="D116" s="687">
        <v>4680115882775</v>
      </c>
      <c r="E116" s="687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89"/>
      <c r="R116" s="689"/>
      <c r="S116" s="689"/>
      <c r="T116" s="69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 x14ac:dyDescent="0.25">
      <c r="A117" s="63" t="s">
        <v>237</v>
      </c>
      <c r="B117" s="63" t="s">
        <v>238</v>
      </c>
      <c r="C117" s="36">
        <v>4301020344</v>
      </c>
      <c r="D117" s="687">
        <v>4680115880658</v>
      </c>
      <c r="E117" s="687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89"/>
      <c r="R117" s="689"/>
      <c r="S117" s="689"/>
      <c r="T117" s="69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customHeight="1" x14ac:dyDescent="0.25">
      <c r="A118" s="63" t="s">
        <v>237</v>
      </c>
      <c r="B118" s="63" t="s">
        <v>239</v>
      </c>
      <c r="C118" s="36">
        <v>4301020392</v>
      </c>
      <c r="D118" s="687">
        <v>4680115880658</v>
      </c>
      <c r="E118" s="68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89"/>
      <c r="R118" s="689"/>
      <c r="S118" s="689"/>
      <c r="T118" s="690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95"/>
      <c r="B119" s="695"/>
      <c r="C119" s="695"/>
      <c r="D119" s="695"/>
      <c r="E119" s="695"/>
      <c r="F119" s="695"/>
      <c r="G119" s="695"/>
      <c r="H119" s="695"/>
      <c r="I119" s="695"/>
      <c r="J119" s="695"/>
      <c r="K119" s="695"/>
      <c r="L119" s="695"/>
      <c r="M119" s="695"/>
      <c r="N119" s="695"/>
      <c r="O119" s="696"/>
      <c r="P119" s="692" t="s">
        <v>40</v>
      </c>
      <c r="Q119" s="693"/>
      <c r="R119" s="693"/>
      <c r="S119" s="693"/>
      <c r="T119" s="693"/>
      <c r="U119" s="693"/>
      <c r="V119" s="694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95"/>
      <c r="B120" s="695"/>
      <c r="C120" s="695"/>
      <c r="D120" s="695"/>
      <c r="E120" s="695"/>
      <c r="F120" s="695"/>
      <c r="G120" s="695"/>
      <c r="H120" s="695"/>
      <c r="I120" s="695"/>
      <c r="J120" s="695"/>
      <c r="K120" s="695"/>
      <c r="L120" s="695"/>
      <c r="M120" s="695"/>
      <c r="N120" s="695"/>
      <c r="O120" s="696"/>
      <c r="P120" s="692" t="s">
        <v>40</v>
      </c>
      <c r="Q120" s="693"/>
      <c r="R120" s="693"/>
      <c r="S120" s="693"/>
      <c r="T120" s="693"/>
      <c r="U120" s="693"/>
      <c r="V120" s="694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 x14ac:dyDescent="0.25">
      <c r="A121" s="686" t="s">
        <v>86</v>
      </c>
      <c r="B121" s="686"/>
      <c r="C121" s="686"/>
      <c r="D121" s="686"/>
      <c r="E121" s="686"/>
      <c r="F121" s="686"/>
      <c r="G121" s="686"/>
      <c r="H121" s="686"/>
      <c r="I121" s="686"/>
      <c r="J121" s="686"/>
      <c r="K121" s="686"/>
      <c r="L121" s="686"/>
      <c r="M121" s="686"/>
      <c r="N121" s="686"/>
      <c r="O121" s="686"/>
      <c r="P121" s="686"/>
      <c r="Q121" s="686"/>
      <c r="R121" s="686"/>
      <c r="S121" s="686"/>
      <c r="T121" s="686"/>
      <c r="U121" s="686"/>
      <c r="V121" s="686"/>
      <c r="W121" s="686"/>
      <c r="X121" s="686"/>
      <c r="Y121" s="686"/>
      <c r="Z121" s="686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87">
        <v>4607091385168</v>
      </c>
      <c r="E122" s="68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4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89"/>
      <c r="R122" s="689"/>
      <c r="S122" s="689"/>
      <c r="T122" s="690"/>
      <c r="U122" s="39" t="s">
        <v>46</v>
      </c>
      <c r="V122" s="39" t="s">
        <v>46</v>
      </c>
      <c r="W122" s="40" t="s">
        <v>0</v>
      </c>
      <c r="X122" s="58">
        <v>70</v>
      </c>
      <c r="Y122" s="55">
        <f>IFERROR(IF(X122="",0,CEILING((X122/$H122),1)*$H122),"")</f>
        <v>72.899999999999991</v>
      </c>
      <c r="Z122" s="41">
        <f>IFERROR(IF(Y122=0,"",ROUNDUP(Y122/H122,0)*0.01898),"")</f>
        <v>0.17082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74.217283950617286</v>
      </c>
      <c r="BN122" s="78">
        <f>IFERROR(Y122*I122/H122,"0")</f>
        <v>77.291999999999987</v>
      </c>
      <c r="BO122" s="78">
        <f>IFERROR(1/J122*(X122/H122),"0")</f>
        <v>0.13503086419753088</v>
      </c>
      <c r="BP122" s="78">
        <f>IFERROR(1/J122*(Y122/H122),"0")</f>
        <v>0.140625</v>
      </c>
    </row>
    <row r="123" spans="1:68" ht="27" customHeight="1" x14ac:dyDescent="0.25">
      <c r="A123" s="63" t="s">
        <v>243</v>
      </c>
      <c r="B123" s="63" t="s">
        <v>244</v>
      </c>
      <c r="C123" s="36">
        <v>4301051730</v>
      </c>
      <c r="D123" s="687">
        <v>4607091383256</v>
      </c>
      <c r="E123" s="68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89"/>
      <c r="R123" s="689"/>
      <c r="S123" s="689"/>
      <c r="T123" s="69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87">
        <v>4607091385748</v>
      </c>
      <c r="E124" s="68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89"/>
      <c r="R124" s="689"/>
      <c r="S124" s="689"/>
      <c r="T124" s="690"/>
      <c r="U124" s="39" t="s">
        <v>46</v>
      </c>
      <c r="V124" s="39" t="s">
        <v>46</v>
      </c>
      <c r="W124" s="40" t="s">
        <v>0</v>
      </c>
      <c r="X124" s="58">
        <v>13.5</v>
      </c>
      <c r="Y124" s="55">
        <f>IFERROR(IF(X124="",0,CEILING((X124/$H124),1)*$H124),"")</f>
        <v>13.5</v>
      </c>
      <c r="Z124" s="41">
        <f>IFERROR(IF(Y124=0,"",ROUNDUP(Y124/H124,0)*0.00651),"")</f>
        <v>3.2550000000000003E-2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14.759999999999998</v>
      </c>
      <c r="BN124" s="78">
        <f>IFERROR(Y124*I124/H124,"0")</f>
        <v>14.759999999999998</v>
      </c>
      <c r="BO124" s="78">
        <f>IFERROR(1/J124*(X124/H124),"0")</f>
        <v>2.7472527472527476E-2</v>
      </c>
      <c r="BP124" s="78">
        <f>IFERROR(1/J124*(Y124/H124),"0")</f>
        <v>2.7472527472527476E-2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87">
        <v>4680115884533</v>
      </c>
      <c r="E125" s="68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9"/>
      <c r="R125" s="689"/>
      <c r="S125" s="689"/>
      <c r="T125" s="69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95"/>
      <c r="B126" s="695"/>
      <c r="C126" s="695"/>
      <c r="D126" s="695"/>
      <c r="E126" s="695"/>
      <c r="F126" s="695"/>
      <c r="G126" s="695"/>
      <c r="H126" s="695"/>
      <c r="I126" s="695"/>
      <c r="J126" s="695"/>
      <c r="K126" s="695"/>
      <c r="L126" s="695"/>
      <c r="M126" s="695"/>
      <c r="N126" s="695"/>
      <c r="O126" s="696"/>
      <c r="P126" s="692" t="s">
        <v>40</v>
      </c>
      <c r="Q126" s="693"/>
      <c r="R126" s="693"/>
      <c r="S126" s="693"/>
      <c r="T126" s="693"/>
      <c r="U126" s="693"/>
      <c r="V126" s="694"/>
      <c r="W126" s="42" t="s">
        <v>39</v>
      </c>
      <c r="X126" s="43">
        <f>IFERROR(X122/H122,"0")+IFERROR(X123/H123,"0")+IFERROR(X124/H124,"0")+IFERROR(X125/H125,"0")</f>
        <v>13.641975308641976</v>
      </c>
      <c r="Y126" s="43">
        <f>IFERROR(Y122/H122,"0")+IFERROR(Y123/H123,"0")+IFERROR(Y124/H124,"0")+IFERROR(Y125/H125,"0")</f>
        <v>14</v>
      </c>
      <c r="Z126" s="43">
        <f>IFERROR(IF(Z122="",0,Z122),"0")+IFERROR(IF(Z123="",0,Z123),"0")+IFERROR(IF(Z124="",0,Z124),"0")+IFERROR(IF(Z125="",0,Z125),"0")</f>
        <v>0.20337</v>
      </c>
      <c r="AA126" s="67"/>
      <c r="AB126" s="67"/>
      <c r="AC126" s="67"/>
    </row>
    <row r="127" spans="1:68" x14ac:dyDescent="0.2">
      <c r="A127" s="695"/>
      <c r="B127" s="695"/>
      <c r="C127" s="695"/>
      <c r="D127" s="695"/>
      <c r="E127" s="695"/>
      <c r="F127" s="695"/>
      <c r="G127" s="695"/>
      <c r="H127" s="695"/>
      <c r="I127" s="695"/>
      <c r="J127" s="695"/>
      <c r="K127" s="695"/>
      <c r="L127" s="695"/>
      <c r="M127" s="695"/>
      <c r="N127" s="695"/>
      <c r="O127" s="696"/>
      <c r="P127" s="692" t="s">
        <v>40</v>
      </c>
      <c r="Q127" s="693"/>
      <c r="R127" s="693"/>
      <c r="S127" s="693"/>
      <c r="T127" s="693"/>
      <c r="U127" s="693"/>
      <c r="V127" s="694"/>
      <c r="W127" s="42" t="s">
        <v>0</v>
      </c>
      <c r="X127" s="43">
        <f>IFERROR(SUM(X122:X125),"0")</f>
        <v>83.5</v>
      </c>
      <c r="Y127" s="43">
        <f>IFERROR(SUM(Y122:Y125),"0")</f>
        <v>86.399999999999991</v>
      </c>
      <c r="Z127" s="42"/>
      <c r="AA127" s="67"/>
      <c r="AB127" s="67"/>
      <c r="AC127" s="67"/>
    </row>
    <row r="128" spans="1:68" ht="14.25" customHeight="1" x14ac:dyDescent="0.25">
      <c r="A128" s="686" t="s">
        <v>183</v>
      </c>
      <c r="B128" s="686"/>
      <c r="C128" s="686"/>
      <c r="D128" s="686"/>
      <c r="E128" s="686"/>
      <c r="F128" s="686"/>
      <c r="G128" s="686"/>
      <c r="H128" s="686"/>
      <c r="I128" s="686"/>
      <c r="J128" s="686"/>
      <c r="K128" s="686"/>
      <c r="L128" s="686"/>
      <c r="M128" s="686"/>
      <c r="N128" s="686"/>
      <c r="O128" s="686"/>
      <c r="P128" s="686"/>
      <c r="Q128" s="686"/>
      <c r="R128" s="686"/>
      <c r="S128" s="686"/>
      <c r="T128" s="686"/>
      <c r="U128" s="686"/>
      <c r="V128" s="686"/>
      <c r="W128" s="686"/>
      <c r="X128" s="686"/>
      <c r="Y128" s="686"/>
      <c r="Z128" s="686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87">
        <v>4680115880238</v>
      </c>
      <c r="E129" s="68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89"/>
      <c r="R129" s="689"/>
      <c r="S129" s="689"/>
      <c r="T129" s="69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95"/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6"/>
      <c r="P130" s="692" t="s">
        <v>40</v>
      </c>
      <c r="Q130" s="693"/>
      <c r="R130" s="693"/>
      <c r="S130" s="693"/>
      <c r="T130" s="693"/>
      <c r="U130" s="693"/>
      <c r="V130" s="69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95"/>
      <c r="B131" s="695"/>
      <c r="C131" s="695"/>
      <c r="D131" s="695"/>
      <c r="E131" s="695"/>
      <c r="F131" s="695"/>
      <c r="G131" s="695"/>
      <c r="H131" s="695"/>
      <c r="I131" s="695"/>
      <c r="J131" s="695"/>
      <c r="K131" s="695"/>
      <c r="L131" s="695"/>
      <c r="M131" s="695"/>
      <c r="N131" s="695"/>
      <c r="O131" s="696"/>
      <c r="P131" s="692" t="s">
        <v>40</v>
      </c>
      <c r="Q131" s="693"/>
      <c r="R131" s="693"/>
      <c r="S131" s="693"/>
      <c r="T131" s="693"/>
      <c r="U131" s="693"/>
      <c r="V131" s="69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85" t="s">
        <v>253</v>
      </c>
      <c r="B132" s="685"/>
      <c r="C132" s="685"/>
      <c r="D132" s="685"/>
      <c r="E132" s="685"/>
      <c r="F132" s="685"/>
      <c r="G132" s="685"/>
      <c r="H132" s="685"/>
      <c r="I132" s="685"/>
      <c r="J132" s="685"/>
      <c r="K132" s="685"/>
      <c r="L132" s="685"/>
      <c r="M132" s="685"/>
      <c r="N132" s="685"/>
      <c r="O132" s="685"/>
      <c r="P132" s="685"/>
      <c r="Q132" s="685"/>
      <c r="R132" s="685"/>
      <c r="S132" s="685"/>
      <c r="T132" s="685"/>
      <c r="U132" s="685"/>
      <c r="V132" s="685"/>
      <c r="W132" s="685"/>
      <c r="X132" s="685"/>
      <c r="Y132" s="685"/>
      <c r="Z132" s="685"/>
      <c r="AA132" s="65"/>
      <c r="AB132" s="65"/>
      <c r="AC132" s="79"/>
    </row>
    <row r="133" spans="1:68" ht="14.25" customHeight="1" x14ac:dyDescent="0.25">
      <c r="A133" s="686" t="s">
        <v>129</v>
      </c>
      <c r="B133" s="686"/>
      <c r="C133" s="686"/>
      <c r="D133" s="686"/>
      <c r="E133" s="686"/>
      <c r="F133" s="686"/>
      <c r="G133" s="686"/>
      <c r="H133" s="686"/>
      <c r="I133" s="686"/>
      <c r="J133" s="686"/>
      <c r="K133" s="686"/>
      <c r="L133" s="686"/>
      <c r="M133" s="686"/>
      <c r="N133" s="686"/>
      <c r="O133" s="686"/>
      <c r="P133" s="686"/>
      <c r="Q133" s="686"/>
      <c r="R133" s="686"/>
      <c r="S133" s="686"/>
      <c r="T133" s="686"/>
      <c r="U133" s="686"/>
      <c r="V133" s="686"/>
      <c r="W133" s="686"/>
      <c r="X133" s="686"/>
      <c r="Y133" s="686"/>
      <c r="Z133" s="686"/>
      <c r="AA133" s="66"/>
      <c r="AB133" s="66"/>
      <c r="AC133" s="80"/>
    </row>
    <row r="134" spans="1:68" ht="27" customHeight="1" x14ac:dyDescent="0.25">
      <c r="A134" s="63" t="s">
        <v>254</v>
      </c>
      <c r="B134" s="63" t="s">
        <v>255</v>
      </c>
      <c r="C134" s="36">
        <v>4301011562</v>
      </c>
      <c r="D134" s="687">
        <v>4680115882577</v>
      </c>
      <c r="E134" s="68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89"/>
      <c r="R134" s="689"/>
      <c r="S134" s="689"/>
      <c r="T134" s="69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87">
        <v>4680115882577</v>
      </c>
      <c r="E135" s="68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9"/>
      <c r="R135" s="689"/>
      <c r="S135" s="689"/>
      <c r="T135" s="69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95"/>
      <c r="B136" s="695"/>
      <c r="C136" s="695"/>
      <c r="D136" s="695"/>
      <c r="E136" s="695"/>
      <c r="F136" s="695"/>
      <c r="G136" s="695"/>
      <c r="H136" s="695"/>
      <c r="I136" s="695"/>
      <c r="J136" s="695"/>
      <c r="K136" s="695"/>
      <c r="L136" s="695"/>
      <c r="M136" s="695"/>
      <c r="N136" s="695"/>
      <c r="O136" s="696"/>
      <c r="P136" s="692" t="s">
        <v>40</v>
      </c>
      <c r="Q136" s="693"/>
      <c r="R136" s="693"/>
      <c r="S136" s="693"/>
      <c r="T136" s="693"/>
      <c r="U136" s="693"/>
      <c r="V136" s="694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95"/>
      <c r="B137" s="695"/>
      <c r="C137" s="695"/>
      <c r="D137" s="695"/>
      <c r="E137" s="695"/>
      <c r="F137" s="695"/>
      <c r="G137" s="695"/>
      <c r="H137" s="695"/>
      <c r="I137" s="695"/>
      <c r="J137" s="695"/>
      <c r="K137" s="695"/>
      <c r="L137" s="695"/>
      <c r="M137" s="695"/>
      <c r="N137" s="695"/>
      <c r="O137" s="696"/>
      <c r="P137" s="692" t="s">
        <v>40</v>
      </c>
      <c r="Q137" s="693"/>
      <c r="R137" s="693"/>
      <c r="S137" s="693"/>
      <c r="T137" s="693"/>
      <c r="U137" s="693"/>
      <c r="V137" s="694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86" t="s">
        <v>77</v>
      </c>
      <c r="B138" s="686"/>
      <c r="C138" s="686"/>
      <c r="D138" s="686"/>
      <c r="E138" s="686"/>
      <c r="F138" s="686"/>
      <c r="G138" s="686"/>
      <c r="H138" s="686"/>
      <c r="I138" s="686"/>
      <c r="J138" s="686"/>
      <c r="K138" s="686"/>
      <c r="L138" s="686"/>
      <c r="M138" s="686"/>
      <c r="N138" s="686"/>
      <c r="O138" s="686"/>
      <c r="P138" s="686"/>
      <c r="Q138" s="686"/>
      <c r="R138" s="686"/>
      <c r="S138" s="686"/>
      <c r="T138" s="686"/>
      <c r="U138" s="686"/>
      <c r="V138" s="686"/>
      <c r="W138" s="686"/>
      <c r="X138" s="686"/>
      <c r="Y138" s="686"/>
      <c r="Z138" s="686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87">
        <v>4680115883444</v>
      </c>
      <c r="E139" s="68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89"/>
      <c r="R139" s="689"/>
      <c r="S139" s="689"/>
      <c r="T139" s="69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258</v>
      </c>
      <c r="B140" s="63" t="s">
        <v>261</v>
      </c>
      <c r="C140" s="36">
        <v>4301031235</v>
      </c>
      <c r="D140" s="687">
        <v>4680115883444</v>
      </c>
      <c r="E140" s="68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89"/>
      <c r="R140" s="689"/>
      <c r="S140" s="689"/>
      <c r="T140" s="69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95"/>
      <c r="B141" s="695"/>
      <c r="C141" s="695"/>
      <c r="D141" s="695"/>
      <c r="E141" s="695"/>
      <c r="F141" s="695"/>
      <c r="G141" s="695"/>
      <c r="H141" s="695"/>
      <c r="I141" s="695"/>
      <c r="J141" s="695"/>
      <c r="K141" s="695"/>
      <c r="L141" s="695"/>
      <c r="M141" s="695"/>
      <c r="N141" s="695"/>
      <c r="O141" s="696"/>
      <c r="P141" s="692" t="s">
        <v>40</v>
      </c>
      <c r="Q141" s="693"/>
      <c r="R141" s="693"/>
      <c r="S141" s="693"/>
      <c r="T141" s="693"/>
      <c r="U141" s="693"/>
      <c r="V141" s="694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695"/>
      <c r="B142" s="695"/>
      <c r="C142" s="695"/>
      <c r="D142" s="695"/>
      <c r="E142" s="695"/>
      <c r="F142" s="695"/>
      <c r="G142" s="695"/>
      <c r="H142" s="695"/>
      <c r="I142" s="695"/>
      <c r="J142" s="695"/>
      <c r="K142" s="695"/>
      <c r="L142" s="695"/>
      <c r="M142" s="695"/>
      <c r="N142" s="695"/>
      <c r="O142" s="696"/>
      <c r="P142" s="692" t="s">
        <v>40</v>
      </c>
      <c r="Q142" s="693"/>
      <c r="R142" s="693"/>
      <c r="S142" s="693"/>
      <c r="T142" s="693"/>
      <c r="U142" s="693"/>
      <c r="V142" s="694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86" t="s">
        <v>86</v>
      </c>
      <c r="B143" s="686"/>
      <c r="C143" s="686"/>
      <c r="D143" s="686"/>
      <c r="E143" s="686"/>
      <c r="F143" s="686"/>
      <c r="G143" s="686"/>
      <c r="H143" s="686"/>
      <c r="I143" s="686"/>
      <c r="J143" s="686"/>
      <c r="K143" s="686"/>
      <c r="L143" s="686"/>
      <c r="M143" s="686"/>
      <c r="N143" s="686"/>
      <c r="O143" s="686"/>
      <c r="P143" s="686"/>
      <c r="Q143" s="686"/>
      <c r="R143" s="686"/>
      <c r="S143" s="686"/>
      <c r="T143" s="686"/>
      <c r="U143" s="686"/>
      <c r="V143" s="686"/>
      <c r="W143" s="686"/>
      <c r="X143" s="686"/>
      <c r="Y143" s="686"/>
      <c r="Z143" s="686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87">
        <v>4680115882584</v>
      </c>
      <c r="E144" s="68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89"/>
      <c r="R144" s="689"/>
      <c r="S144" s="689"/>
      <c r="T144" s="69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262</v>
      </c>
      <c r="B145" s="63" t="s">
        <v>264</v>
      </c>
      <c r="C145" s="36">
        <v>4301051477</v>
      </c>
      <c r="D145" s="687">
        <v>4680115882584</v>
      </c>
      <c r="E145" s="68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5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9"/>
      <c r="R145" s="689"/>
      <c r="S145" s="689"/>
      <c r="T145" s="69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95"/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6"/>
      <c r="P146" s="692" t="s">
        <v>40</v>
      </c>
      <c r="Q146" s="693"/>
      <c r="R146" s="693"/>
      <c r="S146" s="693"/>
      <c r="T146" s="693"/>
      <c r="U146" s="693"/>
      <c r="V146" s="69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95"/>
      <c r="B147" s="695"/>
      <c r="C147" s="695"/>
      <c r="D147" s="695"/>
      <c r="E147" s="695"/>
      <c r="F147" s="695"/>
      <c r="G147" s="695"/>
      <c r="H147" s="695"/>
      <c r="I147" s="695"/>
      <c r="J147" s="695"/>
      <c r="K147" s="695"/>
      <c r="L147" s="695"/>
      <c r="M147" s="695"/>
      <c r="N147" s="695"/>
      <c r="O147" s="696"/>
      <c r="P147" s="692" t="s">
        <v>40</v>
      </c>
      <c r="Q147" s="693"/>
      <c r="R147" s="693"/>
      <c r="S147" s="693"/>
      <c r="T147" s="693"/>
      <c r="U147" s="693"/>
      <c r="V147" s="69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85" t="s">
        <v>265</v>
      </c>
      <c r="B148" s="685"/>
      <c r="C148" s="685"/>
      <c r="D148" s="685"/>
      <c r="E148" s="685"/>
      <c r="F148" s="685"/>
      <c r="G148" s="685"/>
      <c r="H148" s="685"/>
      <c r="I148" s="685"/>
      <c r="J148" s="685"/>
      <c r="K148" s="685"/>
      <c r="L148" s="685"/>
      <c r="M148" s="685"/>
      <c r="N148" s="685"/>
      <c r="O148" s="685"/>
      <c r="P148" s="685"/>
      <c r="Q148" s="685"/>
      <c r="R148" s="685"/>
      <c r="S148" s="685"/>
      <c r="T148" s="685"/>
      <c r="U148" s="685"/>
      <c r="V148" s="685"/>
      <c r="W148" s="685"/>
      <c r="X148" s="685"/>
      <c r="Y148" s="685"/>
      <c r="Z148" s="685"/>
      <c r="AA148" s="65"/>
      <c r="AB148" s="65"/>
      <c r="AC148" s="79"/>
    </row>
    <row r="149" spans="1:68" ht="14.25" customHeight="1" x14ac:dyDescent="0.25">
      <c r="A149" s="686" t="s">
        <v>86</v>
      </c>
      <c r="B149" s="686"/>
      <c r="C149" s="686"/>
      <c r="D149" s="686"/>
      <c r="E149" s="686"/>
      <c r="F149" s="686"/>
      <c r="G149" s="686"/>
      <c r="H149" s="686"/>
      <c r="I149" s="686"/>
      <c r="J149" s="686"/>
      <c r="K149" s="686"/>
      <c r="L149" s="686"/>
      <c r="M149" s="686"/>
      <c r="N149" s="686"/>
      <c r="O149" s="686"/>
      <c r="P149" s="686"/>
      <c r="Q149" s="686"/>
      <c r="R149" s="686"/>
      <c r="S149" s="686"/>
      <c r="T149" s="686"/>
      <c r="U149" s="686"/>
      <c r="V149" s="686"/>
      <c r="W149" s="686"/>
      <c r="X149" s="686"/>
      <c r="Y149" s="686"/>
      <c r="Z149" s="686"/>
      <c r="AA149" s="66"/>
      <c r="AB149" s="66"/>
      <c r="AC149" s="80"/>
    </row>
    <row r="150" spans="1:68" ht="27" customHeight="1" x14ac:dyDescent="0.25">
      <c r="A150" s="63" t="s">
        <v>266</v>
      </c>
      <c r="B150" s="63" t="s">
        <v>267</v>
      </c>
      <c r="C150" s="36">
        <v>4301052174</v>
      </c>
      <c r="D150" s="687">
        <v>4680115888203</v>
      </c>
      <c r="E150" s="68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89"/>
      <c r="R150" s="689"/>
      <c r="S150" s="689"/>
      <c r="T150" s="69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269</v>
      </c>
      <c r="B151" s="63" t="s">
        <v>270</v>
      </c>
      <c r="C151" s="36">
        <v>4301052172</v>
      </c>
      <c r="D151" s="687">
        <v>4680115888180</v>
      </c>
      <c r="E151" s="68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89"/>
      <c r="R151" s="689"/>
      <c r="S151" s="689"/>
      <c r="T151" s="69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4301052173</v>
      </c>
      <c r="D152" s="687">
        <v>4680115888197</v>
      </c>
      <c r="E152" s="68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89"/>
      <c r="R152" s="689"/>
      <c r="S152" s="689"/>
      <c r="T152" s="690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4301052175</v>
      </c>
      <c r="D153" s="687">
        <v>4680115888210</v>
      </c>
      <c r="E153" s="68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89"/>
      <c r="R153" s="689"/>
      <c r="S153" s="689"/>
      <c r="T153" s="690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95"/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6"/>
      <c r="P154" s="692" t="s">
        <v>40</v>
      </c>
      <c r="Q154" s="693"/>
      <c r="R154" s="693"/>
      <c r="S154" s="693"/>
      <c r="T154" s="693"/>
      <c r="U154" s="693"/>
      <c r="V154" s="694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95"/>
      <c r="B155" s="695"/>
      <c r="C155" s="695"/>
      <c r="D155" s="695"/>
      <c r="E155" s="695"/>
      <c r="F155" s="695"/>
      <c r="G155" s="695"/>
      <c r="H155" s="695"/>
      <c r="I155" s="695"/>
      <c r="J155" s="695"/>
      <c r="K155" s="695"/>
      <c r="L155" s="695"/>
      <c r="M155" s="695"/>
      <c r="N155" s="695"/>
      <c r="O155" s="696"/>
      <c r="P155" s="692" t="s">
        <v>40</v>
      </c>
      <c r="Q155" s="693"/>
      <c r="R155" s="693"/>
      <c r="S155" s="693"/>
      <c r="T155" s="693"/>
      <c r="U155" s="693"/>
      <c r="V155" s="694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85" t="s">
        <v>127</v>
      </c>
      <c r="B156" s="685"/>
      <c r="C156" s="685"/>
      <c r="D156" s="685"/>
      <c r="E156" s="685"/>
      <c r="F156" s="685"/>
      <c r="G156" s="685"/>
      <c r="H156" s="685"/>
      <c r="I156" s="685"/>
      <c r="J156" s="685"/>
      <c r="K156" s="685"/>
      <c r="L156" s="685"/>
      <c r="M156" s="685"/>
      <c r="N156" s="685"/>
      <c r="O156" s="685"/>
      <c r="P156" s="685"/>
      <c r="Q156" s="685"/>
      <c r="R156" s="685"/>
      <c r="S156" s="685"/>
      <c r="T156" s="685"/>
      <c r="U156" s="685"/>
      <c r="V156" s="685"/>
      <c r="W156" s="685"/>
      <c r="X156" s="685"/>
      <c r="Y156" s="685"/>
      <c r="Z156" s="685"/>
      <c r="AA156" s="65"/>
      <c r="AB156" s="65"/>
      <c r="AC156" s="79"/>
    </row>
    <row r="157" spans="1:68" ht="14.25" customHeight="1" x14ac:dyDescent="0.25">
      <c r="A157" s="686" t="s">
        <v>129</v>
      </c>
      <c r="B157" s="686"/>
      <c r="C157" s="686"/>
      <c r="D157" s="686"/>
      <c r="E157" s="686"/>
      <c r="F157" s="686"/>
      <c r="G157" s="686"/>
      <c r="H157" s="686"/>
      <c r="I157" s="686"/>
      <c r="J157" s="686"/>
      <c r="K157" s="686"/>
      <c r="L157" s="686"/>
      <c r="M157" s="686"/>
      <c r="N157" s="686"/>
      <c r="O157" s="686"/>
      <c r="P157" s="686"/>
      <c r="Q157" s="686"/>
      <c r="R157" s="686"/>
      <c r="S157" s="686"/>
      <c r="T157" s="686"/>
      <c r="U157" s="686"/>
      <c r="V157" s="686"/>
      <c r="W157" s="686"/>
      <c r="X157" s="686"/>
      <c r="Y157" s="686"/>
      <c r="Z157" s="686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4301012244</v>
      </c>
      <c r="D158" s="687">
        <v>4680115887374</v>
      </c>
      <c r="E158" s="687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89"/>
      <c r="R158" s="689"/>
      <c r="S158" s="689"/>
      <c r="T158" s="69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281</v>
      </c>
      <c r="B159" s="63" t="s">
        <v>282</v>
      </c>
      <c r="C159" s="36">
        <v>4301011705</v>
      </c>
      <c r="D159" s="687">
        <v>4607091384604</v>
      </c>
      <c r="E159" s="687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89"/>
      <c r="R159" s="689"/>
      <c r="S159" s="689"/>
      <c r="T159" s="69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95"/>
      <c r="B160" s="695"/>
      <c r="C160" s="695"/>
      <c r="D160" s="695"/>
      <c r="E160" s="695"/>
      <c r="F160" s="695"/>
      <c r="G160" s="695"/>
      <c r="H160" s="695"/>
      <c r="I160" s="695"/>
      <c r="J160" s="695"/>
      <c r="K160" s="695"/>
      <c r="L160" s="695"/>
      <c r="M160" s="695"/>
      <c r="N160" s="695"/>
      <c r="O160" s="696"/>
      <c r="P160" s="692" t="s">
        <v>40</v>
      </c>
      <c r="Q160" s="693"/>
      <c r="R160" s="693"/>
      <c r="S160" s="693"/>
      <c r="T160" s="693"/>
      <c r="U160" s="693"/>
      <c r="V160" s="694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695"/>
      <c r="B161" s="695"/>
      <c r="C161" s="695"/>
      <c r="D161" s="695"/>
      <c r="E161" s="695"/>
      <c r="F161" s="695"/>
      <c r="G161" s="695"/>
      <c r="H161" s="695"/>
      <c r="I161" s="695"/>
      <c r="J161" s="695"/>
      <c r="K161" s="695"/>
      <c r="L161" s="695"/>
      <c r="M161" s="695"/>
      <c r="N161" s="695"/>
      <c r="O161" s="696"/>
      <c r="P161" s="692" t="s">
        <v>40</v>
      </c>
      <c r="Q161" s="693"/>
      <c r="R161" s="693"/>
      <c r="S161" s="693"/>
      <c r="T161" s="693"/>
      <c r="U161" s="693"/>
      <c r="V161" s="694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86" t="s">
        <v>166</v>
      </c>
      <c r="B162" s="686"/>
      <c r="C162" s="686"/>
      <c r="D162" s="686"/>
      <c r="E162" s="686"/>
      <c r="F162" s="686"/>
      <c r="G162" s="686"/>
      <c r="H162" s="686"/>
      <c r="I162" s="686"/>
      <c r="J162" s="686"/>
      <c r="K162" s="686"/>
      <c r="L162" s="686"/>
      <c r="M162" s="686"/>
      <c r="N162" s="686"/>
      <c r="O162" s="686"/>
      <c r="P162" s="686"/>
      <c r="Q162" s="686"/>
      <c r="R162" s="686"/>
      <c r="S162" s="686"/>
      <c r="T162" s="686"/>
      <c r="U162" s="686"/>
      <c r="V162" s="686"/>
      <c r="W162" s="686"/>
      <c r="X162" s="686"/>
      <c r="Y162" s="686"/>
      <c r="Z162" s="686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87">
        <v>4680115887695</v>
      </c>
      <c r="E163" s="687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89"/>
      <c r="R163" s="689"/>
      <c r="S163" s="689"/>
      <c r="T163" s="690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95"/>
      <c r="B164" s="695"/>
      <c r="C164" s="695"/>
      <c r="D164" s="695"/>
      <c r="E164" s="695"/>
      <c r="F164" s="695"/>
      <c r="G164" s="695"/>
      <c r="H164" s="695"/>
      <c r="I164" s="695"/>
      <c r="J164" s="695"/>
      <c r="K164" s="695"/>
      <c r="L164" s="695"/>
      <c r="M164" s="695"/>
      <c r="N164" s="695"/>
      <c r="O164" s="696"/>
      <c r="P164" s="692" t="s">
        <v>40</v>
      </c>
      <c r="Q164" s="693"/>
      <c r="R164" s="693"/>
      <c r="S164" s="693"/>
      <c r="T164" s="693"/>
      <c r="U164" s="693"/>
      <c r="V164" s="69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95"/>
      <c r="B165" s="695"/>
      <c r="C165" s="695"/>
      <c r="D165" s="695"/>
      <c r="E165" s="695"/>
      <c r="F165" s="695"/>
      <c r="G165" s="695"/>
      <c r="H165" s="695"/>
      <c r="I165" s="695"/>
      <c r="J165" s="695"/>
      <c r="K165" s="695"/>
      <c r="L165" s="695"/>
      <c r="M165" s="695"/>
      <c r="N165" s="695"/>
      <c r="O165" s="696"/>
      <c r="P165" s="692" t="s">
        <v>40</v>
      </c>
      <c r="Q165" s="693"/>
      <c r="R165" s="693"/>
      <c r="S165" s="693"/>
      <c r="T165" s="693"/>
      <c r="U165" s="693"/>
      <c r="V165" s="69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86" t="s">
        <v>77</v>
      </c>
      <c r="B166" s="686"/>
      <c r="C166" s="686"/>
      <c r="D166" s="686"/>
      <c r="E166" s="686"/>
      <c r="F166" s="686"/>
      <c r="G166" s="686"/>
      <c r="H166" s="686"/>
      <c r="I166" s="686"/>
      <c r="J166" s="686"/>
      <c r="K166" s="686"/>
      <c r="L166" s="686"/>
      <c r="M166" s="686"/>
      <c r="N166" s="686"/>
      <c r="O166" s="686"/>
      <c r="P166" s="686"/>
      <c r="Q166" s="686"/>
      <c r="R166" s="686"/>
      <c r="S166" s="686"/>
      <c r="T166" s="686"/>
      <c r="U166" s="686"/>
      <c r="V166" s="686"/>
      <c r="W166" s="686"/>
      <c r="X166" s="686"/>
      <c r="Y166" s="686"/>
      <c r="Z166" s="686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87">
        <v>4680115887428</v>
      </c>
      <c r="E167" s="687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89"/>
      <c r="R167" s="689"/>
      <c r="S167" s="689"/>
      <c r="T167" s="69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87">
        <v>4607091382426</v>
      </c>
      <c r="E168" s="687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89"/>
      <c r="R168" s="689"/>
      <c r="S168" s="689"/>
      <c r="T168" s="69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87">
        <v>4680115887398</v>
      </c>
      <c r="E169" s="68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89"/>
      <c r="R169" s="689"/>
      <c r="S169" s="689"/>
      <c r="T169" s="69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87">
        <v>4680115887336</v>
      </c>
      <c r="E170" s="68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89"/>
      <c r="R170" s="689"/>
      <c r="S170" s="689"/>
      <c r="T170" s="69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87">
        <v>4680115887787</v>
      </c>
      <c r="E171" s="68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89"/>
      <c r="R171" s="689"/>
      <c r="S171" s="689"/>
      <c r="T171" s="69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87">
        <v>4680115887503</v>
      </c>
      <c r="E172" s="68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89"/>
      <c r="R172" s="689"/>
      <c r="S172" s="689"/>
      <c r="T172" s="69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87">
        <v>4680115887763</v>
      </c>
      <c r="E173" s="68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89"/>
      <c r="R173" s="689"/>
      <c r="S173" s="689"/>
      <c r="T173" s="69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304</v>
      </c>
      <c r="B174" s="63" t="s">
        <v>307</v>
      </c>
      <c r="C174" s="36">
        <v>4301031510</v>
      </c>
      <c r="D174" s="687">
        <v>4680115887763</v>
      </c>
      <c r="E174" s="68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9"/>
      <c r="R174" s="689"/>
      <c r="S174" s="689"/>
      <c r="T174" s="69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87">
        <v>4680115887480</v>
      </c>
      <c r="E175" s="68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89"/>
      <c r="R175" s="689"/>
      <c r="S175" s="689"/>
      <c r="T175" s="69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4301031434</v>
      </c>
      <c r="D176" s="687">
        <v>4680115888067</v>
      </c>
      <c r="E176" s="68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89"/>
      <c r="R176" s="689"/>
      <c r="S176" s="689"/>
      <c r="T176" s="69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87">
        <v>4680115887435</v>
      </c>
      <c r="E177" s="68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89"/>
      <c r="R177" s="689"/>
      <c r="S177" s="689"/>
      <c r="T177" s="69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95"/>
      <c r="B178" s="695"/>
      <c r="C178" s="695"/>
      <c r="D178" s="695"/>
      <c r="E178" s="695"/>
      <c r="F178" s="695"/>
      <c r="G178" s="695"/>
      <c r="H178" s="695"/>
      <c r="I178" s="695"/>
      <c r="J178" s="695"/>
      <c r="K178" s="695"/>
      <c r="L178" s="695"/>
      <c r="M178" s="695"/>
      <c r="N178" s="695"/>
      <c r="O178" s="696"/>
      <c r="P178" s="692" t="s">
        <v>40</v>
      </c>
      <c r="Q178" s="693"/>
      <c r="R178" s="693"/>
      <c r="S178" s="693"/>
      <c r="T178" s="693"/>
      <c r="U178" s="693"/>
      <c r="V178" s="694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95"/>
      <c r="B179" s="695"/>
      <c r="C179" s="695"/>
      <c r="D179" s="695"/>
      <c r="E179" s="695"/>
      <c r="F179" s="695"/>
      <c r="G179" s="695"/>
      <c r="H179" s="695"/>
      <c r="I179" s="695"/>
      <c r="J179" s="695"/>
      <c r="K179" s="695"/>
      <c r="L179" s="695"/>
      <c r="M179" s="695"/>
      <c r="N179" s="695"/>
      <c r="O179" s="696"/>
      <c r="P179" s="692" t="s">
        <v>40</v>
      </c>
      <c r="Q179" s="693"/>
      <c r="R179" s="693"/>
      <c r="S179" s="693"/>
      <c r="T179" s="693"/>
      <c r="U179" s="693"/>
      <c r="V179" s="694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customHeight="1" x14ac:dyDescent="0.25">
      <c r="A180" s="686" t="s">
        <v>86</v>
      </c>
      <c r="B180" s="686"/>
      <c r="C180" s="686"/>
      <c r="D180" s="686"/>
      <c r="E180" s="686"/>
      <c r="F180" s="686"/>
      <c r="G180" s="686"/>
      <c r="H180" s="686"/>
      <c r="I180" s="686"/>
      <c r="J180" s="686"/>
      <c r="K180" s="686"/>
      <c r="L180" s="686"/>
      <c r="M180" s="686"/>
      <c r="N180" s="686"/>
      <c r="O180" s="686"/>
      <c r="P180" s="686"/>
      <c r="Q180" s="686"/>
      <c r="R180" s="686"/>
      <c r="S180" s="686"/>
      <c r="T180" s="686"/>
      <c r="U180" s="686"/>
      <c r="V180" s="686"/>
      <c r="W180" s="686"/>
      <c r="X180" s="686"/>
      <c r="Y180" s="686"/>
      <c r="Z180" s="686"/>
      <c r="AA180" s="66"/>
      <c r="AB180" s="66"/>
      <c r="AC180" s="80"/>
    </row>
    <row r="181" spans="1:68" ht="16.5" customHeight="1" x14ac:dyDescent="0.25">
      <c r="A181" s="63" t="s">
        <v>315</v>
      </c>
      <c r="B181" s="63" t="s">
        <v>316</v>
      </c>
      <c r="C181" s="36">
        <v>4301052193</v>
      </c>
      <c r="D181" s="687">
        <v>4680115888395</v>
      </c>
      <c r="E181" s="68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89"/>
      <c r="R181" s="689"/>
      <c r="S181" s="689"/>
      <c r="T181" s="69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318</v>
      </c>
      <c r="B182" s="63" t="s">
        <v>319</v>
      </c>
      <c r="C182" s="36">
        <v>4301052191</v>
      </c>
      <c r="D182" s="687">
        <v>4680115888371</v>
      </c>
      <c r="E182" s="68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89"/>
      <c r="R182" s="689"/>
      <c r="S182" s="689"/>
      <c r="T182" s="69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4301052064</v>
      </c>
      <c r="D183" s="687">
        <v>4680115887459</v>
      </c>
      <c r="E183" s="68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89"/>
      <c r="R183" s="689"/>
      <c r="S183" s="689"/>
      <c r="T183" s="69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95"/>
      <c r="B184" s="695"/>
      <c r="C184" s="695"/>
      <c r="D184" s="695"/>
      <c r="E184" s="695"/>
      <c r="F184" s="695"/>
      <c r="G184" s="695"/>
      <c r="H184" s="695"/>
      <c r="I184" s="695"/>
      <c r="J184" s="695"/>
      <c r="K184" s="695"/>
      <c r="L184" s="695"/>
      <c r="M184" s="695"/>
      <c r="N184" s="695"/>
      <c r="O184" s="696"/>
      <c r="P184" s="692" t="s">
        <v>40</v>
      </c>
      <c r="Q184" s="693"/>
      <c r="R184" s="693"/>
      <c r="S184" s="693"/>
      <c r="T184" s="693"/>
      <c r="U184" s="693"/>
      <c r="V184" s="69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/>
      <c r="K185" s="695"/>
      <c r="L185" s="695"/>
      <c r="M185" s="695"/>
      <c r="N185" s="695"/>
      <c r="O185" s="696"/>
      <c r="P185" s="692" t="s">
        <v>40</v>
      </c>
      <c r="Q185" s="693"/>
      <c r="R185" s="693"/>
      <c r="S185" s="693"/>
      <c r="T185" s="693"/>
      <c r="U185" s="693"/>
      <c r="V185" s="69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86" t="s">
        <v>104</v>
      </c>
      <c r="B186" s="686"/>
      <c r="C186" s="686"/>
      <c r="D186" s="686"/>
      <c r="E186" s="686"/>
      <c r="F186" s="686"/>
      <c r="G186" s="686"/>
      <c r="H186" s="686"/>
      <c r="I186" s="686"/>
      <c r="J186" s="686"/>
      <c r="K186" s="686"/>
      <c r="L186" s="686"/>
      <c r="M186" s="686"/>
      <c r="N186" s="686"/>
      <c r="O186" s="686"/>
      <c r="P186" s="686"/>
      <c r="Q186" s="686"/>
      <c r="R186" s="686"/>
      <c r="S186" s="686"/>
      <c r="T186" s="686"/>
      <c r="U186" s="686"/>
      <c r="V186" s="686"/>
      <c r="W186" s="686"/>
      <c r="X186" s="686"/>
      <c r="Y186" s="686"/>
      <c r="Z186" s="686"/>
      <c r="AA186" s="66"/>
      <c r="AB186" s="66"/>
      <c r="AC186" s="80"/>
    </row>
    <row r="187" spans="1:68" ht="16.5" customHeight="1" x14ac:dyDescent="0.25">
      <c r="A187" s="63" t="s">
        <v>324</v>
      </c>
      <c r="B187" s="63" t="s">
        <v>325</v>
      </c>
      <c r="C187" s="36">
        <v>4301032058</v>
      </c>
      <c r="D187" s="687">
        <v>4680115889026</v>
      </c>
      <c r="E187" s="68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89"/>
      <c r="R187" s="689"/>
      <c r="S187" s="689"/>
      <c r="T187" s="69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329</v>
      </c>
      <c r="B188" s="63" t="s">
        <v>330</v>
      </c>
      <c r="C188" s="36">
        <v>4301032057</v>
      </c>
      <c r="D188" s="687">
        <v>4680115889088</v>
      </c>
      <c r="E188" s="68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89"/>
      <c r="R188" s="689"/>
      <c r="S188" s="689"/>
      <c r="T188" s="69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95"/>
      <c r="B189" s="695"/>
      <c r="C189" s="695"/>
      <c r="D189" s="695"/>
      <c r="E189" s="695"/>
      <c r="F189" s="695"/>
      <c r="G189" s="695"/>
      <c r="H189" s="695"/>
      <c r="I189" s="695"/>
      <c r="J189" s="695"/>
      <c r="K189" s="695"/>
      <c r="L189" s="695"/>
      <c r="M189" s="695"/>
      <c r="N189" s="695"/>
      <c r="O189" s="696"/>
      <c r="P189" s="692" t="s">
        <v>40</v>
      </c>
      <c r="Q189" s="693"/>
      <c r="R189" s="693"/>
      <c r="S189" s="693"/>
      <c r="T189" s="693"/>
      <c r="U189" s="693"/>
      <c r="V189" s="69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95"/>
      <c r="B190" s="695"/>
      <c r="C190" s="695"/>
      <c r="D190" s="695"/>
      <c r="E190" s="695"/>
      <c r="F190" s="695"/>
      <c r="G190" s="695"/>
      <c r="H190" s="695"/>
      <c r="I190" s="695"/>
      <c r="J190" s="695"/>
      <c r="K190" s="695"/>
      <c r="L190" s="695"/>
      <c r="M190" s="695"/>
      <c r="N190" s="695"/>
      <c r="O190" s="696"/>
      <c r="P190" s="692" t="s">
        <v>40</v>
      </c>
      <c r="Q190" s="693"/>
      <c r="R190" s="693"/>
      <c r="S190" s="693"/>
      <c r="T190" s="693"/>
      <c r="U190" s="693"/>
      <c r="V190" s="69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86" t="s">
        <v>332</v>
      </c>
      <c r="B191" s="686"/>
      <c r="C191" s="686"/>
      <c r="D191" s="686"/>
      <c r="E191" s="686"/>
      <c r="F191" s="686"/>
      <c r="G191" s="686"/>
      <c r="H191" s="686"/>
      <c r="I191" s="686"/>
      <c r="J191" s="686"/>
      <c r="K191" s="686"/>
      <c r="L191" s="686"/>
      <c r="M191" s="686"/>
      <c r="N191" s="686"/>
      <c r="O191" s="686"/>
      <c r="P191" s="686"/>
      <c r="Q191" s="686"/>
      <c r="R191" s="686"/>
      <c r="S191" s="686"/>
      <c r="T191" s="686"/>
      <c r="U191" s="686"/>
      <c r="V191" s="686"/>
      <c r="W191" s="686"/>
      <c r="X191" s="686"/>
      <c r="Y191" s="686"/>
      <c r="Z191" s="686"/>
      <c r="AA191" s="66"/>
      <c r="AB191" s="66"/>
      <c r="AC191" s="80"/>
    </row>
    <row r="192" spans="1:68" ht="27" customHeight="1" x14ac:dyDescent="0.25">
      <c r="A192" s="63" t="s">
        <v>333</v>
      </c>
      <c r="B192" s="63" t="s">
        <v>334</v>
      </c>
      <c r="C192" s="36">
        <v>4301041009</v>
      </c>
      <c r="D192" s="687">
        <v>4680115889033</v>
      </c>
      <c r="E192" s="68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89"/>
      <c r="R192" s="689"/>
      <c r="S192" s="689"/>
      <c r="T192" s="69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95"/>
      <c r="B193" s="695"/>
      <c r="C193" s="695"/>
      <c r="D193" s="695"/>
      <c r="E193" s="695"/>
      <c r="F193" s="695"/>
      <c r="G193" s="695"/>
      <c r="H193" s="695"/>
      <c r="I193" s="695"/>
      <c r="J193" s="695"/>
      <c r="K193" s="695"/>
      <c r="L193" s="695"/>
      <c r="M193" s="695"/>
      <c r="N193" s="695"/>
      <c r="O193" s="696"/>
      <c r="P193" s="692" t="s">
        <v>40</v>
      </c>
      <c r="Q193" s="693"/>
      <c r="R193" s="693"/>
      <c r="S193" s="693"/>
      <c r="T193" s="693"/>
      <c r="U193" s="693"/>
      <c r="V193" s="69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95"/>
      <c r="B194" s="695"/>
      <c r="C194" s="695"/>
      <c r="D194" s="695"/>
      <c r="E194" s="695"/>
      <c r="F194" s="695"/>
      <c r="G194" s="695"/>
      <c r="H194" s="695"/>
      <c r="I194" s="695"/>
      <c r="J194" s="695"/>
      <c r="K194" s="695"/>
      <c r="L194" s="695"/>
      <c r="M194" s="695"/>
      <c r="N194" s="695"/>
      <c r="O194" s="696"/>
      <c r="P194" s="692" t="s">
        <v>40</v>
      </c>
      <c r="Q194" s="693"/>
      <c r="R194" s="693"/>
      <c r="S194" s="693"/>
      <c r="T194" s="693"/>
      <c r="U194" s="693"/>
      <c r="V194" s="69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84" t="s">
        <v>336</v>
      </c>
      <c r="B195" s="684"/>
      <c r="C195" s="684"/>
      <c r="D195" s="684"/>
      <c r="E195" s="684"/>
      <c r="F195" s="684"/>
      <c r="G195" s="684"/>
      <c r="H195" s="684"/>
      <c r="I195" s="684"/>
      <c r="J195" s="684"/>
      <c r="K195" s="684"/>
      <c r="L195" s="684"/>
      <c r="M195" s="684"/>
      <c r="N195" s="684"/>
      <c r="O195" s="684"/>
      <c r="P195" s="684"/>
      <c r="Q195" s="684"/>
      <c r="R195" s="684"/>
      <c r="S195" s="684"/>
      <c r="T195" s="684"/>
      <c r="U195" s="684"/>
      <c r="V195" s="684"/>
      <c r="W195" s="684"/>
      <c r="X195" s="684"/>
      <c r="Y195" s="684"/>
      <c r="Z195" s="684"/>
      <c r="AA195" s="54"/>
      <c r="AB195" s="54"/>
      <c r="AC195" s="54"/>
    </row>
    <row r="196" spans="1:68" ht="16.5" customHeight="1" x14ac:dyDescent="0.25">
      <c r="A196" s="685" t="s">
        <v>337</v>
      </c>
      <c r="B196" s="685"/>
      <c r="C196" s="685"/>
      <c r="D196" s="685"/>
      <c r="E196" s="685"/>
      <c r="F196" s="685"/>
      <c r="G196" s="685"/>
      <c r="H196" s="685"/>
      <c r="I196" s="685"/>
      <c r="J196" s="685"/>
      <c r="K196" s="685"/>
      <c r="L196" s="685"/>
      <c r="M196" s="685"/>
      <c r="N196" s="685"/>
      <c r="O196" s="685"/>
      <c r="P196" s="685"/>
      <c r="Q196" s="685"/>
      <c r="R196" s="685"/>
      <c r="S196" s="685"/>
      <c r="T196" s="685"/>
      <c r="U196" s="685"/>
      <c r="V196" s="685"/>
      <c r="W196" s="685"/>
      <c r="X196" s="685"/>
      <c r="Y196" s="685"/>
      <c r="Z196" s="685"/>
      <c r="AA196" s="65"/>
      <c r="AB196" s="65"/>
      <c r="AC196" s="79"/>
    </row>
    <row r="197" spans="1:68" ht="14.25" customHeight="1" x14ac:dyDescent="0.25">
      <c r="A197" s="686" t="s">
        <v>129</v>
      </c>
      <c r="B197" s="686"/>
      <c r="C197" s="686"/>
      <c r="D197" s="686"/>
      <c r="E197" s="686"/>
      <c r="F197" s="686"/>
      <c r="G197" s="686"/>
      <c r="H197" s="686"/>
      <c r="I197" s="686"/>
      <c r="J197" s="686"/>
      <c r="K197" s="686"/>
      <c r="L197" s="686"/>
      <c r="M197" s="686"/>
      <c r="N197" s="686"/>
      <c r="O197" s="686"/>
      <c r="P197" s="686"/>
      <c r="Q197" s="686"/>
      <c r="R197" s="686"/>
      <c r="S197" s="686"/>
      <c r="T197" s="686"/>
      <c r="U197" s="686"/>
      <c r="V197" s="686"/>
      <c r="W197" s="686"/>
      <c r="X197" s="686"/>
      <c r="Y197" s="686"/>
      <c r="Z197" s="686"/>
      <c r="AA197" s="66"/>
      <c r="AB197" s="66"/>
      <c r="AC197" s="80"/>
    </row>
    <row r="198" spans="1:68" ht="27" customHeight="1" x14ac:dyDescent="0.25">
      <c r="A198" s="63" t="s">
        <v>338</v>
      </c>
      <c r="B198" s="63" t="s">
        <v>339</v>
      </c>
      <c r="C198" s="36">
        <v>4301012340</v>
      </c>
      <c r="D198" s="687">
        <v>4680115888760</v>
      </c>
      <c r="E198" s="687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89"/>
      <c r="R198" s="689"/>
      <c r="S198" s="689"/>
      <c r="T198" s="69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 x14ac:dyDescent="0.25">
      <c r="A199" s="63" t="s">
        <v>341</v>
      </c>
      <c r="B199" s="63" t="s">
        <v>342</v>
      </c>
      <c r="C199" s="36">
        <v>4301012341</v>
      </c>
      <c r="D199" s="687">
        <v>4680115888807</v>
      </c>
      <c r="E199" s="68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89"/>
      <c r="R199" s="689"/>
      <c r="S199" s="689"/>
      <c r="T199" s="69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4301012342</v>
      </c>
      <c r="D200" s="687">
        <v>4680115888852</v>
      </c>
      <c r="E200" s="687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89"/>
      <c r="R200" s="689"/>
      <c r="S200" s="689"/>
      <c r="T200" s="69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4301011223</v>
      </c>
      <c r="D201" s="687">
        <v>4607091383423</v>
      </c>
      <c r="E201" s="687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89"/>
      <c r="R201" s="689"/>
      <c r="S201" s="689"/>
      <c r="T201" s="69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 x14ac:dyDescent="0.25">
      <c r="A202" s="63" t="s">
        <v>349</v>
      </c>
      <c r="B202" s="63" t="s">
        <v>350</v>
      </c>
      <c r="C202" s="36">
        <v>4301012370</v>
      </c>
      <c r="D202" s="687">
        <v>4680115886957</v>
      </c>
      <c r="E202" s="68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89"/>
      <c r="R202" s="689"/>
      <c r="S202" s="689"/>
      <c r="T202" s="69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 x14ac:dyDescent="0.25">
      <c r="A203" s="63" t="s">
        <v>352</v>
      </c>
      <c r="B203" s="63" t="s">
        <v>353</v>
      </c>
      <c r="C203" s="36">
        <v>4301012098</v>
      </c>
      <c r="D203" s="687">
        <v>4680115885660</v>
      </c>
      <c r="E203" s="68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8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89"/>
      <c r="R203" s="689"/>
      <c r="S203" s="689"/>
      <c r="T203" s="69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4301012369</v>
      </c>
      <c r="D204" s="687">
        <v>4680115886773</v>
      </c>
      <c r="E204" s="68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89"/>
      <c r="R204" s="689"/>
      <c r="S204" s="689"/>
      <c r="T204" s="69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x14ac:dyDescent="0.2">
      <c r="A205" s="695"/>
      <c r="B205" s="695"/>
      <c r="C205" s="695"/>
      <c r="D205" s="695"/>
      <c r="E205" s="695"/>
      <c r="F205" s="695"/>
      <c r="G205" s="695"/>
      <c r="H205" s="695"/>
      <c r="I205" s="695"/>
      <c r="J205" s="695"/>
      <c r="K205" s="695"/>
      <c r="L205" s="695"/>
      <c r="M205" s="695"/>
      <c r="N205" s="695"/>
      <c r="O205" s="696"/>
      <c r="P205" s="692" t="s">
        <v>40</v>
      </c>
      <c r="Q205" s="693"/>
      <c r="R205" s="693"/>
      <c r="S205" s="693"/>
      <c r="T205" s="693"/>
      <c r="U205" s="693"/>
      <c r="V205" s="69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95"/>
      <c r="B206" s="695"/>
      <c r="C206" s="695"/>
      <c r="D206" s="695"/>
      <c r="E206" s="695"/>
      <c r="F206" s="695"/>
      <c r="G206" s="695"/>
      <c r="H206" s="695"/>
      <c r="I206" s="695"/>
      <c r="J206" s="695"/>
      <c r="K206" s="695"/>
      <c r="L206" s="695"/>
      <c r="M206" s="695"/>
      <c r="N206" s="695"/>
      <c r="O206" s="696"/>
      <c r="P206" s="692" t="s">
        <v>40</v>
      </c>
      <c r="Q206" s="693"/>
      <c r="R206" s="693"/>
      <c r="S206" s="693"/>
      <c r="T206" s="693"/>
      <c r="U206" s="693"/>
      <c r="V206" s="69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85" t="s">
        <v>358</v>
      </c>
      <c r="B207" s="685"/>
      <c r="C207" s="685"/>
      <c r="D207" s="685"/>
      <c r="E207" s="685"/>
      <c r="F207" s="685"/>
      <c r="G207" s="685"/>
      <c r="H207" s="685"/>
      <c r="I207" s="685"/>
      <c r="J207" s="685"/>
      <c r="K207" s="685"/>
      <c r="L207" s="685"/>
      <c r="M207" s="685"/>
      <c r="N207" s="685"/>
      <c r="O207" s="685"/>
      <c r="P207" s="685"/>
      <c r="Q207" s="685"/>
      <c r="R207" s="685"/>
      <c r="S207" s="685"/>
      <c r="T207" s="685"/>
      <c r="U207" s="685"/>
      <c r="V207" s="685"/>
      <c r="W207" s="685"/>
      <c r="X207" s="685"/>
      <c r="Y207" s="685"/>
      <c r="Z207" s="685"/>
      <c r="AA207" s="65"/>
      <c r="AB207" s="65"/>
      <c r="AC207" s="79"/>
    </row>
    <row r="208" spans="1:68" ht="14.25" customHeight="1" x14ac:dyDescent="0.25">
      <c r="A208" s="686" t="s">
        <v>166</v>
      </c>
      <c r="B208" s="686"/>
      <c r="C208" s="686"/>
      <c r="D208" s="686"/>
      <c r="E208" s="686"/>
      <c r="F208" s="686"/>
      <c r="G208" s="686"/>
      <c r="H208" s="686"/>
      <c r="I208" s="686"/>
      <c r="J208" s="686"/>
      <c r="K208" s="686"/>
      <c r="L208" s="686"/>
      <c r="M208" s="686"/>
      <c r="N208" s="686"/>
      <c r="O208" s="686"/>
      <c r="P208" s="686"/>
      <c r="Q208" s="686"/>
      <c r="R208" s="686"/>
      <c r="S208" s="686"/>
      <c r="T208" s="686"/>
      <c r="U208" s="686"/>
      <c r="V208" s="686"/>
      <c r="W208" s="686"/>
      <c r="X208" s="686"/>
      <c r="Y208" s="686"/>
      <c r="Z208" s="686"/>
      <c r="AA208" s="66"/>
      <c r="AB208" s="66"/>
      <c r="AC208" s="80"/>
    </row>
    <row r="209" spans="1:68" ht="27" customHeight="1" x14ac:dyDescent="0.25">
      <c r="A209" s="63" t="s">
        <v>359</v>
      </c>
      <c r="B209" s="63" t="s">
        <v>360</v>
      </c>
      <c r="C209" s="36">
        <v>4301020323</v>
      </c>
      <c r="D209" s="687">
        <v>4680115886223</v>
      </c>
      <c r="E209" s="68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89"/>
      <c r="R209" s="689"/>
      <c r="S209" s="689"/>
      <c r="T209" s="69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95"/>
      <c r="B210" s="695"/>
      <c r="C210" s="695"/>
      <c r="D210" s="695"/>
      <c r="E210" s="695"/>
      <c r="F210" s="695"/>
      <c r="G210" s="695"/>
      <c r="H210" s="695"/>
      <c r="I210" s="695"/>
      <c r="J210" s="695"/>
      <c r="K210" s="695"/>
      <c r="L210" s="695"/>
      <c r="M210" s="695"/>
      <c r="N210" s="695"/>
      <c r="O210" s="696"/>
      <c r="P210" s="692" t="s">
        <v>40</v>
      </c>
      <c r="Q210" s="693"/>
      <c r="R210" s="693"/>
      <c r="S210" s="693"/>
      <c r="T210" s="693"/>
      <c r="U210" s="693"/>
      <c r="V210" s="69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95"/>
      <c r="B211" s="695"/>
      <c r="C211" s="695"/>
      <c r="D211" s="695"/>
      <c r="E211" s="695"/>
      <c r="F211" s="695"/>
      <c r="G211" s="695"/>
      <c r="H211" s="695"/>
      <c r="I211" s="695"/>
      <c r="J211" s="695"/>
      <c r="K211" s="695"/>
      <c r="L211" s="695"/>
      <c r="M211" s="695"/>
      <c r="N211" s="695"/>
      <c r="O211" s="696"/>
      <c r="P211" s="692" t="s">
        <v>40</v>
      </c>
      <c r="Q211" s="693"/>
      <c r="R211" s="693"/>
      <c r="S211" s="693"/>
      <c r="T211" s="693"/>
      <c r="U211" s="693"/>
      <c r="V211" s="69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86" t="s">
        <v>77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87">
        <v>4680115880993</v>
      </c>
      <c r="E213" s="68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89"/>
      <c r="R213" s="689"/>
      <c r="S213" s="689"/>
      <c r="T213" s="69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87">
        <v>4680115881761</v>
      </c>
      <c r="E214" s="68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89"/>
      <c r="R214" s="689"/>
      <c r="S214" s="689"/>
      <c r="T214" s="69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87">
        <v>4680115881563</v>
      </c>
      <c r="E215" s="68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89"/>
      <c r="R215" s="689"/>
      <c r="S215" s="689"/>
      <c r="T215" s="69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87">
        <v>4680115887565</v>
      </c>
      <c r="E216" s="68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89"/>
      <c r="R216" s="689"/>
      <c r="S216" s="689"/>
      <c r="T216" s="69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87">
        <v>4680115880986</v>
      </c>
      <c r="E217" s="68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89"/>
      <c r="R217" s="689"/>
      <c r="S217" s="689"/>
      <c r="T217" s="69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4301031443</v>
      </c>
      <c r="D218" s="687">
        <v>4680115887213</v>
      </c>
      <c r="E218" s="68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89"/>
      <c r="R218" s="689"/>
      <c r="S218" s="689"/>
      <c r="T218" s="69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87">
        <v>4680115881785</v>
      </c>
      <c r="E219" s="68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89"/>
      <c r="R219" s="689"/>
      <c r="S219" s="689"/>
      <c r="T219" s="69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4301031499</v>
      </c>
      <c r="D220" s="687">
        <v>4680115888432</v>
      </c>
      <c r="E220" s="68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89"/>
      <c r="R220" s="689"/>
      <c r="S220" s="689"/>
      <c r="T220" s="69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4301031427</v>
      </c>
      <c r="D221" s="687">
        <v>4680115888104</v>
      </c>
      <c r="E221" s="68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89"/>
      <c r="R221" s="689"/>
      <c r="S221" s="689"/>
      <c r="T221" s="69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4301031399</v>
      </c>
      <c r="D222" s="687">
        <v>4680115886537</v>
      </c>
      <c r="E222" s="68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89"/>
      <c r="R222" s="689"/>
      <c r="S222" s="689"/>
      <c r="T222" s="69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87">
        <v>4680115887596</v>
      </c>
      <c r="E223" s="68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89"/>
      <c r="R223" s="689"/>
      <c r="S223" s="689"/>
      <c r="T223" s="69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87">
        <v>4680115881679</v>
      </c>
      <c r="E224" s="68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89"/>
      <c r="R224" s="689"/>
      <c r="S224" s="689"/>
      <c r="T224" s="69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395</v>
      </c>
      <c r="B225" s="63" t="s">
        <v>396</v>
      </c>
      <c r="C225" s="36">
        <v>4301031158</v>
      </c>
      <c r="D225" s="687">
        <v>4680115880191</v>
      </c>
      <c r="E225" s="68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89"/>
      <c r="R225" s="689"/>
      <c r="S225" s="689"/>
      <c r="T225" s="69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397</v>
      </c>
      <c r="B226" s="63" t="s">
        <v>398</v>
      </c>
      <c r="C226" s="36">
        <v>4301031245</v>
      </c>
      <c r="D226" s="687">
        <v>4680115883963</v>
      </c>
      <c r="E226" s="68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89"/>
      <c r="R226" s="689"/>
      <c r="S226" s="689"/>
      <c r="T226" s="69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95"/>
      <c r="B227" s="695"/>
      <c r="C227" s="695"/>
      <c r="D227" s="695"/>
      <c r="E227" s="695"/>
      <c r="F227" s="695"/>
      <c r="G227" s="695"/>
      <c r="H227" s="695"/>
      <c r="I227" s="695"/>
      <c r="J227" s="695"/>
      <c r="K227" s="695"/>
      <c r="L227" s="695"/>
      <c r="M227" s="695"/>
      <c r="N227" s="695"/>
      <c r="O227" s="696"/>
      <c r="P227" s="692" t="s">
        <v>40</v>
      </c>
      <c r="Q227" s="693"/>
      <c r="R227" s="693"/>
      <c r="S227" s="693"/>
      <c r="T227" s="693"/>
      <c r="U227" s="693"/>
      <c r="V227" s="69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695"/>
      <c r="B228" s="695"/>
      <c r="C228" s="695"/>
      <c r="D228" s="695"/>
      <c r="E228" s="695"/>
      <c r="F228" s="695"/>
      <c r="G228" s="695"/>
      <c r="H228" s="695"/>
      <c r="I228" s="695"/>
      <c r="J228" s="695"/>
      <c r="K228" s="695"/>
      <c r="L228" s="695"/>
      <c r="M228" s="695"/>
      <c r="N228" s="695"/>
      <c r="O228" s="696"/>
      <c r="P228" s="692" t="s">
        <v>40</v>
      </c>
      <c r="Q228" s="693"/>
      <c r="R228" s="693"/>
      <c r="S228" s="693"/>
      <c r="T228" s="693"/>
      <c r="U228" s="693"/>
      <c r="V228" s="694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 x14ac:dyDescent="0.25">
      <c r="A229" s="686" t="s">
        <v>86</v>
      </c>
      <c r="B229" s="686"/>
      <c r="C229" s="686"/>
      <c r="D229" s="686"/>
      <c r="E229" s="686"/>
      <c r="F229" s="686"/>
      <c r="G229" s="686"/>
      <c r="H229" s="686"/>
      <c r="I229" s="686"/>
      <c r="J229" s="686"/>
      <c r="K229" s="686"/>
      <c r="L229" s="686"/>
      <c r="M229" s="686"/>
      <c r="N229" s="686"/>
      <c r="O229" s="686"/>
      <c r="P229" s="686"/>
      <c r="Q229" s="686"/>
      <c r="R229" s="686"/>
      <c r="S229" s="686"/>
      <c r="T229" s="686"/>
      <c r="U229" s="686"/>
      <c r="V229" s="686"/>
      <c r="W229" s="686"/>
      <c r="X229" s="686"/>
      <c r="Y229" s="686"/>
      <c r="Z229" s="686"/>
      <c r="AA229" s="66"/>
      <c r="AB229" s="66"/>
      <c r="AC229" s="80"/>
    </row>
    <row r="230" spans="1:68" ht="27" customHeight="1" x14ac:dyDescent="0.25">
      <c r="A230" s="63" t="s">
        <v>400</v>
      </c>
      <c r="B230" s="63" t="s">
        <v>401</v>
      </c>
      <c r="C230" s="36">
        <v>4301052178</v>
      </c>
      <c r="D230" s="687">
        <v>4680115888975</v>
      </c>
      <c r="E230" s="68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89"/>
      <c r="R230" s="689"/>
      <c r="S230" s="689"/>
      <c r="T230" s="69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87">
        <v>4680115888692</v>
      </c>
      <c r="E231" s="68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9"/>
      <c r="R231" s="689"/>
      <c r="S231" s="689"/>
      <c r="T231" s="69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87">
        <v>4680115888722</v>
      </c>
      <c r="E232" s="68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9"/>
      <c r="R232" s="689"/>
      <c r="S232" s="689"/>
      <c r="T232" s="69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87">
        <v>4680115888951</v>
      </c>
      <c r="E233" s="68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9"/>
      <c r="R233" s="689"/>
      <c r="S233" s="689"/>
      <c r="T233" s="69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87">
        <v>4680115888982</v>
      </c>
      <c r="E234" s="68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9"/>
      <c r="R234" s="689"/>
      <c r="S234" s="689"/>
      <c r="T234" s="69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95"/>
      <c r="B235" s="695"/>
      <c r="C235" s="695"/>
      <c r="D235" s="695"/>
      <c r="E235" s="695"/>
      <c r="F235" s="695"/>
      <c r="G235" s="695"/>
      <c r="H235" s="695"/>
      <c r="I235" s="695"/>
      <c r="J235" s="695"/>
      <c r="K235" s="695"/>
      <c r="L235" s="695"/>
      <c r="M235" s="695"/>
      <c r="N235" s="695"/>
      <c r="O235" s="696"/>
      <c r="P235" s="692" t="s">
        <v>40</v>
      </c>
      <c r="Q235" s="693"/>
      <c r="R235" s="693"/>
      <c r="S235" s="693"/>
      <c r="T235" s="693"/>
      <c r="U235" s="693"/>
      <c r="V235" s="69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95"/>
      <c r="B236" s="695"/>
      <c r="C236" s="695"/>
      <c r="D236" s="695"/>
      <c r="E236" s="695"/>
      <c r="F236" s="695"/>
      <c r="G236" s="695"/>
      <c r="H236" s="695"/>
      <c r="I236" s="695"/>
      <c r="J236" s="695"/>
      <c r="K236" s="695"/>
      <c r="L236" s="695"/>
      <c r="M236" s="695"/>
      <c r="N236" s="695"/>
      <c r="O236" s="696"/>
      <c r="P236" s="692" t="s">
        <v>40</v>
      </c>
      <c r="Q236" s="693"/>
      <c r="R236" s="693"/>
      <c r="S236" s="693"/>
      <c r="T236" s="693"/>
      <c r="U236" s="693"/>
      <c r="V236" s="69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86" t="s">
        <v>104</v>
      </c>
      <c r="B237" s="686"/>
      <c r="C237" s="686"/>
      <c r="D237" s="686"/>
      <c r="E237" s="686"/>
      <c r="F237" s="686"/>
      <c r="G237" s="686"/>
      <c r="H237" s="686"/>
      <c r="I237" s="686"/>
      <c r="J237" s="686"/>
      <c r="K237" s="686"/>
      <c r="L237" s="686"/>
      <c r="M237" s="686"/>
      <c r="N237" s="686"/>
      <c r="O237" s="686"/>
      <c r="P237" s="686"/>
      <c r="Q237" s="686"/>
      <c r="R237" s="686"/>
      <c r="S237" s="686"/>
      <c r="T237" s="686"/>
      <c r="U237" s="686"/>
      <c r="V237" s="686"/>
      <c r="W237" s="686"/>
      <c r="X237" s="686"/>
      <c r="Y237" s="686"/>
      <c r="Z237" s="686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7">
        <v>4680115886780</v>
      </c>
      <c r="E238" s="68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9"/>
      <c r="R238" s="689"/>
      <c r="S238" s="689"/>
      <c r="T238" s="69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7">
        <v>4680115886742</v>
      </c>
      <c r="E239" s="68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9"/>
      <c r="R239" s="689"/>
      <c r="S239" s="689"/>
      <c r="T239" s="69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87">
        <v>4680115886766</v>
      </c>
      <c r="E240" s="68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9"/>
      <c r="R240" s="689"/>
      <c r="S240" s="689"/>
      <c r="T240" s="69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95"/>
      <c r="B241" s="695"/>
      <c r="C241" s="695"/>
      <c r="D241" s="695"/>
      <c r="E241" s="695"/>
      <c r="F241" s="695"/>
      <c r="G241" s="695"/>
      <c r="H241" s="695"/>
      <c r="I241" s="695"/>
      <c r="J241" s="695"/>
      <c r="K241" s="695"/>
      <c r="L241" s="695"/>
      <c r="M241" s="695"/>
      <c r="N241" s="695"/>
      <c r="O241" s="696"/>
      <c r="P241" s="692" t="s">
        <v>40</v>
      </c>
      <c r="Q241" s="693"/>
      <c r="R241" s="693"/>
      <c r="S241" s="693"/>
      <c r="T241" s="693"/>
      <c r="U241" s="693"/>
      <c r="V241" s="69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95"/>
      <c r="B242" s="695"/>
      <c r="C242" s="695"/>
      <c r="D242" s="695"/>
      <c r="E242" s="695"/>
      <c r="F242" s="695"/>
      <c r="G242" s="695"/>
      <c r="H242" s="695"/>
      <c r="I242" s="695"/>
      <c r="J242" s="695"/>
      <c r="K242" s="695"/>
      <c r="L242" s="695"/>
      <c r="M242" s="695"/>
      <c r="N242" s="695"/>
      <c r="O242" s="696"/>
      <c r="P242" s="692" t="s">
        <v>40</v>
      </c>
      <c r="Q242" s="693"/>
      <c r="R242" s="693"/>
      <c r="S242" s="693"/>
      <c r="T242" s="693"/>
      <c r="U242" s="693"/>
      <c r="V242" s="69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86" t="s">
        <v>422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87">
        <v>4680115886797</v>
      </c>
      <c r="E244" s="68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9"/>
      <c r="R244" s="689"/>
      <c r="S244" s="689"/>
      <c r="T244" s="69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95"/>
      <c r="B245" s="695"/>
      <c r="C245" s="695"/>
      <c r="D245" s="695"/>
      <c r="E245" s="695"/>
      <c r="F245" s="695"/>
      <c r="G245" s="695"/>
      <c r="H245" s="695"/>
      <c r="I245" s="695"/>
      <c r="J245" s="695"/>
      <c r="K245" s="695"/>
      <c r="L245" s="695"/>
      <c r="M245" s="695"/>
      <c r="N245" s="695"/>
      <c r="O245" s="696"/>
      <c r="P245" s="692" t="s">
        <v>40</v>
      </c>
      <c r="Q245" s="693"/>
      <c r="R245" s="693"/>
      <c r="S245" s="693"/>
      <c r="T245" s="693"/>
      <c r="U245" s="693"/>
      <c r="V245" s="69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95"/>
      <c r="B246" s="695"/>
      <c r="C246" s="695"/>
      <c r="D246" s="695"/>
      <c r="E246" s="695"/>
      <c r="F246" s="695"/>
      <c r="G246" s="695"/>
      <c r="H246" s="695"/>
      <c r="I246" s="695"/>
      <c r="J246" s="695"/>
      <c r="K246" s="695"/>
      <c r="L246" s="695"/>
      <c r="M246" s="695"/>
      <c r="N246" s="695"/>
      <c r="O246" s="696"/>
      <c r="P246" s="692" t="s">
        <v>40</v>
      </c>
      <c r="Q246" s="693"/>
      <c r="R246" s="693"/>
      <c r="S246" s="693"/>
      <c r="T246" s="693"/>
      <c r="U246" s="693"/>
      <c r="V246" s="69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85" t="s">
        <v>425</v>
      </c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5"/>
      <c r="P247" s="685"/>
      <c r="Q247" s="685"/>
      <c r="R247" s="685"/>
      <c r="S247" s="685"/>
      <c r="T247" s="685"/>
      <c r="U247" s="685"/>
      <c r="V247" s="685"/>
      <c r="W247" s="685"/>
      <c r="X247" s="685"/>
      <c r="Y247" s="685"/>
      <c r="Z247" s="685"/>
      <c r="AA247" s="65"/>
      <c r="AB247" s="65"/>
      <c r="AC247" s="79"/>
    </row>
    <row r="248" spans="1:68" ht="14.25" customHeight="1" x14ac:dyDescent="0.25">
      <c r="A248" s="686" t="s">
        <v>129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87">
        <v>4680115881402</v>
      </c>
      <c r="E249" s="68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9"/>
      <c r="R249" s="689"/>
      <c r="S249" s="689"/>
      <c r="T249" s="69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87">
        <v>4680115881396</v>
      </c>
      <c r="E250" s="68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9"/>
      <c r="R250" s="689"/>
      <c r="S250" s="689"/>
      <c r="T250" s="69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5"/>
      <c r="B251" s="695"/>
      <c r="C251" s="695"/>
      <c r="D251" s="695"/>
      <c r="E251" s="695"/>
      <c r="F251" s="695"/>
      <c r="G251" s="695"/>
      <c r="H251" s="695"/>
      <c r="I251" s="695"/>
      <c r="J251" s="695"/>
      <c r="K251" s="695"/>
      <c r="L251" s="695"/>
      <c r="M251" s="695"/>
      <c r="N251" s="695"/>
      <c r="O251" s="696"/>
      <c r="P251" s="692" t="s">
        <v>40</v>
      </c>
      <c r="Q251" s="693"/>
      <c r="R251" s="693"/>
      <c r="S251" s="693"/>
      <c r="T251" s="693"/>
      <c r="U251" s="693"/>
      <c r="V251" s="69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5"/>
      <c r="B252" s="695"/>
      <c r="C252" s="695"/>
      <c r="D252" s="695"/>
      <c r="E252" s="695"/>
      <c r="F252" s="695"/>
      <c r="G252" s="695"/>
      <c r="H252" s="695"/>
      <c r="I252" s="695"/>
      <c r="J252" s="695"/>
      <c r="K252" s="695"/>
      <c r="L252" s="695"/>
      <c r="M252" s="695"/>
      <c r="N252" s="695"/>
      <c r="O252" s="696"/>
      <c r="P252" s="692" t="s">
        <v>40</v>
      </c>
      <c r="Q252" s="693"/>
      <c r="R252" s="693"/>
      <c r="S252" s="693"/>
      <c r="T252" s="693"/>
      <c r="U252" s="693"/>
      <c r="V252" s="69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6" t="s">
        <v>166</v>
      </c>
      <c r="B253" s="686"/>
      <c r="C253" s="686"/>
      <c r="D253" s="686"/>
      <c r="E253" s="686"/>
      <c r="F253" s="686"/>
      <c r="G253" s="686"/>
      <c r="H253" s="686"/>
      <c r="I253" s="686"/>
      <c r="J253" s="686"/>
      <c r="K253" s="686"/>
      <c r="L253" s="686"/>
      <c r="M253" s="686"/>
      <c r="N253" s="686"/>
      <c r="O253" s="686"/>
      <c r="P253" s="686"/>
      <c r="Q253" s="686"/>
      <c r="R253" s="686"/>
      <c r="S253" s="686"/>
      <c r="T253" s="686"/>
      <c r="U253" s="686"/>
      <c r="V253" s="686"/>
      <c r="W253" s="686"/>
      <c r="X253" s="686"/>
      <c r="Y253" s="686"/>
      <c r="Z253" s="686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87">
        <v>4680115882935</v>
      </c>
      <c r="E254" s="68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9"/>
      <c r="R254" s="689"/>
      <c r="S254" s="689"/>
      <c r="T254" s="69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87">
        <v>4680115880764</v>
      </c>
      <c r="E255" s="68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9"/>
      <c r="R255" s="689"/>
      <c r="S255" s="689"/>
      <c r="T255" s="69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95"/>
      <c r="B256" s="695"/>
      <c r="C256" s="695"/>
      <c r="D256" s="695"/>
      <c r="E256" s="695"/>
      <c r="F256" s="695"/>
      <c r="G256" s="695"/>
      <c r="H256" s="695"/>
      <c r="I256" s="695"/>
      <c r="J256" s="695"/>
      <c r="K256" s="695"/>
      <c r="L256" s="695"/>
      <c r="M256" s="695"/>
      <c r="N256" s="695"/>
      <c r="O256" s="696"/>
      <c r="P256" s="692" t="s">
        <v>40</v>
      </c>
      <c r="Q256" s="693"/>
      <c r="R256" s="693"/>
      <c r="S256" s="693"/>
      <c r="T256" s="693"/>
      <c r="U256" s="693"/>
      <c r="V256" s="69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95"/>
      <c r="B257" s="695"/>
      <c r="C257" s="695"/>
      <c r="D257" s="695"/>
      <c r="E257" s="695"/>
      <c r="F257" s="695"/>
      <c r="G257" s="695"/>
      <c r="H257" s="695"/>
      <c r="I257" s="695"/>
      <c r="J257" s="695"/>
      <c r="K257" s="695"/>
      <c r="L257" s="695"/>
      <c r="M257" s="695"/>
      <c r="N257" s="695"/>
      <c r="O257" s="696"/>
      <c r="P257" s="692" t="s">
        <v>40</v>
      </c>
      <c r="Q257" s="693"/>
      <c r="R257" s="693"/>
      <c r="S257" s="693"/>
      <c r="T257" s="693"/>
      <c r="U257" s="693"/>
      <c r="V257" s="69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86" t="s">
        <v>77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86"/>
      <c r="P258" s="686"/>
      <c r="Q258" s="686"/>
      <c r="R258" s="686"/>
      <c r="S258" s="686"/>
      <c r="T258" s="686"/>
      <c r="U258" s="686"/>
      <c r="V258" s="686"/>
      <c r="W258" s="686"/>
      <c r="X258" s="686"/>
      <c r="Y258" s="686"/>
      <c r="Z258" s="686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7">
        <v>4680115882683</v>
      </c>
      <c r="E259" s="68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9"/>
      <c r="R259" s="689"/>
      <c r="S259" s="689"/>
      <c r="T259" s="690"/>
      <c r="U259" s="39" t="s">
        <v>46</v>
      </c>
      <c r="V259" s="39" t="s">
        <v>46</v>
      </c>
      <c r="W259" s="40" t="s">
        <v>0</v>
      </c>
      <c r="X259" s="58">
        <v>300</v>
      </c>
      <c r="Y259" s="55">
        <f t="shared" ref="Y259:Y266" si="32">IFERROR(IF(X259="",0,CEILING((X259/$H259),1)*$H259),"")</f>
        <v>302.40000000000003</v>
      </c>
      <c r="Z259" s="41">
        <f>IFERROR(IF(Y259=0,"",ROUNDUP(Y259/H259,0)*0.00902),"")</f>
        <v>0.50512000000000001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310.55555555555554</v>
      </c>
      <c r="BN259" s="78">
        <f t="shared" ref="BN259:BN266" si="34">IFERROR(Y259*I259/H259,"0")</f>
        <v>313.04000000000002</v>
      </c>
      <c r="BO259" s="78">
        <f t="shared" ref="BO259:BO266" si="35">IFERROR(1/J259*(X259/H259),"0")</f>
        <v>0.42087542087542085</v>
      </c>
      <c r="BP259" s="78">
        <f t="shared" ref="BP259:BP266" si="36">IFERROR(1/J259*(Y259/H259),"0")</f>
        <v>0.42424242424242425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7">
        <v>4680115882690</v>
      </c>
      <c r="E260" s="68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9"/>
      <c r="R260" s="689"/>
      <c r="S260" s="689"/>
      <c r="T260" s="690"/>
      <c r="U260" s="39" t="s">
        <v>46</v>
      </c>
      <c r="V260" s="39" t="s">
        <v>46</v>
      </c>
      <c r="W260" s="40" t="s">
        <v>0</v>
      </c>
      <c r="X260" s="58">
        <v>30</v>
      </c>
      <c r="Y260" s="55">
        <f t="shared" si="32"/>
        <v>32.400000000000006</v>
      </c>
      <c r="Z260" s="41">
        <f>IFERROR(IF(Y260=0,"",ROUNDUP(Y260/H260,0)*0.00902),"")</f>
        <v>5.4120000000000001E-2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31.05555555555555</v>
      </c>
      <c r="BN260" s="78">
        <f t="shared" si="34"/>
        <v>33.54</v>
      </c>
      <c r="BO260" s="78">
        <f t="shared" si="35"/>
        <v>4.208754208754209E-2</v>
      </c>
      <c r="BP260" s="78">
        <f t="shared" si="36"/>
        <v>4.5454545454545463E-2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7">
        <v>4680115882669</v>
      </c>
      <c r="E261" s="68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9"/>
      <c r="R261" s="689"/>
      <c r="S261" s="689"/>
      <c r="T261" s="690"/>
      <c r="U261" s="39" t="s">
        <v>46</v>
      </c>
      <c r="V261" s="39" t="s">
        <v>46</v>
      </c>
      <c r="W261" s="40" t="s">
        <v>0</v>
      </c>
      <c r="X261" s="58">
        <v>45</v>
      </c>
      <c r="Y261" s="55">
        <f t="shared" si="32"/>
        <v>48.6</v>
      </c>
      <c r="Z261" s="41">
        <f>IFERROR(IF(Y261=0,"",ROUNDUP(Y261/H261,0)*0.00902),"")</f>
        <v>8.1180000000000002E-2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46.583333333333329</v>
      </c>
      <c r="BN261" s="78">
        <f t="shared" si="34"/>
        <v>50.309999999999995</v>
      </c>
      <c r="BO261" s="78">
        <f t="shared" si="35"/>
        <v>6.3131313131313122E-2</v>
      </c>
      <c r="BP261" s="78">
        <f t="shared" si="36"/>
        <v>6.8181818181818177E-2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7">
        <v>4680115882676</v>
      </c>
      <c r="E262" s="68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9"/>
      <c r="R262" s="689"/>
      <c r="S262" s="689"/>
      <c r="T262" s="69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7">
        <v>4680115884014</v>
      </c>
      <c r="E263" s="68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9"/>
      <c r="R263" s="689"/>
      <c r="S263" s="689"/>
      <c r="T263" s="69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7">
        <v>4680115884007</v>
      </c>
      <c r="E264" s="68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9"/>
      <c r="R264" s="689"/>
      <c r="S264" s="689"/>
      <c r="T264" s="69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7">
        <v>4680115884038</v>
      </c>
      <c r="E265" s="68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9"/>
      <c r="R265" s="689"/>
      <c r="S265" s="689"/>
      <c r="T265" s="69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7">
        <v>4680115884021</v>
      </c>
      <c r="E266" s="68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9"/>
      <c r="R266" s="689"/>
      <c r="S266" s="689"/>
      <c r="T266" s="69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95"/>
      <c r="B267" s="695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696"/>
      <c r="P267" s="692" t="s">
        <v>40</v>
      </c>
      <c r="Q267" s="693"/>
      <c r="R267" s="693"/>
      <c r="S267" s="693"/>
      <c r="T267" s="693"/>
      <c r="U267" s="693"/>
      <c r="V267" s="69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69.444444444444443</v>
      </c>
      <c r="Y267" s="43">
        <f>IFERROR(Y259/H259,"0")+IFERROR(Y260/H260,"0")+IFERROR(Y261/H261,"0")+IFERROR(Y262/H262,"0")+IFERROR(Y263/H263,"0")+IFERROR(Y264/H264,"0")+IFERROR(Y265/H265,"0")+IFERROR(Y266/H266,"0")</f>
        <v>71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0.64041999999999999</v>
      </c>
      <c r="AA267" s="67"/>
      <c r="AB267" s="67"/>
      <c r="AC267" s="67"/>
    </row>
    <row r="268" spans="1:68" x14ac:dyDescent="0.2">
      <c r="A268" s="695"/>
      <c r="B268" s="695"/>
      <c r="C268" s="695"/>
      <c r="D268" s="695"/>
      <c r="E268" s="695"/>
      <c r="F268" s="695"/>
      <c r="G268" s="695"/>
      <c r="H268" s="695"/>
      <c r="I268" s="695"/>
      <c r="J268" s="695"/>
      <c r="K268" s="695"/>
      <c r="L268" s="695"/>
      <c r="M268" s="695"/>
      <c r="N268" s="695"/>
      <c r="O268" s="696"/>
      <c r="P268" s="692" t="s">
        <v>40</v>
      </c>
      <c r="Q268" s="693"/>
      <c r="R268" s="693"/>
      <c r="S268" s="693"/>
      <c r="T268" s="693"/>
      <c r="U268" s="693"/>
      <c r="V268" s="694"/>
      <c r="W268" s="42" t="s">
        <v>0</v>
      </c>
      <c r="X268" s="43">
        <f>IFERROR(SUM(X259:X266),"0")</f>
        <v>375</v>
      </c>
      <c r="Y268" s="43">
        <f>IFERROR(SUM(Y259:Y266),"0")</f>
        <v>383.40000000000009</v>
      </c>
      <c r="Z268" s="42"/>
      <c r="AA268" s="67"/>
      <c r="AB268" s="67"/>
      <c r="AC268" s="67"/>
    </row>
    <row r="269" spans="1:68" ht="14.25" customHeight="1" x14ac:dyDescent="0.25">
      <c r="A269" s="686" t="s">
        <v>86</v>
      </c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86"/>
      <c r="P269" s="686"/>
      <c r="Q269" s="686"/>
      <c r="R269" s="686"/>
      <c r="S269" s="686"/>
      <c r="T269" s="686"/>
      <c r="U269" s="686"/>
      <c r="V269" s="686"/>
      <c r="W269" s="686"/>
      <c r="X269" s="686"/>
      <c r="Y269" s="686"/>
      <c r="Z269" s="686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87">
        <v>4680115881594</v>
      </c>
      <c r="E270" s="68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9"/>
      <c r="R270" s="689"/>
      <c r="S270" s="689"/>
      <c r="T270" s="69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87">
        <v>4680115881617</v>
      </c>
      <c r="E271" s="68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9"/>
      <c r="R271" s="689"/>
      <c r="S271" s="689"/>
      <c r="T271" s="69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7">
        <v>4680115880573</v>
      </c>
      <c r="E272" s="68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9"/>
      <c r="R272" s="689"/>
      <c r="S272" s="689"/>
      <c r="T272" s="69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7">
        <v>4680115882195</v>
      </c>
      <c r="E273" s="68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9"/>
      <c r="R273" s="689"/>
      <c r="S273" s="689"/>
      <c r="T273" s="690"/>
      <c r="U273" s="39" t="s">
        <v>46</v>
      </c>
      <c r="V273" s="39" t="s">
        <v>46</v>
      </c>
      <c r="W273" s="40" t="s">
        <v>0</v>
      </c>
      <c r="X273" s="58">
        <v>8</v>
      </c>
      <c r="Y273" s="55">
        <f t="shared" si="37"/>
        <v>9.6</v>
      </c>
      <c r="Z273" s="41">
        <f>IFERROR(IF(Y273=0,"",ROUNDUP(Y273/H273,0)*0.00651),"")</f>
        <v>2.6040000000000001E-2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8.9</v>
      </c>
      <c r="BN273" s="78">
        <f t="shared" si="39"/>
        <v>10.68</v>
      </c>
      <c r="BO273" s="78">
        <f t="shared" si="40"/>
        <v>1.8315018315018316E-2</v>
      </c>
      <c r="BP273" s="78">
        <f t="shared" si="41"/>
        <v>2.197802197802198E-2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87">
        <v>4680115882607</v>
      </c>
      <c r="E274" s="68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9"/>
      <c r="R274" s="689"/>
      <c r="S274" s="689"/>
      <c r="T274" s="69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87">
        <v>4680115882607</v>
      </c>
      <c r="E275" s="68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9"/>
      <c r="R275" s="689"/>
      <c r="S275" s="689"/>
      <c r="T275" s="69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7">
        <v>4680115880092</v>
      </c>
      <c r="E276" s="68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9"/>
      <c r="R276" s="689"/>
      <c r="S276" s="689"/>
      <c r="T276" s="69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87">
        <v>4680115889064</v>
      </c>
      <c r="E277" s="68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9"/>
      <c r="R277" s="689"/>
      <c r="S277" s="689"/>
      <c r="T277" s="69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7">
        <v>4680115880221</v>
      </c>
      <c r="E278" s="68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9"/>
      <c r="R278" s="689"/>
      <c r="S278" s="689"/>
      <c r="T278" s="69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7">
        <v>4680115880504</v>
      </c>
      <c r="E279" s="68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9"/>
      <c r="R279" s="689"/>
      <c r="S279" s="689"/>
      <c r="T279" s="69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7">
        <v>4680115882164</v>
      </c>
      <c r="E280" s="68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9"/>
      <c r="R280" s="689"/>
      <c r="S280" s="689"/>
      <c r="T280" s="69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87">
        <v>4680115888340</v>
      </c>
      <c r="E281" s="68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9"/>
      <c r="R281" s="689"/>
      <c r="S281" s="689"/>
      <c r="T281" s="69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5"/>
      <c r="B282" s="695"/>
      <c r="C282" s="695"/>
      <c r="D282" s="695"/>
      <c r="E282" s="695"/>
      <c r="F282" s="695"/>
      <c r="G282" s="695"/>
      <c r="H282" s="695"/>
      <c r="I282" s="695"/>
      <c r="J282" s="695"/>
      <c r="K282" s="695"/>
      <c r="L282" s="695"/>
      <c r="M282" s="695"/>
      <c r="N282" s="695"/>
      <c r="O282" s="696"/>
      <c r="P282" s="692" t="s">
        <v>40</v>
      </c>
      <c r="Q282" s="693"/>
      <c r="R282" s="693"/>
      <c r="S282" s="693"/>
      <c r="T282" s="693"/>
      <c r="U282" s="693"/>
      <c r="V282" s="69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3.3333333333333335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2.6040000000000001E-2</v>
      </c>
      <c r="AA282" s="67"/>
      <c r="AB282" s="67"/>
      <c r="AC282" s="67"/>
    </row>
    <row r="283" spans="1:68" x14ac:dyDescent="0.2">
      <c r="A283" s="695"/>
      <c r="B283" s="695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696"/>
      <c r="P283" s="692" t="s">
        <v>40</v>
      </c>
      <c r="Q283" s="693"/>
      <c r="R283" s="693"/>
      <c r="S283" s="693"/>
      <c r="T283" s="693"/>
      <c r="U283" s="693"/>
      <c r="V283" s="694"/>
      <c r="W283" s="42" t="s">
        <v>0</v>
      </c>
      <c r="X283" s="43">
        <f>IFERROR(SUM(X270:X281),"0")</f>
        <v>8</v>
      </c>
      <c r="Y283" s="43">
        <f>IFERROR(SUM(Y270:Y281),"0")</f>
        <v>9.6</v>
      </c>
      <c r="Z283" s="42"/>
      <c r="AA283" s="67"/>
      <c r="AB283" s="67"/>
      <c r="AC283" s="67"/>
    </row>
    <row r="284" spans="1:68" ht="14.25" customHeight="1" x14ac:dyDescent="0.25">
      <c r="A284" s="686" t="s">
        <v>183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87">
        <v>4680115880818</v>
      </c>
      <c r="E285" s="68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9"/>
      <c r="R285" s="689"/>
      <c r="S285" s="689"/>
      <c r="T285" s="69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87">
        <v>4680115880801</v>
      </c>
      <c r="E286" s="68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9"/>
      <c r="R286" s="689"/>
      <c r="S286" s="689"/>
      <c r="T286" s="69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95"/>
      <c r="B287" s="695"/>
      <c r="C287" s="695"/>
      <c r="D287" s="695"/>
      <c r="E287" s="695"/>
      <c r="F287" s="695"/>
      <c r="G287" s="695"/>
      <c r="H287" s="695"/>
      <c r="I287" s="695"/>
      <c r="J287" s="695"/>
      <c r="K287" s="695"/>
      <c r="L287" s="695"/>
      <c r="M287" s="695"/>
      <c r="N287" s="695"/>
      <c r="O287" s="696"/>
      <c r="P287" s="692" t="s">
        <v>40</v>
      </c>
      <c r="Q287" s="693"/>
      <c r="R287" s="693"/>
      <c r="S287" s="693"/>
      <c r="T287" s="693"/>
      <c r="U287" s="693"/>
      <c r="V287" s="69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95"/>
      <c r="B288" s="695"/>
      <c r="C288" s="695"/>
      <c r="D288" s="695"/>
      <c r="E288" s="695"/>
      <c r="F288" s="695"/>
      <c r="G288" s="695"/>
      <c r="H288" s="695"/>
      <c r="I288" s="695"/>
      <c r="J288" s="695"/>
      <c r="K288" s="695"/>
      <c r="L288" s="695"/>
      <c r="M288" s="695"/>
      <c r="N288" s="695"/>
      <c r="O288" s="696"/>
      <c r="P288" s="692" t="s">
        <v>40</v>
      </c>
      <c r="Q288" s="693"/>
      <c r="R288" s="693"/>
      <c r="S288" s="693"/>
      <c r="T288" s="693"/>
      <c r="U288" s="693"/>
      <c r="V288" s="69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85" t="s">
        <v>493</v>
      </c>
      <c r="B289" s="685"/>
      <c r="C289" s="685"/>
      <c r="D289" s="685"/>
      <c r="E289" s="685"/>
      <c r="F289" s="685"/>
      <c r="G289" s="685"/>
      <c r="H289" s="685"/>
      <c r="I289" s="685"/>
      <c r="J289" s="685"/>
      <c r="K289" s="685"/>
      <c r="L289" s="685"/>
      <c r="M289" s="685"/>
      <c r="N289" s="685"/>
      <c r="O289" s="685"/>
      <c r="P289" s="685"/>
      <c r="Q289" s="685"/>
      <c r="R289" s="685"/>
      <c r="S289" s="685"/>
      <c r="T289" s="685"/>
      <c r="U289" s="685"/>
      <c r="V289" s="685"/>
      <c r="W289" s="685"/>
      <c r="X289" s="685"/>
      <c r="Y289" s="685"/>
      <c r="Z289" s="685"/>
      <c r="AA289" s="65"/>
      <c r="AB289" s="65"/>
      <c r="AC289" s="79"/>
    </row>
    <row r="290" spans="1:68" ht="14.25" customHeight="1" x14ac:dyDescent="0.25">
      <c r="A290" s="686" t="s">
        <v>129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86"/>
      <c r="P290" s="686"/>
      <c r="Q290" s="686"/>
      <c r="R290" s="686"/>
      <c r="S290" s="686"/>
      <c r="T290" s="686"/>
      <c r="U290" s="686"/>
      <c r="V290" s="686"/>
      <c r="W290" s="686"/>
      <c r="X290" s="686"/>
      <c r="Y290" s="686"/>
      <c r="Z290" s="686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87">
        <v>4680115884137</v>
      </c>
      <c r="E291" s="68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9"/>
      <c r="R291" s="689"/>
      <c r="S291" s="689"/>
      <c r="T291" s="69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87">
        <v>4680115884236</v>
      </c>
      <c r="E292" s="68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9"/>
      <c r="R292" s="689"/>
      <c r="S292" s="689"/>
      <c r="T292" s="69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87">
        <v>4680115884175</v>
      </c>
      <c r="E293" s="68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9"/>
      <c r="R293" s="689"/>
      <c r="S293" s="689"/>
      <c r="T293" s="69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7">
        <v>4680115884144</v>
      </c>
      <c r="E294" s="68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9"/>
      <c r="R294" s="689"/>
      <c r="S294" s="689"/>
      <c r="T294" s="69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87">
        <v>4680115886551</v>
      </c>
      <c r="E295" s="68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9"/>
      <c r="R295" s="689"/>
      <c r="S295" s="689"/>
      <c r="T295" s="69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87">
        <v>4680115887282</v>
      </c>
      <c r="E296" s="68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9"/>
      <c r="R296" s="689"/>
      <c r="S296" s="689"/>
      <c r="T296" s="69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7">
        <v>4680115884205</v>
      </c>
      <c r="E297" s="68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9"/>
      <c r="R297" s="689"/>
      <c r="S297" s="689"/>
      <c r="T297" s="69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x14ac:dyDescent="0.2">
      <c r="A298" s="695"/>
      <c r="B298" s="695"/>
      <c r="C298" s="695"/>
      <c r="D298" s="695"/>
      <c r="E298" s="695"/>
      <c r="F298" s="695"/>
      <c r="G298" s="695"/>
      <c r="H298" s="695"/>
      <c r="I298" s="695"/>
      <c r="J298" s="695"/>
      <c r="K298" s="695"/>
      <c r="L298" s="695"/>
      <c r="M298" s="695"/>
      <c r="N298" s="695"/>
      <c r="O298" s="696"/>
      <c r="P298" s="692" t="s">
        <v>40</v>
      </c>
      <c r="Q298" s="693"/>
      <c r="R298" s="693"/>
      <c r="S298" s="693"/>
      <c r="T298" s="693"/>
      <c r="U298" s="693"/>
      <c r="V298" s="69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95"/>
      <c r="B299" s="695"/>
      <c r="C299" s="695"/>
      <c r="D299" s="695"/>
      <c r="E299" s="695"/>
      <c r="F299" s="695"/>
      <c r="G299" s="695"/>
      <c r="H299" s="695"/>
      <c r="I299" s="695"/>
      <c r="J299" s="695"/>
      <c r="K299" s="695"/>
      <c r="L299" s="695"/>
      <c r="M299" s="695"/>
      <c r="N299" s="695"/>
      <c r="O299" s="696"/>
      <c r="P299" s="692" t="s">
        <v>40</v>
      </c>
      <c r="Q299" s="693"/>
      <c r="R299" s="693"/>
      <c r="S299" s="693"/>
      <c r="T299" s="693"/>
      <c r="U299" s="693"/>
      <c r="V299" s="69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86" t="s">
        <v>166</v>
      </c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86"/>
      <c r="P300" s="686"/>
      <c r="Q300" s="686"/>
      <c r="R300" s="686"/>
      <c r="S300" s="686"/>
      <c r="T300" s="686"/>
      <c r="U300" s="686"/>
      <c r="V300" s="686"/>
      <c r="W300" s="686"/>
      <c r="X300" s="686"/>
      <c r="Y300" s="686"/>
      <c r="Z300" s="686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87">
        <v>4680115885981</v>
      </c>
      <c r="E301" s="68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9"/>
      <c r="R301" s="689"/>
      <c r="S301" s="689"/>
      <c r="T301" s="69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95"/>
      <c r="B302" s="695"/>
      <c r="C302" s="695"/>
      <c r="D302" s="695"/>
      <c r="E302" s="695"/>
      <c r="F302" s="695"/>
      <c r="G302" s="695"/>
      <c r="H302" s="695"/>
      <c r="I302" s="695"/>
      <c r="J302" s="695"/>
      <c r="K302" s="695"/>
      <c r="L302" s="695"/>
      <c r="M302" s="695"/>
      <c r="N302" s="695"/>
      <c r="O302" s="696"/>
      <c r="P302" s="692" t="s">
        <v>40</v>
      </c>
      <c r="Q302" s="693"/>
      <c r="R302" s="693"/>
      <c r="S302" s="693"/>
      <c r="T302" s="693"/>
      <c r="U302" s="693"/>
      <c r="V302" s="69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95"/>
      <c r="B303" s="695"/>
      <c r="C303" s="695"/>
      <c r="D303" s="695"/>
      <c r="E303" s="695"/>
      <c r="F303" s="695"/>
      <c r="G303" s="695"/>
      <c r="H303" s="695"/>
      <c r="I303" s="695"/>
      <c r="J303" s="695"/>
      <c r="K303" s="695"/>
      <c r="L303" s="695"/>
      <c r="M303" s="695"/>
      <c r="N303" s="695"/>
      <c r="O303" s="696"/>
      <c r="P303" s="692" t="s">
        <v>40</v>
      </c>
      <c r="Q303" s="693"/>
      <c r="R303" s="693"/>
      <c r="S303" s="693"/>
      <c r="T303" s="693"/>
      <c r="U303" s="693"/>
      <c r="V303" s="69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86" t="s">
        <v>515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86"/>
      <c r="P304" s="686"/>
      <c r="Q304" s="686"/>
      <c r="R304" s="686"/>
      <c r="S304" s="686"/>
      <c r="T304" s="686"/>
      <c r="U304" s="686"/>
      <c r="V304" s="686"/>
      <c r="W304" s="686"/>
      <c r="X304" s="686"/>
      <c r="Y304" s="686"/>
      <c r="Z304" s="686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87">
        <v>4680115886803</v>
      </c>
      <c r="E305" s="68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9"/>
      <c r="R305" s="689"/>
      <c r="S305" s="689"/>
      <c r="T305" s="69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95"/>
      <c r="B306" s="695"/>
      <c r="C306" s="695"/>
      <c r="D306" s="695"/>
      <c r="E306" s="695"/>
      <c r="F306" s="695"/>
      <c r="G306" s="695"/>
      <c r="H306" s="695"/>
      <c r="I306" s="695"/>
      <c r="J306" s="695"/>
      <c r="K306" s="695"/>
      <c r="L306" s="695"/>
      <c r="M306" s="695"/>
      <c r="N306" s="695"/>
      <c r="O306" s="696"/>
      <c r="P306" s="692" t="s">
        <v>40</v>
      </c>
      <c r="Q306" s="693"/>
      <c r="R306" s="693"/>
      <c r="S306" s="693"/>
      <c r="T306" s="693"/>
      <c r="U306" s="693"/>
      <c r="V306" s="69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95"/>
      <c r="B307" s="695"/>
      <c r="C307" s="695"/>
      <c r="D307" s="695"/>
      <c r="E307" s="695"/>
      <c r="F307" s="695"/>
      <c r="G307" s="695"/>
      <c r="H307" s="695"/>
      <c r="I307" s="695"/>
      <c r="J307" s="695"/>
      <c r="K307" s="695"/>
      <c r="L307" s="695"/>
      <c r="M307" s="695"/>
      <c r="N307" s="695"/>
      <c r="O307" s="696"/>
      <c r="P307" s="692" t="s">
        <v>40</v>
      </c>
      <c r="Q307" s="693"/>
      <c r="R307" s="693"/>
      <c r="S307" s="693"/>
      <c r="T307" s="693"/>
      <c r="U307" s="693"/>
      <c r="V307" s="69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86" t="s">
        <v>332</v>
      </c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86"/>
      <c r="P308" s="686"/>
      <c r="Q308" s="686"/>
      <c r="R308" s="686"/>
      <c r="S308" s="686"/>
      <c r="T308" s="686"/>
      <c r="U308" s="686"/>
      <c r="V308" s="686"/>
      <c r="W308" s="686"/>
      <c r="X308" s="686"/>
      <c r="Y308" s="686"/>
      <c r="Z308" s="686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87">
        <v>4680115886704</v>
      </c>
      <c r="E309" s="68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9"/>
      <c r="R309" s="689"/>
      <c r="S309" s="689"/>
      <c r="T309" s="69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87">
        <v>4680115886681</v>
      </c>
      <c r="E310" s="68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9"/>
      <c r="R310" s="689"/>
      <c r="S310" s="689"/>
      <c r="T310" s="69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87">
        <v>4680115886735</v>
      </c>
      <c r="E311" s="68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9"/>
      <c r="R311" s="689"/>
      <c r="S311" s="689"/>
      <c r="T311" s="69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95"/>
      <c r="B312" s="695"/>
      <c r="C312" s="695"/>
      <c r="D312" s="695"/>
      <c r="E312" s="695"/>
      <c r="F312" s="695"/>
      <c r="G312" s="695"/>
      <c r="H312" s="695"/>
      <c r="I312" s="695"/>
      <c r="J312" s="695"/>
      <c r="K312" s="695"/>
      <c r="L312" s="695"/>
      <c r="M312" s="695"/>
      <c r="N312" s="695"/>
      <c r="O312" s="696"/>
      <c r="P312" s="692" t="s">
        <v>40</v>
      </c>
      <c r="Q312" s="693"/>
      <c r="R312" s="693"/>
      <c r="S312" s="693"/>
      <c r="T312" s="693"/>
      <c r="U312" s="693"/>
      <c r="V312" s="69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95"/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6"/>
      <c r="P313" s="692" t="s">
        <v>40</v>
      </c>
      <c r="Q313" s="693"/>
      <c r="R313" s="693"/>
      <c r="S313" s="693"/>
      <c r="T313" s="693"/>
      <c r="U313" s="693"/>
      <c r="V313" s="69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85" t="s">
        <v>526</v>
      </c>
      <c r="B314" s="685"/>
      <c r="C314" s="685"/>
      <c r="D314" s="685"/>
      <c r="E314" s="685"/>
      <c r="F314" s="685"/>
      <c r="G314" s="685"/>
      <c r="H314" s="685"/>
      <c r="I314" s="685"/>
      <c r="J314" s="685"/>
      <c r="K314" s="685"/>
      <c r="L314" s="685"/>
      <c r="M314" s="685"/>
      <c r="N314" s="685"/>
      <c r="O314" s="685"/>
      <c r="P314" s="685"/>
      <c r="Q314" s="685"/>
      <c r="R314" s="685"/>
      <c r="S314" s="685"/>
      <c r="T314" s="685"/>
      <c r="U314" s="685"/>
      <c r="V314" s="685"/>
      <c r="W314" s="685"/>
      <c r="X314" s="685"/>
      <c r="Y314" s="685"/>
      <c r="Z314" s="685"/>
      <c r="AA314" s="65"/>
      <c r="AB314" s="65"/>
      <c r="AC314" s="79"/>
    </row>
    <row r="315" spans="1:68" ht="14.25" customHeight="1" x14ac:dyDescent="0.25">
      <c r="A315" s="686" t="s">
        <v>129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7">
        <v>4680115885837</v>
      </c>
      <c r="E316" s="68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9"/>
      <c r="R316" s="689"/>
      <c r="S316" s="689"/>
      <c r="T316" s="69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87">
        <v>4680115887237</v>
      </c>
      <c r="E317" s="68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9"/>
      <c r="R317" s="689"/>
      <c r="S317" s="689"/>
      <c r="T317" s="69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7">
        <v>4680115885806</v>
      </c>
      <c r="E318" s="68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9"/>
      <c r="R318" s="689"/>
      <c r="S318" s="689"/>
      <c r="T318" s="69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7">
        <v>4680115885844</v>
      </c>
      <c r="E319" s="68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9"/>
      <c r="R319" s="689"/>
      <c r="S319" s="689"/>
      <c r="T319" s="69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7">
        <v>4680115885820</v>
      </c>
      <c r="E320" s="68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9"/>
      <c r="R320" s="689"/>
      <c r="S320" s="689"/>
      <c r="T320" s="69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95"/>
      <c r="B321" s="695"/>
      <c r="C321" s="695"/>
      <c r="D321" s="695"/>
      <c r="E321" s="695"/>
      <c r="F321" s="695"/>
      <c r="G321" s="695"/>
      <c r="H321" s="695"/>
      <c r="I321" s="695"/>
      <c r="J321" s="695"/>
      <c r="K321" s="695"/>
      <c r="L321" s="695"/>
      <c r="M321" s="695"/>
      <c r="N321" s="695"/>
      <c r="O321" s="696"/>
      <c r="P321" s="692" t="s">
        <v>40</v>
      </c>
      <c r="Q321" s="693"/>
      <c r="R321" s="693"/>
      <c r="S321" s="693"/>
      <c r="T321" s="693"/>
      <c r="U321" s="693"/>
      <c r="V321" s="69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95"/>
      <c r="B322" s="695"/>
      <c r="C322" s="695"/>
      <c r="D322" s="695"/>
      <c r="E322" s="695"/>
      <c r="F322" s="695"/>
      <c r="G322" s="695"/>
      <c r="H322" s="695"/>
      <c r="I322" s="695"/>
      <c r="J322" s="695"/>
      <c r="K322" s="695"/>
      <c r="L322" s="695"/>
      <c r="M322" s="695"/>
      <c r="N322" s="695"/>
      <c r="O322" s="696"/>
      <c r="P322" s="692" t="s">
        <v>40</v>
      </c>
      <c r="Q322" s="693"/>
      <c r="R322" s="693"/>
      <c r="S322" s="693"/>
      <c r="T322" s="693"/>
      <c r="U322" s="693"/>
      <c r="V322" s="69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85" t="s">
        <v>542</v>
      </c>
      <c r="B323" s="685"/>
      <c r="C323" s="685"/>
      <c r="D323" s="685"/>
      <c r="E323" s="685"/>
      <c r="F323" s="685"/>
      <c r="G323" s="685"/>
      <c r="H323" s="685"/>
      <c r="I323" s="685"/>
      <c r="J323" s="685"/>
      <c r="K323" s="685"/>
      <c r="L323" s="685"/>
      <c r="M323" s="685"/>
      <c r="N323" s="685"/>
      <c r="O323" s="685"/>
      <c r="P323" s="685"/>
      <c r="Q323" s="685"/>
      <c r="R323" s="685"/>
      <c r="S323" s="685"/>
      <c r="T323" s="685"/>
      <c r="U323" s="685"/>
      <c r="V323" s="685"/>
      <c r="W323" s="685"/>
      <c r="X323" s="685"/>
      <c r="Y323" s="685"/>
      <c r="Z323" s="685"/>
      <c r="AA323" s="65"/>
      <c r="AB323" s="65"/>
      <c r="AC323" s="79"/>
    </row>
    <row r="324" spans="1:68" ht="14.25" customHeight="1" x14ac:dyDescent="0.25">
      <c r="A324" s="686" t="s">
        <v>86</v>
      </c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86"/>
      <c r="P324" s="686"/>
      <c r="Q324" s="686"/>
      <c r="R324" s="686"/>
      <c r="S324" s="686"/>
      <c r="T324" s="686"/>
      <c r="U324" s="686"/>
      <c r="V324" s="686"/>
      <c r="W324" s="686"/>
      <c r="X324" s="686"/>
      <c r="Y324" s="686"/>
      <c r="Z324" s="686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87">
        <v>4680115886186</v>
      </c>
      <c r="E325" s="68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9"/>
      <c r="R325" s="689"/>
      <c r="S325" s="689"/>
      <c r="T325" s="69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7">
        <v>4680115881228</v>
      </c>
      <c r="E326" s="68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9"/>
      <c r="R326" s="689"/>
      <c r="S326" s="689"/>
      <c r="T326" s="690"/>
      <c r="U326" s="39" t="s">
        <v>46</v>
      </c>
      <c r="V326" s="39" t="s">
        <v>46</v>
      </c>
      <c r="W326" s="40" t="s">
        <v>0</v>
      </c>
      <c r="X326" s="58">
        <v>4</v>
      </c>
      <c r="Y326" s="55">
        <f>IFERROR(IF(X326="",0,CEILING((X326/$H326),1)*$H326),"")</f>
        <v>4.8</v>
      </c>
      <c r="Z326" s="41">
        <f>IFERROR(IF(Y326=0,"",ROUNDUP(Y326/H326,0)*0.00651),"")</f>
        <v>1.302E-2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4.4200000000000008</v>
      </c>
      <c r="BN326" s="78">
        <f>IFERROR(Y326*I326/H326,"0")</f>
        <v>5.3040000000000003</v>
      </c>
      <c r="BO326" s="78">
        <f>IFERROR(1/J326*(X326/H326),"0")</f>
        <v>9.1575091575091579E-3</v>
      </c>
      <c r="BP326" s="78">
        <f>IFERROR(1/J326*(Y326/H326),"0")</f>
        <v>1.098901098901099E-2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7">
        <v>4680115881211</v>
      </c>
      <c r="E327" s="68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9"/>
      <c r="R327" s="689"/>
      <c r="S327" s="689"/>
      <c r="T327" s="690"/>
      <c r="U327" s="39" t="s">
        <v>46</v>
      </c>
      <c r="V327" s="39" t="s">
        <v>46</v>
      </c>
      <c r="W327" s="40" t="s">
        <v>0</v>
      </c>
      <c r="X327" s="58">
        <v>6</v>
      </c>
      <c r="Y327" s="55">
        <f>IFERROR(IF(X327="",0,CEILING((X327/$H327),1)*$H327),"")</f>
        <v>7.1999999999999993</v>
      </c>
      <c r="Z327" s="41">
        <f>IFERROR(IF(Y327=0,"",ROUNDUP(Y327/H327,0)*0.00651),"")</f>
        <v>1.9529999999999999E-2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6.45</v>
      </c>
      <c r="BN327" s="78">
        <f>IFERROR(Y327*I327/H327,"0")</f>
        <v>7.7399999999999993</v>
      </c>
      <c r="BO327" s="78">
        <f>IFERROR(1/J327*(X327/H327),"0")</f>
        <v>1.3736263736263738E-2</v>
      </c>
      <c r="BP327" s="78">
        <f>IFERROR(1/J327*(Y327/H327),"0")</f>
        <v>1.6483516483516484E-2</v>
      </c>
    </row>
    <row r="328" spans="1:68" x14ac:dyDescent="0.2">
      <c r="A328" s="695"/>
      <c r="B328" s="695"/>
      <c r="C328" s="695"/>
      <c r="D328" s="695"/>
      <c r="E328" s="695"/>
      <c r="F328" s="695"/>
      <c r="G328" s="695"/>
      <c r="H328" s="695"/>
      <c r="I328" s="695"/>
      <c r="J328" s="695"/>
      <c r="K328" s="695"/>
      <c r="L328" s="695"/>
      <c r="M328" s="695"/>
      <c r="N328" s="695"/>
      <c r="O328" s="696"/>
      <c r="P328" s="692" t="s">
        <v>40</v>
      </c>
      <c r="Q328" s="693"/>
      <c r="R328" s="693"/>
      <c r="S328" s="693"/>
      <c r="T328" s="693"/>
      <c r="U328" s="693"/>
      <c r="V328" s="694"/>
      <c r="W328" s="42" t="s">
        <v>39</v>
      </c>
      <c r="X328" s="43">
        <f>IFERROR(X325/H325,"0")+IFERROR(X326/H326,"0")+IFERROR(X327/H327,"0")</f>
        <v>4.166666666666667</v>
      </c>
      <c r="Y328" s="43">
        <f>IFERROR(Y325/H325,"0")+IFERROR(Y326/H326,"0")+IFERROR(Y327/H327,"0")</f>
        <v>5</v>
      </c>
      <c r="Z328" s="43">
        <f>IFERROR(IF(Z325="",0,Z325),"0")+IFERROR(IF(Z326="",0,Z326),"0")+IFERROR(IF(Z327="",0,Z327),"0")</f>
        <v>3.2549999999999996E-2</v>
      </c>
      <c r="AA328" s="67"/>
      <c r="AB328" s="67"/>
      <c r="AC328" s="67"/>
    </row>
    <row r="329" spans="1:68" x14ac:dyDescent="0.2">
      <c r="A329" s="695"/>
      <c r="B329" s="695"/>
      <c r="C329" s="695"/>
      <c r="D329" s="695"/>
      <c r="E329" s="695"/>
      <c r="F329" s="695"/>
      <c r="G329" s="695"/>
      <c r="H329" s="695"/>
      <c r="I329" s="695"/>
      <c r="J329" s="695"/>
      <c r="K329" s="695"/>
      <c r="L329" s="695"/>
      <c r="M329" s="695"/>
      <c r="N329" s="695"/>
      <c r="O329" s="696"/>
      <c r="P329" s="692" t="s">
        <v>40</v>
      </c>
      <c r="Q329" s="693"/>
      <c r="R329" s="693"/>
      <c r="S329" s="693"/>
      <c r="T329" s="693"/>
      <c r="U329" s="693"/>
      <c r="V329" s="694"/>
      <c r="W329" s="42" t="s">
        <v>0</v>
      </c>
      <c r="X329" s="43">
        <f>IFERROR(SUM(X325:X327),"0")</f>
        <v>10</v>
      </c>
      <c r="Y329" s="43">
        <f>IFERROR(SUM(Y325:Y327),"0")</f>
        <v>12</v>
      </c>
      <c r="Z329" s="42"/>
      <c r="AA329" s="67"/>
      <c r="AB329" s="67"/>
      <c r="AC329" s="67"/>
    </row>
    <row r="330" spans="1:68" ht="16.5" customHeight="1" x14ac:dyDescent="0.25">
      <c r="A330" s="685" t="s">
        <v>551</v>
      </c>
      <c r="B330" s="685"/>
      <c r="C330" s="685"/>
      <c r="D330" s="685"/>
      <c r="E330" s="685"/>
      <c r="F330" s="685"/>
      <c r="G330" s="685"/>
      <c r="H330" s="685"/>
      <c r="I330" s="685"/>
      <c r="J330" s="685"/>
      <c r="K330" s="685"/>
      <c r="L330" s="685"/>
      <c r="M330" s="685"/>
      <c r="N330" s="685"/>
      <c r="O330" s="685"/>
      <c r="P330" s="685"/>
      <c r="Q330" s="685"/>
      <c r="R330" s="685"/>
      <c r="S330" s="685"/>
      <c r="T330" s="685"/>
      <c r="U330" s="685"/>
      <c r="V330" s="685"/>
      <c r="W330" s="685"/>
      <c r="X330" s="685"/>
      <c r="Y330" s="685"/>
      <c r="Z330" s="685"/>
      <c r="AA330" s="65"/>
      <c r="AB330" s="65"/>
      <c r="AC330" s="79"/>
    </row>
    <row r="331" spans="1:68" ht="14.25" customHeight="1" x14ac:dyDescent="0.25">
      <c r="A331" s="686" t="s">
        <v>77</v>
      </c>
      <c r="B331" s="686"/>
      <c r="C331" s="686"/>
      <c r="D331" s="686"/>
      <c r="E331" s="686"/>
      <c r="F331" s="686"/>
      <c r="G331" s="686"/>
      <c r="H331" s="686"/>
      <c r="I331" s="686"/>
      <c r="J331" s="686"/>
      <c r="K331" s="686"/>
      <c r="L331" s="686"/>
      <c r="M331" s="686"/>
      <c r="N331" s="686"/>
      <c r="O331" s="686"/>
      <c r="P331" s="686"/>
      <c r="Q331" s="686"/>
      <c r="R331" s="686"/>
      <c r="S331" s="686"/>
      <c r="T331" s="686"/>
      <c r="U331" s="686"/>
      <c r="V331" s="686"/>
      <c r="W331" s="686"/>
      <c r="X331" s="686"/>
      <c r="Y331" s="686"/>
      <c r="Z331" s="686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87">
        <v>4680115888319</v>
      </c>
      <c r="E332" s="68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9"/>
      <c r="R332" s="689"/>
      <c r="S332" s="689"/>
      <c r="T332" s="69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87">
        <v>4680115884700</v>
      </c>
      <c r="E333" s="68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9"/>
      <c r="R333" s="689"/>
      <c r="S333" s="689"/>
      <c r="T333" s="69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87">
        <v>4680115880344</v>
      </c>
      <c r="E334" s="68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9"/>
      <c r="R334" s="689"/>
      <c r="S334" s="689"/>
      <c r="T334" s="69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87">
        <v>4680115886919</v>
      </c>
      <c r="E335" s="68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9"/>
      <c r="R335" s="689"/>
      <c r="S335" s="689"/>
      <c r="T335" s="69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87">
        <v>4680115883970</v>
      </c>
      <c r="E336" s="68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9"/>
      <c r="R336" s="689"/>
      <c r="S336" s="689"/>
      <c r="T336" s="69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95"/>
      <c r="B337" s="695"/>
      <c r="C337" s="695"/>
      <c r="D337" s="695"/>
      <c r="E337" s="695"/>
      <c r="F337" s="695"/>
      <c r="G337" s="695"/>
      <c r="H337" s="695"/>
      <c r="I337" s="695"/>
      <c r="J337" s="695"/>
      <c r="K337" s="695"/>
      <c r="L337" s="695"/>
      <c r="M337" s="695"/>
      <c r="N337" s="695"/>
      <c r="O337" s="696"/>
      <c r="P337" s="692" t="s">
        <v>40</v>
      </c>
      <c r="Q337" s="693"/>
      <c r="R337" s="693"/>
      <c r="S337" s="693"/>
      <c r="T337" s="693"/>
      <c r="U337" s="693"/>
      <c r="V337" s="69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95"/>
      <c r="B338" s="695"/>
      <c r="C338" s="695"/>
      <c r="D338" s="695"/>
      <c r="E338" s="695"/>
      <c r="F338" s="695"/>
      <c r="G338" s="695"/>
      <c r="H338" s="695"/>
      <c r="I338" s="695"/>
      <c r="J338" s="695"/>
      <c r="K338" s="695"/>
      <c r="L338" s="695"/>
      <c r="M338" s="695"/>
      <c r="N338" s="695"/>
      <c r="O338" s="696"/>
      <c r="P338" s="692" t="s">
        <v>40</v>
      </c>
      <c r="Q338" s="693"/>
      <c r="R338" s="693"/>
      <c r="S338" s="693"/>
      <c r="T338" s="693"/>
      <c r="U338" s="693"/>
      <c r="V338" s="69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86" t="s">
        <v>86</v>
      </c>
      <c r="B339" s="686"/>
      <c r="C339" s="686"/>
      <c r="D339" s="686"/>
      <c r="E339" s="686"/>
      <c r="F339" s="686"/>
      <c r="G339" s="686"/>
      <c r="H339" s="686"/>
      <c r="I339" s="686"/>
      <c r="J339" s="686"/>
      <c r="K339" s="686"/>
      <c r="L339" s="686"/>
      <c r="M339" s="686"/>
      <c r="N339" s="686"/>
      <c r="O339" s="686"/>
      <c r="P339" s="686"/>
      <c r="Q339" s="686"/>
      <c r="R339" s="686"/>
      <c r="S339" s="686"/>
      <c r="T339" s="686"/>
      <c r="U339" s="686"/>
      <c r="V339" s="686"/>
      <c r="W339" s="686"/>
      <c r="X339" s="686"/>
      <c r="Y339" s="686"/>
      <c r="Z339" s="686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87">
        <v>4680115884618</v>
      </c>
      <c r="E340" s="68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9"/>
      <c r="R340" s="689"/>
      <c r="S340" s="689"/>
      <c r="T340" s="69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87">
        <v>4680115887114</v>
      </c>
      <c r="E341" s="68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9"/>
      <c r="R341" s="689"/>
      <c r="S341" s="689"/>
      <c r="T341" s="69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95"/>
      <c r="B342" s="695"/>
      <c r="C342" s="695"/>
      <c r="D342" s="695"/>
      <c r="E342" s="695"/>
      <c r="F342" s="695"/>
      <c r="G342" s="695"/>
      <c r="H342" s="695"/>
      <c r="I342" s="695"/>
      <c r="J342" s="695"/>
      <c r="K342" s="695"/>
      <c r="L342" s="695"/>
      <c r="M342" s="695"/>
      <c r="N342" s="695"/>
      <c r="O342" s="696"/>
      <c r="P342" s="692" t="s">
        <v>40</v>
      </c>
      <c r="Q342" s="693"/>
      <c r="R342" s="693"/>
      <c r="S342" s="693"/>
      <c r="T342" s="693"/>
      <c r="U342" s="693"/>
      <c r="V342" s="69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95"/>
      <c r="B343" s="695"/>
      <c r="C343" s="695"/>
      <c r="D343" s="695"/>
      <c r="E343" s="695"/>
      <c r="F343" s="695"/>
      <c r="G343" s="695"/>
      <c r="H343" s="695"/>
      <c r="I343" s="695"/>
      <c r="J343" s="695"/>
      <c r="K343" s="695"/>
      <c r="L343" s="695"/>
      <c r="M343" s="695"/>
      <c r="N343" s="695"/>
      <c r="O343" s="696"/>
      <c r="P343" s="692" t="s">
        <v>40</v>
      </c>
      <c r="Q343" s="693"/>
      <c r="R343" s="693"/>
      <c r="S343" s="693"/>
      <c r="T343" s="693"/>
      <c r="U343" s="693"/>
      <c r="V343" s="69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85" t="s">
        <v>572</v>
      </c>
      <c r="B344" s="685"/>
      <c r="C344" s="685"/>
      <c r="D344" s="685"/>
      <c r="E344" s="685"/>
      <c r="F344" s="685"/>
      <c r="G344" s="685"/>
      <c r="H344" s="685"/>
      <c r="I344" s="685"/>
      <c r="J344" s="685"/>
      <c r="K344" s="685"/>
      <c r="L344" s="685"/>
      <c r="M344" s="685"/>
      <c r="N344" s="685"/>
      <c r="O344" s="685"/>
      <c r="P344" s="685"/>
      <c r="Q344" s="685"/>
      <c r="R344" s="685"/>
      <c r="S344" s="685"/>
      <c r="T344" s="685"/>
      <c r="U344" s="685"/>
      <c r="V344" s="685"/>
      <c r="W344" s="685"/>
      <c r="X344" s="685"/>
      <c r="Y344" s="685"/>
      <c r="Z344" s="685"/>
      <c r="AA344" s="65"/>
      <c r="AB344" s="65"/>
      <c r="AC344" s="79"/>
    </row>
    <row r="345" spans="1:68" ht="14.25" customHeight="1" x14ac:dyDescent="0.25">
      <c r="A345" s="686" t="s">
        <v>129</v>
      </c>
      <c r="B345" s="686"/>
      <c r="C345" s="686"/>
      <c r="D345" s="686"/>
      <c r="E345" s="686"/>
      <c r="F345" s="686"/>
      <c r="G345" s="686"/>
      <c r="H345" s="686"/>
      <c r="I345" s="686"/>
      <c r="J345" s="686"/>
      <c r="K345" s="686"/>
      <c r="L345" s="686"/>
      <c r="M345" s="686"/>
      <c r="N345" s="686"/>
      <c r="O345" s="686"/>
      <c r="P345" s="686"/>
      <c r="Q345" s="686"/>
      <c r="R345" s="686"/>
      <c r="S345" s="686"/>
      <c r="T345" s="686"/>
      <c r="U345" s="686"/>
      <c r="V345" s="686"/>
      <c r="W345" s="686"/>
      <c r="X345" s="686"/>
      <c r="Y345" s="686"/>
      <c r="Z345" s="68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7">
        <v>4680115887947</v>
      </c>
      <c r="E346" s="68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9"/>
      <c r="R346" s="689"/>
      <c r="S346" s="689"/>
      <c r="T346" s="69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7">
        <v>4680115887978</v>
      </c>
      <c r="E347" s="68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9"/>
      <c r="R347" s="689"/>
      <c r="S347" s="689"/>
      <c r="T347" s="69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7">
        <v>4680115887992</v>
      </c>
      <c r="E348" s="68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9"/>
      <c r="R348" s="689"/>
      <c r="S348" s="689"/>
      <c r="T348" s="69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95"/>
      <c r="B349" s="695"/>
      <c r="C349" s="695"/>
      <c r="D349" s="695"/>
      <c r="E349" s="695"/>
      <c r="F349" s="695"/>
      <c r="G349" s="695"/>
      <c r="H349" s="695"/>
      <c r="I349" s="695"/>
      <c r="J349" s="695"/>
      <c r="K349" s="695"/>
      <c r="L349" s="695"/>
      <c r="M349" s="695"/>
      <c r="N349" s="695"/>
      <c r="O349" s="696"/>
      <c r="P349" s="692" t="s">
        <v>40</v>
      </c>
      <c r="Q349" s="693"/>
      <c r="R349" s="693"/>
      <c r="S349" s="693"/>
      <c r="T349" s="693"/>
      <c r="U349" s="693"/>
      <c r="V349" s="69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95"/>
      <c r="B350" s="695"/>
      <c r="C350" s="695"/>
      <c r="D350" s="695"/>
      <c r="E350" s="695"/>
      <c r="F350" s="695"/>
      <c r="G350" s="695"/>
      <c r="H350" s="695"/>
      <c r="I350" s="695"/>
      <c r="J350" s="695"/>
      <c r="K350" s="695"/>
      <c r="L350" s="695"/>
      <c r="M350" s="695"/>
      <c r="N350" s="695"/>
      <c r="O350" s="696"/>
      <c r="P350" s="692" t="s">
        <v>40</v>
      </c>
      <c r="Q350" s="693"/>
      <c r="R350" s="693"/>
      <c r="S350" s="693"/>
      <c r="T350" s="693"/>
      <c r="U350" s="693"/>
      <c r="V350" s="69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85" t="s">
        <v>581</v>
      </c>
      <c r="B351" s="685"/>
      <c r="C351" s="685"/>
      <c r="D351" s="685"/>
      <c r="E351" s="685"/>
      <c r="F351" s="685"/>
      <c r="G351" s="685"/>
      <c r="H351" s="685"/>
      <c r="I351" s="685"/>
      <c r="J351" s="685"/>
      <c r="K351" s="685"/>
      <c r="L351" s="685"/>
      <c r="M351" s="685"/>
      <c r="N351" s="685"/>
      <c r="O351" s="685"/>
      <c r="P351" s="685"/>
      <c r="Q351" s="685"/>
      <c r="R351" s="685"/>
      <c r="S351" s="685"/>
      <c r="T351" s="685"/>
      <c r="U351" s="685"/>
      <c r="V351" s="685"/>
      <c r="W351" s="685"/>
      <c r="X351" s="685"/>
      <c r="Y351" s="685"/>
      <c r="Z351" s="685"/>
      <c r="AA351" s="65"/>
      <c r="AB351" s="65"/>
      <c r="AC351" s="79"/>
    </row>
    <row r="352" spans="1:68" ht="14.25" customHeight="1" x14ac:dyDescent="0.25">
      <c r="A352" s="686" t="s">
        <v>129</v>
      </c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  <c r="L352" s="686"/>
      <c r="M352" s="686"/>
      <c r="N352" s="686"/>
      <c r="O352" s="686"/>
      <c r="P352" s="686"/>
      <c r="Q352" s="686"/>
      <c r="R352" s="686"/>
      <c r="S352" s="686"/>
      <c r="T352" s="686"/>
      <c r="U352" s="686"/>
      <c r="V352" s="686"/>
      <c r="W352" s="686"/>
      <c r="X352" s="686"/>
      <c r="Y352" s="686"/>
      <c r="Z352" s="686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7">
        <v>4607091386004</v>
      </c>
      <c r="E353" s="68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89"/>
      <c r="R353" s="689"/>
      <c r="S353" s="689"/>
      <c r="T353" s="69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7">
        <v>4680115887190</v>
      </c>
      <c r="E354" s="68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89"/>
      <c r="R354" s="689"/>
      <c r="S354" s="689"/>
      <c r="T354" s="69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7">
        <v>4680115887138</v>
      </c>
      <c r="E355" s="68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89"/>
      <c r="R355" s="689"/>
      <c r="S355" s="689"/>
      <c r="T355" s="69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87">
        <v>4680115885554</v>
      </c>
      <c r="E356" s="68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89"/>
      <c r="R356" s="689"/>
      <c r="S356" s="689"/>
      <c r="T356" s="69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87">
        <v>4680115887220</v>
      </c>
      <c r="E357" s="68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89"/>
      <c r="R357" s="689"/>
      <c r="S357" s="689"/>
      <c r="T357" s="69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7">
        <v>4680115885608</v>
      </c>
      <c r="E358" s="68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89"/>
      <c r="R358" s="689"/>
      <c r="S358" s="689"/>
      <c r="T358" s="69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x14ac:dyDescent="0.2">
      <c r="A359" s="695"/>
      <c r="B359" s="695"/>
      <c r="C359" s="695"/>
      <c r="D359" s="695"/>
      <c r="E359" s="695"/>
      <c r="F359" s="695"/>
      <c r="G359" s="695"/>
      <c r="H359" s="695"/>
      <c r="I359" s="695"/>
      <c r="J359" s="695"/>
      <c r="K359" s="695"/>
      <c r="L359" s="695"/>
      <c r="M359" s="695"/>
      <c r="N359" s="695"/>
      <c r="O359" s="696"/>
      <c r="P359" s="692" t="s">
        <v>40</v>
      </c>
      <c r="Q359" s="693"/>
      <c r="R359" s="693"/>
      <c r="S359" s="693"/>
      <c r="T359" s="693"/>
      <c r="U359" s="693"/>
      <c r="V359" s="69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95"/>
      <c r="B360" s="695"/>
      <c r="C360" s="695"/>
      <c r="D360" s="695"/>
      <c r="E360" s="695"/>
      <c r="F360" s="695"/>
      <c r="G360" s="695"/>
      <c r="H360" s="695"/>
      <c r="I360" s="695"/>
      <c r="J360" s="695"/>
      <c r="K360" s="695"/>
      <c r="L360" s="695"/>
      <c r="M360" s="695"/>
      <c r="N360" s="695"/>
      <c r="O360" s="696"/>
      <c r="P360" s="692" t="s">
        <v>40</v>
      </c>
      <c r="Q360" s="693"/>
      <c r="R360" s="693"/>
      <c r="S360" s="693"/>
      <c r="T360" s="693"/>
      <c r="U360" s="693"/>
      <c r="V360" s="69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86" t="s">
        <v>77</v>
      </c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86"/>
      <c r="P361" s="686"/>
      <c r="Q361" s="686"/>
      <c r="R361" s="686"/>
      <c r="S361" s="686"/>
      <c r="T361" s="686"/>
      <c r="U361" s="686"/>
      <c r="V361" s="686"/>
      <c r="W361" s="686"/>
      <c r="X361" s="686"/>
      <c r="Y361" s="686"/>
      <c r="Z361" s="686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7">
        <v>4607091387193</v>
      </c>
      <c r="E362" s="68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89"/>
      <c r="R362" s="689"/>
      <c r="S362" s="689"/>
      <c r="T362" s="69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7">
        <v>4607091387230</v>
      </c>
      <c r="E363" s="68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89"/>
      <c r="R363" s="689"/>
      <c r="S363" s="689"/>
      <c r="T363" s="690"/>
      <c r="U363" s="39" t="s">
        <v>46</v>
      </c>
      <c r="V363" s="39" t="s">
        <v>46</v>
      </c>
      <c r="W363" s="40" t="s">
        <v>0</v>
      </c>
      <c r="X363" s="58">
        <v>15</v>
      </c>
      <c r="Y363" s="55">
        <f t="shared" si="52"/>
        <v>16.8</v>
      </c>
      <c r="Z363" s="41">
        <f>IFERROR(IF(Y363=0,"",ROUNDUP(Y363/H363,0)*0.00902),"")</f>
        <v>3.6080000000000001E-2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15.892857142857142</v>
      </c>
      <c r="BN363" s="78">
        <f t="shared" si="54"/>
        <v>17.8</v>
      </c>
      <c r="BO363" s="78">
        <f t="shared" si="55"/>
        <v>2.7056277056277056E-2</v>
      </c>
      <c r="BP363" s="78">
        <f t="shared" si="56"/>
        <v>3.0303030303030304E-2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87">
        <v>4607091387292</v>
      </c>
      <c r="E364" s="68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89"/>
      <c r="R364" s="689"/>
      <c r="S364" s="689"/>
      <c r="T364" s="69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7">
        <v>4607091387285</v>
      </c>
      <c r="E365" s="68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89"/>
      <c r="R365" s="689"/>
      <c r="S365" s="689"/>
      <c r="T365" s="69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7">
        <v>4607091389845</v>
      </c>
      <c r="E366" s="68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89"/>
      <c r="R366" s="689"/>
      <c r="S366" s="689"/>
      <c r="T366" s="69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87">
        <v>4680115887442</v>
      </c>
      <c r="E367" s="68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89"/>
      <c r="R367" s="689"/>
      <c r="S367" s="689"/>
      <c r="T367" s="69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87">
        <v>4607091383836</v>
      </c>
      <c r="E368" s="68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89"/>
      <c r="R368" s="689"/>
      <c r="S368" s="689"/>
      <c r="T368" s="69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95"/>
      <c r="B369" s="695"/>
      <c r="C369" s="695"/>
      <c r="D369" s="695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6"/>
      <c r="P369" s="692" t="s">
        <v>40</v>
      </c>
      <c r="Q369" s="693"/>
      <c r="R369" s="693"/>
      <c r="S369" s="693"/>
      <c r="T369" s="693"/>
      <c r="U369" s="693"/>
      <c r="V369" s="694"/>
      <c r="W369" s="42" t="s">
        <v>39</v>
      </c>
      <c r="X369" s="43">
        <f>IFERROR(X362/H362,"0")+IFERROR(X363/H363,"0")+IFERROR(X364/H364,"0")+IFERROR(X365/H365,"0")+IFERROR(X366/H366,"0")+IFERROR(X367/H367,"0")+IFERROR(X368/H368,"0")</f>
        <v>3.5714285714285712</v>
      </c>
      <c r="Y369" s="43">
        <f>IFERROR(Y362/H362,"0")+IFERROR(Y363/H363,"0")+IFERROR(Y364/H364,"0")+IFERROR(Y365/H365,"0")+IFERROR(Y366/H366,"0")+IFERROR(Y367/H367,"0")+IFERROR(Y368/H368,"0")</f>
        <v>4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3.6080000000000001E-2</v>
      </c>
      <c r="AA369" s="67"/>
      <c r="AB369" s="67"/>
      <c r="AC369" s="67"/>
    </row>
    <row r="370" spans="1:68" x14ac:dyDescent="0.2">
      <c r="A370" s="695"/>
      <c r="B370" s="695"/>
      <c r="C370" s="695"/>
      <c r="D370" s="695"/>
      <c r="E370" s="695"/>
      <c r="F370" s="695"/>
      <c r="G370" s="695"/>
      <c r="H370" s="695"/>
      <c r="I370" s="695"/>
      <c r="J370" s="695"/>
      <c r="K370" s="695"/>
      <c r="L370" s="695"/>
      <c r="M370" s="695"/>
      <c r="N370" s="695"/>
      <c r="O370" s="696"/>
      <c r="P370" s="692" t="s">
        <v>40</v>
      </c>
      <c r="Q370" s="693"/>
      <c r="R370" s="693"/>
      <c r="S370" s="693"/>
      <c r="T370" s="693"/>
      <c r="U370" s="693"/>
      <c r="V370" s="694"/>
      <c r="W370" s="42" t="s">
        <v>0</v>
      </c>
      <c r="X370" s="43">
        <f>IFERROR(SUM(X362:X368),"0")</f>
        <v>15</v>
      </c>
      <c r="Y370" s="43">
        <f>IFERROR(SUM(Y362:Y368),"0")</f>
        <v>16.8</v>
      </c>
      <c r="Z370" s="42"/>
      <c r="AA370" s="67"/>
      <c r="AB370" s="67"/>
      <c r="AC370" s="67"/>
    </row>
    <row r="371" spans="1:68" ht="14.25" customHeight="1" x14ac:dyDescent="0.25">
      <c r="A371" s="686" t="s">
        <v>86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6"/>
      <c r="M371" s="686"/>
      <c r="N371" s="686"/>
      <c r="O371" s="686"/>
      <c r="P371" s="686"/>
      <c r="Q371" s="686"/>
      <c r="R371" s="686"/>
      <c r="S371" s="686"/>
      <c r="T371" s="686"/>
      <c r="U371" s="686"/>
      <c r="V371" s="686"/>
      <c r="W371" s="686"/>
      <c r="X371" s="686"/>
      <c r="Y371" s="686"/>
      <c r="Z371" s="686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7">
        <v>4607091387766</v>
      </c>
      <c r="E372" s="68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89"/>
      <c r="R372" s="689"/>
      <c r="S372" s="689"/>
      <c r="T372" s="69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87">
        <v>4607091387957</v>
      </c>
      <c r="E373" s="68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89"/>
      <c r="R373" s="689"/>
      <c r="S373" s="689"/>
      <c r="T373" s="69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87">
        <v>4607091387964</v>
      </c>
      <c r="E374" s="68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89"/>
      <c r="R374" s="689"/>
      <c r="S374" s="689"/>
      <c r="T374" s="69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87">
        <v>4680115884588</v>
      </c>
      <c r="E375" s="68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89"/>
      <c r="R375" s="689"/>
      <c r="S375" s="689"/>
      <c r="T375" s="69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95"/>
      <c r="B376" s="695"/>
      <c r="C376" s="695"/>
      <c r="D376" s="695"/>
      <c r="E376" s="695"/>
      <c r="F376" s="695"/>
      <c r="G376" s="695"/>
      <c r="H376" s="695"/>
      <c r="I376" s="695"/>
      <c r="J376" s="695"/>
      <c r="K376" s="695"/>
      <c r="L376" s="695"/>
      <c r="M376" s="695"/>
      <c r="N376" s="695"/>
      <c r="O376" s="696"/>
      <c r="P376" s="692" t="s">
        <v>40</v>
      </c>
      <c r="Q376" s="693"/>
      <c r="R376" s="693"/>
      <c r="S376" s="693"/>
      <c r="T376" s="693"/>
      <c r="U376" s="693"/>
      <c r="V376" s="69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95"/>
      <c r="B377" s="695"/>
      <c r="C377" s="695"/>
      <c r="D377" s="695"/>
      <c r="E377" s="695"/>
      <c r="F377" s="695"/>
      <c r="G377" s="695"/>
      <c r="H377" s="695"/>
      <c r="I377" s="695"/>
      <c r="J377" s="695"/>
      <c r="K377" s="695"/>
      <c r="L377" s="695"/>
      <c r="M377" s="695"/>
      <c r="N377" s="695"/>
      <c r="O377" s="696"/>
      <c r="P377" s="692" t="s">
        <v>40</v>
      </c>
      <c r="Q377" s="693"/>
      <c r="R377" s="693"/>
      <c r="S377" s="693"/>
      <c r="T377" s="693"/>
      <c r="U377" s="693"/>
      <c r="V377" s="69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86" t="s">
        <v>183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86"/>
      <c r="P378" s="686"/>
      <c r="Q378" s="686"/>
      <c r="R378" s="686"/>
      <c r="S378" s="686"/>
      <c r="T378" s="686"/>
      <c r="U378" s="686"/>
      <c r="V378" s="686"/>
      <c r="W378" s="686"/>
      <c r="X378" s="686"/>
      <c r="Y378" s="686"/>
      <c r="Z378" s="686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7">
        <v>4607091380880</v>
      </c>
      <c r="E379" s="68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89"/>
      <c r="R379" s="689"/>
      <c r="S379" s="689"/>
      <c r="T379" s="69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7">
        <v>4607091384482</v>
      </c>
      <c r="E380" s="68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89"/>
      <c r="R380" s="689"/>
      <c r="S380" s="689"/>
      <c r="T380" s="69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7">
        <v>4607091380897</v>
      </c>
      <c r="E381" s="68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89"/>
      <c r="R381" s="689"/>
      <c r="S381" s="689"/>
      <c r="T381" s="69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95"/>
      <c r="B382" s="695"/>
      <c r="C382" s="695"/>
      <c r="D382" s="695"/>
      <c r="E382" s="695"/>
      <c r="F382" s="695"/>
      <c r="G382" s="695"/>
      <c r="H382" s="695"/>
      <c r="I382" s="695"/>
      <c r="J382" s="695"/>
      <c r="K382" s="695"/>
      <c r="L382" s="695"/>
      <c r="M382" s="695"/>
      <c r="N382" s="695"/>
      <c r="O382" s="696"/>
      <c r="P382" s="692" t="s">
        <v>40</v>
      </c>
      <c r="Q382" s="693"/>
      <c r="R382" s="693"/>
      <c r="S382" s="693"/>
      <c r="T382" s="693"/>
      <c r="U382" s="693"/>
      <c r="V382" s="69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95"/>
      <c r="B383" s="695"/>
      <c r="C383" s="695"/>
      <c r="D383" s="695"/>
      <c r="E383" s="695"/>
      <c r="F383" s="695"/>
      <c r="G383" s="695"/>
      <c r="H383" s="695"/>
      <c r="I383" s="695"/>
      <c r="J383" s="695"/>
      <c r="K383" s="695"/>
      <c r="L383" s="695"/>
      <c r="M383" s="695"/>
      <c r="N383" s="695"/>
      <c r="O383" s="696"/>
      <c r="P383" s="692" t="s">
        <v>40</v>
      </c>
      <c r="Q383" s="693"/>
      <c r="R383" s="693"/>
      <c r="S383" s="693"/>
      <c r="T383" s="693"/>
      <c r="U383" s="693"/>
      <c r="V383" s="69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 x14ac:dyDescent="0.25">
      <c r="A384" s="686" t="s">
        <v>104</v>
      </c>
      <c r="B384" s="686"/>
      <c r="C384" s="686"/>
      <c r="D384" s="686"/>
      <c r="E384" s="686"/>
      <c r="F384" s="686"/>
      <c r="G384" s="686"/>
      <c r="H384" s="686"/>
      <c r="I384" s="686"/>
      <c r="J384" s="686"/>
      <c r="K384" s="686"/>
      <c r="L384" s="686"/>
      <c r="M384" s="686"/>
      <c r="N384" s="686"/>
      <c r="O384" s="686"/>
      <c r="P384" s="686"/>
      <c r="Q384" s="686"/>
      <c r="R384" s="686"/>
      <c r="S384" s="686"/>
      <c r="T384" s="686"/>
      <c r="U384" s="686"/>
      <c r="V384" s="686"/>
      <c r="W384" s="686"/>
      <c r="X384" s="686"/>
      <c r="Y384" s="686"/>
      <c r="Z384" s="686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87">
        <v>4607091388381</v>
      </c>
      <c r="E385" s="68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89"/>
      <c r="R385" s="689"/>
      <c r="S385" s="689"/>
      <c r="T385" s="69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87">
        <v>4607091388374</v>
      </c>
      <c r="E386" s="68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89"/>
      <c r="R386" s="689"/>
      <c r="S386" s="689"/>
      <c r="T386" s="69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7">
        <v>4607091383102</v>
      </c>
      <c r="E387" s="68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89"/>
      <c r="R387" s="689"/>
      <c r="S387" s="689"/>
      <c r="T387" s="69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7">
        <v>4607091388404</v>
      </c>
      <c r="E388" s="68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89"/>
      <c r="R388" s="689"/>
      <c r="S388" s="689"/>
      <c r="T388" s="69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95"/>
      <c r="B389" s="695"/>
      <c r="C389" s="695"/>
      <c r="D389" s="695"/>
      <c r="E389" s="695"/>
      <c r="F389" s="695"/>
      <c r="G389" s="695"/>
      <c r="H389" s="695"/>
      <c r="I389" s="695"/>
      <c r="J389" s="695"/>
      <c r="K389" s="695"/>
      <c r="L389" s="695"/>
      <c r="M389" s="695"/>
      <c r="N389" s="695"/>
      <c r="O389" s="696"/>
      <c r="P389" s="692" t="s">
        <v>40</v>
      </c>
      <c r="Q389" s="693"/>
      <c r="R389" s="693"/>
      <c r="S389" s="693"/>
      <c r="T389" s="693"/>
      <c r="U389" s="693"/>
      <c r="V389" s="69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95"/>
      <c r="B390" s="695"/>
      <c r="C390" s="695"/>
      <c r="D390" s="695"/>
      <c r="E390" s="695"/>
      <c r="F390" s="695"/>
      <c r="G390" s="695"/>
      <c r="H390" s="695"/>
      <c r="I390" s="695"/>
      <c r="J390" s="695"/>
      <c r="K390" s="695"/>
      <c r="L390" s="695"/>
      <c r="M390" s="695"/>
      <c r="N390" s="695"/>
      <c r="O390" s="696"/>
      <c r="P390" s="692" t="s">
        <v>40</v>
      </c>
      <c r="Q390" s="693"/>
      <c r="R390" s="693"/>
      <c r="S390" s="693"/>
      <c r="T390" s="693"/>
      <c r="U390" s="693"/>
      <c r="V390" s="69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86" t="s">
        <v>647</v>
      </c>
      <c r="B391" s="686"/>
      <c r="C391" s="686"/>
      <c r="D391" s="686"/>
      <c r="E391" s="686"/>
      <c r="F391" s="686"/>
      <c r="G391" s="686"/>
      <c r="H391" s="686"/>
      <c r="I391" s="686"/>
      <c r="J391" s="686"/>
      <c r="K391" s="686"/>
      <c r="L391" s="686"/>
      <c r="M391" s="686"/>
      <c r="N391" s="686"/>
      <c r="O391" s="686"/>
      <c r="P391" s="686"/>
      <c r="Q391" s="686"/>
      <c r="R391" s="686"/>
      <c r="S391" s="686"/>
      <c r="T391" s="686"/>
      <c r="U391" s="686"/>
      <c r="V391" s="686"/>
      <c r="W391" s="686"/>
      <c r="X391" s="686"/>
      <c r="Y391" s="686"/>
      <c r="Z391" s="686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87">
        <v>4680115881808</v>
      </c>
      <c r="E392" s="68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89"/>
      <c r="R392" s="689"/>
      <c r="S392" s="689"/>
      <c r="T392" s="69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87">
        <v>4680115881822</v>
      </c>
      <c r="E393" s="68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89"/>
      <c r="R393" s="689"/>
      <c r="S393" s="689"/>
      <c r="T393" s="69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87">
        <v>4680115880016</v>
      </c>
      <c r="E394" s="68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89"/>
      <c r="R394" s="689"/>
      <c r="S394" s="689"/>
      <c r="T394" s="69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95"/>
      <c r="B395" s="695"/>
      <c r="C395" s="695"/>
      <c r="D395" s="695"/>
      <c r="E395" s="695"/>
      <c r="F395" s="695"/>
      <c r="G395" s="695"/>
      <c r="H395" s="695"/>
      <c r="I395" s="695"/>
      <c r="J395" s="695"/>
      <c r="K395" s="695"/>
      <c r="L395" s="695"/>
      <c r="M395" s="695"/>
      <c r="N395" s="695"/>
      <c r="O395" s="696"/>
      <c r="P395" s="692" t="s">
        <v>40</v>
      </c>
      <c r="Q395" s="693"/>
      <c r="R395" s="693"/>
      <c r="S395" s="693"/>
      <c r="T395" s="693"/>
      <c r="U395" s="693"/>
      <c r="V395" s="69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95"/>
      <c r="B396" s="695"/>
      <c r="C396" s="695"/>
      <c r="D396" s="695"/>
      <c r="E396" s="695"/>
      <c r="F396" s="695"/>
      <c r="G396" s="695"/>
      <c r="H396" s="695"/>
      <c r="I396" s="695"/>
      <c r="J396" s="695"/>
      <c r="K396" s="695"/>
      <c r="L396" s="695"/>
      <c r="M396" s="695"/>
      <c r="N396" s="695"/>
      <c r="O396" s="696"/>
      <c r="P396" s="692" t="s">
        <v>40</v>
      </c>
      <c r="Q396" s="693"/>
      <c r="R396" s="693"/>
      <c r="S396" s="693"/>
      <c r="T396" s="693"/>
      <c r="U396" s="693"/>
      <c r="V396" s="69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85" t="s">
        <v>656</v>
      </c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5"/>
      <c r="P397" s="685"/>
      <c r="Q397" s="685"/>
      <c r="R397" s="685"/>
      <c r="S397" s="685"/>
      <c r="T397" s="685"/>
      <c r="U397" s="685"/>
      <c r="V397" s="685"/>
      <c r="W397" s="685"/>
      <c r="X397" s="685"/>
      <c r="Y397" s="685"/>
      <c r="Z397" s="685"/>
      <c r="AA397" s="65"/>
      <c r="AB397" s="65"/>
      <c r="AC397" s="79"/>
    </row>
    <row r="398" spans="1:68" ht="14.25" customHeight="1" x14ac:dyDescent="0.25">
      <c r="A398" s="686" t="s">
        <v>86</v>
      </c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86"/>
      <c r="P398" s="686"/>
      <c r="Q398" s="686"/>
      <c r="R398" s="686"/>
      <c r="S398" s="686"/>
      <c r="T398" s="686"/>
      <c r="U398" s="686"/>
      <c r="V398" s="686"/>
      <c r="W398" s="686"/>
      <c r="X398" s="686"/>
      <c r="Y398" s="686"/>
      <c r="Z398" s="686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7">
        <v>4607091387919</v>
      </c>
      <c r="E399" s="687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89"/>
      <c r="R399" s="689"/>
      <c r="S399" s="689"/>
      <c r="T399" s="690"/>
      <c r="U399" s="39" t="s">
        <v>46</v>
      </c>
      <c r="V399" s="39" t="s">
        <v>46</v>
      </c>
      <c r="W399" s="40" t="s">
        <v>0</v>
      </c>
      <c r="X399" s="58">
        <v>15</v>
      </c>
      <c r="Y399" s="55">
        <f>IFERROR(IF(X399="",0,CEILING((X399/$H399),1)*$H399),"")</f>
        <v>16.2</v>
      </c>
      <c r="Z399" s="41">
        <f>IFERROR(IF(Y399=0,"",ROUNDUP(Y399/H399,0)*0.01898),"")</f>
        <v>3.7960000000000001E-2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15.914814814814815</v>
      </c>
      <c r="BN399" s="78">
        <f>IFERROR(Y399*I399/H399,"0")</f>
        <v>17.187999999999999</v>
      </c>
      <c r="BO399" s="78">
        <f>IFERROR(1/J399*(X399/H399),"0")</f>
        <v>2.8935185185185185E-2</v>
      </c>
      <c r="BP399" s="78">
        <f>IFERROR(1/J399*(Y399/H399),"0")</f>
        <v>3.125E-2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7">
        <v>4680115883604</v>
      </c>
      <c r="E400" s="687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8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89"/>
      <c r="R400" s="689"/>
      <c r="S400" s="689"/>
      <c r="T400" s="690"/>
      <c r="U400" s="39" t="s">
        <v>46</v>
      </c>
      <c r="V400" s="39" t="s">
        <v>46</v>
      </c>
      <c r="W400" s="40" t="s">
        <v>0</v>
      </c>
      <c r="X400" s="58">
        <v>42</v>
      </c>
      <c r="Y400" s="55">
        <f>IFERROR(IF(X400="",0,CEILING((X400/$H400),1)*$H400),"")</f>
        <v>42</v>
      </c>
      <c r="Z400" s="41">
        <f>IFERROR(IF(Y400=0,"",ROUNDUP(Y400/H400,0)*0.00651),"")</f>
        <v>0.13020000000000001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47.039999999999992</v>
      </c>
      <c r="BN400" s="78">
        <f>IFERROR(Y400*I400/H400,"0")</f>
        <v>47.039999999999992</v>
      </c>
      <c r="BO400" s="78">
        <f>IFERROR(1/J400*(X400/H400),"0")</f>
        <v>0.1098901098901099</v>
      </c>
      <c r="BP400" s="78">
        <f>IFERROR(1/J400*(Y400/H400),"0")</f>
        <v>0.1098901098901099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7">
        <v>4680115883567</v>
      </c>
      <c r="E401" s="687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89"/>
      <c r="R401" s="689"/>
      <c r="S401" s="689"/>
      <c r="T401" s="690"/>
      <c r="U401" s="39" t="s">
        <v>46</v>
      </c>
      <c r="V401" s="39" t="s">
        <v>46</v>
      </c>
      <c r="W401" s="40" t="s">
        <v>0</v>
      </c>
      <c r="X401" s="58">
        <v>28</v>
      </c>
      <c r="Y401" s="55">
        <f>IFERROR(IF(X401="",0,CEILING((X401/$H401),1)*$H401),"")</f>
        <v>29.400000000000002</v>
      </c>
      <c r="Z401" s="41">
        <f>IFERROR(IF(Y401=0,"",ROUNDUP(Y401/H401,0)*0.00651),"")</f>
        <v>9.1139999999999999E-2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31.199999999999996</v>
      </c>
      <c r="BN401" s="78">
        <f>IFERROR(Y401*I401/H401,"0")</f>
        <v>32.760000000000005</v>
      </c>
      <c r="BO401" s="78">
        <f>IFERROR(1/J401*(X401/H401),"0")</f>
        <v>7.3260073260073263E-2</v>
      </c>
      <c r="BP401" s="78">
        <f>IFERROR(1/J401*(Y401/H401),"0")</f>
        <v>7.6923076923076927E-2</v>
      </c>
    </row>
    <row r="402" spans="1:68" x14ac:dyDescent="0.2">
      <c r="A402" s="695"/>
      <c r="B402" s="695"/>
      <c r="C402" s="695"/>
      <c r="D402" s="695"/>
      <c r="E402" s="695"/>
      <c r="F402" s="695"/>
      <c r="G402" s="695"/>
      <c r="H402" s="695"/>
      <c r="I402" s="695"/>
      <c r="J402" s="695"/>
      <c r="K402" s="695"/>
      <c r="L402" s="695"/>
      <c r="M402" s="695"/>
      <c r="N402" s="695"/>
      <c r="O402" s="696"/>
      <c r="P402" s="692" t="s">
        <v>40</v>
      </c>
      <c r="Q402" s="693"/>
      <c r="R402" s="693"/>
      <c r="S402" s="693"/>
      <c r="T402" s="693"/>
      <c r="U402" s="693"/>
      <c r="V402" s="694"/>
      <c r="W402" s="42" t="s">
        <v>39</v>
      </c>
      <c r="X402" s="43">
        <f>IFERROR(X399/H399,"0")+IFERROR(X400/H400,"0")+IFERROR(X401/H401,"0")</f>
        <v>35.185185185185183</v>
      </c>
      <c r="Y402" s="43">
        <f>IFERROR(Y399/H399,"0")+IFERROR(Y400/H400,"0")+IFERROR(Y401/H401,"0")</f>
        <v>36</v>
      </c>
      <c r="Z402" s="43">
        <f>IFERROR(IF(Z399="",0,Z399),"0")+IFERROR(IF(Z400="",0,Z400),"0")+IFERROR(IF(Z401="",0,Z401),"0")</f>
        <v>0.25929999999999997</v>
      </c>
      <c r="AA402" s="67"/>
      <c r="AB402" s="67"/>
      <c r="AC402" s="67"/>
    </row>
    <row r="403" spans="1:68" x14ac:dyDescent="0.2">
      <c r="A403" s="695"/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6"/>
      <c r="P403" s="692" t="s">
        <v>40</v>
      </c>
      <c r="Q403" s="693"/>
      <c r="R403" s="693"/>
      <c r="S403" s="693"/>
      <c r="T403" s="693"/>
      <c r="U403" s="693"/>
      <c r="V403" s="694"/>
      <c r="W403" s="42" t="s">
        <v>0</v>
      </c>
      <c r="X403" s="43">
        <f>IFERROR(SUM(X399:X401),"0")</f>
        <v>85</v>
      </c>
      <c r="Y403" s="43">
        <f>IFERROR(SUM(Y399:Y401),"0")</f>
        <v>87.600000000000009</v>
      </c>
      <c r="Z403" s="42"/>
      <c r="AA403" s="67"/>
      <c r="AB403" s="67"/>
      <c r="AC403" s="67"/>
    </row>
    <row r="404" spans="1:68" ht="27.75" customHeight="1" x14ac:dyDescent="0.2">
      <c r="A404" s="684" t="s">
        <v>666</v>
      </c>
      <c r="B404" s="684"/>
      <c r="C404" s="684"/>
      <c r="D404" s="68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4"/>
      <c r="T404" s="684"/>
      <c r="U404" s="684"/>
      <c r="V404" s="684"/>
      <c r="W404" s="684"/>
      <c r="X404" s="684"/>
      <c r="Y404" s="684"/>
      <c r="Z404" s="684"/>
      <c r="AA404" s="54"/>
      <c r="AB404" s="54"/>
      <c r="AC404" s="54"/>
    </row>
    <row r="405" spans="1:68" ht="16.5" customHeight="1" x14ac:dyDescent="0.25">
      <c r="A405" s="685" t="s">
        <v>667</v>
      </c>
      <c r="B405" s="685"/>
      <c r="C405" s="685"/>
      <c r="D405" s="685"/>
      <c r="E405" s="685"/>
      <c r="F405" s="685"/>
      <c r="G405" s="685"/>
      <c r="H405" s="685"/>
      <c r="I405" s="685"/>
      <c r="J405" s="685"/>
      <c r="K405" s="685"/>
      <c r="L405" s="685"/>
      <c r="M405" s="685"/>
      <c r="N405" s="685"/>
      <c r="O405" s="685"/>
      <c r="P405" s="685"/>
      <c r="Q405" s="685"/>
      <c r="R405" s="685"/>
      <c r="S405" s="685"/>
      <c r="T405" s="685"/>
      <c r="U405" s="685"/>
      <c r="V405" s="685"/>
      <c r="W405" s="685"/>
      <c r="X405" s="685"/>
      <c r="Y405" s="685"/>
      <c r="Z405" s="685"/>
      <c r="AA405" s="65"/>
      <c r="AB405" s="65"/>
      <c r="AC405" s="79"/>
    </row>
    <row r="406" spans="1:68" ht="14.25" customHeight="1" x14ac:dyDescent="0.25">
      <c r="A406" s="686" t="s">
        <v>129</v>
      </c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  <c r="L406" s="686"/>
      <c r="M406" s="686"/>
      <c r="N406" s="686"/>
      <c r="O406" s="686"/>
      <c r="P406" s="686"/>
      <c r="Q406" s="686"/>
      <c r="R406" s="686"/>
      <c r="S406" s="686"/>
      <c r="T406" s="686"/>
      <c r="U406" s="686"/>
      <c r="V406" s="686"/>
      <c r="W406" s="686"/>
      <c r="X406" s="686"/>
      <c r="Y406" s="686"/>
      <c r="Z406" s="686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7">
        <v>4680115888401</v>
      </c>
      <c r="E407" s="687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89"/>
      <c r="R407" s="689"/>
      <c r="S407" s="689"/>
      <c r="T407" s="690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7">
        <v>4680115884847</v>
      </c>
      <c r="E408" s="687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89"/>
      <c r="R408" s="689"/>
      <c r="S408" s="689"/>
      <c r="T408" s="690"/>
      <c r="U408" s="39" t="s">
        <v>46</v>
      </c>
      <c r="V408" s="39" t="s">
        <v>46</v>
      </c>
      <c r="W408" s="40" t="s">
        <v>0</v>
      </c>
      <c r="X408" s="58">
        <v>100</v>
      </c>
      <c r="Y408" s="55">
        <f t="shared" si="57"/>
        <v>105</v>
      </c>
      <c r="Z408" s="41">
        <f>IFERROR(IF(Y408=0,"",ROUNDUP(Y408/H408,0)*0.02175),"")</f>
        <v>0.15225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103.13333333333334</v>
      </c>
      <c r="BN408" s="78">
        <f t="shared" si="59"/>
        <v>108.29</v>
      </c>
      <c r="BO408" s="78">
        <f t="shared" si="60"/>
        <v>0.1388888888888889</v>
      </c>
      <c r="BP408" s="78">
        <f t="shared" si="61"/>
        <v>0.14583333333333331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7">
        <v>4680115884854</v>
      </c>
      <c r="E409" s="687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89"/>
      <c r="R409" s="689"/>
      <c r="S409" s="689"/>
      <c r="T409" s="690"/>
      <c r="U409" s="39" t="s">
        <v>46</v>
      </c>
      <c r="V409" s="39" t="s">
        <v>46</v>
      </c>
      <c r="W409" s="40" t="s">
        <v>0</v>
      </c>
      <c r="X409" s="58">
        <v>200</v>
      </c>
      <c r="Y409" s="55">
        <f t="shared" si="57"/>
        <v>210</v>
      </c>
      <c r="Z409" s="41">
        <f>IFERROR(IF(Y409=0,"",ROUNDUP(Y409/H409,0)*0.02175),"")</f>
        <v>0.30449999999999999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206.26666666666668</v>
      </c>
      <c r="BN409" s="78">
        <f t="shared" si="59"/>
        <v>216.58</v>
      </c>
      <c r="BO409" s="78">
        <f t="shared" si="60"/>
        <v>0.27777777777777779</v>
      </c>
      <c r="BP409" s="78">
        <f t="shared" si="61"/>
        <v>0.29166666666666663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7">
        <v>4680115884830</v>
      </c>
      <c r="E410" s="687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89"/>
      <c r="R410" s="689"/>
      <c r="S410" s="689"/>
      <c r="T410" s="690"/>
      <c r="U410" s="39" t="s">
        <v>46</v>
      </c>
      <c r="V410" s="39" t="s">
        <v>46</v>
      </c>
      <c r="W410" s="40" t="s">
        <v>0</v>
      </c>
      <c r="X410" s="58">
        <v>500</v>
      </c>
      <c r="Y410" s="55">
        <f t="shared" si="57"/>
        <v>510</v>
      </c>
      <c r="Z410" s="41">
        <f>IFERROR(IF(Y410=0,"",ROUNDUP(Y410/H410,0)*0.02175),"")</f>
        <v>0.73949999999999994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515.66666666666663</v>
      </c>
      <c r="BN410" s="78">
        <f t="shared" si="59"/>
        <v>525.98</v>
      </c>
      <c r="BO410" s="78">
        <f t="shared" si="60"/>
        <v>0.69444444444444442</v>
      </c>
      <c r="BP410" s="78">
        <f t="shared" si="61"/>
        <v>0.70833333333333326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7">
        <v>4680115889231</v>
      </c>
      <c r="E411" s="687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89"/>
      <c r="R411" s="689"/>
      <c r="S411" s="689"/>
      <c r="T411" s="690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87">
        <v>4680115882638</v>
      </c>
      <c r="E412" s="687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89"/>
      <c r="R412" s="689"/>
      <c r="S412" s="689"/>
      <c r="T412" s="690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87">
        <v>4680115884922</v>
      </c>
      <c r="E413" s="687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89"/>
      <c r="R413" s="689"/>
      <c r="S413" s="689"/>
      <c r="T413" s="69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7">
        <v>4680115884861</v>
      </c>
      <c r="E414" s="687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89"/>
      <c r="R414" s="689"/>
      <c r="S414" s="689"/>
      <c r="T414" s="69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95"/>
      <c r="B415" s="695"/>
      <c r="C415" s="695"/>
      <c r="D415" s="695"/>
      <c r="E415" s="695"/>
      <c r="F415" s="695"/>
      <c r="G415" s="695"/>
      <c r="H415" s="695"/>
      <c r="I415" s="695"/>
      <c r="J415" s="695"/>
      <c r="K415" s="695"/>
      <c r="L415" s="695"/>
      <c r="M415" s="695"/>
      <c r="N415" s="695"/>
      <c r="O415" s="696"/>
      <c r="P415" s="692" t="s">
        <v>40</v>
      </c>
      <c r="Q415" s="693"/>
      <c r="R415" s="693"/>
      <c r="S415" s="693"/>
      <c r="T415" s="693"/>
      <c r="U415" s="693"/>
      <c r="V415" s="694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53.333333333333336</v>
      </c>
      <c r="Y415" s="43">
        <f>IFERROR(Y407/H407,"0")+IFERROR(Y408/H408,"0")+IFERROR(Y409/H409,"0")+IFERROR(Y410/H410,"0")+IFERROR(Y411/H411,"0")+IFERROR(Y412/H412,"0")+IFERROR(Y413/H413,"0")+IFERROR(Y414/H414,"0")</f>
        <v>55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1.19625</v>
      </c>
      <c r="AA415" s="67"/>
      <c r="AB415" s="67"/>
      <c r="AC415" s="67"/>
    </row>
    <row r="416" spans="1:68" x14ac:dyDescent="0.2">
      <c r="A416" s="695"/>
      <c r="B416" s="695"/>
      <c r="C416" s="695"/>
      <c r="D416" s="695"/>
      <c r="E416" s="695"/>
      <c r="F416" s="695"/>
      <c r="G416" s="695"/>
      <c r="H416" s="695"/>
      <c r="I416" s="695"/>
      <c r="J416" s="695"/>
      <c r="K416" s="695"/>
      <c r="L416" s="695"/>
      <c r="M416" s="695"/>
      <c r="N416" s="695"/>
      <c r="O416" s="696"/>
      <c r="P416" s="692" t="s">
        <v>40</v>
      </c>
      <c r="Q416" s="693"/>
      <c r="R416" s="693"/>
      <c r="S416" s="693"/>
      <c r="T416" s="693"/>
      <c r="U416" s="693"/>
      <c r="V416" s="694"/>
      <c r="W416" s="42" t="s">
        <v>0</v>
      </c>
      <c r="X416" s="43">
        <f>IFERROR(SUM(X407:X414),"0")</f>
        <v>800</v>
      </c>
      <c r="Y416" s="43">
        <f>IFERROR(SUM(Y407:Y414),"0")</f>
        <v>825</v>
      </c>
      <c r="Z416" s="42"/>
      <c r="AA416" s="67"/>
      <c r="AB416" s="67"/>
      <c r="AC416" s="67"/>
    </row>
    <row r="417" spans="1:68" ht="14.25" customHeight="1" x14ac:dyDescent="0.25">
      <c r="A417" s="686" t="s">
        <v>166</v>
      </c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86"/>
      <c r="P417" s="686"/>
      <c r="Q417" s="686"/>
      <c r="R417" s="686"/>
      <c r="S417" s="686"/>
      <c r="T417" s="686"/>
      <c r="U417" s="686"/>
      <c r="V417" s="686"/>
      <c r="W417" s="686"/>
      <c r="X417" s="686"/>
      <c r="Y417" s="686"/>
      <c r="Z417" s="686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7">
        <v>4607091383980</v>
      </c>
      <c r="E418" s="687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89"/>
      <c r="R418" s="689"/>
      <c r="S418" s="689"/>
      <c r="T418" s="690"/>
      <c r="U418" s="39" t="s">
        <v>46</v>
      </c>
      <c r="V418" s="39" t="s">
        <v>46</v>
      </c>
      <c r="W418" s="40" t="s">
        <v>0</v>
      </c>
      <c r="X418" s="58">
        <v>300</v>
      </c>
      <c r="Y418" s="55">
        <f>IFERROR(IF(X418="",0,CEILING((X418/$H418),1)*$H418),"")</f>
        <v>300</v>
      </c>
      <c r="Z418" s="41">
        <f>IFERROR(IF(Y418=0,"",ROUNDUP(Y418/H418,0)*0.02175),"")</f>
        <v>0.43499999999999994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309.39999999999998</v>
      </c>
      <c r="BN418" s="78">
        <f>IFERROR(Y418*I418/H418,"0")</f>
        <v>309.39999999999998</v>
      </c>
      <c r="BO418" s="78">
        <f>IFERROR(1/J418*(X418/H418),"0")</f>
        <v>0.41666666666666663</v>
      </c>
      <c r="BP418" s="78">
        <f>IFERROR(1/J418*(Y418/H418),"0")</f>
        <v>0.41666666666666663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87">
        <v>4680115888425</v>
      </c>
      <c r="E419" s="687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89"/>
      <c r="R419" s="689"/>
      <c r="S419" s="689"/>
      <c r="T419" s="69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7">
        <v>4607091384178</v>
      </c>
      <c r="E420" s="687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89"/>
      <c r="R420" s="689"/>
      <c r="S420" s="689"/>
      <c r="T420" s="69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5"/>
      <c r="B421" s="695"/>
      <c r="C421" s="695"/>
      <c r="D421" s="695"/>
      <c r="E421" s="695"/>
      <c r="F421" s="695"/>
      <c r="G421" s="695"/>
      <c r="H421" s="695"/>
      <c r="I421" s="695"/>
      <c r="J421" s="695"/>
      <c r="K421" s="695"/>
      <c r="L421" s="695"/>
      <c r="M421" s="695"/>
      <c r="N421" s="695"/>
      <c r="O421" s="696"/>
      <c r="P421" s="692" t="s">
        <v>40</v>
      </c>
      <c r="Q421" s="693"/>
      <c r="R421" s="693"/>
      <c r="S421" s="693"/>
      <c r="T421" s="693"/>
      <c r="U421" s="693"/>
      <c r="V421" s="694"/>
      <c r="W421" s="42" t="s">
        <v>39</v>
      </c>
      <c r="X421" s="43">
        <f>IFERROR(X418/H418,"0")+IFERROR(X419/H419,"0")+IFERROR(X420/H420,"0")</f>
        <v>20</v>
      </c>
      <c r="Y421" s="43">
        <f>IFERROR(Y418/H418,"0")+IFERROR(Y419/H419,"0")+IFERROR(Y420/H420,"0")</f>
        <v>20</v>
      </c>
      <c r="Z421" s="43">
        <f>IFERROR(IF(Z418="",0,Z418),"0")+IFERROR(IF(Z419="",0,Z419),"0")+IFERROR(IF(Z420="",0,Z420),"0")</f>
        <v>0.43499999999999994</v>
      </c>
      <c r="AA421" s="67"/>
      <c r="AB421" s="67"/>
      <c r="AC421" s="67"/>
    </row>
    <row r="422" spans="1:68" x14ac:dyDescent="0.2">
      <c r="A422" s="695"/>
      <c r="B422" s="695"/>
      <c r="C422" s="695"/>
      <c r="D422" s="695"/>
      <c r="E422" s="695"/>
      <c r="F422" s="695"/>
      <c r="G422" s="695"/>
      <c r="H422" s="695"/>
      <c r="I422" s="695"/>
      <c r="J422" s="695"/>
      <c r="K422" s="695"/>
      <c r="L422" s="695"/>
      <c r="M422" s="695"/>
      <c r="N422" s="695"/>
      <c r="O422" s="696"/>
      <c r="P422" s="692" t="s">
        <v>40</v>
      </c>
      <c r="Q422" s="693"/>
      <c r="R422" s="693"/>
      <c r="S422" s="693"/>
      <c r="T422" s="693"/>
      <c r="U422" s="693"/>
      <c r="V422" s="694"/>
      <c r="W422" s="42" t="s">
        <v>0</v>
      </c>
      <c r="X422" s="43">
        <f>IFERROR(SUM(X418:X420),"0")</f>
        <v>300</v>
      </c>
      <c r="Y422" s="43">
        <f>IFERROR(SUM(Y418:Y420),"0")</f>
        <v>300</v>
      </c>
      <c r="Z422" s="42"/>
      <c r="AA422" s="67"/>
      <c r="AB422" s="67"/>
      <c r="AC422" s="67"/>
    </row>
    <row r="423" spans="1:68" ht="14.25" customHeight="1" x14ac:dyDescent="0.25">
      <c r="A423" s="686" t="s">
        <v>86</v>
      </c>
      <c r="B423" s="686"/>
      <c r="C423" s="686"/>
      <c r="D423" s="686"/>
      <c r="E423" s="686"/>
      <c r="F423" s="686"/>
      <c r="G423" s="686"/>
      <c r="H423" s="686"/>
      <c r="I423" s="686"/>
      <c r="J423" s="686"/>
      <c r="K423" s="686"/>
      <c r="L423" s="686"/>
      <c r="M423" s="686"/>
      <c r="N423" s="686"/>
      <c r="O423" s="686"/>
      <c r="P423" s="686"/>
      <c r="Q423" s="686"/>
      <c r="R423" s="686"/>
      <c r="S423" s="686"/>
      <c r="T423" s="686"/>
      <c r="U423" s="686"/>
      <c r="V423" s="686"/>
      <c r="W423" s="686"/>
      <c r="X423" s="686"/>
      <c r="Y423" s="686"/>
      <c r="Z423" s="686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87">
        <v>4607091383928</v>
      </c>
      <c r="E424" s="687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89"/>
      <c r="R424" s="689"/>
      <c r="S424" s="689"/>
      <c r="T424" s="69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87">
        <v>4607091384260</v>
      </c>
      <c r="E425" s="687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89"/>
      <c r="R425" s="689"/>
      <c r="S425" s="689"/>
      <c r="T425" s="69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95"/>
      <c r="B426" s="695"/>
      <c r="C426" s="695"/>
      <c r="D426" s="695"/>
      <c r="E426" s="695"/>
      <c r="F426" s="695"/>
      <c r="G426" s="695"/>
      <c r="H426" s="695"/>
      <c r="I426" s="695"/>
      <c r="J426" s="695"/>
      <c r="K426" s="695"/>
      <c r="L426" s="695"/>
      <c r="M426" s="695"/>
      <c r="N426" s="695"/>
      <c r="O426" s="696"/>
      <c r="P426" s="692" t="s">
        <v>40</v>
      </c>
      <c r="Q426" s="693"/>
      <c r="R426" s="693"/>
      <c r="S426" s="693"/>
      <c r="T426" s="693"/>
      <c r="U426" s="693"/>
      <c r="V426" s="694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95"/>
      <c r="B427" s="695"/>
      <c r="C427" s="695"/>
      <c r="D427" s="695"/>
      <c r="E427" s="695"/>
      <c r="F427" s="695"/>
      <c r="G427" s="695"/>
      <c r="H427" s="695"/>
      <c r="I427" s="695"/>
      <c r="J427" s="695"/>
      <c r="K427" s="695"/>
      <c r="L427" s="695"/>
      <c r="M427" s="695"/>
      <c r="N427" s="695"/>
      <c r="O427" s="696"/>
      <c r="P427" s="692" t="s">
        <v>40</v>
      </c>
      <c r="Q427" s="693"/>
      <c r="R427" s="693"/>
      <c r="S427" s="693"/>
      <c r="T427" s="693"/>
      <c r="U427" s="693"/>
      <c r="V427" s="694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86" t="s">
        <v>183</v>
      </c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86"/>
      <c r="P428" s="686"/>
      <c r="Q428" s="686"/>
      <c r="R428" s="686"/>
      <c r="S428" s="686"/>
      <c r="T428" s="686"/>
      <c r="U428" s="686"/>
      <c r="V428" s="686"/>
      <c r="W428" s="686"/>
      <c r="X428" s="686"/>
      <c r="Y428" s="686"/>
      <c r="Z428" s="686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7">
        <v>4607091384673</v>
      </c>
      <c r="E429" s="687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89"/>
      <c r="R429" s="689"/>
      <c r="S429" s="689"/>
      <c r="T429" s="690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95"/>
      <c r="B430" s="695"/>
      <c r="C430" s="695"/>
      <c r="D430" s="695"/>
      <c r="E430" s="695"/>
      <c r="F430" s="695"/>
      <c r="G430" s="695"/>
      <c r="H430" s="695"/>
      <c r="I430" s="695"/>
      <c r="J430" s="695"/>
      <c r="K430" s="695"/>
      <c r="L430" s="695"/>
      <c r="M430" s="695"/>
      <c r="N430" s="695"/>
      <c r="O430" s="696"/>
      <c r="P430" s="692" t="s">
        <v>40</v>
      </c>
      <c r="Q430" s="693"/>
      <c r="R430" s="693"/>
      <c r="S430" s="693"/>
      <c r="T430" s="693"/>
      <c r="U430" s="693"/>
      <c r="V430" s="694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x14ac:dyDescent="0.2">
      <c r="A431" s="695"/>
      <c r="B431" s="695"/>
      <c r="C431" s="695"/>
      <c r="D431" s="695"/>
      <c r="E431" s="695"/>
      <c r="F431" s="695"/>
      <c r="G431" s="695"/>
      <c r="H431" s="695"/>
      <c r="I431" s="695"/>
      <c r="J431" s="695"/>
      <c r="K431" s="695"/>
      <c r="L431" s="695"/>
      <c r="M431" s="695"/>
      <c r="N431" s="695"/>
      <c r="O431" s="696"/>
      <c r="P431" s="692" t="s">
        <v>40</v>
      </c>
      <c r="Q431" s="693"/>
      <c r="R431" s="693"/>
      <c r="S431" s="693"/>
      <c r="T431" s="693"/>
      <c r="U431" s="693"/>
      <c r="V431" s="694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 x14ac:dyDescent="0.25">
      <c r="A432" s="685" t="s">
        <v>710</v>
      </c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5"/>
      <c r="P432" s="685"/>
      <c r="Q432" s="685"/>
      <c r="R432" s="685"/>
      <c r="S432" s="685"/>
      <c r="T432" s="685"/>
      <c r="U432" s="685"/>
      <c r="V432" s="685"/>
      <c r="W432" s="685"/>
      <c r="X432" s="685"/>
      <c r="Y432" s="685"/>
      <c r="Z432" s="685"/>
      <c r="AA432" s="65"/>
      <c r="AB432" s="65"/>
      <c r="AC432" s="79"/>
    </row>
    <row r="433" spans="1:68" ht="14.25" customHeight="1" x14ac:dyDescent="0.25">
      <c r="A433" s="686" t="s">
        <v>129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87">
        <v>4680115884885</v>
      </c>
      <c r="E434" s="687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89"/>
      <c r="R434" s="689"/>
      <c r="S434" s="689"/>
      <c r="T434" s="690"/>
      <c r="U434" s="39" t="s">
        <v>46</v>
      </c>
      <c r="V434" s="39" t="s">
        <v>46</v>
      </c>
      <c r="W434" s="40" t="s">
        <v>0</v>
      </c>
      <c r="X434" s="58">
        <v>15</v>
      </c>
      <c r="Y434" s="55">
        <f>IFERROR(IF(X434="",0,CEILING((X434/$H434),1)*$H434),"")</f>
        <v>24</v>
      </c>
      <c r="Z434" s="41">
        <f>IFERROR(IF(Y434=0,"",ROUNDUP(Y434/H434,0)*0.01898),"")</f>
        <v>3.7960000000000001E-2</v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15.512500000000001</v>
      </c>
      <c r="BN434" s="78">
        <f>IFERROR(Y434*I434/H434,"0")</f>
        <v>24.820000000000004</v>
      </c>
      <c r="BO434" s="78">
        <f>IFERROR(1/J434*(X434/H434),"0")</f>
        <v>1.953125E-2</v>
      </c>
      <c r="BP434" s="78">
        <f>IFERROR(1/J434*(Y434/H434),"0")</f>
        <v>3.125E-2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87">
        <v>4680115884908</v>
      </c>
      <c r="E435" s="68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89"/>
      <c r="R435" s="689"/>
      <c r="S435" s="689"/>
      <c r="T435" s="69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95"/>
      <c r="B436" s="695"/>
      <c r="C436" s="695"/>
      <c r="D436" s="695"/>
      <c r="E436" s="695"/>
      <c r="F436" s="695"/>
      <c r="G436" s="695"/>
      <c r="H436" s="695"/>
      <c r="I436" s="695"/>
      <c r="J436" s="695"/>
      <c r="K436" s="695"/>
      <c r="L436" s="695"/>
      <c r="M436" s="695"/>
      <c r="N436" s="695"/>
      <c r="O436" s="696"/>
      <c r="P436" s="692" t="s">
        <v>40</v>
      </c>
      <c r="Q436" s="693"/>
      <c r="R436" s="693"/>
      <c r="S436" s="693"/>
      <c r="T436" s="693"/>
      <c r="U436" s="693"/>
      <c r="V436" s="694"/>
      <c r="W436" s="42" t="s">
        <v>39</v>
      </c>
      <c r="X436" s="43">
        <f>IFERROR(X434/H434,"0")+IFERROR(X435/H435,"0")</f>
        <v>1.25</v>
      </c>
      <c r="Y436" s="43">
        <f>IFERROR(Y434/H434,"0")+IFERROR(Y435/H435,"0")</f>
        <v>2</v>
      </c>
      <c r="Z436" s="43">
        <f>IFERROR(IF(Z434="",0,Z434),"0")+IFERROR(IF(Z435="",0,Z435),"0")</f>
        <v>3.7960000000000001E-2</v>
      </c>
      <c r="AA436" s="67"/>
      <c r="AB436" s="67"/>
      <c r="AC436" s="67"/>
    </row>
    <row r="437" spans="1:68" x14ac:dyDescent="0.2">
      <c r="A437" s="695"/>
      <c r="B437" s="695"/>
      <c r="C437" s="695"/>
      <c r="D437" s="695"/>
      <c r="E437" s="695"/>
      <c r="F437" s="695"/>
      <c r="G437" s="695"/>
      <c r="H437" s="695"/>
      <c r="I437" s="695"/>
      <c r="J437" s="695"/>
      <c r="K437" s="695"/>
      <c r="L437" s="695"/>
      <c r="M437" s="695"/>
      <c r="N437" s="695"/>
      <c r="O437" s="696"/>
      <c r="P437" s="692" t="s">
        <v>40</v>
      </c>
      <c r="Q437" s="693"/>
      <c r="R437" s="693"/>
      <c r="S437" s="693"/>
      <c r="T437" s="693"/>
      <c r="U437" s="693"/>
      <c r="V437" s="694"/>
      <c r="W437" s="42" t="s">
        <v>0</v>
      </c>
      <c r="X437" s="43">
        <f>IFERROR(SUM(X434:X435),"0")</f>
        <v>15</v>
      </c>
      <c r="Y437" s="43">
        <f>IFERROR(SUM(Y434:Y435),"0")</f>
        <v>24</v>
      </c>
      <c r="Z437" s="42"/>
      <c r="AA437" s="67"/>
      <c r="AB437" s="67"/>
      <c r="AC437" s="67"/>
    </row>
    <row r="438" spans="1:68" ht="14.25" customHeight="1" x14ac:dyDescent="0.25">
      <c r="A438" s="686" t="s">
        <v>77</v>
      </c>
      <c r="B438" s="686"/>
      <c r="C438" s="686"/>
      <c r="D438" s="686"/>
      <c r="E438" s="686"/>
      <c r="F438" s="686"/>
      <c r="G438" s="686"/>
      <c r="H438" s="686"/>
      <c r="I438" s="686"/>
      <c r="J438" s="686"/>
      <c r="K438" s="686"/>
      <c r="L438" s="686"/>
      <c r="M438" s="686"/>
      <c r="N438" s="686"/>
      <c r="O438" s="686"/>
      <c r="P438" s="686"/>
      <c r="Q438" s="686"/>
      <c r="R438" s="686"/>
      <c r="S438" s="686"/>
      <c r="T438" s="686"/>
      <c r="U438" s="686"/>
      <c r="V438" s="686"/>
      <c r="W438" s="686"/>
      <c r="X438" s="686"/>
      <c r="Y438" s="686"/>
      <c r="Z438" s="686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87">
        <v>4607091384802</v>
      </c>
      <c r="E439" s="687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89"/>
      <c r="R439" s="689"/>
      <c r="S439" s="689"/>
      <c r="T439" s="69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95"/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6"/>
      <c r="P440" s="692" t="s">
        <v>40</v>
      </c>
      <c r="Q440" s="693"/>
      <c r="R440" s="693"/>
      <c r="S440" s="693"/>
      <c r="T440" s="693"/>
      <c r="U440" s="693"/>
      <c r="V440" s="694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95"/>
      <c r="B441" s="695"/>
      <c r="C441" s="695"/>
      <c r="D441" s="695"/>
      <c r="E441" s="695"/>
      <c r="F441" s="695"/>
      <c r="G441" s="695"/>
      <c r="H441" s="695"/>
      <c r="I441" s="695"/>
      <c r="J441" s="695"/>
      <c r="K441" s="695"/>
      <c r="L441" s="695"/>
      <c r="M441" s="695"/>
      <c r="N441" s="695"/>
      <c r="O441" s="696"/>
      <c r="P441" s="692" t="s">
        <v>40</v>
      </c>
      <c r="Q441" s="693"/>
      <c r="R441" s="693"/>
      <c r="S441" s="693"/>
      <c r="T441" s="693"/>
      <c r="U441" s="693"/>
      <c r="V441" s="694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86" t="s">
        <v>86</v>
      </c>
      <c r="B442" s="686"/>
      <c r="C442" s="686"/>
      <c r="D442" s="686"/>
      <c r="E442" s="686"/>
      <c r="F442" s="686"/>
      <c r="G442" s="686"/>
      <c r="H442" s="686"/>
      <c r="I442" s="686"/>
      <c r="J442" s="686"/>
      <c r="K442" s="686"/>
      <c r="L442" s="686"/>
      <c r="M442" s="686"/>
      <c r="N442" s="686"/>
      <c r="O442" s="686"/>
      <c r="P442" s="686"/>
      <c r="Q442" s="686"/>
      <c r="R442" s="686"/>
      <c r="S442" s="686"/>
      <c r="T442" s="686"/>
      <c r="U442" s="686"/>
      <c r="V442" s="686"/>
      <c r="W442" s="686"/>
      <c r="X442" s="686"/>
      <c r="Y442" s="686"/>
      <c r="Z442" s="686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7">
        <v>4607091384246</v>
      </c>
      <c r="E443" s="687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89"/>
      <c r="R443" s="689"/>
      <c r="S443" s="689"/>
      <c r="T443" s="69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87">
        <v>4607091384253</v>
      </c>
      <c r="E444" s="687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89"/>
      <c r="R444" s="689"/>
      <c r="S444" s="689"/>
      <c r="T444" s="69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87">
        <v>4607091384253</v>
      </c>
      <c r="E445" s="687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89"/>
      <c r="R445" s="689"/>
      <c r="S445" s="689"/>
      <c r="T445" s="69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5"/>
      <c r="B446" s="695"/>
      <c r="C446" s="695"/>
      <c r="D446" s="695"/>
      <c r="E446" s="695"/>
      <c r="F446" s="695"/>
      <c r="G446" s="695"/>
      <c r="H446" s="695"/>
      <c r="I446" s="695"/>
      <c r="J446" s="695"/>
      <c r="K446" s="695"/>
      <c r="L446" s="695"/>
      <c r="M446" s="695"/>
      <c r="N446" s="695"/>
      <c r="O446" s="696"/>
      <c r="P446" s="692" t="s">
        <v>40</v>
      </c>
      <c r="Q446" s="693"/>
      <c r="R446" s="693"/>
      <c r="S446" s="693"/>
      <c r="T446" s="693"/>
      <c r="U446" s="693"/>
      <c r="V446" s="694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95"/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6"/>
      <c r="P447" s="692" t="s">
        <v>40</v>
      </c>
      <c r="Q447" s="693"/>
      <c r="R447" s="693"/>
      <c r="S447" s="693"/>
      <c r="T447" s="693"/>
      <c r="U447" s="693"/>
      <c r="V447" s="694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 x14ac:dyDescent="0.2">
      <c r="A448" s="684" t="s">
        <v>726</v>
      </c>
      <c r="B448" s="684"/>
      <c r="C448" s="684"/>
      <c r="D448" s="68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4"/>
      <c r="T448" s="684"/>
      <c r="U448" s="684"/>
      <c r="V448" s="684"/>
      <c r="W448" s="684"/>
      <c r="X448" s="684"/>
      <c r="Y448" s="684"/>
      <c r="Z448" s="684"/>
      <c r="AA448" s="54"/>
      <c r="AB448" s="54"/>
      <c r="AC448" s="54"/>
    </row>
    <row r="449" spans="1:68" ht="16.5" customHeight="1" x14ac:dyDescent="0.25">
      <c r="A449" s="685" t="s">
        <v>727</v>
      </c>
      <c r="B449" s="685"/>
      <c r="C449" s="685"/>
      <c r="D449" s="685"/>
      <c r="E449" s="685"/>
      <c r="F449" s="685"/>
      <c r="G449" s="685"/>
      <c r="H449" s="685"/>
      <c r="I449" s="685"/>
      <c r="J449" s="685"/>
      <c r="K449" s="685"/>
      <c r="L449" s="685"/>
      <c r="M449" s="685"/>
      <c r="N449" s="685"/>
      <c r="O449" s="685"/>
      <c r="P449" s="685"/>
      <c r="Q449" s="685"/>
      <c r="R449" s="685"/>
      <c r="S449" s="685"/>
      <c r="T449" s="685"/>
      <c r="U449" s="685"/>
      <c r="V449" s="685"/>
      <c r="W449" s="685"/>
      <c r="X449" s="685"/>
      <c r="Y449" s="685"/>
      <c r="Z449" s="685"/>
      <c r="AA449" s="65"/>
      <c r="AB449" s="65"/>
      <c r="AC449" s="79"/>
    </row>
    <row r="450" spans="1:68" ht="14.25" customHeight="1" x14ac:dyDescent="0.25">
      <c r="A450" s="686" t="s">
        <v>77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87">
        <v>4680115886100</v>
      </c>
      <c r="E451" s="687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89"/>
      <c r="R451" s="689"/>
      <c r="S451" s="689"/>
      <c r="T451" s="690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87">
        <v>4680115886124</v>
      </c>
      <c r="E452" s="687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89"/>
      <c r="R452" s="689"/>
      <c r="S452" s="689"/>
      <c r="T452" s="690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87">
        <v>4607091384338</v>
      </c>
      <c r="E453" s="687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89"/>
      <c r="R453" s="689"/>
      <c r="S453" s="689"/>
      <c r="T453" s="690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87">
        <v>4680115883161</v>
      </c>
      <c r="E454" s="687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89"/>
      <c r="R454" s="689"/>
      <c r="S454" s="689"/>
      <c r="T454" s="690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7">
        <v>4607091389531</v>
      </c>
      <c r="E455" s="687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89"/>
      <c r="R455" s="689"/>
      <c r="S455" s="689"/>
      <c r="T455" s="690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87">
        <v>4607091384345</v>
      </c>
      <c r="E456" s="687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89"/>
      <c r="R456" s="689"/>
      <c r="S456" s="689"/>
      <c r="T456" s="690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x14ac:dyDescent="0.2">
      <c r="A457" s="695"/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6"/>
      <c r="P457" s="692" t="s">
        <v>40</v>
      </c>
      <c r="Q457" s="693"/>
      <c r="R457" s="693"/>
      <c r="S457" s="693"/>
      <c r="T457" s="693"/>
      <c r="U457" s="693"/>
      <c r="V457" s="694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95"/>
      <c r="B458" s="695"/>
      <c r="C458" s="695"/>
      <c r="D458" s="695"/>
      <c r="E458" s="695"/>
      <c r="F458" s="695"/>
      <c r="G458" s="695"/>
      <c r="H458" s="695"/>
      <c r="I458" s="695"/>
      <c r="J458" s="695"/>
      <c r="K458" s="695"/>
      <c r="L458" s="695"/>
      <c r="M458" s="695"/>
      <c r="N458" s="695"/>
      <c r="O458" s="696"/>
      <c r="P458" s="692" t="s">
        <v>40</v>
      </c>
      <c r="Q458" s="693"/>
      <c r="R458" s="693"/>
      <c r="S458" s="693"/>
      <c r="T458" s="693"/>
      <c r="U458" s="693"/>
      <c r="V458" s="694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86" t="s">
        <v>86</v>
      </c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86"/>
      <c r="P459" s="686"/>
      <c r="Q459" s="686"/>
      <c r="R459" s="686"/>
      <c r="S459" s="686"/>
      <c r="T459" s="686"/>
      <c r="U459" s="686"/>
      <c r="V459" s="686"/>
      <c r="W459" s="686"/>
      <c r="X459" s="686"/>
      <c r="Y459" s="686"/>
      <c r="Z459" s="686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87">
        <v>4607091384352</v>
      </c>
      <c r="E460" s="687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89"/>
      <c r="R460" s="689"/>
      <c r="S460" s="689"/>
      <c r="T460" s="69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87">
        <v>4607091389654</v>
      </c>
      <c r="E461" s="687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89"/>
      <c r="R461" s="689"/>
      <c r="S461" s="689"/>
      <c r="T461" s="69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95"/>
      <c r="B462" s="695"/>
      <c r="C462" s="695"/>
      <c r="D462" s="695"/>
      <c r="E462" s="695"/>
      <c r="F462" s="695"/>
      <c r="G462" s="695"/>
      <c r="H462" s="695"/>
      <c r="I462" s="695"/>
      <c r="J462" s="695"/>
      <c r="K462" s="695"/>
      <c r="L462" s="695"/>
      <c r="M462" s="695"/>
      <c r="N462" s="695"/>
      <c r="O462" s="696"/>
      <c r="P462" s="692" t="s">
        <v>40</v>
      </c>
      <c r="Q462" s="693"/>
      <c r="R462" s="693"/>
      <c r="S462" s="693"/>
      <c r="T462" s="693"/>
      <c r="U462" s="693"/>
      <c r="V462" s="694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95"/>
      <c r="B463" s="695"/>
      <c r="C463" s="695"/>
      <c r="D463" s="695"/>
      <c r="E463" s="695"/>
      <c r="F463" s="695"/>
      <c r="G463" s="695"/>
      <c r="H463" s="695"/>
      <c r="I463" s="695"/>
      <c r="J463" s="695"/>
      <c r="K463" s="695"/>
      <c r="L463" s="695"/>
      <c r="M463" s="695"/>
      <c r="N463" s="695"/>
      <c r="O463" s="696"/>
      <c r="P463" s="692" t="s">
        <v>40</v>
      </c>
      <c r="Q463" s="693"/>
      <c r="R463" s="693"/>
      <c r="S463" s="693"/>
      <c r="T463" s="693"/>
      <c r="U463" s="693"/>
      <c r="V463" s="694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85" t="s">
        <v>750</v>
      </c>
      <c r="B464" s="685"/>
      <c r="C464" s="685"/>
      <c r="D464" s="685"/>
      <c r="E464" s="685"/>
      <c r="F464" s="685"/>
      <c r="G464" s="685"/>
      <c r="H464" s="685"/>
      <c r="I464" s="685"/>
      <c r="J464" s="685"/>
      <c r="K464" s="685"/>
      <c r="L464" s="685"/>
      <c r="M464" s="685"/>
      <c r="N464" s="685"/>
      <c r="O464" s="685"/>
      <c r="P464" s="685"/>
      <c r="Q464" s="685"/>
      <c r="R464" s="685"/>
      <c r="S464" s="685"/>
      <c r="T464" s="685"/>
      <c r="U464" s="685"/>
      <c r="V464" s="685"/>
      <c r="W464" s="685"/>
      <c r="X464" s="685"/>
      <c r="Y464" s="685"/>
      <c r="Z464" s="685"/>
      <c r="AA464" s="65"/>
      <c r="AB464" s="65"/>
      <c r="AC464" s="79"/>
    </row>
    <row r="465" spans="1:68" ht="14.25" customHeight="1" x14ac:dyDescent="0.25">
      <c r="A465" s="686" t="s">
        <v>166</v>
      </c>
      <c r="B465" s="686"/>
      <c r="C465" s="686"/>
      <c r="D465" s="686"/>
      <c r="E465" s="686"/>
      <c r="F465" s="686"/>
      <c r="G465" s="686"/>
      <c r="H465" s="686"/>
      <c r="I465" s="686"/>
      <c r="J465" s="686"/>
      <c r="K465" s="686"/>
      <c r="L465" s="686"/>
      <c r="M465" s="686"/>
      <c r="N465" s="686"/>
      <c r="O465" s="686"/>
      <c r="P465" s="686"/>
      <c r="Q465" s="686"/>
      <c r="R465" s="686"/>
      <c r="S465" s="686"/>
      <c r="T465" s="686"/>
      <c r="U465" s="686"/>
      <c r="V465" s="686"/>
      <c r="W465" s="686"/>
      <c r="X465" s="686"/>
      <c r="Y465" s="686"/>
      <c r="Z465" s="686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87">
        <v>4680115885240</v>
      </c>
      <c r="E466" s="687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2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89"/>
      <c r="R466" s="689"/>
      <c r="S466" s="689"/>
      <c r="T466" s="69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95"/>
      <c r="B467" s="695"/>
      <c r="C467" s="695"/>
      <c r="D467" s="695"/>
      <c r="E467" s="695"/>
      <c r="F467" s="695"/>
      <c r="G467" s="695"/>
      <c r="H467" s="695"/>
      <c r="I467" s="695"/>
      <c r="J467" s="695"/>
      <c r="K467" s="695"/>
      <c r="L467" s="695"/>
      <c r="M467" s="695"/>
      <c r="N467" s="695"/>
      <c r="O467" s="696"/>
      <c r="P467" s="692" t="s">
        <v>40</v>
      </c>
      <c r="Q467" s="693"/>
      <c r="R467" s="693"/>
      <c r="S467" s="693"/>
      <c r="T467" s="693"/>
      <c r="U467" s="693"/>
      <c r="V467" s="694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95"/>
      <c r="B468" s="695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695"/>
      <c r="O468" s="696"/>
      <c r="P468" s="692" t="s">
        <v>40</v>
      </c>
      <c r="Q468" s="693"/>
      <c r="R468" s="693"/>
      <c r="S468" s="693"/>
      <c r="T468" s="693"/>
      <c r="U468" s="693"/>
      <c r="V468" s="694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86" t="s">
        <v>77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87">
        <v>4680115886094</v>
      </c>
      <c r="E470" s="687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89"/>
      <c r="R470" s="689"/>
      <c r="S470" s="689"/>
      <c r="T470" s="690"/>
      <c r="U470" s="39" t="s">
        <v>46</v>
      </c>
      <c r="V470" s="39" t="s">
        <v>46</v>
      </c>
      <c r="W470" s="40" t="s">
        <v>0</v>
      </c>
      <c r="X470" s="58">
        <v>15</v>
      </c>
      <c r="Y470" s="55">
        <f>IFERROR(IF(X470="",0,CEILING((X470/$H470),1)*$H470),"")</f>
        <v>16.200000000000003</v>
      </c>
      <c r="Z470" s="41">
        <f>IFERROR(IF(Y470=0,"",ROUNDUP(Y470/H470,0)*0.00902),"")</f>
        <v>2.7060000000000001E-2</v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15.527777777777775</v>
      </c>
      <c r="BN470" s="78">
        <f>IFERROR(Y470*I470/H470,"0")</f>
        <v>16.77</v>
      </c>
      <c r="BO470" s="78">
        <f>IFERROR(1/J470*(X470/H470),"0")</f>
        <v>2.1043771043771045E-2</v>
      </c>
      <c r="BP470" s="78">
        <f>IFERROR(1/J470*(Y470/H470),"0")</f>
        <v>2.2727272727272731E-2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87">
        <v>4680115880771</v>
      </c>
      <c r="E471" s="68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89"/>
      <c r="R471" s="689"/>
      <c r="S471" s="689"/>
      <c r="T471" s="69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7">
        <v>4607091389500</v>
      </c>
      <c r="E472" s="68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89"/>
      <c r="R472" s="689"/>
      <c r="S472" s="689"/>
      <c r="T472" s="690"/>
      <c r="U472" s="39" t="s">
        <v>46</v>
      </c>
      <c r="V472" s="39" t="s">
        <v>46</v>
      </c>
      <c r="W472" s="40" t="s">
        <v>0</v>
      </c>
      <c r="X472" s="58">
        <v>7</v>
      </c>
      <c r="Y472" s="55">
        <f>IFERROR(IF(X472="",0,CEILING((X472/$H472),1)*$H472),"")</f>
        <v>8.4</v>
      </c>
      <c r="Z472" s="41">
        <f>IFERROR(IF(Y472=0,"",ROUNDUP(Y472/H472,0)*0.00502),"")</f>
        <v>2.0080000000000001E-2</v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7.4333333333333327</v>
      </c>
      <c r="BN472" s="78">
        <f>IFERROR(Y472*I472/H472,"0")</f>
        <v>8.92</v>
      </c>
      <c r="BO472" s="78">
        <f>IFERROR(1/J472*(X472/H472),"0")</f>
        <v>1.4245014245014245E-2</v>
      </c>
      <c r="BP472" s="78">
        <f>IFERROR(1/J472*(Y472/H472),"0")</f>
        <v>1.7094017094017096E-2</v>
      </c>
    </row>
    <row r="473" spans="1:68" x14ac:dyDescent="0.2">
      <c r="A473" s="695"/>
      <c r="B473" s="695"/>
      <c r="C473" s="695"/>
      <c r="D473" s="695"/>
      <c r="E473" s="695"/>
      <c r="F473" s="695"/>
      <c r="G473" s="695"/>
      <c r="H473" s="695"/>
      <c r="I473" s="695"/>
      <c r="J473" s="695"/>
      <c r="K473" s="695"/>
      <c r="L473" s="695"/>
      <c r="M473" s="695"/>
      <c r="N473" s="695"/>
      <c r="O473" s="696"/>
      <c r="P473" s="692" t="s">
        <v>40</v>
      </c>
      <c r="Q473" s="693"/>
      <c r="R473" s="693"/>
      <c r="S473" s="693"/>
      <c r="T473" s="693"/>
      <c r="U473" s="693"/>
      <c r="V473" s="694"/>
      <c r="W473" s="42" t="s">
        <v>39</v>
      </c>
      <c r="X473" s="43">
        <f>IFERROR(X470/H470,"0")+IFERROR(X471/H471,"0")+IFERROR(X472/H472,"0")</f>
        <v>6.1111111111111107</v>
      </c>
      <c r="Y473" s="43">
        <f>IFERROR(Y470/H470,"0")+IFERROR(Y471/H471,"0")+IFERROR(Y472/H472,"0")</f>
        <v>7</v>
      </c>
      <c r="Z473" s="43">
        <f>IFERROR(IF(Z470="",0,Z470),"0")+IFERROR(IF(Z471="",0,Z471),"0")+IFERROR(IF(Z472="",0,Z472),"0")</f>
        <v>4.7140000000000001E-2</v>
      </c>
      <c r="AA473" s="67"/>
      <c r="AB473" s="67"/>
      <c r="AC473" s="67"/>
    </row>
    <row r="474" spans="1:68" x14ac:dyDescent="0.2">
      <c r="A474" s="695"/>
      <c r="B474" s="695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695"/>
      <c r="O474" s="696"/>
      <c r="P474" s="692" t="s">
        <v>40</v>
      </c>
      <c r="Q474" s="693"/>
      <c r="R474" s="693"/>
      <c r="S474" s="693"/>
      <c r="T474" s="693"/>
      <c r="U474" s="693"/>
      <c r="V474" s="694"/>
      <c r="W474" s="42" t="s">
        <v>0</v>
      </c>
      <c r="X474" s="43">
        <f>IFERROR(SUM(X470:X472),"0")</f>
        <v>22</v>
      </c>
      <c r="Y474" s="43">
        <f>IFERROR(SUM(Y470:Y472),"0")</f>
        <v>24.6</v>
      </c>
      <c r="Z474" s="42"/>
      <c r="AA474" s="67"/>
      <c r="AB474" s="67"/>
      <c r="AC474" s="67"/>
    </row>
    <row r="475" spans="1:68" ht="27.75" customHeight="1" x14ac:dyDescent="0.2">
      <c r="A475" s="684" t="s">
        <v>762</v>
      </c>
      <c r="B475" s="684"/>
      <c r="C475" s="684"/>
      <c r="D475" s="68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4"/>
      <c r="T475" s="684"/>
      <c r="U475" s="684"/>
      <c r="V475" s="684"/>
      <c r="W475" s="684"/>
      <c r="X475" s="684"/>
      <c r="Y475" s="684"/>
      <c r="Z475" s="684"/>
      <c r="AA475" s="54"/>
      <c r="AB475" s="54"/>
      <c r="AC475" s="54"/>
    </row>
    <row r="476" spans="1:68" ht="16.5" customHeight="1" x14ac:dyDescent="0.25">
      <c r="A476" s="685" t="s">
        <v>762</v>
      </c>
      <c r="B476" s="685"/>
      <c r="C476" s="685"/>
      <c r="D476" s="685"/>
      <c r="E476" s="685"/>
      <c r="F476" s="685"/>
      <c r="G476" s="685"/>
      <c r="H476" s="685"/>
      <c r="I476" s="685"/>
      <c r="J476" s="685"/>
      <c r="K476" s="685"/>
      <c r="L476" s="685"/>
      <c r="M476" s="685"/>
      <c r="N476" s="685"/>
      <c r="O476" s="685"/>
      <c r="P476" s="685"/>
      <c r="Q476" s="685"/>
      <c r="R476" s="685"/>
      <c r="S476" s="685"/>
      <c r="T476" s="685"/>
      <c r="U476" s="685"/>
      <c r="V476" s="685"/>
      <c r="W476" s="685"/>
      <c r="X476" s="685"/>
      <c r="Y476" s="685"/>
      <c r="Z476" s="685"/>
      <c r="AA476" s="65"/>
      <c r="AB476" s="65"/>
      <c r="AC476" s="79"/>
    </row>
    <row r="477" spans="1:68" ht="14.25" customHeight="1" x14ac:dyDescent="0.25">
      <c r="A477" s="686" t="s">
        <v>129</v>
      </c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86"/>
      <c r="P477" s="686"/>
      <c r="Q477" s="686"/>
      <c r="R477" s="686"/>
      <c r="S477" s="686"/>
      <c r="T477" s="686"/>
      <c r="U477" s="686"/>
      <c r="V477" s="686"/>
      <c r="W477" s="686"/>
      <c r="X477" s="686"/>
      <c r="Y477" s="686"/>
      <c r="Z477" s="686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7">
        <v>4607091389067</v>
      </c>
      <c r="E478" s="68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89"/>
      <c r="R478" s="689"/>
      <c r="S478" s="689"/>
      <c r="T478" s="690"/>
      <c r="U478" s="39" t="s">
        <v>46</v>
      </c>
      <c r="V478" s="39" t="s">
        <v>46</v>
      </c>
      <c r="W478" s="40" t="s">
        <v>0</v>
      </c>
      <c r="X478" s="58">
        <v>30</v>
      </c>
      <c r="Y478" s="55">
        <f t="shared" ref="Y478:Y486" si="67">IFERROR(IF(X478="",0,CEILING((X478/$H478),1)*$H478),"")</f>
        <v>31.68</v>
      </c>
      <c r="Z478" s="41">
        <f t="shared" ref="Z478:Z483" si="68">IFERROR(IF(Y478=0,"",ROUNDUP(Y478/H478,0)*0.01196),"")</f>
        <v>7.1760000000000004E-2</v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31.988636363636363</v>
      </c>
      <c r="BN478" s="78">
        <f t="shared" ref="BN478:BN486" si="70">IFERROR(Y478*I478/H478,"0")</f>
        <v>33.779999999999994</v>
      </c>
      <c r="BO478" s="78">
        <f t="shared" ref="BO478:BO486" si="71">IFERROR(1/J478*(X478/H478),"0")</f>
        <v>5.4632867132867136E-2</v>
      </c>
      <c r="BP478" s="78">
        <f t="shared" ref="BP478:BP486" si="72">IFERROR(1/J478*(Y478/H478),"0")</f>
        <v>5.7692307692307696E-2</v>
      </c>
    </row>
    <row r="479" spans="1:68" ht="16.5" customHeight="1" x14ac:dyDescent="0.25">
      <c r="A479" s="63" t="s">
        <v>765</v>
      </c>
      <c r="B479" s="63" t="s">
        <v>766</v>
      </c>
      <c r="C479" s="36">
        <v>4301012380</v>
      </c>
      <c r="D479" s="687">
        <v>4680115889576</v>
      </c>
      <c r="E479" s="687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89"/>
      <c r="R479" s="689"/>
      <c r="S479" s="689"/>
      <c r="T479" s="69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87">
        <v>4680115885271</v>
      </c>
      <c r="E480" s="687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89"/>
      <c r="R480" s="689"/>
      <c r="S480" s="689"/>
      <c r="T480" s="69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7">
        <v>4680115885226</v>
      </c>
      <c r="E481" s="687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89"/>
      <c r="R481" s="689"/>
      <c r="S481" s="689"/>
      <c r="T481" s="69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87">
        <v>4680115884502</v>
      </c>
      <c r="E482" s="687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89"/>
      <c r="R482" s="689"/>
      <c r="S482" s="689"/>
      <c r="T482" s="69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7">
        <v>4607091389104</v>
      </c>
      <c r="E483" s="687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9"/>
      <c r="R483" s="689"/>
      <c r="S483" s="689"/>
      <c r="T483" s="690"/>
      <c r="U483" s="39" t="s">
        <v>46</v>
      </c>
      <c r="V483" s="39" t="s">
        <v>46</v>
      </c>
      <c r="W483" s="40" t="s">
        <v>0</v>
      </c>
      <c r="X483" s="58">
        <v>80</v>
      </c>
      <c r="Y483" s="55">
        <f t="shared" si="67"/>
        <v>84.48</v>
      </c>
      <c r="Z483" s="41">
        <f t="shared" si="68"/>
        <v>0.19136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85.303030303030297</v>
      </c>
      <c r="BN483" s="78">
        <f t="shared" si="70"/>
        <v>90.08</v>
      </c>
      <c r="BO483" s="78">
        <f t="shared" si="71"/>
        <v>0.14568764568764569</v>
      </c>
      <c r="BP483" s="78">
        <f t="shared" si="72"/>
        <v>0.15384615384615385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87">
        <v>4680115886391</v>
      </c>
      <c r="E484" s="687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89"/>
      <c r="R484" s="689"/>
      <c r="S484" s="689"/>
      <c r="T484" s="69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7">
        <v>4680115880603</v>
      </c>
      <c r="E485" s="687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89"/>
      <c r="R485" s="689"/>
      <c r="S485" s="689"/>
      <c r="T485" s="690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7">
        <v>4607091389982</v>
      </c>
      <c r="E486" s="687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89"/>
      <c r="R486" s="689"/>
      <c r="S486" s="689"/>
      <c r="T486" s="69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x14ac:dyDescent="0.2">
      <c r="A487" s="695"/>
      <c r="B487" s="695"/>
      <c r="C487" s="695"/>
      <c r="D487" s="695"/>
      <c r="E487" s="695"/>
      <c r="F487" s="695"/>
      <c r="G487" s="695"/>
      <c r="H487" s="695"/>
      <c r="I487" s="695"/>
      <c r="J487" s="695"/>
      <c r="K487" s="695"/>
      <c r="L487" s="695"/>
      <c r="M487" s="695"/>
      <c r="N487" s="695"/>
      <c r="O487" s="696"/>
      <c r="P487" s="692" t="s">
        <v>40</v>
      </c>
      <c r="Q487" s="693"/>
      <c r="R487" s="693"/>
      <c r="S487" s="693"/>
      <c r="T487" s="693"/>
      <c r="U487" s="693"/>
      <c r="V487" s="694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20.833333333333332</v>
      </c>
      <c r="Y487" s="43">
        <f>IFERROR(Y478/H478,"0")+IFERROR(Y479/H479,"0")+IFERROR(Y480/H480,"0")+IFERROR(Y481/H481,"0")+IFERROR(Y482/H482,"0")+IFERROR(Y483/H483,"0")+IFERROR(Y484/H484,"0")+IFERROR(Y485/H485,"0")+IFERROR(Y486/H486,"0")</f>
        <v>22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0.26312000000000002</v>
      </c>
      <c r="AA487" s="67"/>
      <c r="AB487" s="67"/>
      <c r="AC487" s="67"/>
    </row>
    <row r="488" spans="1:68" x14ac:dyDescent="0.2">
      <c r="A488" s="695"/>
      <c r="B488" s="695"/>
      <c r="C488" s="695"/>
      <c r="D488" s="695"/>
      <c r="E488" s="695"/>
      <c r="F488" s="695"/>
      <c r="G488" s="695"/>
      <c r="H488" s="695"/>
      <c r="I488" s="695"/>
      <c r="J488" s="695"/>
      <c r="K488" s="695"/>
      <c r="L488" s="695"/>
      <c r="M488" s="695"/>
      <c r="N488" s="695"/>
      <c r="O488" s="696"/>
      <c r="P488" s="692" t="s">
        <v>40</v>
      </c>
      <c r="Q488" s="693"/>
      <c r="R488" s="693"/>
      <c r="S488" s="693"/>
      <c r="T488" s="693"/>
      <c r="U488" s="693"/>
      <c r="V488" s="694"/>
      <c r="W488" s="42" t="s">
        <v>0</v>
      </c>
      <c r="X488" s="43">
        <f>IFERROR(SUM(X478:X486),"0")</f>
        <v>110</v>
      </c>
      <c r="Y488" s="43">
        <f>IFERROR(SUM(Y478:Y486),"0")</f>
        <v>116.16</v>
      </c>
      <c r="Z488" s="42"/>
      <c r="AA488" s="67"/>
      <c r="AB488" s="67"/>
      <c r="AC488" s="67"/>
    </row>
    <row r="489" spans="1:68" ht="14.25" customHeight="1" x14ac:dyDescent="0.25">
      <c r="A489" s="686" t="s">
        <v>166</v>
      </c>
      <c r="B489" s="686"/>
      <c r="C489" s="686"/>
      <c r="D489" s="686"/>
      <c r="E489" s="686"/>
      <c r="F489" s="686"/>
      <c r="G489" s="686"/>
      <c r="H489" s="686"/>
      <c r="I489" s="686"/>
      <c r="J489" s="686"/>
      <c r="K489" s="686"/>
      <c r="L489" s="686"/>
      <c r="M489" s="686"/>
      <c r="N489" s="686"/>
      <c r="O489" s="686"/>
      <c r="P489" s="686"/>
      <c r="Q489" s="686"/>
      <c r="R489" s="686"/>
      <c r="S489" s="686"/>
      <c r="T489" s="686"/>
      <c r="U489" s="686"/>
      <c r="V489" s="686"/>
      <c r="W489" s="686"/>
      <c r="X489" s="686"/>
      <c r="Y489" s="686"/>
      <c r="Z489" s="686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7">
        <v>4607091388930</v>
      </c>
      <c r="E490" s="68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89"/>
      <c r="R490" s="689"/>
      <c r="S490" s="689"/>
      <c r="T490" s="690"/>
      <c r="U490" s="39" t="s">
        <v>46</v>
      </c>
      <c r="V490" s="39" t="s">
        <v>46</v>
      </c>
      <c r="W490" s="40" t="s">
        <v>0</v>
      </c>
      <c r="X490" s="58">
        <v>45</v>
      </c>
      <c r="Y490" s="55">
        <f>IFERROR(IF(X490="",0,CEILING((X490/$H490),1)*$H490),"")</f>
        <v>47.52</v>
      </c>
      <c r="Z490" s="41">
        <f>IFERROR(IF(Y490=0,"",ROUNDUP(Y490/H490,0)*0.01196),"")</f>
        <v>0.10764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47.98295454545454</v>
      </c>
      <c r="BN490" s="78">
        <f>IFERROR(Y490*I490/H490,"0")</f>
        <v>50.669999999999995</v>
      </c>
      <c r="BO490" s="78">
        <f>IFERROR(1/J490*(X490/H490),"0")</f>
        <v>8.1949300699300689E-2</v>
      </c>
      <c r="BP490" s="78">
        <f>IFERROR(1/J490*(Y490/H490),"0")</f>
        <v>8.6538461538461536E-2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87">
        <v>4680115886407</v>
      </c>
      <c r="E491" s="687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89"/>
      <c r="R491" s="689"/>
      <c r="S491" s="689"/>
      <c r="T491" s="690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7">
        <v>4680115880054</v>
      </c>
      <c r="E492" s="687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89"/>
      <c r="R492" s="689"/>
      <c r="S492" s="689"/>
      <c r="T492" s="69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95"/>
      <c r="B493" s="695"/>
      <c r="C493" s="695"/>
      <c r="D493" s="695"/>
      <c r="E493" s="695"/>
      <c r="F493" s="695"/>
      <c r="G493" s="695"/>
      <c r="H493" s="695"/>
      <c r="I493" s="695"/>
      <c r="J493" s="695"/>
      <c r="K493" s="695"/>
      <c r="L493" s="695"/>
      <c r="M493" s="695"/>
      <c r="N493" s="695"/>
      <c r="O493" s="696"/>
      <c r="P493" s="692" t="s">
        <v>40</v>
      </c>
      <c r="Q493" s="693"/>
      <c r="R493" s="693"/>
      <c r="S493" s="693"/>
      <c r="T493" s="693"/>
      <c r="U493" s="693"/>
      <c r="V493" s="694"/>
      <c r="W493" s="42" t="s">
        <v>39</v>
      </c>
      <c r="X493" s="43">
        <f>IFERROR(X490/H490,"0")+IFERROR(X491/H491,"0")+IFERROR(X492/H492,"0")</f>
        <v>8.5227272727272716</v>
      </c>
      <c r="Y493" s="43">
        <f>IFERROR(Y490/H490,"0")+IFERROR(Y491/H491,"0")+IFERROR(Y492/H492,"0")</f>
        <v>9</v>
      </c>
      <c r="Z493" s="43">
        <f>IFERROR(IF(Z490="",0,Z490),"0")+IFERROR(IF(Z491="",0,Z491),"0")+IFERROR(IF(Z492="",0,Z492),"0")</f>
        <v>0.10764</v>
      </c>
      <c r="AA493" s="67"/>
      <c r="AB493" s="67"/>
      <c r="AC493" s="67"/>
    </row>
    <row r="494" spans="1:68" x14ac:dyDescent="0.2">
      <c r="A494" s="695"/>
      <c r="B494" s="695"/>
      <c r="C494" s="695"/>
      <c r="D494" s="695"/>
      <c r="E494" s="695"/>
      <c r="F494" s="695"/>
      <c r="G494" s="695"/>
      <c r="H494" s="695"/>
      <c r="I494" s="695"/>
      <c r="J494" s="695"/>
      <c r="K494" s="695"/>
      <c r="L494" s="695"/>
      <c r="M494" s="695"/>
      <c r="N494" s="695"/>
      <c r="O494" s="696"/>
      <c r="P494" s="692" t="s">
        <v>40</v>
      </c>
      <c r="Q494" s="693"/>
      <c r="R494" s="693"/>
      <c r="S494" s="693"/>
      <c r="T494" s="693"/>
      <c r="U494" s="693"/>
      <c r="V494" s="694"/>
      <c r="W494" s="42" t="s">
        <v>0</v>
      </c>
      <c r="X494" s="43">
        <f>IFERROR(SUM(X490:X492),"0")</f>
        <v>45</v>
      </c>
      <c r="Y494" s="43">
        <f>IFERROR(SUM(Y490:Y492),"0")</f>
        <v>47.52</v>
      </c>
      <c r="Z494" s="42"/>
      <c r="AA494" s="67"/>
      <c r="AB494" s="67"/>
      <c r="AC494" s="67"/>
    </row>
    <row r="495" spans="1:68" ht="14.25" customHeight="1" x14ac:dyDescent="0.25">
      <c r="A495" s="686" t="s">
        <v>77</v>
      </c>
      <c r="B495" s="686"/>
      <c r="C495" s="686"/>
      <c r="D495" s="686"/>
      <c r="E495" s="686"/>
      <c r="F495" s="686"/>
      <c r="G495" s="686"/>
      <c r="H495" s="686"/>
      <c r="I495" s="686"/>
      <c r="J495" s="686"/>
      <c r="K495" s="686"/>
      <c r="L495" s="686"/>
      <c r="M495" s="686"/>
      <c r="N495" s="686"/>
      <c r="O495" s="686"/>
      <c r="P495" s="686"/>
      <c r="Q495" s="686"/>
      <c r="R495" s="686"/>
      <c r="S495" s="686"/>
      <c r="T495" s="686"/>
      <c r="U495" s="686"/>
      <c r="V495" s="686"/>
      <c r="W495" s="686"/>
      <c r="X495" s="686"/>
      <c r="Y495" s="686"/>
      <c r="Z495" s="686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7">
        <v>4680115883116</v>
      </c>
      <c r="E496" s="68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89"/>
      <c r="R496" s="689"/>
      <c r="S496" s="689"/>
      <c r="T496" s="690"/>
      <c r="U496" s="39" t="s">
        <v>46</v>
      </c>
      <c r="V496" s="39" t="s">
        <v>46</v>
      </c>
      <c r="W496" s="40" t="s">
        <v>0</v>
      </c>
      <c r="X496" s="58">
        <v>15</v>
      </c>
      <c r="Y496" s="55">
        <f t="shared" ref="Y496:Y502" si="73">IFERROR(IF(X496="",0,CEILING((X496/$H496),1)*$H496),"")</f>
        <v>15.84</v>
      </c>
      <c r="Z496" s="41">
        <f>IFERROR(IF(Y496=0,"",ROUNDUP(Y496/H496,0)*0.01196),"")</f>
        <v>3.5880000000000002E-2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15.994318181818182</v>
      </c>
      <c r="BN496" s="78">
        <f t="shared" ref="BN496:BN502" si="75">IFERROR(Y496*I496/H496,"0")</f>
        <v>16.889999999999997</v>
      </c>
      <c r="BO496" s="78">
        <f t="shared" ref="BO496:BO502" si="76">IFERROR(1/J496*(X496/H496),"0")</f>
        <v>2.7316433566433568E-2</v>
      </c>
      <c r="BP496" s="78">
        <f t="shared" ref="BP496:BP502" si="77">IFERROR(1/J496*(Y496/H496),"0")</f>
        <v>2.8846153846153848E-2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7">
        <v>4680115883093</v>
      </c>
      <c r="E497" s="68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89"/>
      <c r="R497" s="689"/>
      <c r="S497" s="689"/>
      <c r="T497" s="690"/>
      <c r="U497" s="39" t="s">
        <v>46</v>
      </c>
      <c r="V497" s="39" t="s">
        <v>46</v>
      </c>
      <c r="W497" s="40" t="s">
        <v>0</v>
      </c>
      <c r="X497" s="58">
        <v>30</v>
      </c>
      <c r="Y497" s="55">
        <f t="shared" si="73"/>
        <v>31.68</v>
      </c>
      <c r="Z497" s="41">
        <f>IFERROR(IF(Y497=0,"",ROUNDUP(Y497/H497,0)*0.01196),"")</f>
        <v>7.1760000000000004E-2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31.988636363636363</v>
      </c>
      <c r="BN497" s="78">
        <f t="shared" si="75"/>
        <v>33.779999999999994</v>
      </c>
      <c r="BO497" s="78">
        <f t="shared" si="76"/>
        <v>5.4632867132867136E-2</v>
      </c>
      <c r="BP497" s="78">
        <f t="shared" si="77"/>
        <v>5.7692307692307696E-2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7">
        <v>4680115883109</v>
      </c>
      <c r="E498" s="68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89"/>
      <c r="R498" s="689"/>
      <c r="S498" s="689"/>
      <c r="T498" s="690"/>
      <c r="U498" s="39" t="s">
        <v>46</v>
      </c>
      <c r="V498" s="39" t="s">
        <v>46</v>
      </c>
      <c r="W498" s="40" t="s">
        <v>0</v>
      </c>
      <c r="X498" s="58">
        <v>30</v>
      </c>
      <c r="Y498" s="55">
        <f t="shared" si="73"/>
        <v>31.68</v>
      </c>
      <c r="Z498" s="41">
        <f>IFERROR(IF(Y498=0,"",ROUNDUP(Y498/H498,0)*0.01196),"")</f>
        <v>7.1760000000000004E-2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31.988636363636363</v>
      </c>
      <c r="BN498" s="78">
        <f t="shared" si="75"/>
        <v>33.779999999999994</v>
      </c>
      <c r="BO498" s="78">
        <f t="shared" si="76"/>
        <v>5.4632867132867136E-2</v>
      </c>
      <c r="BP498" s="78">
        <f t="shared" si="77"/>
        <v>5.7692307692307696E-2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87">
        <v>4680115882072</v>
      </c>
      <c r="E499" s="68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89"/>
      <c r="R499" s="689"/>
      <c r="S499" s="689"/>
      <c r="T499" s="69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87">
        <v>4680115882102</v>
      </c>
      <c r="E500" s="687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89"/>
      <c r="R500" s="689"/>
      <c r="S500" s="689"/>
      <c r="T500" s="69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87">
        <v>4680115882102</v>
      </c>
      <c r="E501" s="687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89"/>
      <c r="R501" s="689"/>
      <c r="S501" s="689"/>
      <c r="T501" s="69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7">
        <v>4680115882096</v>
      </c>
      <c r="E502" s="687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89"/>
      <c r="R502" s="689"/>
      <c r="S502" s="689"/>
      <c r="T502" s="69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95"/>
      <c r="B503" s="695"/>
      <c r="C503" s="695"/>
      <c r="D503" s="695"/>
      <c r="E503" s="695"/>
      <c r="F503" s="695"/>
      <c r="G503" s="695"/>
      <c r="H503" s="695"/>
      <c r="I503" s="695"/>
      <c r="J503" s="695"/>
      <c r="K503" s="695"/>
      <c r="L503" s="695"/>
      <c r="M503" s="695"/>
      <c r="N503" s="695"/>
      <c r="O503" s="696"/>
      <c r="P503" s="692" t="s">
        <v>40</v>
      </c>
      <c r="Q503" s="693"/>
      <c r="R503" s="693"/>
      <c r="S503" s="693"/>
      <c r="T503" s="693"/>
      <c r="U503" s="693"/>
      <c r="V503" s="694"/>
      <c r="W503" s="42" t="s">
        <v>39</v>
      </c>
      <c r="X503" s="43">
        <f>IFERROR(X496/H496,"0")+IFERROR(X497/H497,"0")+IFERROR(X498/H498,"0")+IFERROR(X499/H499,"0")+IFERROR(X500/H500,"0")+IFERROR(X501/H501,"0")+IFERROR(X502/H502,"0")</f>
        <v>14.204545454545455</v>
      </c>
      <c r="Y503" s="43">
        <f>IFERROR(Y496/H496,"0")+IFERROR(Y497/H497,"0")+IFERROR(Y498/H498,"0")+IFERROR(Y499/H499,"0")+IFERROR(Y500/H500,"0")+IFERROR(Y501/H501,"0")+IFERROR(Y502/H502,"0")</f>
        <v>15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0.1794</v>
      </c>
      <c r="AA503" s="67"/>
      <c r="AB503" s="67"/>
      <c r="AC503" s="67"/>
    </row>
    <row r="504" spans="1:68" x14ac:dyDescent="0.2">
      <c r="A504" s="695"/>
      <c r="B504" s="695"/>
      <c r="C504" s="695"/>
      <c r="D504" s="695"/>
      <c r="E504" s="695"/>
      <c r="F504" s="695"/>
      <c r="G504" s="695"/>
      <c r="H504" s="695"/>
      <c r="I504" s="695"/>
      <c r="J504" s="695"/>
      <c r="K504" s="695"/>
      <c r="L504" s="695"/>
      <c r="M504" s="695"/>
      <c r="N504" s="695"/>
      <c r="O504" s="696"/>
      <c r="P504" s="692" t="s">
        <v>40</v>
      </c>
      <c r="Q504" s="693"/>
      <c r="R504" s="693"/>
      <c r="S504" s="693"/>
      <c r="T504" s="693"/>
      <c r="U504" s="693"/>
      <c r="V504" s="694"/>
      <c r="W504" s="42" t="s">
        <v>0</v>
      </c>
      <c r="X504" s="43">
        <f>IFERROR(SUM(X496:X502),"0")</f>
        <v>75</v>
      </c>
      <c r="Y504" s="43">
        <f>IFERROR(SUM(Y496:Y502),"0")</f>
        <v>79.199999999999989</v>
      </c>
      <c r="Z504" s="42"/>
      <c r="AA504" s="67"/>
      <c r="AB504" s="67"/>
      <c r="AC504" s="67"/>
    </row>
    <row r="505" spans="1:68" ht="27.75" customHeight="1" x14ac:dyDescent="0.2">
      <c r="A505" s="684" t="s">
        <v>809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customHeight="1" x14ac:dyDescent="0.25">
      <c r="A506" s="685" t="s">
        <v>809</v>
      </c>
      <c r="B506" s="685"/>
      <c r="C506" s="685"/>
      <c r="D506" s="685"/>
      <c r="E506" s="685"/>
      <c r="F506" s="685"/>
      <c r="G506" s="685"/>
      <c r="H506" s="685"/>
      <c r="I506" s="685"/>
      <c r="J506" s="685"/>
      <c r="K506" s="685"/>
      <c r="L506" s="685"/>
      <c r="M506" s="685"/>
      <c r="N506" s="685"/>
      <c r="O506" s="685"/>
      <c r="P506" s="685"/>
      <c r="Q506" s="685"/>
      <c r="R506" s="685"/>
      <c r="S506" s="685"/>
      <c r="T506" s="685"/>
      <c r="U506" s="685"/>
      <c r="V506" s="685"/>
      <c r="W506" s="685"/>
      <c r="X506" s="685"/>
      <c r="Y506" s="685"/>
      <c r="Z506" s="685"/>
      <c r="AA506" s="65"/>
      <c r="AB506" s="65"/>
      <c r="AC506" s="79"/>
    </row>
    <row r="507" spans="1:68" ht="14.25" customHeight="1" x14ac:dyDescent="0.25">
      <c r="A507" s="686" t="s">
        <v>129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7">
        <v>4640242180564</v>
      </c>
      <c r="E508" s="687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89"/>
      <c r="R508" s="689"/>
      <c r="S508" s="689"/>
      <c r="T508" s="69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95"/>
      <c r="B509" s="695"/>
      <c r="C509" s="695"/>
      <c r="D509" s="695"/>
      <c r="E509" s="695"/>
      <c r="F509" s="695"/>
      <c r="G509" s="695"/>
      <c r="H509" s="695"/>
      <c r="I509" s="695"/>
      <c r="J509" s="695"/>
      <c r="K509" s="695"/>
      <c r="L509" s="695"/>
      <c r="M509" s="695"/>
      <c r="N509" s="695"/>
      <c r="O509" s="696"/>
      <c r="P509" s="692" t="s">
        <v>40</v>
      </c>
      <c r="Q509" s="693"/>
      <c r="R509" s="693"/>
      <c r="S509" s="693"/>
      <c r="T509" s="693"/>
      <c r="U509" s="693"/>
      <c r="V509" s="694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95"/>
      <c r="B510" s="695"/>
      <c r="C510" s="695"/>
      <c r="D510" s="695"/>
      <c r="E510" s="695"/>
      <c r="F510" s="695"/>
      <c r="G510" s="695"/>
      <c r="H510" s="695"/>
      <c r="I510" s="695"/>
      <c r="J510" s="695"/>
      <c r="K510" s="695"/>
      <c r="L510" s="695"/>
      <c r="M510" s="695"/>
      <c r="N510" s="695"/>
      <c r="O510" s="696"/>
      <c r="P510" s="692" t="s">
        <v>40</v>
      </c>
      <c r="Q510" s="693"/>
      <c r="R510" s="693"/>
      <c r="S510" s="693"/>
      <c r="T510" s="693"/>
      <c r="U510" s="693"/>
      <c r="V510" s="694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86" t="s">
        <v>166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87">
        <v>4640242180519</v>
      </c>
      <c r="E512" s="687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89"/>
      <c r="R512" s="689"/>
      <c r="S512" s="689"/>
      <c r="T512" s="69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95"/>
      <c r="B513" s="695"/>
      <c r="C513" s="695"/>
      <c r="D513" s="695"/>
      <c r="E513" s="695"/>
      <c r="F513" s="695"/>
      <c r="G513" s="695"/>
      <c r="H513" s="695"/>
      <c r="I513" s="695"/>
      <c r="J513" s="695"/>
      <c r="K513" s="695"/>
      <c r="L513" s="695"/>
      <c r="M513" s="695"/>
      <c r="N513" s="695"/>
      <c r="O513" s="696"/>
      <c r="P513" s="692" t="s">
        <v>40</v>
      </c>
      <c r="Q513" s="693"/>
      <c r="R513" s="693"/>
      <c r="S513" s="693"/>
      <c r="T513" s="693"/>
      <c r="U513" s="693"/>
      <c r="V513" s="694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95"/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6"/>
      <c r="P514" s="692" t="s">
        <v>40</v>
      </c>
      <c r="Q514" s="693"/>
      <c r="R514" s="693"/>
      <c r="S514" s="693"/>
      <c r="T514" s="693"/>
      <c r="U514" s="693"/>
      <c r="V514" s="694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86" t="s">
        <v>77</v>
      </c>
      <c r="B515" s="686"/>
      <c r="C515" s="686"/>
      <c r="D515" s="686"/>
      <c r="E515" s="686"/>
      <c r="F515" s="686"/>
      <c r="G515" s="686"/>
      <c r="H515" s="686"/>
      <c r="I515" s="686"/>
      <c r="J515" s="686"/>
      <c r="K515" s="686"/>
      <c r="L515" s="686"/>
      <c r="M515" s="686"/>
      <c r="N515" s="686"/>
      <c r="O515" s="686"/>
      <c r="P515" s="686"/>
      <c r="Q515" s="686"/>
      <c r="R515" s="686"/>
      <c r="S515" s="686"/>
      <c r="T515" s="686"/>
      <c r="U515" s="686"/>
      <c r="V515" s="686"/>
      <c r="W515" s="686"/>
      <c r="X515" s="686"/>
      <c r="Y515" s="686"/>
      <c r="Z515" s="686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7">
        <v>4640242180595</v>
      </c>
      <c r="E516" s="687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9"/>
      <c r="R516" s="689"/>
      <c r="S516" s="689"/>
      <c r="T516" s="69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87">
        <v>4640242180595</v>
      </c>
      <c r="E517" s="687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89"/>
      <c r="R517" s="689"/>
      <c r="S517" s="689"/>
      <c r="T517" s="690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5"/>
      <c r="B518" s="695"/>
      <c r="C518" s="695"/>
      <c r="D518" s="695"/>
      <c r="E518" s="695"/>
      <c r="F518" s="695"/>
      <c r="G518" s="695"/>
      <c r="H518" s="695"/>
      <c r="I518" s="695"/>
      <c r="J518" s="695"/>
      <c r="K518" s="695"/>
      <c r="L518" s="695"/>
      <c r="M518" s="695"/>
      <c r="N518" s="695"/>
      <c r="O518" s="696"/>
      <c r="P518" s="692" t="s">
        <v>40</v>
      </c>
      <c r="Q518" s="693"/>
      <c r="R518" s="693"/>
      <c r="S518" s="693"/>
      <c r="T518" s="693"/>
      <c r="U518" s="693"/>
      <c r="V518" s="694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x14ac:dyDescent="0.2">
      <c r="A519" s="695"/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6"/>
      <c r="P519" s="692" t="s">
        <v>40</v>
      </c>
      <c r="Q519" s="693"/>
      <c r="R519" s="693"/>
      <c r="S519" s="693"/>
      <c r="T519" s="693"/>
      <c r="U519" s="693"/>
      <c r="V519" s="694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customHeight="1" x14ac:dyDescent="0.25">
      <c r="A520" s="686" t="s">
        <v>86</v>
      </c>
      <c r="B520" s="686"/>
      <c r="C520" s="686"/>
      <c r="D520" s="686"/>
      <c r="E520" s="686"/>
      <c r="F520" s="686"/>
      <c r="G520" s="686"/>
      <c r="H520" s="686"/>
      <c r="I520" s="686"/>
      <c r="J520" s="686"/>
      <c r="K520" s="686"/>
      <c r="L520" s="686"/>
      <c r="M520" s="686"/>
      <c r="N520" s="686"/>
      <c r="O520" s="686"/>
      <c r="P520" s="686"/>
      <c r="Q520" s="686"/>
      <c r="R520" s="686"/>
      <c r="S520" s="686"/>
      <c r="T520" s="686"/>
      <c r="U520" s="686"/>
      <c r="V520" s="686"/>
      <c r="W520" s="686"/>
      <c r="X520" s="686"/>
      <c r="Y520" s="686"/>
      <c r="Z520" s="686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7">
        <v>4640242180533</v>
      </c>
      <c r="E521" s="687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89"/>
      <c r="R521" s="689"/>
      <c r="S521" s="689"/>
      <c r="T521" s="690"/>
      <c r="U521" s="39" t="s">
        <v>46</v>
      </c>
      <c r="V521" s="39" t="s">
        <v>46</v>
      </c>
      <c r="W521" s="40" t="s">
        <v>0</v>
      </c>
      <c r="X521" s="58">
        <v>100</v>
      </c>
      <c r="Y521" s="55">
        <f>IFERROR(IF(X521="",0,CEILING((X521/$H521),1)*$H521),"")</f>
        <v>108</v>
      </c>
      <c r="Z521" s="41">
        <f>IFERROR(IF(Y521=0,"",ROUNDUP(Y521/H521,0)*0.01898),"")</f>
        <v>0.22776000000000002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105.48888888888888</v>
      </c>
      <c r="BN521" s="78">
        <f>IFERROR(Y521*I521/H521,"0")</f>
        <v>113.92799999999998</v>
      </c>
      <c r="BO521" s="78">
        <f>IFERROR(1/J521*(X521/H521),"0")</f>
        <v>0.1736111111111111</v>
      </c>
      <c r="BP521" s="78">
        <f>IFERROR(1/J521*(Y521/H521),"0")</f>
        <v>0.1875</v>
      </c>
    </row>
    <row r="522" spans="1:68" x14ac:dyDescent="0.2">
      <c r="A522" s="695"/>
      <c r="B522" s="695"/>
      <c r="C522" s="695"/>
      <c r="D522" s="695"/>
      <c r="E522" s="695"/>
      <c r="F522" s="695"/>
      <c r="G522" s="695"/>
      <c r="H522" s="695"/>
      <c r="I522" s="695"/>
      <c r="J522" s="695"/>
      <c r="K522" s="695"/>
      <c r="L522" s="695"/>
      <c r="M522" s="695"/>
      <c r="N522" s="695"/>
      <c r="O522" s="696"/>
      <c r="P522" s="692" t="s">
        <v>40</v>
      </c>
      <c r="Q522" s="693"/>
      <c r="R522" s="693"/>
      <c r="S522" s="693"/>
      <c r="T522" s="693"/>
      <c r="U522" s="693"/>
      <c r="V522" s="694"/>
      <c r="W522" s="42" t="s">
        <v>39</v>
      </c>
      <c r="X522" s="43">
        <f>IFERROR(X521/H521,"0")</f>
        <v>11.111111111111111</v>
      </c>
      <c r="Y522" s="43">
        <f>IFERROR(Y521/H521,"0")</f>
        <v>12</v>
      </c>
      <c r="Z522" s="43">
        <f>IFERROR(IF(Z521="",0,Z521),"0")</f>
        <v>0.22776000000000002</v>
      </c>
      <c r="AA522" s="67"/>
      <c r="AB522" s="67"/>
      <c r="AC522" s="67"/>
    </row>
    <row r="523" spans="1:68" x14ac:dyDescent="0.2">
      <c r="A523" s="695"/>
      <c r="B523" s="695"/>
      <c r="C523" s="695"/>
      <c r="D523" s="695"/>
      <c r="E523" s="695"/>
      <c r="F523" s="695"/>
      <c r="G523" s="695"/>
      <c r="H523" s="695"/>
      <c r="I523" s="695"/>
      <c r="J523" s="695"/>
      <c r="K523" s="695"/>
      <c r="L523" s="695"/>
      <c r="M523" s="695"/>
      <c r="N523" s="695"/>
      <c r="O523" s="696"/>
      <c r="P523" s="692" t="s">
        <v>40</v>
      </c>
      <c r="Q523" s="693"/>
      <c r="R523" s="693"/>
      <c r="S523" s="693"/>
      <c r="T523" s="693"/>
      <c r="U523" s="693"/>
      <c r="V523" s="694"/>
      <c r="W523" s="42" t="s">
        <v>0</v>
      </c>
      <c r="X523" s="43">
        <f>IFERROR(SUM(X521:X521),"0")</f>
        <v>100</v>
      </c>
      <c r="Y523" s="43">
        <f>IFERROR(SUM(Y521:Y521),"0")</f>
        <v>108</v>
      </c>
      <c r="Z523" s="42"/>
      <c r="AA523" s="67"/>
      <c r="AB523" s="67"/>
      <c r="AC523" s="67"/>
    </row>
    <row r="524" spans="1:68" ht="14.25" customHeight="1" x14ac:dyDescent="0.25">
      <c r="A524" s="686" t="s">
        <v>183</v>
      </c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86"/>
      <c r="P524" s="686"/>
      <c r="Q524" s="686"/>
      <c r="R524" s="686"/>
      <c r="S524" s="686"/>
      <c r="T524" s="686"/>
      <c r="U524" s="686"/>
      <c r="V524" s="686"/>
      <c r="W524" s="686"/>
      <c r="X524" s="686"/>
      <c r="Y524" s="686"/>
      <c r="Z524" s="686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87">
        <v>4640242180120</v>
      </c>
      <c r="E525" s="687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89"/>
      <c r="R525" s="689"/>
      <c r="S525" s="689"/>
      <c r="T525" s="69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87">
        <v>4640242180137</v>
      </c>
      <c r="E526" s="687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89"/>
      <c r="R526" s="689"/>
      <c r="S526" s="689"/>
      <c r="T526" s="690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95"/>
      <c r="B527" s="695"/>
      <c r="C527" s="695"/>
      <c r="D527" s="695"/>
      <c r="E527" s="695"/>
      <c r="F527" s="695"/>
      <c r="G527" s="695"/>
      <c r="H527" s="695"/>
      <c r="I527" s="695"/>
      <c r="J527" s="695"/>
      <c r="K527" s="695"/>
      <c r="L527" s="695"/>
      <c r="M527" s="695"/>
      <c r="N527" s="695"/>
      <c r="O527" s="696"/>
      <c r="P527" s="692" t="s">
        <v>40</v>
      </c>
      <c r="Q527" s="693"/>
      <c r="R527" s="693"/>
      <c r="S527" s="693"/>
      <c r="T527" s="693"/>
      <c r="U527" s="693"/>
      <c r="V527" s="694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95"/>
      <c r="B528" s="695"/>
      <c r="C528" s="695"/>
      <c r="D528" s="695"/>
      <c r="E528" s="695"/>
      <c r="F528" s="695"/>
      <c r="G528" s="695"/>
      <c r="H528" s="695"/>
      <c r="I528" s="695"/>
      <c r="J528" s="695"/>
      <c r="K528" s="695"/>
      <c r="L528" s="695"/>
      <c r="M528" s="695"/>
      <c r="N528" s="695"/>
      <c r="O528" s="696"/>
      <c r="P528" s="692" t="s">
        <v>40</v>
      </c>
      <c r="Q528" s="693"/>
      <c r="R528" s="693"/>
      <c r="S528" s="693"/>
      <c r="T528" s="693"/>
      <c r="U528" s="693"/>
      <c r="V528" s="694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85" t="s">
        <v>830</v>
      </c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685"/>
      <c r="P529" s="685"/>
      <c r="Q529" s="685"/>
      <c r="R529" s="685"/>
      <c r="S529" s="685"/>
      <c r="T529" s="685"/>
      <c r="U529" s="685"/>
      <c r="V529" s="685"/>
      <c r="W529" s="685"/>
      <c r="X529" s="685"/>
      <c r="Y529" s="685"/>
      <c r="Z529" s="685"/>
      <c r="AA529" s="65"/>
      <c r="AB529" s="65"/>
      <c r="AC529" s="79"/>
    </row>
    <row r="530" spans="1:68" ht="14.25" customHeight="1" x14ac:dyDescent="0.25">
      <c r="A530" s="686" t="s">
        <v>166</v>
      </c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86"/>
      <c r="P530" s="686"/>
      <c r="Q530" s="686"/>
      <c r="R530" s="686"/>
      <c r="S530" s="686"/>
      <c r="T530" s="686"/>
      <c r="U530" s="686"/>
      <c r="V530" s="686"/>
      <c r="W530" s="686"/>
      <c r="X530" s="686"/>
      <c r="Y530" s="686"/>
      <c r="Z530" s="686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87">
        <v>4640242180090</v>
      </c>
      <c r="E531" s="687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89"/>
      <c r="R531" s="689"/>
      <c r="S531" s="689"/>
      <c r="T531" s="690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95"/>
      <c r="B532" s="695"/>
      <c r="C532" s="695"/>
      <c r="D532" s="695"/>
      <c r="E532" s="695"/>
      <c r="F532" s="695"/>
      <c r="G532" s="695"/>
      <c r="H532" s="695"/>
      <c r="I532" s="695"/>
      <c r="J532" s="695"/>
      <c r="K532" s="695"/>
      <c r="L532" s="695"/>
      <c r="M532" s="695"/>
      <c r="N532" s="695"/>
      <c r="O532" s="696"/>
      <c r="P532" s="692" t="s">
        <v>40</v>
      </c>
      <c r="Q532" s="693"/>
      <c r="R532" s="693"/>
      <c r="S532" s="693"/>
      <c r="T532" s="693"/>
      <c r="U532" s="693"/>
      <c r="V532" s="69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95"/>
      <c r="B533" s="695"/>
      <c r="C533" s="695"/>
      <c r="D533" s="695"/>
      <c r="E533" s="695"/>
      <c r="F533" s="695"/>
      <c r="G533" s="695"/>
      <c r="H533" s="695"/>
      <c r="I533" s="695"/>
      <c r="J533" s="695"/>
      <c r="K533" s="695"/>
      <c r="L533" s="695"/>
      <c r="M533" s="695"/>
      <c r="N533" s="695"/>
      <c r="O533" s="696"/>
      <c r="P533" s="692" t="s">
        <v>40</v>
      </c>
      <c r="Q533" s="693"/>
      <c r="R533" s="693"/>
      <c r="S533" s="693"/>
      <c r="T533" s="693"/>
      <c r="U533" s="693"/>
      <c r="V533" s="69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5"/>
      <c r="B534" s="695"/>
      <c r="C534" s="695"/>
      <c r="D534" s="695"/>
      <c r="E534" s="695"/>
      <c r="F534" s="695"/>
      <c r="G534" s="695"/>
      <c r="H534" s="695"/>
      <c r="I534" s="695"/>
      <c r="J534" s="695"/>
      <c r="K534" s="695"/>
      <c r="L534" s="695"/>
      <c r="M534" s="695"/>
      <c r="N534" s="695"/>
      <c r="O534" s="963"/>
      <c r="P534" s="960" t="s">
        <v>33</v>
      </c>
      <c r="Q534" s="961"/>
      <c r="R534" s="961"/>
      <c r="S534" s="961"/>
      <c r="T534" s="961"/>
      <c r="U534" s="961"/>
      <c r="V534" s="96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2274.5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2382.9799999999996</v>
      </c>
      <c r="Z534" s="42"/>
      <c r="AA534" s="67"/>
      <c r="AB534" s="67"/>
      <c r="AC534" s="67"/>
    </row>
    <row r="535" spans="1:68" x14ac:dyDescent="0.2">
      <c r="A535" s="695"/>
      <c r="B535" s="695"/>
      <c r="C535" s="695"/>
      <c r="D535" s="695"/>
      <c r="E535" s="695"/>
      <c r="F535" s="695"/>
      <c r="G535" s="695"/>
      <c r="H535" s="695"/>
      <c r="I535" s="695"/>
      <c r="J535" s="695"/>
      <c r="K535" s="695"/>
      <c r="L535" s="695"/>
      <c r="M535" s="695"/>
      <c r="N535" s="695"/>
      <c r="O535" s="963"/>
      <c r="P535" s="960" t="s">
        <v>34</v>
      </c>
      <c r="Q535" s="961"/>
      <c r="R535" s="961"/>
      <c r="S535" s="961"/>
      <c r="T535" s="961"/>
      <c r="U535" s="961"/>
      <c r="V535" s="962"/>
      <c r="W535" s="42" t="s">
        <v>0</v>
      </c>
      <c r="X535" s="43">
        <f>IFERROR(SUM(BM22:BM531),"0")</f>
        <v>2371.6130507455514</v>
      </c>
      <c r="Y535" s="43">
        <f>IFERROR(SUM(BN22:BN531),"0")</f>
        <v>2485.1520000000005</v>
      </c>
      <c r="Z535" s="42"/>
      <c r="AA535" s="67"/>
      <c r="AB535" s="67"/>
      <c r="AC535" s="67"/>
    </row>
    <row r="536" spans="1:68" x14ac:dyDescent="0.2">
      <c r="A536" s="695"/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95"/>
      <c r="O536" s="963"/>
      <c r="P536" s="960" t="s">
        <v>35</v>
      </c>
      <c r="Q536" s="961"/>
      <c r="R536" s="961"/>
      <c r="S536" s="961"/>
      <c r="T536" s="961"/>
      <c r="U536" s="961"/>
      <c r="V536" s="962"/>
      <c r="W536" s="42" t="s">
        <v>20</v>
      </c>
      <c r="X536" s="44">
        <f>ROUNDUP(SUM(BO22:BO531),0)</f>
        <v>4</v>
      </c>
      <c r="Y536" s="44">
        <f>ROUNDUP(SUM(BP22:BP531),0)</f>
        <v>4</v>
      </c>
      <c r="Z536" s="42"/>
      <c r="AA536" s="67"/>
      <c r="AB536" s="67"/>
      <c r="AC536" s="67"/>
    </row>
    <row r="537" spans="1:68" x14ac:dyDescent="0.2">
      <c r="A537" s="695"/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963"/>
      <c r="P537" s="960" t="s">
        <v>36</v>
      </c>
      <c r="Q537" s="961"/>
      <c r="R537" s="961"/>
      <c r="S537" s="961"/>
      <c r="T537" s="961"/>
      <c r="U537" s="961"/>
      <c r="V537" s="962"/>
      <c r="W537" s="42" t="s">
        <v>0</v>
      </c>
      <c r="X537" s="43">
        <f>GrossWeightTotal+PalletQtyTotal*25</f>
        <v>2471.6130507455514</v>
      </c>
      <c r="Y537" s="43">
        <f>GrossWeightTotalR+PalletQtyTotalR*25</f>
        <v>2585.1520000000005</v>
      </c>
      <c r="Z537" s="42"/>
      <c r="AA537" s="67"/>
      <c r="AB537" s="67"/>
      <c r="AC537" s="67"/>
    </row>
    <row r="538" spans="1:68" x14ac:dyDescent="0.2">
      <c r="A538" s="695"/>
      <c r="B538" s="695"/>
      <c r="C538" s="695"/>
      <c r="D538" s="695"/>
      <c r="E538" s="695"/>
      <c r="F538" s="695"/>
      <c r="G538" s="695"/>
      <c r="H538" s="695"/>
      <c r="I538" s="695"/>
      <c r="J538" s="695"/>
      <c r="K538" s="695"/>
      <c r="L538" s="695"/>
      <c r="M538" s="695"/>
      <c r="N538" s="695"/>
      <c r="O538" s="963"/>
      <c r="P538" s="960" t="s">
        <v>37</v>
      </c>
      <c r="Q538" s="961"/>
      <c r="R538" s="961"/>
      <c r="S538" s="961"/>
      <c r="T538" s="961"/>
      <c r="U538" s="961"/>
      <c r="V538" s="96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292.10425685425679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307</v>
      </c>
      <c r="Z538" s="42"/>
      <c r="AA538" s="67"/>
      <c r="AB538" s="67"/>
      <c r="AC538" s="67"/>
    </row>
    <row r="539" spans="1:68" ht="14.25" x14ac:dyDescent="0.2">
      <c r="A539" s="695"/>
      <c r="B539" s="695"/>
      <c r="C539" s="695"/>
      <c r="D539" s="695"/>
      <c r="E539" s="695"/>
      <c r="F539" s="695"/>
      <c r="G539" s="695"/>
      <c r="H539" s="695"/>
      <c r="I539" s="695"/>
      <c r="J539" s="695"/>
      <c r="K539" s="695"/>
      <c r="L539" s="695"/>
      <c r="M539" s="695"/>
      <c r="N539" s="695"/>
      <c r="O539" s="963"/>
      <c r="P539" s="960" t="s">
        <v>38</v>
      </c>
      <c r="Q539" s="961"/>
      <c r="R539" s="961"/>
      <c r="S539" s="961"/>
      <c r="T539" s="961"/>
      <c r="U539" s="961"/>
      <c r="V539" s="96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4.1906900000000009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6" t="s">
        <v>127</v>
      </c>
      <c r="E541" s="966" t="s">
        <v>127</v>
      </c>
      <c r="F541" s="966" t="s">
        <v>127</v>
      </c>
      <c r="G541" s="966" t="s">
        <v>127</v>
      </c>
      <c r="H541" s="966" t="s">
        <v>127</v>
      </c>
      <c r="I541" s="966" t="s">
        <v>127</v>
      </c>
      <c r="J541" s="966" t="s">
        <v>127</v>
      </c>
      <c r="K541" s="966" t="s">
        <v>336</v>
      </c>
      <c r="L541" s="966" t="s">
        <v>336</v>
      </c>
      <c r="M541" s="966" t="s">
        <v>336</v>
      </c>
      <c r="N541" s="967"/>
      <c r="O541" s="966" t="s">
        <v>336</v>
      </c>
      <c r="P541" s="966" t="s">
        <v>336</v>
      </c>
      <c r="Q541" s="966" t="s">
        <v>336</v>
      </c>
      <c r="R541" s="966" t="s">
        <v>336</v>
      </c>
      <c r="S541" s="966" t="s">
        <v>336</v>
      </c>
      <c r="T541" s="966" t="s">
        <v>336</v>
      </c>
      <c r="U541" s="966" t="s">
        <v>336</v>
      </c>
      <c r="V541" s="966" t="s">
        <v>666</v>
      </c>
      <c r="W541" s="966" t="s">
        <v>666</v>
      </c>
      <c r="X541" s="966" t="s">
        <v>726</v>
      </c>
      <c r="Y541" s="966" t="s">
        <v>726</v>
      </c>
      <c r="Z541" s="85" t="s">
        <v>762</v>
      </c>
      <c r="AA541" s="966" t="s">
        <v>809</v>
      </c>
      <c r="AB541" s="966" t="s">
        <v>809</v>
      </c>
      <c r="AC541" s="60"/>
      <c r="AF541" s="1"/>
    </row>
    <row r="542" spans="1:68" ht="14.25" customHeight="1" thickTop="1" x14ac:dyDescent="0.2">
      <c r="A542" s="964" t="s">
        <v>10</v>
      </c>
      <c r="B542" s="966" t="s">
        <v>76</v>
      </c>
      <c r="C542" s="966" t="s">
        <v>110</v>
      </c>
      <c r="D542" s="966" t="s">
        <v>128</v>
      </c>
      <c r="E542" s="966" t="s">
        <v>144</v>
      </c>
      <c r="F542" s="966" t="s">
        <v>190</v>
      </c>
      <c r="G542" s="966" t="s">
        <v>211</v>
      </c>
      <c r="H542" s="966" t="s">
        <v>253</v>
      </c>
      <c r="I542" s="966" t="s">
        <v>265</v>
      </c>
      <c r="J542" s="966" t="s">
        <v>127</v>
      </c>
      <c r="K542" s="966" t="s">
        <v>337</v>
      </c>
      <c r="L542" s="966" t="s">
        <v>358</v>
      </c>
      <c r="M542" s="966" t="s">
        <v>425</v>
      </c>
      <c r="N542" s="1"/>
      <c r="O542" s="966" t="s">
        <v>493</v>
      </c>
      <c r="P542" s="966" t="s">
        <v>526</v>
      </c>
      <c r="Q542" s="966" t="s">
        <v>542</v>
      </c>
      <c r="R542" s="966" t="s">
        <v>551</v>
      </c>
      <c r="S542" s="966" t="s">
        <v>572</v>
      </c>
      <c r="T542" s="966" t="s">
        <v>581</v>
      </c>
      <c r="U542" s="966" t="s">
        <v>656</v>
      </c>
      <c r="V542" s="966" t="s">
        <v>667</v>
      </c>
      <c r="W542" s="966" t="s">
        <v>710</v>
      </c>
      <c r="X542" s="966" t="s">
        <v>727</v>
      </c>
      <c r="Y542" s="966" t="s">
        <v>750</v>
      </c>
      <c r="Z542" s="966" t="s">
        <v>762</v>
      </c>
      <c r="AA542" s="966" t="s">
        <v>809</v>
      </c>
      <c r="AB542" s="966" t="s">
        <v>830</v>
      </c>
      <c r="AC542" s="60"/>
      <c r="AF542" s="1"/>
    </row>
    <row r="543" spans="1:68" ht="13.5" thickBot="1" x14ac:dyDescent="0.25">
      <c r="A543" s="965"/>
      <c r="B543" s="966"/>
      <c r="C543" s="966"/>
      <c r="D543" s="966"/>
      <c r="E543" s="966"/>
      <c r="F543" s="966"/>
      <c r="G543" s="966"/>
      <c r="H543" s="966"/>
      <c r="I543" s="966"/>
      <c r="J543" s="966"/>
      <c r="K543" s="966"/>
      <c r="L543" s="966"/>
      <c r="M543" s="966"/>
      <c r="N543" s="1"/>
      <c r="O543" s="966"/>
      <c r="P543" s="966"/>
      <c r="Q543" s="966"/>
      <c r="R543" s="966"/>
      <c r="S543" s="966"/>
      <c r="T543" s="966"/>
      <c r="U543" s="966"/>
      <c r="V543" s="966"/>
      <c r="W543" s="966"/>
      <c r="X543" s="966"/>
      <c r="Y543" s="966"/>
      <c r="Z543" s="966"/>
      <c r="AA543" s="966"/>
      <c r="AB543" s="96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51.2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84.600000000000009</v>
      </c>
      <c r="F544" s="52">
        <f>IFERROR(Y88*1,"0")+IFERROR(Y89*1,"0")+IFERROR(Y90*1,"0")+IFERROR(Y91*1,"0")+IFERROR(Y95*1,"0")+IFERROR(Y96*1,"0")+IFERROR(Y97*1,"0")+IFERROR(Y98*1,"0")</f>
        <v>94.5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118.8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393.00000000000011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12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16.8</v>
      </c>
      <c r="U544" s="52">
        <f>IFERROR(Y399*1,"0")+IFERROR(Y400*1,"0")+IFERROR(Y401*1,"0")</f>
        <v>87.600000000000009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1125</v>
      </c>
      <c r="W544" s="52">
        <f>IFERROR(Y434*1,"0")+IFERROR(Y435*1,"0")+IFERROR(Y439*1,"0")+IFERROR(Y443*1,"0")+IFERROR(Y444*1,"0")+IFERROR(Y445*1,"0")</f>
        <v>24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24.6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242.88000000000002</v>
      </c>
      <c r="AA544" s="52">
        <f>IFERROR(Y508*1,"0")+IFERROR(Y512*1,"0")+IFERROR(Y516*1,"0")+IFERROR(Y517*1,"0")+IFERROR(Y521*1,"0")+IFERROR(Y525*1,"0")+IFERROR(Y526*1,"0")</f>
        <v>108</v>
      </c>
      <c r="AB544" s="52">
        <f>IFERROR(Y531*1,"0")</f>
        <v>0</v>
      </c>
      <c r="AC544" s="60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2026-07-10T05:53:23Z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