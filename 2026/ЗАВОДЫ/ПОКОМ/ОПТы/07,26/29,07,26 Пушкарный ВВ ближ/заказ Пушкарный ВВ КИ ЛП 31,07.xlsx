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9,07,26 Пушкарный ВВ ближ\"/>
    </mc:Choice>
  </mc:AlternateContent>
  <xr:revisionPtr revIDLastSave="0" documentId="13_ncr:1_{882A1FAC-E93B-412C-ABAB-D03F3A711EB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P501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M428" i="2"/>
  <c r="Y428" i="2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Z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Z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Z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P283" i="2"/>
  <c r="BO283" i="2"/>
  <c r="BM283" i="2"/>
  <c r="Y283" i="2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P248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Z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P225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Y204" i="2"/>
  <c r="X204" i="2"/>
  <c r="Y203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Z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Y163" i="2"/>
  <c r="X163" i="2"/>
  <c r="X162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X555" i="2" s="1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416" i="2" l="1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77" i="2" s="1"/>
  <c r="Z281" i="2"/>
  <c r="BN291" i="2"/>
  <c r="Z302" i="2"/>
  <c r="Z336" i="2"/>
  <c r="Z338" i="2" s="1"/>
  <c r="Y352" i="2"/>
  <c r="Z391" i="2"/>
  <c r="BN403" i="2"/>
  <c r="Z426" i="2"/>
  <c r="Z431" i="2" s="1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292" i="2" s="1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X554" i="2" l="1"/>
  <c r="Z322" i="2"/>
  <c r="Z136" i="2"/>
  <c r="Z37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<sst xmlns="http://schemas.openxmlformats.org/spreadsheetml/2006/main" count="4201" uniqueCount="895">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</sst>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14.999999999999998</v>
      </c>
      <c r="Y74" s="43">
        <f>IFERROR(Y70/H70,"0")+IFERROR(Y71/H71,"0")+IFERROR(Y72/H72,"0")+IFERROR(Y73/H73,"0")</f>
        <v>14.999999999999998</v>
      </c>
      <c r="Z74" s="43">
        <f>IFERROR(IF(Z70="",0,Z70),"0")+IFERROR(IF(Z71="",0,Z71),"0")+IFERROR(IF(Z72="",0,Z72),"0")+IFERROR(IF(Z73="",0,Z73),"0")</f>
        <v>0.28470000000000001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162</v>
      </c>
      <c r="Y75" s="43">
        <f>IFERROR(SUM(Y70:Y73),"0")</f>
        <v>162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10.5</v>
      </c>
      <c r="Y375" s="55">
        <f t="shared" si="47"/>
        <v>10.5</v>
      </c>
      <c r="Z375" s="41">
        <f>IFERROR(IF(Y375=0,"",ROUNDUP(Y375/H375,0)*0.00502),"")</f>
        <v>2.5100000000000001E-2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11.149999999999999</v>
      </c>
      <c r="BN375" s="78">
        <f t="shared" si="49"/>
        <v>11.149999999999999</v>
      </c>
      <c r="BO375" s="78">
        <f t="shared" si="50"/>
        <v>2.1367521367521368E-2</v>
      </c>
      <c r="BP375" s="78">
        <f t="shared" si="51"/>
        <v>2.1367521367521368E-2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25</v>
      </c>
      <c r="Y379" s="43">
        <f>IFERROR(Y372/H372,"0")+IFERROR(Y373/H373,"0")+IFERROR(Y374/H374,"0")+IFERROR(Y375/H375,"0")+IFERROR(Y376/H376,"0")+IFERROR(Y377/H377,"0")+IFERROR(Y378/H378,"0")</f>
        <v>25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0.20550000000000002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94.5</v>
      </c>
      <c r="Y380" s="43">
        <f>IFERROR(SUM(Y372:Y378),"0")</f>
        <v>94.5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998.4</v>
      </c>
      <c r="Y382" s="55">
        <f>IFERROR(IF(X382="",0,CEILING((X382/$H382),1)*$H382),"")</f>
        <v>998.4</v>
      </c>
      <c r="Z382" s="41">
        <f>IFERROR(IF(Y382=0,"",ROUNDUP(Y382/H382,0)*0.01898),"")</f>
        <v>2.42944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1060.864</v>
      </c>
      <c r="BN382" s="78">
        <f>IFERROR(Y382*I382/H382,"0")</f>
        <v>1060.864</v>
      </c>
      <c r="BO382" s="78">
        <f>IFERROR(1/J382*(X382/H382),"0")</f>
        <v>2</v>
      </c>
      <c r="BP382" s="78">
        <f>IFERROR(1/J382*(Y382/H382),"0")</f>
        <v>2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128</v>
      </c>
      <c r="Y386" s="43">
        <f>IFERROR(Y382/H382,"0")+IFERROR(Y383/H383,"0")+IFERROR(Y384/H384,"0")+IFERROR(Y385/H385,"0")</f>
        <v>128</v>
      </c>
      <c r="Z386" s="43">
        <f>IFERROR(IF(Z382="",0,Z382),"0")+IFERROR(IF(Z383="",0,Z383),"0")+IFERROR(IF(Z384="",0,Z384),"0")+IFERROR(IF(Z385="",0,Z385),"0")</f>
        <v>2.42944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998.4</v>
      </c>
      <c r="Y387" s="43">
        <f>IFERROR(SUM(Y382:Y385),"0")</f>
        <v>998.4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195</v>
      </c>
      <c r="Y390" s="55">
        <f>IFERROR(IF(X390="",0,CEILING((X390/$H390),1)*$H390),"")</f>
        <v>195</v>
      </c>
      <c r="Z390" s="41">
        <f>IFERROR(IF(Y390=0,"",ROUNDUP(Y390/H390,0)*0.01898),"")</f>
        <v>0.47450000000000003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207.35000000000002</v>
      </c>
      <c r="BN390" s="78">
        <f>IFERROR(Y390*I390/H390,"0")</f>
        <v>207.35000000000002</v>
      </c>
      <c r="BO390" s="78">
        <f>IFERROR(1/J390*(X390/H390),"0")</f>
        <v>0.390625</v>
      </c>
      <c r="BP390" s="78">
        <f>IFERROR(1/J390*(Y390/H390),"0")</f>
        <v>0.390625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42</v>
      </c>
      <c r="Y391" s="55">
        <f>IFERROR(IF(X391="",0,CEILING((X391/$H391),1)*$H391),"")</f>
        <v>42</v>
      </c>
      <c r="Z391" s="41">
        <f>IFERROR(IF(Y391=0,"",ROUNDUP(Y391/H391,0)*0.01898),"")</f>
        <v>9.4899999999999998E-2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44.47</v>
      </c>
      <c r="BN391" s="78">
        <f>IFERROR(Y391*I391/H391,"0")</f>
        <v>44.47</v>
      </c>
      <c r="BO391" s="78">
        <f>IFERROR(1/J391*(X391/H391),"0")</f>
        <v>7.8125E-2</v>
      </c>
      <c r="BP391" s="78">
        <f>IFERROR(1/J391*(Y391/H391),"0")</f>
        <v>7.8125E-2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30</v>
      </c>
      <c r="Y392" s="43">
        <f>IFERROR(Y389/H389,"0")+IFERROR(Y390/H390,"0")+IFERROR(Y391/H391,"0")</f>
        <v>30</v>
      </c>
      <c r="Z392" s="43">
        <f>IFERROR(IF(Z389="",0,Z389),"0")+IFERROR(IF(Z390="",0,Z390),"0")+IFERROR(IF(Z391="",0,Z391),"0")</f>
        <v>0.56940000000000002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237</v>
      </c>
      <c r="Y393" s="43">
        <f>IFERROR(SUM(Y389:Y391),"0")</f>
        <v>237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90</v>
      </c>
      <c r="Y440" s="55">
        <f>IFERROR(IF(X440="",0,CEILING((X440/$H440),1)*$H440),"")</f>
        <v>90</v>
      </c>
      <c r="Z440" s="41">
        <f>IFERROR(IF(Y440=0,"",ROUNDUP(Y440/H440,0)*0.01898),"")</f>
        <v>0.1898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95</v>
      </c>
      <c r="BN440" s="78">
        <f>IFERROR(Y440*I440/H440,"0")</f>
        <v>95</v>
      </c>
      <c r="BO440" s="78">
        <f>IFERROR(1/J440*(X440/H440),"0")</f>
        <v>0.15625</v>
      </c>
      <c r="BP440" s="78">
        <f>IFERROR(1/J440*(Y440/H440),"0")</f>
        <v>0.15625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18</v>
      </c>
      <c r="Y441" s="55">
        <f>IFERROR(IF(X441="",0,CEILING((X441/$H441),1)*$H441),"")</f>
        <v>18</v>
      </c>
      <c r="Z441" s="41">
        <f>IFERROR(IF(Y441=0,"",ROUNDUP(Y441/H441,0)*0.01898),"")</f>
        <v>3.7960000000000001E-2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18.988</v>
      </c>
      <c r="BN441" s="78">
        <f>IFERROR(Y441*I441/H441,"0")</f>
        <v>18.988</v>
      </c>
      <c r="BO441" s="78">
        <f>IFERROR(1/J441*(X441/H441),"0")</f>
        <v>3.125E-2</v>
      </c>
      <c r="BP441" s="78">
        <f>IFERROR(1/J441*(Y441/H441),"0")</f>
        <v>3.125E-2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12</v>
      </c>
      <c r="Y443" s="43">
        <f>IFERROR(Y440/H440,"0")+IFERROR(Y441/H441,"0")+IFERROR(Y442/H442,"0")</f>
        <v>12</v>
      </c>
      <c r="Z443" s="43">
        <f>IFERROR(IF(Z440="",0,Z440),"0")+IFERROR(IF(Z441="",0,Z441),"0")+IFERROR(IF(Z442="",0,Z442),"0")</f>
        <v>0.22775999999999999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108</v>
      </c>
      <c r="Y444" s="43">
        <f>IFERROR(SUM(Y440:Y442),"0")</f>
        <v>108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48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50.857142857142861</v>
      </c>
      <c r="BN534" s="78">
        <f>IFERROR(Y534*I534/H534,"0")</f>
        <v>53.400000000000006</v>
      </c>
      <c r="BO534" s="78">
        <f>IFERROR(1/J534*(X534/H534),"0")</f>
        <v>8.658008658008659E-2</v>
      </c>
      <c r="BP534" s="78">
        <f>IFERROR(1/J534*(Y534/H534),"0")</f>
        <v>9.0909090909090912E-2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11.428571428571429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48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1749.9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1752.3000000000002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1855.2291428571432</v>
      </c>
      <c r="Y552" s="43">
        <f>IFERROR(SUM(BN22:BN548),"0")</f>
        <v>1857.7720000000004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1955.2291428571432</v>
      </c>
      <c r="Y554" s="43">
        <f>GrossWeightTotalR+PalletQtyTotalR*25</f>
        <v>1957.7720000000004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241.42857142857142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242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4.0799400000000006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162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1329.9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108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50.400000000000006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