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29,07,26 Пушкарный дозаказ\"/>
    </mc:Choice>
  </mc:AlternateContent>
  <xr:revisionPtr revIDLastSave="0" documentId="13_ncr:1_{CB801980-B123-463D-86A4-390929FFDA7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P484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Z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Z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Z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Z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P365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P344" i="2"/>
  <c r="BO344" i="2"/>
  <c r="BN344" i="2"/>
  <c r="BM344" i="2"/>
  <c r="Z344" i="2"/>
  <c r="Y344" i="2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Z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Z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Z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Z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P248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Z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P225" i="2"/>
  <c r="BO225" i="2"/>
  <c r="BM225" i="2"/>
  <c r="Y225" i="2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Z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Z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Z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Z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Z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Z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Z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163" i="2" l="1"/>
  <c r="Y203" i="2"/>
  <c r="Y204" i="2"/>
  <c r="X555" i="2"/>
  <c r="Z28" i="2"/>
  <c r="Z88" i="2"/>
  <c r="BN88" i="2"/>
  <c r="Y93" i="2"/>
  <c r="Z98" i="2"/>
  <c r="Z139" i="2"/>
  <c r="Z143" i="2" s="1"/>
  <c r="Z142" i="2"/>
  <c r="BN142" i="2"/>
  <c r="Z161" i="2"/>
  <c r="Z162" i="2" s="1"/>
  <c r="Z187" i="2"/>
  <c r="Z230" i="2"/>
  <c r="BN230" i="2"/>
  <c r="Z242" i="2"/>
  <c r="Z265" i="2"/>
  <c r="Z266" i="2" s="1"/>
  <c r="Z275" i="2"/>
  <c r="Z306" i="2"/>
  <c r="Z329" i="2"/>
  <c r="Z337" i="2"/>
  <c r="Z372" i="2"/>
  <c r="BP391" i="2"/>
  <c r="Z409" i="2"/>
  <c r="Z425" i="2"/>
  <c r="Z457" i="2"/>
  <c r="Z458" i="2" s="1"/>
  <c r="Z478" i="2"/>
  <c r="BN478" i="2"/>
  <c r="BN29" i="2"/>
  <c r="Y47" i="2"/>
  <c r="Y55" i="2"/>
  <c r="BP83" i="2"/>
  <c r="BN120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Z418" i="2" s="1"/>
  <c r="BN426" i="2"/>
  <c r="BP426" i="2"/>
  <c r="BN429" i="2"/>
  <c r="BN441" i="2"/>
  <c r="Z441" i="2"/>
  <c r="BN470" i="2"/>
  <c r="BN479" i="2"/>
  <c r="BN489" i="2"/>
  <c r="BP503" i="2"/>
  <c r="BN503" i="2"/>
  <c r="Z503" i="2"/>
  <c r="BN515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Y85" i="2"/>
  <c r="BP90" i="2"/>
  <c r="Z95" i="2"/>
  <c r="BP98" i="2"/>
  <c r="BN121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Z411" i="2"/>
  <c r="BP423" i="2"/>
  <c r="BN423" i="2"/>
  <c r="Z423" i="2"/>
  <c r="BN428" i="2"/>
  <c r="Z428" i="2"/>
  <c r="BP441" i="2"/>
  <c r="BN453" i="2"/>
  <c r="BN501" i="2"/>
  <c r="Z501" i="2"/>
  <c r="BP538" i="2"/>
  <c r="Z538" i="2"/>
  <c r="Z539" i="2" s="1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Z347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22" i="2" l="1"/>
  <c r="Z454" i="2"/>
  <c r="Z437" i="2"/>
  <c r="Z369" i="2"/>
  <c r="X554" i="2"/>
  <c r="Z292" i="2"/>
  <c r="Z431" i="2"/>
  <c r="Z277" i="2"/>
  <c r="Z136" i="2"/>
  <c r="Z199" i="2"/>
  <c r="Z379" i="2"/>
  <c r="Z331" i="2"/>
  <c r="Z9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<sst xmlns="http://schemas.openxmlformats.org/spreadsheetml/2006/main" count="4201" uniqueCount="895">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</sst>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528" zoomScaleNormal="100" zoomScaleSheetLayoutView="100" workbookViewId="0">
      <selection activeCell="AA557" sqref="AA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5700</v>
      </c>
      <c r="Y382" s="55">
        <f>IFERROR(IF(X382="",0,CEILING((X382/$H382),1)*$H382),"")</f>
        <v>5701.8</v>
      </c>
      <c r="Z382" s="41">
        <f>IFERROR(IF(Y382=0,"",ROUNDUP(Y382/H382,0)*0.01898),"")</f>
        <v>13.87438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6056.6153846153848</v>
      </c>
      <c r="BN382" s="78">
        <f>IFERROR(Y382*I382/H382,"0")</f>
        <v>6058.5280000000002</v>
      </c>
      <c r="BO382" s="78">
        <f>IFERROR(1/J382*(X382/H382),"0")</f>
        <v>11.418269230769232</v>
      </c>
      <c r="BP382" s="78">
        <f>IFERROR(1/J382*(Y382/H382),"0")</f>
        <v>11.421875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730.76923076923083</v>
      </c>
      <c r="Y386" s="43">
        <f>IFERROR(Y382/H382,"0")+IFERROR(Y383/H383,"0")+IFERROR(Y384/H384,"0")+IFERROR(Y385/H385,"0")</f>
        <v>731</v>
      </c>
      <c r="Z386" s="43">
        <f>IFERROR(IF(Z382="",0,Z382),"0")+IFERROR(IF(Z383="",0,Z383),"0")+IFERROR(IF(Z384="",0,Z384),"0")+IFERROR(IF(Z385="",0,Z385),"0")</f>
        <v>13.87438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5700</v>
      </c>
      <c r="Y387" s="43">
        <f>IFERROR(SUM(Y382:Y385),"0")</f>
        <v>5701.8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5700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5701.8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6056.6153846153848</v>
      </c>
      <c r="Y552" s="43">
        <f>IFERROR(SUM(BN22:BN548),"0")</f>
        <v>6058.5280000000002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12</v>
      </c>
      <c r="Y553" s="44">
        <f>ROUNDUP(SUM(BP22:BP548),0)</f>
        <v>12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6356.6153846153848</v>
      </c>
      <c r="Y554" s="43">
        <f>GrossWeightTotalR+PalletQtyTotalR*25</f>
        <v>6358.5280000000002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730.76923076923083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731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13.87438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5701.8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2026-07-29T10:28:53Z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