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73-21.07.26_Г+Л\"/>
    </mc:Choice>
  </mc:AlternateContent>
  <xr:revisionPtr revIDLastSave="0" documentId="8_{B769F4CC-F6E7-421E-8D9D-3A92279C55D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<sst xmlns="http://schemas.openxmlformats.org/spreadsheetml/2006/main" count="3643" uniqueCount="787">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</sst>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="80" zoomScaleNormal="8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/>
      <c r="R5" s="561"/>
      <c r="T5" s="562" t="s">
        <v>3</v>
      </c>
      <c r="U5" s="563"/>
      <c r="V5" s="564" t="s">
        <v>750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 xml:space="preserve"> 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/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>
        <v>46224</v>
      </c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>
        <v>0.54166666666666663</v>
      </c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">
      <c r="A19" s="622" t="s">
        <v>75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75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76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86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4301052078</v>
      </c>
      <c r="D31" s="625">
        <v>4680115887657</v>
      </c>
      <c r="E31" s="6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3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103</v>
      </c>
      <c r="B32" s="63" t="s">
        <v>104</v>
      </c>
      <c r="C32" s="36">
        <v>4301052071</v>
      </c>
      <c r="D32" s="625">
        <v>4680115887619</v>
      </c>
      <c r="E32" s="62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6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7"/>
      <c r="R32" s="627"/>
      <c r="S32" s="627"/>
      <c r="T32" s="628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33"/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4"/>
      <c r="P34" s="630" t="s">
        <v>40</v>
      </c>
      <c r="Q34" s="631"/>
      <c r="R34" s="631"/>
      <c r="S34" s="631"/>
      <c r="T34" s="631"/>
      <c r="U34" s="631"/>
      <c r="V34" s="632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24" t="s">
        <v>106</v>
      </c>
      <c r="B35" s="624"/>
      <c r="C35" s="624"/>
      <c r="D35" s="624"/>
      <c r="E35" s="624"/>
      <c r="F35" s="624"/>
      <c r="G35" s="624"/>
      <c r="H35" s="624"/>
      <c r="I35" s="624"/>
      <c r="J35" s="624"/>
      <c r="K35" s="624"/>
      <c r="L35" s="624"/>
      <c r="M35" s="624"/>
      <c r="N35" s="624"/>
      <c r="O35" s="624"/>
      <c r="P35" s="624"/>
      <c r="Q35" s="624"/>
      <c r="R35" s="624"/>
      <c r="S35" s="624"/>
      <c r="T35" s="624"/>
      <c r="U35" s="624"/>
      <c r="V35" s="624"/>
      <c r="W35" s="624"/>
      <c r="X35" s="624"/>
      <c r="Y35" s="624"/>
      <c r="Z35" s="624"/>
      <c r="AA35" s="66"/>
      <c r="AB35" s="66"/>
      <c r="AC35" s="80"/>
    </row>
    <row r="36" spans="1:68" ht="27" customHeight="1" x14ac:dyDescent="0.25">
      <c r="A36" s="63" t="s">
        <v>107</v>
      </c>
      <c r="B36" s="63" t="s">
        <v>108</v>
      </c>
      <c r="C36" s="36">
        <v>4301032013</v>
      </c>
      <c r="D36" s="625">
        <v>4607091388503</v>
      </c>
      <c r="E36" s="625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6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7"/>
      <c r="R36" s="627"/>
      <c r="S36" s="627"/>
      <c r="T36" s="628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33"/>
      <c r="B38" s="633"/>
      <c r="C38" s="633"/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4"/>
      <c r="P38" s="630" t="s">
        <v>40</v>
      </c>
      <c r="Q38" s="631"/>
      <c r="R38" s="631"/>
      <c r="S38" s="631"/>
      <c r="T38" s="631"/>
      <c r="U38" s="631"/>
      <c r="V38" s="632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4"/>
      <c r="AB39" s="54"/>
      <c r="AC39" s="54"/>
    </row>
    <row r="40" spans="1:68" ht="16.5" customHeight="1" x14ac:dyDescent="0.25">
      <c r="A40" s="623" t="s">
        <v>113</v>
      </c>
      <c r="B40" s="623"/>
      <c r="C40" s="623"/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3"/>
      <c r="W40" s="623"/>
      <c r="X40" s="623"/>
      <c r="Y40" s="623"/>
      <c r="Z40" s="623"/>
      <c r="AA40" s="65"/>
      <c r="AB40" s="65"/>
      <c r="AC40" s="79"/>
    </row>
    <row r="41" spans="1:68" ht="14.25" customHeight="1" x14ac:dyDescent="0.25">
      <c r="A41" s="624" t="s">
        <v>114</v>
      </c>
      <c r="B41" s="624"/>
      <c r="C41" s="624"/>
      <c r="D41" s="624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624"/>
      <c r="U41" s="624"/>
      <c r="V41" s="624"/>
      <c r="W41" s="624"/>
      <c r="X41" s="624"/>
      <c r="Y41" s="624"/>
      <c r="Z41" s="624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625">
        <v>4607091385670</v>
      </c>
      <c r="E42" s="625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6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86.4</v>
      </c>
      <c r="Y42" s="55">
        <f>IFERROR(IF(X42="",0,CEILING((X42/$H42),1)*$H42),"")</f>
        <v>86.4</v>
      </c>
      <c r="Z42" s="41">
        <f>IFERROR(IF(Y42=0,"",ROUNDUP(Y42/H42,0)*0.01898),"")</f>
        <v>0.15184</v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89.68</v>
      </c>
      <c r="BN42" s="78">
        <f>IFERROR(Y42*I42/H42,"0")</f>
        <v>89.68</v>
      </c>
      <c r="BO42" s="78">
        <f>IFERROR(1/J42*(X42/H42),"0")</f>
        <v>0.125</v>
      </c>
      <c r="BP42" s="78">
        <f>IFERROR(1/J42*(Y42/H42),"0")</f>
        <v>0.125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123</v>
      </c>
      <c r="B44" s="63" t="s">
        <v>124</v>
      </c>
      <c r="C44" s="36">
        <v>4301011382</v>
      </c>
      <c r="D44" s="625">
        <v>4607091385687</v>
      </c>
      <c r="E44" s="625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7"/>
      <c r="R44" s="627"/>
      <c r="S44" s="627"/>
      <c r="T44" s="628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39</v>
      </c>
      <c r="X45" s="43">
        <f>IFERROR(X42/H42,"0")+IFERROR(X43/H43,"0")+IFERROR(X44/H44,"0")</f>
        <v>8</v>
      </c>
      <c r="Y45" s="43">
        <f>IFERROR(Y42/H42,"0")+IFERROR(Y43/H43,"0")+IFERROR(Y44/H44,"0")</f>
        <v>8</v>
      </c>
      <c r="Z45" s="43">
        <f>IFERROR(IF(Z42="",0,Z42),"0")+IFERROR(IF(Z43="",0,Z43),"0")+IFERROR(IF(Z44="",0,Z44),"0")</f>
        <v>0.15184</v>
      </c>
      <c r="AA45" s="67"/>
      <c r="AB45" s="67"/>
      <c r="AC45" s="67"/>
    </row>
    <row r="46" spans="1:68" x14ac:dyDescent="0.2">
      <c r="A46" s="633"/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4"/>
      <c r="P46" s="630" t="s">
        <v>40</v>
      </c>
      <c r="Q46" s="631"/>
      <c r="R46" s="631"/>
      <c r="S46" s="631"/>
      <c r="T46" s="631"/>
      <c r="U46" s="631"/>
      <c r="V46" s="632"/>
      <c r="W46" s="42" t="s">
        <v>0</v>
      </c>
      <c r="X46" s="43">
        <f>IFERROR(SUM(X42:X44),"0")</f>
        <v>86.4</v>
      </c>
      <c r="Y46" s="43">
        <f>IFERROR(SUM(Y42:Y44),"0")</f>
        <v>86.4</v>
      </c>
      <c r="Z46" s="42"/>
      <c r="AA46" s="67"/>
      <c r="AB46" s="67"/>
      <c r="AC46" s="67"/>
    </row>
    <row r="47" spans="1:68" ht="14.25" customHeight="1" x14ac:dyDescent="0.25">
      <c r="A47" s="624" t="s">
        <v>86</v>
      </c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4"/>
      <c r="P47" s="624"/>
      <c r="Q47" s="624"/>
      <c r="R47" s="624"/>
      <c r="S47" s="624"/>
      <c r="T47" s="624"/>
      <c r="U47" s="624"/>
      <c r="V47" s="624"/>
      <c r="W47" s="624"/>
      <c r="X47" s="624"/>
      <c r="Y47" s="624"/>
      <c r="Z47" s="624"/>
      <c r="AA47" s="66"/>
      <c r="AB47" s="66"/>
      <c r="AC47" s="80"/>
    </row>
    <row r="48" spans="1:68" ht="16.5" customHeight="1" x14ac:dyDescent="0.25">
      <c r="A48" s="63" t="s">
        <v>125</v>
      </c>
      <c r="B48" s="63" t="s">
        <v>126</v>
      </c>
      <c r="C48" s="36">
        <v>4301051820</v>
      </c>
      <c r="D48" s="625">
        <v>4680115884915</v>
      </c>
      <c r="E48" s="625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6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7"/>
      <c r="R48" s="627"/>
      <c r="S48" s="627"/>
      <c r="T48" s="628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customHeight="1" x14ac:dyDescent="0.25">
      <c r="A51" s="623" t="s">
        <v>128</v>
      </c>
      <c r="B51" s="623"/>
      <c r="C51" s="623"/>
      <c r="D51" s="623"/>
      <c r="E51" s="623"/>
      <c r="F51" s="623"/>
      <c r="G51" s="623"/>
      <c r="H51" s="623"/>
      <c r="I51" s="623"/>
      <c r="J51" s="623"/>
      <c r="K51" s="623"/>
      <c r="L51" s="623"/>
      <c r="M51" s="623"/>
      <c r="N51" s="623"/>
      <c r="O51" s="623"/>
      <c r="P51" s="623"/>
      <c r="Q51" s="623"/>
      <c r="R51" s="623"/>
      <c r="S51" s="623"/>
      <c r="T51" s="623"/>
      <c r="U51" s="623"/>
      <c r="V51" s="623"/>
      <c r="W51" s="623"/>
      <c r="X51" s="623"/>
      <c r="Y51" s="623"/>
      <c r="Z51" s="623"/>
      <c r="AA51" s="65"/>
      <c r="AB51" s="65"/>
      <c r="AC51" s="79"/>
    </row>
    <row r="52" spans="1:68" ht="14.25" customHeight="1" x14ac:dyDescent="0.25">
      <c r="A52" s="624" t="s">
        <v>114</v>
      </c>
      <c r="B52" s="624"/>
      <c r="C52" s="624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  <c r="R52" s="624"/>
      <c r="S52" s="624"/>
      <c r="T52" s="624"/>
      <c r="U52" s="624"/>
      <c r="V52" s="624"/>
      <c r="W52" s="624"/>
      <c r="X52" s="624"/>
      <c r="Y52" s="624"/>
      <c r="Z52" s="624"/>
      <c r="AA52" s="66"/>
      <c r="AB52" s="66"/>
      <c r="AC52" s="80"/>
    </row>
    <row r="53" spans="1:68" ht="27" customHeight="1" x14ac:dyDescent="0.25">
      <c r="A53" s="63" t="s">
        <v>129</v>
      </c>
      <c r="B53" s="63" t="s">
        <v>130</v>
      </c>
      <c r="C53" s="36">
        <v>4301012030</v>
      </c>
      <c r="D53" s="625">
        <v>4680115885882</v>
      </c>
      <c r="E53" s="625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6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625">
        <v>4680115881426</v>
      </c>
      <c r="E54" s="625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4301011386</v>
      </c>
      <c r="D55" s="625">
        <v>4680115880283</v>
      </c>
      <c r="E55" s="625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6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4301011806</v>
      </c>
      <c r="D56" s="625">
        <v>4680115881525</v>
      </c>
      <c r="E56" s="625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64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4301011589</v>
      </c>
      <c r="D57" s="625">
        <v>4680115885899</v>
      </c>
      <c r="E57" s="625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65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customHeight="1" x14ac:dyDescent="0.25">
      <c r="A58" s="63" t="s">
        <v>144</v>
      </c>
      <c r="B58" s="63" t="s">
        <v>145</v>
      </c>
      <c r="C58" s="36">
        <v>4301011801</v>
      </c>
      <c r="D58" s="625">
        <v>4680115881419</v>
      </c>
      <c r="E58" s="625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6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7"/>
      <c r="R58" s="627"/>
      <c r="S58" s="627"/>
      <c r="T58" s="628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">
      <c r="A60" s="633"/>
      <c r="B60" s="633"/>
      <c r="C60" s="633"/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4"/>
      <c r="P60" s="630" t="s">
        <v>40</v>
      </c>
      <c r="Q60" s="631"/>
      <c r="R60" s="631"/>
      <c r="S60" s="631"/>
      <c r="T60" s="631"/>
      <c r="U60" s="631"/>
      <c r="V60" s="632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customHeight="1" x14ac:dyDescent="0.25">
      <c r="A61" s="624" t="s">
        <v>147</v>
      </c>
      <c r="B61" s="624"/>
      <c r="C61" s="624"/>
      <c r="D61" s="624"/>
      <c r="E61" s="624"/>
      <c r="F61" s="624"/>
      <c r="G61" s="624"/>
      <c r="H61" s="624"/>
      <c r="I61" s="624"/>
      <c r="J61" s="624"/>
      <c r="K61" s="624"/>
      <c r="L61" s="624"/>
      <c r="M61" s="624"/>
      <c r="N61" s="624"/>
      <c r="O61" s="624"/>
      <c r="P61" s="624"/>
      <c r="Q61" s="624"/>
      <c r="R61" s="624"/>
      <c r="S61" s="624"/>
      <c r="T61" s="624"/>
      <c r="U61" s="624"/>
      <c r="V61" s="624"/>
      <c r="W61" s="624"/>
      <c r="X61" s="624"/>
      <c r="Y61" s="624"/>
      <c r="Z61" s="624"/>
      <c r="AA61" s="66"/>
      <c r="AB61" s="66"/>
      <c r="AC61" s="80"/>
    </row>
    <row r="62" spans="1:68" ht="16.5" customHeight="1" x14ac:dyDescent="0.25">
      <c r="A62" s="63" t="s">
        <v>148</v>
      </c>
      <c r="B62" s="63" t="s">
        <v>149</v>
      </c>
      <c r="C62" s="36">
        <v>4301020298</v>
      </c>
      <c r="D62" s="625">
        <v>4680115881440</v>
      </c>
      <c r="E62" s="625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6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151</v>
      </c>
      <c r="B63" s="63" t="s">
        <v>152</v>
      </c>
      <c r="C63" s="36">
        <v>4301020358</v>
      </c>
      <c r="D63" s="625">
        <v>4680115885950</v>
      </c>
      <c r="E63" s="625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6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customHeight="1" x14ac:dyDescent="0.25">
      <c r="A64" s="63" t="s">
        <v>153</v>
      </c>
      <c r="B64" s="63" t="s">
        <v>154</v>
      </c>
      <c r="C64" s="36">
        <v>4301020371</v>
      </c>
      <c r="D64" s="625">
        <v>4680115887688</v>
      </c>
      <c r="E64" s="625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6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7"/>
      <c r="R64" s="627"/>
      <c r="S64" s="627"/>
      <c r="T64" s="628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customHeight="1" x14ac:dyDescent="0.25">
      <c r="A65" s="63" t="s">
        <v>157</v>
      </c>
      <c r="B65" s="63" t="s">
        <v>158</v>
      </c>
      <c r="C65" s="36">
        <v>4301020296</v>
      </c>
      <c r="D65" s="625">
        <v>4680115881433</v>
      </c>
      <c r="E65" s="625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7"/>
      <c r="R65" s="627"/>
      <c r="S65" s="627"/>
      <c r="T65" s="628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x14ac:dyDescent="0.2">
      <c r="A66" s="633"/>
      <c r="B66" s="633"/>
      <c r="C66" s="633"/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4"/>
      <c r="P66" s="630" t="s">
        <v>40</v>
      </c>
      <c r="Q66" s="631"/>
      <c r="R66" s="631"/>
      <c r="S66" s="631"/>
      <c r="T66" s="631"/>
      <c r="U66" s="631"/>
      <c r="V66" s="632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633"/>
      <c r="B67" s="633"/>
      <c r="C67" s="633"/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4"/>
      <c r="P67" s="630" t="s">
        <v>40</v>
      </c>
      <c r="Q67" s="631"/>
      <c r="R67" s="631"/>
      <c r="S67" s="631"/>
      <c r="T67" s="631"/>
      <c r="U67" s="631"/>
      <c r="V67" s="632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customHeight="1" x14ac:dyDescent="0.25">
      <c r="A68" s="624" t="s">
        <v>76</v>
      </c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4"/>
      <c r="P68" s="624"/>
      <c r="Q68" s="624"/>
      <c r="R68" s="624"/>
      <c r="S68" s="624"/>
      <c r="T68" s="624"/>
      <c r="U68" s="624"/>
      <c r="V68" s="624"/>
      <c r="W68" s="624"/>
      <c r="X68" s="624"/>
      <c r="Y68" s="624"/>
      <c r="Z68" s="624"/>
      <c r="AA68" s="66"/>
      <c r="AB68" s="66"/>
      <c r="AC68" s="80"/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86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173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3" t="s">
        <v>180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114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189</v>
      </c>
      <c r="B89" s="63" t="s">
        <v>190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4" t="s">
        <v>86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customHeight="1" x14ac:dyDescent="0.25">
      <c r="A93" s="63" t="s">
        <v>191</v>
      </c>
      <c r="B93" s="63" t="s">
        <v>192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196</v>
      </c>
      <c r="B95" s="63" t="s">
        <v>197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198</v>
      </c>
      <c r="B96" s="63" t="s">
        <v>199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3" t="s">
        <v>201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customHeight="1" x14ac:dyDescent="0.25">
      <c r="A100" s="624" t="s">
        <v>114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customHeight="1" x14ac:dyDescent="0.25">
      <c r="A102" s="63" t="s">
        <v>205</v>
      </c>
      <c r="B102" s="63" t="s">
        <v>206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6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210</v>
      </c>
      <c r="B104" s="63" t="s">
        <v>211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customHeight="1" x14ac:dyDescent="0.25">
      <c r="A108" s="624" t="s">
        <v>147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customHeight="1" x14ac:dyDescent="0.25">
      <c r="A109" s="63" t="s">
        <v>214</v>
      </c>
      <c r="B109" s="63" t="s">
        <v>215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217</v>
      </c>
      <c r="B110" s="63" t="s">
        <v>218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6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221</v>
      </c>
      <c r="B111" s="63" t="s">
        <v>222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223</v>
      </c>
      <c r="B112" s="63" t="s">
        <v>224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4" t="s">
        <v>86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228</v>
      </c>
      <c r="B117" s="63" t="s">
        <v>229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230</v>
      </c>
      <c r="B118" s="63" t="s">
        <v>231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232</v>
      </c>
      <c r="B119" s="63" t="s">
        <v>233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24" t="s">
        <v>173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customHeight="1" x14ac:dyDescent="0.25">
      <c r="A123" s="63" t="s">
        <v>235</v>
      </c>
      <c r="B123" s="63" t="s">
        <v>236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3" t="s">
        <v>238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customHeight="1" x14ac:dyDescent="0.25">
      <c r="A127" s="624" t="s">
        <v>114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customHeight="1" x14ac:dyDescent="0.25">
      <c r="A128" s="63" t="s">
        <v>239</v>
      </c>
      <c r="B128" s="63" t="s">
        <v>240</v>
      </c>
      <c r="C128" s="36">
        <v>4301011564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6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239</v>
      </c>
      <c r="B129" s="63" t="s">
        <v>242</v>
      </c>
      <c r="C129" s="36">
        <v>4301011562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4" t="s">
        <v>76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customHeight="1" x14ac:dyDescent="0.25">
      <c r="A133" s="63" t="s">
        <v>243</v>
      </c>
      <c r="B133" s="63" t="s">
        <v>244</v>
      </c>
      <c r="C133" s="36">
        <v>4301031234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68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243</v>
      </c>
      <c r="B134" s="63" t="s">
        <v>246</v>
      </c>
      <c r="C134" s="36">
        <v>4301031235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4" t="s">
        <v>86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customHeight="1" x14ac:dyDescent="0.25">
      <c r="A138" s="63" t="s">
        <v>247</v>
      </c>
      <c r="B138" s="63" t="s">
        <v>248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247</v>
      </c>
      <c r="B139" s="63" t="s">
        <v>249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3" t="s">
        <v>112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customHeight="1" x14ac:dyDescent="0.25">
      <c r="A143" s="624" t="s">
        <v>114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customHeight="1" x14ac:dyDescent="0.25">
      <c r="A144" s="63" t="s">
        <v>250</v>
      </c>
      <c r="B144" s="63" t="s">
        <v>251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253</v>
      </c>
      <c r="B145" s="63" t="s">
        <v>254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4" t="s">
        <v>76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customHeight="1" x14ac:dyDescent="0.25">
      <c r="A149" s="63" t="s">
        <v>256</v>
      </c>
      <c r="B149" s="63" t="s">
        <v>257</v>
      </c>
      <c r="C149" s="36">
        <v>4301031450</v>
      </c>
      <c r="D149" s="625">
        <v>4680115887428</v>
      </c>
      <c r="E149" s="625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69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4301031453</v>
      </c>
      <c r="D150" s="625">
        <v>4680115887336</v>
      </c>
      <c r="E150" s="625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262</v>
      </c>
      <c r="B151" s="63" t="s">
        <v>263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265</v>
      </c>
      <c r="B152" s="63" t="s">
        <v>266</v>
      </c>
      <c r="C152" s="36">
        <v>4301031456</v>
      </c>
      <c r="D152" s="625">
        <v>4680115887398</v>
      </c>
      <c r="E152" s="625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7"/>
      <c r="R152" s="627"/>
      <c r="S152" s="627"/>
      <c r="T152" s="628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268</v>
      </c>
      <c r="B153" s="63" t="s">
        <v>269</v>
      </c>
      <c r="C153" s="36">
        <v>4301031389</v>
      </c>
      <c r="D153" s="625">
        <v>4680115887763</v>
      </c>
      <c r="E153" s="625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697" t="s">
        <v>270</v>
      </c>
      <c r="Q153" s="627"/>
      <c r="R153" s="627"/>
      <c r="S153" s="627"/>
      <c r="T153" s="62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33"/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4"/>
      <c r="P154" s="630" t="s">
        <v>40</v>
      </c>
      <c r="Q154" s="631"/>
      <c r="R154" s="631"/>
      <c r="S154" s="631"/>
      <c r="T154" s="631"/>
      <c r="U154" s="631"/>
      <c r="V154" s="632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customHeight="1" x14ac:dyDescent="0.25">
      <c r="A156" s="624" t="s">
        <v>86</v>
      </c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  <c r="AA156" s="66"/>
      <c r="AB156" s="66"/>
      <c r="AC156" s="80"/>
    </row>
    <row r="157" spans="1:68" ht="27" customHeight="1" x14ac:dyDescent="0.25">
      <c r="A157" s="63" t="s">
        <v>272</v>
      </c>
      <c r="B157" s="63" t="s">
        <v>273</v>
      </c>
      <c r="C157" s="36">
        <v>4301052064</v>
      </c>
      <c r="D157" s="625">
        <v>4680115887459</v>
      </c>
      <c r="E157" s="625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69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7"/>
      <c r="R157" s="627"/>
      <c r="S157" s="627"/>
      <c r="T157" s="628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3"/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4"/>
      <c r="P158" s="630" t="s">
        <v>40</v>
      </c>
      <c r="Q158" s="631"/>
      <c r="R158" s="631"/>
      <c r="S158" s="631"/>
      <c r="T158" s="631"/>
      <c r="U158" s="631"/>
      <c r="V158" s="632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3"/>
      <c r="B159" s="633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4"/>
      <c r="P159" s="630" t="s">
        <v>40</v>
      </c>
      <c r="Q159" s="631"/>
      <c r="R159" s="631"/>
      <c r="S159" s="631"/>
      <c r="T159" s="631"/>
      <c r="U159" s="631"/>
      <c r="V159" s="632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2" t="s">
        <v>275</v>
      </c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  <c r="Y160" s="622"/>
      <c r="Z160" s="622"/>
      <c r="AA160" s="54"/>
      <c r="AB160" s="54"/>
      <c r="AC160" s="54"/>
    </row>
    <row r="161" spans="1:68" ht="16.5" customHeight="1" x14ac:dyDescent="0.25">
      <c r="A161" s="623" t="s">
        <v>276</v>
      </c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3"/>
      <c r="P161" s="623"/>
      <c r="Q161" s="623"/>
      <c r="R161" s="623"/>
      <c r="S161" s="623"/>
      <c r="T161" s="623"/>
      <c r="U161" s="623"/>
      <c r="V161" s="623"/>
      <c r="W161" s="623"/>
      <c r="X161" s="623"/>
      <c r="Y161" s="623"/>
      <c r="Z161" s="623"/>
      <c r="AA161" s="65"/>
      <c r="AB161" s="65"/>
      <c r="AC161" s="79"/>
    </row>
    <row r="162" spans="1:68" ht="14.25" customHeight="1" x14ac:dyDescent="0.25">
      <c r="A162" s="624" t="s">
        <v>147</v>
      </c>
      <c r="B162" s="624"/>
      <c r="C162" s="624"/>
      <c r="D162" s="624"/>
      <c r="E162" s="624"/>
      <c r="F162" s="624"/>
      <c r="G162" s="624"/>
      <c r="H162" s="624"/>
      <c r="I162" s="624"/>
      <c r="J162" s="624"/>
      <c r="K162" s="624"/>
      <c r="L162" s="624"/>
      <c r="M162" s="624"/>
      <c r="N162" s="624"/>
      <c r="O162" s="624"/>
      <c r="P162" s="624"/>
      <c r="Q162" s="624"/>
      <c r="R162" s="624"/>
      <c r="S162" s="624"/>
      <c r="T162" s="624"/>
      <c r="U162" s="624"/>
      <c r="V162" s="624"/>
      <c r="W162" s="624"/>
      <c r="X162" s="624"/>
      <c r="Y162" s="624"/>
      <c r="Z162" s="624"/>
      <c r="AA162" s="66"/>
      <c r="AB162" s="66"/>
      <c r="AC162" s="80"/>
    </row>
    <row r="163" spans="1:68" ht="27" customHeight="1" x14ac:dyDescent="0.25">
      <c r="A163" s="63" t="s">
        <v>277</v>
      </c>
      <c r="B163" s="63" t="s">
        <v>278</v>
      </c>
      <c r="C163" s="36">
        <v>4301020323</v>
      </c>
      <c r="D163" s="625">
        <v>4680115886223</v>
      </c>
      <c r="E163" s="625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7"/>
      <c r="R163" s="627"/>
      <c r="S163" s="627"/>
      <c r="T163" s="628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3"/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4"/>
      <c r="P165" s="630" t="s">
        <v>40</v>
      </c>
      <c r="Q165" s="631"/>
      <c r="R165" s="631"/>
      <c r="S165" s="631"/>
      <c r="T165" s="631"/>
      <c r="U165" s="631"/>
      <c r="V165" s="632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4" t="s">
        <v>76</v>
      </c>
      <c r="B166" s="624"/>
      <c r="C166" s="624"/>
      <c r="D166" s="624"/>
      <c r="E166" s="624"/>
      <c r="F166" s="624"/>
      <c r="G166" s="624"/>
      <c r="H166" s="624"/>
      <c r="I166" s="624"/>
      <c r="J166" s="624"/>
      <c r="K166" s="624"/>
      <c r="L166" s="624"/>
      <c r="M166" s="624"/>
      <c r="N166" s="624"/>
      <c r="O166" s="624"/>
      <c r="P166" s="624"/>
      <c r="Q166" s="624"/>
      <c r="R166" s="624"/>
      <c r="S166" s="624"/>
      <c r="T166" s="624"/>
      <c r="U166" s="624"/>
      <c r="V166" s="624"/>
      <c r="W166" s="624"/>
      <c r="X166" s="624"/>
      <c r="Y166" s="624"/>
      <c r="Z166" s="624"/>
      <c r="AA166" s="66"/>
      <c r="AB166" s="66"/>
      <c r="AC166" s="80"/>
    </row>
    <row r="167" spans="1:68" ht="27" customHeight="1" x14ac:dyDescent="0.25">
      <c r="A167" s="63" t="s">
        <v>280</v>
      </c>
      <c r="B167" s="63" t="s">
        <v>281</v>
      </c>
      <c r="C167" s="36">
        <v>4301031191</v>
      </c>
      <c r="D167" s="625">
        <v>4680115880993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4301031204</v>
      </c>
      <c r="D168" s="625">
        <v>4680115881761</v>
      </c>
      <c r="E168" s="625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customHeight="1" x14ac:dyDescent="0.25">
      <c r="A169" s="63" t="s">
        <v>286</v>
      </c>
      <c r="B169" s="63" t="s">
        <v>287</v>
      </c>
      <c r="C169" s="36">
        <v>4301031201</v>
      </c>
      <c r="D169" s="625">
        <v>4680115881563</v>
      </c>
      <c r="E169" s="625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customHeight="1" x14ac:dyDescent="0.25">
      <c r="A170" s="63" t="s">
        <v>289</v>
      </c>
      <c r="B170" s="63" t="s">
        <v>290</v>
      </c>
      <c r="C170" s="36">
        <v>4301031447</v>
      </c>
      <c r="D170" s="625">
        <v>4680115887565</v>
      </c>
      <c r="E170" s="625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4301031199</v>
      </c>
      <c r="D171" s="625">
        <v>4680115880986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4301031443</v>
      </c>
      <c r="D172" s="625">
        <v>4680115887213</v>
      </c>
      <c r="E172" s="625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4301031205</v>
      </c>
      <c r="D173" s="625">
        <v>4680115881785</v>
      </c>
      <c r="E173" s="625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customHeight="1" x14ac:dyDescent="0.25">
      <c r="A174" s="63" t="s">
        <v>299</v>
      </c>
      <c r="B174" s="63" t="s">
        <v>300</v>
      </c>
      <c r="C174" s="36">
        <v>4301031463</v>
      </c>
      <c r="D174" s="625">
        <v>4680115887824</v>
      </c>
      <c r="E174" s="625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0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4301031464</v>
      </c>
      <c r="D175" s="625">
        <v>4680115887701</v>
      </c>
      <c r="E175" s="625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0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4301031427</v>
      </c>
      <c r="D176" s="625">
        <v>4680115888104</v>
      </c>
      <c r="E176" s="625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09" t="s">
        <v>307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4301031399</v>
      </c>
      <c r="D177" s="625">
        <v>4680115886537</v>
      </c>
      <c r="E177" s="625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7"/>
      <c r="R177" s="627"/>
      <c r="S177" s="627"/>
      <c r="T177" s="62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4301031279</v>
      </c>
      <c r="D178" s="625">
        <v>4680115887596</v>
      </c>
      <c r="E178" s="625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7"/>
      <c r="R178" s="627"/>
      <c r="S178" s="627"/>
      <c r="T178" s="62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customHeight="1" x14ac:dyDescent="0.25">
      <c r="A179" s="63" t="s">
        <v>315</v>
      </c>
      <c r="B179" s="63" t="s">
        <v>316</v>
      </c>
      <c r="C179" s="36">
        <v>4301031202</v>
      </c>
      <c r="D179" s="625">
        <v>4680115881679</v>
      </c>
      <c r="E179" s="625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1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7"/>
      <c r="R179" s="627"/>
      <c r="S179" s="627"/>
      <c r="T179" s="62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4301031158</v>
      </c>
      <c r="D180" s="625">
        <v>4680115880191</v>
      </c>
      <c r="E180" s="625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4301031245</v>
      </c>
      <c r="D181" s="625">
        <v>4680115883963</v>
      </c>
      <c r="E181" s="625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customHeight="1" x14ac:dyDescent="0.25">
      <c r="A184" s="624" t="s">
        <v>106</v>
      </c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4"/>
      <c r="P184" s="624"/>
      <c r="Q184" s="624"/>
      <c r="R184" s="624"/>
      <c r="S184" s="624"/>
      <c r="T184" s="624"/>
      <c r="U184" s="624"/>
      <c r="V184" s="624"/>
      <c r="W184" s="624"/>
      <c r="X184" s="624"/>
      <c r="Y184" s="624"/>
      <c r="Z184" s="624"/>
      <c r="AA184" s="66"/>
      <c r="AB184" s="66"/>
      <c r="AC184" s="80"/>
    </row>
    <row r="185" spans="1:68" ht="27" customHeight="1" x14ac:dyDescent="0.25">
      <c r="A185" s="63" t="s">
        <v>322</v>
      </c>
      <c r="B185" s="63" t="s">
        <v>323</v>
      </c>
      <c r="C185" s="36">
        <v>4301032053</v>
      </c>
      <c r="D185" s="625">
        <v>4680115886780</v>
      </c>
      <c r="E185" s="62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7"/>
      <c r="R185" s="627"/>
      <c r="S185" s="627"/>
      <c r="T185" s="62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4301032051</v>
      </c>
      <c r="D186" s="625">
        <v>4680115886742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329</v>
      </c>
      <c r="B187" s="63" t="s">
        <v>330</v>
      </c>
      <c r="C187" s="36">
        <v>4301032052</v>
      </c>
      <c r="D187" s="625">
        <v>4680115886766</v>
      </c>
      <c r="E187" s="625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7"/>
      <c r="R187" s="627"/>
      <c r="S187" s="627"/>
      <c r="T187" s="62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33"/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4"/>
      <c r="P189" s="630" t="s">
        <v>40</v>
      </c>
      <c r="Q189" s="631"/>
      <c r="R189" s="631"/>
      <c r="S189" s="631"/>
      <c r="T189" s="631"/>
      <c r="U189" s="631"/>
      <c r="V189" s="632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customHeight="1" x14ac:dyDescent="0.25">
      <c r="A190" s="624" t="s">
        <v>331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customHeight="1" x14ac:dyDescent="0.25">
      <c r="A191" s="63" t="s">
        <v>332</v>
      </c>
      <c r="B191" s="63" t="s">
        <v>333</v>
      </c>
      <c r="C191" s="36">
        <v>4301170013</v>
      </c>
      <c r="D191" s="625">
        <v>4680115886797</v>
      </c>
      <c r="E191" s="625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33"/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4"/>
      <c r="P192" s="630" t="s">
        <v>40</v>
      </c>
      <c r="Q192" s="631"/>
      <c r="R192" s="631"/>
      <c r="S192" s="631"/>
      <c r="T192" s="631"/>
      <c r="U192" s="631"/>
      <c r="V192" s="632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623" t="s">
        <v>334</v>
      </c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3"/>
      <c r="P194" s="623"/>
      <c r="Q194" s="623"/>
      <c r="R194" s="623"/>
      <c r="S194" s="623"/>
      <c r="T194" s="623"/>
      <c r="U194" s="623"/>
      <c r="V194" s="623"/>
      <c r="W194" s="623"/>
      <c r="X194" s="623"/>
      <c r="Y194" s="623"/>
      <c r="Z194" s="623"/>
      <c r="AA194" s="65"/>
      <c r="AB194" s="65"/>
      <c r="AC194" s="79"/>
    </row>
    <row r="195" spans="1:68" ht="14.25" customHeight="1" x14ac:dyDescent="0.25">
      <c r="A195" s="624" t="s">
        <v>114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4301011450</v>
      </c>
      <c r="D196" s="625">
        <v>4680115881402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4301011768</v>
      </c>
      <c r="D197" s="625">
        <v>4680115881396</v>
      </c>
      <c r="E197" s="625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4" t="s">
        <v>147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16.5" customHeight="1" x14ac:dyDescent="0.25">
      <c r="A201" s="63" t="s">
        <v>340</v>
      </c>
      <c r="B201" s="63" t="s">
        <v>341</v>
      </c>
      <c r="C201" s="36">
        <v>4301020261</v>
      </c>
      <c r="D201" s="625">
        <v>4680115882935</v>
      </c>
      <c r="E201" s="625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customHeight="1" x14ac:dyDescent="0.25">
      <c r="A202" s="63" t="s">
        <v>343</v>
      </c>
      <c r="B202" s="63" t="s">
        <v>344</v>
      </c>
      <c r="C202" s="36">
        <v>4301020220</v>
      </c>
      <c r="D202" s="625">
        <v>4680115880764</v>
      </c>
      <c r="E202" s="625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33"/>
      <c r="B203" s="633"/>
      <c r="C203" s="633"/>
      <c r="D203" s="633"/>
      <c r="E203" s="633"/>
      <c r="F203" s="633"/>
      <c r="G203" s="633"/>
      <c r="H203" s="633"/>
      <c r="I203" s="633"/>
      <c r="J203" s="633"/>
      <c r="K203" s="633"/>
      <c r="L203" s="633"/>
      <c r="M203" s="633"/>
      <c r="N203" s="633"/>
      <c r="O203" s="634"/>
      <c r="P203" s="630" t="s">
        <v>40</v>
      </c>
      <c r="Q203" s="631"/>
      <c r="R203" s="631"/>
      <c r="S203" s="631"/>
      <c r="T203" s="631"/>
      <c r="U203" s="631"/>
      <c r="V203" s="632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x14ac:dyDescent="0.2">
      <c r="A204" s="633"/>
      <c r="B204" s="633"/>
      <c r="C204" s="633"/>
      <c r="D204" s="633"/>
      <c r="E204" s="633"/>
      <c r="F204" s="633"/>
      <c r="G204" s="633"/>
      <c r="H204" s="633"/>
      <c r="I204" s="633"/>
      <c r="J204" s="633"/>
      <c r="K204" s="633"/>
      <c r="L204" s="633"/>
      <c r="M204" s="633"/>
      <c r="N204" s="633"/>
      <c r="O204" s="634"/>
      <c r="P204" s="630" t="s">
        <v>40</v>
      </c>
      <c r="Q204" s="631"/>
      <c r="R204" s="631"/>
      <c r="S204" s="631"/>
      <c r="T204" s="631"/>
      <c r="U204" s="631"/>
      <c r="V204" s="632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customHeight="1" x14ac:dyDescent="0.25">
      <c r="A205" s="624" t="s">
        <v>76</v>
      </c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4"/>
      <c r="P205" s="624"/>
      <c r="Q205" s="624"/>
      <c r="R205" s="624"/>
      <c r="S205" s="624"/>
      <c r="T205" s="624"/>
      <c r="U205" s="624"/>
      <c r="V205" s="624"/>
      <c r="W205" s="624"/>
      <c r="X205" s="624"/>
      <c r="Y205" s="624"/>
      <c r="Z205" s="624"/>
      <c r="AA205" s="66"/>
      <c r="AB205" s="66"/>
      <c r="AC205" s="80"/>
    </row>
    <row r="206" spans="1:68" ht="27" customHeight="1" x14ac:dyDescent="0.25">
      <c r="A206" s="63" t="s">
        <v>345</v>
      </c>
      <c r="B206" s="63" t="s">
        <v>346</v>
      </c>
      <c r="C206" s="36">
        <v>4301031224</v>
      </c>
      <c r="D206" s="625">
        <v>4680115882683</v>
      </c>
      <c r="E206" s="62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4301031230</v>
      </c>
      <c r="D207" s="625">
        <v>4680115882690</v>
      </c>
      <c r="E207" s="62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2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4301031220</v>
      </c>
      <c r="D208" s="625">
        <v>4680115882669</v>
      </c>
      <c r="E208" s="625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4301031221</v>
      </c>
      <c r="D209" s="625">
        <v>4680115882676</v>
      </c>
      <c r="E209" s="625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7"/>
      <c r="R209" s="627"/>
      <c r="S209" s="627"/>
      <c r="T209" s="62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4301031223</v>
      </c>
      <c r="D210" s="625">
        <v>4680115884014</v>
      </c>
      <c r="E210" s="625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7"/>
      <c r="R210" s="627"/>
      <c r="S210" s="627"/>
      <c r="T210" s="62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4301031222</v>
      </c>
      <c r="D211" s="625">
        <v>4680115884007</v>
      </c>
      <c r="E211" s="62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7"/>
      <c r="R211" s="627"/>
      <c r="S211" s="627"/>
      <c r="T211" s="62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customHeight="1" x14ac:dyDescent="0.25">
      <c r="A212" s="63" t="s">
        <v>361</v>
      </c>
      <c r="B212" s="63" t="s">
        <v>362</v>
      </c>
      <c r="C212" s="36">
        <v>4301031229</v>
      </c>
      <c r="D212" s="625">
        <v>4680115884038</v>
      </c>
      <c r="E212" s="625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363</v>
      </c>
      <c r="B213" s="63" t="s">
        <v>364</v>
      </c>
      <c r="C213" s="36">
        <v>4301031225</v>
      </c>
      <c r="D213" s="625">
        <v>4680115884021</v>
      </c>
      <c r="E213" s="625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x14ac:dyDescent="0.2">
      <c r="A214" s="633"/>
      <c r="B214" s="633"/>
      <c r="C214" s="633"/>
      <c r="D214" s="633"/>
      <c r="E214" s="633"/>
      <c r="F214" s="633"/>
      <c r="G214" s="633"/>
      <c r="H214" s="633"/>
      <c r="I214" s="633"/>
      <c r="J214" s="633"/>
      <c r="K214" s="633"/>
      <c r="L214" s="633"/>
      <c r="M214" s="633"/>
      <c r="N214" s="633"/>
      <c r="O214" s="634"/>
      <c r="P214" s="630" t="s">
        <v>40</v>
      </c>
      <c r="Q214" s="631"/>
      <c r="R214" s="631"/>
      <c r="S214" s="631"/>
      <c r="T214" s="631"/>
      <c r="U214" s="631"/>
      <c r="V214" s="632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633"/>
      <c r="B215" s="633"/>
      <c r="C215" s="633"/>
      <c r="D215" s="633"/>
      <c r="E215" s="633"/>
      <c r="F215" s="633"/>
      <c r="G215" s="633"/>
      <c r="H215" s="633"/>
      <c r="I215" s="633"/>
      <c r="J215" s="633"/>
      <c r="K215" s="633"/>
      <c r="L215" s="633"/>
      <c r="M215" s="633"/>
      <c r="N215" s="633"/>
      <c r="O215" s="634"/>
      <c r="P215" s="630" t="s">
        <v>40</v>
      </c>
      <c r="Q215" s="631"/>
      <c r="R215" s="631"/>
      <c r="S215" s="631"/>
      <c r="T215" s="631"/>
      <c r="U215" s="631"/>
      <c r="V215" s="632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customHeight="1" x14ac:dyDescent="0.25">
      <c r="A216" s="624" t="s">
        <v>86</v>
      </c>
      <c r="B216" s="624"/>
      <c r="C216" s="624"/>
      <c r="D216" s="624"/>
      <c r="E216" s="624"/>
      <c r="F216" s="624"/>
      <c r="G216" s="624"/>
      <c r="H216" s="624"/>
      <c r="I216" s="624"/>
      <c r="J216" s="624"/>
      <c r="K216" s="624"/>
      <c r="L216" s="624"/>
      <c r="M216" s="624"/>
      <c r="N216" s="624"/>
      <c r="O216" s="624"/>
      <c r="P216" s="624"/>
      <c r="Q216" s="624"/>
      <c r="R216" s="624"/>
      <c r="S216" s="624"/>
      <c r="T216" s="624"/>
      <c r="U216" s="624"/>
      <c r="V216" s="624"/>
      <c r="W216" s="624"/>
      <c r="X216" s="624"/>
      <c r="Y216" s="624"/>
      <c r="Z216" s="624"/>
      <c r="AA216" s="66"/>
      <c r="AB216" s="66"/>
      <c r="AC216" s="80"/>
    </row>
    <row r="217" spans="1:68" ht="37.5" customHeight="1" x14ac:dyDescent="0.25">
      <c r="A217" s="63" t="s">
        <v>365</v>
      </c>
      <c r="B217" s="63" t="s">
        <v>366</v>
      </c>
      <c r="C217" s="36">
        <v>4301051408</v>
      </c>
      <c r="D217" s="625">
        <v>4680115881594</v>
      </c>
      <c r="E217" s="625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4301051411</v>
      </c>
      <c r="D218" s="625">
        <v>4680115881617</v>
      </c>
      <c r="E218" s="625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371</v>
      </c>
      <c r="B219" s="63" t="s">
        <v>372</v>
      </c>
      <c r="C219" s="36">
        <v>4301051656</v>
      </c>
      <c r="D219" s="625">
        <v>4680115880573</v>
      </c>
      <c r="E219" s="625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customHeight="1" x14ac:dyDescent="0.25">
      <c r="A220" s="63" t="s">
        <v>374</v>
      </c>
      <c r="B220" s="63" t="s">
        <v>375</v>
      </c>
      <c r="C220" s="36">
        <v>4301051407</v>
      </c>
      <c r="D220" s="625">
        <v>4680115882195</v>
      </c>
      <c r="E220" s="625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4301051752</v>
      </c>
      <c r="D221" s="625">
        <v>4680115882607</v>
      </c>
      <c r="E221" s="625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7"/>
      <c r="R221" s="627"/>
      <c r="S221" s="627"/>
      <c r="T221" s="62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4301051666</v>
      </c>
      <c r="D222" s="625">
        <v>4680115880092</v>
      </c>
      <c r="E222" s="62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7"/>
      <c r="R222" s="627"/>
      <c r="S222" s="627"/>
      <c r="T222" s="62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4301051668</v>
      </c>
      <c r="D223" s="625">
        <v>4680115880221</v>
      </c>
      <c r="E223" s="625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7"/>
      <c r="R223" s="627"/>
      <c r="S223" s="627"/>
      <c r="T223" s="62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382</v>
      </c>
      <c r="B224" s="63" t="s">
        <v>383</v>
      </c>
      <c r="C224" s="36">
        <v>4301051945</v>
      </c>
      <c r="D224" s="625">
        <v>4680115880504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4301051410</v>
      </c>
      <c r="D225" s="625">
        <v>4680115882164</v>
      </c>
      <c r="E225" s="625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624" t="s">
        <v>173</v>
      </c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4"/>
      <c r="P228" s="624"/>
      <c r="Q228" s="624"/>
      <c r="R228" s="624"/>
      <c r="S228" s="624"/>
      <c r="T228" s="624"/>
      <c r="U228" s="624"/>
      <c r="V228" s="624"/>
      <c r="W228" s="624"/>
      <c r="X228" s="624"/>
      <c r="Y228" s="624"/>
      <c r="Z228" s="624"/>
      <c r="AA228" s="66"/>
      <c r="AB228" s="66"/>
      <c r="AC228" s="80"/>
    </row>
    <row r="229" spans="1:68" ht="27" customHeight="1" x14ac:dyDescent="0.25">
      <c r="A229" s="63" t="s">
        <v>387</v>
      </c>
      <c r="B229" s="63" t="s">
        <v>388</v>
      </c>
      <c r="C229" s="36">
        <v>4301060463</v>
      </c>
      <c r="D229" s="625">
        <v>4680115880818</v>
      </c>
      <c r="E229" s="625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7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7"/>
      <c r="R229" s="627"/>
      <c r="S229" s="627"/>
      <c r="T229" s="628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4301060389</v>
      </c>
      <c r="D230" s="625">
        <v>4680115880801</v>
      </c>
      <c r="E230" s="625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633"/>
      <c r="B231" s="633"/>
      <c r="C231" s="633"/>
      <c r="D231" s="633"/>
      <c r="E231" s="633"/>
      <c r="F231" s="633"/>
      <c r="G231" s="633"/>
      <c r="H231" s="633"/>
      <c r="I231" s="633"/>
      <c r="J231" s="633"/>
      <c r="K231" s="633"/>
      <c r="L231" s="633"/>
      <c r="M231" s="633"/>
      <c r="N231" s="633"/>
      <c r="O231" s="634"/>
      <c r="P231" s="630" t="s">
        <v>40</v>
      </c>
      <c r="Q231" s="631"/>
      <c r="R231" s="631"/>
      <c r="S231" s="631"/>
      <c r="T231" s="631"/>
      <c r="U231" s="631"/>
      <c r="V231" s="632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">
      <c r="A232" s="633"/>
      <c r="B232" s="633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4"/>
      <c r="P232" s="630" t="s">
        <v>40</v>
      </c>
      <c r="Q232" s="631"/>
      <c r="R232" s="631"/>
      <c r="S232" s="631"/>
      <c r="T232" s="631"/>
      <c r="U232" s="631"/>
      <c r="V232" s="632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customHeight="1" x14ac:dyDescent="0.25">
      <c r="A233" s="623" t="s">
        <v>393</v>
      </c>
      <c r="B233" s="623"/>
      <c r="C233" s="623"/>
      <c r="D233" s="623"/>
      <c r="E233" s="623"/>
      <c r="F233" s="623"/>
      <c r="G233" s="623"/>
      <c r="H233" s="623"/>
      <c r="I233" s="623"/>
      <c r="J233" s="623"/>
      <c r="K233" s="623"/>
      <c r="L233" s="623"/>
      <c r="M233" s="623"/>
      <c r="N233" s="623"/>
      <c r="O233" s="623"/>
      <c r="P233" s="623"/>
      <c r="Q233" s="623"/>
      <c r="R233" s="623"/>
      <c r="S233" s="623"/>
      <c r="T233" s="623"/>
      <c r="U233" s="623"/>
      <c r="V233" s="623"/>
      <c r="W233" s="623"/>
      <c r="X233" s="623"/>
      <c r="Y233" s="623"/>
      <c r="Z233" s="623"/>
      <c r="AA233" s="65"/>
      <c r="AB233" s="65"/>
      <c r="AC233" s="79"/>
    </row>
    <row r="234" spans="1:68" ht="14.25" customHeight="1" x14ac:dyDescent="0.25">
      <c r="A234" s="624" t="s">
        <v>114</v>
      </c>
      <c r="B234" s="624"/>
      <c r="C234" s="624"/>
      <c r="D234" s="624"/>
      <c r="E234" s="624"/>
      <c r="F234" s="624"/>
      <c r="G234" s="624"/>
      <c r="H234" s="624"/>
      <c r="I234" s="624"/>
      <c r="J234" s="624"/>
      <c r="K234" s="624"/>
      <c r="L234" s="624"/>
      <c r="M234" s="624"/>
      <c r="N234" s="624"/>
      <c r="O234" s="624"/>
      <c r="P234" s="624"/>
      <c r="Q234" s="624"/>
      <c r="R234" s="624"/>
      <c r="S234" s="624"/>
      <c r="T234" s="624"/>
      <c r="U234" s="624"/>
      <c r="V234" s="624"/>
      <c r="W234" s="624"/>
      <c r="X234" s="624"/>
      <c r="Y234" s="624"/>
      <c r="Z234" s="624"/>
      <c r="AA234" s="66"/>
      <c r="AB234" s="66"/>
      <c r="AC234" s="80"/>
    </row>
    <row r="235" spans="1:68" ht="27" customHeight="1" x14ac:dyDescent="0.25">
      <c r="A235" s="63" t="s">
        <v>394</v>
      </c>
      <c r="B235" s="63" t="s">
        <v>395</v>
      </c>
      <c r="C235" s="36">
        <v>4301011826</v>
      </c>
      <c r="D235" s="625">
        <v>4680115884137</v>
      </c>
      <c r="E235" s="62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customHeight="1" x14ac:dyDescent="0.25">
      <c r="A236" s="63" t="s">
        <v>397</v>
      </c>
      <c r="B236" s="63" t="s">
        <v>398</v>
      </c>
      <c r="C236" s="36">
        <v>4301011724</v>
      </c>
      <c r="D236" s="625">
        <v>4680115884236</v>
      </c>
      <c r="E236" s="625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4301011721</v>
      </c>
      <c r="D237" s="625">
        <v>4680115884175</v>
      </c>
      <c r="E237" s="625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4301011824</v>
      </c>
      <c r="D238" s="625">
        <v>4680115884144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4301012149</v>
      </c>
      <c r="D239" s="625">
        <v>4680115886551</v>
      </c>
      <c r="E239" s="625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7"/>
      <c r="R239" s="627"/>
      <c r="S239" s="627"/>
      <c r="T239" s="62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customHeight="1" x14ac:dyDescent="0.25">
      <c r="A240" s="63" t="s">
        <v>408</v>
      </c>
      <c r="B240" s="63" t="s">
        <v>409</v>
      </c>
      <c r="C240" s="36">
        <v>4301012228</v>
      </c>
      <c r="D240" s="625">
        <v>4680115887282</v>
      </c>
      <c r="E240" s="625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7"/>
      <c r="R240" s="627"/>
      <c r="S240" s="627"/>
      <c r="T240" s="62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customHeight="1" x14ac:dyDescent="0.25">
      <c r="A241" s="63" t="s">
        <v>411</v>
      </c>
      <c r="B241" s="63" t="s">
        <v>412</v>
      </c>
      <c r="C241" s="36">
        <v>4301011722</v>
      </c>
      <c r="D241" s="625">
        <v>4680115884205</v>
      </c>
      <c r="E241" s="62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7"/>
      <c r="R241" s="627"/>
      <c r="S241" s="627"/>
      <c r="T241" s="62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customHeight="1" x14ac:dyDescent="0.25">
      <c r="A244" s="624" t="s">
        <v>147</v>
      </c>
      <c r="B244" s="624"/>
      <c r="C244" s="624"/>
      <c r="D244" s="624"/>
      <c r="E244" s="624"/>
      <c r="F244" s="624"/>
      <c r="G244" s="624"/>
      <c r="H244" s="624"/>
      <c r="I244" s="624"/>
      <c r="J244" s="624"/>
      <c r="K244" s="624"/>
      <c r="L244" s="624"/>
      <c r="M244" s="624"/>
      <c r="N244" s="624"/>
      <c r="O244" s="624"/>
      <c r="P244" s="624"/>
      <c r="Q244" s="624"/>
      <c r="R244" s="624"/>
      <c r="S244" s="624"/>
      <c r="T244" s="624"/>
      <c r="U244" s="624"/>
      <c r="V244" s="624"/>
      <c r="W244" s="624"/>
      <c r="X244" s="624"/>
      <c r="Y244" s="624"/>
      <c r="Z244" s="624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4301020377</v>
      </c>
      <c r="D245" s="625">
        <v>4680115885981</v>
      </c>
      <c r="E245" s="625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7"/>
      <c r="R245" s="627"/>
      <c r="S245" s="627"/>
      <c r="T245" s="628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624" t="s">
        <v>416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6"/>
      <c r="AB248" s="66"/>
      <c r="AC248" s="80"/>
    </row>
    <row r="249" spans="1:68" ht="27" customHeight="1" x14ac:dyDescent="0.25">
      <c r="A249" s="63" t="s">
        <v>417</v>
      </c>
      <c r="B249" s="63" t="s">
        <v>418</v>
      </c>
      <c r="C249" s="36">
        <v>4301040362</v>
      </c>
      <c r="D249" s="625">
        <v>4680115886803</v>
      </c>
      <c r="E249" s="625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7"/>
      <c r="R249" s="627"/>
      <c r="S249" s="627"/>
      <c r="T249" s="62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3"/>
      <c r="B250" s="633"/>
      <c r="C250" s="633"/>
      <c r="D250" s="633"/>
      <c r="E250" s="633"/>
      <c r="F250" s="633"/>
      <c r="G250" s="633"/>
      <c r="H250" s="633"/>
      <c r="I250" s="633"/>
      <c r="J250" s="633"/>
      <c r="K250" s="633"/>
      <c r="L250" s="633"/>
      <c r="M250" s="633"/>
      <c r="N250" s="633"/>
      <c r="O250" s="634"/>
      <c r="P250" s="630" t="s">
        <v>40</v>
      </c>
      <c r="Q250" s="631"/>
      <c r="R250" s="631"/>
      <c r="S250" s="631"/>
      <c r="T250" s="631"/>
      <c r="U250" s="631"/>
      <c r="V250" s="632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624" t="s">
        <v>420</v>
      </c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4"/>
      <c r="P252" s="624"/>
      <c r="Q252" s="624"/>
      <c r="R252" s="624"/>
      <c r="S252" s="624"/>
      <c r="T252" s="624"/>
      <c r="U252" s="624"/>
      <c r="V252" s="624"/>
      <c r="W252" s="624"/>
      <c r="X252" s="624"/>
      <c r="Y252" s="624"/>
      <c r="Z252" s="624"/>
      <c r="AA252" s="66"/>
      <c r="AB252" s="66"/>
      <c r="AC252" s="80"/>
    </row>
    <row r="253" spans="1:68" ht="27" customHeight="1" x14ac:dyDescent="0.25">
      <c r="A253" s="63" t="s">
        <v>421</v>
      </c>
      <c r="B253" s="63" t="s">
        <v>422</v>
      </c>
      <c r="C253" s="36">
        <v>4301041004</v>
      </c>
      <c r="D253" s="625">
        <v>4680115886704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4301041008</v>
      </c>
      <c r="D254" s="625">
        <v>4680115886681</v>
      </c>
      <c r="E254" s="625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4301041007</v>
      </c>
      <c r="D255" s="625">
        <v>4680115886735</v>
      </c>
      <c r="E255" s="625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7"/>
      <c r="R255" s="627"/>
      <c r="S255" s="627"/>
      <c r="T255" s="62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4301041006</v>
      </c>
      <c r="D256" s="625">
        <v>4680115886728</v>
      </c>
      <c r="E256" s="625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7"/>
      <c r="R256" s="627"/>
      <c r="S256" s="627"/>
      <c r="T256" s="62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430</v>
      </c>
      <c r="B257" s="63" t="s">
        <v>431</v>
      </c>
      <c r="C257" s="36">
        <v>4301041005</v>
      </c>
      <c r="D257" s="625">
        <v>4680115886711</v>
      </c>
      <c r="E257" s="62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7"/>
      <c r="R257" s="627"/>
      <c r="S257" s="627"/>
      <c r="T257" s="62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33"/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4"/>
      <c r="P258" s="630" t="s">
        <v>40</v>
      </c>
      <c r="Q258" s="631"/>
      <c r="R258" s="631"/>
      <c r="S258" s="631"/>
      <c r="T258" s="631"/>
      <c r="U258" s="631"/>
      <c r="V258" s="632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33"/>
      <c r="B259" s="633"/>
      <c r="C259" s="633"/>
      <c r="D259" s="633"/>
      <c r="E259" s="633"/>
      <c r="F259" s="633"/>
      <c r="G259" s="633"/>
      <c r="H259" s="633"/>
      <c r="I259" s="633"/>
      <c r="J259" s="633"/>
      <c r="K259" s="633"/>
      <c r="L259" s="633"/>
      <c r="M259" s="633"/>
      <c r="N259" s="633"/>
      <c r="O259" s="634"/>
      <c r="P259" s="630" t="s">
        <v>40</v>
      </c>
      <c r="Q259" s="631"/>
      <c r="R259" s="631"/>
      <c r="S259" s="631"/>
      <c r="T259" s="631"/>
      <c r="U259" s="631"/>
      <c r="V259" s="632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623" t="s">
        <v>432</v>
      </c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3"/>
      <c r="P260" s="623"/>
      <c r="Q260" s="623"/>
      <c r="R260" s="623"/>
      <c r="S260" s="623"/>
      <c r="T260" s="623"/>
      <c r="U260" s="623"/>
      <c r="V260" s="623"/>
      <c r="W260" s="623"/>
      <c r="X260" s="623"/>
      <c r="Y260" s="623"/>
      <c r="Z260" s="623"/>
      <c r="AA260" s="65"/>
      <c r="AB260" s="65"/>
      <c r="AC260" s="79"/>
    </row>
    <row r="261" spans="1:68" ht="14.25" customHeight="1" x14ac:dyDescent="0.25">
      <c r="A261" s="624" t="s">
        <v>114</v>
      </c>
      <c r="B261" s="624"/>
      <c r="C261" s="624"/>
      <c r="D261" s="624"/>
      <c r="E261" s="624"/>
      <c r="F261" s="624"/>
      <c r="G261" s="624"/>
      <c r="H261" s="624"/>
      <c r="I261" s="624"/>
      <c r="J261" s="624"/>
      <c r="K261" s="624"/>
      <c r="L261" s="624"/>
      <c r="M261" s="624"/>
      <c r="N261" s="624"/>
      <c r="O261" s="624"/>
      <c r="P261" s="624"/>
      <c r="Q261" s="624"/>
      <c r="R261" s="624"/>
      <c r="S261" s="624"/>
      <c r="T261" s="624"/>
      <c r="U261" s="624"/>
      <c r="V261" s="624"/>
      <c r="W261" s="624"/>
      <c r="X261" s="624"/>
      <c r="Y261" s="624"/>
      <c r="Z261" s="624"/>
      <c r="AA261" s="66"/>
      <c r="AB261" s="66"/>
      <c r="AC261" s="80"/>
    </row>
    <row r="262" spans="1:68" ht="27" customHeight="1" x14ac:dyDescent="0.25">
      <c r="A262" s="63" t="s">
        <v>433</v>
      </c>
      <c r="B262" s="63" t="s">
        <v>434</v>
      </c>
      <c r="C262" s="36">
        <v>4301011855</v>
      </c>
      <c r="D262" s="625">
        <v>4680115885837</v>
      </c>
      <c r="E262" s="6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436</v>
      </c>
      <c r="B263" s="63" t="s">
        <v>437</v>
      </c>
      <c r="C263" s="36">
        <v>4301011853</v>
      </c>
      <c r="D263" s="625">
        <v>4680115885851</v>
      </c>
      <c r="E263" s="62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439</v>
      </c>
      <c r="B264" s="63" t="s">
        <v>440</v>
      </c>
      <c r="C264" s="36">
        <v>4301011850</v>
      </c>
      <c r="D264" s="625">
        <v>4680115885806</v>
      </c>
      <c r="E264" s="62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7"/>
      <c r="R264" s="627"/>
      <c r="S264" s="627"/>
      <c r="T264" s="62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442</v>
      </c>
      <c r="B265" s="63" t="s">
        <v>443</v>
      </c>
      <c r="C265" s="36">
        <v>4301011852</v>
      </c>
      <c r="D265" s="625">
        <v>4680115885844</v>
      </c>
      <c r="E265" s="625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7"/>
      <c r="R265" s="627"/>
      <c r="S265" s="627"/>
      <c r="T265" s="62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445</v>
      </c>
      <c r="B266" s="63" t="s">
        <v>446</v>
      </c>
      <c r="C266" s="36">
        <v>4301011851</v>
      </c>
      <c r="D266" s="625">
        <v>4680115885820</v>
      </c>
      <c r="E266" s="62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7"/>
      <c r="R266" s="627"/>
      <c r="S266" s="627"/>
      <c r="T266" s="62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623" t="s">
        <v>448</v>
      </c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3"/>
      <c r="P269" s="623"/>
      <c r="Q269" s="623"/>
      <c r="R269" s="623"/>
      <c r="S269" s="623"/>
      <c r="T269" s="623"/>
      <c r="U269" s="623"/>
      <c r="V269" s="623"/>
      <c r="W269" s="623"/>
      <c r="X269" s="623"/>
      <c r="Y269" s="623"/>
      <c r="Z269" s="623"/>
      <c r="AA269" s="65"/>
      <c r="AB269" s="65"/>
      <c r="AC269" s="79"/>
    </row>
    <row r="270" spans="1:68" ht="14.25" customHeight="1" x14ac:dyDescent="0.25">
      <c r="A270" s="624" t="s">
        <v>114</v>
      </c>
      <c r="B270" s="624"/>
      <c r="C270" s="624"/>
      <c r="D270" s="624"/>
      <c r="E270" s="624"/>
      <c r="F270" s="624"/>
      <c r="G270" s="624"/>
      <c r="H270" s="624"/>
      <c r="I270" s="624"/>
      <c r="J270" s="624"/>
      <c r="K270" s="624"/>
      <c r="L270" s="624"/>
      <c r="M270" s="624"/>
      <c r="N270" s="624"/>
      <c r="O270" s="624"/>
      <c r="P270" s="624"/>
      <c r="Q270" s="624"/>
      <c r="R270" s="624"/>
      <c r="S270" s="624"/>
      <c r="T270" s="624"/>
      <c r="U270" s="624"/>
      <c r="V270" s="624"/>
      <c r="W270" s="624"/>
      <c r="X270" s="624"/>
      <c r="Y270" s="624"/>
      <c r="Z270" s="624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4301011223</v>
      </c>
      <c r="D271" s="625">
        <v>4607091383423</v>
      </c>
      <c r="E271" s="625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4301012199</v>
      </c>
      <c r="D272" s="625">
        <v>4680115886957</v>
      </c>
      <c r="E272" s="625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7"/>
      <c r="R272" s="627"/>
      <c r="S272" s="627"/>
      <c r="T272" s="62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454</v>
      </c>
      <c r="B273" s="63" t="s">
        <v>455</v>
      </c>
      <c r="C273" s="36">
        <v>4301012098</v>
      </c>
      <c r="D273" s="625">
        <v>4680115885660</v>
      </c>
      <c r="E273" s="62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7"/>
      <c r="R273" s="627"/>
      <c r="S273" s="627"/>
      <c r="T273" s="62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456</v>
      </c>
      <c r="B274" s="63" t="s">
        <v>457</v>
      </c>
      <c r="C274" s="36">
        <v>4301012176</v>
      </c>
      <c r="D274" s="625">
        <v>4680115886773</v>
      </c>
      <c r="E274" s="625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7"/>
      <c r="R274" s="627"/>
      <c r="S274" s="627"/>
      <c r="T274" s="62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3"/>
      <c r="B275" s="633"/>
      <c r="C275" s="633"/>
      <c r="D275" s="633"/>
      <c r="E275" s="633"/>
      <c r="F275" s="633"/>
      <c r="G275" s="633"/>
      <c r="H275" s="633"/>
      <c r="I275" s="633"/>
      <c r="J275" s="633"/>
      <c r="K275" s="633"/>
      <c r="L275" s="633"/>
      <c r="M275" s="633"/>
      <c r="N275" s="633"/>
      <c r="O275" s="634"/>
      <c r="P275" s="630" t="s">
        <v>40</v>
      </c>
      <c r="Q275" s="631"/>
      <c r="R275" s="631"/>
      <c r="S275" s="631"/>
      <c r="T275" s="631"/>
      <c r="U275" s="631"/>
      <c r="V275" s="632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3"/>
      <c r="B276" s="633"/>
      <c r="C276" s="633"/>
      <c r="D276" s="633"/>
      <c r="E276" s="633"/>
      <c r="F276" s="633"/>
      <c r="G276" s="633"/>
      <c r="H276" s="633"/>
      <c r="I276" s="633"/>
      <c r="J276" s="633"/>
      <c r="K276" s="633"/>
      <c r="L276" s="633"/>
      <c r="M276" s="633"/>
      <c r="N276" s="633"/>
      <c r="O276" s="634"/>
      <c r="P276" s="630" t="s">
        <v>40</v>
      </c>
      <c r="Q276" s="631"/>
      <c r="R276" s="631"/>
      <c r="S276" s="631"/>
      <c r="T276" s="631"/>
      <c r="U276" s="631"/>
      <c r="V276" s="632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623" t="s">
        <v>459</v>
      </c>
      <c r="B277" s="623"/>
      <c r="C277" s="623"/>
      <c r="D277" s="623"/>
      <c r="E277" s="623"/>
      <c r="F277" s="623"/>
      <c r="G277" s="623"/>
      <c r="H277" s="623"/>
      <c r="I277" s="623"/>
      <c r="J277" s="623"/>
      <c r="K277" s="623"/>
      <c r="L277" s="623"/>
      <c r="M277" s="623"/>
      <c r="N277" s="623"/>
      <c r="O277" s="623"/>
      <c r="P277" s="623"/>
      <c r="Q277" s="623"/>
      <c r="R277" s="623"/>
      <c r="S277" s="623"/>
      <c r="T277" s="623"/>
      <c r="U277" s="623"/>
      <c r="V277" s="623"/>
      <c r="W277" s="623"/>
      <c r="X277" s="623"/>
      <c r="Y277" s="623"/>
      <c r="Z277" s="623"/>
      <c r="AA277" s="65"/>
      <c r="AB277" s="65"/>
      <c r="AC277" s="79"/>
    </row>
    <row r="278" spans="1:68" ht="14.25" customHeight="1" x14ac:dyDescent="0.25">
      <c r="A278" s="624" t="s">
        <v>86</v>
      </c>
      <c r="B278" s="624"/>
      <c r="C278" s="624"/>
      <c r="D278" s="624"/>
      <c r="E278" s="624"/>
      <c r="F278" s="624"/>
      <c r="G278" s="624"/>
      <c r="H278" s="624"/>
      <c r="I278" s="624"/>
      <c r="J278" s="624"/>
      <c r="K278" s="624"/>
      <c r="L278" s="624"/>
      <c r="M278" s="624"/>
      <c r="N278" s="624"/>
      <c r="O278" s="624"/>
      <c r="P278" s="624"/>
      <c r="Q278" s="624"/>
      <c r="R278" s="624"/>
      <c r="S278" s="624"/>
      <c r="T278" s="624"/>
      <c r="U278" s="624"/>
      <c r="V278" s="624"/>
      <c r="W278" s="624"/>
      <c r="X278" s="624"/>
      <c r="Y278" s="624"/>
      <c r="Z278" s="624"/>
      <c r="AA278" s="66"/>
      <c r="AB278" s="66"/>
      <c r="AC278" s="80"/>
    </row>
    <row r="279" spans="1:68" ht="27" customHeight="1" x14ac:dyDescent="0.25">
      <c r="A279" s="63" t="s">
        <v>460</v>
      </c>
      <c r="B279" s="63" t="s">
        <v>461</v>
      </c>
      <c r="C279" s="36">
        <v>4301051893</v>
      </c>
      <c r="D279" s="625">
        <v>4680115886186</v>
      </c>
      <c r="E279" s="625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7"/>
      <c r="R279" s="627"/>
      <c r="S279" s="627"/>
      <c r="T279" s="62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463</v>
      </c>
      <c r="B280" s="63" t="s">
        <v>464</v>
      </c>
      <c r="C280" s="36">
        <v>4301051795</v>
      </c>
      <c r="D280" s="625">
        <v>4680115881228</v>
      </c>
      <c r="E280" s="62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7"/>
      <c r="R280" s="627"/>
      <c r="S280" s="627"/>
      <c r="T280" s="62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466</v>
      </c>
      <c r="B281" s="63" t="s">
        <v>467</v>
      </c>
      <c r="C281" s="36">
        <v>4301051388</v>
      </c>
      <c r="D281" s="625">
        <v>4680115881211</v>
      </c>
      <c r="E281" s="625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7"/>
      <c r="R281" s="627"/>
      <c r="S281" s="627"/>
      <c r="T281" s="62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623" t="s">
        <v>468</v>
      </c>
      <c r="B284" s="623"/>
      <c r="C284" s="623"/>
      <c r="D284" s="623"/>
      <c r="E284" s="623"/>
      <c r="F284" s="623"/>
      <c r="G284" s="623"/>
      <c r="H284" s="623"/>
      <c r="I284" s="623"/>
      <c r="J284" s="623"/>
      <c r="K284" s="623"/>
      <c r="L284" s="623"/>
      <c r="M284" s="623"/>
      <c r="N284" s="623"/>
      <c r="O284" s="623"/>
      <c r="P284" s="623"/>
      <c r="Q284" s="623"/>
      <c r="R284" s="623"/>
      <c r="S284" s="623"/>
      <c r="T284" s="623"/>
      <c r="U284" s="623"/>
      <c r="V284" s="623"/>
      <c r="W284" s="623"/>
      <c r="X284" s="623"/>
      <c r="Y284" s="623"/>
      <c r="Z284" s="623"/>
      <c r="AA284" s="65"/>
      <c r="AB284" s="65"/>
      <c r="AC284" s="79"/>
    </row>
    <row r="285" spans="1:68" ht="14.25" customHeight="1" x14ac:dyDescent="0.25">
      <c r="A285" s="624" t="s">
        <v>76</v>
      </c>
      <c r="B285" s="624"/>
      <c r="C285" s="624"/>
      <c r="D285" s="624"/>
      <c r="E285" s="624"/>
      <c r="F285" s="624"/>
      <c r="G285" s="624"/>
      <c r="H285" s="624"/>
      <c r="I285" s="624"/>
      <c r="J285" s="624"/>
      <c r="K285" s="624"/>
      <c r="L285" s="624"/>
      <c r="M285" s="624"/>
      <c r="N285" s="624"/>
      <c r="O285" s="624"/>
      <c r="P285" s="624"/>
      <c r="Q285" s="624"/>
      <c r="R285" s="624"/>
      <c r="S285" s="624"/>
      <c r="T285" s="624"/>
      <c r="U285" s="624"/>
      <c r="V285" s="624"/>
      <c r="W285" s="624"/>
      <c r="X285" s="624"/>
      <c r="Y285" s="624"/>
      <c r="Z285" s="624"/>
      <c r="AA285" s="66"/>
      <c r="AB285" s="66"/>
      <c r="AC285" s="80"/>
    </row>
    <row r="286" spans="1:68" ht="27" customHeight="1" x14ac:dyDescent="0.25">
      <c r="A286" s="63" t="s">
        <v>469</v>
      </c>
      <c r="B286" s="63" t="s">
        <v>470</v>
      </c>
      <c r="C286" s="36">
        <v>4301031307</v>
      </c>
      <c r="D286" s="625">
        <v>4680115880344</v>
      </c>
      <c r="E286" s="625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7"/>
      <c r="R286" s="627"/>
      <c r="S286" s="627"/>
      <c r="T286" s="628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4301031429</v>
      </c>
      <c r="D287" s="625">
        <v>4680115886919</v>
      </c>
      <c r="E287" s="625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7"/>
      <c r="R287" s="627"/>
      <c r="S287" s="627"/>
      <c r="T287" s="62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633"/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4"/>
      <c r="P289" s="630" t="s">
        <v>40</v>
      </c>
      <c r="Q289" s="631"/>
      <c r="R289" s="631"/>
      <c r="S289" s="631"/>
      <c r="T289" s="631"/>
      <c r="U289" s="631"/>
      <c r="V289" s="632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624" t="s">
        <v>86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6"/>
      <c r="AB290" s="66"/>
      <c r="AC290" s="80"/>
    </row>
    <row r="291" spans="1:68" ht="37.5" customHeight="1" x14ac:dyDescent="0.25">
      <c r="A291" s="63" t="s">
        <v>475</v>
      </c>
      <c r="B291" s="63" t="s">
        <v>476</v>
      </c>
      <c r="C291" s="36">
        <v>4301051782</v>
      </c>
      <c r="D291" s="625">
        <v>4680115884618</v>
      </c>
      <c r="E291" s="625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7"/>
      <c r="R291" s="627"/>
      <c r="S291" s="627"/>
      <c r="T291" s="62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478</v>
      </c>
      <c r="B292" s="63" t="s">
        <v>479</v>
      </c>
      <c r="C292" s="36">
        <v>4301052057</v>
      </c>
      <c r="D292" s="625">
        <v>4680115887114</v>
      </c>
      <c r="E292" s="625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7"/>
      <c r="R292" s="627"/>
      <c r="S292" s="627"/>
      <c r="T292" s="62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33"/>
      <c r="B293" s="633"/>
      <c r="C293" s="633"/>
      <c r="D293" s="633"/>
      <c r="E293" s="633"/>
      <c r="F293" s="633"/>
      <c r="G293" s="633"/>
      <c r="H293" s="633"/>
      <c r="I293" s="633"/>
      <c r="J293" s="633"/>
      <c r="K293" s="633"/>
      <c r="L293" s="633"/>
      <c r="M293" s="633"/>
      <c r="N293" s="633"/>
      <c r="O293" s="634"/>
      <c r="P293" s="630" t="s">
        <v>40</v>
      </c>
      <c r="Q293" s="631"/>
      <c r="R293" s="631"/>
      <c r="S293" s="631"/>
      <c r="T293" s="631"/>
      <c r="U293" s="631"/>
      <c r="V293" s="632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33"/>
      <c r="B294" s="633"/>
      <c r="C294" s="633"/>
      <c r="D294" s="633"/>
      <c r="E294" s="633"/>
      <c r="F294" s="633"/>
      <c r="G294" s="633"/>
      <c r="H294" s="633"/>
      <c r="I294" s="633"/>
      <c r="J294" s="633"/>
      <c r="K294" s="633"/>
      <c r="L294" s="633"/>
      <c r="M294" s="633"/>
      <c r="N294" s="633"/>
      <c r="O294" s="634"/>
      <c r="P294" s="630" t="s">
        <v>40</v>
      </c>
      <c r="Q294" s="631"/>
      <c r="R294" s="631"/>
      <c r="S294" s="631"/>
      <c r="T294" s="631"/>
      <c r="U294" s="631"/>
      <c r="V294" s="632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23" t="s">
        <v>481</v>
      </c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3"/>
      <c r="P295" s="623"/>
      <c r="Q295" s="623"/>
      <c r="R295" s="623"/>
      <c r="S295" s="623"/>
      <c r="T295" s="623"/>
      <c r="U295" s="623"/>
      <c r="V295" s="623"/>
      <c r="W295" s="623"/>
      <c r="X295" s="623"/>
      <c r="Y295" s="623"/>
      <c r="Z295" s="623"/>
      <c r="AA295" s="65"/>
      <c r="AB295" s="65"/>
      <c r="AC295" s="79"/>
    </row>
    <row r="296" spans="1:68" ht="14.25" customHeight="1" x14ac:dyDescent="0.25">
      <c r="A296" s="624" t="s">
        <v>114</v>
      </c>
      <c r="B296" s="624"/>
      <c r="C296" s="624"/>
      <c r="D296" s="624"/>
      <c r="E296" s="624"/>
      <c r="F296" s="624"/>
      <c r="G296" s="624"/>
      <c r="H296" s="624"/>
      <c r="I296" s="624"/>
      <c r="J296" s="624"/>
      <c r="K296" s="624"/>
      <c r="L296" s="624"/>
      <c r="M296" s="624"/>
      <c r="N296" s="624"/>
      <c r="O296" s="624"/>
      <c r="P296" s="624"/>
      <c r="Q296" s="624"/>
      <c r="R296" s="624"/>
      <c r="S296" s="624"/>
      <c r="T296" s="624"/>
      <c r="U296" s="624"/>
      <c r="V296" s="624"/>
      <c r="W296" s="624"/>
      <c r="X296" s="624"/>
      <c r="Y296" s="624"/>
      <c r="Z296" s="624"/>
      <c r="AA296" s="66"/>
      <c r="AB296" s="66"/>
      <c r="AC296" s="80"/>
    </row>
    <row r="297" spans="1:68" ht="27" customHeight="1" x14ac:dyDescent="0.25">
      <c r="A297" s="63" t="s">
        <v>482</v>
      </c>
      <c r="B297" s="63" t="s">
        <v>483</v>
      </c>
      <c r="C297" s="36">
        <v>4301012024</v>
      </c>
      <c r="D297" s="625">
        <v>4680115885615</v>
      </c>
      <c r="E297" s="625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485</v>
      </c>
      <c r="B298" s="63" t="s">
        <v>486</v>
      </c>
      <c r="C298" s="36">
        <v>4301011858</v>
      </c>
      <c r="D298" s="625">
        <v>4680115885646</v>
      </c>
      <c r="E298" s="62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4301012016</v>
      </c>
      <c r="D299" s="625">
        <v>4680115885554</v>
      </c>
      <c r="E299" s="62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7"/>
      <c r="R299" s="627"/>
      <c r="S299" s="627"/>
      <c r="T299" s="628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4301011857</v>
      </c>
      <c r="D300" s="625">
        <v>4680115885622</v>
      </c>
      <c r="E300" s="62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7"/>
      <c r="R300" s="627"/>
      <c r="S300" s="627"/>
      <c r="T300" s="628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493</v>
      </c>
      <c r="B301" s="63" t="s">
        <v>494</v>
      </c>
      <c r="C301" s="36">
        <v>4301011859</v>
      </c>
      <c r="D301" s="625">
        <v>4680115885608</v>
      </c>
      <c r="E301" s="62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7"/>
      <c r="R301" s="627"/>
      <c r="S301" s="627"/>
      <c r="T301" s="628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624" t="s">
        <v>76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4301030878</v>
      </c>
      <c r="D305" s="625">
        <v>4607091387193</v>
      </c>
      <c r="E305" s="625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4301031153</v>
      </c>
      <c r="D306" s="625">
        <v>4607091387230</v>
      </c>
      <c r="E306" s="625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4301031154</v>
      </c>
      <c r="D307" s="625">
        <v>4607091387292</v>
      </c>
      <c r="E307" s="625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4301031152</v>
      </c>
      <c r="D308" s="625">
        <v>4607091387285</v>
      </c>
      <c r="E308" s="625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7"/>
      <c r="R308" s="627"/>
      <c r="S308" s="627"/>
      <c r="T308" s="62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customHeight="1" x14ac:dyDescent="0.25">
      <c r="A309" s="63" t="s">
        <v>507</v>
      </c>
      <c r="B309" s="63" t="s">
        <v>508</v>
      </c>
      <c r="C309" s="36">
        <v>4301031305</v>
      </c>
      <c r="D309" s="625">
        <v>4607091389845</v>
      </c>
      <c r="E309" s="625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7"/>
      <c r="R309" s="627"/>
      <c r="S309" s="627"/>
      <c r="T309" s="62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customHeight="1" x14ac:dyDescent="0.25">
      <c r="A310" s="63" t="s">
        <v>510</v>
      </c>
      <c r="B310" s="63" t="s">
        <v>511</v>
      </c>
      <c r="C310" s="36">
        <v>4301031460</v>
      </c>
      <c r="D310" s="625">
        <v>4680115887442</v>
      </c>
      <c r="E310" s="625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782" t="s">
        <v>512</v>
      </c>
      <c r="Q310" s="627"/>
      <c r="R310" s="627"/>
      <c r="S310" s="627"/>
      <c r="T310" s="62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customHeight="1" x14ac:dyDescent="0.25">
      <c r="A311" s="63" t="s">
        <v>513</v>
      </c>
      <c r="B311" s="63" t="s">
        <v>514</v>
      </c>
      <c r="C311" s="36">
        <v>4301031066</v>
      </c>
      <c r="D311" s="625">
        <v>4607091383836</v>
      </c>
      <c r="E311" s="625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3"/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4"/>
      <c r="P313" s="630" t="s">
        <v>40</v>
      </c>
      <c r="Q313" s="631"/>
      <c r="R313" s="631"/>
      <c r="S313" s="631"/>
      <c r="T313" s="631"/>
      <c r="U313" s="631"/>
      <c r="V313" s="632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624" t="s">
        <v>86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6"/>
      <c r="AB314" s="66"/>
      <c r="AC314" s="80"/>
    </row>
    <row r="315" spans="1:68" ht="27" customHeight="1" x14ac:dyDescent="0.25">
      <c r="A315" s="63" t="s">
        <v>516</v>
      </c>
      <c r="B315" s="63" t="s">
        <v>517</v>
      </c>
      <c r="C315" s="36">
        <v>4301051100</v>
      </c>
      <c r="D315" s="625">
        <v>4607091387766</v>
      </c>
      <c r="E315" s="625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7"/>
      <c r="R315" s="627"/>
      <c r="S315" s="627"/>
      <c r="T315" s="62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519</v>
      </c>
      <c r="B316" s="63" t="s">
        <v>520</v>
      </c>
      <c r="C316" s="36">
        <v>4301051818</v>
      </c>
      <c r="D316" s="625">
        <v>4607091387957</v>
      </c>
      <c r="E316" s="62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7"/>
      <c r="R316" s="627"/>
      <c r="S316" s="627"/>
      <c r="T316" s="62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522</v>
      </c>
      <c r="B317" s="63" t="s">
        <v>523</v>
      </c>
      <c r="C317" s="36">
        <v>4301051819</v>
      </c>
      <c r="D317" s="625">
        <v>4607091387964</v>
      </c>
      <c r="E317" s="625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7"/>
      <c r="R317" s="627"/>
      <c r="S317" s="627"/>
      <c r="T317" s="62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525</v>
      </c>
      <c r="B318" s="63" t="s">
        <v>526</v>
      </c>
      <c r="C318" s="36">
        <v>4301051734</v>
      </c>
      <c r="D318" s="625">
        <v>4680115884588</v>
      </c>
      <c r="E318" s="625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33"/>
      <c r="B319" s="633"/>
      <c r="C319" s="633"/>
      <c r="D319" s="633"/>
      <c r="E319" s="633"/>
      <c r="F319" s="633"/>
      <c r="G319" s="633"/>
      <c r="H319" s="633"/>
      <c r="I319" s="633"/>
      <c r="J319" s="633"/>
      <c r="K319" s="633"/>
      <c r="L319" s="633"/>
      <c r="M319" s="633"/>
      <c r="N319" s="633"/>
      <c r="O319" s="634"/>
      <c r="P319" s="630" t="s">
        <v>40</v>
      </c>
      <c r="Q319" s="631"/>
      <c r="R319" s="631"/>
      <c r="S319" s="631"/>
      <c r="T319" s="631"/>
      <c r="U319" s="631"/>
      <c r="V319" s="632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33"/>
      <c r="B320" s="633"/>
      <c r="C320" s="633"/>
      <c r="D320" s="633"/>
      <c r="E320" s="633"/>
      <c r="F320" s="633"/>
      <c r="G320" s="633"/>
      <c r="H320" s="633"/>
      <c r="I320" s="633"/>
      <c r="J320" s="633"/>
      <c r="K320" s="633"/>
      <c r="L320" s="633"/>
      <c r="M320" s="633"/>
      <c r="N320" s="633"/>
      <c r="O320" s="634"/>
      <c r="P320" s="630" t="s">
        <v>40</v>
      </c>
      <c r="Q320" s="631"/>
      <c r="R320" s="631"/>
      <c r="S320" s="631"/>
      <c r="T320" s="631"/>
      <c r="U320" s="631"/>
      <c r="V320" s="632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624" t="s">
        <v>173</v>
      </c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4"/>
      <c r="P321" s="624"/>
      <c r="Q321" s="624"/>
      <c r="R321" s="624"/>
      <c r="S321" s="624"/>
      <c r="T321" s="624"/>
      <c r="U321" s="624"/>
      <c r="V321" s="624"/>
      <c r="W321" s="624"/>
      <c r="X321" s="624"/>
      <c r="Y321" s="624"/>
      <c r="Z321" s="624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625">
        <v>4607091380880</v>
      </c>
      <c r="E322" s="625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7"/>
      <c r="R322" s="627"/>
      <c r="S322" s="627"/>
      <c r="T322" s="62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625">
        <v>4607091384482</v>
      </c>
      <c r="E323" s="625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7"/>
      <c r="R323" s="627"/>
      <c r="S323" s="627"/>
      <c r="T323" s="628"/>
      <c r="U323" s="39" t="s">
        <v>45</v>
      </c>
      <c r="V323" s="39" t="s">
        <v>45</v>
      </c>
      <c r="W323" s="40" t="s">
        <v>0</v>
      </c>
      <c r="X323" s="58">
        <v>124.8</v>
      </c>
      <c r="Y323" s="55">
        <f>IFERROR(IF(X323="",0,CEILING((X323/$H323),1)*$H323),"")</f>
        <v>124.8</v>
      </c>
      <c r="Z323" s="41">
        <f>IFERROR(IF(Y323=0,"",ROUNDUP(Y323/H323,0)*0.01898),"")</f>
        <v>0.30368000000000001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132.70400000000001</v>
      </c>
      <c r="BN323" s="78">
        <f>IFERROR(Y323*I323/H323,"0")</f>
        <v>132.70400000000001</v>
      </c>
      <c r="BO323" s="78">
        <f>IFERROR(1/J323*(X323/H323),"0")</f>
        <v>0.25</v>
      </c>
      <c r="BP323" s="78">
        <f>IFERROR(1/J323*(Y323/H323),"0")</f>
        <v>0.25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625">
        <v>4607091380897</v>
      </c>
      <c r="E324" s="625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3"/>
      <c r="B325" s="633"/>
      <c r="C325" s="633"/>
      <c r="D325" s="633"/>
      <c r="E325" s="633"/>
      <c r="F325" s="633"/>
      <c r="G325" s="633"/>
      <c r="H325" s="633"/>
      <c r="I325" s="633"/>
      <c r="J325" s="633"/>
      <c r="K325" s="633"/>
      <c r="L325" s="633"/>
      <c r="M325" s="633"/>
      <c r="N325" s="633"/>
      <c r="O325" s="634"/>
      <c r="P325" s="630" t="s">
        <v>40</v>
      </c>
      <c r="Q325" s="631"/>
      <c r="R325" s="631"/>
      <c r="S325" s="631"/>
      <c r="T325" s="631"/>
      <c r="U325" s="631"/>
      <c r="V325" s="632"/>
      <c r="W325" s="42" t="s">
        <v>39</v>
      </c>
      <c r="X325" s="43">
        <f>IFERROR(X322/H322,"0")+IFERROR(X323/H323,"0")+IFERROR(X324/H324,"0")</f>
        <v>16</v>
      </c>
      <c r="Y325" s="43">
        <f>IFERROR(Y322/H322,"0")+IFERROR(Y323/H323,"0")+IFERROR(Y324/H324,"0")</f>
        <v>16</v>
      </c>
      <c r="Z325" s="43">
        <f>IFERROR(IF(Z322="",0,Z322),"0")+IFERROR(IF(Z323="",0,Z323),"0")+IFERROR(IF(Z324="",0,Z324),"0")</f>
        <v>0.30368000000000001</v>
      </c>
      <c r="AA325" s="67"/>
      <c r="AB325" s="67"/>
      <c r="AC325" s="67"/>
    </row>
    <row r="326" spans="1:68" x14ac:dyDescent="0.2">
      <c r="A326" s="633"/>
      <c r="B326" s="633"/>
      <c r="C326" s="633"/>
      <c r="D326" s="633"/>
      <c r="E326" s="633"/>
      <c r="F326" s="633"/>
      <c r="G326" s="633"/>
      <c r="H326" s="633"/>
      <c r="I326" s="633"/>
      <c r="J326" s="633"/>
      <c r="K326" s="633"/>
      <c r="L326" s="633"/>
      <c r="M326" s="633"/>
      <c r="N326" s="633"/>
      <c r="O326" s="634"/>
      <c r="P326" s="630" t="s">
        <v>40</v>
      </c>
      <c r="Q326" s="631"/>
      <c r="R326" s="631"/>
      <c r="S326" s="631"/>
      <c r="T326" s="631"/>
      <c r="U326" s="631"/>
      <c r="V326" s="632"/>
      <c r="W326" s="42" t="s">
        <v>0</v>
      </c>
      <c r="X326" s="43">
        <f>IFERROR(SUM(X322:X324),"0")</f>
        <v>124.8</v>
      </c>
      <c r="Y326" s="43">
        <f>IFERROR(SUM(Y322:Y324),"0")</f>
        <v>124.8</v>
      </c>
      <c r="Z326" s="42"/>
      <c r="AA326" s="67"/>
      <c r="AB326" s="67"/>
      <c r="AC326" s="67"/>
    </row>
    <row r="327" spans="1:68" ht="14.25" customHeight="1" x14ac:dyDescent="0.25">
      <c r="A327" s="624" t="s">
        <v>106</v>
      </c>
      <c r="B327" s="624"/>
      <c r="C327" s="624"/>
      <c r="D327" s="624"/>
      <c r="E327" s="624"/>
      <c r="F327" s="624"/>
      <c r="G327" s="624"/>
      <c r="H327" s="624"/>
      <c r="I327" s="624"/>
      <c r="J327" s="624"/>
      <c r="K327" s="624"/>
      <c r="L327" s="624"/>
      <c r="M327" s="624"/>
      <c r="N327" s="624"/>
      <c r="O327" s="624"/>
      <c r="P327" s="624"/>
      <c r="Q327" s="624"/>
      <c r="R327" s="624"/>
      <c r="S327" s="624"/>
      <c r="T327" s="624"/>
      <c r="U327" s="624"/>
      <c r="V327" s="624"/>
      <c r="W327" s="624"/>
      <c r="X327" s="624"/>
      <c r="Y327" s="624"/>
      <c r="Z327" s="624"/>
      <c r="AA327" s="66"/>
      <c r="AB327" s="66"/>
      <c r="AC327" s="80"/>
    </row>
    <row r="328" spans="1:68" ht="27" customHeight="1" x14ac:dyDescent="0.25">
      <c r="A328" s="63" t="s">
        <v>537</v>
      </c>
      <c r="B328" s="63" t="s">
        <v>538</v>
      </c>
      <c r="C328" s="36">
        <v>4301030235</v>
      </c>
      <c r="D328" s="625">
        <v>4607091388381</v>
      </c>
      <c r="E328" s="625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7"/>
      <c r="R328" s="627"/>
      <c r="S328" s="627"/>
      <c r="T328" s="62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4301030232</v>
      </c>
      <c r="D329" s="625">
        <v>4607091388374</v>
      </c>
      <c r="E329" s="625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7"/>
      <c r="R329" s="627"/>
      <c r="S329" s="627"/>
      <c r="T329" s="62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4301032015</v>
      </c>
      <c r="D330" s="625">
        <v>4607091383102</v>
      </c>
      <c r="E330" s="625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7"/>
      <c r="R330" s="627"/>
      <c r="S330" s="627"/>
      <c r="T330" s="62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4301030233</v>
      </c>
      <c r="D331" s="625">
        <v>4607091388404</v>
      </c>
      <c r="E331" s="625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33"/>
      <c r="B332" s="633"/>
      <c r="C332" s="633"/>
      <c r="D332" s="633"/>
      <c r="E332" s="633"/>
      <c r="F332" s="633"/>
      <c r="G332" s="633"/>
      <c r="H332" s="633"/>
      <c r="I332" s="633"/>
      <c r="J332" s="633"/>
      <c r="K332" s="633"/>
      <c r="L332" s="633"/>
      <c r="M332" s="633"/>
      <c r="N332" s="633"/>
      <c r="O332" s="634"/>
      <c r="P332" s="630" t="s">
        <v>40</v>
      </c>
      <c r="Q332" s="631"/>
      <c r="R332" s="631"/>
      <c r="S332" s="631"/>
      <c r="T332" s="631"/>
      <c r="U332" s="631"/>
      <c r="V332" s="632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33"/>
      <c r="B333" s="633"/>
      <c r="C333" s="633"/>
      <c r="D333" s="633"/>
      <c r="E333" s="633"/>
      <c r="F333" s="633"/>
      <c r="G333" s="633"/>
      <c r="H333" s="633"/>
      <c r="I333" s="633"/>
      <c r="J333" s="633"/>
      <c r="K333" s="633"/>
      <c r="L333" s="633"/>
      <c r="M333" s="633"/>
      <c r="N333" s="633"/>
      <c r="O333" s="634"/>
      <c r="P333" s="630" t="s">
        <v>40</v>
      </c>
      <c r="Q333" s="631"/>
      <c r="R333" s="631"/>
      <c r="S333" s="631"/>
      <c r="T333" s="631"/>
      <c r="U333" s="631"/>
      <c r="V333" s="632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24" t="s">
        <v>546</v>
      </c>
      <c r="B334" s="624"/>
      <c r="C334" s="624"/>
      <c r="D334" s="624"/>
      <c r="E334" s="624"/>
      <c r="F334" s="624"/>
      <c r="G334" s="624"/>
      <c r="H334" s="624"/>
      <c r="I334" s="624"/>
      <c r="J334" s="624"/>
      <c r="K334" s="624"/>
      <c r="L334" s="624"/>
      <c r="M334" s="624"/>
      <c r="N334" s="624"/>
      <c r="O334" s="624"/>
      <c r="P334" s="624"/>
      <c r="Q334" s="624"/>
      <c r="R334" s="624"/>
      <c r="S334" s="624"/>
      <c r="T334" s="624"/>
      <c r="U334" s="624"/>
      <c r="V334" s="624"/>
      <c r="W334" s="624"/>
      <c r="X334" s="624"/>
      <c r="Y334" s="624"/>
      <c r="Z334" s="624"/>
      <c r="AA334" s="66"/>
      <c r="AB334" s="66"/>
      <c r="AC334" s="80"/>
    </row>
    <row r="335" spans="1:68" ht="16.5" customHeight="1" x14ac:dyDescent="0.25">
      <c r="A335" s="63" t="s">
        <v>547</v>
      </c>
      <c r="B335" s="63" t="s">
        <v>548</v>
      </c>
      <c r="C335" s="36">
        <v>4301180007</v>
      </c>
      <c r="D335" s="625">
        <v>4680115881808</v>
      </c>
      <c r="E335" s="625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7"/>
      <c r="R335" s="627"/>
      <c r="S335" s="627"/>
      <c r="T335" s="62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4301180006</v>
      </c>
      <c r="D336" s="625">
        <v>4680115881822</v>
      </c>
      <c r="E336" s="62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7"/>
      <c r="R336" s="627"/>
      <c r="S336" s="627"/>
      <c r="T336" s="62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553</v>
      </c>
      <c r="B337" s="63" t="s">
        <v>554</v>
      </c>
      <c r="C337" s="36">
        <v>4301180001</v>
      </c>
      <c r="D337" s="625">
        <v>4680115880016</v>
      </c>
      <c r="E337" s="62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7"/>
      <c r="R337" s="627"/>
      <c r="S337" s="627"/>
      <c r="T337" s="62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33"/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4"/>
      <c r="P338" s="630" t="s">
        <v>40</v>
      </c>
      <c r="Q338" s="631"/>
      <c r="R338" s="631"/>
      <c r="S338" s="631"/>
      <c r="T338" s="631"/>
      <c r="U338" s="631"/>
      <c r="V338" s="63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33"/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4"/>
      <c r="P339" s="630" t="s">
        <v>40</v>
      </c>
      <c r="Q339" s="631"/>
      <c r="R339" s="631"/>
      <c r="S339" s="631"/>
      <c r="T339" s="631"/>
      <c r="U339" s="631"/>
      <c r="V339" s="63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23" t="s">
        <v>555</v>
      </c>
      <c r="B340" s="623"/>
      <c r="C340" s="623"/>
      <c r="D340" s="623"/>
      <c r="E340" s="623"/>
      <c r="F340" s="623"/>
      <c r="G340" s="623"/>
      <c r="H340" s="623"/>
      <c r="I340" s="623"/>
      <c r="J340" s="623"/>
      <c r="K340" s="623"/>
      <c r="L340" s="623"/>
      <c r="M340" s="623"/>
      <c r="N340" s="623"/>
      <c r="O340" s="623"/>
      <c r="P340" s="623"/>
      <c r="Q340" s="623"/>
      <c r="R340" s="623"/>
      <c r="S340" s="623"/>
      <c r="T340" s="623"/>
      <c r="U340" s="623"/>
      <c r="V340" s="623"/>
      <c r="W340" s="623"/>
      <c r="X340" s="623"/>
      <c r="Y340" s="623"/>
      <c r="Z340" s="623"/>
      <c r="AA340" s="65"/>
      <c r="AB340" s="65"/>
      <c r="AC340" s="79"/>
    </row>
    <row r="341" spans="1:68" ht="14.25" customHeight="1" x14ac:dyDescent="0.25">
      <c r="A341" s="624" t="s">
        <v>86</v>
      </c>
      <c r="B341" s="624"/>
      <c r="C341" s="624"/>
      <c r="D341" s="624"/>
      <c r="E341" s="624"/>
      <c r="F341" s="624"/>
      <c r="G341" s="624"/>
      <c r="H341" s="624"/>
      <c r="I341" s="624"/>
      <c r="J341" s="624"/>
      <c r="K341" s="624"/>
      <c r="L341" s="624"/>
      <c r="M341" s="624"/>
      <c r="N341" s="624"/>
      <c r="O341" s="624"/>
      <c r="P341" s="624"/>
      <c r="Q341" s="624"/>
      <c r="R341" s="624"/>
      <c r="S341" s="624"/>
      <c r="T341" s="624"/>
      <c r="U341" s="624"/>
      <c r="V341" s="624"/>
      <c r="W341" s="624"/>
      <c r="X341" s="624"/>
      <c r="Y341" s="624"/>
      <c r="Z341" s="624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625">
        <v>4607091387919</v>
      </c>
      <c r="E342" s="625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7"/>
      <c r="R342" s="627"/>
      <c r="S342" s="627"/>
      <c r="T342" s="628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559</v>
      </c>
      <c r="B343" s="63" t="s">
        <v>560</v>
      </c>
      <c r="C343" s="36">
        <v>4301051461</v>
      </c>
      <c r="D343" s="625">
        <v>4680115883604</v>
      </c>
      <c r="E343" s="625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7"/>
      <c r="R343" s="627"/>
      <c r="S343" s="627"/>
      <c r="T343" s="62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562</v>
      </c>
      <c r="B344" s="63" t="s">
        <v>563</v>
      </c>
      <c r="C344" s="36">
        <v>4301051864</v>
      </c>
      <c r="D344" s="625">
        <v>4680115883567</v>
      </c>
      <c r="E344" s="625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7"/>
      <c r="R344" s="627"/>
      <c r="S344" s="627"/>
      <c r="T344" s="62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33"/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4"/>
      <c r="P345" s="630" t="s">
        <v>40</v>
      </c>
      <c r="Q345" s="631"/>
      <c r="R345" s="631"/>
      <c r="S345" s="631"/>
      <c r="T345" s="631"/>
      <c r="U345" s="631"/>
      <c r="V345" s="632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33"/>
      <c r="B346" s="633"/>
      <c r="C346" s="633"/>
      <c r="D346" s="633"/>
      <c r="E346" s="633"/>
      <c r="F346" s="633"/>
      <c r="G346" s="633"/>
      <c r="H346" s="633"/>
      <c r="I346" s="633"/>
      <c r="J346" s="633"/>
      <c r="K346" s="633"/>
      <c r="L346" s="633"/>
      <c r="M346" s="633"/>
      <c r="N346" s="633"/>
      <c r="O346" s="634"/>
      <c r="P346" s="630" t="s">
        <v>40</v>
      </c>
      <c r="Q346" s="631"/>
      <c r="R346" s="631"/>
      <c r="S346" s="631"/>
      <c r="T346" s="631"/>
      <c r="U346" s="631"/>
      <c r="V346" s="632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622" t="s">
        <v>565</v>
      </c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2"/>
      <c r="P347" s="622"/>
      <c r="Q347" s="622"/>
      <c r="R347" s="622"/>
      <c r="S347" s="622"/>
      <c r="T347" s="622"/>
      <c r="U347" s="622"/>
      <c r="V347" s="622"/>
      <c r="W347" s="622"/>
      <c r="X347" s="622"/>
      <c r="Y347" s="622"/>
      <c r="Z347" s="622"/>
      <c r="AA347" s="54"/>
      <c r="AB347" s="54"/>
      <c r="AC347" s="54"/>
    </row>
    <row r="348" spans="1:68" ht="16.5" customHeight="1" x14ac:dyDescent="0.25">
      <c r="A348" s="623" t="s">
        <v>566</v>
      </c>
      <c r="B348" s="623"/>
      <c r="C348" s="623"/>
      <c r="D348" s="623"/>
      <c r="E348" s="623"/>
      <c r="F348" s="623"/>
      <c r="G348" s="623"/>
      <c r="H348" s="623"/>
      <c r="I348" s="623"/>
      <c r="J348" s="623"/>
      <c r="K348" s="623"/>
      <c r="L348" s="623"/>
      <c r="M348" s="623"/>
      <c r="N348" s="623"/>
      <c r="O348" s="623"/>
      <c r="P348" s="623"/>
      <c r="Q348" s="623"/>
      <c r="R348" s="623"/>
      <c r="S348" s="623"/>
      <c r="T348" s="623"/>
      <c r="U348" s="623"/>
      <c r="V348" s="623"/>
      <c r="W348" s="623"/>
      <c r="X348" s="623"/>
      <c r="Y348" s="623"/>
      <c r="Z348" s="623"/>
      <c r="AA348" s="65"/>
      <c r="AB348" s="65"/>
      <c r="AC348" s="79"/>
    </row>
    <row r="349" spans="1:68" ht="14.25" customHeight="1" x14ac:dyDescent="0.25">
      <c r="A349" s="624" t="s">
        <v>114</v>
      </c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4"/>
      <c r="P349" s="624"/>
      <c r="Q349" s="624"/>
      <c r="R349" s="624"/>
      <c r="S349" s="624"/>
      <c r="T349" s="624"/>
      <c r="U349" s="624"/>
      <c r="V349" s="624"/>
      <c r="W349" s="624"/>
      <c r="X349" s="624"/>
      <c r="Y349" s="624"/>
      <c r="Z349" s="624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625">
        <v>4680115884847</v>
      </c>
      <c r="E350" s="625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ref="Y350:Y356" si="37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0</v>
      </c>
      <c r="BN350" s="78">
        <f t="shared" ref="BN350:BN356" si="39">IFERROR(Y350*I350/H350,"0")</f>
        <v>0</v>
      </c>
      <c r="BO350" s="78">
        <f t="shared" ref="BO350:BO356" si="40">IFERROR(1/J350*(X350/H350),"0")</f>
        <v>0</v>
      </c>
      <c r="BP350" s="78">
        <f t="shared" ref="BP350:BP356" si="41">IFERROR(1/J350*(Y350/H350),"0")</f>
        <v>0</v>
      </c>
    </row>
    <row r="351" spans="1:68" ht="27" customHeight="1" x14ac:dyDescent="0.25">
      <c r="A351" s="63" t="s">
        <v>570</v>
      </c>
      <c r="B351" s="63" t="s">
        <v>571</v>
      </c>
      <c r="C351" s="36">
        <v>4301012083</v>
      </c>
      <c r="D351" s="625">
        <v>4680115884854</v>
      </c>
      <c r="E351" s="62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625">
        <v>4680115884830</v>
      </c>
      <c r="E352" s="62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7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0</v>
      </c>
      <c r="BN352" s="78">
        <f t="shared" si="39"/>
        <v>0</v>
      </c>
      <c r="BO352" s="78">
        <f t="shared" si="40"/>
        <v>0</v>
      </c>
      <c r="BP352" s="78">
        <f t="shared" si="41"/>
        <v>0</v>
      </c>
    </row>
    <row r="353" spans="1:68" ht="27" customHeight="1" x14ac:dyDescent="0.25">
      <c r="A353" s="63" t="s">
        <v>576</v>
      </c>
      <c r="B353" s="63" t="s">
        <v>577</v>
      </c>
      <c r="C353" s="36">
        <v>4301012215</v>
      </c>
      <c r="D353" s="625">
        <v>4680115887046</v>
      </c>
      <c r="E353" s="62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7"/>
      <c r="R353" s="627"/>
      <c r="S353" s="627"/>
      <c r="T353" s="62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customHeight="1" x14ac:dyDescent="0.25">
      <c r="A354" s="63" t="s">
        <v>579</v>
      </c>
      <c r="B354" s="63" t="s">
        <v>580</v>
      </c>
      <c r="C354" s="36">
        <v>4301011433</v>
      </c>
      <c r="D354" s="625">
        <v>4680115882638</v>
      </c>
      <c r="E354" s="62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7"/>
      <c r="R354" s="627"/>
      <c r="S354" s="627"/>
      <c r="T354" s="62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customHeight="1" x14ac:dyDescent="0.25">
      <c r="A355" s="63" t="s">
        <v>582</v>
      </c>
      <c r="B355" s="63" t="s">
        <v>583</v>
      </c>
      <c r="C355" s="36">
        <v>4301011952</v>
      </c>
      <c r="D355" s="625">
        <v>4680115884922</v>
      </c>
      <c r="E355" s="625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7"/>
      <c r="R355" s="627"/>
      <c r="S355" s="627"/>
      <c r="T355" s="62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customHeight="1" x14ac:dyDescent="0.25">
      <c r="A356" s="63" t="s">
        <v>585</v>
      </c>
      <c r="B356" s="63" t="s">
        <v>586</v>
      </c>
      <c r="C356" s="36">
        <v>4301011868</v>
      </c>
      <c r="D356" s="625">
        <v>4680115884861</v>
      </c>
      <c r="E356" s="62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633"/>
      <c r="B357" s="633"/>
      <c r="C357" s="633"/>
      <c r="D357" s="633"/>
      <c r="E357" s="633"/>
      <c r="F357" s="633"/>
      <c r="G357" s="633"/>
      <c r="H357" s="633"/>
      <c r="I357" s="633"/>
      <c r="J357" s="633"/>
      <c r="K357" s="633"/>
      <c r="L357" s="633"/>
      <c r="M357" s="633"/>
      <c r="N357" s="633"/>
      <c r="O357" s="634"/>
      <c r="P357" s="630" t="s">
        <v>40</v>
      </c>
      <c r="Q357" s="631"/>
      <c r="R357" s="631"/>
      <c r="S357" s="631"/>
      <c r="T357" s="631"/>
      <c r="U357" s="631"/>
      <c r="V357" s="632"/>
      <c r="W357" s="42" t="s">
        <v>39</v>
      </c>
      <c r="X357" s="43">
        <f>IFERROR(X350/H350,"0")+IFERROR(X351/H351,"0")+IFERROR(X352/H352,"0")+IFERROR(X353/H353,"0")+IFERROR(X354/H354,"0")+IFERROR(X355/H355,"0")+IFERROR(X356/H356,"0")</f>
        <v>0</v>
      </c>
      <c r="Y357" s="43">
        <f>IFERROR(Y350/H350,"0")+IFERROR(Y351/H351,"0")+IFERROR(Y352/H352,"0")+IFERROR(Y353/H353,"0")+IFERROR(Y354/H354,"0")+IFERROR(Y355/H355,"0")+IFERROR(Y356/H356,"0")</f>
        <v>0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0</v>
      </c>
      <c r="X358" s="43">
        <f>IFERROR(SUM(X350:X356),"0")</f>
        <v>0</v>
      </c>
      <c r="Y358" s="43">
        <f>IFERROR(SUM(Y350:Y356),"0")</f>
        <v>0</v>
      </c>
      <c r="Z358" s="42"/>
      <c r="AA358" s="67"/>
      <c r="AB358" s="67"/>
      <c r="AC358" s="67"/>
    </row>
    <row r="359" spans="1:68" ht="14.25" customHeight="1" x14ac:dyDescent="0.25">
      <c r="A359" s="624" t="s">
        <v>147</v>
      </c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4"/>
      <c r="P359" s="624"/>
      <c r="Q359" s="624"/>
      <c r="R359" s="624"/>
      <c r="S359" s="624"/>
      <c r="T359" s="624"/>
      <c r="U359" s="624"/>
      <c r="V359" s="624"/>
      <c r="W359" s="624"/>
      <c r="X359" s="624"/>
      <c r="Y359" s="624"/>
      <c r="Z359" s="624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625">
        <v>4607091383980</v>
      </c>
      <c r="E360" s="625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7"/>
      <c r="R360" s="627"/>
      <c r="S360" s="627"/>
      <c r="T360" s="628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590</v>
      </c>
      <c r="B361" s="63" t="s">
        <v>591</v>
      </c>
      <c r="C361" s="36">
        <v>4301020179</v>
      </c>
      <c r="D361" s="625">
        <v>4607091384178</v>
      </c>
      <c r="E361" s="625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33"/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4"/>
      <c r="P362" s="630" t="s">
        <v>40</v>
      </c>
      <c r="Q362" s="631"/>
      <c r="R362" s="631"/>
      <c r="S362" s="631"/>
      <c r="T362" s="631"/>
      <c r="U362" s="631"/>
      <c r="V362" s="632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624" t="s">
        <v>86</v>
      </c>
      <c r="B364" s="624"/>
      <c r="C364" s="624"/>
      <c r="D364" s="624"/>
      <c r="E364" s="624"/>
      <c r="F364" s="624"/>
      <c r="G364" s="624"/>
      <c r="H364" s="624"/>
      <c r="I364" s="624"/>
      <c r="J364" s="624"/>
      <c r="K364" s="624"/>
      <c r="L364" s="624"/>
      <c r="M364" s="624"/>
      <c r="N364" s="624"/>
      <c r="O364" s="624"/>
      <c r="P364" s="624"/>
      <c r="Q364" s="624"/>
      <c r="R364" s="624"/>
      <c r="S364" s="624"/>
      <c r="T364" s="624"/>
      <c r="U364" s="624"/>
      <c r="V364" s="624"/>
      <c r="W364" s="624"/>
      <c r="X364" s="624"/>
      <c r="Y364" s="624"/>
      <c r="Z364" s="624"/>
      <c r="AA364" s="66"/>
      <c r="AB364" s="66"/>
      <c r="AC364" s="80"/>
    </row>
    <row r="365" spans="1:68" ht="27" customHeight="1" x14ac:dyDescent="0.25">
      <c r="A365" s="63" t="s">
        <v>593</v>
      </c>
      <c r="B365" s="63" t="s">
        <v>594</v>
      </c>
      <c r="C365" s="36">
        <v>4301051903</v>
      </c>
      <c r="D365" s="625">
        <v>4607091383928</v>
      </c>
      <c r="E365" s="625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7"/>
      <c r="R365" s="627"/>
      <c r="S365" s="627"/>
      <c r="T365" s="628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596</v>
      </c>
      <c r="B366" s="63" t="s">
        <v>597</v>
      </c>
      <c r="C366" s="36">
        <v>4301051897</v>
      </c>
      <c r="D366" s="625">
        <v>4607091384260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624" t="s">
        <v>173</v>
      </c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4"/>
      <c r="P369" s="624"/>
      <c r="Q369" s="624"/>
      <c r="R369" s="624"/>
      <c r="S369" s="624"/>
      <c r="T369" s="624"/>
      <c r="U369" s="624"/>
      <c r="V369" s="624"/>
      <c r="W369" s="624"/>
      <c r="X369" s="624"/>
      <c r="Y369" s="624"/>
      <c r="Z369" s="624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625">
        <v>4607091384673</v>
      </c>
      <c r="E370" s="625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7"/>
      <c r="R370" s="627"/>
      <c r="S370" s="627"/>
      <c r="T370" s="628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633"/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4"/>
      <c r="P372" s="630" t="s">
        <v>40</v>
      </c>
      <c r="Q372" s="631"/>
      <c r="R372" s="631"/>
      <c r="S372" s="631"/>
      <c r="T372" s="631"/>
      <c r="U372" s="631"/>
      <c r="V372" s="632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623" t="s">
        <v>602</v>
      </c>
      <c r="B373" s="623"/>
      <c r="C373" s="623"/>
      <c r="D373" s="623"/>
      <c r="E373" s="623"/>
      <c r="F373" s="623"/>
      <c r="G373" s="623"/>
      <c r="H373" s="623"/>
      <c r="I373" s="623"/>
      <c r="J373" s="623"/>
      <c r="K373" s="623"/>
      <c r="L373" s="623"/>
      <c r="M373" s="623"/>
      <c r="N373" s="623"/>
      <c r="O373" s="623"/>
      <c r="P373" s="623"/>
      <c r="Q373" s="623"/>
      <c r="R373" s="623"/>
      <c r="S373" s="623"/>
      <c r="T373" s="623"/>
      <c r="U373" s="623"/>
      <c r="V373" s="623"/>
      <c r="W373" s="623"/>
      <c r="X373" s="623"/>
      <c r="Y373" s="623"/>
      <c r="Z373" s="623"/>
      <c r="AA373" s="65"/>
      <c r="AB373" s="65"/>
      <c r="AC373" s="79"/>
    </row>
    <row r="374" spans="1:68" ht="14.25" customHeight="1" x14ac:dyDescent="0.25">
      <c r="A374" s="624" t="s">
        <v>114</v>
      </c>
      <c r="B374" s="624"/>
      <c r="C374" s="624"/>
      <c r="D374" s="624"/>
      <c r="E374" s="624"/>
      <c r="F374" s="624"/>
      <c r="G374" s="624"/>
      <c r="H374" s="624"/>
      <c r="I374" s="624"/>
      <c r="J374" s="624"/>
      <c r="K374" s="624"/>
      <c r="L374" s="624"/>
      <c r="M374" s="624"/>
      <c r="N374" s="624"/>
      <c r="O374" s="624"/>
      <c r="P374" s="624"/>
      <c r="Q374" s="624"/>
      <c r="R374" s="624"/>
      <c r="S374" s="624"/>
      <c r="T374" s="624"/>
      <c r="U374" s="624"/>
      <c r="V374" s="624"/>
      <c r="W374" s="624"/>
      <c r="X374" s="624"/>
      <c r="Y374" s="624"/>
      <c r="Z374" s="624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625">
        <v>4680115884885</v>
      </c>
      <c r="E375" s="625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7"/>
      <c r="R375" s="627"/>
      <c r="S375" s="627"/>
      <c r="T375" s="628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606</v>
      </c>
      <c r="B376" s="63" t="s">
        <v>607</v>
      </c>
      <c r="C376" s="36">
        <v>4301011871</v>
      </c>
      <c r="D376" s="625">
        <v>4680115884908</v>
      </c>
      <c r="E376" s="62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624" t="s">
        <v>76</v>
      </c>
      <c r="B379" s="624"/>
      <c r="C379" s="624"/>
      <c r="D379" s="624"/>
      <c r="E379" s="624"/>
      <c r="F379" s="624"/>
      <c r="G379" s="624"/>
      <c r="H379" s="624"/>
      <c r="I379" s="624"/>
      <c r="J379" s="624"/>
      <c r="K379" s="624"/>
      <c r="L379" s="624"/>
      <c r="M379" s="624"/>
      <c r="N379" s="624"/>
      <c r="O379" s="624"/>
      <c r="P379" s="624"/>
      <c r="Q379" s="624"/>
      <c r="R379" s="624"/>
      <c r="S379" s="624"/>
      <c r="T379" s="624"/>
      <c r="U379" s="624"/>
      <c r="V379" s="624"/>
      <c r="W379" s="624"/>
      <c r="X379" s="624"/>
      <c r="Y379" s="624"/>
      <c r="Z379" s="624"/>
      <c r="AA379" s="66"/>
      <c r="AB379" s="66"/>
      <c r="AC379" s="80"/>
    </row>
    <row r="380" spans="1:68" ht="27" customHeight="1" x14ac:dyDescent="0.25">
      <c r="A380" s="63" t="s">
        <v>608</v>
      </c>
      <c r="B380" s="63" t="s">
        <v>609</v>
      </c>
      <c r="C380" s="36">
        <v>4301031457</v>
      </c>
      <c r="D380" s="625">
        <v>4607091384802</v>
      </c>
      <c r="E380" s="625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7"/>
      <c r="R380" s="627"/>
      <c r="S380" s="627"/>
      <c r="T380" s="628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3"/>
      <c r="B381" s="633"/>
      <c r="C381" s="633"/>
      <c r="D381" s="633"/>
      <c r="E381" s="633"/>
      <c r="F381" s="633"/>
      <c r="G381" s="633"/>
      <c r="H381" s="633"/>
      <c r="I381" s="633"/>
      <c r="J381" s="633"/>
      <c r="K381" s="633"/>
      <c r="L381" s="633"/>
      <c r="M381" s="633"/>
      <c r="N381" s="633"/>
      <c r="O381" s="634"/>
      <c r="P381" s="630" t="s">
        <v>40</v>
      </c>
      <c r="Q381" s="631"/>
      <c r="R381" s="631"/>
      <c r="S381" s="631"/>
      <c r="T381" s="631"/>
      <c r="U381" s="631"/>
      <c r="V381" s="632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x14ac:dyDescent="0.2">
      <c r="A382" s="633"/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4"/>
      <c r="P382" s="630" t="s">
        <v>40</v>
      </c>
      <c r="Q382" s="631"/>
      <c r="R382" s="631"/>
      <c r="S382" s="631"/>
      <c r="T382" s="631"/>
      <c r="U382" s="631"/>
      <c r="V382" s="632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customHeight="1" x14ac:dyDescent="0.25">
      <c r="A383" s="624" t="s">
        <v>86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5">
        <v>4607091384246</v>
      </c>
      <c r="E384" s="625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7"/>
      <c r="R384" s="627"/>
      <c r="S384" s="627"/>
      <c r="T384" s="628"/>
      <c r="U384" s="39" t="s">
        <v>45</v>
      </c>
      <c r="V384" s="39" t="s">
        <v>45</v>
      </c>
      <c r="W384" s="40" t="s">
        <v>0</v>
      </c>
      <c r="X384" s="58">
        <v>144</v>
      </c>
      <c r="Y384" s="55">
        <f>IFERROR(IF(X384="",0,CEILING((X384/$H384),1)*$H384),"")</f>
        <v>144</v>
      </c>
      <c r="Z384" s="41">
        <f>IFERROR(IF(Y384=0,"",ROUNDUP(Y384/H384,0)*0.01898),"")</f>
        <v>0.30368000000000001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151.904</v>
      </c>
      <c r="BN384" s="78">
        <f>IFERROR(Y384*I384/H384,"0")</f>
        <v>151.904</v>
      </c>
      <c r="BO384" s="78">
        <f>IFERROR(1/J384*(X384/H384),"0")</f>
        <v>0.25</v>
      </c>
      <c r="BP384" s="78">
        <f>IFERROR(1/J384*(Y384/H384),"0")</f>
        <v>0.25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5">
        <v>4607091384253</v>
      </c>
      <c r="E385" s="625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7"/>
      <c r="R385" s="627"/>
      <c r="S385" s="627"/>
      <c r="T385" s="628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625">
        <v>4607091384253</v>
      </c>
      <c r="E386" s="625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7"/>
      <c r="R386" s="627"/>
      <c r="S386" s="627"/>
      <c r="T386" s="62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3"/>
      <c r="B387" s="633"/>
      <c r="C387" s="633"/>
      <c r="D387" s="633"/>
      <c r="E387" s="633"/>
      <c r="F387" s="633"/>
      <c r="G387" s="633"/>
      <c r="H387" s="633"/>
      <c r="I387" s="633"/>
      <c r="J387" s="633"/>
      <c r="K387" s="633"/>
      <c r="L387" s="633"/>
      <c r="M387" s="633"/>
      <c r="N387" s="633"/>
      <c r="O387" s="634"/>
      <c r="P387" s="630" t="s">
        <v>40</v>
      </c>
      <c r="Q387" s="631"/>
      <c r="R387" s="631"/>
      <c r="S387" s="631"/>
      <c r="T387" s="631"/>
      <c r="U387" s="631"/>
      <c r="V387" s="632"/>
      <c r="W387" s="42" t="s">
        <v>39</v>
      </c>
      <c r="X387" s="43">
        <f>IFERROR(X384/H384,"0")+IFERROR(X385/H385,"0")+IFERROR(X386/H386,"0")</f>
        <v>30</v>
      </c>
      <c r="Y387" s="43">
        <f>IFERROR(Y384/H384,"0")+IFERROR(Y385/H385,"0")+IFERROR(Y386/H386,"0")</f>
        <v>30</v>
      </c>
      <c r="Z387" s="43">
        <f>IFERROR(IF(Z384="",0,Z384),"0")+IFERROR(IF(Z385="",0,Z385),"0")+IFERROR(IF(Z386="",0,Z386),"0")</f>
        <v>0.39482</v>
      </c>
      <c r="AA387" s="67"/>
      <c r="AB387" s="67"/>
      <c r="AC387" s="67"/>
    </row>
    <row r="388" spans="1:68" x14ac:dyDescent="0.2">
      <c r="A388" s="633"/>
      <c r="B388" s="633"/>
      <c r="C388" s="633"/>
      <c r="D388" s="633"/>
      <c r="E388" s="633"/>
      <c r="F388" s="633"/>
      <c r="G388" s="633"/>
      <c r="H388" s="633"/>
      <c r="I388" s="633"/>
      <c r="J388" s="633"/>
      <c r="K388" s="633"/>
      <c r="L388" s="633"/>
      <c r="M388" s="633"/>
      <c r="N388" s="633"/>
      <c r="O388" s="634"/>
      <c r="P388" s="630" t="s">
        <v>40</v>
      </c>
      <c r="Q388" s="631"/>
      <c r="R388" s="631"/>
      <c r="S388" s="631"/>
      <c r="T388" s="631"/>
      <c r="U388" s="631"/>
      <c r="V388" s="632"/>
      <c r="W388" s="42" t="s">
        <v>0</v>
      </c>
      <c r="X388" s="43">
        <f>IFERROR(SUM(X384:X386),"0")</f>
        <v>177.6</v>
      </c>
      <c r="Y388" s="43">
        <f>IFERROR(SUM(Y384:Y386),"0")</f>
        <v>177.6</v>
      </c>
      <c r="Z388" s="42"/>
      <c r="AA388" s="67"/>
      <c r="AB388" s="67"/>
      <c r="AC388" s="67"/>
    </row>
    <row r="389" spans="1:68" ht="27.75" customHeight="1" x14ac:dyDescent="0.2">
      <c r="A389" s="622" t="s">
        <v>618</v>
      </c>
      <c r="B389" s="622"/>
      <c r="C389" s="622"/>
      <c r="D389" s="622"/>
      <c r="E389" s="622"/>
      <c r="F389" s="622"/>
      <c r="G389" s="622"/>
      <c r="H389" s="622"/>
      <c r="I389" s="622"/>
      <c r="J389" s="622"/>
      <c r="K389" s="622"/>
      <c r="L389" s="622"/>
      <c r="M389" s="622"/>
      <c r="N389" s="622"/>
      <c r="O389" s="622"/>
      <c r="P389" s="622"/>
      <c r="Q389" s="622"/>
      <c r="R389" s="622"/>
      <c r="S389" s="622"/>
      <c r="T389" s="622"/>
      <c r="U389" s="622"/>
      <c r="V389" s="622"/>
      <c r="W389" s="622"/>
      <c r="X389" s="622"/>
      <c r="Y389" s="622"/>
      <c r="Z389" s="622"/>
      <c r="AA389" s="54"/>
      <c r="AB389" s="54"/>
      <c r="AC389" s="54"/>
    </row>
    <row r="390" spans="1:68" ht="16.5" customHeight="1" x14ac:dyDescent="0.25">
      <c r="A390" s="623" t="s">
        <v>619</v>
      </c>
      <c r="B390" s="623"/>
      <c r="C390" s="623"/>
      <c r="D390" s="623"/>
      <c r="E390" s="623"/>
      <c r="F390" s="623"/>
      <c r="G390" s="623"/>
      <c r="H390" s="623"/>
      <c r="I390" s="623"/>
      <c r="J390" s="623"/>
      <c r="K390" s="623"/>
      <c r="L390" s="623"/>
      <c r="M390" s="623"/>
      <c r="N390" s="623"/>
      <c r="O390" s="623"/>
      <c r="P390" s="623"/>
      <c r="Q390" s="623"/>
      <c r="R390" s="623"/>
      <c r="S390" s="623"/>
      <c r="T390" s="623"/>
      <c r="U390" s="623"/>
      <c r="V390" s="623"/>
      <c r="W390" s="623"/>
      <c r="X390" s="623"/>
      <c r="Y390" s="623"/>
      <c r="Z390" s="623"/>
      <c r="AA390" s="65"/>
      <c r="AB390" s="65"/>
      <c r="AC390" s="79"/>
    </row>
    <row r="391" spans="1:68" ht="14.25" customHeight="1" x14ac:dyDescent="0.25">
      <c r="A391" s="624" t="s">
        <v>76</v>
      </c>
      <c r="B391" s="624"/>
      <c r="C391" s="624"/>
      <c r="D391" s="624"/>
      <c r="E391" s="624"/>
      <c r="F391" s="624"/>
      <c r="G391" s="624"/>
      <c r="H391" s="624"/>
      <c r="I391" s="624"/>
      <c r="J391" s="624"/>
      <c r="K391" s="624"/>
      <c r="L391" s="624"/>
      <c r="M391" s="624"/>
      <c r="N391" s="624"/>
      <c r="O391" s="624"/>
      <c r="P391" s="624"/>
      <c r="Q391" s="624"/>
      <c r="R391" s="624"/>
      <c r="S391" s="624"/>
      <c r="T391" s="624"/>
      <c r="U391" s="624"/>
      <c r="V391" s="624"/>
      <c r="W391" s="624"/>
      <c r="X391" s="624"/>
      <c r="Y391" s="624"/>
      <c r="Z391" s="624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625">
        <v>4680115886100</v>
      </c>
      <c r="E392" s="625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625">
        <v>4680115886117</v>
      </c>
      <c r="E393" s="625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625">
        <v>4680115886124</v>
      </c>
      <c r="E394" s="62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625">
        <v>4680115883147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625">
        <v>4607091384338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625">
        <v>4607091389524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625">
        <v>4680115883161</v>
      </c>
      <c r="E398" s="625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7"/>
      <c r="R398" s="627"/>
      <c r="S398" s="627"/>
      <c r="T398" s="62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625">
        <v>4607091389531</v>
      </c>
      <c r="E399" s="62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7"/>
      <c r="R399" s="627"/>
      <c r="S399" s="627"/>
      <c r="T399" s="62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625">
        <v>4607091384345</v>
      </c>
      <c r="E400" s="625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7"/>
      <c r="R400" s="627"/>
      <c r="S400" s="627"/>
      <c r="T400" s="62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x14ac:dyDescent="0.2">
      <c r="A401" s="633"/>
      <c r="B401" s="633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4"/>
      <c r="P401" s="630" t="s">
        <v>40</v>
      </c>
      <c r="Q401" s="631"/>
      <c r="R401" s="631"/>
      <c r="S401" s="631"/>
      <c r="T401" s="631"/>
      <c r="U401" s="631"/>
      <c r="V401" s="632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4" t="s">
        <v>86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625">
        <v>4607091384352</v>
      </c>
      <c r="E404" s="625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7"/>
      <c r="R404" s="627"/>
      <c r="S404" s="627"/>
      <c r="T404" s="628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625">
        <v>4607091389654</v>
      </c>
      <c r="E405" s="625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7"/>
      <c r="R405" s="627"/>
      <c r="S405" s="627"/>
      <c r="T405" s="628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3"/>
      <c r="B406" s="633"/>
      <c r="C406" s="633"/>
      <c r="D406" s="633"/>
      <c r="E406" s="633"/>
      <c r="F406" s="633"/>
      <c r="G406" s="633"/>
      <c r="H406" s="633"/>
      <c r="I406" s="633"/>
      <c r="J406" s="633"/>
      <c r="K406" s="633"/>
      <c r="L406" s="633"/>
      <c r="M406" s="633"/>
      <c r="N406" s="633"/>
      <c r="O406" s="634"/>
      <c r="P406" s="630" t="s">
        <v>40</v>
      </c>
      <c r="Q406" s="631"/>
      <c r="R406" s="631"/>
      <c r="S406" s="631"/>
      <c r="T406" s="631"/>
      <c r="U406" s="631"/>
      <c r="V406" s="632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3"/>
      <c r="B407" s="633"/>
      <c r="C407" s="633"/>
      <c r="D407" s="633"/>
      <c r="E407" s="633"/>
      <c r="F407" s="633"/>
      <c r="G407" s="633"/>
      <c r="H407" s="633"/>
      <c r="I407" s="633"/>
      <c r="J407" s="633"/>
      <c r="K407" s="633"/>
      <c r="L407" s="633"/>
      <c r="M407" s="633"/>
      <c r="N407" s="633"/>
      <c r="O407" s="634"/>
      <c r="P407" s="630" t="s">
        <v>40</v>
      </c>
      <c r="Q407" s="631"/>
      <c r="R407" s="631"/>
      <c r="S407" s="631"/>
      <c r="T407" s="631"/>
      <c r="U407" s="631"/>
      <c r="V407" s="632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3" t="s">
        <v>650</v>
      </c>
      <c r="B408" s="623"/>
      <c r="C408" s="623"/>
      <c r="D408" s="623"/>
      <c r="E408" s="623"/>
      <c r="F408" s="623"/>
      <c r="G408" s="623"/>
      <c r="H408" s="623"/>
      <c r="I408" s="623"/>
      <c r="J408" s="623"/>
      <c r="K408" s="623"/>
      <c r="L408" s="623"/>
      <c r="M408" s="623"/>
      <c r="N408" s="623"/>
      <c r="O408" s="623"/>
      <c r="P408" s="623"/>
      <c r="Q408" s="623"/>
      <c r="R408" s="623"/>
      <c r="S408" s="623"/>
      <c r="T408" s="623"/>
      <c r="U408" s="623"/>
      <c r="V408" s="623"/>
      <c r="W408" s="623"/>
      <c r="X408" s="623"/>
      <c r="Y408" s="623"/>
      <c r="Z408" s="623"/>
      <c r="AA408" s="65"/>
      <c r="AB408" s="65"/>
      <c r="AC408" s="79"/>
    </row>
    <row r="409" spans="1:68" ht="14.25" customHeight="1" x14ac:dyDescent="0.25">
      <c r="A409" s="624" t="s">
        <v>147</v>
      </c>
      <c r="B409" s="624"/>
      <c r="C409" s="624"/>
      <c r="D409" s="624"/>
      <c r="E409" s="624"/>
      <c r="F409" s="624"/>
      <c r="G409" s="624"/>
      <c r="H409" s="624"/>
      <c r="I409" s="624"/>
      <c r="J409" s="624"/>
      <c r="K409" s="624"/>
      <c r="L409" s="624"/>
      <c r="M409" s="624"/>
      <c r="N409" s="624"/>
      <c r="O409" s="624"/>
      <c r="P409" s="624"/>
      <c r="Q409" s="624"/>
      <c r="R409" s="624"/>
      <c r="S409" s="624"/>
      <c r="T409" s="624"/>
      <c r="U409" s="624"/>
      <c r="V409" s="624"/>
      <c r="W409" s="624"/>
      <c r="X409" s="624"/>
      <c r="Y409" s="624"/>
      <c r="Z409" s="624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625">
        <v>4680115885240</v>
      </c>
      <c r="E410" s="625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7"/>
      <c r="R410" s="627"/>
      <c r="S410" s="627"/>
      <c r="T410" s="62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3"/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4"/>
      <c r="P411" s="630" t="s">
        <v>40</v>
      </c>
      <c r="Q411" s="631"/>
      <c r="R411" s="631"/>
      <c r="S411" s="631"/>
      <c r="T411" s="631"/>
      <c r="U411" s="631"/>
      <c r="V411" s="632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3"/>
      <c r="B412" s="633"/>
      <c r="C412" s="633"/>
      <c r="D412" s="633"/>
      <c r="E412" s="633"/>
      <c r="F412" s="633"/>
      <c r="G412" s="633"/>
      <c r="H412" s="633"/>
      <c r="I412" s="633"/>
      <c r="J412" s="633"/>
      <c r="K412" s="633"/>
      <c r="L412" s="633"/>
      <c r="M412" s="633"/>
      <c r="N412" s="633"/>
      <c r="O412" s="634"/>
      <c r="P412" s="630" t="s">
        <v>40</v>
      </c>
      <c r="Q412" s="631"/>
      <c r="R412" s="631"/>
      <c r="S412" s="631"/>
      <c r="T412" s="631"/>
      <c r="U412" s="631"/>
      <c r="V412" s="632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4" t="s">
        <v>76</v>
      </c>
      <c r="B413" s="624"/>
      <c r="C413" s="624"/>
      <c r="D413" s="624"/>
      <c r="E413" s="624"/>
      <c r="F413" s="624"/>
      <c r="G413" s="624"/>
      <c r="H413" s="624"/>
      <c r="I413" s="624"/>
      <c r="J413" s="624"/>
      <c r="K413" s="624"/>
      <c r="L413" s="624"/>
      <c r="M413" s="624"/>
      <c r="N413" s="624"/>
      <c r="O413" s="624"/>
      <c r="P413" s="624"/>
      <c r="Q413" s="624"/>
      <c r="R413" s="624"/>
      <c r="S413" s="624"/>
      <c r="T413" s="624"/>
      <c r="U413" s="624"/>
      <c r="V413" s="624"/>
      <c r="W413" s="624"/>
      <c r="X413" s="624"/>
      <c r="Y413" s="624"/>
      <c r="Z413" s="624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625">
        <v>4680115886094</v>
      </c>
      <c r="E414" s="625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625">
        <v>4680115880771</v>
      </c>
      <c r="E415" s="625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7"/>
      <c r="R415" s="627"/>
      <c r="S415" s="627"/>
      <c r="T415" s="62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625">
        <v>4607091389500</v>
      </c>
      <c r="E416" s="62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7"/>
      <c r="R416" s="627"/>
      <c r="S416" s="627"/>
      <c r="T416" s="62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3"/>
      <c r="B417" s="633"/>
      <c r="C417" s="633"/>
      <c r="D417" s="633"/>
      <c r="E417" s="633"/>
      <c r="F417" s="633"/>
      <c r="G417" s="633"/>
      <c r="H417" s="633"/>
      <c r="I417" s="633"/>
      <c r="J417" s="633"/>
      <c r="K417" s="633"/>
      <c r="L417" s="633"/>
      <c r="M417" s="633"/>
      <c r="N417" s="633"/>
      <c r="O417" s="634"/>
      <c r="P417" s="630" t="s">
        <v>40</v>
      </c>
      <c r="Q417" s="631"/>
      <c r="R417" s="631"/>
      <c r="S417" s="631"/>
      <c r="T417" s="631"/>
      <c r="U417" s="631"/>
      <c r="V417" s="63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3"/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4"/>
      <c r="P418" s="630" t="s">
        <v>40</v>
      </c>
      <c r="Q418" s="631"/>
      <c r="R418" s="631"/>
      <c r="S418" s="631"/>
      <c r="T418" s="631"/>
      <c r="U418" s="631"/>
      <c r="V418" s="63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623" t="s">
        <v>662</v>
      </c>
      <c r="B419" s="623"/>
      <c r="C419" s="623"/>
      <c r="D419" s="623"/>
      <c r="E419" s="623"/>
      <c r="F419" s="623"/>
      <c r="G419" s="623"/>
      <c r="H419" s="623"/>
      <c r="I419" s="623"/>
      <c r="J419" s="623"/>
      <c r="K419" s="623"/>
      <c r="L419" s="623"/>
      <c r="M419" s="623"/>
      <c r="N419" s="623"/>
      <c r="O419" s="623"/>
      <c r="P419" s="623"/>
      <c r="Q419" s="623"/>
      <c r="R419" s="623"/>
      <c r="S419" s="623"/>
      <c r="T419" s="623"/>
      <c r="U419" s="623"/>
      <c r="V419" s="623"/>
      <c r="W419" s="623"/>
      <c r="X419" s="623"/>
      <c r="Y419" s="623"/>
      <c r="Z419" s="623"/>
      <c r="AA419" s="65"/>
      <c r="AB419" s="65"/>
      <c r="AC419" s="79"/>
    </row>
    <row r="420" spans="1:68" ht="14.25" customHeight="1" x14ac:dyDescent="0.25">
      <c r="A420" s="624" t="s">
        <v>76</v>
      </c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4"/>
      <c r="P420" s="624"/>
      <c r="Q420" s="624"/>
      <c r="R420" s="624"/>
      <c r="S420" s="624"/>
      <c r="T420" s="624"/>
      <c r="U420" s="624"/>
      <c r="V420" s="624"/>
      <c r="W420" s="624"/>
      <c r="X420" s="624"/>
      <c r="Y420" s="624"/>
      <c r="Z420" s="624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625">
        <v>4680115885110</v>
      </c>
      <c r="E421" s="625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83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7"/>
      <c r="R421" s="627"/>
      <c r="S421" s="627"/>
      <c r="T421" s="628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3"/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4"/>
      <c r="P422" s="630" t="s">
        <v>40</v>
      </c>
      <c r="Q422" s="631"/>
      <c r="R422" s="631"/>
      <c r="S422" s="631"/>
      <c r="T422" s="631"/>
      <c r="U422" s="631"/>
      <c r="V422" s="632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3"/>
      <c r="B423" s="633"/>
      <c r="C423" s="633"/>
      <c r="D423" s="633"/>
      <c r="E423" s="633"/>
      <c r="F423" s="633"/>
      <c r="G423" s="633"/>
      <c r="H423" s="633"/>
      <c r="I423" s="633"/>
      <c r="J423" s="633"/>
      <c r="K423" s="633"/>
      <c r="L423" s="633"/>
      <c r="M423" s="633"/>
      <c r="N423" s="633"/>
      <c r="O423" s="634"/>
      <c r="P423" s="630" t="s">
        <v>40</v>
      </c>
      <c r="Q423" s="631"/>
      <c r="R423" s="631"/>
      <c r="S423" s="631"/>
      <c r="T423" s="631"/>
      <c r="U423" s="631"/>
      <c r="V423" s="632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2" t="s">
        <v>666</v>
      </c>
      <c r="B424" s="622"/>
      <c r="C424" s="622"/>
      <c r="D424" s="622"/>
      <c r="E424" s="622"/>
      <c r="F424" s="622"/>
      <c r="G424" s="622"/>
      <c r="H424" s="622"/>
      <c r="I424" s="622"/>
      <c r="J424" s="622"/>
      <c r="K424" s="622"/>
      <c r="L424" s="622"/>
      <c r="M424" s="622"/>
      <c r="N424" s="622"/>
      <c r="O424" s="622"/>
      <c r="P424" s="622"/>
      <c r="Q424" s="622"/>
      <c r="R424" s="622"/>
      <c r="S424" s="622"/>
      <c r="T424" s="622"/>
      <c r="U424" s="622"/>
      <c r="V424" s="622"/>
      <c r="W424" s="622"/>
      <c r="X424" s="622"/>
      <c r="Y424" s="622"/>
      <c r="Z424" s="622"/>
      <c r="AA424" s="54"/>
      <c r="AB424" s="54"/>
      <c r="AC424" s="54"/>
    </row>
    <row r="425" spans="1:68" ht="16.5" customHeight="1" x14ac:dyDescent="0.25">
      <c r="A425" s="623" t="s">
        <v>666</v>
      </c>
      <c r="B425" s="623"/>
      <c r="C425" s="623"/>
      <c r="D425" s="623"/>
      <c r="E425" s="623"/>
      <c r="F425" s="623"/>
      <c r="G425" s="623"/>
      <c r="H425" s="623"/>
      <c r="I425" s="623"/>
      <c r="J425" s="623"/>
      <c r="K425" s="623"/>
      <c r="L425" s="623"/>
      <c r="M425" s="623"/>
      <c r="N425" s="623"/>
      <c r="O425" s="623"/>
      <c r="P425" s="623"/>
      <c r="Q425" s="623"/>
      <c r="R425" s="623"/>
      <c r="S425" s="623"/>
      <c r="T425" s="623"/>
      <c r="U425" s="623"/>
      <c r="V425" s="623"/>
      <c r="W425" s="623"/>
      <c r="X425" s="623"/>
      <c r="Y425" s="623"/>
      <c r="Z425" s="623"/>
      <c r="AA425" s="65"/>
      <c r="AB425" s="65"/>
      <c r="AC425" s="79"/>
    </row>
    <row r="426" spans="1:68" ht="14.25" customHeight="1" x14ac:dyDescent="0.25">
      <c r="A426" s="624" t="s">
        <v>114</v>
      </c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4"/>
      <c r="P426" s="624"/>
      <c r="Q426" s="624"/>
      <c r="R426" s="624"/>
      <c r="S426" s="624"/>
      <c r="T426" s="624"/>
      <c r="U426" s="624"/>
      <c r="V426" s="624"/>
      <c r="W426" s="624"/>
      <c r="X426" s="624"/>
      <c r="Y426" s="624"/>
      <c r="Z426" s="624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625">
        <v>4607091389067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4301012145</v>
      </c>
      <c r="D428" s="625">
        <v>4607091383522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83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4301012210</v>
      </c>
      <c r="D429" s="625">
        <v>4607091383522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625">
        <v>4680115885271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3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5">
        <v>4680115885226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8"/>
        <v>0</v>
      </c>
      <c r="Z431" s="41" t="str">
        <f t="shared" si="49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0</v>
      </c>
      <c r="BN431" s="78">
        <f t="shared" si="51"/>
        <v>0</v>
      </c>
      <c r="BO431" s="78">
        <f t="shared" si="52"/>
        <v>0</v>
      </c>
      <c r="BP431" s="78">
        <f t="shared" si="53"/>
        <v>0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625">
        <v>4680115884502</v>
      </c>
      <c r="E432" s="62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5">
        <v>4607091389104</v>
      </c>
      <c r="E433" s="62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8"/>
        <v>0</v>
      </c>
      <c r="Z433" s="41" t="str">
        <f t="shared" si="49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0</v>
      </c>
      <c r="BN433" s="78">
        <f t="shared" si="51"/>
        <v>0</v>
      </c>
      <c r="BO433" s="78">
        <f t="shared" si="52"/>
        <v>0</v>
      </c>
      <c r="BP433" s="78">
        <f t="shared" si="53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625">
        <v>4680115886391</v>
      </c>
      <c r="E434" s="625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625">
        <v>4680115880603</v>
      </c>
      <c r="E435" s="625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625">
        <v>4680115882782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8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625">
        <v>4680115885479</v>
      </c>
      <c r="E437" s="625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84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7"/>
      <c r="R437" s="627"/>
      <c r="S437" s="627"/>
      <c r="T437" s="62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625">
        <v>4607091389982</v>
      </c>
      <c r="E438" s="625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8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7"/>
      <c r="R438" s="627"/>
      <c r="S438" s="627"/>
      <c r="T438" s="62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633"/>
      <c r="B439" s="633"/>
      <c r="C439" s="633"/>
      <c r="D439" s="633"/>
      <c r="E439" s="633"/>
      <c r="F439" s="633"/>
      <c r="G439" s="633"/>
      <c r="H439" s="633"/>
      <c r="I439" s="633"/>
      <c r="J439" s="633"/>
      <c r="K439" s="633"/>
      <c r="L439" s="633"/>
      <c r="M439" s="633"/>
      <c r="N439" s="633"/>
      <c r="O439" s="634"/>
      <c r="P439" s="630" t="s">
        <v>40</v>
      </c>
      <c r="Q439" s="631"/>
      <c r="R439" s="631"/>
      <c r="S439" s="631"/>
      <c r="T439" s="631"/>
      <c r="U439" s="631"/>
      <c r="V439" s="632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4" t="s">
        <v>147</v>
      </c>
      <c r="B441" s="624"/>
      <c r="C441" s="624"/>
      <c r="D441" s="624"/>
      <c r="E441" s="624"/>
      <c r="F441" s="624"/>
      <c r="G441" s="624"/>
      <c r="H441" s="624"/>
      <c r="I441" s="624"/>
      <c r="J441" s="624"/>
      <c r="K441" s="624"/>
      <c r="L441" s="624"/>
      <c r="M441" s="624"/>
      <c r="N441" s="624"/>
      <c r="O441" s="624"/>
      <c r="P441" s="624"/>
      <c r="Q441" s="624"/>
      <c r="R441" s="624"/>
      <c r="S441" s="624"/>
      <c r="T441" s="624"/>
      <c r="U441" s="624"/>
      <c r="V441" s="624"/>
      <c r="W441" s="624"/>
      <c r="X441" s="624"/>
      <c r="Y441" s="624"/>
      <c r="Z441" s="624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625">
        <v>4607091388930</v>
      </c>
      <c r="E442" s="625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8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4301020374</v>
      </c>
      <c r="D443" s="625">
        <v>4680115886407</v>
      </c>
      <c r="E443" s="625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7"/>
      <c r="R443" s="627"/>
      <c r="S443" s="627"/>
      <c r="T443" s="628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625">
        <v>4680115880054</v>
      </c>
      <c r="E444" s="625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8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7"/>
      <c r="R444" s="627"/>
      <c r="S444" s="627"/>
      <c r="T444" s="628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4" t="s">
        <v>76</v>
      </c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4"/>
      <c r="P447" s="624"/>
      <c r="Q447" s="624"/>
      <c r="R447" s="624"/>
      <c r="S447" s="624"/>
      <c r="T447" s="624"/>
      <c r="U447" s="624"/>
      <c r="V447" s="624"/>
      <c r="W447" s="624"/>
      <c r="X447" s="624"/>
      <c r="Y447" s="624"/>
      <c r="Z447" s="624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625">
        <v>4680115883116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42.24</v>
      </c>
      <c r="Y448" s="55">
        <f t="shared" ref="Y448:Y454" si="54">IFERROR(IF(X448="",0,CEILING((X448/$H448),1)*$H448),"")</f>
        <v>42.24</v>
      </c>
      <c r="Z448" s="41">
        <f>IFERROR(IF(Y448=0,"",ROUNDUP(Y448/H448,0)*0.01196),"")</f>
        <v>9.5680000000000001E-2</v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45.04</v>
      </c>
      <c r="BN448" s="78">
        <f t="shared" ref="BN448:BN454" si="56">IFERROR(Y448*I448/H448,"0")</f>
        <v>45.04</v>
      </c>
      <c r="BO448" s="78">
        <f t="shared" ref="BO448:BO454" si="57">IFERROR(1/J448*(X448/H448),"0")</f>
        <v>7.6923076923076927E-2</v>
      </c>
      <c r="BP448" s="78">
        <f t="shared" ref="BP448:BP454" si="58">IFERROR(1/J448*(Y448/H448),"0")</f>
        <v>7.6923076923076927E-2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625">
        <v>4680115883093</v>
      </c>
      <c r="E449" s="625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85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4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0</v>
      </c>
      <c r="BN449" s="78">
        <f t="shared" si="56"/>
        <v>0</v>
      </c>
      <c r="BO449" s="78">
        <f t="shared" si="57"/>
        <v>0</v>
      </c>
      <c r="BP449" s="78">
        <f t="shared" si="58"/>
        <v>0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625">
        <v>4680115883109</v>
      </c>
      <c r="E450" s="625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85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4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0</v>
      </c>
      <c r="BN450" s="78">
        <f t="shared" si="56"/>
        <v>0</v>
      </c>
      <c r="BO450" s="78">
        <f t="shared" si="57"/>
        <v>0</v>
      </c>
      <c r="BP450" s="78">
        <f t="shared" si="58"/>
        <v>0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625">
        <v>4680115882072</v>
      </c>
      <c r="E451" s="62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4301031352</v>
      </c>
      <c r="D452" s="625">
        <v>4680115882102</v>
      </c>
      <c r="E452" s="625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854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7"/>
      <c r="R452" s="627"/>
      <c r="S452" s="627"/>
      <c r="T452" s="62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customHeight="1" x14ac:dyDescent="0.25">
      <c r="A453" s="63" t="s">
        <v>713</v>
      </c>
      <c r="B453" s="63" t="s">
        <v>715</v>
      </c>
      <c r="C453" s="36">
        <v>4301031418</v>
      </c>
      <c r="D453" s="625">
        <v>4680115882102</v>
      </c>
      <c r="E453" s="625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7"/>
      <c r="R453" s="627"/>
      <c r="S453" s="627"/>
      <c r="T453" s="62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625">
        <v>4680115882096</v>
      </c>
      <c r="E454" s="625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7"/>
      <c r="R454" s="627"/>
      <c r="S454" s="627"/>
      <c r="T454" s="62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IFERROR(X448/H448,"0")+IFERROR(X449/H449,"0")+IFERROR(X450/H450,"0")+IFERROR(X451/H451,"0")+IFERROR(X452/H452,"0")+IFERROR(X453/H453,"0")+IFERROR(X454/H454,"0")</f>
        <v>8</v>
      </c>
      <c r="Y455" s="43">
        <f>IFERROR(Y448/H448,"0")+IFERROR(Y449/H449,"0")+IFERROR(Y450/H450,"0")+IFERROR(Y451/H451,"0")+IFERROR(Y452/H452,"0")+IFERROR(Y453/H453,"0")+IFERROR(Y454/H454,"0")</f>
        <v>8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9.5680000000000001E-2</v>
      </c>
      <c r="AA455" s="67"/>
      <c r="AB455" s="67"/>
      <c r="AC455" s="67"/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IFERROR(SUM(X448:X454),"0")</f>
        <v>42.24</v>
      </c>
      <c r="Y456" s="43">
        <f>IFERROR(SUM(Y448:Y454),"0")</f>
        <v>42.24</v>
      </c>
      <c r="Z456" s="42"/>
      <c r="AA456" s="67"/>
      <c r="AB456" s="67"/>
      <c r="AC456" s="67"/>
    </row>
    <row r="457" spans="1:68" ht="27.75" customHeight="1" x14ac:dyDescent="0.2">
      <c r="A457" s="622" t="s">
        <v>718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54"/>
      <c r="AB457" s="54"/>
      <c r="AC457" s="54"/>
    </row>
    <row r="458" spans="1:68" ht="16.5" customHeight="1" x14ac:dyDescent="0.25">
      <c r="A458" s="623" t="s">
        <v>718</v>
      </c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3"/>
      <c r="P458" s="623"/>
      <c r="Q458" s="623"/>
      <c r="R458" s="623"/>
      <c r="S458" s="623"/>
      <c r="T458" s="623"/>
      <c r="U458" s="623"/>
      <c r="V458" s="623"/>
      <c r="W458" s="623"/>
      <c r="X458" s="623"/>
      <c r="Y458" s="623"/>
      <c r="Z458" s="623"/>
      <c r="AA458" s="65"/>
      <c r="AB458" s="65"/>
      <c r="AC458" s="79"/>
    </row>
    <row r="459" spans="1:68" ht="14.25" customHeight="1" x14ac:dyDescent="0.25">
      <c r="A459" s="624" t="s">
        <v>114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66"/>
      <c r="AB459" s="66"/>
      <c r="AC459" s="80"/>
    </row>
    <row r="460" spans="1:68" ht="27" customHeight="1" x14ac:dyDescent="0.25">
      <c r="A460" s="63" t="s">
        <v>719</v>
      </c>
      <c r="B460" s="63" t="s">
        <v>720</v>
      </c>
      <c r="C460" s="36">
        <v>4301011763</v>
      </c>
      <c r="D460" s="625">
        <v>4640242181011</v>
      </c>
      <c r="E460" s="625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7"/>
      <c r="R460" s="627"/>
      <c r="S460" s="627"/>
      <c r="T460" s="62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4301011585</v>
      </c>
      <c r="D461" s="625">
        <v>4640242180441</v>
      </c>
      <c r="E461" s="625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4301011584</v>
      </c>
      <c r="D462" s="625">
        <v>4640242180564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728</v>
      </c>
      <c r="B463" s="63" t="s">
        <v>729</v>
      </c>
      <c r="C463" s="36">
        <v>4301011764</v>
      </c>
      <c r="D463" s="625">
        <v>4640242181189</v>
      </c>
      <c r="E463" s="625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33"/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4"/>
      <c r="P464" s="630" t="s">
        <v>40</v>
      </c>
      <c r="Q464" s="631"/>
      <c r="R464" s="631"/>
      <c r="S464" s="631"/>
      <c r="T464" s="631"/>
      <c r="U464" s="631"/>
      <c r="V464" s="632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624" t="s">
        <v>147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6"/>
      <c r="AB466" s="66"/>
      <c r="AC466" s="80"/>
    </row>
    <row r="467" spans="1:68" ht="27" customHeight="1" x14ac:dyDescent="0.25">
      <c r="A467" s="63" t="s">
        <v>730</v>
      </c>
      <c r="B467" s="63" t="s">
        <v>731</v>
      </c>
      <c r="C467" s="36">
        <v>4301020400</v>
      </c>
      <c r="D467" s="625">
        <v>4640242180519</v>
      </c>
      <c r="E467" s="62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7"/>
      <c r="R467" s="627"/>
      <c r="S467" s="627"/>
      <c r="T467" s="62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3"/>
      <c r="B468" s="633"/>
      <c r="C468" s="633"/>
      <c r="D468" s="633"/>
      <c r="E468" s="633"/>
      <c r="F468" s="633"/>
      <c r="G468" s="633"/>
      <c r="H468" s="633"/>
      <c r="I468" s="633"/>
      <c r="J468" s="633"/>
      <c r="K468" s="633"/>
      <c r="L468" s="633"/>
      <c r="M468" s="633"/>
      <c r="N468" s="633"/>
      <c r="O468" s="634"/>
      <c r="P468" s="630" t="s">
        <v>40</v>
      </c>
      <c r="Q468" s="631"/>
      <c r="R468" s="631"/>
      <c r="S468" s="631"/>
      <c r="T468" s="631"/>
      <c r="U468" s="631"/>
      <c r="V468" s="63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">
      <c r="A469" s="633"/>
      <c r="B469" s="633"/>
      <c r="C469" s="633"/>
      <c r="D469" s="633"/>
      <c r="E469" s="633"/>
      <c r="F469" s="633"/>
      <c r="G469" s="633"/>
      <c r="H469" s="633"/>
      <c r="I469" s="633"/>
      <c r="J469" s="633"/>
      <c r="K469" s="633"/>
      <c r="L469" s="633"/>
      <c r="M469" s="633"/>
      <c r="N469" s="633"/>
      <c r="O469" s="634"/>
      <c r="P469" s="630" t="s">
        <v>40</v>
      </c>
      <c r="Q469" s="631"/>
      <c r="R469" s="631"/>
      <c r="S469" s="631"/>
      <c r="T469" s="631"/>
      <c r="U469" s="631"/>
      <c r="V469" s="63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624" t="s">
        <v>76</v>
      </c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4"/>
      <c r="P470" s="624"/>
      <c r="Q470" s="624"/>
      <c r="R470" s="624"/>
      <c r="S470" s="624"/>
      <c r="T470" s="624"/>
      <c r="U470" s="624"/>
      <c r="V470" s="624"/>
      <c r="W470" s="624"/>
      <c r="X470" s="624"/>
      <c r="Y470" s="624"/>
      <c r="Z470" s="624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4301031467</v>
      </c>
      <c r="D471" s="625">
        <v>4640242180595</v>
      </c>
      <c r="E471" s="625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86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7"/>
      <c r="R471" s="627"/>
      <c r="S471" s="627"/>
      <c r="T471" s="62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624" t="s">
        <v>86</v>
      </c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4"/>
      <c r="P474" s="624"/>
      <c r="Q474" s="624"/>
      <c r="R474" s="624"/>
      <c r="S474" s="624"/>
      <c r="T474" s="624"/>
      <c r="U474" s="624"/>
      <c r="V474" s="624"/>
      <c r="W474" s="624"/>
      <c r="X474" s="624"/>
      <c r="Y474" s="624"/>
      <c r="Z474" s="624"/>
      <c r="AA474" s="66"/>
      <c r="AB474" s="66"/>
      <c r="AC474" s="80"/>
    </row>
    <row r="475" spans="1:68" ht="27" customHeight="1" x14ac:dyDescent="0.25">
      <c r="A475" s="63" t="s">
        <v>736</v>
      </c>
      <c r="B475" s="63" t="s">
        <v>737</v>
      </c>
      <c r="C475" s="36">
        <v>4301052046</v>
      </c>
      <c r="D475" s="625">
        <v>4640242180533</v>
      </c>
      <c r="E475" s="625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7"/>
      <c r="R475" s="627"/>
      <c r="S475" s="627"/>
      <c r="T475" s="628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4" t="s">
        <v>173</v>
      </c>
      <c r="B478" s="624"/>
      <c r="C478" s="624"/>
      <c r="D478" s="624"/>
      <c r="E478" s="624"/>
      <c r="F478" s="624"/>
      <c r="G478" s="624"/>
      <c r="H478" s="624"/>
      <c r="I478" s="624"/>
      <c r="J478" s="624"/>
      <c r="K478" s="624"/>
      <c r="L478" s="624"/>
      <c r="M478" s="624"/>
      <c r="N478" s="624"/>
      <c r="O478" s="624"/>
      <c r="P478" s="624"/>
      <c r="Q478" s="624"/>
      <c r="R478" s="624"/>
      <c r="S478" s="624"/>
      <c r="T478" s="624"/>
      <c r="U478" s="624"/>
      <c r="V478" s="624"/>
      <c r="W478" s="624"/>
      <c r="X478" s="624"/>
      <c r="Y478" s="624"/>
      <c r="Z478" s="624"/>
      <c r="AA478" s="66"/>
      <c r="AB478" s="66"/>
      <c r="AC478" s="80"/>
    </row>
    <row r="479" spans="1:68" ht="27" customHeight="1" x14ac:dyDescent="0.25">
      <c r="A479" s="63" t="s">
        <v>739</v>
      </c>
      <c r="B479" s="63" t="s">
        <v>740</v>
      </c>
      <c r="C479" s="36">
        <v>4301060491</v>
      </c>
      <c r="D479" s="625">
        <v>4640242180120</v>
      </c>
      <c r="E479" s="625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7"/>
      <c r="R479" s="627"/>
      <c r="S479" s="627"/>
      <c r="T479" s="628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742</v>
      </c>
      <c r="B480" s="63" t="s">
        <v>743</v>
      </c>
      <c r="C480" s="36">
        <v>4301060493</v>
      </c>
      <c r="D480" s="625">
        <v>4640242180137</v>
      </c>
      <c r="E480" s="625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7"/>
      <c r="R480" s="627"/>
      <c r="S480" s="627"/>
      <c r="T480" s="62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23" t="s">
        <v>745</v>
      </c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3"/>
      <c r="P483" s="623"/>
      <c r="Q483" s="623"/>
      <c r="R483" s="623"/>
      <c r="S483" s="623"/>
      <c r="T483" s="623"/>
      <c r="U483" s="623"/>
      <c r="V483" s="623"/>
      <c r="W483" s="623"/>
      <c r="X483" s="623"/>
      <c r="Y483" s="623"/>
      <c r="Z483" s="623"/>
      <c r="AA483" s="65"/>
      <c r="AB483" s="65"/>
      <c r="AC483" s="79"/>
    </row>
    <row r="484" spans="1:68" ht="14.25" customHeight="1" x14ac:dyDescent="0.25">
      <c r="A484" s="624" t="s">
        <v>147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6"/>
      <c r="AB484" s="66"/>
      <c r="AC484" s="80"/>
    </row>
    <row r="485" spans="1:68" ht="27" customHeight="1" x14ac:dyDescent="0.25">
      <c r="A485" s="63" t="s">
        <v>746</v>
      </c>
      <c r="B485" s="63" t="s">
        <v>747</v>
      </c>
      <c r="C485" s="36">
        <v>4301020314</v>
      </c>
      <c r="D485" s="625">
        <v>4640242180090</v>
      </c>
      <c r="E485" s="625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7"/>
      <c r="R485" s="627"/>
      <c r="S485" s="627"/>
      <c r="T485" s="628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3"/>
      <c r="B486" s="633"/>
      <c r="C486" s="633"/>
      <c r="D486" s="633"/>
      <c r="E486" s="633"/>
      <c r="F486" s="633"/>
      <c r="G486" s="633"/>
      <c r="H486" s="633"/>
      <c r="I486" s="633"/>
      <c r="J486" s="633"/>
      <c r="K486" s="633"/>
      <c r="L486" s="633"/>
      <c r="M486" s="633"/>
      <c r="N486" s="633"/>
      <c r="O486" s="634"/>
      <c r="P486" s="630" t="s">
        <v>40</v>
      </c>
      <c r="Q486" s="631"/>
      <c r="R486" s="631"/>
      <c r="S486" s="631"/>
      <c r="T486" s="631"/>
      <c r="U486" s="631"/>
      <c r="V486" s="632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870"/>
      <c r="P488" s="867" t="s">
        <v>33</v>
      </c>
      <c r="Q488" s="868"/>
      <c r="R488" s="868"/>
      <c r="S488" s="868"/>
      <c r="T488" s="868"/>
      <c r="U488" s="868"/>
      <c r="V488" s="869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517.44000000000005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517.44000000000005</v>
      </c>
      <c r="Z488" s="42"/>
      <c r="AA488" s="67"/>
      <c r="AB488" s="67"/>
      <c r="AC488" s="67"/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870"/>
      <c r="P489" s="867" t="s">
        <v>34</v>
      </c>
      <c r="Q489" s="868"/>
      <c r="R489" s="868"/>
      <c r="S489" s="868"/>
      <c r="T489" s="868"/>
      <c r="U489" s="868"/>
      <c r="V489" s="869"/>
      <c r="W489" s="42" t="s">
        <v>0</v>
      </c>
      <c r="X489" s="43">
        <f>IFERROR(SUM(BM22:BM485),"0")</f>
        <v>546.30399999999997</v>
      </c>
      <c r="Y489" s="43">
        <f>IFERROR(SUM(BN22:BN485),"0")</f>
        <v>546.30399999999997</v>
      </c>
      <c r="Z489" s="42"/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870"/>
      <c r="P490" s="867" t="s">
        <v>35</v>
      </c>
      <c r="Q490" s="868"/>
      <c r="R490" s="868"/>
      <c r="S490" s="868"/>
      <c r="T490" s="868"/>
      <c r="U490" s="868"/>
      <c r="V490" s="869"/>
      <c r="W490" s="42" t="s">
        <v>20</v>
      </c>
      <c r="X490" s="44">
        <f>ROUNDUP(SUM(BO22:BO485),0)</f>
        <v>1</v>
      </c>
      <c r="Y490" s="44">
        <f>ROUNDUP(SUM(BP22:BP485),0)</f>
        <v>1</v>
      </c>
      <c r="Z490" s="42"/>
      <c r="AA490" s="67"/>
      <c r="AB490" s="67"/>
      <c r="AC490" s="67"/>
    </row>
    <row r="491" spans="1:68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36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GrossWeightTotal+PalletQtyTotal*25</f>
        <v>571.30399999999997</v>
      </c>
      <c r="Y491" s="43">
        <f>GrossWeightTotalR+PalletQtyTotalR*25</f>
        <v>571.30399999999997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37</v>
      </c>
      <c r="Q492" s="868"/>
      <c r="R492" s="868"/>
      <c r="S492" s="868"/>
      <c r="T492" s="868"/>
      <c r="U492" s="868"/>
      <c r="V492" s="869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70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70</v>
      </c>
      <c r="Z492" s="42"/>
      <c r="AA492" s="67"/>
      <c r="AB492" s="67"/>
      <c r="AC492" s="67"/>
    </row>
    <row r="493" spans="1:68" ht="14.25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38</v>
      </c>
      <c r="Q493" s="868"/>
      <c r="R493" s="868"/>
      <c r="S493" s="868"/>
      <c r="T493" s="868"/>
      <c r="U493" s="868"/>
      <c r="V493" s="869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1.0978600000000001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873" t="s">
        <v>112</v>
      </c>
      <c r="D495" s="873" t="s">
        <v>112</v>
      </c>
      <c r="E495" s="873" t="s">
        <v>112</v>
      </c>
      <c r="F495" s="873" t="s">
        <v>112</v>
      </c>
      <c r="G495" s="873" t="s">
        <v>112</v>
      </c>
      <c r="H495" s="873" t="s">
        <v>112</v>
      </c>
      <c r="I495" s="873" t="s">
        <v>275</v>
      </c>
      <c r="J495" s="873" t="s">
        <v>275</v>
      </c>
      <c r="K495" s="873" t="s">
        <v>275</v>
      </c>
      <c r="L495" s="873" t="s">
        <v>275</v>
      </c>
      <c r="M495" s="873" t="s">
        <v>275</v>
      </c>
      <c r="N495" s="874"/>
      <c r="O495" s="873" t="s">
        <v>275</v>
      </c>
      <c r="P495" s="873" t="s">
        <v>275</v>
      </c>
      <c r="Q495" s="873" t="s">
        <v>275</v>
      </c>
      <c r="R495" s="873" t="s">
        <v>275</v>
      </c>
      <c r="S495" s="873" t="s">
        <v>565</v>
      </c>
      <c r="T495" s="873" t="s">
        <v>565</v>
      </c>
      <c r="U495" s="873" t="s">
        <v>618</v>
      </c>
      <c r="V495" s="873" t="s">
        <v>618</v>
      </c>
      <c r="W495" s="873" t="s">
        <v>618</v>
      </c>
      <c r="X495" s="85" t="s">
        <v>666</v>
      </c>
      <c r="Y495" s="873" t="s">
        <v>718</v>
      </c>
      <c r="Z495" s="873" t="s">
        <v>718</v>
      </c>
      <c r="AB495" s="60"/>
      <c r="AC495" s="60"/>
      <c r="AF495" s="1"/>
    </row>
    <row r="496" spans="1:68" ht="14.25" customHeight="1" thickTop="1" x14ac:dyDescent="0.2">
      <c r="A496" s="871" t="s">
        <v>10</v>
      </c>
      <c r="B496" s="873" t="s">
        <v>75</v>
      </c>
      <c r="C496" s="873" t="s">
        <v>113</v>
      </c>
      <c r="D496" s="873" t="s">
        <v>128</v>
      </c>
      <c r="E496" s="873" t="s">
        <v>180</v>
      </c>
      <c r="F496" s="873" t="s">
        <v>201</v>
      </c>
      <c r="G496" s="873" t="s">
        <v>238</v>
      </c>
      <c r="H496" s="873" t="s">
        <v>112</v>
      </c>
      <c r="I496" s="873" t="s">
        <v>276</v>
      </c>
      <c r="J496" s="873" t="s">
        <v>334</v>
      </c>
      <c r="K496" s="873" t="s">
        <v>393</v>
      </c>
      <c r="L496" s="873" t="s">
        <v>432</v>
      </c>
      <c r="M496" s="873" t="s">
        <v>448</v>
      </c>
      <c r="N496" s="1"/>
      <c r="O496" s="873" t="s">
        <v>459</v>
      </c>
      <c r="P496" s="873" t="s">
        <v>468</v>
      </c>
      <c r="Q496" s="873" t="s">
        <v>481</v>
      </c>
      <c r="R496" s="873" t="s">
        <v>555</v>
      </c>
      <c r="S496" s="873" t="s">
        <v>566</v>
      </c>
      <c r="T496" s="873" t="s">
        <v>602</v>
      </c>
      <c r="U496" s="873" t="s">
        <v>619</v>
      </c>
      <c r="V496" s="873" t="s">
        <v>650</v>
      </c>
      <c r="W496" s="873" t="s">
        <v>662</v>
      </c>
      <c r="X496" s="873" t="s">
        <v>666</v>
      </c>
      <c r="Y496" s="873" t="s">
        <v>718</v>
      </c>
      <c r="Z496" s="873" t="s">
        <v>745</v>
      </c>
      <c r="AB496" s="60"/>
      <c r="AC496" s="60"/>
      <c r="AF496" s="1"/>
    </row>
    <row r="497" spans="1:32" ht="13.5" thickBot="1" x14ac:dyDescent="0.25">
      <c r="A497" s="872"/>
      <c r="B497" s="873"/>
      <c r="C497" s="873"/>
      <c r="D497" s="873"/>
      <c r="E497" s="873"/>
      <c r="F497" s="873"/>
      <c r="G497" s="873"/>
      <c r="H497" s="873"/>
      <c r="I497" s="873"/>
      <c r="J497" s="873"/>
      <c r="K497" s="873"/>
      <c r="L497" s="873"/>
      <c r="M497" s="873"/>
      <c r="N497" s="1"/>
      <c r="O497" s="873"/>
      <c r="P497" s="873"/>
      <c r="Q497" s="873"/>
      <c r="R497" s="873"/>
      <c r="S497" s="873"/>
      <c r="T497" s="873"/>
      <c r="U497" s="873"/>
      <c r="V497" s="873"/>
      <c r="W497" s="873"/>
      <c r="X497" s="873"/>
      <c r="Y497" s="873"/>
      <c r="Z497" s="873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86.4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0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86.4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124.8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498" s="52">
        <f>IFERROR(Y375*1,"0")+IFERROR(Y376*1,"0")+IFERROR(Y380*1,"0")+IFERROR(Y384*1,"0")+IFERROR(Y385*1,"0")+IFERROR(Y386*1,"0")</f>
        <v>177.6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42.24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2026-07-10T12:07:05Z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