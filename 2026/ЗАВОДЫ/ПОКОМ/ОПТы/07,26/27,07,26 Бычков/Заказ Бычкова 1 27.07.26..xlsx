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DB90DD8-1317-4FAE-85A1-097995459EA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244" i="2" l="1"/>
  <c r="Z367" i="2"/>
  <c r="Z307" i="2"/>
  <c r="BN307" i="2"/>
  <c r="Z311" i="2"/>
  <c r="Z312" i="2" s="1"/>
  <c r="Z428" i="2"/>
  <c r="Z83" i="2"/>
  <c r="Z226" i="2"/>
  <c r="Z342" i="2"/>
  <c r="BN342" i="2"/>
  <c r="Z415" i="2"/>
  <c r="Z503" i="2"/>
  <c r="BN503" i="2"/>
  <c r="Z64" i="2"/>
  <c r="BN64" i="2"/>
  <c r="BP90" i="2"/>
  <c r="Z181" i="2"/>
  <c r="Z208" i="2"/>
  <c r="BP234" i="2"/>
  <c r="Z269" i="2"/>
  <c r="BN269" i="2"/>
  <c r="Z295" i="2"/>
  <c r="BN295" i="2"/>
  <c r="Z423" i="2"/>
  <c r="BN423" i="2"/>
  <c r="Z538" i="2"/>
  <c r="Z539" i="2" s="1"/>
  <c r="Z41" i="2"/>
  <c r="BN41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6" i="2"/>
  <c r="Z366" i="2"/>
  <c r="Z383" i="2"/>
  <c r="BN383" i="2"/>
  <c r="BP426" i="2"/>
  <c r="Z441" i="2"/>
  <c r="Z501" i="2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30" i="2"/>
  <c r="Z330" i="2"/>
  <c r="BP344" i="2"/>
  <c r="BN344" i="2"/>
  <c r="Z344" i="2"/>
  <c r="BN364" i="2"/>
  <c r="BP372" i="2"/>
  <c r="Z372" i="2"/>
  <c r="BP377" i="2"/>
  <c r="Z377" i="2"/>
  <c r="BP409" i="2"/>
  <c r="Z409" i="2"/>
  <c r="BN417" i="2"/>
  <c r="BN425" i="2"/>
  <c r="Z425" i="2"/>
  <c r="BN434" i="2"/>
  <c r="Z434" i="2"/>
  <c r="BP469" i="2"/>
  <c r="Z469" i="2"/>
  <c r="BP478" i="2"/>
  <c r="BN478" i="2"/>
  <c r="Z478" i="2"/>
  <c r="Y486" i="2"/>
  <c r="BP484" i="2"/>
  <c r="Y53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Z418" i="2" s="1"/>
  <c r="BP427" i="2"/>
  <c r="Z427" i="2"/>
  <c r="BP434" i="2"/>
  <c r="Y437" i="2"/>
  <c r="Y459" i="2"/>
  <c r="Z457" i="2"/>
  <c r="Z458" i="2" s="1"/>
  <c r="BN504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2" i="2" l="1"/>
  <c r="Z431" i="2"/>
  <c r="Z277" i="2"/>
  <c r="Z251" i="2"/>
  <c r="Z199" i="2"/>
  <c r="Z331" i="2"/>
  <c r="Z99" i="2"/>
  <c r="Z55" i="2"/>
  <c r="Z454" i="2"/>
  <c r="Z369" i="2"/>
  <c r="Z386" i="2"/>
  <c r="X554" i="2"/>
  <c r="Z411" i="2"/>
  <c r="Z143" i="2"/>
  <c r="Z347" i="2"/>
  <c r="Z379" i="2"/>
  <c r="Z322" i="2"/>
  <c r="Z437" i="2"/>
  <c r="Z13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<sst xmlns="http://schemas.openxmlformats.org/spreadsheetml/2006/main" count="4201" uniqueCount="895">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</sst>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</v>
      </c>
      <c r="Y51" s="55">
        <f>IFERROR(IF(X51="",0,CEILING((X51/$H51),1)*$H51),"")</f>
        <v>10.8</v>
      </c>
      <c r="Z51" s="41">
        <f>IFERROR(IF(Y51=0,"",ROUNDUP(Y51/H51,0)*0.01898),"")</f>
        <v>1.898E-2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10.37962962962963</v>
      </c>
      <c r="BN51" s="78">
        <f>IFERROR(Y51*I51/H51,"0")</f>
        <v>11.21</v>
      </c>
      <c r="BO51" s="78">
        <f>IFERROR(1/J51*(X51/H51),"0")</f>
        <v>1.4467592592592591E-2</v>
      </c>
      <c r="BP51" s="78">
        <f>IFERROR(1/J51*(Y51/H51),"0")</f>
        <v>1.5625E-2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6.9259259259259256</v>
      </c>
      <c r="Y55" s="43">
        <f>IFERROR(Y51/H51,"0")+IFERROR(Y52/H52,"0")+IFERROR(Y53/H53,"0")+IFERROR(Y54/H54,"0")</f>
        <v>7</v>
      </c>
      <c r="Z55" s="43">
        <f>IFERROR(IF(Z51="",0,Z51),"0")+IFERROR(IF(Z52="",0,Z52),"0")+IFERROR(IF(Z53="",0,Z53),"0")+IFERROR(IF(Z54="",0,Z54),"0")</f>
        <v>7.3099999999999998E-2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34</v>
      </c>
      <c r="Y56" s="43">
        <f>IFERROR(SUM(Y51:Y54),"0")</f>
        <v>34.799999999999997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110</v>
      </c>
      <c r="Y61" s="55">
        <f t="shared" si="0"/>
        <v>118.80000000000001</v>
      </c>
      <c r="Z61" s="41">
        <f>IFERROR(IF(Y61=0,"",ROUNDUP(Y61/H61,0)*0.01898),"")</f>
        <v>0.20877999999999999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114.17592592592594</v>
      </c>
      <c r="BN61" s="78">
        <f t="shared" si="2"/>
        <v>123.31000000000002</v>
      </c>
      <c r="BO61" s="78">
        <f t="shared" si="3"/>
        <v>0.15914351851851852</v>
      </c>
      <c r="BP61" s="78">
        <f t="shared" si="4"/>
        <v>0.171875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13.5</v>
      </c>
      <c r="Y66" s="55">
        <f t="shared" si="0"/>
        <v>13.5</v>
      </c>
      <c r="Z66" s="41">
        <f>IFERROR(IF(Y66=0,"",ROUNDUP(Y66/H66,0)*0.00902),"")</f>
        <v>2.7060000000000001E-2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14.07</v>
      </c>
      <c r="BN66" s="78">
        <f t="shared" si="2"/>
        <v>14.07</v>
      </c>
      <c r="BO66" s="78">
        <f t="shared" si="3"/>
        <v>2.2727272727272728E-2</v>
      </c>
      <c r="BP66" s="78">
        <f t="shared" si="4"/>
        <v>2.2727272727272728E-2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13.185185185185185</v>
      </c>
      <c r="Y67" s="43">
        <f>IFERROR(Y59/H59,"0")+IFERROR(Y60/H60,"0")+IFERROR(Y61/H61,"0")+IFERROR(Y62/H62,"0")+IFERROR(Y63/H63,"0")+IFERROR(Y64/H64,"0")+IFERROR(Y65/H65,"0")+IFERROR(Y66/H66,"0")</f>
        <v>14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0.23583999999999999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123.5</v>
      </c>
      <c r="Y68" s="43">
        <f>IFERROR(SUM(Y59:Y66),"0")</f>
        <v>132.30000000000001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8.1</v>
      </c>
      <c r="Y73" s="55">
        <f>IFERROR(IF(X73="",0,CEILING((X73/$H73),1)*$H73),"")</f>
        <v>8.1000000000000014</v>
      </c>
      <c r="Z73" s="41">
        <f>IFERROR(IF(Y73=0,"",ROUNDUP(Y73/H73,0)*0.00651),"")</f>
        <v>1.9529999999999999E-2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8.6399999999999988</v>
      </c>
      <c r="BN73" s="78">
        <f>IFERROR(Y73*I73/H73,"0")</f>
        <v>8.64</v>
      </c>
      <c r="BO73" s="78">
        <f>IFERROR(1/J73*(X73/H73),"0")</f>
        <v>1.6483516483516484E-2</v>
      </c>
      <c r="BP73" s="78">
        <f>IFERROR(1/J73*(Y73/H73),"0")</f>
        <v>1.6483516483516487E-2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7.6296296296296298</v>
      </c>
      <c r="Y74" s="43">
        <f>IFERROR(Y70/H70,"0")+IFERROR(Y71/H71,"0")+IFERROR(Y72/H72,"0")+IFERROR(Y73/H73,"0")</f>
        <v>8</v>
      </c>
      <c r="Z74" s="43">
        <f>IFERROR(IF(Z70="",0,Z70),"0")+IFERROR(IF(Z71="",0,Z71),"0")+IFERROR(IF(Z72="",0,Z72),"0")+IFERROR(IF(Z73="",0,Z73),"0")</f>
        <v>0.11443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58.1</v>
      </c>
      <c r="Y75" s="43">
        <f>IFERROR(SUM(Y70:Y73),"0")</f>
        <v>62.1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6.8518518518518512</v>
      </c>
      <c r="Y92" s="43">
        <f>IFERROR(Y88/H88,"0")+IFERROR(Y89/H89,"0")+IFERROR(Y90/H90,"0")+IFERROR(Y91/H91,"0")</f>
        <v>7</v>
      </c>
      <c r="Z92" s="43">
        <f>IFERROR(IF(Z88="",0,Z88),"0")+IFERROR(IF(Z89="",0,Z89),"0")+IFERROR(IF(Z90="",0,Z90),"0")+IFERROR(IF(Z91="",0,Z91),"0")</f>
        <v>8.3059999999999995E-2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42.5</v>
      </c>
      <c r="Y93" s="43">
        <f>IFERROR(SUM(Y88:Y91),"0")</f>
        <v>44.1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8.1</v>
      </c>
      <c r="Y97" s="55">
        <f>IFERROR(IF(X97="",0,CEILING((X97/$H97),1)*$H97),"")</f>
        <v>8.1000000000000014</v>
      </c>
      <c r="Z97" s="41">
        <f>IFERROR(IF(Y97=0,"",ROUNDUP(Y97/H97,0)*0.00651),"")</f>
        <v>1.9529999999999999E-2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8.8559999999999981</v>
      </c>
      <c r="BN97" s="78">
        <f>IFERROR(Y97*I97/H97,"0")</f>
        <v>8.8560000000000016</v>
      </c>
      <c r="BO97" s="78">
        <f>IFERROR(1/J97*(X97/H97),"0")</f>
        <v>1.6483516483516484E-2</v>
      </c>
      <c r="BP97" s="78">
        <f>IFERROR(1/J97*(Y97/H97),"0")</f>
        <v>1.6483516483516487E-2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2.9999999999999996</v>
      </c>
      <c r="Y99" s="43">
        <f>IFERROR(Y95/H95,"0")+IFERROR(Y96/H96,"0")+IFERROR(Y97/H97,"0")+IFERROR(Y98/H98,"0")</f>
        <v>3.0000000000000004</v>
      </c>
      <c r="Z99" s="43">
        <f>IFERROR(IF(Z95="",0,Z95),"0")+IFERROR(IF(Z96="",0,Z96),"0")+IFERROR(IF(Z97="",0,Z97),"0")+IFERROR(IF(Z98="",0,Z98),"0")</f>
        <v>1.9529999999999999E-2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8.1</v>
      </c>
      <c r="Y100" s="43">
        <f>IFERROR(SUM(Y95:Y98),"0")</f>
        <v>8.1000000000000014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11.25</v>
      </c>
      <c r="Y106" s="55">
        <f t="shared" si="5"/>
        <v>11.25</v>
      </c>
      <c r="Z106" s="41">
        <f>IFERROR(IF(Y106=0,"",ROUNDUP(Y106/H106,0)*0.00902),"")</f>
        <v>2.7060000000000001E-2</v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11.82</v>
      </c>
      <c r="BN106" s="78">
        <f t="shared" si="7"/>
        <v>11.82</v>
      </c>
      <c r="BO106" s="78">
        <f t="shared" si="8"/>
        <v>2.2727272727272728E-2</v>
      </c>
      <c r="BP106" s="78">
        <f t="shared" si="9"/>
        <v>2.2727272727272728E-2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3</v>
      </c>
      <c r="Y109" s="43">
        <f>IFERROR(Y103/H103,"0")+IFERROR(Y104/H104,"0")+IFERROR(Y105/H105,"0")+IFERROR(Y106/H106,"0")+IFERROR(Y107/H107,"0")+IFERROR(Y108/H108,"0")</f>
        <v>3</v>
      </c>
      <c r="Z109" s="43">
        <f>IFERROR(IF(Z103="",0,Z103),"0")+IFERROR(IF(Z104="",0,Z104),"0")+IFERROR(IF(Z105="",0,Z105),"0")+IFERROR(IF(Z106="",0,Z106),"0")+IFERROR(IF(Z107="",0,Z107),"0")+IFERROR(IF(Z108="",0,Z108),"0")</f>
        <v>2.7060000000000001E-2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11.25</v>
      </c>
      <c r="Y110" s="43">
        <f>IFERROR(SUM(Y103:Y108),"0")</f>
        <v>11.25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8</v>
      </c>
      <c r="Y120" s="55">
        <f>IFERROR(IF(X120="",0,CEILING((X120/$H120),1)*$H120),"")</f>
        <v>8.1</v>
      </c>
      <c r="Z120" s="41">
        <f>IFERROR(IF(Y120=0,"",ROUNDUP(Y120/H120,0)*0.01898),"")</f>
        <v>1.898E-2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8.4819753086419745</v>
      </c>
      <c r="BN120" s="78">
        <f>IFERROR(Y120*I120/H120,"0")</f>
        <v>8.5879999999999992</v>
      </c>
      <c r="BO120" s="78">
        <f>IFERROR(1/J120*(X120/H120),"0")</f>
        <v>1.54320987654321E-2</v>
      </c>
      <c r="BP120" s="78">
        <f>IFERROR(1/J120*(Y120/H120),"0")</f>
        <v>1.5625E-2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8.1</v>
      </c>
      <c r="Y122" s="55">
        <f>IFERROR(IF(X122="",0,CEILING((X122/$H122),1)*$H122),"")</f>
        <v>8.1000000000000014</v>
      </c>
      <c r="Z122" s="41">
        <f>IFERROR(IF(Y122=0,"",ROUNDUP(Y122/H122,0)*0.00651),"")</f>
        <v>1.9529999999999999E-2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8.8559999999999981</v>
      </c>
      <c r="BN122" s="78">
        <f>IFERROR(Y122*I122/H122,"0")</f>
        <v>8.8560000000000016</v>
      </c>
      <c r="BO122" s="78">
        <f>IFERROR(1/J122*(X122/H122),"0")</f>
        <v>1.6483516483516484E-2</v>
      </c>
      <c r="BP122" s="78">
        <f>IFERROR(1/J122*(Y122/H122),"0")</f>
        <v>1.6483516483516487E-2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3.9876543209876538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3.8510000000000003E-2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16.100000000000001</v>
      </c>
      <c r="Y125" s="43">
        <f>IFERROR(SUM(Y120:Y123),"0")</f>
        <v>16.200000000000003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9.6</v>
      </c>
      <c r="Y134" s="55">
        <f>IFERROR(IF(X134="",0,CEILING((X134/$H134),1)*$H134),"")</f>
        <v>9.6000000000000014</v>
      </c>
      <c r="Z134" s="41">
        <f>IFERROR(IF(Y134=0,"",ROUNDUP(Y134/H134,0)*0.00651),"")</f>
        <v>1.9529999999999999E-2</v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10.139999999999999</v>
      </c>
      <c r="BN134" s="78">
        <f>IFERROR(Y134*I134/H134,"0")</f>
        <v>10.139999999999999</v>
      </c>
      <c r="BO134" s="78">
        <f>IFERROR(1/J134*(X134/H134),"0")</f>
        <v>1.6483516483516484E-2</v>
      </c>
      <c r="BP134" s="78">
        <f>IFERROR(1/J134*(Y134/H134),"0")</f>
        <v>1.6483516483516487E-2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2.9999999999999996</v>
      </c>
      <c r="Y136" s="43">
        <f>IFERROR(Y132/H132,"0")+IFERROR(Y133/H133,"0")+IFERROR(Y134/H134,"0")+IFERROR(Y135/H135,"0")</f>
        <v>3.0000000000000004</v>
      </c>
      <c r="Z136" s="43">
        <f>IFERROR(IF(Z132="",0,Z132),"0")+IFERROR(IF(Z133="",0,Z133),"0")+IFERROR(IF(Z134="",0,Z134),"0")+IFERROR(IF(Z135="",0,Z135),"0")</f>
        <v>1.9529999999999999E-2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9.6</v>
      </c>
      <c r="Y137" s="43">
        <f>IFERROR(SUM(Y132:Y135),"0")</f>
        <v>9.6000000000000014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8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8.6057142857142868</v>
      </c>
      <c r="BN178" s="78">
        <f t="shared" si="12"/>
        <v>11.295</v>
      </c>
      <c r="BO178" s="78">
        <f t="shared" si="13"/>
        <v>1.7316017316017316E-2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2.2857142857142856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2.7060000000000001E-2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8</v>
      </c>
      <c r="Y189" s="43">
        <f>IFERROR(SUM(Y177:Y187),"0")</f>
        <v>10.5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7.2</v>
      </c>
      <c r="Y283" s="55">
        <f t="shared" si="32"/>
        <v>7.1999999999999993</v>
      </c>
      <c r="Z283" s="41">
        <f>IFERROR(IF(Y283=0,"",ROUNDUP(Y283/H283,0)*0.00651),"")</f>
        <v>1.9529999999999999E-2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8.01</v>
      </c>
      <c r="BN283" s="78">
        <f t="shared" si="34"/>
        <v>8.009999999999998</v>
      </c>
      <c r="BO283" s="78">
        <f t="shared" si="35"/>
        <v>1.6483516483516484E-2</v>
      </c>
      <c r="BP283" s="78">
        <f t="shared" si="36"/>
        <v>1.6483516483516484E-2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1.9529999999999999E-2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7.2</v>
      </c>
      <c r="Y293" s="43">
        <f>IFERROR(SUM(Y280:Y291),"0")</f>
        <v>7.1999999999999993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10</v>
      </c>
      <c r="Y326" s="55">
        <f>IFERROR(IF(X326="",0,CEILING((X326/$H326),1)*$H326),"")</f>
        <v>10.8</v>
      </c>
      <c r="Z326" s="41">
        <f>IFERROR(IF(Y326=0,"",ROUNDUP(Y326/H326,0)*0.01898),"")</f>
        <v>1.898E-2</v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10.37962962962963</v>
      </c>
      <c r="BN326" s="78">
        <f>IFERROR(Y326*I326/H326,"0")</f>
        <v>11.21</v>
      </c>
      <c r="BO326" s="78">
        <f>IFERROR(1/J326*(X326/H326),"0")</f>
        <v>1.4467592592592591E-2</v>
      </c>
      <c r="BP326" s="78">
        <f>IFERROR(1/J326*(Y326/H326),"0")</f>
        <v>1.5625E-2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20</v>
      </c>
      <c r="Y327" s="55">
        <f>IFERROR(IF(X327="",0,CEILING((X327/$H327),1)*$H327),"")</f>
        <v>21.6</v>
      </c>
      <c r="Z327" s="41">
        <f>IFERROR(IF(Y327=0,"",ROUNDUP(Y327/H327,0)*0.01898),"")</f>
        <v>3.7960000000000001E-2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20.75925925925926</v>
      </c>
      <c r="BN327" s="78">
        <f>IFERROR(Y327*I327/H327,"0")</f>
        <v>22.42</v>
      </c>
      <c r="BO327" s="78">
        <f>IFERROR(1/J327*(X327/H327),"0")</f>
        <v>2.8935185185185182E-2</v>
      </c>
      <c r="BP327" s="78">
        <f>IFERROR(1/J327*(Y327/H327),"0")</f>
        <v>3.125E-2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50</v>
      </c>
      <c r="Y328" s="55">
        <f>IFERROR(IF(X328="",0,CEILING((X328/$H328),1)*$H328),"")</f>
        <v>54</v>
      </c>
      <c r="Z328" s="41">
        <f>IFERROR(IF(Y328=0,"",ROUNDUP(Y328/H328,0)*0.01898),"")</f>
        <v>9.4899999999999998E-2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51.898148148148145</v>
      </c>
      <c r="BN328" s="78">
        <f>IFERROR(Y328*I328/H328,"0")</f>
        <v>56.05</v>
      </c>
      <c r="BO328" s="78">
        <f>IFERROR(1/J328*(X328/H328),"0")</f>
        <v>7.2337962962962965E-2</v>
      </c>
      <c r="BP328" s="78">
        <f>IFERROR(1/J328*(Y328/H328),"0")</f>
        <v>7.8125E-2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12</v>
      </c>
      <c r="Y329" s="55">
        <f>IFERROR(IF(X329="",0,CEILING((X329/$H329),1)*$H329),"")</f>
        <v>12</v>
      </c>
      <c r="Z329" s="41">
        <f>IFERROR(IF(Y329=0,"",ROUNDUP(Y329/H329,0)*0.00902),"")</f>
        <v>2.7060000000000001E-2</v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12.57</v>
      </c>
      <c r="BN329" s="78">
        <f>IFERROR(Y329*I329/H329,"0")</f>
        <v>12.57</v>
      </c>
      <c r="BO329" s="78">
        <f>IFERROR(1/J329*(X329/H329),"0")</f>
        <v>2.2727272727272728E-2</v>
      </c>
      <c r="BP329" s="78">
        <f>IFERROR(1/J329*(Y329/H329),"0")</f>
        <v>2.2727272727272728E-2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12</v>
      </c>
      <c r="Y330" s="55">
        <f>IFERROR(IF(X330="",0,CEILING((X330/$H330),1)*$H330),"")</f>
        <v>12</v>
      </c>
      <c r="Z330" s="41">
        <f>IFERROR(IF(Y330=0,"",ROUNDUP(Y330/H330,0)*0.00902),"")</f>
        <v>2.7060000000000001E-2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12.57</v>
      </c>
      <c r="BN330" s="78">
        <f>IFERROR(Y330*I330/H330,"0")</f>
        <v>12.57</v>
      </c>
      <c r="BO330" s="78">
        <f>IFERROR(1/J330*(X330/H330),"0")</f>
        <v>2.2727272727272728E-2</v>
      </c>
      <c r="BP330" s="78">
        <f>IFERROR(1/J330*(Y330/H330),"0")</f>
        <v>2.2727272727272728E-2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13.407407407407408</v>
      </c>
      <c r="Y331" s="43">
        <f>IFERROR(Y326/H326,"0")+IFERROR(Y327/H327,"0")+IFERROR(Y328/H328,"0")+IFERROR(Y329/H329,"0")+IFERROR(Y330/H330,"0")</f>
        <v>14</v>
      </c>
      <c r="Z331" s="43">
        <f>IFERROR(IF(Z326="",0,Z326),"0")+IFERROR(IF(Z327="",0,Z327),"0")+IFERROR(IF(Z328="",0,Z328),"0")+IFERROR(IF(Z329="",0,Z329),"0")+IFERROR(IF(Z330="",0,Z330),"0")</f>
        <v>0.20596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104</v>
      </c>
      <c r="Y332" s="43">
        <f>IFERROR(SUM(Y326:Y330),"0")</f>
        <v>110.4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30</v>
      </c>
      <c r="Y364" s="55">
        <f t="shared" si="42"/>
        <v>32.400000000000006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31.138888888888889</v>
      </c>
      <c r="BN364" s="78">
        <f t="shared" si="44"/>
        <v>33.630000000000003</v>
      </c>
      <c r="BO364" s="78">
        <f t="shared" si="45"/>
        <v>4.3402777777777776E-2</v>
      </c>
      <c r="BP364" s="78">
        <f t="shared" si="46"/>
        <v>4.6875000000000007E-2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30</v>
      </c>
      <c r="Y365" s="55">
        <f t="shared" si="42"/>
        <v>32.400000000000006</v>
      </c>
      <c r="Z365" s="41">
        <f>IFERROR(IF(Y365=0,"",ROUNDUP(Y365/H365,0)*0.01898),"")</f>
        <v>5.6940000000000004E-2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31.138888888888889</v>
      </c>
      <c r="BN365" s="78">
        <f t="shared" si="44"/>
        <v>33.630000000000003</v>
      </c>
      <c r="BO365" s="78">
        <f t="shared" si="45"/>
        <v>4.3402777777777776E-2</v>
      </c>
      <c r="BP365" s="78">
        <f t="shared" si="46"/>
        <v>4.6875000000000007E-2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110</v>
      </c>
      <c r="Y366" s="55">
        <f t="shared" si="42"/>
        <v>118.80000000000001</v>
      </c>
      <c r="Z366" s="41">
        <f>IFERROR(IF(Y366=0,"",ROUNDUP(Y366/H366,0)*0.01898),"")</f>
        <v>0.20877999999999999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114.17592592592594</v>
      </c>
      <c r="BN366" s="78">
        <f t="shared" si="44"/>
        <v>123.31000000000002</v>
      </c>
      <c r="BO366" s="78">
        <f t="shared" si="45"/>
        <v>0.15914351851851852</v>
      </c>
      <c r="BP366" s="78">
        <f t="shared" si="46"/>
        <v>0.171875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12</v>
      </c>
      <c r="Y368" s="55">
        <f t="shared" si="42"/>
        <v>12</v>
      </c>
      <c r="Z368" s="41">
        <f>IFERROR(IF(Y368=0,"",ROUNDUP(Y368/H368,0)*0.00902),"")</f>
        <v>2.7060000000000001E-2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12.57</v>
      </c>
      <c r="BN368" s="78">
        <f t="shared" si="44"/>
        <v>12.57</v>
      </c>
      <c r="BO368" s="78">
        <f t="shared" si="45"/>
        <v>2.2727272727272728E-2</v>
      </c>
      <c r="BP368" s="78">
        <f t="shared" si="46"/>
        <v>2.2727272727272728E-2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18.74074074074074</v>
      </c>
      <c r="Y369" s="43">
        <f>IFERROR(Y363/H363,"0")+IFERROR(Y364/H364,"0")+IFERROR(Y365/H365,"0")+IFERROR(Y366/H366,"0")+IFERROR(Y367/H367,"0")+IFERROR(Y368/H368,"0")</f>
        <v>20</v>
      </c>
      <c r="Z369" s="43">
        <f>IFERROR(IF(Z363="",0,Z363),"0")+IFERROR(IF(Z364="",0,Z364),"0")+IFERROR(IF(Z365="",0,Z365),"0")+IFERROR(IF(Z366="",0,Z366),"0")+IFERROR(IF(Z367="",0,Z367),"0")+IFERROR(IF(Z368="",0,Z368),"0")</f>
        <v>0.34972000000000003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182</v>
      </c>
      <c r="Y370" s="43">
        <f>IFERROR(SUM(Y363:Y368),"0")</f>
        <v>195.60000000000002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18</v>
      </c>
      <c r="Y372" s="55">
        <f t="shared" ref="Y372:Y378" si="47">IFERROR(IF(X372="",0,CEILING((X372/$H372),1)*$H372),"")</f>
        <v>21</v>
      </c>
      <c r="Z372" s="41">
        <f>IFERROR(IF(Y372=0,"",ROUNDUP(Y372/H372,0)*0.00902),"")</f>
        <v>4.5100000000000001E-2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19.071428571428573</v>
      </c>
      <c r="BN372" s="78">
        <f t="shared" ref="BN372:BN378" si="49">IFERROR(Y372*I372/H372,"0")</f>
        <v>22.25</v>
      </c>
      <c r="BO372" s="78">
        <f t="shared" ref="BO372:BO378" si="50">IFERROR(1/J372*(X372/H372),"0")</f>
        <v>3.2467532467532464E-2</v>
      </c>
      <c r="BP372" s="78">
        <f t="shared" ref="BP372:BP378" si="51">IFERROR(1/J372*(Y372/H372),"0")</f>
        <v>3.787878787878788E-2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45</v>
      </c>
      <c r="Y373" s="55">
        <f t="shared" si="47"/>
        <v>46.2</v>
      </c>
      <c r="Z373" s="41">
        <f>IFERROR(IF(Y373=0,"",ROUNDUP(Y373/H373,0)*0.00902),"")</f>
        <v>9.9220000000000003E-2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47.678571428571423</v>
      </c>
      <c r="BN373" s="78">
        <f t="shared" si="49"/>
        <v>48.95</v>
      </c>
      <c r="BO373" s="78">
        <f t="shared" si="50"/>
        <v>8.1168831168831168E-2</v>
      </c>
      <c r="BP373" s="78">
        <f t="shared" si="51"/>
        <v>8.3333333333333343E-2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18.899999999999999</v>
      </c>
      <c r="Y375" s="55">
        <f t="shared" si="47"/>
        <v>18.900000000000002</v>
      </c>
      <c r="Z375" s="41">
        <f>IFERROR(IF(Y375=0,"",ROUNDUP(Y375/H375,0)*0.00502),"")</f>
        <v>4.5179999999999998E-2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20.069999999999997</v>
      </c>
      <c r="BN375" s="78">
        <f t="shared" si="49"/>
        <v>20.07</v>
      </c>
      <c r="BO375" s="78">
        <f t="shared" si="50"/>
        <v>3.8461538461538457E-2</v>
      </c>
      <c r="BP375" s="78">
        <f t="shared" si="51"/>
        <v>3.8461538461538464E-2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14.7</v>
      </c>
      <c r="Y376" s="55">
        <f t="shared" si="47"/>
        <v>14.700000000000001</v>
      </c>
      <c r="Z376" s="41">
        <f>IFERROR(IF(Y376=0,"",ROUNDUP(Y376/H376,0)*0.00502),"")</f>
        <v>3.5140000000000005E-2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15.4</v>
      </c>
      <c r="BN376" s="78">
        <f t="shared" si="49"/>
        <v>15.4</v>
      </c>
      <c r="BO376" s="78">
        <f t="shared" si="50"/>
        <v>2.9914529914529912E-2</v>
      </c>
      <c r="BP376" s="78">
        <f t="shared" si="51"/>
        <v>2.9914529914529919E-2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31</v>
      </c>
      <c r="Y379" s="43">
        <f>IFERROR(Y372/H372,"0")+IFERROR(Y373/H373,"0")+IFERROR(Y374/H374,"0")+IFERROR(Y375/H375,"0")+IFERROR(Y376/H376,"0")+IFERROR(Y377/H377,"0")+IFERROR(Y378/H378,"0")</f>
        <v>32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0.22464000000000001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96.600000000000009</v>
      </c>
      <c r="Y380" s="43">
        <f>IFERROR(SUM(Y372:Y378),"0")</f>
        <v>100.80000000000001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750</v>
      </c>
      <c r="Y382" s="55">
        <f>IFERROR(IF(X382="",0,CEILING((X382/$H382),1)*$H382),"")</f>
        <v>756.6</v>
      </c>
      <c r="Z382" s="41">
        <f>IFERROR(IF(Y382=0,"",ROUNDUP(Y382/H382,0)*0.01898),"")</f>
        <v>1.8410600000000001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796.92307692307691</v>
      </c>
      <c r="BN382" s="78">
        <f>IFERROR(Y382*I382/H382,"0")</f>
        <v>803.93600000000004</v>
      </c>
      <c r="BO382" s="78">
        <f>IFERROR(1/J382*(X382/H382),"0")</f>
        <v>1.5024038461538463</v>
      </c>
      <c r="BP382" s="78">
        <f>IFERROR(1/J382*(Y382/H382),"0")</f>
        <v>1.515625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101.15384615384616</v>
      </c>
      <c r="Y386" s="43">
        <f>IFERROR(Y382/H382,"0")+IFERROR(Y383/H383,"0")+IFERROR(Y384/H384,"0")+IFERROR(Y385/H385,"0")</f>
        <v>102</v>
      </c>
      <c r="Z386" s="43">
        <f>IFERROR(IF(Z382="",0,Z382),"0")+IFERROR(IF(Z383="",0,Z383),"0")+IFERROR(IF(Z384="",0,Z384),"0")+IFERROR(IF(Z385="",0,Z385),"0")</f>
        <v>1.8736100000000002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765</v>
      </c>
      <c r="Y387" s="43">
        <f>IFERROR(SUM(Y382:Y385),"0")</f>
        <v>771.6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90</v>
      </c>
      <c r="Y390" s="55">
        <f>IFERROR(IF(X390="",0,CEILING((X390/$H390),1)*$H390),"")</f>
        <v>93.6</v>
      </c>
      <c r="Z390" s="41">
        <f>IFERROR(IF(Y390=0,"",ROUNDUP(Y390/H390,0)*0.01898),"")</f>
        <v>0.22776000000000002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95.7</v>
      </c>
      <c r="BN390" s="78">
        <f>IFERROR(Y390*I390/H390,"0")</f>
        <v>99.528000000000006</v>
      </c>
      <c r="BO390" s="78">
        <f>IFERROR(1/J390*(X390/H390),"0")</f>
        <v>0.18028846153846154</v>
      </c>
      <c r="BP390" s="78">
        <f>IFERROR(1/J390*(Y390/H390),"0")</f>
        <v>0.1875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65</v>
      </c>
      <c r="Y391" s="55">
        <f>IFERROR(IF(X391="",0,CEILING((X391/$H391),1)*$H391),"")</f>
        <v>67.2</v>
      </c>
      <c r="Z391" s="41">
        <f>IFERROR(IF(Y391=0,"",ROUNDUP(Y391/H391,0)*0.01898),"")</f>
        <v>0.15184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68.822619047619042</v>
      </c>
      <c r="BN391" s="78">
        <f>IFERROR(Y391*I391/H391,"0")</f>
        <v>71.152000000000001</v>
      </c>
      <c r="BO391" s="78">
        <f>IFERROR(1/J391*(X391/H391),"0")</f>
        <v>0.1209077380952381</v>
      </c>
      <c r="BP391" s="78">
        <f>IFERROR(1/J391*(Y391/H391),"0")</f>
        <v>0.125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19.276556776556777</v>
      </c>
      <c r="Y392" s="43">
        <f>IFERROR(Y389/H389,"0")+IFERROR(Y390/H390,"0")+IFERROR(Y391/H391,"0")</f>
        <v>20</v>
      </c>
      <c r="Z392" s="43">
        <f>IFERROR(IF(Z389="",0,Z389),"0")+IFERROR(IF(Z390="",0,Z390),"0")+IFERROR(IF(Z391="",0,Z391),"0")</f>
        <v>0.37960000000000005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155</v>
      </c>
      <c r="Y393" s="43">
        <f>IFERROR(SUM(Y389:Y391),"0")</f>
        <v>160.80000000000001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2</v>
      </c>
      <c r="Y399" s="43">
        <f>IFERROR(Y395/H395,"0")+IFERROR(Y396/H396,"0")+IFERROR(Y397/H397,"0")+IFERROR(Y398/H398,"0")</f>
        <v>2</v>
      </c>
      <c r="Z399" s="43">
        <f>IFERROR(IF(Z395="",0,Z395),"0")+IFERROR(IF(Z396="",0,Z396),"0")+IFERROR(IF(Z397="",0,Z397),"0")+IFERROR(IF(Z398="",0,Z398),"0")</f>
        <v>1.302E-2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5.0999999999999996</v>
      </c>
      <c r="Y400" s="43">
        <f>IFERROR(SUM(Y395:Y398),"0")</f>
        <v>5.0999999999999996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35</v>
      </c>
      <c r="Y415" s="55">
        <f>IFERROR(IF(X415="",0,CEILING((X415/$H415),1)*$H415),"")</f>
        <v>40.5</v>
      </c>
      <c r="Z415" s="41">
        <f>IFERROR(IF(Y415=0,"",ROUNDUP(Y415/H415,0)*0.01898),"")</f>
        <v>9.4899999999999998E-2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37.134567901234568</v>
      </c>
      <c r="BN415" s="78">
        <f>IFERROR(Y415*I415/H415,"0")</f>
        <v>42.97</v>
      </c>
      <c r="BO415" s="78">
        <f>IFERROR(1/J415*(X415/H415),"0")</f>
        <v>6.751543209876544E-2</v>
      </c>
      <c r="BP415" s="78">
        <f>IFERROR(1/J415*(Y415/H415),"0")</f>
        <v>7.8125E-2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31.5</v>
      </c>
      <c r="Y416" s="55">
        <f>IFERROR(IF(X416="",0,CEILING((X416/$H416),1)*$H416),"")</f>
        <v>31.5</v>
      </c>
      <c r="Z416" s="41">
        <f>IFERROR(IF(Y416=0,"",ROUNDUP(Y416/H416,0)*0.00651),"")</f>
        <v>9.7650000000000001E-2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35.279999999999994</v>
      </c>
      <c r="BN416" s="78">
        <f>IFERROR(Y416*I416/H416,"0")</f>
        <v>35.279999999999994</v>
      </c>
      <c r="BO416" s="78">
        <f>IFERROR(1/J416*(X416/H416),"0")</f>
        <v>8.241758241758243E-2</v>
      </c>
      <c r="BP416" s="78">
        <f>IFERROR(1/J416*(Y416/H416),"0")</f>
        <v>8.241758241758243E-2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31.5</v>
      </c>
      <c r="Y417" s="55">
        <f>IFERROR(IF(X417="",0,CEILING((X417/$H417),1)*$H417),"")</f>
        <v>31.5</v>
      </c>
      <c r="Z417" s="41">
        <f>IFERROR(IF(Y417=0,"",ROUNDUP(Y417/H417,0)*0.00651),"")</f>
        <v>9.7650000000000001E-2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35.099999999999994</v>
      </c>
      <c r="BN417" s="78">
        <f>IFERROR(Y417*I417/H417,"0")</f>
        <v>35.099999999999994</v>
      </c>
      <c r="BO417" s="78">
        <f>IFERROR(1/J417*(X417/H417),"0")</f>
        <v>8.241758241758243E-2</v>
      </c>
      <c r="BP417" s="78">
        <f>IFERROR(1/J417*(Y417/H417),"0")</f>
        <v>8.241758241758243E-2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34.320987654320987</v>
      </c>
      <c r="Y418" s="43">
        <f>IFERROR(Y415/H415,"0")+IFERROR(Y416/H416,"0")+IFERROR(Y417/H417,"0")</f>
        <v>35</v>
      </c>
      <c r="Z418" s="43">
        <f>IFERROR(IF(Z415="",0,Z415),"0")+IFERROR(IF(Z416="",0,Z416),"0")+IFERROR(IF(Z417="",0,Z417),"0")</f>
        <v>0.29020000000000001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98</v>
      </c>
      <c r="Y419" s="43">
        <f>IFERROR(SUM(Y415:Y417),"0")</f>
        <v>103.5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45</v>
      </c>
      <c r="Y424" s="55">
        <f t="shared" si="52"/>
        <v>45</v>
      </c>
      <c r="Z424" s="41">
        <f>IFERROR(IF(Y424=0,"",ROUNDUP(Y424/H424,0)*0.02175),"")</f>
        <v>6.5250000000000002E-2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46.41</v>
      </c>
      <c r="BN424" s="78">
        <f t="shared" si="54"/>
        <v>46.41</v>
      </c>
      <c r="BO424" s="78">
        <f t="shared" si="55"/>
        <v>6.25E-2</v>
      </c>
      <c r="BP424" s="78">
        <f t="shared" si="56"/>
        <v>6.25E-2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240</v>
      </c>
      <c r="Y425" s="55">
        <f t="shared" si="52"/>
        <v>240</v>
      </c>
      <c r="Z425" s="41">
        <f>IFERROR(IF(Y425=0,"",ROUNDUP(Y425/H425,0)*0.02175),"")</f>
        <v>0.34799999999999998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247.52</v>
      </c>
      <c r="BN425" s="78">
        <f t="shared" si="54"/>
        <v>247.52</v>
      </c>
      <c r="BO425" s="78">
        <f t="shared" si="55"/>
        <v>0.33333333333333331</v>
      </c>
      <c r="BP425" s="78">
        <f t="shared" si="56"/>
        <v>0.33333333333333331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270</v>
      </c>
      <c r="Y427" s="55">
        <f t="shared" si="52"/>
        <v>270</v>
      </c>
      <c r="Z427" s="41">
        <f>IFERROR(IF(Y427=0,"",ROUNDUP(Y427/H427,0)*0.02175),"")</f>
        <v>0.39149999999999996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278.46000000000004</v>
      </c>
      <c r="BN427" s="78">
        <f t="shared" si="54"/>
        <v>278.46000000000004</v>
      </c>
      <c r="BO427" s="78">
        <f t="shared" si="55"/>
        <v>0.375</v>
      </c>
      <c r="BP427" s="78">
        <f t="shared" si="56"/>
        <v>0.375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10</v>
      </c>
      <c r="Y430" s="55">
        <f t="shared" si="52"/>
        <v>10</v>
      </c>
      <c r="Z430" s="41">
        <f>IFERROR(IF(Y430=0,"",ROUNDUP(Y430/H430,0)*0.00902),"")</f>
        <v>1.804E-2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10.38</v>
      </c>
      <c r="BN430" s="78">
        <f t="shared" si="54"/>
        <v>10.38</v>
      </c>
      <c r="BO430" s="78">
        <f t="shared" si="55"/>
        <v>1.5151515151515152E-2</v>
      </c>
      <c r="BP430" s="78">
        <f t="shared" si="56"/>
        <v>1.5151515151515152E-2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39</v>
      </c>
      <c r="Y431" s="43">
        <f>IFERROR(Y423/H423,"0")+IFERROR(Y424/H424,"0")+IFERROR(Y425/H425,"0")+IFERROR(Y426/H426,"0")+IFERROR(Y427/H427,"0")+IFERROR(Y428/H428,"0")+IFERROR(Y429/H429,"0")+IFERROR(Y430/H430,"0")</f>
        <v>39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0.82278999999999991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565</v>
      </c>
      <c r="Y432" s="43">
        <f>IFERROR(SUM(Y423:Y430),"0")</f>
        <v>565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120</v>
      </c>
      <c r="Y434" s="55">
        <f>IFERROR(IF(X434="",0,CEILING((X434/$H434),1)*$H434),"")</f>
        <v>120</v>
      </c>
      <c r="Z434" s="41">
        <f>IFERROR(IF(Y434=0,"",ROUNDUP(Y434/H434,0)*0.02175),"")</f>
        <v>0.17399999999999999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123.76</v>
      </c>
      <c r="BN434" s="78">
        <f>IFERROR(Y434*I434/H434,"0")</f>
        <v>123.76</v>
      </c>
      <c r="BO434" s="78">
        <f>IFERROR(1/J434*(X434/H434),"0")</f>
        <v>0.16666666666666666</v>
      </c>
      <c r="BP434" s="78">
        <f>IFERROR(1/J434*(Y434/H434),"0")</f>
        <v>0.16666666666666666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4</v>
      </c>
      <c r="Y436" s="55">
        <f>IFERROR(IF(X436="",0,CEILING((X436/$H436),1)*$H436),"")</f>
        <v>4</v>
      </c>
      <c r="Z436" s="41">
        <f>IFERROR(IF(Y436=0,"",ROUNDUP(Y436/H436,0)*0.00902),"")</f>
        <v>9.0200000000000002E-3</v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4.1900000000000004</v>
      </c>
      <c r="BN436" s="78">
        <f>IFERROR(Y436*I436/H436,"0")</f>
        <v>4.1900000000000004</v>
      </c>
      <c r="BO436" s="78">
        <f>IFERROR(1/J436*(X436/H436),"0")</f>
        <v>7.575757575757576E-3</v>
      </c>
      <c r="BP436" s="78">
        <f>IFERROR(1/J436*(Y436/H436),"0")</f>
        <v>7.575757575757576E-3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9</v>
      </c>
      <c r="Y437" s="43">
        <f>IFERROR(Y434/H434,"0")+IFERROR(Y435/H435,"0")+IFERROR(Y436/H436,"0")</f>
        <v>9</v>
      </c>
      <c r="Z437" s="43">
        <f>IFERROR(IF(Z434="",0,Z434),"0")+IFERROR(IF(Z435="",0,Z435),"0")+IFERROR(IF(Z436="",0,Z436),"0")</f>
        <v>0.18301999999999999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124</v>
      </c>
      <c r="Y438" s="43">
        <f>IFERROR(SUM(Y434:Y436),"0")</f>
        <v>124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8.4</v>
      </c>
      <c r="Y473" s="55">
        <f t="shared" si="57"/>
        <v>8.4</v>
      </c>
      <c r="Z473" s="41">
        <f>IFERROR(IF(Y473=0,"",ROUNDUP(Y473/H473,0)*0.00502),"")</f>
        <v>2.0080000000000001E-2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8.92</v>
      </c>
      <c r="BN473" s="78">
        <f t="shared" si="59"/>
        <v>8.92</v>
      </c>
      <c r="BO473" s="78">
        <f t="shared" si="60"/>
        <v>1.7094017094017096E-2</v>
      </c>
      <c r="BP473" s="78">
        <f t="shared" si="61"/>
        <v>1.7094017094017096E-2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4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2.0080000000000001E-2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8.4</v>
      </c>
      <c r="Y476" s="43">
        <f>IFERROR(SUM(Y469:Y474),"0")</f>
        <v>8.4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2.1</v>
      </c>
      <c r="Y490" s="55">
        <f>IFERROR(IF(X490="",0,CEILING((X490/$H490),1)*$H490),"")</f>
        <v>2.1</v>
      </c>
      <c r="Z490" s="41">
        <f>IFERROR(IF(Y490=0,"",ROUNDUP(Y490/H490,0)*0.00502),"")</f>
        <v>5.0200000000000002E-3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2.23</v>
      </c>
      <c r="BN490" s="78">
        <f>IFERROR(Y490*I490/H490,"0")</f>
        <v>2.23</v>
      </c>
      <c r="BO490" s="78">
        <f>IFERROR(1/J490*(X490/H490),"0")</f>
        <v>4.2735042735042739E-3</v>
      </c>
      <c r="BP490" s="78">
        <f>IFERROR(1/J490*(Y490/H490),"0")</f>
        <v>4.2735042735042739E-3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1</v>
      </c>
      <c r="Y491" s="43">
        <f>IFERROR(Y488/H488,"0")+IFERROR(Y489/H489,"0")+IFERROR(Y490/H490,"0")</f>
        <v>1</v>
      </c>
      <c r="Z491" s="43">
        <f>IFERROR(IF(Z488="",0,Z488),"0")+IFERROR(IF(Z489="",0,Z489),"0")+IFERROR(IF(Z490="",0,Z490),"0")</f>
        <v>5.0200000000000002E-3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2.1</v>
      </c>
      <c r="Y492" s="43">
        <f>IFERROR(SUM(Y488:Y490),"0")</f>
        <v>2.1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15.994318181818182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2.7316433566433568E-2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10</v>
      </c>
      <c r="Y498" s="55">
        <f t="shared" si="62"/>
        <v>10.56</v>
      </c>
      <c r="Z498" s="41">
        <f t="shared" si="63"/>
        <v>2.392E-2</v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10.662878787878787</v>
      </c>
      <c r="BN498" s="78">
        <f t="shared" si="65"/>
        <v>11.26</v>
      </c>
      <c r="BO498" s="78">
        <f t="shared" si="66"/>
        <v>1.8210955710955712E-2</v>
      </c>
      <c r="BP498" s="78">
        <f t="shared" si="67"/>
        <v>1.9230769230769232E-2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15.994318181818182</v>
      </c>
      <c r="BN499" s="78">
        <f t="shared" si="65"/>
        <v>16.889999999999997</v>
      </c>
      <c r="BO499" s="78">
        <f t="shared" si="66"/>
        <v>2.7316433566433568E-2</v>
      </c>
      <c r="BP499" s="78">
        <f t="shared" si="67"/>
        <v>2.8846153846153848E-2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20</v>
      </c>
      <c r="Y501" s="55">
        <f t="shared" si="62"/>
        <v>21.12</v>
      </c>
      <c r="Z501" s="41">
        <f t="shared" si="63"/>
        <v>4.7840000000000001E-2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21.325757575757574</v>
      </c>
      <c r="BN501" s="78">
        <f t="shared" si="65"/>
        <v>22.52</v>
      </c>
      <c r="BO501" s="78">
        <f t="shared" si="66"/>
        <v>3.6421911421911424E-2</v>
      </c>
      <c r="BP501" s="78">
        <f t="shared" si="67"/>
        <v>3.8461538461538464E-2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11.363636363636363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60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20</v>
      </c>
      <c r="Y508" s="55">
        <f>IFERROR(IF(X508="",0,CEILING((X508/$H508),1)*$H508),"")</f>
        <v>21.12</v>
      </c>
      <c r="Z508" s="41">
        <f>IFERROR(IF(Y508=0,"",ROUNDUP(Y508/H508,0)*0.01196),"")</f>
        <v>4.7840000000000001E-2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21.325757575757574</v>
      </c>
      <c r="BN508" s="78">
        <f>IFERROR(Y508*I508/H508,"0")</f>
        <v>22.52</v>
      </c>
      <c r="BO508" s="78">
        <f>IFERROR(1/J508*(X508/H508),"0")</f>
        <v>3.6421911421911424E-2</v>
      </c>
      <c r="BP508" s="78">
        <f>IFERROR(1/J508*(Y508/H508),"0")</f>
        <v>3.8461538461538464E-2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3.7878787878787876</v>
      </c>
      <c r="Y511" s="43">
        <f>IFERROR(Y508/H508,"0")+IFERROR(Y509/H509,"0")+IFERROR(Y510/H510,"0")</f>
        <v>4</v>
      </c>
      <c r="Z511" s="43">
        <f>IFERROR(IF(Z508="",0,Z508),"0")+IFERROR(IF(Z509="",0,Z509),"0")+IFERROR(IF(Z510="",0,Z510),"0")</f>
        <v>4.7840000000000001E-2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20</v>
      </c>
      <c r="Y512" s="43">
        <f>IFERROR(SUM(Y508:Y510),"0")</f>
        <v>21.12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5</v>
      </c>
      <c r="Y515" s="55">
        <f t="shared" si="68"/>
        <v>5.28</v>
      </c>
      <c r="Z515" s="41">
        <f>IFERROR(IF(Y515=0,"",ROUNDUP(Y515/H515,0)*0.01196),"")</f>
        <v>1.196E-2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5.3314393939393936</v>
      </c>
      <c r="BN515" s="78">
        <f t="shared" si="70"/>
        <v>5.63</v>
      </c>
      <c r="BO515" s="78">
        <f t="shared" si="71"/>
        <v>9.1054778554778559E-3</v>
      </c>
      <c r="BP515" s="78">
        <f t="shared" si="72"/>
        <v>9.6153846153846159E-3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15.994318181818182</v>
      </c>
      <c r="BN516" s="78">
        <f t="shared" si="70"/>
        <v>16.889999999999997</v>
      </c>
      <c r="BO516" s="78">
        <f t="shared" si="71"/>
        <v>2.7316433566433568E-2</v>
      </c>
      <c r="BP516" s="78">
        <f t="shared" si="72"/>
        <v>2.8846153846153848E-2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3.7878787878787876</v>
      </c>
      <c r="Y521" s="43">
        <f>IFERROR(Y514/H514,"0")+IFERROR(Y515/H515,"0")+IFERROR(Y516/H516,"0")+IFERROR(Y517/H517,"0")+IFERROR(Y518/H518,"0")+IFERROR(Y519/H519,"0")+IFERROR(Y520/H520,"0")</f>
        <v>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4.7840000000000001E-2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20</v>
      </c>
      <c r="Y522" s="43">
        <f>IFERROR(SUM(Y514:Y520),"0")</f>
        <v>21.12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</v>
      </c>
      <c r="Y526" s="55">
        <f>IFERROR(IF(X526="",0,CEILING((X526/$H526),1)*$H526),"")</f>
        <v>12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10.341666666666667</v>
      </c>
      <c r="BN526" s="78">
        <f>IFERROR(Y526*I526/H526,"0")</f>
        <v>12.410000000000002</v>
      </c>
      <c r="BO526" s="78">
        <f>IFERROR(1/J526*(X526/H526),"0")</f>
        <v>1.3020833333333334E-2</v>
      </c>
      <c r="BP526" s="78">
        <f>IFERROR(1/J526*(Y526/H526),"0")</f>
        <v>1.5625E-2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0.83333333333333337</v>
      </c>
      <c r="Y527" s="43">
        <f>IFERROR(Y526/H526,"0")</f>
        <v>1</v>
      </c>
      <c r="Z527" s="43">
        <f>IFERROR(IF(Z526="",0,Z526),"0")</f>
        <v>1.898E-2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</v>
      </c>
      <c r="Y528" s="43">
        <f>IFERROR(SUM(Y526:Y526),"0")</f>
        <v>12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2533.5500000000002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2601.0499999999997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2662.4941117154453</v>
      </c>
      <c r="Y552" s="43">
        <f>IFERROR(SUM(BN22:BN548),"0")</f>
        <v>2733.3210000000008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2787.4941117154453</v>
      </c>
      <c r="Y554" s="43">
        <f>GrossWeightTotalR+PalletQtyTotalR*25</f>
        <v>2858.3210000000008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345.53822720489393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354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5.2834899999999996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34.799999999999997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194.4</v>
      </c>
      <c r="F561" s="52">
        <f>IFERROR(Y88*1,"0")+IFERROR(Y89*1,"0")+IFERROR(Y90*1,"0")+IFERROR(Y91*1,"0")+IFERROR(Y95*1,"0")+IFERROR(Y96*1,"0")+IFERROR(Y97*1,"0")+IFERROR(Y98*1,"0")</f>
        <v>52.2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27.450000000000003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9.6000000000000014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10.5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7.1999999999999993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110.4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1233.8999999999999</v>
      </c>
      <c r="U561" s="52">
        <f>IFERROR(Y415*1,"0")+IFERROR(Y416*1,"0")+IFERROR(Y417*1,"0")</f>
        <v>103.5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689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8.4</v>
      </c>
      <c r="Y561" s="52">
        <f>IFERROR(Y484*1,"0")+IFERROR(Y488*1,"0")+IFERROR(Y489*1,"0")+IFERROR(Y490*1,"0")</f>
        <v>2.1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105.60000000000001</v>
      </c>
      <c r="AA561" s="52">
        <f>IFERROR(Y526*1,"0")+IFERROR(Y530*1,"0")+IFERROR(Y534*1,"0")+IFERROR(Y538*1,"0")+IFERROR(Y542*1,"0")+IFERROR(Y543*1,"0")</f>
        <v>12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2026-07-27T07:58:49Z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