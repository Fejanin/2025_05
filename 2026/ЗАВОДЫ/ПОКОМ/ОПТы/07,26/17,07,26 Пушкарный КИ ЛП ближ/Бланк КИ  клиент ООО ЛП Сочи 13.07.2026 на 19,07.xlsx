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2100" yWindow="345" windowWidth="24330" windowHeight="1494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/>
  <c r="X532"/>
  <c r="BO531"/>
  <c r="BM531"/>
  <c r="Y531"/>
  <c r="AB544" s="1"/>
  <c r="P531"/>
  <c r="X528"/>
  <c r="X527"/>
  <c r="BO526"/>
  <c r="BM526"/>
  <c r="Y526"/>
  <c r="BP526" s="1"/>
  <c r="P526"/>
  <c r="BO525"/>
  <c r="BM525"/>
  <c r="Y525"/>
  <c r="BP525" s="1"/>
  <c r="P525"/>
  <c r="X523"/>
  <c r="X522"/>
  <c r="BO521"/>
  <c r="BM521"/>
  <c r="Y521"/>
  <c r="P521"/>
  <c r="X519"/>
  <c r="X518"/>
  <c r="BO517"/>
  <c r="BM517"/>
  <c r="Y517"/>
  <c r="P517"/>
  <c r="BP516"/>
  <c r="BO516"/>
  <c r="BM516"/>
  <c r="Y516"/>
  <c r="BN516" s="1"/>
  <c r="P516"/>
  <c r="X514"/>
  <c r="X513"/>
  <c r="BO512"/>
  <c r="BM512"/>
  <c r="Y512"/>
  <c r="Z512" s="1"/>
  <c r="Z513" s="1"/>
  <c r="P512"/>
  <c r="X510"/>
  <c r="X509"/>
  <c r="BO508"/>
  <c r="BM508"/>
  <c r="Y508"/>
  <c r="P508"/>
  <c r="X504"/>
  <c r="X503"/>
  <c r="BP502"/>
  <c r="BO502"/>
  <c r="BM502"/>
  <c r="Y502"/>
  <c r="BN502" s="1"/>
  <c r="P502"/>
  <c r="BO501"/>
  <c r="BM501"/>
  <c r="Y501"/>
  <c r="BP501" s="1"/>
  <c r="P501"/>
  <c r="BO500"/>
  <c r="BM500"/>
  <c r="Y500"/>
  <c r="P500"/>
  <c r="BO499"/>
  <c r="BN499"/>
  <c r="BM499"/>
  <c r="Y499"/>
  <c r="Z499" s="1"/>
  <c r="P499"/>
  <c r="BO498"/>
  <c r="BM498"/>
  <c r="Y498"/>
  <c r="P498"/>
  <c r="BO497"/>
  <c r="BN497"/>
  <c r="BM497"/>
  <c r="Z497"/>
  <c r="Y497"/>
  <c r="BP497" s="1"/>
  <c r="P497"/>
  <c r="BO496"/>
  <c r="BM496"/>
  <c r="Y496"/>
  <c r="BP496" s="1"/>
  <c r="P496"/>
  <c r="Y494"/>
  <c r="X494"/>
  <c r="X493"/>
  <c r="BP492"/>
  <c r="BO492"/>
  <c r="BM492"/>
  <c r="Y492"/>
  <c r="P492"/>
  <c r="BO491"/>
  <c r="BM491"/>
  <c r="Y491"/>
  <c r="Y493" s="1"/>
  <c r="P491"/>
  <c r="BO490"/>
  <c r="BM490"/>
  <c r="Z490"/>
  <c r="Y490"/>
  <c r="BP490" s="1"/>
  <c r="P490"/>
  <c r="X488"/>
  <c r="X487"/>
  <c r="BO486"/>
  <c r="BM486"/>
  <c r="Y486"/>
  <c r="Z486" s="1"/>
  <c r="P486"/>
  <c r="BO485"/>
  <c r="BN485"/>
  <c r="BM485"/>
  <c r="Y485"/>
  <c r="Z485" s="1"/>
  <c r="P485"/>
  <c r="BO484"/>
  <c r="BM484"/>
  <c r="Y484"/>
  <c r="BP484" s="1"/>
  <c r="P484"/>
  <c r="BO483"/>
  <c r="BM483"/>
  <c r="Y483"/>
  <c r="BN483" s="1"/>
  <c r="P483"/>
  <c r="BO482"/>
  <c r="BN482"/>
  <c r="BM482"/>
  <c r="Y482"/>
  <c r="Z482" s="1"/>
  <c r="P482"/>
  <c r="BO481"/>
  <c r="BM481"/>
  <c r="Y481"/>
  <c r="BP481" s="1"/>
  <c r="P481"/>
  <c r="BO480"/>
  <c r="BM480"/>
  <c r="Y480"/>
  <c r="P480"/>
  <c r="BO479"/>
  <c r="BN479"/>
  <c r="BM479"/>
  <c r="Y479"/>
  <c r="Z479" s="1"/>
  <c r="P479"/>
  <c r="BO478"/>
  <c r="BN478"/>
  <c r="BM478"/>
  <c r="Y478"/>
  <c r="P478"/>
  <c r="Y474"/>
  <c r="X474"/>
  <c r="X473"/>
  <c r="BO472"/>
  <c r="BM472"/>
  <c r="Y472"/>
  <c r="BP472" s="1"/>
  <c r="P472"/>
  <c r="BO471"/>
  <c r="BN471"/>
  <c r="BM471"/>
  <c r="Y471"/>
  <c r="P471"/>
  <c r="BO470"/>
  <c r="BN470"/>
  <c r="BM470"/>
  <c r="Y470"/>
  <c r="Z470" s="1"/>
  <c r="P470"/>
  <c r="X468"/>
  <c r="X467"/>
  <c r="BO466"/>
  <c r="BM466"/>
  <c r="Y466"/>
  <c r="Z466" s="1"/>
  <c r="Z467" s="1"/>
  <c r="P466"/>
  <c r="X463"/>
  <c r="X462"/>
  <c r="BO461"/>
  <c r="BM461"/>
  <c r="Y461"/>
  <c r="BP461" s="1"/>
  <c r="P461"/>
  <c r="BO460"/>
  <c r="BM460"/>
  <c r="Z460"/>
  <c r="Y460"/>
  <c r="P460"/>
  <c r="X458"/>
  <c r="X457"/>
  <c r="BO456"/>
  <c r="BM456"/>
  <c r="Y456"/>
  <c r="BP456" s="1"/>
  <c r="P456"/>
  <c r="BO455"/>
  <c r="BM455"/>
  <c r="Y455"/>
  <c r="Z455" s="1"/>
  <c r="P455"/>
  <c r="BO454"/>
  <c r="BN454"/>
  <c r="BM454"/>
  <c r="Y454"/>
  <c r="Z454" s="1"/>
  <c r="P454"/>
  <c r="BO453"/>
  <c r="BM453"/>
  <c r="Y453"/>
  <c r="P453"/>
  <c r="BO452"/>
  <c r="BN452"/>
  <c r="BM452"/>
  <c r="Y452"/>
  <c r="BP452" s="1"/>
  <c r="P452"/>
  <c r="BO451"/>
  <c r="BM451"/>
  <c r="Y451"/>
  <c r="P451"/>
  <c r="Y447"/>
  <c r="X447"/>
  <c r="X446"/>
  <c r="BP445"/>
  <c r="BO445"/>
  <c r="BM445"/>
  <c r="Y445"/>
  <c r="P445"/>
  <c r="BO444"/>
  <c r="BM444"/>
  <c r="Y444"/>
  <c r="Y446" s="1"/>
  <c r="P444"/>
  <c r="BO443"/>
  <c r="BM443"/>
  <c r="Z443"/>
  <c r="Y443"/>
  <c r="BP443" s="1"/>
  <c r="P443"/>
  <c r="X441"/>
  <c r="X440"/>
  <c r="BO439"/>
  <c r="BM439"/>
  <c r="Y439"/>
  <c r="Y441" s="1"/>
  <c r="P439"/>
  <c r="X437"/>
  <c r="Y436"/>
  <c r="X436"/>
  <c r="BO435"/>
  <c r="BN435"/>
  <c r="BM435"/>
  <c r="Y435"/>
  <c r="BP435" s="1"/>
  <c r="P435"/>
  <c r="BP434"/>
  <c r="BO434"/>
  <c r="BM434"/>
  <c r="Z434"/>
  <c r="Y434"/>
  <c r="BN434" s="1"/>
  <c r="P434"/>
  <c r="X431"/>
  <c r="X430"/>
  <c r="BP429"/>
  <c r="BO429"/>
  <c r="BM429"/>
  <c r="Y429"/>
  <c r="P429"/>
  <c r="X427"/>
  <c r="X426"/>
  <c r="BP425"/>
  <c r="BO425"/>
  <c r="BM425"/>
  <c r="Y425"/>
  <c r="P425"/>
  <c r="BO424"/>
  <c r="BM424"/>
  <c r="Y424"/>
  <c r="P424"/>
  <c r="X422"/>
  <c r="X421"/>
  <c r="BO420"/>
  <c r="BM420"/>
  <c r="Y420"/>
  <c r="BN420" s="1"/>
  <c r="P420"/>
  <c r="BO419"/>
  <c r="BM419"/>
  <c r="Z419"/>
  <c r="Y419"/>
  <c r="BP419" s="1"/>
  <c r="P419"/>
  <c r="BO418"/>
  <c r="BM418"/>
  <c r="Y418"/>
  <c r="Z418" s="1"/>
  <c r="P418"/>
  <c r="X416"/>
  <c r="X415"/>
  <c r="BO414"/>
  <c r="BM414"/>
  <c r="Y414"/>
  <c r="BP414" s="1"/>
  <c r="P414"/>
  <c r="BO413"/>
  <c r="BN413"/>
  <c r="BM413"/>
  <c r="Y413"/>
  <c r="Z413" s="1"/>
  <c r="P413"/>
  <c r="BP412"/>
  <c r="BO412"/>
  <c r="BM412"/>
  <c r="Z412"/>
  <c r="Y412"/>
  <c r="BN412" s="1"/>
  <c r="P412"/>
  <c r="BO411"/>
  <c r="BM411"/>
  <c r="Y411"/>
  <c r="BN411" s="1"/>
  <c r="P411"/>
  <c r="BO410"/>
  <c r="BM410"/>
  <c r="Z410"/>
  <c r="Y410"/>
  <c r="BN410" s="1"/>
  <c r="P410"/>
  <c r="BO409"/>
  <c r="BM409"/>
  <c r="Y409"/>
  <c r="P409"/>
  <c r="BO408"/>
  <c r="BM408"/>
  <c r="Y408"/>
  <c r="Z408" s="1"/>
  <c r="P408"/>
  <c r="BO407"/>
  <c r="BM407"/>
  <c r="Y407"/>
  <c r="P407"/>
  <c r="X403"/>
  <c r="X402"/>
  <c r="BP401"/>
  <c r="BO401"/>
  <c r="BM401"/>
  <c r="Z401"/>
  <c r="Y401"/>
  <c r="BN401" s="1"/>
  <c r="P401"/>
  <c r="BO400"/>
  <c r="BM400"/>
  <c r="Y400"/>
  <c r="BN400" s="1"/>
  <c r="P400"/>
  <c r="BO399"/>
  <c r="BM399"/>
  <c r="Y399"/>
  <c r="BN399" s="1"/>
  <c r="P399"/>
  <c r="X396"/>
  <c r="X395"/>
  <c r="BP394"/>
  <c r="BO394"/>
  <c r="BM394"/>
  <c r="Y394"/>
  <c r="P394"/>
  <c r="BO393"/>
  <c r="BM393"/>
  <c r="Y393"/>
  <c r="P393"/>
  <c r="BO392"/>
  <c r="BM392"/>
  <c r="Y392"/>
  <c r="BN392" s="1"/>
  <c r="P392"/>
  <c r="X390"/>
  <c r="X389"/>
  <c r="BO388"/>
  <c r="BM388"/>
  <c r="Y388"/>
  <c r="P388"/>
  <c r="BO387"/>
  <c r="BN387"/>
  <c r="BM387"/>
  <c r="Y387"/>
  <c r="Z387" s="1"/>
  <c r="P387"/>
  <c r="BO386"/>
  <c r="BM386"/>
  <c r="Y386"/>
  <c r="P386"/>
  <c r="BO385"/>
  <c r="BN385"/>
  <c r="BM385"/>
  <c r="Y385"/>
  <c r="P385"/>
  <c r="X383"/>
  <c r="X382"/>
  <c r="BO381"/>
  <c r="BM381"/>
  <c r="Y381"/>
  <c r="Z381" s="1"/>
  <c r="P381"/>
  <c r="BO380"/>
  <c r="BM380"/>
  <c r="Y380"/>
  <c r="P380"/>
  <c r="BO379"/>
  <c r="BM379"/>
  <c r="Y379"/>
  <c r="P379"/>
  <c r="X377"/>
  <c r="X376"/>
  <c r="BP375"/>
  <c r="BO375"/>
  <c r="BM375"/>
  <c r="Y375"/>
  <c r="P375"/>
  <c r="BO374"/>
  <c r="BM374"/>
  <c r="Y374"/>
  <c r="BP374" s="1"/>
  <c r="P374"/>
  <c r="BO373"/>
  <c r="BM373"/>
  <c r="Y373"/>
  <c r="Z373" s="1"/>
  <c r="P373"/>
  <c r="BO372"/>
  <c r="BM372"/>
  <c r="Y372"/>
  <c r="BP372" s="1"/>
  <c r="P372"/>
  <c r="X370"/>
  <c r="X369"/>
  <c r="BO368"/>
  <c r="BN368"/>
  <c r="BM368"/>
  <c r="Y368"/>
  <c r="BP368" s="1"/>
  <c r="P368"/>
  <c r="BP367"/>
  <c r="BO367"/>
  <c r="BM367"/>
  <c r="Z367"/>
  <c r="Y367"/>
  <c r="BN367" s="1"/>
  <c r="P367"/>
  <c r="BO366"/>
  <c r="BM366"/>
  <c r="Y366"/>
  <c r="BN366" s="1"/>
  <c r="P366"/>
  <c r="BO365"/>
  <c r="BM365"/>
  <c r="Z365"/>
  <c r="Y365"/>
  <c r="BN365" s="1"/>
  <c r="P365"/>
  <c r="BO364"/>
  <c r="BM364"/>
  <c r="Y364"/>
  <c r="P364"/>
  <c r="BO363"/>
  <c r="BM363"/>
  <c r="Y363"/>
  <c r="Z363" s="1"/>
  <c r="P363"/>
  <c r="BO362"/>
  <c r="BM362"/>
  <c r="Y362"/>
  <c r="P362"/>
  <c r="X360"/>
  <c r="X359"/>
  <c r="BP358"/>
  <c r="BO358"/>
  <c r="BM358"/>
  <c r="Z358"/>
  <c r="Y358"/>
  <c r="BN358" s="1"/>
  <c r="P358"/>
  <c r="BO357"/>
  <c r="BM357"/>
  <c r="Y357"/>
  <c r="BN357" s="1"/>
  <c r="P357"/>
  <c r="BO356"/>
  <c r="BM356"/>
  <c r="Y356"/>
  <c r="BN356" s="1"/>
  <c r="P356"/>
  <c r="BO355"/>
  <c r="BM355"/>
  <c r="Z355"/>
  <c r="Y355"/>
  <c r="BN355" s="1"/>
  <c r="P355"/>
  <c r="BO354"/>
  <c r="BM354"/>
  <c r="Y354"/>
  <c r="BP354" s="1"/>
  <c r="P354"/>
  <c r="BO353"/>
  <c r="BM353"/>
  <c r="Y353"/>
  <c r="Z353" s="1"/>
  <c r="P353"/>
  <c r="X350"/>
  <c r="X349"/>
  <c r="BO348"/>
  <c r="BM348"/>
  <c r="Y348"/>
  <c r="BP348" s="1"/>
  <c r="P348"/>
  <c r="BO347"/>
  <c r="BM347"/>
  <c r="Y347"/>
  <c r="P347"/>
  <c r="BO346"/>
  <c r="BN346"/>
  <c r="BM346"/>
  <c r="Y346"/>
  <c r="P346"/>
  <c r="Y343"/>
  <c r="X343"/>
  <c r="X342"/>
  <c r="BO341"/>
  <c r="BM341"/>
  <c r="Z341"/>
  <c r="Y341"/>
  <c r="P341"/>
  <c r="BO340"/>
  <c r="BN340"/>
  <c r="BM340"/>
  <c r="Y340"/>
  <c r="Z340" s="1"/>
  <c r="P340"/>
  <c r="X338"/>
  <c r="X337"/>
  <c r="BP336"/>
  <c r="BO336"/>
  <c r="BM336"/>
  <c r="Y336"/>
  <c r="P336"/>
  <c r="BO335"/>
  <c r="BM335"/>
  <c r="Y335"/>
  <c r="BP335" s="1"/>
  <c r="P335"/>
  <c r="BO334"/>
  <c r="BN334"/>
  <c r="BM334"/>
  <c r="Z334"/>
  <c r="Y334"/>
  <c r="BP334" s="1"/>
  <c r="P334"/>
  <c r="BO333"/>
  <c r="BM333"/>
  <c r="Y333"/>
  <c r="P333"/>
  <c r="BO332"/>
  <c r="BM332"/>
  <c r="Y332"/>
  <c r="P332"/>
  <c r="X329"/>
  <c r="X328"/>
  <c r="BO327"/>
  <c r="BM327"/>
  <c r="Y327"/>
  <c r="P327"/>
  <c r="BO326"/>
  <c r="BM326"/>
  <c r="Y326"/>
  <c r="Z326" s="1"/>
  <c r="P326"/>
  <c r="BO325"/>
  <c r="BN325"/>
  <c r="BM325"/>
  <c r="Y325"/>
  <c r="Z325" s="1"/>
  <c r="P325"/>
  <c r="X322"/>
  <c r="X321"/>
  <c r="BO320"/>
  <c r="BN320"/>
  <c r="BM320"/>
  <c r="Y320"/>
  <c r="BP320" s="1"/>
  <c r="P320"/>
  <c r="BO319"/>
  <c r="BM319"/>
  <c r="Y319"/>
  <c r="BP319" s="1"/>
  <c r="P319"/>
  <c r="BO318"/>
  <c r="BM318"/>
  <c r="Y318"/>
  <c r="P318"/>
  <c r="BO317"/>
  <c r="BM317"/>
  <c r="Y317"/>
  <c r="Z317" s="1"/>
  <c r="P317"/>
  <c r="BO316"/>
  <c r="BM316"/>
  <c r="Y316"/>
  <c r="P316"/>
  <c r="X313"/>
  <c r="X312"/>
  <c r="BP311"/>
  <c r="BO311"/>
  <c r="BM311"/>
  <c r="Z311"/>
  <c r="Y311"/>
  <c r="BN311" s="1"/>
  <c r="P311"/>
  <c r="BO310"/>
  <c r="BM310"/>
  <c r="Y310"/>
  <c r="BN310" s="1"/>
  <c r="P310"/>
  <c r="BO309"/>
  <c r="BN309"/>
  <c r="BM309"/>
  <c r="Y309"/>
  <c r="P309"/>
  <c r="X307"/>
  <c r="Y306"/>
  <c r="X306"/>
  <c r="BO305"/>
  <c r="BN305"/>
  <c r="BM305"/>
  <c r="Y305"/>
  <c r="Z305" s="1"/>
  <c r="Z306" s="1"/>
  <c r="P305"/>
  <c r="X303"/>
  <c r="Y302"/>
  <c r="X302"/>
  <c r="BO301"/>
  <c r="BN301"/>
  <c r="BM301"/>
  <c r="Y301"/>
  <c r="Z301" s="1"/>
  <c r="Z302" s="1"/>
  <c r="P301"/>
  <c r="X299"/>
  <c r="X298"/>
  <c r="BO297"/>
  <c r="BM297"/>
  <c r="Y297"/>
  <c r="BN297" s="1"/>
  <c r="P297"/>
  <c r="BO296"/>
  <c r="BM296"/>
  <c r="Y296"/>
  <c r="BP296" s="1"/>
  <c r="P296"/>
  <c r="BO295"/>
  <c r="BM295"/>
  <c r="Z295"/>
  <c r="Y295"/>
  <c r="BP295" s="1"/>
  <c r="P295"/>
  <c r="BO294"/>
  <c r="BM294"/>
  <c r="Y294"/>
  <c r="Z294" s="1"/>
  <c r="P294"/>
  <c r="BO293"/>
  <c r="BN293"/>
  <c r="BM293"/>
  <c r="Y293"/>
  <c r="BP293" s="1"/>
  <c r="P293"/>
  <c r="BO292"/>
  <c r="BM292"/>
  <c r="Y292"/>
  <c r="Z292" s="1"/>
  <c r="P292"/>
  <c r="BP291"/>
  <c r="BO291"/>
  <c r="BM291"/>
  <c r="Y291"/>
  <c r="P291"/>
  <c r="X288"/>
  <c r="X287"/>
  <c r="BO286"/>
  <c r="BM286"/>
  <c r="Y286"/>
  <c r="BN286" s="1"/>
  <c r="P286"/>
  <c r="BO285"/>
  <c r="BM285"/>
  <c r="Y285"/>
  <c r="BP285" s="1"/>
  <c r="P285"/>
  <c r="X283"/>
  <c r="X282"/>
  <c r="BO281"/>
  <c r="BM281"/>
  <c r="Y281"/>
  <c r="P281"/>
  <c r="BP280"/>
  <c r="BO280"/>
  <c r="BN280"/>
  <c r="BM280"/>
  <c r="Z280"/>
  <c r="Y280"/>
  <c r="P280"/>
  <c r="BO279"/>
  <c r="BM279"/>
  <c r="Y279"/>
  <c r="BP279" s="1"/>
  <c r="P279"/>
  <c r="BP278"/>
  <c r="BO278"/>
  <c r="BM278"/>
  <c r="Z278"/>
  <c r="Y278"/>
  <c r="BN278" s="1"/>
  <c r="P278"/>
  <c r="BO277"/>
  <c r="BM277"/>
  <c r="Y277"/>
  <c r="BN277" s="1"/>
  <c r="P277"/>
  <c r="BO276"/>
  <c r="BN276"/>
  <c r="BM276"/>
  <c r="Y276"/>
  <c r="P276"/>
  <c r="BO275"/>
  <c r="BM275"/>
  <c r="Y275"/>
  <c r="BP275" s="1"/>
  <c r="P275"/>
  <c r="BO274"/>
  <c r="BM274"/>
  <c r="Y274"/>
  <c r="BP274" s="1"/>
  <c r="P274"/>
  <c r="BO273"/>
  <c r="BM273"/>
  <c r="Y273"/>
  <c r="Z273" s="1"/>
  <c r="P273"/>
  <c r="BO272"/>
  <c r="BN272"/>
  <c r="BM272"/>
  <c r="Y272"/>
  <c r="BP272" s="1"/>
  <c r="P272"/>
  <c r="BO271"/>
  <c r="BM271"/>
  <c r="Y271"/>
  <c r="BP271" s="1"/>
  <c r="P271"/>
  <c r="BO270"/>
  <c r="BM270"/>
  <c r="Y270"/>
  <c r="P270"/>
  <c r="X268"/>
  <c r="X267"/>
  <c r="BO266"/>
  <c r="BM266"/>
  <c r="Y266"/>
  <c r="BN266" s="1"/>
  <c r="P266"/>
  <c r="BO265"/>
  <c r="BM265"/>
  <c r="Y265"/>
  <c r="BP265" s="1"/>
  <c r="P265"/>
  <c r="BO264"/>
  <c r="BM264"/>
  <c r="Z264"/>
  <c r="Y264"/>
  <c r="BP264" s="1"/>
  <c r="P264"/>
  <c r="BO263"/>
  <c r="BM263"/>
  <c r="Y263"/>
  <c r="Z263" s="1"/>
  <c r="P263"/>
  <c r="BO262"/>
  <c r="BN262"/>
  <c r="BM262"/>
  <c r="Y262"/>
  <c r="BP262" s="1"/>
  <c r="P262"/>
  <c r="BO261"/>
  <c r="BM261"/>
  <c r="Y261"/>
  <c r="Z261" s="1"/>
  <c r="P261"/>
  <c r="BP260"/>
  <c r="BO260"/>
  <c r="BM260"/>
  <c r="Y260"/>
  <c r="P260"/>
  <c r="BO259"/>
  <c r="BM259"/>
  <c r="Y259"/>
  <c r="P259"/>
  <c r="X257"/>
  <c r="X256"/>
  <c r="BO255"/>
  <c r="BM255"/>
  <c r="Y255"/>
  <c r="BP255" s="1"/>
  <c r="P255"/>
  <c r="BO254"/>
  <c r="BM254"/>
  <c r="Y254"/>
  <c r="P254"/>
  <c r="X252"/>
  <c r="Y251"/>
  <c r="X251"/>
  <c r="BO250"/>
  <c r="BN250"/>
  <c r="BM250"/>
  <c r="Y250"/>
  <c r="BP250" s="1"/>
  <c r="P250"/>
  <c r="BO249"/>
  <c r="BM249"/>
  <c r="Y249"/>
  <c r="BP249" s="1"/>
  <c r="P249"/>
  <c r="Y246"/>
  <c r="X246"/>
  <c r="X245"/>
  <c r="BP244"/>
  <c r="BO244"/>
  <c r="BM244"/>
  <c r="Y244"/>
  <c r="P244"/>
  <c r="X242"/>
  <c r="X241"/>
  <c r="BO240"/>
  <c r="BM240"/>
  <c r="Y240"/>
  <c r="Z240" s="1"/>
  <c r="P240"/>
  <c r="BO239"/>
  <c r="BM239"/>
  <c r="Y239"/>
  <c r="P239"/>
  <c r="BO238"/>
  <c r="BM238"/>
  <c r="Y238"/>
  <c r="Z238" s="1"/>
  <c r="P238"/>
  <c r="X236"/>
  <c r="X235"/>
  <c r="BO234"/>
  <c r="BM234"/>
  <c r="Y234"/>
  <c r="BN234" s="1"/>
  <c r="P234"/>
  <c r="BO233"/>
  <c r="BM233"/>
  <c r="Y233"/>
  <c r="P233"/>
  <c r="BO232"/>
  <c r="BM232"/>
  <c r="Y232"/>
  <c r="BP232" s="1"/>
  <c r="P232"/>
  <c r="BO231"/>
  <c r="BM231"/>
  <c r="Z231"/>
  <c r="Y231"/>
  <c r="BN231" s="1"/>
  <c r="P231"/>
  <c r="BO230"/>
  <c r="BM230"/>
  <c r="Y230"/>
  <c r="Z230" s="1"/>
  <c r="P230"/>
  <c r="X228"/>
  <c r="X227"/>
  <c r="BO226"/>
  <c r="BM226"/>
  <c r="Y226"/>
  <c r="BP226" s="1"/>
  <c r="P226"/>
  <c r="BO225"/>
  <c r="BN225"/>
  <c r="BM225"/>
  <c r="Z225"/>
  <c r="Y225"/>
  <c r="BP225" s="1"/>
  <c r="P225"/>
  <c r="BP224"/>
  <c r="BO224"/>
  <c r="BM224"/>
  <c r="Z224"/>
  <c r="Y224"/>
  <c r="BN224" s="1"/>
  <c r="P224"/>
  <c r="BO223"/>
  <c r="BM223"/>
  <c r="Z223"/>
  <c r="Y223"/>
  <c r="BN223" s="1"/>
  <c r="P223"/>
  <c r="BO222"/>
  <c r="BM222"/>
  <c r="Y222"/>
  <c r="BP222" s="1"/>
  <c r="P222"/>
  <c r="BO221"/>
  <c r="BM221"/>
  <c r="Z221"/>
  <c r="Y221"/>
  <c r="BN221" s="1"/>
  <c r="P221"/>
  <c r="BO220"/>
  <c r="BM220"/>
  <c r="Y220"/>
  <c r="Z220" s="1"/>
  <c r="P220"/>
  <c r="BO219"/>
  <c r="BM219"/>
  <c r="Y219"/>
  <c r="P219"/>
  <c r="BO218"/>
  <c r="BM218"/>
  <c r="Y218"/>
  <c r="BP218" s="1"/>
  <c r="P218"/>
  <c r="BO217"/>
  <c r="BN217"/>
  <c r="BM217"/>
  <c r="Y217"/>
  <c r="Z217" s="1"/>
  <c r="P217"/>
  <c r="BO216"/>
  <c r="BM216"/>
  <c r="Y216"/>
  <c r="BP216" s="1"/>
  <c r="P216"/>
  <c r="BO215"/>
  <c r="BM215"/>
  <c r="Y215"/>
  <c r="P215"/>
  <c r="BO214"/>
  <c r="BN214"/>
  <c r="BM214"/>
  <c r="Y214"/>
  <c r="Z214" s="1"/>
  <c r="P214"/>
  <c r="BO213"/>
  <c r="BM213"/>
  <c r="Y213"/>
  <c r="P213"/>
  <c r="X211"/>
  <c r="Y210"/>
  <c r="X210"/>
  <c r="BO209"/>
  <c r="BN209"/>
  <c r="BM209"/>
  <c r="Y209"/>
  <c r="BP209" s="1"/>
  <c r="P209"/>
  <c r="X206"/>
  <c r="X205"/>
  <c r="BO204"/>
  <c r="BN204"/>
  <c r="BM204"/>
  <c r="Y204"/>
  <c r="BP204" s="1"/>
  <c r="P204"/>
  <c r="BP203"/>
  <c r="BO203"/>
  <c r="BM203"/>
  <c r="Z203"/>
  <c r="Y203"/>
  <c r="BN203" s="1"/>
  <c r="P203"/>
  <c r="BO202"/>
  <c r="BM202"/>
  <c r="Y202"/>
  <c r="BN202" s="1"/>
  <c r="P202"/>
  <c r="BO201"/>
  <c r="BM201"/>
  <c r="Y201"/>
  <c r="BP201" s="1"/>
  <c r="P201"/>
  <c r="BO200"/>
  <c r="BM200"/>
  <c r="Y200"/>
  <c r="BN200" s="1"/>
  <c r="P200"/>
  <c r="BO199"/>
  <c r="BM199"/>
  <c r="Y199"/>
  <c r="Z199" s="1"/>
  <c r="P199"/>
  <c r="BO198"/>
  <c r="BM198"/>
  <c r="Y198"/>
  <c r="P198"/>
  <c r="X194"/>
  <c r="X193"/>
  <c r="BO192"/>
  <c r="BM192"/>
  <c r="Y192"/>
  <c r="Z192" s="1"/>
  <c r="Z193" s="1"/>
  <c r="P192"/>
  <c r="X190"/>
  <c r="X189"/>
  <c r="BO188"/>
  <c r="BM188"/>
  <c r="Y188"/>
  <c r="Y190" s="1"/>
  <c r="P188"/>
  <c r="BP187"/>
  <c r="BO187"/>
  <c r="BN187"/>
  <c r="BM187"/>
  <c r="Z187"/>
  <c r="Y187"/>
  <c r="Y189" s="1"/>
  <c r="P187"/>
  <c r="X185"/>
  <c r="X184"/>
  <c r="BO183"/>
  <c r="BM183"/>
  <c r="Y183"/>
  <c r="Z183" s="1"/>
  <c r="P183"/>
  <c r="BO182"/>
  <c r="BN182"/>
  <c r="BM182"/>
  <c r="Y182"/>
  <c r="Z182" s="1"/>
  <c r="P182"/>
  <c r="BO181"/>
  <c r="BM181"/>
  <c r="Y181"/>
  <c r="BP181" s="1"/>
  <c r="P181"/>
  <c r="X179"/>
  <c r="X178"/>
  <c r="BO177"/>
  <c r="BM177"/>
  <c r="Y177"/>
  <c r="BP177" s="1"/>
  <c r="P177"/>
  <c r="BO176"/>
  <c r="BM176"/>
  <c r="Z176"/>
  <c r="Y176"/>
  <c r="BN176" s="1"/>
  <c r="P176"/>
  <c r="BO175"/>
  <c r="BM175"/>
  <c r="Y175"/>
  <c r="Z175" s="1"/>
  <c r="P175"/>
  <c r="BO174"/>
  <c r="BN174"/>
  <c r="BM174"/>
  <c r="Y174"/>
  <c r="BP174" s="1"/>
  <c r="P174"/>
  <c r="BO173"/>
  <c r="BM173"/>
  <c r="Y173"/>
  <c r="Z173" s="1"/>
  <c r="P173"/>
  <c r="BP172"/>
  <c r="BO172"/>
  <c r="BM172"/>
  <c r="Y172"/>
  <c r="P172"/>
  <c r="BO171"/>
  <c r="BM171"/>
  <c r="Y171"/>
  <c r="BP171" s="1"/>
  <c r="P171"/>
  <c r="BO170"/>
  <c r="BM170"/>
  <c r="Y170"/>
  <c r="BP170" s="1"/>
  <c r="P170"/>
  <c r="BP169"/>
  <c r="BO169"/>
  <c r="BM169"/>
  <c r="Y169"/>
  <c r="P169"/>
  <c r="BO168"/>
  <c r="BM168"/>
  <c r="Y168"/>
  <c r="BN168" s="1"/>
  <c r="P168"/>
  <c r="BO167"/>
  <c r="BM167"/>
  <c r="Y167"/>
  <c r="P167"/>
  <c r="X165"/>
  <c r="X164"/>
  <c r="BO163"/>
  <c r="BM163"/>
  <c r="Y163"/>
  <c r="Y165" s="1"/>
  <c r="P163"/>
  <c r="Y161"/>
  <c r="X161"/>
  <c r="X160"/>
  <c r="BP159"/>
  <c r="BO159"/>
  <c r="BM159"/>
  <c r="Z159"/>
  <c r="Y159"/>
  <c r="BN159" s="1"/>
  <c r="P159"/>
  <c r="BO158"/>
  <c r="BM158"/>
  <c r="Z158"/>
  <c r="Z160" s="1"/>
  <c r="Y158"/>
  <c r="P158"/>
  <c r="X155"/>
  <c r="X154"/>
  <c r="BO153"/>
  <c r="BM153"/>
  <c r="Y153"/>
  <c r="P153"/>
  <c r="BO152"/>
  <c r="BM152"/>
  <c r="Y152"/>
  <c r="Y155" s="1"/>
  <c r="P152"/>
  <c r="BO151"/>
  <c r="BN151"/>
  <c r="BM151"/>
  <c r="Y151"/>
  <c r="P151"/>
  <c r="BO150"/>
  <c r="BM150"/>
  <c r="Y150"/>
  <c r="P150"/>
  <c r="X147"/>
  <c r="X146"/>
  <c r="BO145"/>
  <c r="BM145"/>
  <c r="Y145"/>
  <c r="P145"/>
  <c r="BO144"/>
  <c r="BM144"/>
  <c r="Y144"/>
  <c r="P144"/>
  <c r="X142"/>
  <c r="X141"/>
  <c r="BO140"/>
  <c r="BM140"/>
  <c r="Y140"/>
  <c r="P140"/>
  <c r="BO139"/>
  <c r="BM139"/>
  <c r="Y139"/>
  <c r="BP139" s="1"/>
  <c r="P139"/>
  <c r="X137"/>
  <c r="X136"/>
  <c r="BO135"/>
  <c r="BM135"/>
  <c r="Y135"/>
  <c r="BN135" s="1"/>
  <c r="P135"/>
  <c r="BO134"/>
  <c r="BN134"/>
  <c r="BM134"/>
  <c r="Y134"/>
  <c r="P134"/>
  <c r="X131"/>
  <c r="Y130"/>
  <c r="X130"/>
  <c r="BO129"/>
  <c r="BN129"/>
  <c r="BM129"/>
  <c r="Y129"/>
  <c r="Z129" s="1"/>
  <c r="Z130" s="1"/>
  <c r="P129"/>
  <c r="X127"/>
  <c r="Y126"/>
  <c r="X126"/>
  <c r="BO125"/>
  <c r="BN125"/>
  <c r="BM125"/>
  <c r="Y125"/>
  <c r="Z125" s="1"/>
  <c r="P125"/>
  <c r="BO124"/>
  <c r="BM124"/>
  <c r="Y124"/>
  <c r="BP124" s="1"/>
  <c r="P124"/>
  <c r="BO123"/>
  <c r="BM123"/>
  <c r="Y123"/>
  <c r="P123"/>
  <c r="BO122"/>
  <c r="BN122"/>
  <c r="BM122"/>
  <c r="Y122"/>
  <c r="Z122" s="1"/>
  <c r="P122"/>
  <c r="X120"/>
  <c r="X119"/>
  <c r="BO118"/>
  <c r="BM118"/>
  <c r="Y118"/>
  <c r="Z118" s="1"/>
  <c r="P118"/>
  <c r="BO117"/>
  <c r="BN117"/>
  <c r="BM117"/>
  <c r="Y117"/>
  <c r="BP117" s="1"/>
  <c r="P117"/>
  <c r="BO116"/>
  <c r="BM116"/>
  <c r="Y116"/>
  <c r="Z116" s="1"/>
  <c r="P116"/>
  <c r="BP115"/>
  <c r="BO115"/>
  <c r="BM115"/>
  <c r="Y115"/>
  <c r="P115"/>
  <c r="BO114"/>
  <c r="BM114"/>
  <c r="Y114"/>
  <c r="BP114" s="1"/>
  <c r="P114"/>
  <c r="BO113"/>
  <c r="BM113"/>
  <c r="Y113"/>
  <c r="Z113" s="1"/>
  <c r="P113"/>
  <c r="BO112"/>
  <c r="BN112"/>
  <c r="BM112"/>
  <c r="Y112"/>
  <c r="Z112" s="1"/>
  <c r="P112"/>
  <c r="X110"/>
  <c r="X109"/>
  <c r="BO108"/>
  <c r="BM108"/>
  <c r="Y108"/>
  <c r="Z108" s="1"/>
  <c r="P108"/>
  <c r="BO107"/>
  <c r="BN107"/>
  <c r="BM107"/>
  <c r="Y107"/>
  <c r="BP107" s="1"/>
  <c r="P107"/>
  <c r="BO106"/>
  <c r="BM106"/>
  <c r="Y106"/>
  <c r="BP106" s="1"/>
  <c r="P106"/>
  <c r="BO105"/>
  <c r="BM105"/>
  <c r="Y105"/>
  <c r="Z105" s="1"/>
  <c r="P105"/>
  <c r="BO104"/>
  <c r="BM104"/>
  <c r="Y104"/>
  <c r="BP104" s="1"/>
  <c r="P104"/>
  <c r="BO103"/>
  <c r="BN103"/>
  <c r="BM103"/>
  <c r="Z103"/>
  <c r="Y103"/>
  <c r="P103"/>
  <c r="X100"/>
  <c r="X99"/>
  <c r="BO98"/>
  <c r="BM98"/>
  <c r="Z98"/>
  <c r="Y98"/>
  <c r="BN98" s="1"/>
  <c r="P98"/>
  <c r="BO97"/>
  <c r="BM97"/>
  <c r="Y97"/>
  <c r="Z97" s="1"/>
  <c r="P97"/>
  <c r="BO96"/>
  <c r="BN96"/>
  <c r="BM96"/>
  <c r="Y96"/>
  <c r="BP96" s="1"/>
  <c r="P96"/>
  <c r="BO95"/>
  <c r="BM95"/>
  <c r="Y95"/>
  <c r="Y100" s="1"/>
  <c r="P95"/>
  <c r="X93"/>
  <c r="X92"/>
  <c r="BO91"/>
  <c r="BM91"/>
  <c r="Y91"/>
  <c r="BN91" s="1"/>
  <c r="P91"/>
  <c r="BO90"/>
  <c r="BN90"/>
  <c r="BM90"/>
  <c r="Y90"/>
  <c r="BP90" s="1"/>
  <c r="P90"/>
  <c r="BO89"/>
  <c r="BM89"/>
  <c r="Y89"/>
  <c r="BP89" s="1"/>
  <c r="P89"/>
  <c r="BO88"/>
  <c r="BM88"/>
  <c r="Z88"/>
  <c r="Y88"/>
  <c r="P88"/>
  <c r="X85"/>
  <c r="X84"/>
  <c r="BO83"/>
  <c r="BM83"/>
  <c r="Y83"/>
  <c r="BN83" s="1"/>
  <c r="P83"/>
  <c r="BO82"/>
  <c r="BM82"/>
  <c r="Y82"/>
  <c r="BP82" s="1"/>
  <c r="P82"/>
  <c r="Y80"/>
  <c r="X80"/>
  <c r="X79"/>
  <c r="BO78"/>
  <c r="BN78"/>
  <c r="BM78"/>
  <c r="Y78"/>
  <c r="Z78" s="1"/>
  <c r="P78"/>
  <c r="BO77"/>
  <c r="BM77"/>
  <c r="Y77"/>
  <c r="Y79" s="1"/>
  <c r="P77"/>
  <c r="X75"/>
  <c r="X74"/>
  <c r="BO73"/>
  <c r="BM73"/>
  <c r="Y73"/>
  <c r="BP73" s="1"/>
  <c r="P73"/>
  <c r="BO72"/>
  <c r="BM72"/>
  <c r="Y72"/>
  <c r="Z72" s="1"/>
  <c r="P72"/>
  <c r="BO71"/>
  <c r="BM71"/>
  <c r="Y71"/>
  <c r="Z71" s="1"/>
  <c r="P71"/>
  <c r="BO70"/>
  <c r="BM70"/>
  <c r="Y70"/>
  <c r="BP70" s="1"/>
  <c r="P70"/>
  <c r="X68"/>
  <c r="X67"/>
  <c r="BO66"/>
  <c r="BM66"/>
  <c r="Y66"/>
  <c r="BP66" s="1"/>
  <c r="P66"/>
  <c r="BO65"/>
  <c r="BM65"/>
  <c r="Y65"/>
  <c r="BN65" s="1"/>
  <c r="P65"/>
  <c r="BO64"/>
  <c r="BM64"/>
  <c r="Y64"/>
  <c r="Z64" s="1"/>
  <c r="P64"/>
  <c r="BO63"/>
  <c r="BM63"/>
  <c r="Y63"/>
  <c r="BP63" s="1"/>
  <c r="P63"/>
  <c r="BO62"/>
  <c r="BM62"/>
  <c r="Y62"/>
  <c r="BP62" s="1"/>
  <c r="P62"/>
  <c r="BO61"/>
  <c r="BM61"/>
  <c r="Y61"/>
  <c r="Z61" s="1"/>
  <c r="P61"/>
  <c r="BO60"/>
  <c r="BM60"/>
  <c r="Y60"/>
  <c r="BP60" s="1"/>
  <c r="P60"/>
  <c r="BO59"/>
  <c r="BM59"/>
  <c r="Y59"/>
  <c r="P59"/>
  <c r="X56"/>
  <c r="X55"/>
  <c r="BO54"/>
  <c r="BM54"/>
  <c r="Y54"/>
  <c r="BN54" s="1"/>
  <c r="P54"/>
  <c r="BO53"/>
  <c r="BM53"/>
  <c r="Y53"/>
  <c r="Z53" s="1"/>
  <c r="P53"/>
  <c r="BO52"/>
  <c r="BN52"/>
  <c r="BM52"/>
  <c r="Y52"/>
  <c r="BP52" s="1"/>
  <c r="P52"/>
  <c r="BO51"/>
  <c r="BM51"/>
  <c r="Y51"/>
  <c r="P51"/>
  <c r="X47"/>
  <c r="X46"/>
  <c r="BO45"/>
  <c r="BN45"/>
  <c r="BM45"/>
  <c r="Y45"/>
  <c r="BP45" s="1"/>
  <c r="P45"/>
  <c r="BP44"/>
  <c r="BO44"/>
  <c r="BN44"/>
  <c r="BM44"/>
  <c r="Z44"/>
  <c r="Y44"/>
  <c r="P44"/>
  <c r="BO43"/>
  <c r="BM43"/>
  <c r="Y43"/>
  <c r="BP43" s="1"/>
  <c r="P43"/>
  <c r="BO42"/>
  <c r="BM42"/>
  <c r="Y42"/>
  <c r="BN42" s="1"/>
  <c r="P42"/>
  <c r="BO41"/>
  <c r="BM41"/>
  <c r="Y41"/>
  <c r="Z41" s="1"/>
  <c r="P41"/>
  <c r="X37"/>
  <c r="X36"/>
  <c r="BO35"/>
  <c r="BM35"/>
  <c r="Y35"/>
  <c r="Y37" s="1"/>
  <c r="P35"/>
  <c r="X33"/>
  <c r="X32"/>
  <c r="BO31"/>
  <c r="BN31"/>
  <c r="BM31"/>
  <c r="Y31"/>
  <c r="Z31" s="1"/>
  <c r="P31"/>
  <c r="BO30"/>
  <c r="BM30"/>
  <c r="Y30"/>
  <c r="BN30" s="1"/>
  <c r="P30"/>
  <c r="BP29"/>
  <c r="BO29"/>
  <c r="BN29"/>
  <c r="BM29"/>
  <c r="Z29"/>
  <c r="Y29"/>
  <c r="P29"/>
  <c r="BO28"/>
  <c r="BM28"/>
  <c r="Y28"/>
  <c r="Z28" s="1"/>
  <c r="P28"/>
  <c r="BO27"/>
  <c r="BM27"/>
  <c r="Y27"/>
  <c r="Y32" s="1"/>
  <c r="P27"/>
  <c r="X25"/>
  <c r="X24"/>
  <c r="BO23"/>
  <c r="BM23"/>
  <c r="Y23"/>
  <c r="BP23" s="1"/>
  <c r="P23"/>
  <c r="BO22"/>
  <c r="BM22"/>
  <c r="Y22"/>
  <c r="Y24" s="1"/>
  <c r="P22"/>
  <c r="H10"/>
  <c r="A9"/>
  <c r="F10" s="1"/>
  <c r="D7"/>
  <c r="Q6"/>
  <c r="P2"/>
  <c r="BN170" l="1"/>
  <c r="BN73"/>
  <c r="BP413"/>
  <c r="X536"/>
  <c r="BN372"/>
  <c r="BN61"/>
  <c r="E544"/>
  <c r="Y74"/>
  <c r="Y383"/>
  <c r="J9"/>
  <c r="A10"/>
  <c r="BP54"/>
  <c r="Y93"/>
  <c r="Y178"/>
  <c r="BP167"/>
  <c r="Z167"/>
  <c r="BP192"/>
  <c r="BP233"/>
  <c r="Z233"/>
  <c r="Z270"/>
  <c r="BN270"/>
  <c r="Y350"/>
  <c r="BP347"/>
  <c r="Z347"/>
  <c r="Z380"/>
  <c r="BN380"/>
  <c r="BP480"/>
  <c r="Z480"/>
  <c r="X538"/>
  <c r="BP28"/>
  <c r="Y33"/>
  <c r="BP42"/>
  <c r="BP65"/>
  <c r="BP71"/>
  <c r="Z83"/>
  <c r="BP83"/>
  <c r="Y85"/>
  <c r="Z91"/>
  <c r="BP91"/>
  <c r="BP105"/>
  <c r="Z115"/>
  <c r="BN115"/>
  <c r="Z135"/>
  <c r="BP140"/>
  <c r="BN140"/>
  <c r="Y141"/>
  <c r="Z169"/>
  <c r="BN169"/>
  <c r="Z202"/>
  <c r="BP234"/>
  <c r="BP239"/>
  <c r="BN239"/>
  <c r="Y268"/>
  <c r="Z260"/>
  <c r="BN260"/>
  <c r="Z266"/>
  <c r="Z277"/>
  <c r="BP286"/>
  <c r="Z291"/>
  <c r="BN291"/>
  <c r="Z310"/>
  <c r="BP357"/>
  <c r="Z366"/>
  <c r="Z374"/>
  <c r="BN375"/>
  <c r="Z375"/>
  <c r="BP388"/>
  <c r="Z388"/>
  <c r="Y396"/>
  <c r="BN393"/>
  <c r="Z394"/>
  <c r="BN394"/>
  <c r="BP400"/>
  <c r="Z411"/>
  <c r="Z429"/>
  <c r="Z430" s="1"/>
  <c r="Y430"/>
  <c r="BN429"/>
  <c r="Y503"/>
  <c r="BN498"/>
  <c r="BP521"/>
  <c r="BN521"/>
  <c r="Z525"/>
  <c r="BP113"/>
  <c r="BN113"/>
  <c r="BP135"/>
  <c r="Y146"/>
  <c r="Y147"/>
  <c r="BP198"/>
  <c r="BN198"/>
  <c r="BP215"/>
  <c r="Z215"/>
  <c r="BP266"/>
  <c r="BP277"/>
  <c r="BP332"/>
  <c r="Y337"/>
  <c r="BP366"/>
  <c r="X535"/>
  <c r="X534"/>
  <c r="BP31"/>
  <c r="Z42"/>
  <c r="BP61"/>
  <c r="BN63"/>
  <c r="Z65"/>
  <c r="Z90"/>
  <c r="BP112"/>
  <c r="BP123"/>
  <c r="BN123"/>
  <c r="BN167"/>
  <c r="BN215"/>
  <c r="BP219"/>
  <c r="BN219"/>
  <c r="BN233"/>
  <c r="Z234"/>
  <c r="Z286"/>
  <c r="BP316"/>
  <c r="BN316"/>
  <c r="BP318"/>
  <c r="Z318"/>
  <c r="BP327"/>
  <c r="BN327"/>
  <c r="BN347"/>
  <c r="Z357"/>
  <c r="Z400"/>
  <c r="BP420"/>
  <c r="BP424"/>
  <c r="Y426"/>
  <c r="Z425"/>
  <c r="BN425"/>
  <c r="Z445"/>
  <c r="BN445"/>
  <c r="Y473"/>
  <c r="Z471"/>
  <c r="BN480"/>
  <c r="BP483"/>
  <c r="Z483"/>
  <c r="BP500"/>
  <c r="BN500"/>
  <c r="AA544"/>
  <c r="Z521"/>
  <c r="Z522" s="1"/>
  <c r="Z145"/>
  <c r="BN145"/>
  <c r="Z153"/>
  <c r="BN153"/>
  <c r="Y194"/>
  <c r="BN192"/>
  <c r="BP202"/>
  <c r="BP297"/>
  <c r="Z297"/>
  <c r="BP310"/>
  <c r="Z333"/>
  <c r="BN333"/>
  <c r="BP356"/>
  <c r="Z356"/>
  <c r="BP392"/>
  <c r="Z392"/>
  <c r="U544"/>
  <c r="BP399"/>
  <c r="Z399"/>
  <c r="Z402" s="1"/>
  <c r="BP411"/>
  <c r="BP455"/>
  <c r="BN455"/>
  <c r="Z22"/>
  <c r="Z54"/>
  <c r="Z59"/>
  <c r="BN22"/>
  <c r="Y25"/>
  <c r="BN28"/>
  <c r="Z45"/>
  <c r="Y56"/>
  <c r="BN59"/>
  <c r="BN71"/>
  <c r="BP78"/>
  <c r="Y84"/>
  <c r="F544"/>
  <c r="BP88"/>
  <c r="BP98"/>
  <c r="G544"/>
  <c r="BN105"/>
  <c r="Z123"/>
  <c r="H544"/>
  <c r="Y136"/>
  <c r="Y137"/>
  <c r="BP134"/>
  <c r="Z134"/>
  <c r="BP145"/>
  <c r="I544"/>
  <c r="BP151"/>
  <c r="Z151"/>
  <c r="BP153"/>
  <c r="J544"/>
  <c r="BN158"/>
  <c r="Y160"/>
  <c r="BP158"/>
  <c r="Z172"/>
  <c r="BN172"/>
  <c r="BP223"/>
  <c r="Z244"/>
  <c r="Z245" s="1"/>
  <c r="Y245"/>
  <c r="BN244"/>
  <c r="BP254"/>
  <c r="Z254"/>
  <c r="BP270"/>
  <c r="Z274"/>
  <c r="BP276"/>
  <c r="Z276"/>
  <c r="BP281"/>
  <c r="BN281"/>
  <c r="Y313"/>
  <c r="BP309"/>
  <c r="Z309"/>
  <c r="Z312" s="1"/>
  <c r="BP333"/>
  <c r="Z336"/>
  <c r="BN336"/>
  <c r="BP341"/>
  <c r="BN341"/>
  <c r="BP362"/>
  <c r="BN362"/>
  <c r="BP364"/>
  <c r="Z364"/>
  <c r="BP380"/>
  <c r="BP385"/>
  <c r="Z385"/>
  <c r="BN388"/>
  <c r="Y416"/>
  <c r="BN407"/>
  <c r="BP409"/>
  <c r="Z409"/>
  <c r="Z420"/>
  <c r="Z421" s="1"/>
  <c r="Y431"/>
  <c r="Y458"/>
  <c r="BN453"/>
  <c r="Y463"/>
  <c r="BN460"/>
  <c r="BP460"/>
  <c r="Z492"/>
  <c r="BN492"/>
  <c r="Z500"/>
  <c r="BP122"/>
  <c r="BP125"/>
  <c r="BP200"/>
  <c r="BP221"/>
  <c r="BP301"/>
  <c r="Y328"/>
  <c r="Z342"/>
  <c r="BP340"/>
  <c r="Y342"/>
  <c r="S544"/>
  <c r="BP365"/>
  <c r="BP410"/>
  <c r="BN443"/>
  <c r="X544"/>
  <c r="BP454"/>
  <c r="Z544"/>
  <c r="BN490"/>
  <c r="BP499"/>
  <c r="Y519"/>
  <c r="BP129"/>
  <c r="Y131"/>
  <c r="Z170"/>
  <c r="BP176"/>
  <c r="BP182"/>
  <c r="Z200"/>
  <c r="Z204"/>
  <c r="Y228"/>
  <c r="BP214"/>
  <c r="BP217"/>
  <c r="BP231"/>
  <c r="Z250"/>
  <c r="Y252"/>
  <c r="BP305"/>
  <c r="Y307"/>
  <c r="Y312"/>
  <c r="Z320"/>
  <c r="BP325"/>
  <c r="Z346"/>
  <c r="BP346"/>
  <c r="Z354"/>
  <c r="Z359" s="1"/>
  <c r="BP355"/>
  <c r="Z368"/>
  <c r="Y390"/>
  <c r="BP387"/>
  <c r="Y402"/>
  <c r="W544"/>
  <c r="Z435"/>
  <c r="Z436" s="1"/>
  <c r="Y437"/>
  <c r="Z452"/>
  <c r="BP470"/>
  <c r="BP479"/>
  <c r="BP482"/>
  <c r="BP485"/>
  <c r="Z462"/>
  <c r="Z473"/>
  <c r="Z395"/>
  <c r="Y47"/>
  <c r="Z517"/>
  <c r="Y522"/>
  <c r="Y236"/>
  <c r="Z27"/>
  <c r="BN41"/>
  <c r="BN53"/>
  <c r="BN64"/>
  <c r="Y67"/>
  <c r="Y75"/>
  <c r="BN97"/>
  <c r="BN108"/>
  <c r="BN118"/>
  <c r="Y142"/>
  <c r="Z152"/>
  <c r="BN175"/>
  <c r="BN199"/>
  <c r="Y211"/>
  <c r="BN220"/>
  <c r="BN230"/>
  <c r="BN240"/>
  <c r="Y256"/>
  <c r="BN263"/>
  <c r="BN273"/>
  <c r="Z281"/>
  <c r="BN294"/>
  <c r="BN317"/>
  <c r="Y329"/>
  <c r="BN353"/>
  <c r="BN363"/>
  <c r="BN373"/>
  <c r="Y376"/>
  <c r="Z393"/>
  <c r="BN408"/>
  <c r="BN418"/>
  <c r="Y421"/>
  <c r="Z453"/>
  <c r="BN466"/>
  <c r="Z478"/>
  <c r="Z498"/>
  <c r="BN512"/>
  <c r="Y527"/>
  <c r="K544"/>
  <c r="Y504"/>
  <c r="BN517"/>
  <c r="L544"/>
  <c r="BP512"/>
  <c r="Y523"/>
  <c r="M544"/>
  <c r="Z139"/>
  <c r="BP220"/>
  <c r="Z77"/>
  <c r="Z79" s="1"/>
  <c r="Z168"/>
  <c r="Z188"/>
  <c r="Z189" s="1"/>
  <c r="Y193"/>
  <c r="Y205"/>
  <c r="Y257"/>
  <c r="Z332"/>
  <c r="Y359"/>
  <c r="Y369"/>
  <c r="Y377"/>
  <c r="Z386"/>
  <c r="Y422"/>
  <c r="Z444"/>
  <c r="Z446" s="1"/>
  <c r="Z456"/>
  <c r="BP471"/>
  <c r="Z481"/>
  <c r="Z491"/>
  <c r="Z493" s="1"/>
  <c r="Z501"/>
  <c r="BP517"/>
  <c r="Y528"/>
  <c r="O544"/>
  <c r="Z51"/>
  <c r="BP108"/>
  <c r="Z163"/>
  <c r="Z164" s="1"/>
  <c r="BP273"/>
  <c r="BP408"/>
  <c r="BP466"/>
  <c r="BP22"/>
  <c r="Z30"/>
  <c r="BP59"/>
  <c r="Y68"/>
  <c r="BP103"/>
  <c r="Z144"/>
  <c r="Z146" s="1"/>
  <c r="Y179"/>
  <c r="Z213"/>
  <c r="BP27"/>
  <c r="Z35"/>
  <c r="Z36" s="1"/>
  <c r="BN51"/>
  <c r="BN62"/>
  <c r="BN72"/>
  <c r="Z82"/>
  <c r="Z84" s="1"/>
  <c r="BN95"/>
  <c r="BN106"/>
  <c r="Y109"/>
  <c r="BN116"/>
  <c r="Y119"/>
  <c r="Y127"/>
  <c r="BN139"/>
  <c r="Z150"/>
  <c r="BP152"/>
  <c r="BN163"/>
  <c r="BN173"/>
  <c r="BN183"/>
  <c r="BN218"/>
  <c r="Z226"/>
  <c r="BN238"/>
  <c r="Y241"/>
  <c r="Z249"/>
  <c r="BN261"/>
  <c r="BN271"/>
  <c r="Z279"/>
  <c r="BN292"/>
  <c r="Y303"/>
  <c r="BN326"/>
  <c r="Y338"/>
  <c r="Z348"/>
  <c r="BN381"/>
  <c r="BP393"/>
  <c r="Z414"/>
  <c r="Y427"/>
  <c r="BN439"/>
  <c r="Z451"/>
  <c r="Z457" s="1"/>
  <c r="BP453"/>
  <c r="Z461"/>
  <c r="Y467"/>
  <c r="BP478"/>
  <c r="BN486"/>
  <c r="Z496"/>
  <c r="BP498"/>
  <c r="Z508"/>
  <c r="Z509" s="1"/>
  <c r="Y513"/>
  <c r="P544"/>
  <c r="Z62"/>
  <c r="Z106"/>
  <c r="Z218"/>
  <c r="Z271"/>
  <c r="BP418"/>
  <c r="Z439"/>
  <c r="Z440" s="1"/>
  <c r="BN144"/>
  <c r="BN332"/>
  <c r="BN386"/>
  <c r="Y389"/>
  <c r="BN444"/>
  <c r="BN456"/>
  <c r="BN481"/>
  <c r="BN491"/>
  <c r="BN501"/>
  <c r="Y518"/>
  <c r="Q544"/>
  <c r="BN27"/>
  <c r="BP53"/>
  <c r="BP64"/>
  <c r="BP118"/>
  <c r="BN152"/>
  <c r="Z23"/>
  <c r="Z24" s="1"/>
  <c r="BN35"/>
  <c r="BP51"/>
  <c r="Z60"/>
  <c r="Z70"/>
  <c r="BP72"/>
  <c r="BN82"/>
  <c r="BP95"/>
  <c r="Z104"/>
  <c r="Z114"/>
  <c r="Z119" s="1"/>
  <c r="BP116"/>
  <c r="Z124"/>
  <c r="Z126" s="1"/>
  <c r="BN150"/>
  <c r="BP163"/>
  <c r="Z171"/>
  <c r="BP173"/>
  <c r="Z181"/>
  <c r="Z184" s="1"/>
  <c r="BP183"/>
  <c r="Y206"/>
  <c r="Z216"/>
  <c r="BN226"/>
  <c r="BP238"/>
  <c r="BN249"/>
  <c r="Z259"/>
  <c r="BP261"/>
  <c r="BN279"/>
  <c r="Y282"/>
  <c r="BP292"/>
  <c r="BP326"/>
  <c r="Z335"/>
  <c r="BN348"/>
  <c r="Y360"/>
  <c r="Y370"/>
  <c r="Z379"/>
  <c r="BP381"/>
  <c r="Y403"/>
  <c r="BN414"/>
  <c r="Z424"/>
  <c r="BP439"/>
  <c r="BN451"/>
  <c r="BN461"/>
  <c r="Z472"/>
  <c r="Z484"/>
  <c r="BP486"/>
  <c r="BN496"/>
  <c r="BN508"/>
  <c r="Z531"/>
  <c r="Z532" s="1"/>
  <c r="R544"/>
  <c r="BP175"/>
  <c r="BP30"/>
  <c r="BP77"/>
  <c r="BN88"/>
  <c r="Y110"/>
  <c r="Y120"/>
  <c r="BP144"/>
  <c r="BP168"/>
  <c r="BP188"/>
  <c r="BP213"/>
  <c r="Y242"/>
  <c r="BN254"/>
  <c r="BN264"/>
  <c r="Y267"/>
  <c r="BN274"/>
  <c r="Y287"/>
  <c r="BN295"/>
  <c r="Y298"/>
  <c r="BN318"/>
  <c r="Y321"/>
  <c r="BN354"/>
  <c r="BN364"/>
  <c r="BN374"/>
  <c r="BP386"/>
  <c r="BN409"/>
  <c r="BN419"/>
  <c r="BP444"/>
  <c r="Y468"/>
  <c r="BP491"/>
  <c r="Y514"/>
  <c r="BN525"/>
  <c r="BP363"/>
  <c r="BN77"/>
  <c r="BN188"/>
  <c r="BN213"/>
  <c r="BN60"/>
  <c r="BN104"/>
  <c r="BN114"/>
  <c r="BN124"/>
  <c r="BP150"/>
  <c r="Y164"/>
  <c r="BN171"/>
  <c r="BN181"/>
  <c r="Y184"/>
  <c r="BN216"/>
  <c r="BN259"/>
  <c r="BN335"/>
  <c r="BN379"/>
  <c r="Y382"/>
  <c r="BN424"/>
  <c r="Y440"/>
  <c r="BP451"/>
  <c r="BN472"/>
  <c r="BN484"/>
  <c r="Y487"/>
  <c r="BP508"/>
  <c r="BN531"/>
  <c r="T544"/>
  <c r="BN23"/>
  <c r="F9"/>
  <c r="Z52"/>
  <c r="Z63"/>
  <c r="Z73"/>
  <c r="Z96"/>
  <c r="Z107"/>
  <c r="Z117"/>
  <c r="Z140"/>
  <c r="Z174"/>
  <c r="Z198"/>
  <c r="Z205" s="1"/>
  <c r="Z209"/>
  <c r="Z210" s="1"/>
  <c r="Z219"/>
  <c r="Z239"/>
  <c r="Z241" s="1"/>
  <c r="Z262"/>
  <c r="Z272"/>
  <c r="Y283"/>
  <c r="Z293"/>
  <c r="Z316"/>
  <c r="Z321" s="1"/>
  <c r="Z327"/>
  <c r="Z328" s="1"/>
  <c r="Z362"/>
  <c r="Z372"/>
  <c r="Z376" s="1"/>
  <c r="Z407"/>
  <c r="Y457"/>
  <c r="B544"/>
  <c r="BP97"/>
  <c r="BP294"/>
  <c r="BP317"/>
  <c r="BP353"/>
  <c r="BP35"/>
  <c r="BN70"/>
  <c r="H9"/>
  <c r="Y36"/>
  <c r="Y227"/>
  <c r="BP259"/>
  <c r="Y288"/>
  <c r="Y299"/>
  <c r="Y322"/>
  <c r="Y349"/>
  <c r="BP379"/>
  <c r="Y415"/>
  <c r="Y462"/>
  <c r="Z502"/>
  <c r="Y509"/>
  <c r="Z516"/>
  <c r="BP531"/>
  <c r="C544"/>
  <c r="V544"/>
  <c r="BP199"/>
  <c r="BP240"/>
  <c r="BP373"/>
  <c r="Y55"/>
  <c r="Y99"/>
  <c r="Y185"/>
  <c r="Y488"/>
  <c r="D544"/>
  <c r="BP41"/>
  <c r="Z95"/>
  <c r="Z43"/>
  <c r="Z46" s="1"/>
  <c r="Z66"/>
  <c r="Z89"/>
  <c r="Z201"/>
  <c r="Z222"/>
  <c r="Z232"/>
  <c r="Z255"/>
  <c r="Z265"/>
  <c r="Z275"/>
  <c r="Z285"/>
  <c r="Z296"/>
  <c r="Z319"/>
  <c r="Z526"/>
  <c r="Z527" s="1"/>
  <c r="Y532"/>
  <c r="BP263"/>
  <c r="Z177"/>
  <c r="Y154"/>
  <c r="Y395"/>
  <c r="BP407"/>
  <c r="Y510"/>
  <c r="Y544"/>
  <c r="BP230"/>
  <c r="BN43"/>
  <c r="Y46"/>
  <c r="BN66"/>
  <c r="BN89"/>
  <c r="Y92"/>
  <c r="BN177"/>
  <c r="BN201"/>
  <c r="BN222"/>
  <c r="BN232"/>
  <c r="Y235"/>
  <c r="BN255"/>
  <c r="BN265"/>
  <c r="BN275"/>
  <c r="BN285"/>
  <c r="BN296"/>
  <c r="BN319"/>
  <c r="BN526"/>
  <c r="Y533"/>
  <c r="Z74" l="1"/>
  <c r="Z415"/>
  <c r="Z518"/>
  <c r="X537"/>
  <c r="Z382"/>
  <c r="Y535"/>
  <c r="Z298"/>
  <c r="Z109"/>
  <c r="Z92"/>
  <c r="Z369"/>
  <c r="Y534"/>
  <c r="Z389"/>
  <c r="Z141"/>
  <c r="Z136"/>
  <c r="Z256"/>
  <c r="Y538"/>
  <c r="Z287"/>
  <c r="Z235"/>
  <c r="Z426"/>
  <c r="Z282"/>
  <c r="Z349"/>
  <c r="Z251"/>
  <c r="Z227"/>
  <c r="Z154"/>
  <c r="Y536"/>
  <c r="Z99"/>
  <c r="Z32"/>
  <c r="Z337"/>
  <c r="Z67"/>
  <c r="Z503"/>
  <c r="Z487"/>
  <c r="Z55"/>
  <c r="Z267"/>
  <c r="Z178"/>
  <c r="Y537" l="1"/>
  <c r="Z539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<sst xmlns="http://schemas.openxmlformats.org/spreadsheetml/2006/main" count="4047" uniqueCount="860">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</sst>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44"/>
  <sheetViews>
    <sheetView showGridLines="0" tabSelected="1" topLeftCell="F509" zoomScaleNormal="100" zoomScaleSheetLayoutView="100" workbookViewId="0">
      <selection activeCell="X373" sqref="X373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customHeight="1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18.518518518518519</v>
      </c>
      <c r="Y55" s="43">
        <f>IFERROR(Y51/H51,"0")+IFERROR(Y52/H52,"0")+IFERROR(Y53/H53,"0")+IFERROR(Y54/H54,"0")</f>
        <v>19</v>
      </c>
      <c r="Z55" s="43">
        <f>IFERROR(IF(Z51="",0,Z51),"0")+IFERROR(IF(Z52="",0,Z52),"0")+IFERROR(IF(Z53="",0,Z53),"0")+IFERROR(IF(Z54="",0,Z54),"0")</f>
        <v>0.36062</v>
      </c>
      <c r="AA55" s="67"/>
      <c r="AB55" s="67"/>
      <c r="AC55" s="67"/>
    </row>
    <row r="56" spans="1:68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200</v>
      </c>
      <c r="Y56" s="43">
        <f>IFERROR(SUM(Y51:Y54),"0")</f>
        <v>205.20000000000002</v>
      </c>
      <c r="Z56" s="42"/>
      <c r="AA56" s="67"/>
      <c r="AB56" s="67"/>
      <c r="AC56" s="67"/>
    </row>
    <row r="57" spans="1:68" ht="16.5" customHeight="1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1300</v>
      </c>
      <c r="Y61" s="55">
        <f t="shared" si="0"/>
        <v>1306.8000000000002</v>
      </c>
      <c r="Z61" s="41">
        <f>IFERROR(IF(Y61=0,"",ROUNDUP(Y61/H61,0)*0.01898),"")</f>
        <v>2.2965800000000001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1349.351851851852</v>
      </c>
      <c r="BN61" s="78">
        <f t="shared" si="2"/>
        <v>1356.41</v>
      </c>
      <c r="BO61" s="78">
        <f t="shared" si="3"/>
        <v>1.880787037037037</v>
      </c>
      <c r="BP61" s="78">
        <f t="shared" si="4"/>
        <v>1.8906250000000002</v>
      </c>
    </row>
    <row r="62" spans="1:68" ht="27" customHeight="1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594</v>
      </c>
      <c r="Y66" s="55">
        <f t="shared" si="0"/>
        <v>594</v>
      </c>
      <c r="Z66" s="41">
        <f>IFERROR(IF(Y66=0,"",ROUNDUP(Y66/H66,0)*0.00902),"")</f>
        <v>1.1906400000000001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619.08000000000004</v>
      </c>
      <c r="BN66" s="78">
        <f t="shared" si="2"/>
        <v>619.08000000000004</v>
      </c>
      <c r="BO66" s="78">
        <f t="shared" si="3"/>
        <v>1</v>
      </c>
      <c r="BP66" s="78">
        <f t="shared" si="4"/>
        <v>1</v>
      </c>
    </row>
    <row r="67" spans="1:68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252.37037037037038</v>
      </c>
      <c r="Y67" s="43">
        <f>IFERROR(Y59/H59,"0")+IFERROR(Y60/H60,"0")+IFERROR(Y61/H61,"0")+IFERROR(Y62/H62,"0")+IFERROR(Y63/H63,"0")+IFERROR(Y64/H64,"0")+IFERROR(Y65/H65,"0")+IFERROR(Y66/H66,"0")</f>
        <v>253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3.4872200000000002</v>
      </c>
      <c r="AA67" s="67"/>
      <c r="AB67" s="67"/>
      <c r="AC67" s="67"/>
    </row>
    <row r="68" spans="1:68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1894</v>
      </c>
      <c r="Y68" s="43">
        <f>IFERROR(SUM(Y59:Y66),"0")</f>
        <v>1900.8000000000002</v>
      </c>
      <c r="Z68" s="42"/>
      <c r="AA68" s="67"/>
      <c r="AB68" s="67"/>
      <c r="AC68" s="67"/>
    </row>
    <row r="69" spans="1:68" ht="14.25" customHeight="1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700</v>
      </c>
      <c r="Y70" s="55">
        <f>IFERROR(IF(X70="",0,CEILING((X70/$H70),1)*$H70),"")</f>
        <v>702</v>
      </c>
      <c r="Z70" s="41">
        <f>IFERROR(IF(Y70=0,"",ROUNDUP(Y70/H70,0)*0.01898),"")</f>
        <v>1.2337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726.57407407407413</v>
      </c>
      <c r="BN70" s="78">
        <f>IFERROR(Y70*I70/H70,"0")</f>
        <v>728.65000000000009</v>
      </c>
      <c r="BO70" s="78">
        <f>IFERROR(1/J70*(X70/H70),"0")</f>
        <v>1.0127314814814814</v>
      </c>
      <c r="BP70" s="78">
        <f>IFERROR(1/J70*(Y70/H70),"0")</f>
        <v>1.015625</v>
      </c>
    </row>
    <row r="71" spans="1:68" ht="16.5" customHeight="1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135</v>
      </c>
      <c r="Y73" s="55">
        <f>IFERROR(IF(X73="",0,CEILING((X73/$H73),1)*$H73),"")</f>
        <v>135</v>
      </c>
      <c r="Z73" s="41">
        <f>IFERROR(IF(Y73=0,"",ROUNDUP(Y73/H73,0)*0.00651),"")</f>
        <v>0.32550000000000001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144</v>
      </c>
      <c r="BN73" s="78">
        <f>IFERROR(Y73*I73/H73,"0")</f>
        <v>144</v>
      </c>
      <c r="BO73" s="78">
        <f>IFERROR(1/J73*(X73/H73),"0")</f>
        <v>0.27472527472527475</v>
      </c>
      <c r="BP73" s="78">
        <f>IFERROR(1/J73*(Y73/H73),"0")</f>
        <v>0.27472527472527475</v>
      </c>
    </row>
    <row r="74" spans="1:68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114.81481481481481</v>
      </c>
      <c r="Y74" s="43">
        <f>IFERROR(Y70/H70,"0")+IFERROR(Y71/H71,"0")+IFERROR(Y72/H72,"0")+IFERROR(Y73/H73,"0")</f>
        <v>115</v>
      </c>
      <c r="Z74" s="43">
        <f>IFERROR(IF(Z70="",0,Z70),"0")+IFERROR(IF(Z71="",0,Z71),"0")+IFERROR(IF(Z72="",0,Z72),"0")+IFERROR(IF(Z73="",0,Z73),"0")</f>
        <v>1.5592000000000001</v>
      </c>
      <c r="AA74" s="67"/>
      <c r="AB74" s="67"/>
      <c r="AC74" s="67"/>
    </row>
    <row r="75" spans="1:68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835</v>
      </c>
      <c r="Y75" s="43">
        <f>IFERROR(SUM(Y70:Y73),"0")</f>
        <v>837</v>
      </c>
      <c r="Z75" s="42"/>
      <c r="AA75" s="67"/>
      <c r="AB75" s="67"/>
      <c r="AC75" s="67"/>
    </row>
    <row r="76" spans="1:68" ht="14.25" customHeight="1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customHeight="1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18.518518518518519</v>
      </c>
      <c r="Y92" s="43">
        <f>IFERROR(Y88/H88,"0")+IFERROR(Y89/H89,"0")+IFERROR(Y90/H90,"0")+IFERROR(Y91/H91,"0")</f>
        <v>19</v>
      </c>
      <c r="Z92" s="43">
        <f>IFERROR(IF(Z88="",0,Z88),"0")+IFERROR(IF(Z89="",0,Z89),"0")+IFERROR(IF(Z90="",0,Z90),"0")+IFERROR(IF(Z91="",0,Z91),"0")</f>
        <v>0.36062</v>
      </c>
      <c r="AA92" s="67"/>
      <c r="AB92" s="67"/>
      <c r="AC92" s="67"/>
    </row>
    <row r="93" spans="1:68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200</v>
      </c>
      <c r="Y93" s="43">
        <f>IFERROR(SUM(Y88:Y91),"0")</f>
        <v>205.20000000000002</v>
      </c>
      <c r="Z93" s="42"/>
      <c r="AA93" s="67"/>
      <c r="AB93" s="67"/>
      <c r="AC93" s="67"/>
    </row>
    <row r="94" spans="1:68" ht="14.25" customHeight="1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100</v>
      </c>
      <c r="Y168" s="55">
        <f t="shared" si="15"/>
        <v>108</v>
      </c>
      <c r="Z168" s="41">
        <f>IFERROR(IF(Y168=0,"",ROUNDUP(Y168/H168,0)*0.01898),"")</f>
        <v>0.22776000000000002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106.22222222222223</v>
      </c>
      <c r="BN168" s="78">
        <f t="shared" si="17"/>
        <v>114.72</v>
      </c>
      <c r="BO168" s="78">
        <f t="shared" si="18"/>
        <v>0.1736111111111111</v>
      </c>
      <c r="BP168" s="78">
        <f t="shared" si="19"/>
        <v>0.1875</v>
      </c>
    </row>
    <row r="169" spans="1:68" ht="27" customHeight="1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15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105.42857142857143</v>
      </c>
      <c r="BN170" s="78">
        <f t="shared" si="17"/>
        <v>107.00999999999999</v>
      </c>
      <c r="BO170" s="78">
        <f t="shared" si="18"/>
        <v>0.21645021645021648</v>
      </c>
      <c r="BP170" s="78">
        <f t="shared" si="19"/>
        <v>0.2196969696969697</v>
      </c>
    </row>
    <row r="171" spans="1:68" ht="16.5" customHeight="1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39.682539682539684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41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0.48934000000000005</v>
      </c>
      <c r="AA178" s="67"/>
      <c r="AB178" s="67"/>
      <c r="AC178" s="67"/>
    </row>
    <row r="179" spans="1:68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200</v>
      </c>
      <c r="Y179" s="43">
        <f>IFERROR(SUM(Y167:Y177),"0")</f>
        <v>209.5</v>
      </c>
      <c r="Z179" s="42"/>
      <c r="AA179" s="67"/>
      <c r="AB179" s="67"/>
      <c r="AC179" s="67"/>
    </row>
    <row r="180" spans="1:68" ht="14.25" customHeight="1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300</v>
      </c>
      <c r="Y318" s="55">
        <f>IFERROR(IF(X318="",0,CEILING((X318/$H318),1)*$H318),"")</f>
        <v>302.40000000000003</v>
      </c>
      <c r="Z318" s="41">
        <f>IFERROR(IF(Y318=0,"",ROUNDUP(Y318/H318,0)*0.01898),"")</f>
        <v>0.53144000000000002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311.38888888888891</v>
      </c>
      <c r="BN318" s="78">
        <f>IFERROR(Y318*I318/H318,"0")</f>
        <v>313.88</v>
      </c>
      <c r="BO318" s="78">
        <f>IFERROR(1/J318*(X318/H318),"0")</f>
        <v>0.43402777777777773</v>
      </c>
      <c r="BP318" s="78">
        <f>IFERROR(1/J318*(Y318/H318),"0")</f>
        <v>0.4375</v>
      </c>
    </row>
    <row r="319" spans="1:68" ht="27" customHeight="1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27.777777777777775</v>
      </c>
      <c r="Y321" s="43">
        <f>IFERROR(Y316/H316,"0")+IFERROR(Y317/H317,"0")+IFERROR(Y318/H318,"0")+IFERROR(Y319/H319,"0")+IFERROR(Y320/H320,"0")</f>
        <v>28</v>
      </c>
      <c r="Z321" s="43">
        <f>IFERROR(IF(Z316="",0,Z316),"0")+IFERROR(IF(Z317="",0,Z317),"0")+IFERROR(IF(Z318="",0,Z318),"0")+IFERROR(IF(Z319="",0,Z319),"0")+IFERROR(IF(Z320="",0,Z320),"0")</f>
        <v>0.53144000000000002</v>
      </c>
      <c r="AA321" s="67"/>
      <c r="AB321" s="67"/>
      <c r="AC321" s="67"/>
    </row>
    <row r="322" spans="1:68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300</v>
      </c>
      <c r="Y322" s="43">
        <f>IFERROR(SUM(Y316:Y320),"0")</f>
        <v>302.40000000000003</v>
      </c>
      <c r="Z322" s="42"/>
      <c r="AA322" s="67"/>
      <c r="AB322" s="67"/>
      <c r="AC322" s="67"/>
    </row>
    <row r="323" spans="1:68" ht="16.5" customHeight="1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700</v>
      </c>
      <c r="Y353" s="55">
        <f t="shared" ref="Y353:Y358" si="47">IFERROR(IF(X353="",0,CEILING((X353/$H353),1)*$H353),"")</f>
        <v>702</v>
      </c>
      <c r="Z353" s="41">
        <f>IFERROR(IF(Y353=0,"",ROUNDUP(Y353/H353,0)*0.01898),"")</f>
        <v>1.2337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726.57407407407413</v>
      </c>
      <c r="BN353" s="78">
        <f t="shared" ref="BN353:BN358" si="49">IFERROR(Y353*I353/H353,"0")</f>
        <v>728.65000000000009</v>
      </c>
      <c r="BO353" s="78">
        <f t="shared" ref="BO353:BO358" si="50">IFERROR(1/J353*(X353/H353),"0")</f>
        <v>1.0127314814814814</v>
      </c>
      <c r="BP353" s="78">
        <f t="shared" ref="BP353:BP358" si="51">IFERROR(1/J353*(Y353/H353),"0")</f>
        <v>1.015625</v>
      </c>
    </row>
    <row r="354" spans="1:68" ht="27" customHeight="1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100</v>
      </c>
      <c r="Y354" s="55">
        <f t="shared" si="47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103.79629629629629</v>
      </c>
      <c r="BN354" s="78">
        <f t="shared" si="49"/>
        <v>112.1</v>
      </c>
      <c r="BO354" s="78">
        <f t="shared" si="50"/>
        <v>0.14467592592592593</v>
      </c>
      <c r="BP354" s="78">
        <f t="shared" si="51"/>
        <v>0.15625</v>
      </c>
    </row>
    <row r="355" spans="1:68" ht="37.5" customHeight="1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100</v>
      </c>
      <c r="Y355" s="55">
        <f t="shared" si="47"/>
        <v>108</v>
      </c>
      <c r="Z355" s="41">
        <f>IFERROR(IF(Y355=0,"",ROUNDUP(Y355/H355,0)*0.01898),"")</f>
        <v>0.1898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103.79629629629629</v>
      </c>
      <c r="BN355" s="78">
        <f t="shared" si="49"/>
        <v>112.1</v>
      </c>
      <c r="BO355" s="78">
        <f t="shared" si="50"/>
        <v>0.14467592592592593</v>
      </c>
      <c r="BP355" s="78">
        <f t="shared" si="51"/>
        <v>0.15625</v>
      </c>
    </row>
    <row r="356" spans="1:68" ht="27" customHeight="1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83.333333333333343</v>
      </c>
      <c r="Y359" s="43">
        <f>IFERROR(Y353/H353,"0")+IFERROR(Y354/H354,"0")+IFERROR(Y355/H355,"0")+IFERROR(Y356/H356,"0")+IFERROR(Y357/H357,"0")+IFERROR(Y358/H358,"0")</f>
        <v>85</v>
      </c>
      <c r="Z359" s="43">
        <f>IFERROR(IF(Z353="",0,Z353),"0")+IFERROR(IF(Z354="",0,Z354),"0")+IFERROR(IF(Z355="",0,Z355),"0")+IFERROR(IF(Z356="",0,Z356),"0")+IFERROR(IF(Z357="",0,Z357),"0")+IFERROR(IF(Z358="",0,Z358),"0")</f>
        <v>1.6133</v>
      </c>
      <c r="AA359" s="67"/>
      <c r="AB359" s="67"/>
      <c r="AC359" s="67"/>
    </row>
    <row r="360" spans="1:68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900</v>
      </c>
      <c r="Y360" s="43">
        <f>IFERROR(SUM(Y353:Y358),"0")</f>
        <v>918</v>
      </c>
      <c r="Z360" s="42"/>
      <c r="AA360" s="67"/>
      <c r="AB360" s="67"/>
      <c r="AC360" s="67"/>
    </row>
    <row r="361" spans="1:68" ht="14.25" customHeight="1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200</v>
      </c>
      <c r="Y363" s="55">
        <f t="shared" si="52"/>
        <v>201.60000000000002</v>
      </c>
      <c r="Z363" s="41">
        <f>IFERROR(IF(Y363=0,"",ROUNDUP(Y363/H363,0)*0.00902),"")</f>
        <v>0.43296000000000001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211.9047619047619</v>
      </c>
      <c r="BN363" s="78">
        <f t="shared" si="54"/>
        <v>213.60000000000002</v>
      </c>
      <c r="BO363" s="78">
        <f t="shared" si="55"/>
        <v>0.36075036075036077</v>
      </c>
      <c r="BP363" s="78">
        <f t="shared" si="56"/>
        <v>0.36363636363636365</v>
      </c>
    </row>
    <row r="364" spans="1:68" ht="27" customHeight="1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47.61904761904762</v>
      </c>
      <c r="Y369" s="43">
        <f>IFERROR(Y362/H362,"0")+IFERROR(Y363/H363,"0")+IFERROR(Y364/H364,"0")+IFERROR(Y365/H365,"0")+IFERROR(Y366/H366,"0")+IFERROR(Y367/H367,"0")+IFERROR(Y368/H368,"0")</f>
        <v>48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0.43296000000000001</v>
      </c>
      <c r="AA369" s="67"/>
      <c r="AB369" s="67"/>
      <c r="AC369" s="67"/>
    </row>
    <row r="370" spans="1:68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200</v>
      </c>
      <c r="Y370" s="43">
        <f>IFERROR(SUM(Y362:Y368),"0")</f>
        <v>201.60000000000002</v>
      </c>
      <c r="Z370" s="42"/>
      <c r="AA370" s="67"/>
      <c r="AB370" s="67"/>
      <c r="AC370" s="67"/>
    </row>
    <row r="371" spans="1:68" ht="14.25" customHeight="1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2400</v>
      </c>
      <c r="Y372" s="55">
        <f>IFERROR(IF(X372="",0,CEILING((X372/$H372),1)*$H372),"")</f>
        <v>2402.4</v>
      </c>
      <c r="Z372" s="41">
        <f>IFERROR(IF(Y372=0,"",ROUNDUP(Y372/H372,0)*0.01898),"")</f>
        <v>5.8458399999999999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2550.1538461538462</v>
      </c>
      <c r="BN372" s="78">
        <f>IFERROR(Y372*I372/H372,"0")</f>
        <v>2552.7040000000002</v>
      </c>
      <c r="BO372" s="78">
        <f>IFERROR(1/J372*(X372/H372),"0")</f>
        <v>4.8076923076923075</v>
      </c>
      <c r="BP372" s="78">
        <f>IFERROR(1/J372*(Y372/H372),"0")</f>
        <v>4.8125</v>
      </c>
    </row>
    <row r="373" spans="1:68" ht="27" customHeight="1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307.69230769230768</v>
      </c>
      <c r="Y376" s="43">
        <f>IFERROR(Y372/H372,"0")+IFERROR(Y373/H373,"0")+IFERROR(Y374/H374,"0")+IFERROR(Y375/H375,"0")</f>
        <v>308</v>
      </c>
      <c r="Z376" s="43">
        <f>IFERROR(IF(Z372="",0,Z372),"0")+IFERROR(IF(Z373="",0,Z373),"0")+IFERROR(IF(Z374="",0,Z374),"0")+IFERROR(IF(Z375="",0,Z375),"0")</f>
        <v>5.8458399999999999</v>
      </c>
      <c r="AA376" s="67"/>
      <c r="AB376" s="67"/>
      <c r="AC376" s="67"/>
    </row>
    <row r="377" spans="1:68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2400</v>
      </c>
      <c r="Y377" s="43">
        <f>IFERROR(SUM(Y372:Y375),"0")</f>
        <v>2402.4</v>
      </c>
      <c r="Z377" s="42"/>
      <c r="AA377" s="67"/>
      <c r="AB377" s="67"/>
      <c r="AC377" s="67"/>
    </row>
    <row r="378" spans="1:68" ht="14.25" customHeight="1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800</v>
      </c>
      <c r="Y380" s="55">
        <f>IFERROR(IF(X380="",0,CEILING((X380/$H380),1)*$H380),"")</f>
        <v>803.4</v>
      </c>
      <c r="Z380" s="41">
        <f>IFERROR(IF(Y380=0,"",ROUNDUP(Y380/H380,0)*0.01898),"")</f>
        <v>1.9549400000000001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850.66666666666674</v>
      </c>
      <c r="BN380" s="78">
        <f>IFERROR(Y380*I380/H380,"0")</f>
        <v>854.28200000000015</v>
      </c>
      <c r="BO380" s="78">
        <f>IFERROR(1/J380*(X380/H380),"0")</f>
        <v>1.6025641025641026</v>
      </c>
      <c r="BP380" s="78">
        <f>IFERROR(1/J380*(Y380/H380),"0")</f>
        <v>1.609375</v>
      </c>
    </row>
    <row r="381" spans="1:68" ht="16.5" customHeight="1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102.56410256410257</v>
      </c>
      <c r="Y382" s="43">
        <f>IFERROR(Y379/H379,"0")+IFERROR(Y380/H380,"0")+IFERROR(Y381/H381,"0")</f>
        <v>103</v>
      </c>
      <c r="Z382" s="43">
        <f>IFERROR(IF(Z379="",0,Z379),"0")+IFERROR(IF(Z380="",0,Z380),"0")+IFERROR(IF(Z381="",0,Z381),"0")</f>
        <v>1.9549400000000001</v>
      </c>
      <c r="AA382" s="67"/>
      <c r="AB382" s="67"/>
      <c r="AC382" s="67"/>
    </row>
    <row r="383" spans="1:68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800</v>
      </c>
      <c r="Y383" s="43">
        <f>IFERROR(SUM(Y379:Y381),"0")</f>
        <v>803.4</v>
      </c>
      <c r="Z383" s="42"/>
      <c r="AA383" s="67"/>
      <c r="AB383" s="67"/>
      <c r="AC383" s="67"/>
    </row>
    <row r="384" spans="1:68" ht="14.25" customHeight="1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1500</v>
      </c>
      <c r="Y408" s="55">
        <f t="shared" si="57"/>
        <v>1500</v>
      </c>
      <c r="Z408" s="41">
        <f>IFERROR(IF(Y408=0,"",ROUNDUP(Y408/H408,0)*0.02175),"")</f>
        <v>2.1749999999999998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1547</v>
      </c>
      <c r="BN408" s="78">
        <f t="shared" si="59"/>
        <v>1547</v>
      </c>
      <c r="BO408" s="78">
        <f t="shared" si="60"/>
        <v>2.083333333333333</v>
      </c>
      <c r="BP408" s="78">
        <f t="shared" si="61"/>
        <v>2.083333333333333</v>
      </c>
    </row>
    <row r="409" spans="1:68" ht="27" customHeight="1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3000</v>
      </c>
      <c r="Y411" s="55">
        <f t="shared" si="57"/>
        <v>3000</v>
      </c>
      <c r="Z411" s="41">
        <f>IFERROR(IF(Y411=0,"",ROUNDUP(Y411/H411,0)*0.02175),"")</f>
        <v>4.3499999999999996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3094</v>
      </c>
      <c r="BN411" s="78">
        <f t="shared" si="59"/>
        <v>3094</v>
      </c>
      <c r="BO411" s="78">
        <f t="shared" si="60"/>
        <v>4.1666666666666661</v>
      </c>
      <c r="BP411" s="78">
        <f t="shared" si="61"/>
        <v>4.1666666666666661</v>
      </c>
    </row>
    <row r="412" spans="1:68" ht="27" customHeight="1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75</v>
      </c>
      <c r="Y413" s="55">
        <f t="shared" si="57"/>
        <v>75</v>
      </c>
      <c r="Z413" s="41">
        <f>IFERROR(IF(Y413=0,"",ROUNDUP(Y413/H413,0)*0.00902),"")</f>
        <v>0.1353</v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77.850000000000009</v>
      </c>
      <c r="BN413" s="78">
        <f t="shared" si="59"/>
        <v>77.850000000000009</v>
      </c>
      <c r="BO413" s="78">
        <f t="shared" si="60"/>
        <v>0.11363636363636365</v>
      </c>
      <c r="BP413" s="78">
        <f t="shared" si="61"/>
        <v>0.11363636363636365</v>
      </c>
    </row>
    <row r="414" spans="1:68" ht="37.5" customHeight="1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75</v>
      </c>
      <c r="Y414" s="55">
        <f t="shared" si="57"/>
        <v>75</v>
      </c>
      <c r="Z414" s="41">
        <f>IFERROR(IF(Y414=0,"",ROUNDUP(Y414/H414,0)*0.00902),"")</f>
        <v>0.1353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77.850000000000009</v>
      </c>
      <c r="BN414" s="78">
        <f t="shared" si="59"/>
        <v>77.850000000000009</v>
      </c>
      <c r="BO414" s="78">
        <f t="shared" si="60"/>
        <v>0.11363636363636365</v>
      </c>
      <c r="BP414" s="78">
        <f t="shared" si="61"/>
        <v>0.11363636363636365</v>
      </c>
    </row>
    <row r="415" spans="1:68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330</v>
      </c>
      <c r="Y415" s="43">
        <f>IFERROR(Y407/H407,"0")+IFERROR(Y408/H408,"0")+IFERROR(Y409/H409,"0")+IFERROR(Y410/H410,"0")+IFERROR(Y411/H411,"0")+IFERROR(Y412/H412,"0")+IFERROR(Y413/H413,"0")+IFERROR(Y414/H414,"0")</f>
        <v>330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6.7955999999999994</v>
      </c>
      <c r="AA415" s="67"/>
      <c r="AB415" s="67"/>
      <c r="AC415" s="67"/>
    </row>
    <row r="416" spans="1:68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4650</v>
      </c>
      <c r="Y416" s="43">
        <f>IFERROR(SUM(Y407:Y414),"0")</f>
        <v>4650</v>
      </c>
      <c r="Z416" s="42"/>
      <c r="AA416" s="67"/>
      <c r="AB416" s="67"/>
      <c r="AC416" s="67"/>
    </row>
    <row r="417" spans="1:68" ht="14.25" customHeight="1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3000</v>
      </c>
      <c r="Y418" s="55">
        <f>IFERROR(IF(X418="",0,CEILING((X418/$H418),1)*$H418),"")</f>
        <v>3000</v>
      </c>
      <c r="Z418" s="41">
        <f>IFERROR(IF(Y418=0,"",ROUNDUP(Y418/H418,0)*0.02175),"")</f>
        <v>4.3499999999999996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3094</v>
      </c>
      <c r="BN418" s="78">
        <f>IFERROR(Y418*I418/H418,"0")</f>
        <v>3094</v>
      </c>
      <c r="BO418" s="78">
        <f>IFERROR(1/J418*(X418/H418),"0")</f>
        <v>4.1666666666666661</v>
      </c>
      <c r="BP418" s="78">
        <f>IFERROR(1/J418*(Y418/H418),"0")</f>
        <v>4.1666666666666661</v>
      </c>
    </row>
    <row r="419" spans="1:68" ht="27" customHeight="1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60</v>
      </c>
      <c r="Y420" s="55">
        <f>IFERROR(IF(X420="",0,CEILING((X420/$H420),1)*$H420),"")</f>
        <v>60</v>
      </c>
      <c r="Z420" s="41">
        <f>IFERROR(IF(Y420=0,"",ROUNDUP(Y420/H420,0)*0.00902),"")</f>
        <v>0.1353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62.850000000000009</v>
      </c>
      <c r="BN420" s="78">
        <f>IFERROR(Y420*I420/H420,"0")</f>
        <v>62.850000000000009</v>
      </c>
      <c r="BO420" s="78">
        <f>IFERROR(1/J420*(X420/H420),"0")</f>
        <v>0.11363636363636365</v>
      </c>
      <c r="BP420" s="78">
        <f>IFERROR(1/J420*(Y420/H420),"0")</f>
        <v>0.11363636363636365</v>
      </c>
    </row>
    <row r="421" spans="1:68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215</v>
      </c>
      <c r="Y421" s="43">
        <f>IFERROR(Y418/H418,"0")+IFERROR(Y419/H419,"0")+IFERROR(Y420/H420,"0")</f>
        <v>215</v>
      </c>
      <c r="Z421" s="43">
        <f>IFERROR(IF(Z418="",0,Z418),"0")+IFERROR(IF(Z419="",0,Z419),"0")+IFERROR(IF(Z420="",0,Z420),"0")</f>
        <v>4.4852999999999996</v>
      </c>
      <c r="AA421" s="67"/>
      <c r="AB421" s="67"/>
      <c r="AC421" s="67"/>
    </row>
    <row r="422" spans="1:68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3060</v>
      </c>
      <c r="Y422" s="43">
        <f>IFERROR(SUM(Y418:Y420),"0")</f>
        <v>3060</v>
      </c>
      <c r="Z422" s="42"/>
      <c r="AA422" s="67"/>
      <c r="AB422" s="67"/>
      <c r="AC422" s="67"/>
    </row>
    <row r="423" spans="1:68" ht="14.25" customHeight="1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700</v>
      </c>
      <c r="Y424" s="55">
        <f>IFERROR(IF(X424="",0,CEILING((X424/$H424),1)*$H424),"")</f>
        <v>702</v>
      </c>
      <c r="Z424" s="41">
        <f>IFERROR(IF(Y424=0,"",ROUNDUP(Y424/H424,0)*0.01898),"")</f>
        <v>1.48044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738.88888888888891</v>
      </c>
      <c r="BN424" s="78">
        <f>IFERROR(Y424*I424/H424,"0")</f>
        <v>741</v>
      </c>
      <c r="BO424" s="78">
        <f>IFERROR(1/J424*(X424/H424),"0")</f>
        <v>1.2152777777777777</v>
      </c>
      <c r="BP424" s="78">
        <f>IFERROR(1/J424*(Y424/H424),"0")</f>
        <v>1.21875</v>
      </c>
    </row>
    <row r="425" spans="1:68" ht="27" customHeight="1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77.777777777777771</v>
      </c>
      <c r="Y426" s="43">
        <f>IFERROR(Y424/H424,"0")+IFERROR(Y425/H425,"0")</f>
        <v>78</v>
      </c>
      <c r="Z426" s="43">
        <f>IFERROR(IF(Z424="",0,Z424),"0")+IFERROR(IF(Z425="",0,Z425),"0")</f>
        <v>1.48044</v>
      </c>
      <c r="AA426" s="67"/>
      <c r="AB426" s="67"/>
      <c r="AC426" s="67"/>
    </row>
    <row r="427" spans="1:68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700</v>
      </c>
      <c r="Y427" s="43">
        <f>IFERROR(SUM(Y424:Y425),"0")</f>
        <v>702</v>
      </c>
      <c r="Z427" s="42"/>
      <c r="AA427" s="67"/>
      <c r="AB427" s="67"/>
      <c r="AC427" s="67"/>
    </row>
    <row r="428" spans="1:68" ht="14.25" customHeight="1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550</v>
      </c>
      <c r="Y481" s="55">
        <f t="shared" si="67"/>
        <v>554.4</v>
      </c>
      <c r="Z481" s="41">
        <f t="shared" si="68"/>
        <v>1.2558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586.45833333333326</v>
      </c>
      <c r="BN481" s="78">
        <f t="shared" si="70"/>
        <v>591.15</v>
      </c>
      <c r="BO481" s="78">
        <f t="shared" si="71"/>
        <v>1.0016025641025641</v>
      </c>
      <c r="BP481" s="78">
        <f t="shared" si="72"/>
        <v>1.0096153846153846</v>
      </c>
    </row>
    <row r="482" spans="1:68" ht="16.5" customHeight="1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300</v>
      </c>
      <c r="Y483" s="55">
        <f t="shared" si="67"/>
        <v>300.96000000000004</v>
      </c>
      <c r="Z483" s="41">
        <f t="shared" si="68"/>
        <v>0.68171999999999999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319.88636363636363</v>
      </c>
      <c r="BN483" s="78">
        <f t="shared" si="70"/>
        <v>320.91000000000003</v>
      </c>
      <c r="BO483" s="78">
        <f t="shared" si="71"/>
        <v>0.54632867132867136</v>
      </c>
      <c r="BP483" s="78">
        <f t="shared" si="72"/>
        <v>0.54807692307692313</v>
      </c>
    </row>
    <row r="484" spans="1:68" ht="27" customHeight="1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160.98484848484847</v>
      </c>
      <c r="Y487" s="43">
        <f>IFERROR(Y478/H478,"0")+IFERROR(Y479/H479,"0")+IFERROR(Y480/H480,"0")+IFERROR(Y481/H481,"0")+IFERROR(Y482/H482,"0")+IFERROR(Y483/H483,"0")+IFERROR(Y484/H484,"0")+IFERROR(Y485/H485,"0")+IFERROR(Y486/H486,"0")</f>
        <v>162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1.9375200000000001</v>
      </c>
      <c r="AA487" s="67"/>
      <c r="AB487" s="67"/>
      <c r="AC487" s="67"/>
    </row>
    <row r="488" spans="1:68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850</v>
      </c>
      <c r="Y488" s="43">
        <f>IFERROR(SUM(Y478:Y486),"0")</f>
        <v>855.36</v>
      </c>
      <c r="Z488" s="42"/>
      <c r="AA488" s="67"/>
      <c r="AB488" s="67"/>
      <c r="AC488" s="67"/>
    </row>
    <row r="489" spans="1:68" ht="14.25" customHeight="1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100</v>
      </c>
      <c r="Y498" s="55">
        <f t="shared" si="73"/>
        <v>100.32000000000001</v>
      </c>
      <c r="Z498" s="41">
        <f>IFERROR(IF(Y498=0,"",ROUNDUP(Y498/H498,0)*0.01196),"")</f>
        <v>0.22724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106.62878787878788</v>
      </c>
      <c r="BN498" s="78">
        <f t="shared" si="75"/>
        <v>106.97</v>
      </c>
      <c r="BO498" s="78">
        <f t="shared" si="76"/>
        <v>0.18210955710955709</v>
      </c>
      <c r="BP498" s="78">
        <f t="shared" si="77"/>
        <v>0.18269230769230771</v>
      </c>
    </row>
    <row r="499" spans="1:68" ht="27" customHeight="1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18.939393939393938</v>
      </c>
      <c r="Y503" s="43">
        <f>IFERROR(Y496/H496,"0")+IFERROR(Y497/H497,"0")+IFERROR(Y498/H498,"0")+IFERROR(Y499/H499,"0")+IFERROR(Y500/H500,"0")+IFERROR(Y501/H501,"0")+IFERROR(Y502/H502,"0")</f>
        <v>19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0.22724</v>
      </c>
      <c r="AA503" s="67"/>
      <c r="AB503" s="67"/>
      <c r="AC503" s="67"/>
    </row>
    <row r="504" spans="1:68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100</v>
      </c>
      <c r="Y504" s="43">
        <f>IFERROR(SUM(Y496:Y502),"0")</f>
        <v>100.32000000000001</v>
      </c>
      <c r="Z504" s="42"/>
      <c r="AA504" s="67"/>
      <c r="AB504" s="67"/>
      <c r="AC504" s="67"/>
    </row>
    <row r="505" spans="1:68" ht="27.75" customHeight="1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670</v>
      </c>
      <c r="Y517" s="55">
        <f>IFERROR(IF(X517="",0,CEILING((X517/$H517),1)*$H517),"")</f>
        <v>672</v>
      </c>
      <c r="Z517" s="41">
        <f>IFERROR(IF(Y517=0,"",ROUNDUP(Y517/H517,0)*0.00902),"")</f>
        <v>1.4432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709.88095238095229</v>
      </c>
      <c r="BN517" s="78">
        <f>IFERROR(Y517*I517/H517,"0")</f>
        <v>712</v>
      </c>
      <c r="BO517" s="78">
        <f>IFERROR(1/J517*(X517/H517),"0")</f>
        <v>1.2085137085137085</v>
      </c>
      <c r="BP517" s="78">
        <f>IFERROR(1/J517*(Y517/H517),"0")</f>
        <v>1.2121212121212122</v>
      </c>
    </row>
    <row r="518" spans="1:68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159.52380952380952</v>
      </c>
      <c r="Y518" s="43">
        <f>IFERROR(Y516/H516,"0")+IFERROR(Y517/H517,"0")</f>
        <v>160</v>
      </c>
      <c r="Z518" s="43">
        <f>IFERROR(IF(Z516="",0,Z516),"0")+IFERROR(IF(Z517="",0,Z517),"0")</f>
        <v>1.4432</v>
      </c>
      <c r="AA518" s="67"/>
      <c r="AB518" s="67"/>
      <c r="AC518" s="67"/>
    </row>
    <row r="519" spans="1:68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670</v>
      </c>
      <c r="Y519" s="43">
        <f>IFERROR(SUM(Y516:Y517),"0")</f>
        <v>672</v>
      </c>
      <c r="Z519" s="42"/>
      <c r="AA519" s="67"/>
      <c r="AB519" s="67"/>
      <c r="AC519" s="67"/>
    </row>
    <row r="520" spans="1:68" ht="14.25" customHeight="1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17959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18025.18</v>
      </c>
      <c r="Z534" s="42"/>
      <c r="AA534" s="67"/>
      <c r="AB534" s="67"/>
      <c r="AC534" s="67"/>
    </row>
    <row r="535" spans="1:68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18739.416061161064</v>
      </c>
      <c r="Y535" s="43">
        <f>IFERROR(SUM(BN22:BN531),"0")</f>
        <v>18808.746000000003</v>
      </c>
      <c r="Z535" s="42"/>
      <c r="AA535" s="67"/>
      <c r="AB535" s="67"/>
      <c r="AC535" s="67"/>
    </row>
    <row r="536" spans="1:68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29</v>
      </c>
      <c r="Y536" s="44">
        <f>ROUNDUP(SUM(BP22:BP531),0)</f>
        <v>29</v>
      </c>
      <c r="Z536" s="42"/>
      <c r="AA536" s="67"/>
      <c r="AB536" s="67"/>
      <c r="AC536" s="67"/>
    </row>
    <row r="537" spans="1:68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19464.416061161064</v>
      </c>
      <c r="Y537" s="43">
        <f>GrossWeightTotalR+PalletQtyTotalR*25</f>
        <v>19533.746000000003</v>
      </c>
      <c r="Z537" s="42"/>
      <c r="AA537" s="67"/>
      <c r="AB537" s="67"/>
      <c r="AC537" s="67"/>
    </row>
    <row r="538" spans="1:68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1975.1171606171606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1983</v>
      </c>
      <c r="Z538" s="42"/>
      <c r="AA538" s="67"/>
      <c r="AB538" s="67"/>
      <c r="AC538" s="67"/>
    </row>
    <row r="539" spans="1:68" ht="14.25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33.004779999999997</v>
      </c>
      <c r="AA539" s="67"/>
      <c r="AB539" s="67"/>
      <c r="AC539" s="67"/>
    </row>
    <row r="540" spans="1:68" ht="13.5" thickBot="1"/>
    <row r="541" spans="1:68" ht="27" thickTop="1" thickBot="1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205.20000000000002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2737.8</v>
      </c>
      <c r="F544" s="52">
        <f>IFERROR(Y88*1,"0")+IFERROR(Y89*1,"0")+IFERROR(Y90*1,"0")+IFERROR(Y91*1,"0")+IFERROR(Y95*1,"0")+IFERROR(Y96*1,"0")+IFERROR(Y97*1,"0")+IFERROR(Y98*1,"0")</f>
        <v>205.20000000000002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209.5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302.40000000000003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4325.3999999999996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8412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955.68000000000006</v>
      </c>
      <c r="AA544" s="52">
        <f>IFERROR(Y508*1,"0")+IFERROR(Y512*1,"0")+IFERROR(Y516*1,"0")+IFERROR(Y517*1,"0")+IFERROR(Y521*1,"0")+IFERROR(Y525*1,"0")+IFERROR(Y526*1,"0")</f>
        <v>672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834</v>
      </c>
      <c r="H1" s="9"/>
    </row>
    <row r="3" spans="2:8">
      <c r="B3" s="53" t="s">
        <v>835</v>
      </c>
      <c r="C3" s="53" t="s">
        <v>46</v>
      </c>
      <c r="D3" s="53" t="s">
        <v>46</v>
      </c>
      <c r="E3" s="53" t="s">
        <v>46</v>
      </c>
    </row>
    <row r="4" spans="2:8">
      <c r="B4" s="53" t="s">
        <v>836</v>
      </c>
      <c r="C4" s="53" t="s">
        <v>46</v>
      </c>
      <c r="D4" s="53" t="s">
        <v>46</v>
      </c>
      <c r="E4" s="53" t="s">
        <v>46</v>
      </c>
    </row>
    <row r="6" spans="2:8">
      <c r="B6" s="53" t="s">
        <v>837</v>
      </c>
      <c r="C6" s="53" t="s">
        <v>838</v>
      </c>
      <c r="D6" s="53" t="s">
        <v>839</v>
      </c>
      <c r="E6" s="53" t="s">
        <v>46</v>
      </c>
    </row>
    <row r="7" spans="2:8">
      <c r="B7" s="53" t="s">
        <v>840</v>
      </c>
      <c r="C7" s="53" t="s">
        <v>841</v>
      </c>
      <c r="D7" s="53" t="s">
        <v>842</v>
      </c>
      <c r="E7" s="53" t="s">
        <v>46</v>
      </c>
    </row>
    <row r="8" spans="2:8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2026-07-17T05:19:02Z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