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2323399D-6C75-444F-9810-0399C132246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P445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Y436" i="2"/>
  <c r="X436" i="2"/>
  <c r="BO435" i="2"/>
  <c r="BM435" i="2"/>
  <c r="Y435" i="2"/>
  <c r="BP435" i="2" s="1"/>
  <c r="P435" i="2"/>
  <c r="BO434" i="2"/>
  <c r="BM434" i="2"/>
  <c r="Z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P413" i="2"/>
  <c r="BO413" i="2"/>
  <c r="BN413" i="2"/>
  <c r="BM413" i="2"/>
  <c r="Z413" i="2"/>
  <c r="Y413" i="2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P394" i="2"/>
  <c r="BO394" i="2"/>
  <c r="BM394" i="2"/>
  <c r="Y394" i="2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P375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Z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Z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P291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Y251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P244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N225" i="2"/>
  <c r="BM225" i="2"/>
  <c r="Z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Y161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P115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BN31" i="2" l="1"/>
  <c r="BN45" i="2"/>
  <c r="BN90" i="2"/>
  <c r="BN107" i="2"/>
  <c r="BN125" i="2"/>
  <c r="BN129" i="2"/>
  <c r="BN293" i="2"/>
  <c r="BN301" i="2"/>
  <c r="BN305" i="2"/>
  <c r="BN334" i="2"/>
  <c r="Y343" i="2"/>
  <c r="BP367" i="2"/>
  <c r="BN368" i="2"/>
  <c r="BN454" i="2"/>
  <c r="BN52" i="2"/>
  <c r="Y100" i="2"/>
  <c r="BN96" i="2"/>
  <c r="Y126" i="2"/>
  <c r="Y130" i="2"/>
  <c r="BN174" i="2"/>
  <c r="Z176" i="2"/>
  <c r="BP203" i="2"/>
  <c r="BN204" i="2"/>
  <c r="BP224" i="2"/>
  <c r="BN250" i="2"/>
  <c r="Y302" i="2"/>
  <c r="Y306" i="2"/>
  <c r="BP311" i="2"/>
  <c r="BN325" i="2"/>
  <c r="BN340" i="2"/>
  <c r="Z367" i="2"/>
  <c r="Z410" i="2"/>
  <c r="Z419" i="2"/>
  <c r="BP434" i="2"/>
  <c r="BN435" i="2"/>
  <c r="Y474" i="2"/>
  <c r="BN479" i="2"/>
  <c r="Y494" i="2"/>
  <c r="BP516" i="2"/>
  <c r="BP502" i="2"/>
  <c r="BN499" i="2"/>
  <c r="BN497" i="2"/>
  <c r="Z497" i="2"/>
  <c r="Z490" i="2"/>
  <c r="Y493" i="2"/>
  <c r="BN485" i="2"/>
  <c r="BN482" i="2"/>
  <c r="BN470" i="2"/>
  <c r="BN452" i="2"/>
  <c r="Y446" i="2"/>
  <c r="Y447" i="2"/>
  <c r="Z443" i="2"/>
  <c r="Z412" i="2"/>
  <c r="BP412" i="2"/>
  <c r="BP401" i="2"/>
  <c r="Z401" i="2"/>
  <c r="BN387" i="2"/>
  <c r="BN372" i="2"/>
  <c r="Z365" i="2"/>
  <c r="Z358" i="2"/>
  <c r="BP358" i="2"/>
  <c r="Z355" i="2"/>
  <c r="Z334" i="2"/>
  <c r="BN320" i="2"/>
  <c r="Z280" i="2"/>
  <c r="BP280" i="2"/>
  <c r="Z278" i="2"/>
  <c r="BP278" i="2"/>
  <c r="BN272" i="2"/>
  <c r="Z264" i="2"/>
  <c r="BN262" i="2"/>
  <c r="Z231" i="2"/>
  <c r="Z224" i="2"/>
  <c r="Z223" i="2"/>
  <c r="Z221" i="2"/>
  <c r="BN217" i="2"/>
  <c r="BN214" i="2"/>
  <c r="BN209" i="2"/>
  <c r="Y210" i="2"/>
  <c r="Z187" i="2"/>
  <c r="BN187" i="2"/>
  <c r="BP187" i="2"/>
  <c r="Y190" i="2"/>
  <c r="BN182" i="2"/>
  <c r="BN170" i="2"/>
  <c r="Z159" i="2"/>
  <c r="BP159" i="2"/>
  <c r="Z158" i="2"/>
  <c r="Z160" i="2" s="1"/>
  <c r="Y155" i="2"/>
  <c r="BN122" i="2"/>
  <c r="BN117" i="2"/>
  <c r="BN112" i="2"/>
  <c r="Z103" i="2"/>
  <c r="Z98" i="2"/>
  <c r="E544" i="2"/>
  <c r="BN78" i="2"/>
  <c r="Y80" i="2"/>
  <c r="Y79" i="2"/>
  <c r="BN73" i="2"/>
  <c r="Y74" i="2"/>
  <c r="BN61" i="2"/>
  <c r="Z29" i="2"/>
  <c r="Y32" i="2"/>
  <c r="Y24" i="2"/>
  <c r="X53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Z312" i="2" s="1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Z421" i="2" s="1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Z436" i="2" s="1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Z395" i="2" s="1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Z189" i="2" s="1"/>
  <c r="Y193" i="2"/>
  <c r="Y205" i="2"/>
  <c r="Y257" i="2"/>
  <c r="Z332" i="2"/>
  <c r="Y359" i="2"/>
  <c r="Y369" i="2"/>
  <c r="Y377" i="2"/>
  <c r="Z386" i="2"/>
  <c r="Y422" i="2"/>
  <c r="Z444" i="2"/>
  <c r="Z446" i="2" s="1"/>
  <c r="Z456" i="2"/>
  <c r="BP471" i="2"/>
  <c r="Z481" i="2"/>
  <c r="Z491" i="2"/>
  <c r="Z493" i="2" s="1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Z146" i="2" s="1"/>
  <c r="Y179" i="2"/>
  <c r="Z213" i="2"/>
  <c r="BP27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73" i="2" s="1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376" i="2" s="1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46" i="2" s="1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205" i="2" l="1"/>
  <c r="Z402" i="2"/>
  <c r="Z527" i="2"/>
  <c r="Z457" i="2"/>
  <c r="Z415" i="2"/>
  <c r="Z382" i="2"/>
  <c r="Z359" i="2"/>
  <c r="Z321" i="2"/>
  <c r="Z119" i="2"/>
  <c r="Z74" i="2"/>
  <c r="X537" i="2"/>
  <c r="Z24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<sst xmlns="http://schemas.openxmlformats.org/spreadsheetml/2006/main" count="4047" uniqueCount="860">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</sst>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09" zoomScaleNormal="100" zoomScaleSheetLayoutView="100" workbookViewId="0">
      <selection activeCell="X123" sqref="X1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3.6</v>
      </c>
      <c r="Y23" s="55">
        <f>IFERROR(IF(X23="",0,CEILING((X23/$H23),1)*$H23),"")</f>
        <v>3.6</v>
      </c>
      <c r="Z23" s="41">
        <f>IFERROR(IF(Y23=0,"",ROUNDUP(Y23/H23,0)*0.00502),"")</f>
        <v>1.004E-2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3.8599999999999994</v>
      </c>
      <c r="BN23" s="78">
        <f>IFERROR(Y23*I23/H23,"0")</f>
        <v>3.8599999999999994</v>
      </c>
      <c r="BO23" s="78">
        <f>IFERROR(1/J23*(X23/H23),"0")</f>
        <v>8.5470085470085479E-3</v>
      </c>
      <c r="BP23" s="78">
        <f>IFERROR(1/J23*(Y23/H23),"0")</f>
        <v>8.5470085470085479E-3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4</v>
      </c>
      <c r="Y24" s="43">
        <f>IFERROR(Y22/H22,"0")+IFERROR(Y23/H23,"0")</f>
        <v>4</v>
      </c>
      <c r="Z24" s="43">
        <f>IFERROR(IF(Z22="",0,Z22),"0")+IFERROR(IF(Z23="",0,Z23),"0")</f>
        <v>2.0080000000000001E-2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7.4</v>
      </c>
      <c r="Y25" s="43">
        <f>IFERROR(SUM(Y22:Y23),"0")</f>
        <v>7.4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3</v>
      </c>
      <c r="Y32" s="43">
        <f>IFERROR(Y27/H27,"0")+IFERROR(Y28/H28,"0")+IFERROR(Y29/H29,"0")+IFERROR(Y30/H30,"0")+IFERROR(Y31/H31,"0")</f>
        <v>3</v>
      </c>
      <c r="Z32" s="43">
        <f>IFERROR(IF(Z27="",0,Z27),"0")+IFERROR(IF(Z28="",0,Z28),"0")+IFERROR(IF(Z29="",0,Z29),"0")+IFERROR(IF(Z30="",0,Z30),"0")+IFERROR(IF(Z31="",0,Z31),"0")</f>
        <v>1.9529999999999999E-2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6.12</v>
      </c>
      <c r="Y33" s="43">
        <f>IFERROR(SUM(Y27:Y31),"0")</f>
        <v>6.12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20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20.950000000000003</v>
      </c>
      <c r="BN53" s="78">
        <f>IFERROR(Y53*I53/H53,"0")</f>
        <v>20.950000000000003</v>
      </c>
      <c r="BO53" s="78">
        <f>IFERROR(1/J53*(X53/H53),"0")</f>
        <v>3.787878787878788E-2</v>
      </c>
      <c r="BP53" s="78">
        <f>IFERROR(1/J53*(Y53/H53),"0")</f>
        <v>3.787878787878788E-2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20</v>
      </c>
      <c r="Y55" s="43">
        <f>IFERROR(Y51/H51,"0")+IFERROR(Y52/H52,"0")+IFERROR(Y53/H53,"0")+IFERROR(Y54/H54,"0")</f>
        <v>20</v>
      </c>
      <c r="Z55" s="43">
        <f>IFERROR(IF(Z51="",0,Z51),"0")+IFERROR(IF(Z52="",0,Z52),"0")+IFERROR(IF(Z53="",0,Z53),"0")+IFERROR(IF(Z54="",0,Z54),"0")</f>
        <v>0.32979999999999998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182</v>
      </c>
      <c r="Y56" s="43">
        <f>IFERROR(SUM(Y51:Y54),"0")</f>
        <v>182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108</v>
      </c>
      <c r="Y61" s="55">
        <f t="shared" si="0"/>
        <v>108</v>
      </c>
      <c r="Z61" s="41">
        <f>IFERROR(IF(Y61=0,"",ROUNDUP(Y61/H61,0)*0.01898),"")</f>
        <v>0.1898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112.1</v>
      </c>
      <c r="BN61" s="78">
        <f t="shared" si="2"/>
        <v>112.1</v>
      </c>
      <c r="BO61" s="78">
        <f t="shared" si="3"/>
        <v>0.15625</v>
      </c>
      <c r="BP61" s="78">
        <f t="shared" si="4"/>
        <v>0.15625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0.26195999999999997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144.9</v>
      </c>
      <c r="Y68" s="43">
        <f>IFERROR(SUM(Y59:Y66),"0")</f>
        <v>144.9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1</v>
      </c>
      <c r="Y79" s="43">
        <f>IFERROR(Y77/H77,"0")+IFERROR(Y78/H78,"0")</f>
        <v>1</v>
      </c>
      <c r="Z79" s="43">
        <f>IFERROR(IF(Z77="",0,Z77),"0")+IFERROR(IF(Z78="",0,Z78),"0")</f>
        <v>6.5100000000000002E-3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1.8</v>
      </c>
      <c r="Y80" s="43">
        <f>IFERROR(SUM(Y77:Y78),"0")</f>
        <v>1.8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129.6</v>
      </c>
      <c r="Y88" s="55">
        <f>IFERROR(IF(X88="",0,CEILING((X88/$H88),1)*$H88),"")</f>
        <v>129.60000000000002</v>
      </c>
      <c r="Z88" s="41">
        <f>IFERROR(IF(Y88=0,"",ROUNDUP(Y88/H88,0)*0.01898),"")</f>
        <v>0.22776000000000002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134.51999999999998</v>
      </c>
      <c r="BN88" s="78">
        <f>IFERROR(Y88*I88/H88,"0")</f>
        <v>134.52000000000001</v>
      </c>
      <c r="BO88" s="78">
        <f>IFERROR(1/J88*(X88/H88),"0")</f>
        <v>0.18749999999999997</v>
      </c>
      <c r="BP88" s="78">
        <f>IFERROR(1/J88*(Y88/H88),"0")</f>
        <v>0.18750000000000003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27</v>
      </c>
      <c r="Y91" s="55">
        <f>IFERROR(IF(X91="",0,CEILING((X91/$H91),1)*$H91),"")</f>
        <v>27</v>
      </c>
      <c r="Z91" s="41">
        <f>IFERROR(IF(Y91=0,"",ROUNDUP(Y91/H91,0)*0.00902),"")</f>
        <v>5.4120000000000001E-2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28.14</v>
      </c>
      <c r="BN91" s="78">
        <f>IFERROR(Y91*I91/H91,"0")</f>
        <v>28.14</v>
      </c>
      <c r="BO91" s="78">
        <f>IFERROR(1/J91*(X91/H91),"0")</f>
        <v>4.5454545454545456E-2</v>
      </c>
      <c r="BP91" s="78">
        <f>IFERROR(1/J91*(Y91/H91),"0")</f>
        <v>4.5454545454545456E-2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18</v>
      </c>
      <c r="Y92" s="43">
        <f>IFERROR(Y88/H88,"0")+IFERROR(Y89/H89,"0")+IFERROR(Y90/H90,"0")+IFERROR(Y91/H91,"0")</f>
        <v>18</v>
      </c>
      <c r="Z92" s="43">
        <f>IFERROR(IF(Z88="",0,Z88),"0")+IFERROR(IF(Z89="",0,Z89),"0")+IFERROR(IF(Z90="",0,Z90),"0")+IFERROR(IF(Z91="",0,Z91),"0")</f>
        <v>0.28188000000000002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156.6</v>
      </c>
      <c r="Y93" s="43">
        <f>IFERROR(SUM(Y88:Y91),"0")</f>
        <v>156.60000000000002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56.7</v>
      </c>
      <c r="Y95" s="55">
        <f>IFERROR(IF(X95="",0,CEILING((X95/$H95),1)*$H95),"")</f>
        <v>56.699999999999996</v>
      </c>
      <c r="Z95" s="41">
        <f>IFERROR(IF(Y95=0,"",ROUNDUP(Y95/H95,0)*0.01898),"")</f>
        <v>0.13286000000000001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60.158000000000001</v>
      </c>
      <c r="BN95" s="78">
        <f>IFERROR(Y95*I95/H95,"0")</f>
        <v>60.157999999999994</v>
      </c>
      <c r="BO95" s="78">
        <f>IFERROR(1/J95*(X95/H95),"0")</f>
        <v>0.10937500000000001</v>
      </c>
      <c r="BP95" s="78">
        <f>IFERROR(1/J95*(Y95/H95),"0")</f>
        <v>0.109375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2.7</v>
      </c>
      <c r="Y97" s="55">
        <f>IFERROR(IF(X97="",0,CEILING((X97/$H97),1)*$H97),"")</f>
        <v>2.7</v>
      </c>
      <c r="Z97" s="41">
        <f>IFERROR(IF(Y97=0,"",ROUNDUP(Y97/H97,0)*0.00651),"")</f>
        <v>6.5100000000000002E-3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2.952</v>
      </c>
      <c r="BN97" s="78">
        <f>IFERROR(Y97*I97/H97,"0")</f>
        <v>2.952</v>
      </c>
      <c r="BO97" s="78">
        <f>IFERROR(1/J97*(X97/H97),"0")</f>
        <v>5.4945054945054949E-3</v>
      </c>
      <c r="BP97" s="78">
        <f>IFERROR(1/J97*(Y97/H97),"0")</f>
        <v>5.4945054945054949E-3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9</v>
      </c>
      <c r="Y99" s="43">
        <f>IFERROR(Y95/H95,"0")+IFERROR(Y96/H96,"0")+IFERROR(Y97/H97,"0")+IFERROR(Y98/H98,"0")</f>
        <v>9</v>
      </c>
      <c r="Z99" s="43">
        <f>IFERROR(IF(Z95="",0,Z95),"0")+IFERROR(IF(Z96="",0,Z96),"0")+IFERROR(IF(Z97="",0,Z97),"0")+IFERROR(IF(Z98="",0,Z98),"0")</f>
        <v>0.14587999999999998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61.38</v>
      </c>
      <c r="Y100" s="43">
        <f>IFERROR(SUM(Y95:Y98),"0")</f>
        <v>61.379999999999995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54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56.05</v>
      </c>
      <c r="BN103" s="78">
        <f t="shared" ref="BN103:BN108" si="7">IFERROR(Y103*I103/H103,"0")</f>
        <v>56.05</v>
      </c>
      <c r="BO103" s="78">
        <f t="shared" ref="BO103:BO108" si="8">IFERROR(1/J103*(X103/H103),"0")</f>
        <v>7.8125E-2</v>
      </c>
      <c r="BP103" s="78">
        <f t="shared" ref="BP103:BP108" si="9">IFERROR(1/J103*(Y103/H103),"0")</f>
        <v>7.8125E-2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7</v>
      </c>
      <c r="Y109" s="43">
        <f>IFERROR(Y103/H103,"0")+IFERROR(Y104/H104,"0")+IFERROR(Y105/H105,"0")+IFERROR(Y106/H106,"0")+IFERROR(Y107/H107,"0")+IFERROR(Y108/H108,"0")</f>
        <v>7</v>
      </c>
      <c r="Z109" s="43">
        <f>IFERROR(IF(Z103="",0,Z103),"0")+IFERROR(IF(Z104="",0,Z104),"0")+IFERROR(IF(Z105="",0,Z105),"0")+IFERROR(IF(Z106="",0,Z106),"0")+IFERROR(IF(Z107="",0,Z107),"0")+IFERROR(IF(Z108="",0,Z108),"0")</f>
        <v>0.11294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63</v>
      </c>
      <c r="Y110" s="43">
        <f>IFERROR(SUM(Y103:Y108),"0")</f>
        <v>63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21.6</v>
      </c>
      <c r="Y112" s="55">
        <f t="shared" ref="Y112:Y118" si="10">IFERROR(IF(X112="",0,CEILING((X112/$H112),1)*$H112),"")</f>
        <v>21.6</v>
      </c>
      <c r="Z112" s="41">
        <f>IFERROR(IF(Y112=0,"",ROUNDUP(Y112/H112,0)*0.01898),"")</f>
        <v>3.7960000000000001E-2</v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22.42</v>
      </c>
      <c r="BN112" s="78">
        <f t="shared" ref="BN112:BN118" si="12">IFERROR(Y112*I112/H112,"0")</f>
        <v>22.42</v>
      </c>
      <c r="BO112" s="78">
        <f t="shared" ref="BO112:BO118" si="13">IFERROR(1/J112*(X112/H112),"0")</f>
        <v>3.125E-2</v>
      </c>
      <c r="BP112" s="78">
        <f t="shared" ref="BP112:BP118" si="14">IFERROR(1/J112*(Y112/H112),"0")</f>
        <v>3.125E-2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7.2</v>
      </c>
      <c r="Y117" s="55">
        <f t="shared" si="10"/>
        <v>7.1999999999999993</v>
      </c>
      <c r="Z117" s="41">
        <f>IFERROR(IF(Y117=0,"",ROUNDUP(Y117/H117,0)*0.00651),"")</f>
        <v>1.9529999999999999E-2</v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7.74</v>
      </c>
      <c r="BN117" s="78">
        <f t="shared" si="12"/>
        <v>7.7399999999999993</v>
      </c>
      <c r="BO117" s="78">
        <f t="shared" si="13"/>
        <v>1.6483516483516484E-2</v>
      </c>
      <c r="BP117" s="78">
        <f t="shared" si="14"/>
        <v>1.6483516483516484E-2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5</v>
      </c>
      <c r="Y119" s="43">
        <f>IFERROR(Y112/H112,"0")+IFERROR(Y113/H113,"0")+IFERROR(Y114/H114,"0")+IFERROR(Y115/H115,"0")+IFERROR(Y116/H116,"0")+IFERROR(Y117/H117,"0")+IFERROR(Y118/H118,"0")</f>
        <v>5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5.7489999999999999E-2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28.8</v>
      </c>
      <c r="Y120" s="43">
        <f>IFERROR(SUM(Y112:Y118),"0")</f>
        <v>28.8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64.8</v>
      </c>
      <c r="Y122" s="55">
        <f>IFERROR(IF(X122="",0,CEILING((X122/$H122),1)*$H122),"")</f>
        <v>64.8</v>
      </c>
      <c r="Z122" s="41">
        <f>IFERROR(IF(Y122=0,"",ROUNDUP(Y122/H122,0)*0.01898),"")</f>
        <v>0.15184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68.703999999999994</v>
      </c>
      <c r="BN122" s="78">
        <f>IFERROR(Y122*I122/H122,"0")</f>
        <v>68.703999999999994</v>
      </c>
      <c r="BO122" s="78">
        <f>IFERROR(1/J122*(X122/H122),"0")</f>
        <v>0.125</v>
      </c>
      <c r="BP122" s="78">
        <f>IFERROR(1/J122*(Y122/H122),"0")</f>
        <v>0.125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2.7</v>
      </c>
      <c r="Y124" s="55">
        <f>IFERROR(IF(X124="",0,CEILING((X124/$H124),1)*$H124),"")</f>
        <v>2.7</v>
      </c>
      <c r="Z124" s="41">
        <f>IFERROR(IF(Y124=0,"",ROUNDUP(Y124/H124,0)*0.00651),"")</f>
        <v>6.5100000000000002E-3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2.952</v>
      </c>
      <c r="BN124" s="78">
        <f>IFERROR(Y124*I124/H124,"0")</f>
        <v>2.952</v>
      </c>
      <c r="BO124" s="78">
        <f>IFERROR(1/J124*(X124/H124),"0")</f>
        <v>5.4945054945054949E-3</v>
      </c>
      <c r="BP124" s="78">
        <f>IFERROR(1/J124*(Y124/H124),"0")</f>
        <v>5.4945054945054949E-3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9</v>
      </c>
      <c r="Y126" s="43">
        <f>IFERROR(Y122/H122,"0")+IFERROR(Y123/H123,"0")+IFERROR(Y124/H124,"0")+IFERROR(Y125/H125,"0")</f>
        <v>9</v>
      </c>
      <c r="Z126" s="43">
        <f>IFERROR(IF(Z122="",0,Z122),"0")+IFERROR(IF(Z123="",0,Z123),"0")+IFERROR(IF(Z124="",0,Z124),"0")+IFERROR(IF(Z125="",0,Z125),"0")</f>
        <v>0.15834999999999999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67.5</v>
      </c>
      <c r="Y127" s="43">
        <f>IFERROR(SUM(Y122:Y125),"0")</f>
        <v>67.5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1.98</v>
      </c>
      <c r="Y150" s="55">
        <f>IFERROR(IF(X150="",0,CEILING((X150/$H150),1)*$H150),"")</f>
        <v>1.98</v>
      </c>
      <c r="Z150" s="41">
        <f>IFERROR(IF(Y150=0,"",ROUNDUP(Y150/H150,0)*0.00651),"")</f>
        <v>6.5100000000000002E-3</v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2.2589999999999999</v>
      </c>
      <c r="BN150" s="78">
        <f>IFERROR(Y150*I150/H150,"0")</f>
        <v>2.2589999999999999</v>
      </c>
      <c r="BO150" s="78">
        <f>IFERROR(1/J150*(X150/H150),"0")</f>
        <v>5.4945054945054949E-3</v>
      </c>
      <c r="BP150" s="78">
        <f>IFERROR(1/J150*(Y150/H150),"0")</f>
        <v>5.4945054945054949E-3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1.98</v>
      </c>
      <c r="Y151" s="55">
        <f>IFERROR(IF(X151="",0,CEILING((X151/$H151),1)*$H151),"")</f>
        <v>1.98</v>
      </c>
      <c r="Z151" s="41">
        <f>IFERROR(IF(Y151=0,"",ROUNDUP(Y151/H151,0)*0.00651),"")</f>
        <v>6.5100000000000002E-3</v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2.2589999999999999</v>
      </c>
      <c r="BN151" s="78">
        <f>IFERROR(Y151*I151/H151,"0")</f>
        <v>2.2589999999999999</v>
      </c>
      <c r="BO151" s="78">
        <f>IFERROR(1/J151*(X151/H151),"0")</f>
        <v>5.4945054945054949E-3</v>
      </c>
      <c r="BP151" s="78">
        <f>IFERROR(1/J151*(Y151/H151),"0")</f>
        <v>5.4945054945054949E-3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1.98</v>
      </c>
      <c r="Y152" s="55">
        <f>IFERROR(IF(X152="",0,CEILING((X152/$H152),1)*$H152),"")</f>
        <v>1.98</v>
      </c>
      <c r="Z152" s="41">
        <f>IFERROR(IF(Y152=0,"",ROUNDUP(Y152/H152,0)*0.00651),"")</f>
        <v>6.5100000000000002E-3</v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2.2589999999999999</v>
      </c>
      <c r="BN152" s="78">
        <f>IFERROR(Y152*I152/H152,"0")</f>
        <v>2.2589999999999999</v>
      </c>
      <c r="BO152" s="78">
        <f>IFERROR(1/J152*(X152/H152),"0")</f>
        <v>5.4945054945054949E-3</v>
      </c>
      <c r="BP152" s="78">
        <f>IFERROR(1/J152*(Y152/H152),"0")</f>
        <v>5.4945054945054949E-3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1.98</v>
      </c>
      <c r="Y153" s="55">
        <f>IFERROR(IF(X153="",0,CEILING((X153/$H153),1)*$H153),"")</f>
        <v>1.98</v>
      </c>
      <c r="Z153" s="41">
        <f>IFERROR(IF(Y153=0,"",ROUNDUP(Y153/H153,0)*0.00651),"")</f>
        <v>6.5100000000000002E-3</v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2.2589999999999999</v>
      </c>
      <c r="BN153" s="78">
        <f>IFERROR(Y153*I153/H153,"0")</f>
        <v>2.2589999999999999</v>
      </c>
      <c r="BO153" s="78">
        <f>IFERROR(1/J153*(X153/H153),"0")</f>
        <v>5.4945054945054949E-3</v>
      </c>
      <c r="BP153" s="78">
        <f>IFERROR(1/J153*(Y153/H153),"0")</f>
        <v>5.4945054945054949E-3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4</v>
      </c>
      <c r="Y154" s="43">
        <f>IFERROR(Y150/H150,"0")+IFERROR(Y151/H151,"0")+IFERROR(Y152/H152,"0")+IFERROR(Y153/H153,"0")</f>
        <v>4</v>
      </c>
      <c r="Z154" s="43">
        <f>IFERROR(IF(Z150="",0,Z150),"0")+IFERROR(IF(Z151="",0,Z151),"0")+IFERROR(IF(Z152="",0,Z152),"0")+IFERROR(IF(Z153="",0,Z153),"0")</f>
        <v>2.6040000000000001E-2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7.92</v>
      </c>
      <c r="Y155" s="43">
        <f>IFERROR(SUM(Y150:Y153),"0")</f>
        <v>7.92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64</v>
      </c>
      <c r="Y158" s="55">
        <f>IFERROR(IF(X158="",0,CEILING((X158/$H158),1)*$H158),"")</f>
        <v>64</v>
      </c>
      <c r="Z158" s="41">
        <f>IFERROR(IF(Y158=0,"",ROUNDUP(Y158/H158,0)*0.01898),"")</f>
        <v>9.4899999999999998E-2</v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66.05</v>
      </c>
      <c r="BN158" s="78">
        <f>IFERROR(Y158*I158/H158,"0")</f>
        <v>66.05</v>
      </c>
      <c r="BO158" s="78">
        <f>IFERROR(1/J158*(X158/H158),"0")</f>
        <v>7.8125E-2</v>
      </c>
      <c r="BP158" s="78">
        <f>IFERROR(1/J158*(Y158/H158),"0")</f>
        <v>7.8125E-2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20</v>
      </c>
      <c r="Y159" s="55">
        <f>IFERROR(IF(X159="",0,CEILING((X159/$H159),1)*$H159),"")</f>
        <v>20</v>
      </c>
      <c r="Z159" s="41">
        <f>IFERROR(IF(Y159=0,"",ROUNDUP(Y159/H159,0)*0.00902),"")</f>
        <v>4.5100000000000001E-2</v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20.950000000000003</v>
      </c>
      <c r="BN159" s="78">
        <f>IFERROR(Y159*I159/H159,"0")</f>
        <v>20.950000000000003</v>
      </c>
      <c r="BO159" s="78">
        <f>IFERROR(1/J159*(X159/H159),"0")</f>
        <v>3.787878787878788E-2</v>
      </c>
      <c r="BP159" s="78">
        <f>IFERROR(1/J159*(Y159/H159),"0")</f>
        <v>3.787878787878788E-2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10</v>
      </c>
      <c r="Y160" s="43">
        <f>IFERROR(Y158/H158,"0")+IFERROR(Y159/H159,"0")</f>
        <v>10</v>
      </c>
      <c r="Z160" s="43">
        <f>IFERROR(IF(Z158="",0,Z158),"0")+IFERROR(IF(Z159="",0,Z159),"0")</f>
        <v>0.14000000000000001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84</v>
      </c>
      <c r="Y161" s="43">
        <f>IFERROR(SUM(Y158:Y159),"0")</f>
        <v>84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24.5</v>
      </c>
      <c r="Y167" s="55">
        <f t="shared" ref="Y167:Y177" si="15">IFERROR(IF(X167="",0,CEILING((X167/$H167),1)*$H167),"")</f>
        <v>24.5</v>
      </c>
      <c r="Z167" s="41">
        <f>IFERROR(IF(Y167=0,"",ROUNDUP(Y167/H167,0)*0.00902),"")</f>
        <v>6.3140000000000002E-2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25.830000000000002</v>
      </c>
      <c r="BN167" s="78">
        <f t="shared" ref="BN167:BN177" si="17">IFERROR(Y167*I167/H167,"0")</f>
        <v>25.830000000000002</v>
      </c>
      <c r="BO167" s="78">
        <f t="shared" ref="BO167:BO177" si="18">IFERROR(1/J167*(X167/H167),"0")</f>
        <v>5.3030303030303032E-2</v>
      </c>
      <c r="BP167" s="78">
        <f t="shared" ref="BP167:BP177" si="19">IFERROR(1/J167*(Y167/H167),"0")</f>
        <v>5.3030303030303032E-2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9</v>
      </c>
      <c r="Y168" s="55">
        <f t="shared" si="15"/>
        <v>9</v>
      </c>
      <c r="Z168" s="41">
        <f>IFERROR(IF(Y168=0,"",ROUNDUP(Y168/H168,0)*0.01898),"")</f>
        <v>1.898E-2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9.56</v>
      </c>
      <c r="BN168" s="78">
        <f t="shared" si="17"/>
        <v>9.56</v>
      </c>
      <c r="BO168" s="78">
        <f t="shared" si="18"/>
        <v>1.5625E-2</v>
      </c>
      <c r="BP168" s="78">
        <f t="shared" si="19"/>
        <v>1.5625E-2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10.5</v>
      </c>
      <c r="Y169" s="55">
        <f t="shared" si="15"/>
        <v>10.5</v>
      </c>
      <c r="Z169" s="41">
        <f>IFERROR(IF(Y169=0,"",ROUNDUP(Y169/H169,0)*0.00902),"")</f>
        <v>2.7060000000000001E-2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11.069999999999999</v>
      </c>
      <c r="BN169" s="78">
        <f t="shared" si="17"/>
        <v>11.069999999999999</v>
      </c>
      <c r="BO169" s="78">
        <f t="shared" si="18"/>
        <v>2.2727272727272728E-2</v>
      </c>
      <c r="BP169" s="78">
        <f t="shared" si="19"/>
        <v>2.2727272727272728E-2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24.5</v>
      </c>
      <c r="Y170" s="55">
        <f t="shared" si="15"/>
        <v>24.5</v>
      </c>
      <c r="Z170" s="41">
        <f>IFERROR(IF(Y170=0,"",ROUNDUP(Y170/H170,0)*0.00902),"")</f>
        <v>6.3140000000000002E-2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25.830000000000002</v>
      </c>
      <c r="BN170" s="78">
        <f t="shared" si="17"/>
        <v>25.830000000000002</v>
      </c>
      <c r="BO170" s="78">
        <f t="shared" si="18"/>
        <v>5.3030303030303032E-2</v>
      </c>
      <c r="BP170" s="78">
        <f t="shared" si="19"/>
        <v>5.3030303030303032E-2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8.4</v>
      </c>
      <c r="Y172" s="55">
        <f t="shared" si="15"/>
        <v>8.4</v>
      </c>
      <c r="Z172" s="41">
        <f>IFERROR(IF(Y172=0,"",ROUNDUP(Y172/H172,0)*0.00502),"")</f>
        <v>2.5100000000000001E-2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8.9000000000000021</v>
      </c>
      <c r="BN172" s="78">
        <f t="shared" si="17"/>
        <v>8.9000000000000021</v>
      </c>
      <c r="BO172" s="78">
        <f t="shared" si="18"/>
        <v>2.1367521367521368E-2</v>
      </c>
      <c r="BP172" s="78">
        <f t="shared" si="19"/>
        <v>2.1367521367521368E-2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8.4</v>
      </c>
      <c r="Y175" s="55">
        <f t="shared" si="15"/>
        <v>8.4</v>
      </c>
      <c r="Z175" s="41">
        <f>IFERROR(IF(Y175=0,"",ROUNDUP(Y175/H175,0)*0.00502),"")</f>
        <v>2.5100000000000001E-2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8.9000000000000021</v>
      </c>
      <c r="BN175" s="78">
        <f t="shared" si="17"/>
        <v>8.9000000000000021</v>
      </c>
      <c r="BO175" s="78">
        <f t="shared" si="18"/>
        <v>2.1367521367521368E-2</v>
      </c>
      <c r="BP175" s="78">
        <f t="shared" si="19"/>
        <v>2.1367521367521368E-2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8.4</v>
      </c>
      <c r="Y177" s="55">
        <f t="shared" si="15"/>
        <v>8.4</v>
      </c>
      <c r="Z177" s="41">
        <f>IFERROR(IF(Y177=0,"",ROUNDUP(Y177/H177,0)*0.00502),"")</f>
        <v>2.5100000000000001E-2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8.9000000000000021</v>
      </c>
      <c r="BN177" s="78">
        <f t="shared" si="17"/>
        <v>8.9000000000000021</v>
      </c>
      <c r="BO177" s="78">
        <f t="shared" si="18"/>
        <v>2.1367521367521368E-2</v>
      </c>
      <c r="BP177" s="78">
        <f t="shared" si="19"/>
        <v>2.1367521367521368E-2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33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0.24762000000000003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93.700000000000017</v>
      </c>
      <c r="Y179" s="43">
        <f>IFERROR(SUM(Y167:Y177),"0")</f>
        <v>93.700000000000017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2.52</v>
      </c>
      <c r="Y181" s="55">
        <f>IFERROR(IF(X181="",0,CEILING((X181/$H181),1)*$H181),"")</f>
        <v>2.52</v>
      </c>
      <c r="Z181" s="41">
        <f>IFERROR(IF(Y181=0,"",ROUNDUP(Y181/H181,0)*0.00651),"")</f>
        <v>6.5100000000000002E-3</v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2.766</v>
      </c>
      <c r="BN181" s="78">
        <f>IFERROR(Y181*I181/H181,"0")</f>
        <v>2.766</v>
      </c>
      <c r="BO181" s="78">
        <f>IFERROR(1/J181*(X181/H181),"0")</f>
        <v>5.4945054945054949E-3</v>
      </c>
      <c r="BP181" s="78">
        <f>IFERROR(1/J181*(Y181/H181),"0")</f>
        <v>5.4945054945054949E-3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2.52</v>
      </c>
      <c r="Y182" s="55">
        <f>IFERROR(IF(X182="",0,CEILING((X182/$H182),1)*$H182),"")</f>
        <v>2.52</v>
      </c>
      <c r="Z182" s="41">
        <f>IFERROR(IF(Y182=0,"",ROUNDUP(Y182/H182,0)*0.00651),"")</f>
        <v>6.5100000000000002E-3</v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2.766</v>
      </c>
      <c r="BN182" s="78">
        <f>IFERROR(Y182*I182/H182,"0")</f>
        <v>2.766</v>
      </c>
      <c r="BO182" s="78">
        <f>IFERROR(1/J182*(X182/H182),"0")</f>
        <v>5.4945054945054949E-3</v>
      </c>
      <c r="BP182" s="78">
        <f>IFERROR(1/J182*(Y182/H182),"0")</f>
        <v>5.4945054945054949E-3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2</v>
      </c>
      <c r="Y184" s="43">
        <f>IFERROR(Y181/H181,"0")+IFERROR(Y182/H182,"0")+IFERROR(Y183/H183,"0")</f>
        <v>2</v>
      </c>
      <c r="Z184" s="43">
        <f>IFERROR(IF(Z181="",0,Z181),"0")+IFERROR(IF(Z182="",0,Z182),"0")+IFERROR(IF(Z183="",0,Z183),"0")</f>
        <v>1.302E-2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5.04</v>
      </c>
      <c r="Y185" s="43">
        <f>IFERROR(SUM(Y181:Y183),"0")</f>
        <v>5.04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1.08</v>
      </c>
      <c r="Y187" s="55">
        <f>IFERROR(IF(X187="",0,CEILING((X187/$H187),1)*$H187),"")</f>
        <v>1.08</v>
      </c>
      <c r="Z187" s="41">
        <f>IFERROR(IF(Y187=0,"",ROUNDUP(Y187/H187,0)*0.0059),"")</f>
        <v>5.8999999999999999E-3</v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1.36</v>
      </c>
      <c r="BN187" s="78">
        <f>IFERROR(Y187*I187/H187,"0")</f>
        <v>1.36</v>
      </c>
      <c r="BO187" s="78">
        <f>IFERROR(1/J187*(X187/H187),"0")</f>
        <v>4.6296296296296294E-3</v>
      </c>
      <c r="BP187" s="78">
        <f>IFERROR(1/J187*(Y187/H187),"0")</f>
        <v>4.6296296296296294E-3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1</v>
      </c>
      <c r="Y189" s="43">
        <f>IFERROR(Y187/H187,"0")+IFERROR(Y188/H188,"0")</f>
        <v>1</v>
      </c>
      <c r="Z189" s="43">
        <f>IFERROR(IF(Z187="",0,Z187),"0")+IFERROR(IF(Z188="",0,Z188),"0")</f>
        <v>5.8999999999999999E-3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1.08</v>
      </c>
      <c r="Y190" s="43">
        <f>IFERROR(SUM(Y187:Y188),"0")</f>
        <v>1.08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9.9</v>
      </c>
      <c r="Y209" s="55">
        <f>IFERROR(IF(X209="",0,CEILING((X209/$H209),1)*$H209),"")</f>
        <v>9.9</v>
      </c>
      <c r="Z209" s="41">
        <f>IFERROR(IF(Y209=0,"",ROUNDUP(Y209/H209,0)*0.00502),"")</f>
        <v>2.5100000000000001E-2</v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10.400000000000002</v>
      </c>
      <c r="BN209" s="78">
        <f>IFERROR(Y209*I209/H209,"0")</f>
        <v>10.400000000000002</v>
      </c>
      <c r="BO209" s="78">
        <f>IFERROR(1/J209*(X209/H209),"0")</f>
        <v>2.1367521367521368E-2</v>
      </c>
      <c r="BP209" s="78">
        <f>IFERROR(1/J209*(Y209/H209),"0")</f>
        <v>2.1367521367521368E-2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5</v>
      </c>
      <c r="Y210" s="43">
        <f>IFERROR(Y209/H209,"0")</f>
        <v>5</v>
      </c>
      <c r="Z210" s="43">
        <f>IFERROR(IF(Z209="",0,Z209),"0")</f>
        <v>2.5100000000000001E-2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9.9</v>
      </c>
      <c r="Y211" s="43">
        <f>IFERROR(SUM(Y209:Y209),"0")</f>
        <v>9.9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25.2</v>
      </c>
      <c r="Y213" s="55">
        <f t="shared" ref="Y213:Y226" si="26">IFERROR(IF(X213="",0,CEILING((X213/$H213),1)*$H213),"")</f>
        <v>25.200000000000003</v>
      </c>
      <c r="Z213" s="41">
        <f>IFERROR(IF(Y213=0,"",ROUNDUP(Y213/H213,0)*0.00902),"")</f>
        <v>5.4120000000000001E-2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26.7</v>
      </c>
      <c r="BN213" s="78">
        <f t="shared" ref="BN213:BN226" si="28">IFERROR(Y213*I213/H213,"0")</f>
        <v>26.700000000000003</v>
      </c>
      <c r="BO213" s="78">
        <f t="shared" ref="BO213:BO226" si="29">IFERROR(1/J213*(X213/H213),"0")</f>
        <v>4.5454545454545456E-2</v>
      </c>
      <c r="BP213" s="78">
        <f t="shared" ref="BP213:BP226" si="30">IFERROR(1/J213*(Y213/H213),"0")</f>
        <v>4.5454545454545456E-2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16.8</v>
      </c>
      <c r="Y214" s="55">
        <f t="shared" si="26"/>
        <v>16.8</v>
      </c>
      <c r="Z214" s="41">
        <f>IFERROR(IF(Y214=0,"",ROUNDUP(Y214/H214,0)*0.00902),"")</f>
        <v>3.6080000000000001E-2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17.8</v>
      </c>
      <c r="BN214" s="78">
        <f t="shared" si="28"/>
        <v>17.8</v>
      </c>
      <c r="BO214" s="78">
        <f t="shared" si="29"/>
        <v>3.0303030303030304E-2</v>
      </c>
      <c r="BP214" s="78">
        <f t="shared" si="30"/>
        <v>3.0303030303030304E-2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25.2</v>
      </c>
      <c r="Y215" s="55">
        <f t="shared" si="26"/>
        <v>25.200000000000003</v>
      </c>
      <c r="Z215" s="41">
        <f>IFERROR(IF(Y215=0,"",ROUNDUP(Y215/H215,0)*0.00902),"")</f>
        <v>5.4120000000000001E-2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26.339999999999996</v>
      </c>
      <c r="BN215" s="78">
        <f t="shared" si="28"/>
        <v>26.34</v>
      </c>
      <c r="BO215" s="78">
        <f t="shared" si="29"/>
        <v>4.5454545454545456E-2</v>
      </c>
      <c r="BP215" s="78">
        <f t="shared" si="30"/>
        <v>4.5454545454545456E-2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0.8</v>
      </c>
      <c r="Y216" s="55">
        <f t="shared" si="26"/>
        <v>0.8</v>
      </c>
      <c r="Z216" s="41">
        <f>IFERROR(IF(Y216=0,"",ROUNDUP(Y216/H216,0)*0.00556),"")</f>
        <v>5.5599999999999998E-3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0.93</v>
      </c>
      <c r="BN216" s="78">
        <f t="shared" si="28"/>
        <v>0.93</v>
      </c>
      <c r="BO216" s="78">
        <f t="shared" si="29"/>
        <v>3.968253968253968E-3</v>
      </c>
      <c r="BP216" s="78">
        <f t="shared" si="30"/>
        <v>3.968253968253968E-3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10.5</v>
      </c>
      <c r="Y217" s="55">
        <f t="shared" si="26"/>
        <v>10.5</v>
      </c>
      <c r="Z217" s="41">
        <f t="shared" ref="Z217:Z222" si="31">IFERROR(IF(Y217=0,"",ROUNDUP(Y217/H217,0)*0.00502),"")</f>
        <v>2.5100000000000001E-2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11.149999999999999</v>
      </c>
      <c r="BN217" s="78">
        <f t="shared" si="28"/>
        <v>11.149999999999999</v>
      </c>
      <c r="BO217" s="78">
        <f t="shared" si="29"/>
        <v>2.1367521367521368E-2</v>
      </c>
      <c r="BP217" s="78">
        <f t="shared" si="30"/>
        <v>2.1367521367521368E-2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9</v>
      </c>
      <c r="Y218" s="55">
        <f t="shared" si="26"/>
        <v>9</v>
      </c>
      <c r="Z218" s="41">
        <f t="shared" si="31"/>
        <v>2.5100000000000001E-2</v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9.4999999999999982</v>
      </c>
      <c r="BN218" s="78">
        <f t="shared" si="28"/>
        <v>9.4999999999999982</v>
      </c>
      <c r="BO218" s="78">
        <f t="shared" si="29"/>
        <v>2.1367521367521368E-2</v>
      </c>
      <c r="BP218" s="78">
        <f t="shared" si="30"/>
        <v>2.1367521367521368E-2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10.5</v>
      </c>
      <c r="Y219" s="55">
        <f t="shared" si="26"/>
        <v>10.5</v>
      </c>
      <c r="Z219" s="41">
        <f t="shared" si="31"/>
        <v>2.5100000000000001E-2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11.149999999999999</v>
      </c>
      <c r="BN219" s="78">
        <f t="shared" si="28"/>
        <v>11.149999999999999</v>
      </c>
      <c r="BO219" s="78">
        <f t="shared" si="29"/>
        <v>2.1367521367521368E-2</v>
      </c>
      <c r="BP219" s="78">
        <f t="shared" si="30"/>
        <v>2.1367521367521368E-2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/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10.5</v>
      </c>
      <c r="Y221" s="55">
        <f t="shared" si="26"/>
        <v>10.5</v>
      </c>
      <c r="Z221" s="41">
        <f t="shared" si="31"/>
        <v>2.5100000000000001E-2</v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11</v>
      </c>
      <c r="BN221" s="78">
        <f t="shared" si="28"/>
        <v>11</v>
      </c>
      <c r="BO221" s="78">
        <f t="shared" si="29"/>
        <v>2.1367521367521368E-2</v>
      </c>
      <c r="BP221" s="78">
        <f t="shared" si="30"/>
        <v>2.1367521367521368E-2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9</v>
      </c>
      <c r="Y222" s="55">
        <f t="shared" si="26"/>
        <v>9</v>
      </c>
      <c r="Z222" s="41">
        <f t="shared" si="31"/>
        <v>2.5100000000000001E-2</v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9.65</v>
      </c>
      <c r="BN222" s="78">
        <f t="shared" si="28"/>
        <v>9.65</v>
      </c>
      <c r="BO222" s="78">
        <f t="shared" si="29"/>
        <v>2.1367521367521368E-2</v>
      </c>
      <c r="BP222" s="78">
        <f t="shared" si="30"/>
        <v>2.1367521367521368E-2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0.8</v>
      </c>
      <c r="Y223" s="55">
        <f t="shared" si="26"/>
        <v>0.8</v>
      </c>
      <c r="Z223" s="41">
        <f>IFERROR(IF(Y223=0,"",ROUNDUP(Y223/H223,0)*0.00417),"")</f>
        <v>4.1700000000000001E-3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1.01</v>
      </c>
      <c r="BN223" s="78">
        <f t="shared" si="28"/>
        <v>1.01</v>
      </c>
      <c r="BO223" s="78">
        <f t="shared" si="29"/>
        <v>2.976190476190476E-3</v>
      </c>
      <c r="BP223" s="78">
        <f t="shared" si="30"/>
        <v>2.976190476190476E-3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10.5</v>
      </c>
      <c r="Y224" s="55">
        <f t="shared" si="26"/>
        <v>10.5</v>
      </c>
      <c r="Z224" s="41">
        <f>IFERROR(IF(Y224=0,"",ROUNDUP(Y224/H224,0)*0.00502),"")</f>
        <v>2.5100000000000001E-2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</v>
      </c>
      <c r="BN224" s="78">
        <f t="shared" si="28"/>
        <v>11</v>
      </c>
      <c r="BO224" s="78">
        <f t="shared" si="29"/>
        <v>2.1367521367521368E-2</v>
      </c>
      <c r="BP224" s="78">
        <f t="shared" si="30"/>
        <v>2.1367521367521368E-2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8.4</v>
      </c>
      <c r="Y226" s="55">
        <f t="shared" si="26"/>
        <v>8.4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8.9000000000000021</v>
      </c>
      <c r="BN226" s="78">
        <f t="shared" si="28"/>
        <v>8.9000000000000021</v>
      </c>
      <c r="BO226" s="78">
        <f t="shared" si="29"/>
        <v>2.1367521367521368E-2</v>
      </c>
      <c r="BP226" s="78">
        <f t="shared" si="30"/>
        <v>2.1367521367521368E-2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53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53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0.3297500000000001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137.20000000000002</v>
      </c>
      <c r="Y228" s="43">
        <f>IFERROR(SUM(Y213:Y226),"0")</f>
        <v>137.20000000000002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14.4</v>
      </c>
      <c r="Y231" s="55">
        <f>IFERROR(IF(X231="",0,CEILING((X231/$H231),1)*$H231),"")</f>
        <v>14.399999999999999</v>
      </c>
      <c r="Z231" s="41">
        <f>IFERROR(IF(Y231=0,"",ROUNDUP(Y231/H231,0)*0.01196),"")</f>
        <v>3.5880000000000002E-2</v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15.666000000000002</v>
      </c>
      <c r="BN231" s="78">
        <f>IFERROR(Y231*I231/H231,"0")</f>
        <v>15.666</v>
      </c>
      <c r="BO231" s="78">
        <f>IFERROR(1/J231*(X231/H231),"0")</f>
        <v>2.8846153846153848E-2</v>
      </c>
      <c r="BP231" s="78">
        <f>IFERROR(1/J231*(Y231/H231),"0")</f>
        <v>2.8846153846153848E-2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14.4</v>
      </c>
      <c r="Y232" s="55">
        <f>IFERROR(IF(X232="",0,CEILING((X232/$H232),1)*$H232),"")</f>
        <v>14.399999999999999</v>
      </c>
      <c r="Z232" s="41">
        <f>IFERROR(IF(Y232=0,"",ROUNDUP(Y232/H232,0)*0.01196),"")</f>
        <v>3.5880000000000002E-2</v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15.666000000000002</v>
      </c>
      <c r="BN232" s="78">
        <f>IFERROR(Y232*I232/H232,"0")</f>
        <v>15.666</v>
      </c>
      <c r="BO232" s="78">
        <f>IFERROR(1/J232*(X232/H232),"0")</f>
        <v>2.8846153846153848E-2</v>
      </c>
      <c r="BP232" s="78">
        <f>IFERROR(1/J232*(Y232/H232),"0")</f>
        <v>2.8846153846153848E-2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2.16</v>
      </c>
      <c r="Y233" s="55">
        <f>IFERROR(IF(X233="",0,CEILING((X233/$H233),1)*$H233),"")</f>
        <v>2.16</v>
      </c>
      <c r="Z233" s="41">
        <f>IFERROR(IF(Y233=0,"",ROUNDUP(Y233/H233,0)*0.00902),"")</f>
        <v>9.0200000000000002E-3</v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2.4220000000000002</v>
      </c>
      <c r="BN233" s="78">
        <f>IFERROR(Y233*I233/H233,"0")</f>
        <v>2.4220000000000002</v>
      </c>
      <c r="BO233" s="78">
        <f>IFERROR(1/J233*(X233/H233),"0")</f>
        <v>7.575757575757576E-3</v>
      </c>
      <c r="BP233" s="78">
        <f>IFERROR(1/J233*(Y233/H233),"0")</f>
        <v>7.575757575757576E-3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2.16</v>
      </c>
      <c r="Y234" s="55">
        <f>IFERROR(IF(X234="",0,CEILING((X234/$H234),1)*$H234),"")</f>
        <v>2.16</v>
      </c>
      <c r="Z234" s="41">
        <f>IFERROR(IF(Y234=0,"",ROUNDUP(Y234/H234,0)*0.00902),"")</f>
        <v>9.0200000000000002E-3</v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2.4220000000000002</v>
      </c>
      <c r="BN234" s="78">
        <f>IFERROR(Y234*I234/H234,"0")</f>
        <v>2.4220000000000002</v>
      </c>
      <c r="BO234" s="78">
        <f>IFERROR(1/J234*(X234/H234),"0")</f>
        <v>7.575757575757576E-3</v>
      </c>
      <c r="BP234" s="78">
        <f>IFERROR(1/J234*(Y234/H234),"0")</f>
        <v>7.575757575757576E-3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8</v>
      </c>
      <c r="Y235" s="43">
        <f>IFERROR(Y230/H230,"0")+IFERROR(Y231/H231,"0")+IFERROR(Y232/H232,"0")+IFERROR(Y233/H233,"0")+IFERROR(Y234/H234,"0")</f>
        <v>8</v>
      </c>
      <c r="Z235" s="43">
        <f>IFERROR(IF(Z230="",0,Z230),"0")+IFERROR(IF(Z231="",0,Z231),"0")+IFERROR(IF(Z232="",0,Z232),"0")+IFERROR(IF(Z233="",0,Z233),"0")+IFERROR(IF(Z234="",0,Z234),"0")</f>
        <v>8.9800000000000005E-2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33.120000000000005</v>
      </c>
      <c r="Y236" s="43">
        <f>IFERROR(SUM(Y230:Y234),"0")</f>
        <v>33.119999999999997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1.26</v>
      </c>
      <c r="Y238" s="55">
        <f>IFERROR(IF(X238="",0,CEILING((X238/$H238),1)*$H238),"")</f>
        <v>1.26</v>
      </c>
      <c r="Z238" s="41">
        <f>IFERROR(IF(Y238=0,"",ROUNDUP(Y238/H238,0)*0.0059),"")</f>
        <v>5.8999999999999999E-3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1.45</v>
      </c>
      <c r="BN238" s="78">
        <f>IFERROR(Y238*I238/H238,"0")</f>
        <v>1.45</v>
      </c>
      <c r="BO238" s="78">
        <f>IFERROR(1/J238*(X238/H238),"0")</f>
        <v>4.6296296296296294E-3</v>
      </c>
      <c r="BP238" s="78">
        <f>IFERROR(1/J238*(Y238/H238),"0")</f>
        <v>4.6296296296296294E-3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1.26</v>
      </c>
      <c r="Y239" s="55">
        <f>IFERROR(IF(X239="",0,CEILING((X239/$H239),1)*$H239),"")</f>
        <v>1.26</v>
      </c>
      <c r="Z239" s="41">
        <f>IFERROR(IF(Y239=0,"",ROUNDUP(Y239/H239,0)*0.0059),"")</f>
        <v>5.8999999999999999E-3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1.45</v>
      </c>
      <c r="BN239" s="78">
        <f>IFERROR(Y239*I239/H239,"0")</f>
        <v>1.45</v>
      </c>
      <c r="BO239" s="78">
        <f>IFERROR(1/J239*(X239/H239),"0")</f>
        <v>4.6296296296296294E-3</v>
      </c>
      <c r="BP239" s="78">
        <f>IFERROR(1/J239*(Y239/H239),"0")</f>
        <v>4.6296296296296294E-3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1.26</v>
      </c>
      <c r="Y240" s="55">
        <f>IFERROR(IF(X240="",0,CEILING((X240/$H240),1)*$H240),"")</f>
        <v>1.26</v>
      </c>
      <c r="Z240" s="41">
        <f>IFERROR(IF(Y240=0,"",ROUNDUP(Y240/H240,0)*0.0059),"")</f>
        <v>5.8999999999999999E-3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1.45</v>
      </c>
      <c r="BN240" s="78">
        <f>IFERROR(Y240*I240/H240,"0")</f>
        <v>1.45</v>
      </c>
      <c r="BO240" s="78">
        <f>IFERROR(1/J240*(X240/H240),"0")</f>
        <v>4.6296296296296294E-3</v>
      </c>
      <c r="BP240" s="78">
        <f>IFERROR(1/J240*(Y240/H240),"0")</f>
        <v>4.6296296296296294E-3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3</v>
      </c>
      <c r="Y241" s="43">
        <f>IFERROR(Y238/H238,"0")+IFERROR(Y239/H239,"0")+IFERROR(Y240/H240,"0")</f>
        <v>3</v>
      </c>
      <c r="Z241" s="43">
        <f>IFERROR(IF(Z238="",0,Z238),"0")+IFERROR(IF(Z239="",0,Z239),"0")+IFERROR(IF(Z240="",0,Z240),"0")</f>
        <v>1.77E-2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3.7800000000000002</v>
      </c>
      <c r="Y242" s="43">
        <f>IFERROR(SUM(Y238:Y240),"0")</f>
        <v>3.7800000000000002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27</v>
      </c>
      <c r="Y259" s="55">
        <f t="shared" ref="Y259:Y266" si="32">IFERROR(IF(X259="",0,CEILING((X259/$H259),1)*$H259),"")</f>
        <v>27</v>
      </c>
      <c r="Z259" s="41">
        <f>IFERROR(IF(Y259=0,"",ROUNDUP(Y259/H259,0)*0.00902),"")</f>
        <v>4.5100000000000001E-2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27.95</v>
      </c>
      <c r="BN259" s="78">
        <f t="shared" ref="BN259:BN266" si="34">IFERROR(Y259*I259/H259,"0")</f>
        <v>27.95</v>
      </c>
      <c r="BO259" s="78">
        <f t="shared" ref="BO259:BO266" si="35">IFERROR(1/J259*(X259/H259),"0")</f>
        <v>3.787878787878788E-2</v>
      </c>
      <c r="BP259" s="78">
        <f t="shared" ref="BP259:BP266" si="36">IFERROR(1/J259*(Y259/H259),"0")</f>
        <v>3.787878787878788E-2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27</v>
      </c>
      <c r="Y260" s="55">
        <f t="shared" si="32"/>
        <v>27</v>
      </c>
      <c r="Z260" s="41">
        <f>IFERROR(IF(Y260=0,"",ROUNDUP(Y260/H260,0)*0.00902),"")</f>
        <v>4.5100000000000001E-2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27.95</v>
      </c>
      <c r="BN260" s="78">
        <f t="shared" si="34"/>
        <v>27.95</v>
      </c>
      <c r="BO260" s="78">
        <f t="shared" si="35"/>
        <v>3.787878787878788E-2</v>
      </c>
      <c r="BP260" s="78">
        <f t="shared" si="36"/>
        <v>3.787878787878788E-2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27</v>
      </c>
      <c r="Y261" s="55">
        <f t="shared" si="32"/>
        <v>27</v>
      </c>
      <c r="Z261" s="41">
        <f>IFERROR(IF(Y261=0,"",ROUNDUP(Y261/H261,0)*0.00902),"")</f>
        <v>4.5100000000000001E-2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27.95</v>
      </c>
      <c r="BN261" s="78">
        <f t="shared" si="34"/>
        <v>27.95</v>
      </c>
      <c r="BO261" s="78">
        <f t="shared" si="35"/>
        <v>3.787878787878788E-2</v>
      </c>
      <c r="BP261" s="78">
        <f t="shared" si="36"/>
        <v>3.787878787878788E-2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27</v>
      </c>
      <c r="Y262" s="55">
        <f t="shared" si="32"/>
        <v>27</v>
      </c>
      <c r="Z262" s="41">
        <f>IFERROR(IF(Y262=0,"",ROUNDUP(Y262/H262,0)*0.00902),"")</f>
        <v>4.5100000000000001E-2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27.95</v>
      </c>
      <c r="BN262" s="78">
        <f t="shared" si="34"/>
        <v>27.95</v>
      </c>
      <c r="BO262" s="78">
        <f t="shared" si="35"/>
        <v>3.787878787878788E-2</v>
      </c>
      <c r="BP262" s="78">
        <f t="shared" si="36"/>
        <v>3.787878787878788E-2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7.2</v>
      </c>
      <c r="Y263" s="55">
        <f t="shared" si="32"/>
        <v>7.2</v>
      </c>
      <c r="Z263" s="41">
        <f>IFERROR(IF(Y263=0,"",ROUNDUP(Y263/H263,0)*0.00502),"")</f>
        <v>2.0080000000000001E-2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7.7199999999999989</v>
      </c>
      <c r="BN263" s="78">
        <f t="shared" si="34"/>
        <v>7.7199999999999989</v>
      </c>
      <c r="BO263" s="78">
        <f t="shared" si="35"/>
        <v>1.7094017094017096E-2</v>
      </c>
      <c r="BP263" s="78">
        <f t="shared" si="36"/>
        <v>1.7094017094017096E-2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7.2</v>
      </c>
      <c r="Y264" s="55">
        <f t="shared" si="32"/>
        <v>7.2</v>
      </c>
      <c r="Z264" s="41">
        <f>IFERROR(IF(Y264=0,"",ROUNDUP(Y264/H264,0)*0.00502),"")</f>
        <v>2.0080000000000001E-2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7.6</v>
      </c>
      <c r="BN264" s="78">
        <f t="shared" si="34"/>
        <v>7.6</v>
      </c>
      <c r="BO264" s="78">
        <f t="shared" si="35"/>
        <v>1.7094017094017096E-2</v>
      </c>
      <c r="BP264" s="78">
        <f t="shared" si="36"/>
        <v>1.7094017094017096E-2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7.2</v>
      </c>
      <c r="Y265" s="55">
        <f t="shared" si="32"/>
        <v>7.2</v>
      </c>
      <c r="Z265" s="41">
        <f>IFERROR(IF(Y265=0,"",ROUNDUP(Y265/H265,0)*0.00502),"")</f>
        <v>2.0080000000000001E-2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7.6</v>
      </c>
      <c r="BN265" s="78">
        <f t="shared" si="34"/>
        <v>7.6</v>
      </c>
      <c r="BO265" s="78">
        <f t="shared" si="35"/>
        <v>1.7094017094017096E-2</v>
      </c>
      <c r="BP265" s="78">
        <f t="shared" si="36"/>
        <v>1.7094017094017096E-2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7.2</v>
      </c>
      <c r="Y266" s="55">
        <f t="shared" si="32"/>
        <v>7.2</v>
      </c>
      <c r="Z266" s="41">
        <f>IFERROR(IF(Y266=0,"",ROUNDUP(Y266/H266,0)*0.00502),"")</f>
        <v>2.0080000000000001E-2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7.6</v>
      </c>
      <c r="BN266" s="78">
        <f t="shared" si="34"/>
        <v>7.6</v>
      </c>
      <c r="BO266" s="78">
        <f t="shared" si="35"/>
        <v>1.7094017094017096E-2</v>
      </c>
      <c r="BP266" s="78">
        <f t="shared" si="36"/>
        <v>1.7094017094017096E-2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36</v>
      </c>
      <c r="Y267" s="43">
        <f>IFERROR(Y259/H259,"0")+IFERROR(Y260/H260,"0")+IFERROR(Y261/H261,"0")+IFERROR(Y262/H262,"0")+IFERROR(Y263/H263,"0")+IFERROR(Y264/H264,"0")+IFERROR(Y265/H265,"0")+IFERROR(Y266/H266,"0")</f>
        <v>36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0.26071999999999995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136.79999999999998</v>
      </c>
      <c r="Y268" s="43">
        <f>IFERROR(SUM(Y259:Y266),"0")</f>
        <v>136.79999999999998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8.1</v>
      </c>
      <c r="Y270" s="55">
        <f t="shared" ref="Y270:Y281" si="37">IFERROR(IF(X270="",0,CEILING((X270/$H270),1)*$H270),"")</f>
        <v>8.1</v>
      </c>
      <c r="Z270" s="41">
        <f>IFERROR(IF(Y270=0,"",ROUNDUP(Y270/H270,0)*0.01898),"")</f>
        <v>1.898E-2</v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8.5939999999999994</v>
      </c>
      <c r="BN270" s="78">
        <f t="shared" ref="BN270:BN281" si="39">IFERROR(Y270*I270/H270,"0")</f>
        <v>8.5939999999999994</v>
      </c>
      <c r="BO270" s="78">
        <f t="shared" ref="BO270:BO281" si="40">IFERROR(1/J270*(X270/H270),"0")</f>
        <v>1.5625E-2</v>
      </c>
      <c r="BP270" s="78">
        <f t="shared" ref="BP270:BP281" si="41">IFERROR(1/J270*(Y270/H270),"0")</f>
        <v>1.5625E-2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8.1</v>
      </c>
      <c r="Y271" s="55">
        <f t="shared" si="37"/>
        <v>8.1</v>
      </c>
      <c r="Z271" s="41">
        <f>IFERROR(IF(Y271=0,"",ROUNDUP(Y271/H271,0)*0.01898),"")</f>
        <v>1.898E-2</v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8.5760000000000005</v>
      </c>
      <c r="BN271" s="78">
        <f t="shared" si="39"/>
        <v>8.5760000000000005</v>
      </c>
      <c r="BO271" s="78">
        <f t="shared" si="40"/>
        <v>1.5625E-2</v>
      </c>
      <c r="BP271" s="78">
        <f t="shared" si="41"/>
        <v>1.5625E-2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8.6999999999999993</v>
      </c>
      <c r="Y272" s="55">
        <f t="shared" si="37"/>
        <v>8.6999999999999993</v>
      </c>
      <c r="Z272" s="41">
        <f>IFERROR(IF(Y272=0,"",ROUNDUP(Y272/H272,0)*0.01898),"")</f>
        <v>1.898E-2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9.1940000000000008</v>
      </c>
      <c r="BN272" s="78">
        <f t="shared" si="39"/>
        <v>9.1940000000000008</v>
      </c>
      <c r="BO272" s="78">
        <f t="shared" si="40"/>
        <v>1.5625E-2</v>
      </c>
      <c r="BP272" s="78">
        <f t="shared" si="41"/>
        <v>1.5625E-2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2.4</v>
      </c>
      <c r="Y273" s="55">
        <f t="shared" si="37"/>
        <v>2.4</v>
      </c>
      <c r="Z273" s="41">
        <f>IFERROR(IF(Y273=0,"",ROUNDUP(Y273/H273,0)*0.00651),"")</f>
        <v>6.5100000000000002E-3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2.67</v>
      </c>
      <c r="BN273" s="78">
        <f t="shared" si="39"/>
        <v>2.67</v>
      </c>
      <c r="BO273" s="78">
        <f t="shared" si="40"/>
        <v>5.4945054945054949E-3</v>
      </c>
      <c r="BP273" s="78">
        <f t="shared" si="41"/>
        <v>5.4945054945054949E-3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2.4</v>
      </c>
      <c r="Y276" s="55">
        <f t="shared" si="37"/>
        <v>2.4</v>
      </c>
      <c r="Z276" s="41">
        <f>IFERROR(IF(Y276=0,"",ROUNDUP(Y276/H276,0)*0.00651),"")</f>
        <v>6.5100000000000002E-3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2.6520000000000001</v>
      </c>
      <c r="BN276" s="78">
        <f t="shared" si="39"/>
        <v>2.6520000000000001</v>
      </c>
      <c r="BO276" s="78">
        <f t="shared" si="40"/>
        <v>5.4945054945054949E-3</v>
      </c>
      <c r="BP276" s="78">
        <f t="shared" si="41"/>
        <v>5.4945054945054949E-3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2.4</v>
      </c>
      <c r="Y278" s="55">
        <f t="shared" si="37"/>
        <v>2.4</v>
      </c>
      <c r="Z278" s="41">
        <f>IFERROR(IF(Y278=0,"",ROUNDUP(Y278/H278,0)*0.00651),"")</f>
        <v>6.5100000000000002E-3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2.6520000000000001</v>
      </c>
      <c r="BN278" s="78">
        <f t="shared" si="39"/>
        <v>2.6520000000000001</v>
      </c>
      <c r="BO278" s="78">
        <f t="shared" si="40"/>
        <v>5.4945054945054949E-3</v>
      </c>
      <c r="BP278" s="78">
        <f t="shared" si="41"/>
        <v>5.4945054945054949E-3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2.4</v>
      </c>
      <c r="Y279" s="55">
        <f t="shared" si="37"/>
        <v>2.4</v>
      </c>
      <c r="Z279" s="41">
        <f>IFERROR(IF(Y279=0,"",ROUNDUP(Y279/H279,0)*0.00651),"")</f>
        <v>6.5100000000000002E-3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2.6520000000000001</v>
      </c>
      <c r="BN279" s="78">
        <f t="shared" si="39"/>
        <v>2.6520000000000001</v>
      </c>
      <c r="BO279" s="78">
        <f t="shared" si="40"/>
        <v>5.4945054945054949E-3</v>
      </c>
      <c r="BP279" s="78">
        <f t="shared" si="41"/>
        <v>5.4945054945054949E-3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2.4</v>
      </c>
      <c r="Y280" s="55">
        <f t="shared" si="37"/>
        <v>2.4</v>
      </c>
      <c r="Z280" s="41">
        <f>IFERROR(IF(Y280=0,"",ROUNDUP(Y280/H280,0)*0.00651),"")</f>
        <v>6.5100000000000002E-3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2.6579999999999999</v>
      </c>
      <c r="BN280" s="78">
        <f t="shared" si="39"/>
        <v>2.6579999999999999</v>
      </c>
      <c r="BO280" s="78">
        <f t="shared" si="40"/>
        <v>5.4945054945054949E-3</v>
      </c>
      <c r="BP280" s="78">
        <f t="shared" si="41"/>
        <v>5.4945054945054949E-3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8.9490000000000014E-2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36.899999999999991</v>
      </c>
      <c r="Y283" s="43">
        <f>IFERROR(SUM(Y270:Y281),"0")</f>
        <v>36.899999999999991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108</v>
      </c>
      <c r="Y316" s="55">
        <f>IFERROR(IF(X316="",0,CEILING((X316/$H316),1)*$H316),"")</f>
        <v>108</v>
      </c>
      <c r="Z316" s="41">
        <f>IFERROR(IF(Y316=0,"",ROUNDUP(Y316/H316,0)*0.01898),"")</f>
        <v>0.1898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112.1</v>
      </c>
      <c r="BN316" s="78">
        <f>IFERROR(Y316*I316/H316,"0")</f>
        <v>112.1</v>
      </c>
      <c r="BO316" s="78">
        <f>IFERROR(1/J316*(X316/H316),"0")</f>
        <v>0.15625</v>
      </c>
      <c r="BP316" s="78">
        <f>IFERROR(1/J316*(Y316/H316),"0")</f>
        <v>0.15625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52.5</v>
      </c>
      <c r="Y317" s="55">
        <f>IFERROR(IF(X317="",0,CEILING((X317/$H317),1)*$H317),"")</f>
        <v>54</v>
      </c>
      <c r="Z317" s="41">
        <f>IFERROR(IF(Y317=0,"",ROUNDUP(Y317/H317,0)*0.01898),"")</f>
        <v>9.4899999999999998E-2</v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54.493055555555557</v>
      </c>
      <c r="BN317" s="78">
        <f>IFERROR(Y317*I317/H317,"0")</f>
        <v>56.05</v>
      </c>
      <c r="BO317" s="78">
        <f>IFERROR(1/J317*(X317/H317),"0")</f>
        <v>7.5954861111111105E-2</v>
      </c>
      <c r="BP317" s="78">
        <f>IFERROR(1/J317*(Y317/H317),"0")</f>
        <v>7.8125E-2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24</v>
      </c>
      <c r="Y319" s="55">
        <f>IFERROR(IF(X319="",0,CEILING((X319/$H319),1)*$H319),"")</f>
        <v>24</v>
      </c>
      <c r="Z319" s="41">
        <f>IFERROR(IF(Y319=0,"",ROUNDUP(Y319/H319,0)*0.00902),"")</f>
        <v>5.4120000000000001E-2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25.14</v>
      </c>
      <c r="BN319" s="78">
        <f>IFERROR(Y319*I319/H319,"0")</f>
        <v>25.14</v>
      </c>
      <c r="BO319" s="78">
        <f>IFERROR(1/J319*(X319/H319),"0")</f>
        <v>4.5454545454545456E-2</v>
      </c>
      <c r="BP319" s="78">
        <f>IFERROR(1/J319*(Y319/H319),"0")</f>
        <v>4.5454545454545456E-2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24</v>
      </c>
      <c r="Y320" s="55">
        <f>IFERROR(IF(X320="",0,CEILING((X320/$H320),1)*$H320),"")</f>
        <v>24</v>
      </c>
      <c r="Z320" s="41">
        <f>IFERROR(IF(Y320=0,"",ROUNDUP(Y320/H320,0)*0.00902),"")</f>
        <v>5.4120000000000001E-2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25.14</v>
      </c>
      <c r="BN320" s="78">
        <f>IFERROR(Y320*I320/H320,"0")</f>
        <v>25.14</v>
      </c>
      <c r="BO320" s="78">
        <f>IFERROR(1/J320*(X320/H320),"0")</f>
        <v>4.5454545454545456E-2</v>
      </c>
      <c r="BP320" s="78">
        <f>IFERROR(1/J320*(Y320/H320),"0")</f>
        <v>4.5454545454545456E-2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36.861111111111114</v>
      </c>
      <c r="Y321" s="43">
        <f>IFERROR(Y316/H316,"0")+IFERROR(Y317/H317,"0")+IFERROR(Y318/H318,"0")+IFERROR(Y319/H319,"0")+IFERROR(Y320/H320,"0")</f>
        <v>37</v>
      </c>
      <c r="Z321" s="43">
        <f>IFERROR(IF(Z316="",0,Z316),"0")+IFERROR(IF(Z317="",0,Z317),"0")+IFERROR(IF(Z318="",0,Z318),"0")+IFERROR(IF(Z319="",0,Z319),"0")+IFERROR(IF(Z320="",0,Z320),"0")</f>
        <v>0.58274000000000004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316.5</v>
      </c>
      <c r="Y322" s="43">
        <f>IFERROR(SUM(Y316:Y320),"0")</f>
        <v>318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7.2</v>
      </c>
      <c r="Y326" s="55">
        <f>IFERROR(IF(X326="",0,CEILING((X326/$H326),1)*$H326),"")</f>
        <v>7.1999999999999993</v>
      </c>
      <c r="Z326" s="41">
        <f>IFERROR(IF(Y326=0,"",ROUNDUP(Y326/H326,0)*0.00651),"")</f>
        <v>1.9529999999999999E-2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7.9560000000000004</v>
      </c>
      <c r="BN326" s="78">
        <f>IFERROR(Y326*I326/H326,"0")</f>
        <v>7.9560000000000004</v>
      </c>
      <c r="BO326" s="78">
        <f>IFERROR(1/J326*(X326/H326),"0")</f>
        <v>1.6483516483516484E-2</v>
      </c>
      <c r="BP326" s="78">
        <f>IFERROR(1/J326*(Y326/H326),"0")</f>
        <v>1.6483516483516484E-2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7.2</v>
      </c>
      <c r="Y327" s="55">
        <f>IFERROR(IF(X327="",0,CEILING((X327/$H327),1)*$H327),"")</f>
        <v>7.1999999999999993</v>
      </c>
      <c r="Z327" s="41">
        <f>IFERROR(IF(Y327=0,"",ROUNDUP(Y327/H327,0)*0.00651),"")</f>
        <v>1.9529999999999999E-2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7.74</v>
      </c>
      <c r="BN327" s="78">
        <f>IFERROR(Y327*I327/H327,"0")</f>
        <v>7.7399999999999993</v>
      </c>
      <c r="BO327" s="78">
        <f>IFERROR(1/J327*(X327/H327),"0")</f>
        <v>1.6483516483516484E-2</v>
      </c>
      <c r="BP327" s="78">
        <f>IFERROR(1/J327*(Y327/H327),"0")</f>
        <v>1.6483516483516484E-2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6</v>
      </c>
      <c r="Y328" s="43">
        <f>IFERROR(Y325/H325,"0")+IFERROR(Y326/H326,"0")+IFERROR(Y327/H327,"0")</f>
        <v>6</v>
      </c>
      <c r="Z328" s="43">
        <f>IFERROR(IF(Z325="",0,Z325),"0")+IFERROR(IF(Z326="",0,Z326),"0")+IFERROR(IF(Z327="",0,Z327),"0")</f>
        <v>3.9059999999999997E-2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14.4</v>
      </c>
      <c r="Y329" s="43">
        <f>IFERROR(SUM(Y325:Y327),"0")</f>
        <v>14.399999999999999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6.96</v>
      </c>
      <c r="Y333" s="55">
        <f>IFERROR(IF(X333="",0,CEILING((X333/$H333),1)*$H333),"")</f>
        <v>6.9599999999999991</v>
      </c>
      <c r="Z333" s="41">
        <f>IFERROR(IF(Y333=0,"",ROUNDUP(Y333/H333,0)*0.00502),"")</f>
        <v>1.506E-2</v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7.2600000000000007</v>
      </c>
      <c r="BN333" s="78">
        <f>IFERROR(Y333*I333/H333,"0")</f>
        <v>7.2599999999999989</v>
      </c>
      <c r="BO333" s="78">
        <f>IFERROR(1/J333*(X333/H333),"0")</f>
        <v>1.2820512820512822E-2</v>
      </c>
      <c r="BP333" s="78">
        <f>IFERROR(1/J333*(Y333/H333),"0")</f>
        <v>1.2820512820512822E-2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8.4</v>
      </c>
      <c r="Y334" s="55">
        <f>IFERROR(IF(X334="",0,CEILING((X334/$H334),1)*$H334),"")</f>
        <v>8.4</v>
      </c>
      <c r="Z334" s="41">
        <f>IFERROR(IF(Y334=0,"",ROUNDUP(Y334/H334,0)*0.00502),"")</f>
        <v>2.5100000000000001E-2</v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8.9000000000000021</v>
      </c>
      <c r="BN334" s="78">
        <f>IFERROR(Y334*I334/H334,"0")</f>
        <v>8.9000000000000021</v>
      </c>
      <c r="BO334" s="78">
        <f>IFERROR(1/J334*(X334/H334),"0")</f>
        <v>2.1367521367521368E-2</v>
      </c>
      <c r="BP334" s="78">
        <f>IFERROR(1/J334*(Y334/H334),"0")</f>
        <v>2.1367521367521368E-2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8.4</v>
      </c>
      <c r="Y336" s="55">
        <f>IFERROR(IF(X336="",0,CEILING((X336/$H336),1)*$H336),"")</f>
        <v>8.4</v>
      </c>
      <c r="Z336" s="41">
        <f>IFERROR(IF(Y336=0,"",ROUNDUP(Y336/H336,0)*0.00502),"")</f>
        <v>2.5100000000000001E-2</v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12.5</v>
      </c>
      <c r="BN336" s="78">
        <f>IFERROR(Y336*I336/H336,"0")</f>
        <v>12.5</v>
      </c>
      <c r="BO336" s="78">
        <f>IFERROR(1/J336*(X336/H336),"0")</f>
        <v>2.1367521367521368E-2</v>
      </c>
      <c r="BP336" s="78">
        <f>IFERROR(1/J336*(Y336/H336),"0")</f>
        <v>2.1367521367521368E-2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13</v>
      </c>
      <c r="Y337" s="43">
        <f>IFERROR(Y332/H332,"0")+IFERROR(Y333/H333,"0")+IFERROR(Y334/H334,"0")+IFERROR(Y335/H335,"0")+IFERROR(Y336/H336,"0")</f>
        <v>13</v>
      </c>
      <c r="Z337" s="43">
        <f>IFERROR(IF(Z332="",0,Z332),"0")+IFERROR(IF(Z333="",0,Z333),"0")+IFERROR(IF(Z334="",0,Z334),"0")+IFERROR(IF(Z335="",0,Z335),"0")+IFERROR(IF(Z336="",0,Z336),"0")</f>
        <v>6.5259999999999999E-2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23.759999999999998</v>
      </c>
      <c r="Y338" s="43">
        <f>IFERROR(SUM(Y332:Y336),"0")</f>
        <v>23.759999999999998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15.6</v>
      </c>
      <c r="Y346" s="55">
        <f>IFERROR(IF(X346="",0,CEILING((X346/$H346),1)*$H346),"")</f>
        <v>15.6</v>
      </c>
      <c r="Z346" s="41">
        <f>IFERROR(IF(Y346=0,"",ROUNDUP(Y346/H346,0)*0.01898),"")</f>
        <v>3.7960000000000001E-2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16.420000000000002</v>
      </c>
      <c r="BN346" s="78">
        <f>IFERROR(Y346*I346/H346,"0")</f>
        <v>16.420000000000002</v>
      </c>
      <c r="BO346" s="78">
        <f>IFERROR(1/J346*(X346/H346),"0")</f>
        <v>3.125E-2</v>
      </c>
      <c r="BP346" s="78">
        <f>IFERROR(1/J346*(Y346/H346),"0")</f>
        <v>3.125E-2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15.6</v>
      </c>
      <c r="Y347" s="55">
        <f>IFERROR(IF(X347="",0,CEILING((X347/$H347),1)*$H347),"")</f>
        <v>15.6</v>
      </c>
      <c r="Z347" s="41">
        <f>IFERROR(IF(Y347=0,"",ROUNDUP(Y347/H347,0)*0.01898),"")</f>
        <v>3.7960000000000001E-2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16.420000000000002</v>
      </c>
      <c r="BN347" s="78">
        <f>IFERROR(Y347*I347/H347,"0")</f>
        <v>16.420000000000002</v>
      </c>
      <c r="BO347" s="78">
        <f>IFERROR(1/J347*(X347/H347),"0")</f>
        <v>3.125E-2</v>
      </c>
      <c r="BP347" s="78">
        <f>IFERROR(1/J347*(Y347/H347),"0")</f>
        <v>3.125E-2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15.6</v>
      </c>
      <c r="Y348" s="55">
        <f>IFERROR(IF(X348="",0,CEILING((X348/$H348),1)*$H348),"")</f>
        <v>15.6</v>
      </c>
      <c r="Z348" s="41">
        <f>IFERROR(IF(Y348=0,"",ROUNDUP(Y348/H348,0)*0.01898),"")</f>
        <v>3.7960000000000001E-2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16.420000000000002</v>
      </c>
      <c r="BN348" s="78">
        <f>IFERROR(Y348*I348/H348,"0")</f>
        <v>16.420000000000002</v>
      </c>
      <c r="BO348" s="78">
        <f>IFERROR(1/J348*(X348/H348),"0")</f>
        <v>3.125E-2</v>
      </c>
      <c r="BP348" s="78">
        <f>IFERROR(1/J348*(Y348/H348),"0")</f>
        <v>3.125E-2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6</v>
      </c>
      <c r="Y349" s="43">
        <f>IFERROR(Y346/H346,"0")+IFERROR(Y347/H347,"0")+IFERROR(Y348/H348,"0")</f>
        <v>6</v>
      </c>
      <c r="Z349" s="43">
        <f>IFERROR(IF(Z346="",0,Z346),"0")+IFERROR(IF(Z347="",0,Z347),"0")+IFERROR(IF(Z348="",0,Z348),"0")</f>
        <v>0.11388000000000001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46.8</v>
      </c>
      <c r="Y350" s="43">
        <f>IFERROR(SUM(Y346:Y348),"0")</f>
        <v>46.8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47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717.44</v>
      </c>
      <c r="BN353" s="78">
        <f t="shared" ref="BN353:BN358" si="49">IFERROR(Y353*I353/H353,"0")</f>
        <v>717.44</v>
      </c>
      <c r="BO353" s="78">
        <f t="shared" ref="BO353:BO358" si="50">IFERROR(1/J353*(X353/H353),"0")</f>
        <v>1</v>
      </c>
      <c r="BP353" s="78">
        <f t="shared" ref="BP353:BP358" si="51">IFERROR(1/J353*(Y353/H353),"0")</f>
        <v>1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162</v>
      </c>
      <c r="Y354" s="55">
        <f t="shared" si="47"/>
        <v>162</v>
      </c>
      <c r="Z354" s="41">
        <f>IFERROR(IF(Y354=0,"",ROUNDUP(Y354/H354,0)*0.01898),"")</f>
        <v>0.28470000000000001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168.15</v>
      </c>
      <c r="BN354" s="78">
        <f t="shared" si="49"/>
        <v>168.15</v>
      </c>
      <c r="BO354" s="78">
        <f t="shared" si="50"/>
        <v>0.23437499999999997</v>
      </c>
      <c r="BP354" s="78">
        <f t="shared" si="51"/>
        <v>0.23437499999999997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64.8</v>
      </c>
      <c r="Y355" s="55">
        <f t="shared" si="47"/>
        <v>64.800000000000011</v>
      </c>
      <c r="Z355" s="41">
        <f>IFERROR(IF(Y355=0,"",ROUNDUP(Y355/H355,0)*0.01898),"")</f>
        <v>0.11388000000000001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67.259999999999991</v>
      </c>
      <c r="BN355" s="78">
        <f t="shared" si="49"/>
        <v>67.260000000000005</v>
      </c>
      <c r="BO355" s="78">
        <f t="shared" si="50"/>
        <v>9.3749999999999986E-2</v>
      </c>
      <c r="BP355" s="78">
        <f t="shared" si="51"/>
        <v>9.3750000000000014E-2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24</v>
      </c>
      <c r="Y357" s="55">
        <f t="shared" si="47"/>
        <v>24</v>
      </c>
      <c r="Z357" s="41">
        <f>IFERROR(IF(Y357=0,"",ROUNDUP(Y357/H357,0)*0.00902),"")</f>
        <v>5.4120000000000001E-2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25.14</v>
      </c>
      <c r="BN357" s="78">
        <f t="shared" si="49"/>
        <v>25.14</v>
      </c>
      <c r="BO357" s="78">
        <f t="shared" si="50"/>
        <v>4.5454545454545456E-2</v>
      </c>
      <c r="BP357" s="78">
        <f t="shared" si="51"/>
        <v>4.5454545454545456E-2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24</v>
      </c>
      <c r="Y358" s="55">
        <f t="shared" si="47"/>
        <v>24</v>
      </c>
      <c r="Z358" s="41">
        <f>IFERROR(IF(Y358=0,"",ROUNDUP(Y358/H358,0)*0.00902),"")</f>
        <v>5.4120000000000001E-2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25.14</v>
      </c>
      <c r="BN358" s="78">
        <f t="shared" si="49"/>
        <v>25.14</v>
      </c>
      <c r="BO358" s="78">
        <f t="shared" si="50"/>
        <v>4.5454545454545456E-2</v>
      </c>
      <c r="BP358" s="78">
        <f t="shared" si="51"/>
        <v>4.5454545454545456E-2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97</v>
      </c>
      <c r="Y359" s="43">
        <f>IFERROR(Y353/H353,"0")+IFERROR(Y354/H354,"0")+IFERROR(Y355/H355,"0")+IFERROR(Y356/H356,"0")+IFERROR(Y357/H357,"0")+IFERROR(Y358/H358,"0")</f>
        <v>97</v>
      </c>
      <c r="Z359" s="43">
        <f>IFERROR(IF(Z353="",0,Z353),"0")+IFERROR(IF(Z354="",0,Z354),"0")+IFERROR(IF(Z355="",0,Z355),"0")+IFERROR(IF(Z356="",0,Z356),"0")+IFERROR(IF(Z357="",0,Z357),"0")+IFERROR(IF(Z358="",0,Z358),"0")</f>
        <v>1.7215399999999998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966</v>
      </c>
      <c r="Y360" s="43">
        <f>IFERROR(SUM(Y353:Y358),"0")</f>
        <v>966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84</v>
      </c>
      <c r="Y362" s="55">
        <f t="shared" ref="Y362:Y368" si="52">IFERROR(IF(X362="",0,CEILING((X362/$H362),1)*$H362),"")</f>
        <v>84</v>
      </c>
      <c r="Z362" s="41">
        <f>IFERROR(IF(Y362=0,"",ROUNDUP(Y362/H362,0)*0.00902),"")</f>
        <v>0.1804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89</v>
      </c>
      <c r="BN362" s="78">
        <f t="shared" ref="BN362:BN368" si="54">IFERROR(Y362*I362/H362,"0")</f>
        <v>89</v>
      </c>
      <c r="BO362" s="78">
        <f t="shared" ref="BO362:BO368" si="55">IFERROR(1/J362*(X362/H362),"0")</f>
        <v>0.15151515151515152</v>
      </c>
      <c r="BP362" s="78">
        <f t="shared" ref="BP362:BP368" si="56">IFERROR(1/J362*(Y362/H362),"0")</f>
        <v>0.15151515151515152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42</v>
      </c>
      <c r="Y363" s="55">
        <f t="shared" si="52"/>
        <v>42</v>
      </c>
      <c r="Z363" s="41">
        <f>IFERROR(IF(Y363=0,"",ROUNDUP(Y363/H363,0)*0.00902),"")</f>
        <v>9.0200000000000002E-2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44.5</v>
      </c>
      <c r="BN363" s="78">
        <f t="shared" si="54"/>
        <v>44.5</v>
      </c>
      <c r="BO363" s="78">
        <f t="shared" si="55"/>
        <v>7.575757575757576E-2</v>
      </c>
      <c r="BP363" s="78">
        <f t="shared" si="56"/>
        <v>7.575757575757576E-2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30.66</v>
      </c>
      <c r="Y364" s="55">
        <f t="shared" si="52"/>
        <v>30.66</v>
      </c>
      <c r="Z364" s="41">
        <f>IFERROR(IF(Y364=0,"",ROUNDUP(Y364/H364,0)*0.00902),"")</f>
        <v>6.3140000000000002E-2</v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32.410000000000004</v>
      </c>
      <c r="BN364" s="78">
        <f t="shared" si="54"/>
        <v>32.410000000000004</v>
      </c>
      <c r="BO364" s="78">
        <f t="shared" si="55"/>
        <v>5.3030303030303032E-2</v>
      </c>
      <c r="BP364" s="78">
        <f t="shared" si="56"/>
        <v>5.3030303030303032E-2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14.7</v>
      </c>
      <c r="Y365" s="55">
        <f t="shared" si="52"/>
        <v>14.700000000000001</v>
      </c>
      <c r="Z365" s="41">
        <f>IFERROR(IF(Y365=0,"",ROUNDUP(Y365/H365,0)*0.00502),"")</f>
        <v>3.5140000000000005E-2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15.61</v>
      </c>
      <c r="BN365" s="78">
        <f t="shared" si="54"/>
        <v>15.61</v>
      </c>
      <c r="BO365" s="78">
        <f t="shared" si="55"/>
        <v>2.9914529914529912E-2</v>
      </c>
      <c r="BP365" s="78">
        <f t="shared" si="56"/>
        <v>2.9914529914529919E-2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14.7</v>
      </c>
      <c r="Y366" s="55">
        <f t="shared" si="52"/>
        <v>14.700000000000001</v>
      </c>
      <c r="Z366" s="41">
        <f>IFERROR(IF(Y366=0,"",ROUNDUP(Y366/H366,0)*0.00502),"")</f>
        <v>3.5140000000000005E-2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15.4</v>
      </c>
      <c r="BN366" s="78">
        <f t="shared" si="54"/>
        <v>15.4</v>
      </c>
      <c r="BO366" s="78">
        <f t="shared" si="55"/>
        <v>2.9914529914529912E-2</v>
      </c>
      <c r="BP366" s="78">
        <f t="shared" si="56"/>
        <v>2.9914529914529919E-2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51</v>
      </c>
      <c r="Y369" s="43">
        <f>IFERROR(Y362/H362,"0")+IFERROR(Y363/H363,"0")+IFERROR(Y364/H364,"0")+IFERROR(Y365/H365,"0")+IFERROR(Y366/H366,"0")+IFERROR(Y367/H367,"0")+IFERROR(Y368/H368,"0")</f>
        <v>51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0.40402000000000005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186.05999999999997</v>
      </c>
      <c r="Y370" s="43">
        <f>IFERROR(SUM(Y362:Y368),"0")</f>
        <v>186.05999999999997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1497.6</v>
      </c>
      <c r="Y372" s="55">
        <f>IFERROR(IF(X372="",0,CEILING((X372/$H372),1)*$H372),"")</f>
        <v>1497.6</v>
      </c>
      <c r="Z372" s="41">
        <f>IFERROR(IF(Y372=0,"",ROUNDUP(Y372/H372,0)*0.01898),"")</f>
        <v>3.6441600000000003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1591.296</v>
      </c>
      <c r="BN372" s="78">
        <f>IFERROR(Y372*I372/H372,"0")</f>
        <v>1591.296</v>
      </c>
      <c r="BO372" s="78">
        <f>IFERROR(1/J372*(X372/H372),"0")</f>
        <v>3</v>
      </c>
      <c r="BP372" s="78">
        <f>IFERROR(1/J372*(Y372/H372),"0")</f>
        <v>3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23.4</v>
      </c>
      <c r="Y373" s="55">
        <f>IFERROR(IF(X373="",0,CEILING((X373/$H373),1)*$H373),"")</f>
        <v>23.4</v>
      </c>
      <c r="Z373" s="41">
        <f>IFERROR(IF(Y373=0,"",ROUNDUP(Y373/H373,0)*0.01898),"")</f>
        <v>5.6940000000000004E-2</v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24.882000000000001</v>
      </c>
      <c r="BN373" s="78">
        <f>IFERROR(Y373*I373/H373,"0")</f>
        <v>24.882000000000001</v>
      </c>
      <c r="BO373" s="78">
        <f>IFERROR(1/J373*(X373/H373),"0")</f>
        <v>4.6875E-2</v>
      </c>
      <c r="BP373" s="78">
        <f>IFERROR(1/J373*(Y373/H373),"0")</f>
        <v>4.6875E-2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24.3</v>
      </c>
      <c r="Y374" s="55">
        <f>IFERROR(IF(X374="",0,CEILING((X374/$H374),1)*$H374),"")</f>
        <v>24.299999999999997</v>
      </c>
      <c r="Z374" s="41">
        <f>IFERROR(IF(Y374=0,"",ROUNDUP(Y374/H374,0)*0.01898),"")</f>
        <v>5.6940000000000004E-2</v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25.728000000000002</v>
      </c>
      <c r="BN374" s="78">
        <f>IFERROR(Y374*I374/H374,"0")</f>
        <v>25.727999999999998</v>
      </c>
      <c r="BO374" s="78">
        <f>IFERROR(1/J374*(X374/H374),"0")</f>
        <v>4.6875E-2</v>
      </c>
      <c r="BP374" s="78">
        <f>IFERROR(1/J374*(Y374/H374),"0")</f>
        <v>4.6875E-2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15</v>
      </c>
      <c r="Y375" s="55">
        <f>IFERROR(IF(X375="",0,CEILING((X375/$H375),1)*$H375),"")</f>
        <v>15</v>
      </c>
      <c r="Z375" s="41">
        <f>IFERROR(IF(Y375=0,"",ROUNDUP(Y375/H375,0)*0.00651),"")</f>
        <v>3.2550000000000003E-2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16.23</v>
      </c>
      <c r="BN375" s="78">
        <f>IFERROR(Y375*I375/H375,"0")</f>
        <v>16.23</v>
      </c>
      <c r="BO375" s="78">
        <f>IFERROR(1/J375*(X375/H375),"0")</f>
        <v>2.7472527472527476E-2</v>
      </c>
      <c r="BP375" s="78">
        <f>IFERROR(1/J375*(Y375/H375),"0")</f>
        <v>2.7472527472527476E-2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203</v>
      </c>
      <c r="Y376" s="43">
        <f>IFERROR(Y372/H372,"0")+IFERROR(Y373/H373,"0")+IFERROR(Y374/H374,"0")+IFERROR(Y375/H375,"0")</f>
        <v>203</v>
      </c>
      <c r="Z376" s="43">
        <f>IFERROR(IF(Z372="",0,Z372),"0")+IFERROR(IF(Z373="",0,Z373),"0")+IFERROR(IF(Z374="",0,Z374),"0")+IFERROR(IF(Z375="",0,Z375),"0")</f>
        <v>3.7905900000000003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1560.3</v>
      </c>
      <c r="Y377" s="43">
        <f>IFERROR(SUM(Y372:Y375),"0")</f>
        <v>1560.3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42</v>
      </c>
      <c r="Y379" s="55">
        <f>IFERROR(IF(X379="",0,CEILING((X379/$H379),1)*$H379),"")</f>
        <v>42</v>
      </c>
      <c r="Z379" s="41">
        <f>IFERROR(IF(Y379=0,"",ROUNDUP(Y379/H379,0)*0.01898),"")</f>
        <v>9.4899999999999998E-2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44.47</v>
      </c>
      <c r="BN379" s="78">
        <f>IFERROR(Y379*I379/H379,"0")</f>
        <v>44.47</v>
      </c>
      <c r="BO379" s="78">
        <f>IFERROR(1/J379*(X379/H379),"0")</f>
        <v>7.8125E-2</v>
      </c>
      <c r="BP379" s="78">
        <f>IFERROR(1/J379*(Y379/H379),"0")</f>
        <v>7.8125E-2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46.8</v>
      </c>
      <c r="Y380" s="55">
        <f>IFERROR(IF(X380="",0,CEILING((X380/$H380),1)*$H380),"")</f>
        <v>46.8</v>
      </c>
      <c r="Z380" s="41">
        <f>IFERROR(IF(Y380=0,"",ROUNDUP(Y380/H380,0)*0.01898),"")</f>
        <v>0.11388000000000001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49.764000000000003</v>
      </c>
      <c r="BN380" s="78">
        <f>IFERROR(Y380*I380/H380,"0")</f>
        <v>49.764000000000003</v>
      </c>
      <c r="BO380" s="78">
        <f>IFERROR(1/J380*(X380/H380),"0")</f>
        <v>9.375E-2</v>
      </c>
      <c r="BP380" s="78">
        <f>IFERROR(1/J380*(Y380/H380),"0")</f>
        <v>9.375E-2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67.2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71.152000000000001</v>
      </c>
      <c r="BN381" s="78">
        <f>IFERROR(Y381*I381/H381,"0")</f>
        <v>71.152000000000001</v>
      </c>
      <c r="BO381" s="78">
        <f>IFERROR(1/J381*(X381/H381),"0")</f>
        <v>0.125</v>
      </c>
      <c r="BP381" s="78">
        <f>IFERROR(1/J381*(Y381/H381),"0")</f>
        <v>0.125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19</v>
      </c>
      <c r="Y382" s="43">
        <f>IFERROR(Y379/H379,"0")+IFERROR(Y380/H380,"0")+IFERROR(Y381/H381,"0")</f>
        <v>19</v>
      </c>
      <c r="Z382" s="43">
        <f>IFERROR(IF(Z379="",0,Z379),"0")+IFERROR(IF(Z380="",0,Z380),"0")+IFERROR(IF(Z381="",0,Z381),"0")</f>
        <v>0.36062000000000005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156</v>
      </c>
      <c r="Y383" s="43">
        <f>IFERROR(SUM(Y379:Y381),"0")</f>
        <v>156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3.04</v>
      </c>
      <c r="Y385" s="55">
        <f>IFERROR(IF(X385="",0,CEILING((X385/$H385),1)*$H385),"")</f>
        <v>3.04</v>
      </c>
      <c r="Z385" s="41">
        <f>IFERROR(IF(Y385=0,"",ROUNDUP(Y385/H385,0)*0.00902),"")</f>
        <v>9.0200000000000002E-3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3.31</v>
      </c>
      <c r="BN385" s="78">
        <f>IFERROR(Y385*I385/H385,"0")</f>
        <v>3.31</v>
      </c>
      <c r="BO385" s="78">
        <f>IFERROR(1/J385*(X385/H385),"0")</f>
        <v>7.575757575757576E-3</v>
      </c>
      <c r="BP385" s="78">
        <f>IFERROR(1/J385*(Y385/H385),"0")</f>
        <v>7.575757575757576E-3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3.04</v>
      </c>
      <c r="Y386" s="55">
        <f>IFERROR(IF(X386="",0,CEILING((X386/$H386),1)*$H386),"")</f>
        <v>3.04</v>
      </c>
      <c r="Z386" s="41">
        <f>IFERROR(IF(Y386=0,"",ROUNDUP(Y386/H386,0)*0.00902),"")</f>
        <v>9.0200000000000002E-3</v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3.2699999999999996</v>
      </c>
      <c r="BN386" s="78">
        <f>IFERROR(Y386*I386/H386,"0")</f>
        <v>3.2699999999999996</v>
      </c>
      <c r="BO386" s="78">
        <f>IFERROR(1/J386*(X386/H386),"0")</f>
        <v>7.575757575757576E-3</v>
      </c>
      <c r="BP386" s="78">
        <f>IFERROR(1/J386*(Y386/H386),"0")</f>
        <v>7.575757575757576E-3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2.5499999999999998</v>
      </c>
      <c r="Y387" s="55">
        <f>IFERROR(IF(X387="",0,CEILING((X387/$H387),1)*$H387),"")</f>
        <v>2.5499999999999998</v>
      </c>
      <c r="Z387" s="41">
        <f>IFERROR(IF(Y387=0,"",ROUNDUP(Y387/H387,0)*0.00651),"")</f>
        <v>6.5100000000000002E-3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2.9550000000000001</v>
      </c>
      <c r="BN387" s="78">
        <f>IFERROR(Y387*I387/H387,"0")</f>
        <v>2.9550000000000001</v>
      </c>
      <c r="BO387" s="78">
        <f>IFERROR(1/J387*(X387/H387),"0")</f>
        <v>5.4945054945054949E-3</v>
      </c>
      <c r="BP387" s="78">
        <f>IFERROR(1/J387*(Y387/H387),"0")</f>
        <v>5.4945054945054949E-3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2.5499999999999998</v>
      </c>
      <c r="Y388" s="55">
        <f>IFERROR(IF(X388="",0,CEILING((X388/$H388),1)*$H388),"")</f>
        <v>2.5499999999999998</v>
      </c>
      <c r="Z388" s="41">
        <f>IFERROR(IF(Y388=0,"",ROUNDUP(Y388/H388,0)*0.00651),"")</f>
        <v>6.5100000000000002E-3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2.88</v>
      </c>
      <c r="BN388" s="78">
        <f>IFERROR(Y388*I388/H388,"0")</f>
        <v>2.88</v>
      </c>
      <c r="BO388" s="78">
        <f>IFERROR(1/J388*(X388/H388),"0")</f>
        <v>5.4945054945054949E-3</v>
      </c>
      <c r="BP388" s="78">
        <f>IFERROR(1/J388*(Y388/H388),"0")</f>
        <v>5.4945054945054949E-3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4</v>
      </c>
      <c r="Y389" s="43">
        <f>IFERROR(Y385/H385,"0")+IFERROR(Y386/H386,"0")+IFERROR(Y387/H387,"0")+IFERROR(Y388/H388,"0")</f>
        <v>4</v>
      </c>
      <c r="Z389" s="43">
        <f>IFERROR(IF(Z385="",0,Z385),"0")+IFERROR(IF(Z386="",0,Z386),"0")+IFERROR(IF(Z387="",0,Z387),"0")+IFERROR(IF(Z388="",0,Z388),"0")</f>
        <v>3.1060000000000004E-2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11.18</v>
      </c>
      <c r="Y390" s="43">
        <f>IFERROR(SUM(Y385:Y388),"0")</f>
        <v>11.18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64.8</v>
      </c>
      <c r="Y399" s="55">
        <f>IFERROR(IF(X399="",0,CEILING((X399/$H399),1)*$H399),"")</f>
        <v>64.8</v>
      </c>
      <c r="Z399" s="41">
        <f>IFERROR(IF(Y399=0,"",ROUNDUP(Y399/H399,0)*0.01898),"")</f>
        <v>0.15184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68.751999999999995</v>
      </c>
      <c r="BN399" s="78">
        <f>IFERROR(Y399*I399/H399,"0")</f>
        <v>68.751999999999995</v>
      </c>
      <c r="BO399" s="78">
        <f>IFERROR(1/J399*(X399/H399),"0")</f>
        <v>0.125</v>
      </c>
      <c r="BP399" s="78">
        <f>IFERROR(1/J399*(Y399/H399),"0")</f>
        <v>0.125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6.3</v>
      </c>
      <c r="Y400" s="55">
        <f>IFERROR(IF(X400="",0,CEILING((X400/$H400),1)*$H400),"")</f>
        <v>6.3000000000000007</v>
      </c>
      <c r="Z400" s="41">
        <f>IFERROR(IF(Y400=0,"",ROUNDUP(Y400/H400,0)*0.00651),"")</f>
        <v>1.9529999999999999E-2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7.0559999999999992</v>
      </c>
      <c r="BN400" s="78">
        <f>IFERROR(Y400*I400/H400,"0")</f>
        <v>7.056</v>
      </c>
      <c r="BO400" s="78">
        <f>IFERROR(1/J400*(X400/H400),"0")</f>
        <v>1.6483516483516484E-2</v>
      </c>
      <c r="BP400" s="78">
        <f>IFERROR(1/J400*(Y400/H400),"0")</f>
        <v>1.6483516483516484E-2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6.3</v>
      </c>
      <c r="Y401" s="55">
        <f>IFERROR(IF(X401="",0,CEILING((X401/$H401),1)*$H401),"")</f>
        <v>6.3000000000000007</v>
      </c>
      <c r="Z401" s="41">
        <f>IFERROR(IF(Y401=0,"",ROUNDUP(Y401/H401,0)*0.00651),"")</f>
        <v>1.9529999999999999E-2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7.02</v>
      </c>
      <c r="BN401" s="78">
        <f>IFERROR(Y401*I401/H401,"0")</f>
        <v>7.0200000000000005</v>
      </c>
      <c r="BO401" s="78">
        <f>IFERROR(1/J401*(X401/H401),"0")</f>
        <v>1.6483516483516484E-2</v>
      </c>
      <c r="BP401" s="78">
        <f>IFERROR(1/J401*(Y401/H401),"0")</f>
        <v>1.6483516483516484E-2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14</v>
      </c>
      <c r="Y402" s="43">
        <f>IFERROR(Y399/H399,"0")+IFERROR(Y400/H400,"0")+IFERROR(Y401/H401,"0")</f>
        <v>14</v>
      </c>
      <c r="Z402" s="43">
        <f>IFERROR(IF(Z399="",0,Z399),"0")+IFERROR(IF(Z400="",0,Z400),"0")+IFERROR(IF(Z401="",0,Z401),"0")</f>
        <v>0.19089999999999999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77.399999999999991</v>
      </c>
      <c r="Y403" s="43">
        <f>IFERROR(SUM(Y399:Y401),"0")</f>
        <v>77.399999999999991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57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154.69999999999999</v>
      </c>
      <c r="BN407" s="78">
        <f t="shared" ref="BN407:BN414" si="59">IFERROR(Y407*I407/H407,"0")</f>
        <v>154.69999999999999</v>
      </c>
      <c r="BO407" s="78">
        <f t="shared" ref="BO407:BO414" si="60">IFERROR(1/J407*(X407/H407),"0")</f>
        <v>0.20833333333333331</v>
      </c>
      <c r="BP407" s="78">
        <f t="shared" ref="BP407:BP414" si="61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720</v>
      </c>
      <c r="Y409" s="55">
        <f t="shared" si="57"/>
        <v>720</v>
      </c>
      <c r="Z409" s="41">
        <f>IFERROR(IF(Y409=0,"",ROUNDUP(Y409/H409,0)*0.02175),"")</f>
        <v>1.044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742.56</v>
      </c>
      <c r="BN409" s="78">
        <f t="shared" si="59"/>
        <v>742.56</v>
      </c>
      <c r="BO409" s="78">
        <f t="shared" si="60"/>
        <v>1</v>
      </c>
      <c r="BP409" s="78">
        <f t="shared" si="61"/>
        <v>1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900</v>
      </c>
      <c r="Y411" s="55">
        <f t="shared" si="57"/>
        <v>900</v>
      </c>
      <c r="Z411" s="41">
        <f>IFERROR(IF(Y411=0,"",ROUNDUP(Y411/H411,0)*0.02175),"")</f>
        <v>1.3049999999999999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928.2</v>
      </c>
      <c r="BN411" s="78">
        <f t="shared" si="59"/>
        <v>928.2</v>
      </c>
      <c r="BO411" s="78">
        <f t="shared" si="60"/>
        <v>1.25</v>
      </c>
      <c r="BP411" s="78">
        <f t="shared" si="61"/>
        <v>1.25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8</v>
      </c>
      <c r="Y412" s="55">
        <f t="shared" si="57"/>
        <v>8</v>
      </c>
      <c r="Z412" s="41">
        <f>IFERROR(IF(Y412=0,"",ROUNDUP(Y412/H412,0)*0.00902),"")</f>
        <v>1.804E-2</v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8.3800000000000008</v>
      </c>
      <c r="BN412" s="78">
        <f t="shared" si="59"/>
        <v>8.3800000000000008</v>
      </c>
      <c r="BO412" s="78">
        <f t="shared" si="60"/>
        <v>1.5151515151515152E-2</v>
      </c>
      <c r="BP412" s="78">
        <f t="shared" si="61"/>
        <v>1.5151515151515152E-2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8</v>
      </c>
      <c r="Y414" s="55">
        <f t="shared" si="57"/>
        <v>10</v>
      </c>
      <c r="Z414" s="41">
        <f>IFERROR(IF(Y414=0,"",ROUNDUP(Y414/H414,0)*0.00902),"")</f>
        <v>1.804E-2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8.3040000000000003</v>
      </c>
      <c r="BN414" s="78">
        <f t="shared" si="59"/>
        <v>10.38</v>
      </c>
      <c r="BO414" s="78">
        <f t="shared" si="60"/>
        <v>1.2121212121212123E-2</v>
      </c>
      <c r="BP414" s="78">
        <f t="shared" si="61"/>
        <v>1.5151515151515152E-2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121.6</v>
      </c>
      <c r="Y415" s="43">
        <f>IFERROR(Y407/H407,"0")+IFERROR(Y408/H408,"0")+IFERROR(Y409/H409,"0")+IFERROR(Y410/H410,"0")+IFERROR(Y411/H411,"0")+IFERROR(Y412/H412,"0")+IFERROR(Y413/H413,"0")+IFERROR(Y414/H414,"0")</f>
        <v>122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2.6025800000000001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1786</v>
      </c>
      <c r="Y416" s="43">
        <f>IFERROR(SUM(Y407:Y414),"0")</f>
        <v>1788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720</v>
      </c>
      <c r="Y418" s="55">
        <f>IFERROR(IF(X418="",0,CEILING((X418/$H418),1)*$H418),"")</f>
        <v>720</v>
      </c>
      <c r="Z418" s="41">
        <f>IFERROR(IF(Y418=0,"",ROUNDUP(Y418/H418,0)*0.02175),"")</f>
        <v>1.044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742.56</v>
      </c>
      <c r="BN418" s="78">
        <f>IFERROR(Y418*I418/H418,"0")</f>
        <v>742.56</v>
      </c>
      <c r="BO418" s="78">
        <f>IFERROR(1/J418*(X418/H418),"0")</f>
        <v>1</v>
      </c>
      <c r="BP418" s="78">
        <f>IFERROR(1/J418*(Y418/H418),"0")</f>
        <v>1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150</v>
      </c>
      <c r="Z419" s="41">
        <f>IFERROR(IF(Y419=0,"",ROUNDUP(Y419/H419,0)*0.02175),"")</f>
        <v>0.21749999999999997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154.69999999999999</v>
      </c>
      <c r="BN419" s="78">
        <f>IFERROR(Y419*I419/H419,"0")</f>
        <v>154.69999999999999</v>
      </c>
      <c r="BO419" s="78">
        <f>IFERROR(1/J419*(X419/H419),"0")</f>
        <v>0.20833333333333331</v>
      </c>
      <c r="BP419" s="78">
        <f>IFERROR(1/J419*(Y419/H419),"0")</f>
        <v>0.20833333333333331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8</v>
      </c>
      <c r="Y420" s="55">
        <f>IFERROR(IF(X420="",0,CEILING((X420/$H420),1)*$H420),"")</f>
        <v>8</v>
      </c>
      <c r="Z420" s="41">
        <f>IFERROR(IF(Y420=0,"",ROUNDUP(Y420/H420,0)*0.00902),"")</f>
        <v>1.804E-2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8.3800000000000008</v>
      </c>
      <c r="BN420" s="78">
        <f>IFERROR(Y420*I420/H420,"0")</f>
        <v>8.3800000000000008</v>
      </c>
      <c r="BO420" s="78">
        <f>IFERROR(1/J420*(X420/H420),"0")</f>
        <v>1.5151515151515152E-2</v>
      </c>
      <c r="BP420" s="78">
        <f>IFERROR(1/J420*(Y420/H420),"0")</f>
        <v>1.5151515151515152E-2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60</v>
      </c>
      <c r="Y421" s="43">
        <f>IFERROR(Y418/H418,"0")+IFERROR(Y419/H419,"0")+IFERROR(Y420/H420,"0")</f>
        <v>60</v>
      </c>
      <c r="Z421" s="43">
        <f>IFERROR(IF(Z418="",0,Z418),"0")+IFERROR(IF(Z419="",0,Z419),"0")+IFERROR(IF(Z420="",0,Z420),"0")</f>
        <v>1.2795400000000001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878</v>
      </c>
      <c r="Y422" s="43">
        <f>IFERROR(SUM(Y418:Y420),"0")</f>
        <v>878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36</v>
      </c>
      <c r="Y424" s="55">
        <f>IFERROR(IF(X424="",0,CEILING((X424/$H424),1)*$H424),"")</f>
        <v>36</v>
      </c>
      <c r="Z424" s="41">
        <f>IFERROR(IF(Y424=0,"",ROUNDUP(Y424/H424,0)*0.01898),"")</f>
        <v>7.5920000000000001E-2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38</v>
      </c>
      <c r="BN424" s="78">
        <f>IFERROR(Y424*I424/H424,"0")</f>
        <v>38</v>
      </c>
      <c r="BO424" s="78">
        <f>IFERROR(1/J424*(X424/H424),"0")</f>
        <v>6.25E-2</v>
      </c>
      <c r="BP424" s="78">
        <f>IFERROR(1/J424*(Y424/H424),"0")</f>
        <v>6.25E-2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9</v>
      </c>
      <c r="Y425" s="55">
        <f>IFERROR(IF(X425="",0,CEILING((X425/$H425),1)*$H425),"")</f>
        <v>9</v>
      </c>
      <c r="Z425" s="41">
        <f>IFERROR(IF(Y425=0,"",ROUNDUP(Y425/H425,0)*0.01898),"")</f>
        <v>1.898E-2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9.4939999999999998</v>
      </c>
      <c r="BN425" s="78">
        <f>IFERROR(Y425*I425/H425,"0")</f>
        <v>9.4939999999999998</v>
      </c>
      <c r="BO425" s="78">
        <f>IFERROR(1/J425*(X425/H425),"0")</f>
        <v>1.5625E-2</v>
      </c>
      <c r="BP425" s="78">
        <f>IFERROR(1/J425*(Y425/H425),"0")</f>
        <v>1.5625E-2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5</v>
      </c>
      <c r="Y426" s="43">
        <f>IFERROR(Y424/H424,"0")+IFERROR(Y425/H425,"0")</f>
        <v>5</v>
      </c>
      <c r="Z426" s="43">
        <f>IFERROR(IF(Z424="",0,Z424),"0")+IFERROR(IF(Z425="",0,Z425),"0")</f>
        <v>9.4899999999999998E-2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45</v>
      </c>
      <c r="Y427" s="43">
        <f>IFERROR(SUM(Y424:Y425),"0")</f>
        <v>45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9</v>
      </c>
      <c r="Y429" s="55">
        <f>IFERROR(IF(X429="",0,CEILING((X429/$H429),1)*$H429),"")</f>
        <v>9</v>
      </c>
      <c r="Z429" s="41">
        <f>IFERROR(IF(Y429=0,"",ROUNDUP(Y429/H429,0)*0.01898),"")</f>
        <v>1.898E-2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9.4939999999999998</v>
      </c>
      <c r="BN429" s="78">
        <f>IFERROR(Y429*I429/H429,"0")</f>
        <v>9.4939999999999998</v>
      </c>
      <c r="BO429" s="78">
        <f>IFERROR(1/J429*(X429/H429),"0")</f>
        <v>1.5625E-2</v>
      </c>
      <c r="BP429" s="78">
        <f>IFERROR(1/J429*(Y429/H429),"0")</f>
        <v>1.5625E-2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1</v>
      </c>
      <c r="Y430" s="43">
        <f>IFERROR(Y429/H429,"0")</f>
        <v>1</v>
      </c>
      <c r="Z430" s="43">
        <f>IFERROR(IF(Z429="",0,Z429),"0")</f>
        <v>1.898E-2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9</v>
      </c>
      <c r="Y431" s="43">
        <f>IFERROR(SUM(Y429:Y429),"0")</f>
        <v>9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9</v>
      </c>
      <c r="Y443" s="55">
        <f>IFERROR(IF(X443="",0,CEILING((X443/$H443),1)*$H443),"")</f>
        <v>9</v>
      </c>
      <c r="Z443" s="41">
        <f>IFERROR(IF(Y443=0,"",ROUNDUP(Y443/H443,0)*0.01898),"")</f>
        <v>1.898E-2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9.4939999999999998</v>
      </c>
      <c r="BN443" s="78">
        <f>IFERROR(Y443*I443/H443,"0")</f>
        <v>9.4939999999999998</v>
      </c>
      <c r="BO443" s="78">
        <f>IFERROR(1/J443*(X443/H443),"0")</f>
        <v>1.5625E-2</v>
      </c>
      <c r="BP443" s="78">
        <f>IFERROR(1/J443*(Y443/H443),"0")</f>
        <v>1.5625E-2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1</v>
      </c>
      <c r="Y446" s="43">
        <f>IFERROR(Y443/H443,"0")+IFERROR(Y444/H444,"0")+IFERROR(Y445/H445,"0")</f>
        <v>1</v>
      </c>
      <c r="Z446" s="43">
        <f>IFERROR(IF(Z443="",0,Z443),"0")+IFERROR(IF(Z444="",0,Z444),"0")+IFERROR(IF(Z445="",0,Z445),"0")</f>
        <v>1.898E-2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9</v>
      </c>
      <c r="Y447" s="43">
        <f>IFERROR(SUM(Y443:Y445),"0")</f>
        <v>9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27</v>
      </c>
      <c r="Y451" s="55">
        <f t="shared" ref="Y451:Y456" si="62">IFERROR(IF(X451="",0,CEILING((X451/$H451),1)*$H451),"")</f>
        <v>27</v>
      </c>
      <c r="Z451" s="41">
        <f>IFERROR(IF(Y451=0,"",ROUNDUP(Y451/H451,0)*0.00902),"")</f>
        <v>4.5100000000000001E-2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27.95</v>
      </c>
      <c r="BN451" s="78">
        <f t="shared" ref="BN451:BN456" si="64">IFERROR(Y451*I451/H451,"0")</f>
        <v>27.95</v>
      </c>
      <c r="BO451" s="78">
        <f t="shared" ref="BO451:BO456" si="65">IFERROR(1/J451*(X451/H451),"0")</f>
        <v>3.787878787878788E-2</v>
      </c>
      <c r="BP451" s="78">
        <f t="shared" ref="BP451:BP456" si="66">IFERROR(1/J451*(Y451/H451),"0")</f>
        <v>3.787878787878788E-2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27</v>
      </c>
      <c r="Y452" s="55">
        <f t="shared" si="62"/>
        <v>27</v>
      </c>
      <c r="Z452" s="41">
        <f>IFERROR(IF(Y452=0,"",ROUNDUP(Y452/H452,0)*0.00902),"")</f>
        <v>4.5100000000000001E-2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27.95</v>
      </c>
      <c r="BN452" s="78">
        <f t="shared" si="64"/>
        <v>27.95</v>
      </c>
      <c r="BO452" s="78">
        <f t="shared" si="65"/>
        <v>3.787878787878788E-2</v>
      </c>
      <c r="BP452" s="78">
        <f t="shared" si="66"/>
        <v>3.787878787878788E-2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10.5</v>
      </c>
      <c r="Y453" s="55">
        <f t="shared" si="62"/>
        <v>10.5</v>
      </c>
      <c r="Z453" s="41">
        <f>IFERROR(IF(Y453=0,"",ROUNDUP(Y453/H453,0)*0.00502),"")</f>
        <v>2.5100000000000001E-2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11.149999999999999</v>
      </c>
      <c r="BN453" s="78">
        <f t="shared" si="64"/>
        <v>11.149999999999999</v>
      </c>
      <c r="BO453" s="78">
        <f t="shared" si="65"/>
        <v>2.1367521367521368E-2</v>
      </c>
      <c r="BP453" s="78">
        <f t="shared" si="66"/>
        <v>2.1367521367521368E-2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10.5</v>
      </c>
      <c r="Y455" s="55">
        <f t="shared" si="62"/>
        <v>10.5</v>
      </c>
      <c r="Z455" s="41">
        <f>IFERROR(IF(Y455=0,"",ROUNDUP(Y455/H455,0)*0.00502),"")</f>
        <v>2.5100000000000001E-2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11.149999999999999</v>
      </c>
      <c r="BN455" s="78">
        <f t="shared" si="64"/>
        <v>11.149999999999999</v>
      </c>
      <c r="BO455" s="78">
        <f t="shared" si="65"/>
        <v>2.1367521367521368E-2</v>
      </c>
      <c r="BP455" s="78">
        <f t="shared" si="66"/>
        <v>2.1367521367521368E-2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10.5</v>
      </c>
      <c r="Y456" s="55">
        <f t="shared" si="62"/>
        <v>10.5</v>
      </c>
      <c r="Z456" s="41">
        <f>IFERROR(IF(Y456=0,"",ROUNDUP(Y456/H456,0)*0.00502),"")</f>
        <v>2.5100000000000001E-2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11.149999999999999</v>
      </c>
      <c r="BN456" s="78">
        <f t="shared" si="64"/>
        <v>11.149999999999999</v>
      </c>
      <c r="BO456" s="78">
        <f t="shared" si="65"/>
        <v>2.1367521367521368E-2</v>
      </c>
      <c r="BP456" s="78">
        <f t="shared" si="66"/>
        <v>2.1367521367521368E-2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25</v>
      </c>
      <c r="Y457" s="43">
        <f>IFERROR(Y451/H451,"0")+IFERROR(Y452/H452,"0")+IFERROR(Y453/H453,"0")+IFERROR(Y454/H454,"0")+IFERROR(Y455/H455,"0")+IFERROR(Y456/H456,"0")</f>
        <v>25</v>
      </c>
      <c r="Z457" s="43">
        <f>IFERROR(IF(Z451="",0,Z451),"0")+IFERROR(IF(Z452="",0,Z452),"0")+IFERROR(IF(Z453="",0,Z453),"0")+IFERROR(IF(Z454="",0,Z454),"0")+IFERROR(IF(Z455="",0,Z455),"0")+IFERROR(IF(Z456="",0,Z456),"0")</f>
        <v>0.16550000000000001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85.5</v>
      </c>
      <c r="Y458" s="43">
        <f>IFERROR(SUM(Y451:Y456),"0")</f>
        <v>85.5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4.8</v>
      </c>
      <c r="Y460" s="55">
        <f>IFERROR(IF(X460="",0,CEILING((X460/$H460),1)*$H460),"")</f>
        <v>4.8</v>
      </c>
      <c r="Z460" s="41">
        <f>IFERROR(IF(Y460=0,"",ROUNDUP(Y460/H460,0)*0.00902),"")</f>
        <v>1.804E-2</v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5.2519999999999998</v>
      </c>
      <c r="BN460" s="78">
        <f>IFERROR(Y460*I460/H460,"0")</f>
        <v>5.2519999999999998</v>
      </c>
      <c r="BO460" s="78">
        <f>IFERROR(1/J460*(X460/H460),"0")</f>
        <v>1.5151515151515152E-2</v>
      </c>
      <c r="BP460" s="78">
        <f>IFERROR(1/J460*(Y460/H460),"0")</f>
        <v>1.5151515151515152E-2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2</v>
      </c>
      <c r="Y462" s="43">
        <f>IFERROR(Y460/H460,"0")+IFERROR(Y461/H461,"0")</f>
        <v>2</v>
      </c>
      <c r="Z462" s="43">
        <f>IFERROR(IF(Z460="",0,Z460),"0")+IFERROR(IF(Z461="",0,Z461),"0")</f>
        <v>1.804E-2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4.8</v>
      </c>
      <c r="Y463" s="43">
        <f>IFERROR(SUM(Y460:Y461),"0")</f>
        <v>4.8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IFERROR(IF(Y470=0,"",ROUNDUP(Y470/H470,0)*0.00902),"")</f>
        <v>4.5100000000000001E-2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27.95</v>
      </c>
      <c r="BN470" s="78">
        <f>IFERROR(Y470*I470/H470,"0")</f>
        <v>27.95</v>
      </c>
      <c r="BO470" s="78">
        <f>IFERROR(1/J470*(X470/H470),"0")</f>
        <v>3.787878787878788E-2</v>
      </c>
      <c r="BP470" s="78">
        <f>IFERROR(1/J470*(Y470/H470),"0")</f>
        <v>3.787878787878788E-2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10.5</v>
      </c>
      <c r="Y472" s="55">
        <f>IFERROR(IF(X472="",0,CEILING((X472/$H472),1)*$H472),"")</f>
        <v>10.5</v>
      </c>
      <c r="Z472" s="41">
        <f>IFERROR(IF(Y472=0,"",ROUNDUP(Y472/H472,0)*0.00502),"")</f>
        <v>2.5100000000000001E-2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11.149999999999999</v>
      </c>
      <c r="BN472" s="78">
        <f>IFERROR(Y472*I472/H472,"0")</f>
        <v>11.149999999999999</v>
      </c>
      <c r="BO472" s="78">
        <f>IFERROR(1/J472*(X472/H472),"0")</f>
        <v>2.1367521367521368E-2</v>
      </c>
      <c r="BP472" s="78">
        <f>IFERROR(1/J472*(Y472/H472),"0")</f>
        <v>2.1367521367521368E-2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10</v>
      </c>
      <c r="Y473" s="43">
        <f>IFERROR(Y470/H470,"0")+IFERROR(Y471/H471,"0")+IFERROR(Y472/H472,"0")</f>
        <v>10</v>
      </c>
      <c r="Z473" s="43">
        <f>IFERROR(IF(Z470="",0,Z470),"0")+IFERROR(IF(Z471="",0,Z471),"0")+IFERROR(IF(Z472="",0,Z472),"0")</f>
        <v>7.0199999999999999E-2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37.5</v>
      </c>
      <c r="Y474" s="43">
        <f>IFERROR(SUM(Y470:Y472),"0")</f>
        <v>37.5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/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10.56</v>
      </c>
      <c r="Y480" s="55">
        <f t="shared" si="67"/>
        <v>10.56</v>
      </c>
      <c r="Z480" s="41">
        <f t="shared" si="68"/>
        <v>2.392E-2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11.26</v>
      </c>
      <c r="BN480" s="78">
        <f t="shared" si="70"/>
        <v>11.26</v>
      </c>
      <c r="BO480" s="78">
        <f t="shared" si="71"/>
        <v>1.9230769230769232E-2</v>
      </c>
      <c r="BP480" s="78">
        <f t="shared" si="72"/>
        <v>1.9230769230769232E-2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/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10.56</v>
      </c>
      <c r="Y483" s="55">
        <f t="shared" si="67"/>
        <v>10.56</v>
      </c>
      <c r="Z483" s="41">
        <f t="shared" si="68"/>
        <v>2.392E-2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11.26</v>
      </c>
      <c r="BN483" s="78">
        <f t="shared" si="70"/>
        <v>11.26</v>
      </c>
      <c r="BO483" s="78">
        <f t="shared" si="71"/>
        <v>1.9230769230769232E-2</v>
      </c>
      <c r="BP483" s="78">
        <f t="shared" si="72"/>
        <v>1.9230769230769232E-2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4.8</v>
      </c>
      <c r="Y485" s="55">
        <f t="shared" si="67"/>
        <v>4.8</v>
      </c>
      <c r="Z485" s="41">
        <f>IFERROR(IF(Y485=0,"",ROUNDUP(Y485/H485,0)*0.00902),"")</f>
        <v>9.0200000000000002E-3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6.91</v>
      </c>
      <c r="BN485" s="78">
        <f t="shared" si="70"/>
        <v>6.91</v>
      </c>
      <c r="BO485" s="78">
        <f t="shared" si="71"/>
        <v>7.575757575757576E-3</v>
      </c>
      <c r="BP485" s="78">
        <f t="shared" si="72"/>
        <v>7.575757575757576E-3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4.8</v>
      </c>
      <c r="Y486" s="55">
        <f t="shared" si="67"/>
        <v>4.8</v>
      </c>
      <c r="Z486" s="41">
        <f>IFERROR(IF(Y486=0,"",ROUNDUP(Y486/H486,0)*0.00902),"")</f>
        <v>9.0200000000000002E-3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6.91</v>
      </c>
      <c r="BN486" s="78">
        <f t="shared" si="70"/>
        <v>6.91</v>
      </c>
      <c r="BO486" s="78">
        <f t="shared" si="71"/>
        <v>7.575757575757576E-3</v>
      </c>
      <c r="BP486" s="78">
        <f t="shared" si="72"/>
        <v>7.575757575757576E-3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6</v>
      </c>
      <c r="Y487" s="43">
        <f>IFERROR(Y478/H478,"0")+IFERROR(Y479/H479,"0")+IFERROR(Y480/H480,"0")+IFERROR(Y481/H481,"0")+IFERROR(Y482/H482,"0")+IFERROR(Y483/H483,"0")+IFERROR(Y484/H484,"0")+IFERROR(Y485/H485,"0")+IFERROR(Y486/H486,"0")</f>
        <v>6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6.5879999999999994E-2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30.720000000000002</v>
      </c>
      <c r="Y488" s="43">
        <f>IFERROR(SUM(Y478:Y486),"0")</f>
        <v>30.720000000000002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10.56</v>
      </c>
      <c r="Y490" s="55">
        <f>IFERROR(IF(X490="",0,CEILING((X490/$H490),1)*$H490),"")</f>
        <v>10.56</v>
      </c>
      <c r="Z490" s="41">
        <f>IFERROR(IF(Y490=0,"",ROUNDUP(Y490/H490,0)*0.01196),"")</f>
        <v>2.392E-2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11.26</v>
      </c>
      <c r="BN490" s="78">
        <f>IFERROR(Y490*I490/H490,"0")</f>
        <v>11.26</v>
      </c>
      <c r="BO490" s="78">
        <f>IFERROR(1/J490*(X490/H490),"0")</f>
        <v>1.9230769230769232E-2</v>
      </c>
      <c r="BP490" s="78">
        <f>IFERROR(1/J490*(Y490/H490),"0")</f>
        <v>1.9230769230769232E-2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4.8</v>
      </c>
      <c r="Y492" s="55">
        <f>IFERROR(IF(X492="",0,CEILING((X492/$H492),1)*$H492),"")</f>
        <v>4.8</v>
      </c>
      <c r="Z492" s="41">
        <f>IFERROR(IF(Y492=0,"",ROUNDUP(Y492/H492,0)*0.00902),"")</f>
        <v>9.0200000000000002E-3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6.91</v>
      </c>
      <c r="BN492" s="78">
        <f>IFERROR(Y492*I492/H492,"0")</f>
        <v>6.91</v>
      </c>
      <c r="BO492" s="78">
        <f>IFERROR(1/J492*(X492/H492),"0")</f>
        <v>7.575757575757576E-3</v>
      </c>
      <c r="BP492" s="78">
        <f>IFERROR(1/J492*(Y492/H492),"0")</f>
        <v>7.575757575757576E-3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3</v>
      </c>
      <c r="Y493" s="43">
        <f>IFERROR(Y490/H490,"0")+IFERROR(Y491/H491,"0")+IFERROR(Y492/H492,"0")</f>
        <v>3</v>
      </c>
      <c r="Z493" s="43">
        <f>IFERROR(IF(Z490="",0,Z490),"0")+IFERROR(IF(Z491="",0,Z491),"0")+IFERROR(IF(Z492="",0,Z492),"0")</f>
        <v>3.2939999999999997E-2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15.36</v>
      </c>
      <c r="Y494" s="43">
        <f>IFERROR(SUM(Y490:Y492),"0")</f>
        <v>15.36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10.56</v>
      </c>
      <c r="Y496" s="55">
        <f t="shared" ref="Y496:Y502" si="73">IFERROR(IF(X496="",0,CEILING((X496/$H496),1)*$H496),"")</f>
        <v>10.56</v>
      </c>
      <c r="Z496" s="41">
        <f>IFERROR(IF(Y496=0,"",ROUNDUP(Y496/H496,0)*0.01196),"")</f>
        <v>2.392E-2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11.26</v>
      </c>
      <c r="BN496" s="78">
        <f t="shared" ref="BN496:BN502" si="75">IFERROR(Y496*I496/H496,"0")</f>
        <v>11.26</v>
      </c>
      <c r="BO496" s="78">
        <f t="shared" ref="BO496:BO502" si="76">IFERROR(1/J496*(X496/H496),"0")</f>
        <v>1.9230769230769232E-2</v>
      </c>
      <c r="BP496" s="78">
        <f t="shared" ref="BP496:BP502" si="77">IFERROR(1/J496*(Y496/H496),"0")</f>
        <v>1.9230769230769232E-2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10.56</v>
      </c>
      <c r="Y497" s="55">
        <f t="shared" si="73"/>
        <v>10.56</v>
      </c>
      <c r="Z497" s="41">
        <f>IFERROR(IF(Y497=0,"",ROUNDUP(Y497/H497,0)*0.01196),"")</f>
        <v>2.392E-2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11.26</v>
      </c>
      <c r="BN497" s="78">
        <f t="shared" si="75"/>
        <v>11.26</v>
      </c>
      <c r="BO497" s="78">
        <f t="shared" si="76"/>
        <v>1.9230769230769232E-2</v>
      </c>
      <c r="BP497" s="78">
        <f t="shared" si="77"/>
        <v>1.9230769230769232E-2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10.56</v>
      </c>
      <c r="Y498" s="55">
        <f t="shared" si="73"/>
        <v>10.56</v>
      </c>
      <c r="Z498" s="41">
        <f>IFERROR(IF(Y498=0,"",ROUNDUP(Y498/H498,0)*0.01196),"")</f>
        <v>2.392E-2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11.26</v>
      </c>
      <c r="BN498" s="78">
        <f t="shared" si="75"/>
        <v>11.26</v>
      </c>
      <c r="BO498" s="78">
        <f t="shared" si="76"/>
        <v>1.9230769230769232E-2</v>
      </c>
      <c r="BP498" s="78">
        <f t="shared" si="77"/>
        <v>1.9230769230769232E-2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/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3.6</v>
      </c>
      <c r="Y500" s="55">
        <f t="shared" si="73"/>
        <v>3.6</v>
      </c>
      <c r="Z500" s="41">
        <f>IFERROR(IF(Y500=0,"",ROUNDUP(Y500/H500,0)*0.00902),"")</f>
        <v>9.0200000000000002E-3</v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3.79</v>
      </c>
      <c r="BN500" s="78">
        <f t="shared" si="75"/>
        <v>3.79</v>
      </c>
      <c r="BO500" s="78">
        <f t="shared" si="76"/>
        <v>7.575757575757576E-3</v>
      </c>
      <c r="BP500" s="78">
        <f t="shared" si="77"/>
        <v>7.575757575757576E-3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4.8</v>
      </c>
      <c r="Y501" s="55">
        <f t="shared" si="73"/>
        <v>4.8</v>
      </c>
      <c r="Z501" s="41">
        <f>IFERROR(IF(Y501=0,"",ROUNDUP(Y501/H501,0)*0.00902),"")</f>
        <v>9.0200000000000002E-3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6.67</v>
      </c>
      <c r="BN501" s="78">
        <f t="shared" si="75"/>
        <v>6.67</v>
      </c>
      <c r="BO501" s="78">
        <f t="shared" si="76"/>
        <v>7.575757575757576E-3</v>
      </c>
      <c r="BP501" s="78">
        <f t="shared" si="77"/>
        <v>7.575757575757576E-3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4.8</v>
      </c>
      <c r="Y502" s="55">
        <f t="shared" si="73"/>
        <v>4.8</v>
      </c>
      <c r="Z502" s="41">
        <f>IFERROR(IF(Y502=0,"",ROUNDUP(Y502/H502,0)*0.00902),"")</f>
        <v>9.0200000000000002E-3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6.67</v>
      </c>
      <c r="BN502" s="78">
        <f t="shared" si="75"/>
        <v>6.67</v>
      </c>
      <c r="BO502" s="78">
        <f t="shared" si="76"/>
        <v>7.575757575757576E-3</v>
      </c>
      <c r="BP502" s="78">
        <f t="shared" si="77"/>
        <v>7.575757575757576E-3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9</v>
      </c>
      <c r="Y503" s="43">
        <f>IFERROR(Y496/H496,"0")+IFERROR(Y497/H497,"0")+IFERROR(Y498/H498,"0")+IFERROR(Y499/H499,"0")+IFERROR(Y500/H500,"0")+IFERROR(Y501/H501,"0")+IFERROR(Y502/H502,"0")</f>
        <v>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9.8820000000000005E-2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44.879999999999995</v>
      </c>
      <c r="Y504" s="43">
        <f>IFERROR(SUM(Y496:Y502),"0")</f>
        <v>44.879999999999995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28.8</v>
      </c>
      <c r="Y516" s="55">
        <f>IFERROR(IF(X516="",0,CEILING((X516/$H516),1)*$H516),"")</f>
        <v>28.799999999999997</v>
      </c>
      <c r="Z516" s="41">
        <f>IFERROR(IF(Y516=0,"",ROUNDUP(Y516/H516,0)*0.00902),"")</f>
        <v>5.4120000000000001E-2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30.3</v>
      </c>
      <c r="BN516" s="78">
        <f>IFERROR(Y516*I516/H516,"0")</f>
        <v>30.299999999999994</v>
      </c>
      <c r="BO516" s="78">
        <f>IFERROR(1/J516*(X516/H516),"0")</f>
        <v>4.5454545454545456E-2</v>
      </c>
      <c r="BP516" s="78">
        <f>IFERROR(1/J516*(Y516/H516),"0")</f>
        <v>4.5454545454545456E-2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6</v>
      </c>
      <c r="Y518" s="43">
        <f>IFERROR(Y516/H516,"0")+IFERROR(Y517/H517,"0")</f>
        <v>6</v>
      </c>
      <c r="Z518" s="43">
        <f>IFERROR(IF(Z516="",0,Z516),"0")+IFERROR(IF(Z517="",0,Z517),"0")</f>
        <v>5.4120000000000001E-2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28.8</v>
      </c>
      <c r="Y519" s="43">
        <f>IFERROR(SUM(Y516:Y517),"0")</f>
        <v>28.799999999999997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36</v>
      </c>
      <c r="Y521" s="55">
        <f>IFERROR(IF(X521="",0,CEILING((X521/$H521),1)*$H521),"")</f>
        <v>36</v>
      </c>
      <c r="Z521" s="41">
        <f>IFERROR(IF(Y521=0,"",ROUNDUP(Y521/H521,0)*0.01898),"")</f>
        <v>7.5920000000000001E-2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37.975999999999999</v>
      </c>
      <c r="BN521" s="78">
        <f>IFERROR(Y521*I521/H521,"0")</f>
        <v>37.975999999999999</v>
      </c>
      <c r="BO521" s="78">
        <f>IFERROR(1/J521*(X521/H521),"0")</f>
        <v>6.25E-2</v>
      </c>
      <c r="BP521" s="78">
        <f>IFERROR(1/J521*(Y521/H521),"0")</f>
        <v>6.25E-2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4</v>
      </c>
      <c r="Y522" s="43">
        <f>IFERROR(Y521/H521,"0")</f>
        <v>4</v>
      </c>
      <c r="Z522" s="43">
        <f>IFERROR(IF(Z521="",0,Z521),"0")</f>
        <v>7.5920000000000001E-2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36</v>
      </c>
      <c r="Y523" s="43">
        <f>IFERROR(SUM(Y521:Y521),"0")</f>
        <v>36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9</v>
      </c>
      <c r="Y525" s="55">
        <f>IFERROR(IF(X525="",0,CEILING((X525/$H525),1)*$H525),"")</f>
        <v>9</v>
      </c>
      <c r="Z525" s="41">
        <f>IFERROR(IF(Y525=0,"",ROUNDUP(Y525/H525,0)*0.01898),"")</f>
        <v>1.898E-2</v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9.41</v>
      </c>
      <c r="BN525" s="78">
        <f>IFERROR(Y525*I525/H525,"0")</f>
        <v>9.41</v>
      </c>
      <c r="BO525" s="78">
        <f>IFERROR(1/J525*(X525/H525),"0")</f>
        <v>1.5625E-2</v>
      </c>
      <c r="BP525" s="78">
        <f>IFERROR(1/J525*(Y525/H525),"0")</f>
        <v>1.5625E-2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9</v>
      </c>
      <c r="Y526" s="55">
        <f>IFERROR(IF(X526="",0,CEILING((X526/$H526),1)*$H526),"")</f>
        <v>9</v>
      </c>
      <c r="Z526" s="41">
        <f>IFERROR(IF(Y526=0,"",ROUNDUP(Y526/H526,0)*0.01898),"")</f>
        <v>1.898E-2</v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9.41</v>
      </c>
      <c r="BN526" s="78">
        <f>IFERROR(Y526*I526/H526,"0")</f>
        <v>9.41</v>
      </c>
      <c r="BO526" s="78">
        <f>IFERROR(1/J526*(X526/H526),"0")</f>
        <v>1.5625E-2</v>
      </c>
      <c r="BP526" s="78">
        <f>IFERROR(1/J526*(Y526/H526),"0")</f>
        <v>1.5625E-2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2</v>
      </c>
      <c r="Y527" s="43">
        <f>IFERROR(Y525/H525,"0")+IFERROR(Y526/H526,"0")</f>
        <v>2</v>
      </c>
      <c r="Z527" s="43">
        <f>IFERROR(IF(Z525="",0,Z525),"0")+IFERROR(IF(Z526="",0,Z526),"0")</f>
        <v>3.7960000000000001E-2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18</v>
      </c>
      <c r="Y528" s="43">
        <f>IFERROR(SUM(Y525:Y526),"0")</f>
        <v>18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7852.7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7856.2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8220.8300555555561</v>
      </c>
      <c r="Y535" s="43">
        <f>IFERROR(SUM(BN22:BN531),"0")</f>
        <v>8224.4630000000016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13</v>
      </c>
      <c r="Y536" s="44">
        <f>ROUNDUP(SUM(BP22:BP531),0)</f>
        <v>13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8545.8300555555561</v>
      </c>
      <c r="Y537" s="43">
        <f>GrossWeightTotalR+PalletQtyTotalR*25</f>
        <v>8549.4630000000016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988.46111111111111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989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14.942370000000002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13.520000000000001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182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343.5</v>
      </c>
      <c r="F544" s="52">
        <f>IFERROR(Y88*1,"0")+IFERROR(Y89*1,"0")+IFERROR(Y90*1,"0")+IFERROR(Y91*1,"0")+IFERROR(Y95*1,"0")+IFERROR(Y96*1,"0")+IFERROR(Y97*1,"0")+IFERROR(Y98*1,"0")</f>
        <v>217.98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159.29999999999998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7.92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183.82000000000005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184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173.7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318</v>
      </c>
      <c r="Q544" s="52">
        <f>IFERROR(Y325*1,"0")+IFERROR(Y326*1,"0")+IFERROR(Y327*1,"0")</f>
        <v>14.399999999999999</v>
      </c>
      <c r="R544" s="52">
        <f>IFERROR(Y332*1,"0")+IFERROR(Y333*1,"0")+IFERROR(Y334*1,"0")+IFERROR(Y335*1,"0")+IFERROR(Y336*1,"0")+IFERROR(Y340*1,"0")+IFERROR(Y341*1,"0")</f>
        <v>23.759999999999998</v>
      </c>
      <c r="S544" s="52">
        <f>IFERROR(Y346*1,"0")+IFERROR(Y347*1,"0")+IFERROR(Y348*1,"0")</f>
        <v>46.8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2879.5400000000004</v>
      </c>
      <c r="U544" s="52">
        <f>IFERROR(Y399*1,"0")+IFERROR(Y400*1,"0")+IFERROR(Y401*1,"0")</f>
        <v>77.399999999999991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2720</v>
      </c>
      <c r="W544" s="52">
        <f>IFERROR(Y434*1,"0")+IFERROR(Y435*1,"0")+IFERROR(Y439*1,"0")+IFERROR(Y443*1,"0")+IFERROR(Y444*1,"0")+IFERROR(Y445*1,"0")</f>
        <v>9</v>
      </c>
      <c r="X544" s="52">
        <f>IFERROR(Y451*1,"0")+IFERROR(Y452*1,"0")+IFERROR(Y453*1,"0")+IFERROR(Y454*1,"0")+IFERROR(Y455*1,"0")+IFERROR(Y456*1,"0")+IFERROR(Y460*1,"0")+IFERROR(Y461*1,"0")</f>
        <v>90.3</v>
      </c>
      <c r="Y544" s="52">
        <f>IFERROR(Y466*1,"0")+IFERROR(Y470*1,"0")+IFERROR(Y471*1,"0")+IFERROR(Y472*1,"0")</f>
        <v>37.5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90.96</v>
      </c>
      <c r="AA544" s="52">
        <f>IFERROR(Y508*1,"0")+IFERROR(Y512*1,"0")+IFERROR(Y516*1,"0")+IFERROR(Y517*1,"0")+IFERROR(Y521*1,"0")+IFERROR(Y525*1,"0")+IFERROR(Y526*1,"0")</f>
        <v>82.8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bb0b2827-4eb3-461f-8866-28597c48f473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2026-07-15T08:48:07Z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