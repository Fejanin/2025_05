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FA31A548-4CD8-459A-B160-C891829E313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заказа'!$X$503:$X$503</definedName>
    <definedName name="GrossWeightTotalR">'Бланк заказа'!$Y$503:$Y$503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заказа'!$X$504:$X$504</definedName>
    <definedName name="PalletQtyTotalR">'Бланк заказа'!$Y$504:$Y$504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заказа'!$B$37:$B$37</definedName>
    <definedName name="ProductId100">'Бланк заказа'!$B$220:$B$220</definedName>
    <definedName name="ProductId101">'Бланк заказа'!$B$221:$B$221</definedName>
    <definedName name="ProductId102">'Бланк заказа'!$B$222:$B$222</definedName>
    <definedName name="ProductId103">'Бланк заказа'!$B$223:$B$223</definedName>
    <definedName name="ProductId104">'Бланк заказа'!$B$227:$B$227</definedName>
    <definedName name="ProductId105">'Бланк заказа'!$B$228:$B$228</definedName>
    <definedName name="ProductId106">'Бланк заказа'!$B$229:$B$229</definedName>
    <definedName name="ProductId107">'Бланк заказа'!$B$230:$B$230</definedName>
    <definedName name="ProductId108">'Бланк заказа'!$B$231:$B$231</definedName>
    <definedName name="ProductId109">'Бланк заказа'!$B$232:$B$232</definedName>
    <definedName name="ProductId11">'Бланк заказа'!$B$43:$B$43</definedName>
    <definedName name="ProductId110">'Бланк заказа'!$B$233:$B$233</definedName>
    <definedName name="ProductId111">'Бланк заказа'!$B$234:$B$234</definedName>
    <definedName name="ProductId112">'Бланк заказа'!$B$235:$B$235</definedName>
    <definedName name="ProductId113">'Бланк заказа'!$B$236:$B$236</definedName>
    <definedName name="ProductId114">'Бланк заказа'!$B$240:$B$240</definedName>
    <definedName name="ProductId115">'Бланк заказа'!$B$241:$B$241</definedName>
    <definedName name="ProductId116">'Бланк заказа'!$B$246:$B$246</definedName>
    <definedName name="ProductId117">'Бланк заказа'!$B$247:$B$247</definedName>
    <definedName name="ProductId118">'Бланк заказа'!$B$248:$B$248</definedName>
    <definedName name="ProductId119">'Бланк заказа'!$B$249:$B$249</definedName>
    <definedName name="ProductId12">'Бланк заказа'!$B$49:$B$49</definedName>
    <definedName name="ProductId120">'Бланк заказа'!$B$250:$B$250</definedName>
    <definedName name="ProductId121">'Бланк заказа'!$B$251:$B$251</definedName>
    <definedName name="ProductId122">'Бланк заказа'!$B$252:$B$252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заказа'!$B$265:$B$265</definedName>
    <definedName name="ProductId127">'Бланк заказа'!$B$266:$B$266</definedName>
    <definedName name="ProductId128">'Бланк заказа'!$B$267:$B$267</definedName>
    <definedName name="ProductId129">'Бланк заказа'!$B$268:$B$268</definedName>
    <definedName name="ProductId13">'Бланк заказа'!$B$50:$B$50</definedName>
    <definedName name="ProductId130">'Бланк заказа'!$B$273:$B$273</definedName>
    <definedName name="ProductId131">'Бланк заказа'!$B$274:$B$274</definedName>
    <definedName name="ProductId132">'Бланк заказа'!$B$275:$B$275</definedName>
    <definedName name="ProductId133">'Бланк заказа'!$B$276:$B$276</definedName>
    <definedName name="ProductId134">'Бланк заказа'!$B$277:$B$277</definedName>
    <definedName name="ProductId135">'Бланк заказа'!$B$282:$B$282</definedName>
    <definedName name="ProductId136">'Бланк заказа'!$B$283:$B$283</definedName>
    <definedName name="ProductId137">'Бланк заказа'!$B$284:$B$284</definedName>
    <definedName name="ProductId138">'Бланк заказа'!$B$285:$B$285</definedName>
    <definedName name="ProductId139">'Бланк заказа'!$B$290:$B$290</definedName>
    <definedName name="ProductId14">'Бланк заказа'!$B$51:$B$51</definedName>
    <definedName name="ProductId140">'Бланк заказа'!$B$291:$B$291</definedName>
    <definedName name="ProductId141">'Бланк заказа'!$B$292:$B$292</definedName>
    <definedName name="ProductId142">'Бланк заказа'!$B$297:$B$297</definedName>
    <definedName name="ProductId143">'Бланк заказа'!$B$298:$B$298</definedName>
    <definedName name="ProductId144">'Бланк заказа'!$B$299:$B$299</definedName>
    <definedName name="ProductId145">'Бланк заказа'!$B$300:$B$300</definedName>
    <definedName name="ProductId146">'Бланк заказа'!$B$304:$B$304</definedName>
    <definedName name="ProductId147">'Бланк заказа'!$B$305:$B$305</definedName>
    <definedName name="ProductId148">'Бланк заказа'!$B$310:$B$310</definedName>
    <definedName name="ProductId149">'Бланк заказа'!$B$311:$B$311</definedName>
    <definedName name="ProductId15">'Бланк заказа'!$B$52:$B$52</definedName>
    <definedName name="ProductId150">'Бланк заказа'!$B$312:$B$312</definedName>
    <definedName name="ProductId151">'Бланк заказа'!$B$313:$B$313</definedName>
    <definedName name="ProductId152">'Бланк заказа'!$B$314:$B$314</definedName>
    <definedName name="ProductId153">'Бланк заказа'!$B$315:$B$315</definedName>
    <definedName name="ProductId154">'Бланк заказа'!$B$316:$B$316</definedName>
    <definedName name="ProductId155">'Бланк заказа'!$B$317:$B$317</definedName>
    <definedName name="ProductId156">'Бланк заказа'!$B$321:$B$321</definedName>
    <definedName name="ProductId157">'Бланк заказа'!$B$322:$B$322</definedName>
    <definedName name="ProductId158">'Бланк заказа'!$B$323:$B$323</definedName>
    <definedName name="ProductId159">'Бланк заказа'!$B$324:$B$324</definedName>
    <definedName name="ProductId16">'Бланк заказа'!$B$57:$B$57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заказа'!$B$331:$B$331</definedName>
    <definedName name="ProductId164">'Бланк заказа'!$B$332:$B$332</definedName>
    <definedName name="ProductId165">'Бланк заказа'!$B$333:$B$333</definedName>
    <definedName name="ProductId166">'Бланк заказа'!$B$334:$B$334</definedName>
    <definedName name="ProductId167">'Бланк заказа'!$B$338:$B$338</definedName>
    <definedName name="ProductId168">'Бланк заказа'!$B$339:$B$339</definedName>
    <definedName name="ProductId169">'Бланк заказа'!$B$340:$B$340</definedName>
    <definedName name="ProductId17">'Бланк заказа'!$B$58:$B$58</definedName>
    <definedName name="ProductId170">'Бланк заказа'!$B$344:$B$344</definedName>
    <definedName name="ProductId171">'Бланк заказа'!$B$345:$B$345</definedName>
    <definedName name="ProductId172">'Бланк заказа'!$B$346:$B$346</definedName>
    <definedName name="ProductId173">'Бланк заказа'!$B$347:$B$347</definedName>
    <definedName name="ProductId174">'Бланк заказа'!$B$351:$B$351</definedName>
    <definedName name="ProductId175">'Бланк заказа'!$B$352:$B$352</definedName>
    <definedName name="ProductId176">'Бланк заказа'!$B$353:$B$353</definedName>
    <definedName name="ProductId177">'Бланк заказа'!$B$358:$B$358</definedName>
    <definedName name="ProductId178">'Бланк заказа'!$B$359:$B$359</definedName>
    <definedName name="ProductId179">'Бланк заказа'!$B$360:$B$360</definedName>
    <definedName name="ProductId18">'Бланк заказа'!$B$59:$B$59</definedName>
    <definedName name="ProductId180">'Бланк заказа'!$B$366:$B$366</definedName>
    <definedName name="ProductId181">'Бланк заказа'!$B$367:$B$367</definedName>
    <definedName name="ProductId182">'Бланк заказа'!$B$368:$B$368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заказа'!$B$376:$B$376</definedName>
    <definedName name="ProductId188">'Бланк заказа'!$B$377:$B$377</definedName>
    <definedName name="ProductId189">'Бланк заказа'!$B$381:$B$381</definedName>
    <definedName name="ProductId19">'Бланк заказа'!$B$60:$B$60</definedName>
    <definedName name="ProductId190">'Бланк заказа'!$B$382:$B$382</definedName>
    <definedName name="ProductId191">'Бланк заказа'!$B$386:$B$386</definedName>
    <definedName name="ProductId192">'Бланк заказа'!$B$391:$B$391</definedName>
    <definedName name="ProductId193">'Бланк заказа'!$B$392:$B$392</definedName>
    <definedName name="ProductId194">'Бланк заказа'!$B$396:$B$396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заказа'!$B$408:$B$408</definedName>
    <definedName name="ProductId199">'Бланк заказа'!$B$409:$B$409</definedName>
    <definedName name="ProductId2">'Бланк заказа'!$B$23:$B$23</definedName>
    <definedName name="ProductId20">'Бланк заказа'!$B$61:$B$61</definedName>
    <definedName name="ProductId200">'Бланк заказа'!$B$410:$B$410</definedName>
    <definedName name="ProductId201">'Бланк заказа'!$B$411:$B$411</definedName>
    <definedName name="ProductId202">'Бланк заказа'!$B$412:$B$412</definedName>
    <definedName name="ProductId203">'Бланк заказа'!$B$413:$B$413</definedName>
    <definedName name="ProductId204">'Бланк заказа'!$B$414:$B$414</definedName>
    <definedName name="ProductId205">'Бланк заказа'!$B$415:$B$415</definedName>
    <definedName name="ProductId206">'Бланк заказа'!$B$416:$B$416</definedName>
    <definedName name="ProductId207">'Бланк заказа'!$B$420:$B$420</definedName>
    <definedName name="ProductId208">'Бланк заказа'!$B$421:$B$421</definedName>
    <definedName name="ProductId209">'Бланк заказа'!$B$426:$B$426</definedName>
    <definedName name="ProductId21">'Бланк заказа'!$B$62:$B$62</definedName>
    <definedName name="ProductId210">'Бланк заказа'!$B$430:$B$430</definedName>
    <definedName name="ProductId211">'Бланк заказа'!$B$431:$B$431</definedName>
    <definedName name="ProductId212">'Бланк заказа'!$B$432:$B$432</definedName>
    <definedName name="ProductId213">'Бланк заказа'!$B$437:$B$437</definedName>
    <definedName name="ProductId214">'Бланк заказа'!$B$443:$B$443</definedName>
    <definedName name="ProductId215">'Бланк заказа'!$B$444:$B$444</definedName>
    <definedName name="ProductId216">'Бланк заказа'!$B$445:$B$445</definedName>
    <definedName name="ProductId217">'Бланк заказа'!$B$446:$B$446</definedName>
    <definedName name="ProductId218">'Бланк заказа'!$B$447:$B$447</definedName>
    <definedName name="ProductId219">'Бланк заказа'!$B$448:$B$448</definedName>
    <definedName name="ProductId22">'Бланк заказа'!$B$66:$B$66</definedName>
    <definedName name="ProductId220">'Бланк заказа'!$B$449:$B$449</definedName>
    <definedName name="ProductId221">'Бланк заказа'!$B$450:$B$450</definedName>
    <definedName name="ProductId222">'Бланк заказа'!$B$451:$B$451</definedName>
    <definedName name="ProductId223">'Бланк заказа'!$B$452:$B$452</definedName>
    <definedName name="ProductId224">'Бланк заказа'!$B$453:$B$453</definedName>
    <definedName name="ProductId225">'Бланк заказа'!$B$457:$B$457</definedName>
    <definedName name="ProductId226">'Бланк заказа'!$B$458:$B$458</definedName>
    <definedName name="ProductId227">'Бланк заказа'!$B$459:$B$459</definedName>
    <definedName name="ProductId228">'Бланк заказа'!$B$463:$B$463</definedName>
    <definedName name="ProductId229">'Бланк заказа'!$B$464:$B$464</definedName>
    <definedName name="ProductId23">'Бланк заказа'!$B$67:$B$67</definedName>
    <definedName name="ProductId230">'Бланк заказа'!$B$465:$B$465</definedName>
    <definedName name="ProductId231">'Бланк заказа'!$B$466:$B$466</definedName>
    <definedName name="ProductId232">'Бланк заказа'!$B$467:$B$467</definedName>
    <definedName name="ProductId233">'Бланк заказа'!$B$468:$B$468</definedName>
    <definedName name="ProductId234">'Бланк заказа'!$B$469:$B$469</definedName>
    <definedName name="ProductId235">'Бланк заказа'!$B$475:$B$475</definedName>
    <definedName name="ProductId236">'Бланк заказа'!$B$476:$B$476</definedName>
    <definedName name="ProductId237">'Бланк заказа'!$B$477:$B$477</definedName>
    <definedName name="ProductId238">'Бланк заказа'!$B$481:$B$481</definedName>
    <definedName name="ProductId239">'Бланк заказа'!$B$485:$B$485</definedName>
    <definedName name="ProductId24">'Бланк заказа'!$B$68:$B$68</definedName>
    <definedName name="ProductId240">'Бланк заказа'!$B$489:$B$489</definedName>
    <definedName name="ProductId241">'Бланк заказа'!$B$493:$B$493</definedName>
    <definedName name="ProductId242">'Бланк заказа'!$B$494:$B$494</definedName>
    <definedName name="ProductId243">'Бланк заказа'!$B$499:$B$499</definedName>
    <definedName name="ProductId25">'Бланк заказа'!$B$69:$B$69</definedName>
    <definedName name="ProductId26">'Бланк заказа'!$B$73:$B$73</definedName>
    <definedName name="ProductId27">'Бланк заказа'!$B$77:$B$77</definedName>
    <definedName name="ProductId28">'Бланк заказа'!$B$78:$B$78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заказа'!$B$88:$B$88</definedName>
    <definedName name="ProductId32">'Бланк заказа'!$B$89:$B$89</definedName>
    <definedName name="ProductId33">'Бланк заказа'!$B$90:$B$90</definedName>
    <definedName name="ProductId34">'Бланк заказа'!$B$91:$B$91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заказа'!$B$98:$B$98</definedName>
    <definedName name="ProductId39">'Бланк заказа'!$B$103:$B$103</definedName>
    <definedName name="ProductId4">'Бланк заказа'!$B$28:$B$28</definedName>
    <definedName name="ProductId40">'Бланк заказа'!$B$104:$B$104</definedName>
    <definedName name="ProductId41">'Бланк заказа'!$B$105:$B$105</definedName>
    <definedName name="ProductId42">'Бланк заказа'!$B$106:$B$106</definedName>
    <definedName name="ProductId43">'Бланк заказа'!$B$107:$B$107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заказа'!$B$114:$B$114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заказа'!$B$121:$B$121</definedName>
    <definedName name="ProductId52">'Бланк заказа'!$B$125:$B$125</definedName>
    <definedName name="ProductId53">'Бланк заказа'!$B$130:$B$130</definedName>
    <definedName name="ProductId54">'Бланк заказа'!$B$131:$B$131</definedName>
    <definedName name="ProductId55">'Бланк заказа'!$B$135:$B$135</definedName>
    <definedName name="ProductId56">'Бланк заказа'!$B$136:$B$136</definedName>
    <definedName name="ProductId57">'Бланк заказа'!$B$140:$B$140</definedName>
    <definedName name="ProductId58">'Бланк заказа'!$B$141:$B$141</definedName>
    <definedName name="ProductId59">'Бланк заказа'!$B$146:$B$146</definedName>
    <definedName name="ProductId6">'Бланк заказа'!$B$30:$B$30</definedName>
    <definedName name="ProductId60">'Бланк заказа'!$B$147:$B$147</definedName>
    <definedName name="ProductId61">'Бланк заказа'!$B$151:$B$151</definedName>
    <definedName name="ProductId62">'Бланк заказа'!$B$155:$B$155</definedName>
    <definedName name="ProductId63">'Бланк заказа'!$B$156:$B$156</definedName>
    <definedName name="ProductId64">'Бланк заказа'!$B$157:$B$157</definedName>
    <definedName name="ProductId65">'Бланк заказа'!$B$158:$B$158</definedName>
    <definedName name="ProductId66">'Бланк заказа'!$B$159:$B$159</definedName>
    <definedName name="ProductId67">'Бланк заказа'!$B$160:$B$160</definedName>
    <definedName name="ProductId68">'Бланк заказа'!$B$161:$B$161</definedName>
    <definedName name="ProductId69">'Бланк заказа'!$B$162:$B$162</definedName>
    <definedName name="ProductId7">'Бланк заказа'!$B$31:$B$31</definedName>
    <definedName name="ProductId70">'Бланк заказа'!$B$163:$B$163</definedName>
    <definedName name="ProductId71">'Бланк заказа'!$B$164:$B$164</definedName>
    <definedName name="ProductId72">'Бланк заказа'!$B$168:$B$168</definedName>
    <definedName name="ProductId73">'Бланк заказа'!$B$174:$B$174</definedName>
    <definedName name="ProductId74">'Бланк заказа'!$B$178:$B$178</definedName>
    <definedName name="ProductId75">'Бланк заказа'!$B$179:$B$179</definedName>
    <definedName name="ProductId76">'Бланк заказа'!$B$180:$B$180</definedName>
    <definedName name="ProductId77">'Бланк заказа'!$B$181:$B$181</definedName>
    <definedName name="ProductId78">'Бланк заказа'!$B$182:$B$182</definedName>
    <definedName name="ProductId79">'Бланк заказа'!$B$183:$B$183</definedName>
    <definedName name="ProductId8">'Бланк заказа'!$B$32:$B$32</definedName>
    <definedName name="ProductId80">'Бланк заказа'!$B$184:$B$184</definedName>
    <definedName name="ProductId81">'Бланк заказа'!$B$185:$B$185</definedName>
    <definedName name="ProductId82">'Бланк заказа'!$B$186:$B$186</definedName>
    <definedName name="ProductId83">'Бланк заказа'!$B$187:$B$187</definedName>
    <definedName name="ProductId84">'Бланк заказа'!$B$188:$B$188</definedName>
    <definedName name="ProductId85">'Бланк заказа'!$B$189:$B$189</definedName>
    <definedName name="ProductId86">'Бланк заказа'!$B$190:$B$190</definedName>
    <definedName name="ProductId87">'Бланк заказа'!$B$191:$B$191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заказа'!$B$197:$B$197</definedName>
    <definedName name="ProductId91">'Бланк заказа'!$B$201:$B$201</definedName>
    <definedName name="ProductId92">'Бланк заказа'!$B$206:$B$206</definedName>
    <definedName name="ProductId93">'Бланк заказа'!$B$207:$B$207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заказа'!$B$218:$B$218</definedName>
    <definedName name="ProductId99">'Бланк заказа'!$B$219:$B$219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заказа'!$X$220:$X$220</definedName>
    <definedName name="SalesQty101">'Бланк заказа'!$X$221:$X$221</definedName>
    <definedName name="SalesQty102">'Бланк заказа'!$X$222:$X$222</definedName>
    <definedName name="SalesQty103">'Бланк заказа'!$X$223:$X$223</definedName>
    <definedName name="SalesQty104">'Бланк заказа'!$X$227:$X$227</definedName>
    <definedName name="SalesQty105">'Бланк заказа'!$X$228:$X$228</definedName>
    <definedName name="SalesQty106">'Бланк заказа'!$X$229:$X$229</definedName>
    <definedName name="SalesQty107">'Бланк заказа'!$X$230:$X$230</definedName>
    <definedName name="SalesQty108">'Бланк заказа'!$X$231:$X$231</definedName>
    <definedName name="SalesQty109">'Бланк заказа'!$X$232:$X$232</definedName>
    <definedName name="SalesQty11">'Бланк заказа'!$X$43:$X$43</definedName>
    <definedName name="SalesQty110">'Бланк заказа'!$X$233:$X$233</definedName>
    <definedName name="SalesQty111">'Бланк заказа'!$X$234:$X$234</definedName>
    <definedName name="SalesQty112">'Бланк заказа'!$X$235:$X$235</definedName>
    <definedName name="SalesQty113">'Бланк заказа'!$X$236:$X$236</definedName>
    <definedName name="SalesQty114">'Бланк заказа'!$X$240:$X$240</definedName>
    <definedName name="SalesQty115">'Бланк заказа'!$X$241:$X$241</definedName>
    <definedName name="SalesQty116">'Бланк заказа'!$X$246:$X$246</definedName>
    <definedName name="SalesQty117">'Бланк заказа'!$X$247:$X$247</definedName>
    <definedName name="SalesQty118">'Бланк заказа'!$X$248:$X$248</definedName>
    <definedName name="SalesQty119">'Бланк заказа'!$X$249:$X$249</definedName>
    <definedName name="SalesQty12">'Бланк заказа'!$X$49:$X$49</definedName>
    <definedName name="SalesQty120">'Бланк заказа'!$X$250:$X$250</definedName>
    <definedName name="SalesQty121">'Бланк заказа'!$X$251:$X$251</definedName>
    <definedName name="SalesQty122">'Бланк заказа'!$X$252:$X$252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заказа'!$X$265:$X$265</definedName>
    <definedName name="SalesQty127">'Бланк заказа'!$X$266:$X$266</definedName>
    <definedName name="SalesQty128">'Бланк заказа'!$X$267:$X$267</definedName>
    <definedName name="SalesQty129">'Бланк заказа'!$X$268:$X$268</definedName>
    <definedName name="SalesQty13">'Бланк заказа'!$X$50:$X$50</definedName>
    <definedName name="SalesQty130">'Бланк заказа'!$X$273:$X$273</definedName>
    <definedName name="SalesQty131">'Бланк заказа'!$X$274:$X$274</definedName>
    <definedName name="SalesQty132">'Бланк заказа'!$X$275:$X$275</definedName>
    <definedName name="SalesQty133">'Бланк заказа'!$X$276:$X$276</definedName>
    <definedName name="SalesQty134">'Бланк заказа'!$X$277:$X$277</definedName>
    <definedName name="SalesQty135">'Бланк заказа'!$X$282:$X$282</definedName>
    <definedName name="SalesQty136">'Бланк заказа'!$X$283:$X$283</definedName>
    <definedName name="SalesQty137">'Бланк заказа'!$X$284:$X$284</definedName>
    <definedName name="SalesQty138">'Бланк заказа'!$X$285:$X$285</definedName>
    <definedName name="SalesQty139">'Бланк заказа'!$X$290:$X$290</definedName>
    <definedName name="SalesQty14">'Бланк заказа'!$X$51:$X$51</definedName>
    <definedName name="SalesQty140">'Бланк заказа'!$X$291:$X$291</definedName>
    <definedName name="SalesQty141">'Бланк заказа'!$X$292:$X$292</definedName>
    <definedName name="SalesQty142">'Бланк заказа'!$X$297:$X$297</definedName>
    <definedName name="SalesQty143">'Бланк заказа'!$X$298:$X$298</definedName>
    <definedName name="SalesQty144">'Бланк заказа'!$X$299:$X$299</definedName>
    <definedName name="SalesQty145">'Бланк заказа'!$X$300:$X$300</definedName>
    <definedName name="SalesQty146">'Бланк заказа'!$X$304:$X$304</definedName>
    <definedName name="SalesQty147">'Бланк заказа'!$X$305:$X$305</definedName>
    <definedName name="SalesQty148">'Бланк заказа'!$X$310:$X$310</definedName>
    <definedName name="SalesQty149">'Бланк заказа'!$X$311:$X$311</definedName>
    <definedName name="SalesQty15">'Бланк заказа'!$X$52:$X$52</definedName>
    <definedName name="SalesQty150">'Бланк заказа'!$X$312:$X$312</definedName>
    <definedName name="SalesQty151">'Бланк заказа'!$X$313:$X$313</definedName>
    <definedName name="SalesQty152">'Бланк заказа'!$X$314:$X$314</definedName>
    <definedName name="SalesQty153">'Бланк заказа'!$X$315:$X$315</definedName>
    <definedName name="SalesQty154">'Бланк заказа'!$X$316:$X$316</definedName>
    <definedName name="SalesQty155">'Бланк заказа'!$X$317:$X$317</definedName>
    <definedName name="SalesQty156">'Бланк заказа'!$X$321:$X$321</definedName>
    <definedName name="SalesQty157">'Бланк заказа'!$X$322:$X$322</definedName>
    <definedName name="SalesQty158">'Бланк заказа'!$X$323:$X$323</definedName>
    <definedName name="SalesQty159">'Бланк заказа'!$X$324:$X$324</definedName>
    <definedName name="SalesQty16">'Бланк заказа'!$X$57:$X$57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заказа'!$X$331:$X$331</definedName>
    <definedName name="SalesQty164">'Бланк заказа'!$X$332:$X$332</definedName>
    <definedName name="SalesQty165">'Бланк заказа'!$X$333:$X$333</definedName>
    <definedName name="SalesQty166">'Бланк заказа'!$X$334:$X$334</definedName>
    <definedName name="SalesQty167">'Бланк заказа'!$X$338:$X$338</definedName>
    <definedName name="SalesQty168">'Бланк заказа'!$X$339:$X$339</definedName>
    <definedName name="SalesQty169">'Бланк заказа'!$X$340:$X$340</definedName>
    <definedName name="SalesQty17">'Бланк заказа'!$X$58:$X$58</definedName>
    <definedName name="SalesQty170">'Бланк заказа'!$X$344:$X$344</definedName>
    <definedName name="SalesQty171">'Бланк заказа'!$X$345:$X$345</definedName>
    <definedName name="SalesQty172">'Бланк заказа'!$X$346:$X$346</definedName>
    <definedName name="SalesQty173">'Бланк заказа'!$X$347:$X$347</definedName>
    <definedName name="SalesQty174">'Бланк заказа'!$X$351:$X$351</definedName>
    <definedName name="SalesQty175">'Бланк заказа'!$X$352:$X$352</definedName>
    <definedName name="SalesQty176">'Бланк заказа'!$X$353:$X$353</definedName>
    <definedName name="SalesQty177">'Бланк заказа'!$X$358:$X$358</definedName>
    <definedName name="SalesQty178">'Бланк заказа'!$X$359:$X$359</definedName>
    <definedName name="SalesQty179">'Бланк заказа'!$X$360:$X$360</definedName>
    <definedName name="SalesQty18">'Бланк заказа'!$X$59:$X$59</definedName>
    <definedName name="SalesQty180">'Бланк заказа'!$X$366:$X$366</definedName>
    <definedName name="SalesQty181">'Бланк заказа'!$X$367:$X$367</definedName>
    <definedName name="SalesQty182">'Бланк заказа'!$X$368:$X$368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заказа'!$X$376:$X$376</definedName>
    <definedName name="SalesQty188">'Бланк заказа'!$X$377:$X$377</definedName>
    <definedName name="SalesQty189">'Бланк заказа'!$X$381:$X$381</definedName>
    <definedName name="SalesQty19">'Бланк заказа'!$X$60:$X$60</definedName>
    <definedName name="SalesQty190">'Бланк заказа'!$X$382:$X$382</definedName>
    <definedName name="SalesQty191">'Бланк заказа'!$X$386:$X$386</definedName>
    <definedName name="SalesQty192">'Бланк заказа'!$X$391:$X$391</definedName>
    <definedName name="SalesQty193">'Бланк заказа'!$X$392:$X$392</definedName>
    <definedName name="SalesQty194">'Бланк заказа'!$X$396:$X$396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заказа'!$X$408:$X$408</definedName>
    <definedName name="SalesQty199">'Бланк заказа'!$X$409:$X$409</definedName>
    <definedName name="SalesQty2">'Бланк заказа'!$X$23:$X$23</definedName>
    <definedName name="SalesQty20">'Бланк заказа'!$X$61:$X$61</definedName>
    <definedName name="SalesQty200">'Бланк заказа'!$X$410:$X$410</definedName>
    <definedName name="SalesQty201">'Бланк заказа'!$X$411:$X$411</definedName>
    <definedName name="SalesQty202">'Бланк заказа'!$X$412:$X$412</definedName>
    <definedName name="SalesQty203">'Бланк заказа'!$X$413:$X$413</definedName>
    <definedName name="SalesQty204">'Бланк заказа'!$X$414:$X$414</definedName>
    <definedName name="SalesQty205">'Бланк заказа'!$X$415:$X$415</definedName>
    <definedName name="SalesQty206">'Бланк заказа'!$X$416:$X$416</definedName>
    <definedName name="SalesQty207">'Бланк заказа'!$X$420:$X$420</definedName>
    <definedName name="SalesQty208">'Бланк заказа'!$X$421:$X$421</definedName>
    <definedName name="SalesQty209">'Бланк заказа'!$X$426:$X$426</definedName>
    <definedName name="SalesQty21">'Бланк заказа'!$X$62:$X$62</definedName>
    <definedName name="SalesQty210">'Бланк заказа'!$X$430:$X$430</definedName>
    <definedName name="SalesQty211">'Бланк заказа'!$X$431:$X$431</definedName>
    <definedName name="SalesQty212">'Бланк заказа'!$X$432:$X$432</definedName>
    <definedName name="SalesQty213">'Бланк заказа'!$X$437:$X$437</definedName>
    <definedName name="SalesQty214">'Бланк заказа'!$X$443:$X$443</definedName>
    <definedName name="SalesQty215">'Бланк заказа'!$X$444:$X$444</definedName>
    <definedName name="SalesQty216">'Бланк заказа'!$X$445:$X$445</definedName>
    <definedName name="SalesQty217">'Бланк заказа'!$X$446:$X$446</definedName>
    <definedName name="SalesQty218">'Бланк заказа'!$X$447:$X$447</definedName>
    <definedName name="SalesQty219">'Бланк заказа'!$X$448:$X$448</definedName>
    <definedName name="SalesQty22">'Бланк заказа'!$X$66:$X$66</definedName>
    <definedName name="SalesQty220">'Бланк заказа'!$X$449:$X$449</definedName>
    <definedName name="SalesQty221">'Бланк заказа'!$X$450:$X$450</definedName>
    <definedName name="SalesQty222">'Бланк заказа'!$X$451:$X$451</definedName>
    <definedName name="SalesQty223">'Бланк заказа'!$X$452:$X$452</definedName>
    <definedName name="SalesQty224">'Бланк заказа'!$X$453:$X$453</definedName>
    <definedName name="SalesQty225">'Бланк заказа'!$X$457:$X$457</definedName>
    <definedName name="SalesQty226">'Бланк заказа'!$X$458:$X$458</definedName>
    <definedName name="SalesQty227">'Бланк заказа'!$X$459:$X$459</definedName>
    <definedName name="SalesQty228">'Бланк заказа'!$X$463:$X$463</definedName>
    <definedName name="SalesQty229">'Бланк заказа'!$X$464:$X$464</definedName>
    <definedName name="SalesQty23">'Бланк заказа'!$X$67:$X$67</definedName>
    <definedName name="SalesQty230">'Бланк заказа'!$X$465:$X$465</definedName>
    <definedName name="SalesQty231">'Бланк заказа'!$X$466:$X$466</definedName>
    <definedName name="SalesQty232">'Бланк заказа'!$X$467:$X$467</definedName>
    <definedName name="SalesQty233">'Бланк заказа'!$X$468:$X$468</definedName>
    <definedName name="SalesQty234">'Бланк заказа'!$X$469:$X$469</definedName>
    <definedName name="SalesQty235">'Бланк заказа'!$X$475:$X$475</definedName>
    <definedName name="SalesQty236">'Бланк заказа'!$X$476:$X$476</definedName>
    <definedName name="SalesQty237">'Бланк заказа'!$X$477:$X$477</definedName>
    <definedName name="SalesQty238">'Бланк заказа'!$X$481:$X$481</definedName>
    <definedName name="SalesQty239">'Бланк заказа'!$X$485:$X$485</definedName>
    <definedName name="SalesQty24">'Бланк заказа'!$X$68:$X$68</definedName>
    <definedName name="SalesQty240">'Бланк заказа'!$X$489:$X$489</definedName>
    <definedName name="SalesQty241">'Бланк заказа'!$X$493:$X$493</definedName>
    <definedName name="SalesQty242">'Бланк заказа'!$X$494:$X$494</definedName>
    <definedName name="SalesQty243">'Бланк заказа'!$X$499:$X$499</definedName>
    <definedName name="SalesQty25">'Бланк заказа'!$X$69:$X$69</definedName>
    <definedName name="SalesQty26">'Бланк заказа'!$X$73:$X$73</definedName>
    <definedName name="SalesQty27">'Бланк заказа'!$X$77:$X$77</definedName>
    <definedName name="SalesQty28">'Бланк заказа'!$X$78:$X$78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заказа'!$X$88:$X$88</definedName>
    <definedName name="SalesQty32">'Бланк заказа'!$X$89:$X$89</definedName>
    <definedName name="SalesQty33">'Бланк заказа'!$X$90:$X$90</definedName>
    <definedName name="SalesQty34">'Бланк заказа'!$X$91:$X$91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заказа'!$X$98:$X$98</definedName>
    <definedName name="SalesQty39">'Бланк заказа'!$X$103:$X$103</definedName>
    <definedName name="SalesQty4">'Бланк заказа'!$X$28:$X$28</definedName>
    <definedName name="SalesQty40">'Бланк заказа'!$X$104:$X$104</definedName>
    <definedName name="SalesQty41">'Бланк заказа'!$X$105:$X$105</definedName>
    <definedName name="SalesQty42">'Бланк заказа'!$X$106:$X$106</definedName>
    <definedName name="SalesQty43">'Бланк заказа'!$X$107:$X$107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заказа'!$X$114:$X$114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заказа'!$X$121:$X$121</definedName>
    <definedName name="SalesQty52">'Бланк заказа'!$X$125:$X$125</definedName>
    <definedName name="SalesQty53">'Бланк заказа'!$X$130:$X$130</definedName>
    <definedName name="SalesQty54">'Бланк заказа'!$X$131:$X$131</definedName>
    <definedName name="SalesQty55">'Бланк заказа'!$X$135:$X$135</definedName>
    <definedName name="SalesQty56">'Бланк заказа'!$X$136:$X$136</definedName>
    <definedName name="SalesQty57">'Бланк заказа'!$X$140:$X$140</definedName>
    <definedName name="SalesQty58">'Бланк заказа'!$X$141:$X$141</definedName>
    <definedName name="SalesQty59">'Бланк заказа'!$X$146:$X$146</definedName>
    <definedName name="SalesQty6">'Бланк заказа'!$X$30:$X$30</definedName>
    <definedName name="SalesQty60">'Бланк заказа'!$X$147:$X$147</definedName>
    <definedName name="SalesQty61">'Бланк заказа'!$X$151:$X$151</definedName>
    <definedName name="SalesQty62">'Бланк заказа'!$X$155:$X$155</definedName>
    <definedName name="SalesQty63">'Бланк заказа'!$X$156:$X$156</definedName>
    <definedName name="SalesQty64">'Бланк заказа'!$X$157:$X$157</definedName>
    <definedName name="SalesQty65">'Бланк заказа'!$X$158:$X$158</definedName>
    <definedName name="SalesQty66">'Бланк заказа'!$X$159:$X$159</definedName>
    <definedName name="SalesQty67">'Бланк заказа'!$X$160:$X$160</definedName>
    <definedName name="SalesQty68">'Бланк заказа'!$X$161:$X$161</definedName>
    <definedName name="SalesQty69">'Бланк заказа'!$X$162:$X$162</definedName>
    <definedName name="SalesQty7">'Бланк заказа'!$X$31:$X$31</definedName>
    <definedName name="SalesQty70">'Бланк заказа'!$X$163:$X$163</definedName>
    <definedName name="SalesQty71">'Бланк заказа'!$X$164:$X$164</definedName>
    <definedName name="SalesQty72">'Бланк заказа'!$X$168:$X$168</definedName>
    <definedName name="SalesQty73">'Бланк заказа'!$X$174:$X$174</definedName>
    <definedName name="SalesQty74">'Бланк заказа'!$X$178:$X$178</definedName>
    <definedName name="SalesQty75">'Бланк заказа'!$X$179:$X$179</definedName>
    <definedName name="SalesQty76">'Бланк заказа'!$X$180:$X$180</definedName>
    <definedName name="SalesQty77">'Бланк заказа'!$X$181:$X$181</definedName>
    <definedName name="SalesQty78">'Бланк заказа'!$X$182:$X$182</definedName>
    <definedName name="SalesQty79">'Бланк заказа'!$X$183:$X$183</definedName>
    <definedName name="SalesQty8">'Бланк заказа'!$X$32:$X$32</definedName>
    <definedName name="SalesQty80">'Бланк заказа'!$X$184:$X$184</definedName>
    <definedName name="SalesQty81">'Бланк заказа'!$X$185:$X$185</definedName>
    <definedName name="SalesQty82">'Бланк заказа'!$X$186:$X$186</definedName>
    <definedName name="SalesQty83">'Бланк заказа'!$X$187:$X$187</definedName>
    <definedName name="SalesQty84">'Бланк заказа'!$X$188:$X$188</definedName>
    <definedName name="SalesQty85">'Бланк заказа'!$X$189:$X$189</definedName>
    <definedName name="SalesQty86">'Бланк заказа'!$X$190:$X$190</definedName>
    <definedName name="SalesQty87">'Бланк заказа'!$X$191:$X$191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заказа'!$X$197:$X$197</definedName>
    <definedName name="SalesQty91">'Бланк заказа'!$X$201:$X$201</definedName>
    <definedName name="SalesQty92">'Бланк заказа'!$X$206:$X$206</definedName>
    <definedName name="SalesQty93">'Бланк заказа'!$X$207:$X$207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заказа'!$X$218:$X$218</definedName>
    <definedName name="SalesQty99">'Бланк заказа'!$X$219:$X$219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заказа'!$Y$220:$Y$220</definedName>
    <definedName name="SalesRoundBox101">'Бланк заказа'!$Y$221:$Y$221</definedName>
    <definedName name="SalesRoundBox102">'Бланк заказа'!$Y$222:$Y$222</definedName>
    <definedName name="SalesRoundBox103">'Бланк заказа'!$Y$223:$Y$223</definedName>
    <definedName name="SalesRoundBox104">'Бланк заказа'!$Y$227:$Y$227</definedName>
    <definedName name="SalesRoundBox105">'Бланк заказа'!$Y$228:$Y$228</definedName>
    <definedName name="SalesRoundBox106">'Бланк заказа'!$Y$229:$Y$229</definedName>
    <definedName name="SalesRoundBox107">'Бланк заказа'!$Y$230:$Y$230</definedName>
    <definedName name="SalesRoundBox108">'Бланк заказа'!$Y$231:$Y$231</definedName>
    <definedName name="SalesRoundBox109">'Бланк заказа'!$Y$232:$Y$232</definedName>
    <definedName name="SalesRoundBox11">'Бланк заказа'!$Y$43:$Y$43</definedName>
    <definedName name="SalesRoundBox110">'Бланк заказа'!$Y$233:$Y$233</definedName>
    <definedName name="SalesRoundBox111">'Бланк заказа'!$Y$234:$Y$234</definedName>
    <definedName name="SalesRoundBox112">'Бланк заказа'!$Y$235:$Y$235</definedName>
    <definedName name="SalesRoundBox113">'Бланк заказа'!$Y$236:$Y$236</definedName>
    <definedName name="SalesRoundBox114">'Бланк заказа'!$Y$240:$Y$240</definedName>
    <definedName name="SalesRoundBox115">'Бланк заказа'!$Y$241:$Y$241</definedName>
    <definedName name="SalesRoundBox116">'Бланк заказа'!$Y$246:$Y$246</definedName>
    <definedName name="SalesRoundBox117">'Бланк заказа'!$Y$247:$Y$247</definedName>
    <definedName name="SalesRoundBox118">'Бланк заказа'!$Y$248:$Y$248</definedName>
    <definedName name="SalesRoundBox119">'Бланк заказа'!$Y$249:$Y$249</definedName>
    <definedName name="SalesRoundBox12">'Бланк заказа'!$Y$49:$Y$49</definedName>
    <definedName name="SalesRoundBox120">'Бланк заказа'!$Y$250:$Y$250</definedName>
    <definedName name="SalesRoundBox121">'Бланк заказа'!$Y$251:$Y$251</definedName>
    <definedName name="SalesRoundBox122">'Бланк заказа'!$Y$252:$Y$252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заказа'!$Y$265:$Y$265</definedName>
    <definedName name="SalesRoundBox127">'Бланк заказа'!$Y$266:$Y$266</definedName>
    <definedName name="SalesRoundBox128">'Бланк заказа'!$Y$267:$Y$267</definedName>
    <definedName name="SalesRoundBox129">'Бланк заказа'!$Y$268:$Y$268</definedName>
    <definedName name="SalesRoundBox13">'Бланк заказа'!$Y$50:$Y$50</definedName>
    <definedName name="SalesRoundBox130">'Бланк заказа'!$Y$273:$Y$273</definedName>
    <definedName name="SalesRoundBox131">'Бланк заказа'!$Y$274:$Y$274</definedName>
    <definedName name="SalesRoundBox132">'Бланк заказа'!$Y$275:$Y$275</definedName>
    <definedName name="SalesRoundBox133">'Бланк заказа'!$Y$276:$Y$276</definedName>
    <definedName name="SalesRoundBox134">'Бланк заказа'!$Y$277:$Y$277</definedName>
    <definedName name="SalesRoundBox135">'Бланк заказа'!$Y$282:$Y$282</definedName>
    <definedName name="SalesRoundBox136">'Бланк заказа'!$Y$283:$Y$283</definedName>
    <definedName name="SalesRoundBox137">'Бланк заказа'!$Y$284:$Y$284</definedName>
    <definedName name="SalesRoundBox138">'Бланк заказа'!$Y$285:$Y$285</definedName>
    <definedName name="SalesRoundBox139">'Бланк заказа'!$Y$290:$Y$290</definedName>
    <definedName name="SalesRoundBox14">'Бланк заказа'!$Y$51:$Y$51</definedName>
    <definedName name="SalesRoundBox140">'Бланк заказа'!$Y$291:$Y$291</definedName>
    <definedName name="SalesRoundBox141">'Бланк заказа'!$Y$292:$Y$292</definedName>
    <definedName name="SalesRoundBox142">'Бланк заказа'!$Y$297:$Y$297</definedName>
    <definedName name="SalesRoundBox143">'Бланк заказа'!$Y$298:$Y$298</definedName>
    <definedName name="SalesRoundBox144">'Бланк заказа'!$Y$299:$Y$299</definedName>
    <definedName name="SalesRoundBox145">'Бланк заказа'!$Y$300:$Y$300</definedName>
    <definedName name="SalesRoundBox146">'Бланк заказа'!$Y$304:$Y$304</definedName>
    <definedName name="SalesRoundBox147">'Бланк заказа'!$Y$305:$Y$305</definedName>
    <definedName name="SalesRoundBox148">'Бланк заказа'!$Y$310:$Y$310</definedName>
    <definedName name="SalesRoundBox149">'Бланк заказа'!$Y$311:$Y$311</definedName>
    <definedName name="SalesRoundBox15">'Бланк заказа'!$Y$52:$Y$52</definedName>
    <definedName name="SalesRoundBox150">'Бланк заказа'!$Y$312:$Y$312</definedName>
    <definedName name="SalesRoundBox151">'Бланк заказа'!$Y$313:$Y$313</definedName>
    <definedName name="SalesRoundBox152">'Бланк заказа'!$Y$314:$Y$314</definedName>
    <definedName name="SalesRoundBox153">'Бланк заказа'!$Y$315:$Y$315</definedName>
    <definedName name="SalesRoundBox154">'Бланк заказа'!$Y$316:$Y$316</definedName>
    <definedName name="SalesRoundBox155">'Бланк заказа'!$Y$317:$Y$317</definedName>
    <definedName name="SalesRoundBox156">'Бланк заказа'!$Y$321:$Y$321</definedName>
    <definedName name="SalesRoundBox157">'Бланк заказа'!$Y$322:$Y$322</definedName>
    <definedName name="SalesRoundBox158">'Бланк заказа'!$Y$323:$Y$323</definedName>
    <definedName name="SalesRoundBox159">'Бланк заказа'!$Y$324:$Y$324</definedName>
    <definedName name="SalesRoundBox16">'Бланк заказа'!$Y$57:$Y$57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заказа'!$Y$331:$Y$331</definedName>
    <definedName name="SalesRoundBox164">'Бланк заказа'!$Y$332:$Y$332</definedName>
    <definedName name="SalesRoundBox165">'Бланк заказа'!$Y$333:$Y$333</definedName>
    <definedName name="SalesRoundBox166">'Бланк заказа'!$Y$334:$Y$334</definedName>
    <definedName name="SalesRoundBox167">'Бланк заказа'!$Y$338:$Y$338</definedName>
    <definedName name="SalesRoundBox168">'Бланк заказа'!$Y$339:$Y$339</definedName>
    <definedName name="SalesRoundBox169">'Бланк заказа'!$Y$340:$Y$340</definedName>
    <definedName name="SalesRoundBox17">'Бланк заказа'!$Y$58:$Y$58</definedName>
    <definedName name="SalesRoundBox170">'Бланк заказа'!$Y$344:$Y$344</definedName>
    <definedName name="SalesRoundBox171">'Бланк заказа'!$Y$345:$Y$345</definedName>
    <definedName name="SalesRoundBox172">'Бланк заказа'!$Y$346:$Y$346</definedName>
    <definedName name="SalesRoundBox173">'Бланк заказа'!$Y$347:$Y$347</definedName>
    <definedName name="SalesRoundBox174">'Бланк заказа'!$Y$351:$Y$351</definedName>
    <definedName name="SalesRoundBox175">'Бланк заказа'!$Y$352:$Y$352</definedName>
    <definedName name="SalesRoundBox176">'Бланк заказа'!$Y$353:$Y$353</definedName>
    <definedName name="SalesRoundBox177">'Бланк заказа'!$Y$358:$Y$358</definedName>
    <definedName name="SalesRoundBox178">'Бланк заказа'!$Y$359:$Y$359</definedName>
    <definedName name="SalesRoundBox179">'Бланк заказа'!$Y$360:$Y$360</definedName>
    <definedName name="SalesRoundBox18">'Бланк заказа'!$Y$59:$Y$59</definedName>
    <definedName name="SalesRoundBox180">'Бланк заказа'!$Y$366:$Y$366</definedName>
    <definedName name="SalesRoundBox181">'Бланк заказа'!$Y$367:$Y$367</definedName>
    <definedName name="SalesRoundBox182">'Бланк заказа'!$Y$368:$Y$368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заказа'!$Y$376:$Y$376</definedName>
    <definedName name="SalesRoundBox188">'Бланк заказа'!$Y$377:$Y$377</definedName>
    <definedName name="SalesRoundBox189">'Бланк заказа'!$Y$381:$Y$381</definedName>
    <definedName name="SalesRoundBox19">'Бланк заказа'!$Y$60:$Y$60</definedName>
    <definedName name="SalesRoundBox190">'Бланк заказа'!$Y$382:$Y$382</definedName>
    <definedName name="SalesRoundBox191">'Бланк заказа'!$Y$386:$Y$386</definedName>
    <definedName name="SalesRoundBox192">'Бланк заказа'!$Y$391:$Y$391</definedName>
    <definedName name="SalesRoundBox193">'Бланк заказа'!$Y$392:$Y$392</definedName>
    <definedName name="SalesRoundBox194">'Бланк заказа'!$Y$396:$Y$396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заказа'!$Y$408:$Y$408</definedName>
    <definedName name="SalesRoundBox199">'Бланк заказа'!$Y$409:$Y$409</definedName>
    <definedName name="SalesRoundBox2">'Бланк заказа'!$Y$23:$Y$23</definedName>
    <definedName name="SalesRoundBox20">'Бланк заказа'!$Y$61:$Y$61</definedName>
    <definedName name="SalesRoundBox200">'Бланк заказа'!$Y$410:$Y$410</definedName>
    <definedName name="SalesRoundBox201">'Бланк заказа'!$Y$411:$Y$411</definedName>
    <definedName name="SalesRoundBox202">'Бланк заказа'!$Y$412:$Y$412</definedName>
    <definedName name="SalesRoundBox203">'Бланк заказа'!$Y$413:$Y$413</definedName>
    <definedName name="SalesRoundBox204">'Бланк заказа'!$Y$414:$Y$414</definedName>
    <definedName name="SalesRoundBox205">'Бланк заказа'!$Y$415:$Y$415</definedName>
    <definedName name="SalesRoundBox206">'Бланк заказа'!$Y$416:$Y$416</definedName>
    <definedName name="SalesRoundBox207">'Бланк заказа'!$Y$420:$Y$420</definedName>
    <definedName name="SalesRoundBox208">'Бланк заказа'!$Y$421:$Y$421</definedName>
    <definedName name="SalesRoundBox209">'Бланк заказа'!$Y$426:$Y$426</definedName>
    <definedName name="SalesRoundBox21">'Бланк заказа'!$Y$62:$Y$62</definedName>
    <definedName name="SalesRoundBox210">'Бланк заказа'!$Y$430:$Y$430</definedName>
    <definedName name="SalesRoundBox211">'Бланк заказа'!$Y$431:$Y$431</definedName>
    <definedName name="SalesRoundBox212">'Бланк заказа'!$Y$432:$Y$432</definedName>
    <definedName name="SalesRoundBox213">'Бланк заказа'!$Y$437:$Y$437</definedName>
    <definedName name="SalesRoundBox214">'Бланк заказа'!$Y$443:$Y$443</definedName>
    <definedName name="SalesRoundBox215">'Бланк заказа'!$Y$444:$Y$444</definedName>
    <definedName name="SalesRoundBox216">'Бланк заказа'!$Y$445:$Y$445</definedName>
    <definedName name="SalesRoundBox217">'Бланк заказа'!$Y$446:$Y$446</definedName>
    <definedName name="SalesRoundBox218">'Бланк заказа'!$Y$447:$Y$447</definedName>
    <definedName name="SalesRoundBox219">'Бланк заказа'!$Y$448:$Y$448</definedName>
    <definedName name="SalesRoundBox22">'Бланк заказа'!$Y$66:$Y$66</definedName>
    <definedName name="SalesRoundBox220">'Бланк заказа'!$Y$449:$Y$449</definedName>
    <definedName name="SalesRoundBox221">'Бланк заказа'!$Y$450:$Y$450</definedName>
    <definedName name="SalesRoundBox222">'Бланк заказа'!$Y$451:$Y$451</definedName>
    <definedName name="SalesRoundBox223">'Бланк заказа'!$Y$452:$Y$452</definedName>
    <definedName name="SalesRoundBox224">'Бланк заказа'!$Y$453:$Y$453</definedName>
    <definedName name="SalesRoundBox225">'Бланк заказа'!$Y$457:$Y$457</definedName>
    <definedName name="SalesRoundBox226">'Бланк заказа'!$Y$458:$Y$458</definedName>
    <definedName name="SalesRoundBox227">'Бланк заказа'!$Y$459:$Y$459</definedName>
    <definedName name="SalesRoundBox228">'Бланк заказа'!$Y$463:$Y$463</definedName>
    <definedName name="SalesRoundBox229">'Бланк заказа'!$Y$464:$Y$464</definedName>
    <definedName name="SalesRoundBox23">'Бланк заказа'!$Y$67:$Y$67</definedName>
    <definedName name="SalesRoundBox230">'Бланк заказа'!$Y$465:$Y$465</definedName>
    <definedName name="SalesRoundBox231">'Бланк заказа'!$Y$466:$Y$466</definedName>
    <definedName name="SalesRoundBox232">'Бланк заказа'!$Y$467:$Y$467</definedName>
    <definedName name="SalesRoundBox233">'Бланк заказа'!$Y$468:$Y$468</definedName>
    <definedName name="SalesRoundBox234">'Бланк заказа'!$Y$469:$Y$469</definedName>
    <definedName name="SalesRoundBox235">'Бланк заказа'!$Y$475:$Y$475</definedName>
    <definedName name="SalesRoundBox236">'Бланк заказа'!$Y$476:$Y$476</definedName>
    <definedName name="SalesRoundBox237">'Бланк заказа'!$Y$477:$Y$477</definedName>
    <definedName name="SalesRoundBox238">'Бланк заказа'!$Y$481:$Y$481</definedName>
    <definedName name="SalesRoundBox239">'Бланк заказа'!$Y$485:$Y$485</definedName>
    <definedName name="SalesRoundBox24">'Бланк заказа'!$Y$68:$Y$68</definedName>
    <definedName name="SalesRoundBox240">'Бланк заказа'!$Y$489:$Y$489</definedName>
    <definedName name="SalesRoundBox241">'Бланк заказа'!$Y$493:$Y$493</definedName>
    <definedName name="SalesRoundBox242">'Бланк заказа'!$Y$494:$Y$494</definedName>
    <definedName name="SalesRoundBox243">'Бланк заказа'!$Y$499:$Y$499</definedName>
    <definedName name="SalesRoundBox25">'Бланк заказа'!$Y$69:$Y$69</definedName>
    <definedName name="SalesRoundBox26">'Бланк заказа'!$Y$73:$Y$73</definedName>
    <definedName name="SalesRoundBox27">'Бланк заказа'!$Y$77:$Y$77</definedName>
    <definedName name="SalesRoundBox28">'Бланк заказа'!$Y$78:$Y$78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заказа'!$Y$88:$Y$88</definedName>
    <definedName name="SalesRoundBox32">'Бланк заказа'!$Y$89:$Y$89</definedName>
    <definedName name="SalesRoundBox33">'Бланк заказа'!$Y$90:$Y$90</definedName>
    <definedName name="SalesRoundBox34">'Бланк заказа'!$Y$91:$Y$91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заказа'!$Y$98:$Y$98</definedName>
    <definedName name="SalesRoundBox39">'Бланк заказа'!$Y$103:$Y$103</definedName>
    <definedName name="SalesRoundBox4">'Бланк заказа'!$Y$28:$Y$28</definedName>
    <definedName name="SalesRoundBox40">'Бланк заказа'!$Y$104:$Y$104</definedName>
    <definedName name="SalesRoundBox41">'Бланк заказа'!$Y$105:$Y$105</definedName>
    <definedName name="SalesRoundBox42">'Бланк заказа'!$Y$106:$Y$106</definedName>
    <definedName name="SalesRoundBox43">'Бланк заказа'!$Y$107:$Y$107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заказа'!$Y$114:$Y$114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заказа'!$Y$121:$Y$121</definedName>
    <definedName name="SalesRoundBox52">'Бланк заказа'!$Y$125:$Y$125</definedName>
    <definedName name="SalesRoundBox53">'Бланк заказа'!$Y$130:$Y$130</definedName>
    <definedName name="SalesRoundBox54">'Бланк заказа'!$Y$131:$Y$131</definedName>
    <definedName name="SalesRoundBox55">'Бланк заказа'!$Y$135:$Y$135</definedName>
    <definedName name="SalesRoundBox56">'Бланк заказа'!$Y$136:$Y$136</definedName>
    <definedName name="SalesRoundBox57">'Бланк заказа'!$Y$140:$Y$140</definedName>
    <definedName name="SalesRoundBox58">'Бланк заказа'!$Y$141:$Y$141</definedName>
    <definedName name="SalesRoundBox59">'Бланк заказа'!$Y$146:$Y$146</definedName>
    <definedName name="SalesRoundBox6">'Бланк заказа'!$Y$30:$Y$30</definedName>
    <definedName name="SalesRoundBox60">'Бланк заказа'!$Y$147:$Y$147</definedName>
    <definedName name="SalesRoundBox61">'Бланк заказа'!$Y$151:$Y$151</definedName>
    <definedName name="SalesRoundBox62">'Бланк заказа'!$Y$155:$Y$155</definedName>
    <definedName name="SalesRoundBox63">'Бланк заказа'!$Y$156:$Y$156</definedName>
    <definedName name="SalesRoundBox64">'Бланк заказа'!$Y$157:$Y$157</definedName>
    <definedName name="SalesRoundBox65">'Бланк заказа'!$Y$158:$Y$158</definedName>
    <definedName name="SalesRoundBox66">'Бланк заказа'!$Y$159:$Y$159</definedName>
    <definedName name="SalesRoundBox67">'Бланк заказа'!$Y$160:$Y$160</definedName>
    <definedName name="SalesRoundBox68">'Бланк заказа'!$Y$161:$Y$161</definedName>
    <definedName name="SalesRoundBox69">'Бланк заказа'!$Y$162:$Y$162</definedName>
    <definedName name="SalesRoundBox7">'Бланк заказа'!$Y$31:$Y$31</definedName>
    <definedName name="SalesRoundBox70">'Бланк заказа'!$Y$163:$Y$163</definedName>
    <definedName name="SalesRoundBox71">'Бланк заказа'!$Y$164:$Y$164</definedName>
    <definedName name="SalesRoundBox72">'Бланк заказа'!$Y$168:$Y$168</definedName>
    <definedName name="SalesRoundBox73">'Бланк заказа'!$Y$174:$Y$174</definedName>
    <definedName name="SalesRoundBox74">'Бланк заказа'!$Y$178:$Y$178</definedName>
    <definedName name="SalesRoundBox75">'Бланк заказа'!$Y$179:$Y$179</definedName>
    <definedName name="SalesRoundBox76">'Бланк заказа'!$Y$180:$Y$180</definedName>
    <definedName name="SalesRoundBox77">'Бланк заказа'!$Y$181:$Y$181</definedName>
    <definedName name="SalesRoundBox78">'Бланк заказа'!$Y$182:$Y$182</definedName>
    <definedName name="SalesRoundBox79">'Бланк заказа'!$Y$183:$Y$183</definedName>
    <definedName name="SalesRoundBox8">'Бланк заказа'!$Y$32:$Y$32</definedName>
    <definedName name="SalesRoundBox80">'Бланк заказа'!$Y$184:$Y$184</definedName>
    <definedName name="SalesRoundBox81">'Бланк заказа'!$Y$185:$Y$185</definedName>
    <definedName name="SalesRoundBox82">'Бланк заказа'!$Y$186:$Y$186</definedName>
    <definedName name="SalesRoundBox83">'Бланк заказа'!$Y$187:$Y$187</definedName>
    <definedName name="SalesRoundBox84">'Бланк заказа'!$Y$188:$Y$188</definedName>
    <definedName name="SalesRoundBox85">'Бланк заказа'!$Y$189:$Y$189</definedName>
    <definedName name="SalesRoundBox86">'Бланк заказа'!$Y$190:$Y$190</definedName>
    <definedName name="SalesRoundBox87">'Бланк заказа'!$Y$191:$Y$191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заказа'!$Y$197:$Y$197</definedName>
    <definedName name="SalesRoundBox91">'Бланк заказа'!$Y$201:$Y$201</definedName>
    <definedName name="SalesRoundBox92">'Бланк заказа'!$Y$206:$Y$206</definedName>
    <definedName name="SalesRoundBox93">'Бланк заказа'!$Y$207:$Y$207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заказа'!$Y$218:$Y$218</definedName>
    <definedName name="SalesRoundBox99">'Бланк заказа'!$Y$219:$Y$219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заказа'!$W$220:$W$220</definedName>
    <definedName name="UnitOfMeasure101">'Бланк заказа'!$W$221:$W$221</definedName>
    <definedName name="UnitOfMeasure102">'Бланк заказа'!$W$222:$W$222</definedName>
    <definedName name="UnitOfMeasure103">'Бланк заказа'!$W$223:$W$223</definedName>
    <definedName name="UnitOfMeasure104">'Бланк заказа'!$W$227:$W$227</definedName>
    <definedName name="UnitOfMeasure105">'Бланк заказа'!$W$228:$W$228</definedName>
    <definedName name="UnitOfMeasure106">'Бланк заказа'!$W$229:$W$229</definedName>
    <definedName name="UnitOfMeasure107">'Бланк заказа'!$W$230:$W$230</definedName>
    <definedName name="UnitOfMeasure108">'Бланк заказа'!$W$231:$W$231</definedName>
    <definedName name="UnitOfMeasure109">'Бланк заказа'!$W$232:$W$232</definedName>
    <definedName name="UnitOfMeasure11">'Бланк заказа'!$W$43:$W$43</definedName>
    <definedName name="UnitOfMeasure110">'Бланк заказа'!$W$233:$W$233</definedName>
    <definedName name="UnitOfMeasure111">'Бланк заказа'!$W$234:$W$234</definedName>
    <definedName name="UnitOfMeasure112">'Бланк заказа'!$W$235:$W$235</definedName>
    <definedName name="UnitOfMeasure113">'Бланк заказа'!$W$236:$W$236</definedName>
    <definedName name="UnitOfMeasure114">'Бланк заказа'!$W$240:$W$240</definedName>
    <definedName name="UnitOfMeasure115">'Бланк заказа'!$W$241:$W$241</definedName>
    <definedName name="UnitOfMeasure116">'Бланк заказа'!$W$246:$W$246</definedName>
    <definedName name="UnitOfMeasure117">'Бланк заказа'!$W$247:$W$247</definedName>
    <definedName name="UnitOfMeasure118">'Бланк заказа'!$W$248:$W$248</definedName>
    <definedName name="UnitOfMeasure119">'Бланк заказа'!$W$249:$W$249</definedName>
    <definedName name="UnitOfMeasure12">'Бланк заказа'!$W$49:$W$49</definedName>
    <definedName name="UnitOfMeasure120">'Бланк заказа'!$W$250:$W$250</definedName>
    <definedName name="UnitOfMeasure121">'Бланк заказа'!$W$251:$W$251</definedName>
    <definedName name="UnitOfMeasure122">'Бланк заказа'!$W$252:$W$252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заказа'!$W$265:$W$265</definedName>
    <definedName name="UnitOfMeasure127">'Бланк заказа'!$W$266:$W$266</definedName>
    <definedName name="UnitOfMeasure128">'Бланк заказа'!$W$267:$W$267</definedName>
    <definedName name="UnitOfMeasure129">'Бланк заказа'!$W$268:$W$268</definedName>
    <definedName name="UnitOfMeasure13">'Бланк заказа'!$W$50:$W$50</definedName>
    <definedName name="UnitOfMeasure130">'Бланк заказа'!$W$273:$W$273</definedName>
    <definedName name="UnitOfMeasure131">'Бланк заказа'!$W$274:$W$274</definedName>
    <definedName name="UnitOfMeasure132">'Бланк заказа'!$W$275:$W$275</definedName>
    <definedName name="UnitOfMeasure133">'Бланк заказа'!$W$276:$W$276</definedName>
    <definedName name="UnitOfMeasure134">'Бланк заказа'!$W$277:$W$277</definedName>
    <definedName name="UnitOfMeasure135">'Бланк заказа'!$W$282:$W$282</definedName>
    <definedName name="UnitOfMeasure136">'Бланк заказа'!$W$283:$W$283</definedName>
    <definedName name="UnitOfMeasure137">'Бланк заказа'!$W$284:$W$284</definedName>
    <definedName name="UnitOfMeasure138">'Бланк заказа'!$W$285:$W$285</definedName>
    <definedName name="UnitOfMeasure139">'Бланк заказа'!$W$290:$W$290</definedName>
    <definedName name="UnitOfMeasure14">'Бланк заказа'!$W$51:$W$51</definedName>
    <definedName name="UnitOfMeasure140">'Бланк заказа'!$W$291:$W$291</definedName>
    <definedName name="UnitOfMeasure141">'Бланк заказа'!$W$292:$W$292</definedName>
    <definedName name="UnitOfMeasure142">'Бланк заказа'!$W$297:$W$297</definedName>
    <definedName name="UnitOfMeasure143">'Бланк заказа'!$W$298:$W$298</definedName>
    <definedName name="UnitOfMeasure144">'Бланк заказа'!$W$299:$W$299</definedName>
    <definedName name="UnitOfMeasure145">'Бланк заказа'!$W$300:$W$300</definedName>
    <definedName name="UnitOfMeasure146">'Бланк заказа'!$W$304:$W$304</definedName>
    <definedName name="UnitOfMeasure147">'Бланк заказа'!$W$305:$W$305</definedName>
    <definedName name="UnitOfMeasure148">'Бланк заказа'!$W$310:$W$310</definedName>
    <definedName name="UnitOfMeasure149">'Бланк заказа'!$W$311:$W$311</definedName>
    <definedName name="UnitOfMeasure15">'Бланк заказа'!$W$52:$W$52</definedName>
    <definedName name="UnitOfMeasure150">'Бланк заказа'!$W$312:$W$312</definedName>
    <definedName name="UnitOfMeasure151">'Бланк заказа'!$W$313:$W$313</definedName>
    <definedName name="UnitOfMeasure152">'Бланк заказа'!$W$314:$W$314</definedName>
    <definedName name="UnitOfMeasure153">'Бланк заказа'!$W$315:$W$315</definedName>
    <definedName name="UnitOfMeasure154">'Бланк заказа'!$W$316:$W$316</definedName>
    <definedName name="UnitOfMeasure155">'Бланк заказа'!$W$317:$W$317</definedName>
    <definedName name="UnitOfMeasure156">'Бланк заказа'!$W$321:$W$321</definedName>
    <definedName name="UnitOfMeasure157">'Бланк заказа'!$W$322:$W$322</definedName>
    <definedName name="UnitOfMeasure158">'Бланк заказа'!$W$323:$W$323</definedName>
    <definedName name="UnitOfMeasure159">'Бланк заказа'!$W$324:$W$324</definedName>
    <definedName name="UnitOfMeasure16">'Бланк заказа'!$W$57:$W$57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заказа'!$W$331:$W$331</definedName>
    <definedName name="UnitOfMeasure164">'Бланк заказа'!$W$332:$W$332</definedName>
    <definedName name="UnitOfMeasure165">'Бланк заказа'!$W$333:$W$333</definedName>
    <definedName name="UnitOfMeasure166">'Бланк заказа'!$W$334:$W$334</definedName>
    <definedName name="UnitOfMeasure167">'Бланк заказа'!$W$338:$W$338</definedName>
    <definedName name="UnitOfMeasure168">'Бланк заказа'!$W$339:$W$339</definedName>
    <definedName name="UnitOfMeasure169">'Бланк заказа'!$W$340:$W$340</definedName>
    <definedName name="UnitOfMeasure17">'Бланк заказа'!$W$58:$W$58</definedName>
    <definedName name="UnitOfMeasure170">'Бланк заказа'!$W$344:$W$344</definedName>
    <definedName name="UnitOfMeasure171">'Бланк заказа'!$W$345:$W$345</definedName>
    <definedName name="UnitOfMeasure172">'Бланк заказа'!$W$346:$W$346</definedName>
    <definedName name="UnitOfMeasure173">'Бланк заказа'!$W$347:$W$347</definedName>
    <definedName name="UnitOfMeasure174">'Бланк заказа'!$W$351:$W$351</definedName>
    <definedName name="UnitOfMeasure175">'Бланк заказа'!$W$352:$W$352</definedName>
    <definedName name="UnitOfMeasure176">'Бланк заказа'!$W$353:$W$353</definedName>
    <definedName name="UnitOfMeasure177">'Бланк заказа'!$W$358:$W$358</definedName>
    <definedName name="UnitOfMeasure178">'Бланк заказа'!$W$359:$W$359</definedName>
    <definedName name="UnitOfMeasure179">'Бланк заказа'!$W$360:$W$360</definedName>
    <definedName name="UnitOfMeasure18">'Бланк заказа'!$W$59:$W$59</definedName>
    <definedName name="UnitOfMeasure180">'Бланк заказа'!$W$366:$W$366</definedName>
    <definedName name="UnitOfMeasure181">'Бланк заказа'!$W$367:$W$367</definedName>
    <definedName name="UnitOfMeasure182">'Бланк заказа'!$W$368:$W$368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заказа'!$W$376:$W$376</definedName>
    <definedName name="UnitOfMeasure188">'Бланк заказа'!$W$377:$W$377</definedName>
    <definedName name="UnitOfMeasure189">'Бланк заказа'!$W$381:$W$381</definedName>
    <definedName name="UnitOfMeasure19">'Бланк заказа'!$W$60:$W$60</definedName>
    <definedName name="UnitOfMeasure190">'Бланк заказа'!$W$382:$W$382</definedName>
    <definedName name="UnitOfMeasure191">'Бланк заказа'!$W$386:$W$386</definedName>
    <definedName name="UnitOfMeasure192">'Бланк заказа'!$W$391:$W$391</definedName>
    <definedName name="UnitOfMeasure193">'Бланк заказа'!$W$392:$W$392</definedName>
    <definedName name="UnitOfMeasure194">'Бланк заказа'!$W$396:$W$396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заказа'!$W$408:$W$408</definedName>
    <definedName name="UnitOfMeasure199">'Бланк заказа'!$W$409:$W$409</definedName>
    <definedName name="UnitOfMeasure2">'Бланк заказа'!$W$23:$W$23</definedName>
    <definedName name="UnitOfMeasure20">'Бланк заказа'!$W$61:$W$61</definedName>
    <definedName name="UnitOfMeasure200">'Бланк заказа'!$W$410:$W$410</definedName>
    <definedName name="UnitOfMeasure201">'Бланк заказа'!$W$411:$W$411</definedName>
    <definedName name="UnitOfMeasure202">'Бланк заказа'!$W$412:$W$412</definedName>
    <definedName name="UnitOfMeasure203">'Бланк заказа'!$W$413:$W$413</definedName>
    <definedName name="UnitOfMeasure204">'Бланк заказа'!$W$414:$W$414</definedName>
    <definedName name="UnitOfMeasure205">'Бланк заказа'!$W$415:$W$415</definedName>
    <definedName name="UnitOfMeasure206">'Бланк заказа'!$W$416:$W$416</definedName>
    <definedName name="UnitOfMeasure207">'Бланк заказа'!$W$420:$W$420</definedName>
    <definedName name="UnitOfMeasure208">'Бланк заказа'!$W$421:$W$421</definedName>
    <definedName name="UnitOfMeasure209">'Бланк заказа'!$W$426:$W$426</definedName>
    <definedName name="UnitOfMeasure21">'Бланк заказа'!$W$62:$W$62</definedName>
    <definedName name="UnitOfMeasure210">'Бланк заказа'!$W$430:$W$430</definedName>
    <definedName name="UnitOfMeasure211">'Бланк заказа'!$W$431:$W$431</definedName>
    <definedName name="UnitOfMeasure212">'Бланк заказа'!$W$432:$W$432</definedName>
    <definedName name="UnitOfMeasure213">'Бланк заказа'!$W$437:$W$437</definedName>
    <definedName name="UnitOfMeasure214">'Бланк заказа'!$W$443:$W$443</definedName>
    <definedName name="UnitOfMeasure215">'Бланк заказа'!$W$444:$W$444</definedName>
    <definedName name="UnitOfMeasure216">'Бланк заказа'!$W$445:$W$445</definedName>
    <definedName name="UnitOfMeasure217">'Бланк заказа'!$W$446:$W$446</definedName>
    <definedName name="UnitOfMeasure218">'Бланк заказа'!$W$447:$W$447</definedName>
    <definedName name="UnitOfMeasure219">'Бланк заказа'!$W$448:$W$448</definedName>
    <definedName name="UnitOfMeasure22">'Бланк заказа'!$W$66:$W$66</definedName>
    <definedName name="UnitOfMeasure220">'Бланк заказа'!$W$449:$W$449</definedName>
    <definedName name="UnitOfMeasure221">'Бланк заказа'!$W$450:$W$450</definedName>
    <definedName name="UnitOfMeasure222">'Бланк заказа'!$W$451:$W$451</definedName>
    <definedName name="UnitOfMeasure223">'Бланк заказа'!$W$452:$W$452</definedName>
    <definedName name="UnitOfMeasure224">'Бланк заказа'!$W$453:$W$453</definedName>
    <definedName name="UnitOfMeasure225">'Бланк заказа'!$W$457:$W$457</definedName>
    <definedName name="UnitOfMeasure226">'Бланк заказа'!$W$458:$W$458</definedName>
    <definedName name="UnitOfMeasure227">'Бланк заказа'!$W$459:$W$459</definedName>
    <definedName name="UnitOfMeasure228">'Бланк заказа'!$W$463:$W$463</definedName>
    <definedName name="UnitOfMeasure229">'Бланк заказа'!$W$464:$W$464</definedName>
    <definedName name="UnitOfMeasure23">'Бланк заказа'!$W$67:$W$67</definedName>
    <definedName name="UnitOfMeasure230">'Бланк заказа'!$W$465:$W$465</definedName>
    <definedName name="UnitOfMeasure231">'Бланк заказа'!$W$466:$W$466</definedName>
    <definedName name="UnitOfMeasure232">'Бланк заказа'!$W$467:$W$467</definedName>
    <definedName name="UnitOfMeasure233">'Бланк заказа'!$W$468:$W$468</definedName>
    <definedName name="UnitOfMeasure234">'Бланк заказа'!$W$469:$W$469</definedName>
    <definedName name="UnitOfMeasure235">'Бланк заказа'!$W$475:$W$475</definedName>
    <definedName name="UnitOfMeasure236">'Бланк заказа'!$W$476:$W$476</definedName>
    <definedName name="UnitOfMeasure237">'Бланк заказа'!$W$477:$W$477</definedName>
    <definedName name="UnitOfMeasure238">'Бланк заказа'!$W$481:$W$481</definedName>
    <definedName name="UnitOfMeasure239">'Бланк заказа'!$W$485:$W$485</definedName>
    <definedName name="UnitOfMeasure24">'Бланк заказа'!$W$68:$W$68</definedName>
    <definedName name="UnitOfMeasure240">'Бланк заказа'!$W$489:$W$489</definedName>
    <definedName name="UnitOfMeasure241">'Бланк заказа'!$W$493:$W$493</definedName>
    <definedName name="UnitOfMeasure242">'Бланк заказа'!$W$494:$W$494</definedName>
    <definedName name="UnitOfMeasure243">'Бланк заказа'!$W$499:$W$499</definedName>
    <definedName name="UnitOfMeasure25">'Бланк заказа'!$W$69:$W$69</definedName>
    <definedName name="UnitOfMeasure26">'Бланк заказа'!$W$73:$W$73</definedName>
    <definedName name="UnitOfMeasure27">'Бланк заказа'!$W$77:$W$77</definedName>
    <definedName name="UnitOfMeasure28">'Бланк заказа'!$W$78:$W$78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заказа'!$W$88:$W$88</definedName>
    <definedName name="UnitOfMeasure32">'Бланк заказа'!$W$89:$W$89</definedName>
    <definedName name="UnitOfMeasure33">'Бланк заказа'!$W$90:$W$90</definedName>
    <definedName name="UnitOfMeasure34">'Бланк заказа'!$W$91:$W$91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заказа'!$W$98:$W$98</definedName>
    <definedName name="UnitOfMeasure39">'Бланк заказа'!$W$103:$W$103</definedName>
    <definedName name="UnitOfMeasure4">'Бланк заказа'!$W$28:$W$28</definedName>
    <definedName name="UnitOfMeasure40">'Бланк заказа'!$W$104:$W$104</definedName>
    <definedName name="UnitOfMeasure41">'Бланк заказа'!$W$105:$W$105</definedName>
    <definedName name="UnitOfMeasure42">'Бланк заказа'!$W$106:$W$106</definedName>
    <definedName name="UnitOfMeasure43">'Бланк заказа'!$W$107:$W$107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заказа'!$W$114:$W$114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заказа'!$W$121:$W$121</definedName>
    <definedName name="UnitOfMeasure52">'Бланк заказа'!$W$125:$W$125</definedName>
    <definedName name="UnitOfMeasure53">'Бланк заказа'!$W$130:$W$130</definedName>
    <definedName name="UnitOfMeasure54">'Бланк заказа'!$W$131:$W$131</definedName>
    <definedName name="UnitOfMeasure55">'Бланк заказа'!$W$135:$W$135</definedName>
    <definedName name="UnitOfMeasure56">'Бланк заказа'!$W$136:$W$136</definedName>
    <definedName name="UnitOfMeasure57">'Бланк заказа'!$W$140:$W$140</definedName>
    <definedName name="UnitOfMeasure58">'Бланк заказа'!$W$141:$W$141</definedName>
    <definedName name="UnitOfMeasure59">'Бланк заказа'!$W$146:$W$146</definedName>
    <definedName name="UnitOfMeasure6">'Бланк заказа'!$W$30:$W$30</definedName>
    <definedName name="UnitOfMeasure60">'Бланк заказа'!$W$147:$W$147</definedName>
    <definedName name="UnitOfMeasure61">'Бланк заказа'!$W$151:$W$151</definedName>
    <definedName name="UnitOfMeasure62">'Бланк заказа'!$W$155:$W$155</definedName>
    <definedName name="UnitOfMeasure63">'Бланк заказа'!$W$156:$W$156</definedName>
    <definedName name="UnitOfMeasure64">'Бланк заказа'!$W$157:$W$157</definedName>
    <definedName name="UnitOfMeasure65">'Бланк заказа'!$W$158:$W$158</definedName>
    <definedName name="UnitOfMeasure66">'Бланк заказа'!$W$159:$W$159</definedName>
    <definedName name="UnitOfMeasure67">'Бланк заказа'!$W$160:$W$160</definedName>
    <definedName name="UnitOfMeasure68">'Бланк заказа'!$W$161:$W$161</definedName>
    <definedName name="UnitOfMeasure69">'Бланк заказа'!$W$162:$W$162</definedName>
    <definedName name="UnitOfMeasure7">'Бланк заказа'!$W$31:$W$31</definedName>
    <definedName name="UnitOfMeasure70">'Бланк заказа'!$W$163:$W$163</definedName>
    <definedName name="UnitOfMeasure71">'Бланк заказа'!$W$164:$W$164</definedName>
    <definedName name="UnitOfMeasure72">'Бланк заказа'!$W$168:$W$168</definedName>
    <definedName name="UnitOfMeasure73">'Бланк заказа'!$W$174:$W$174</definedName>
    <definedName name="UnitOfMeasure74">'Бланк заказа'!$W$178:$W$178</definedName>
    <definedName name="UnitOfMeasure75">'Бланк заказа'!$W$179:$W$179</definedName>
    <definedName name="UnitOfMeasure76">'Бланк заказа'!$W$180:$W$180</definedName>
    <definedName name="UnitOfMeasure77">'Бланк заказа'!$W$181:$W$181</definedName>
    <definedName name="UnitOfMeasure78">'Бланк заказа'!$W$182:$W$182</definedName>
    <definedName name="UnitOfMeasure79">'Бланк заказа'!$W$183:$W$183</definedName>
    <definedName name="UnitOfMeasure8">'Бланк заказа'!$W$32:$W$32</definedName>
    <definedName name="UnitOfMeasure80">'Бланк заказа'!$W$184:$W$184</definedName>
    <definedName name="UnitOfMeasure81">'Бланк заказа'!$W$185:$W$185</definedName>
    <definedName name="UnitOfMeasure82">'Бланк заказа'!$W$186:$W$186</definedName>
    <definedName name="UnitOfMeasure83">'Бланк заказа'!$W$187:$W$187</definedName>
    <definedName name="UnitOfMeasure84">'Бланк заказа'!$W$188:$W$188</definedName>
    <definedName name="UnitOfMeasure85">'Бланк заказа'!$W$189:$W$189</definedName>
    <definedName name="UnitOfMeasure86">'Бланк заказа'!$W$190:$W$190</definedName>
    <definedName name="UnitOfMeasure87">'Бланк заказа'!$W$191:$W$191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заказа'!$W$197:$W$197</definedName>
    <definedName name="UnitOfMeasure91">'Бланк заказа'!$W$201:$W$201</definedName>
    <definedName name="UnitOfMeasure92">'Бланк заказа'!$W$206:$W$206</definedName>
    <definedName name="UnitOfMeasure93">'Бланк заказа'!$W$207:$W$207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заказа'!$W$218:$W$218</definedName>
    <definedName name="UnitOfMeasure99">'Бланк заказа'!$W$219:$W$219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01" i="2" l="1"/>
  <c r="X500" i="2"/>
  <c r="BO499" i="2"/>
  <c r="BM499" i="2"/>
  <c r="Y499" i="2"/>
  <c r="AA512" i="2" s="1"/>
  <c r="P499" i="2"/>
  <c r="X496" i="2"/>
  <c r="X495" i="2"/>
  <c r="BO494" i="2"/>
  <c r="BM494" i="2"/>
  <c r="Y494" i="2"/>
  <c r="BN494" i="2" s="1"/>
  <c r="P494" i="2"/>
  <c r="BO493" i="2"/>
  <c r="BM493" i="2"/>
  <c r="Z493" i="2"/>
  <c r="Y493" i="2"/>
  <c r="BP493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BN485" i="2" s="1"/>
  <c r="P485" i="2"/>
  <c r="X483" i="2"/>
  <c r="X482" i="2"/>
  <c r="BO481" i="2"/>
  <c r="BM481" i="2"/>
  <c r="Y481" i="2"/>
  <c r="BP481" i="2" s="1"/>
  <c r="P481" i="2"/>
  <c r="X479" i="2"/>
  <c r="X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Z475" i="2" s="1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P467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BP465" i="2" s="1"/>
  <c r="P465" i="2"/>
  <c r="BO464" i="2"/>
  <c r="BM464" i="2"/>
  <c r="Y464" i="2"/>
  <c r="BN464" i="2" s="1"/>
  <c r="P464" i="2"/>
  <c r="BO463" i="2"/>
  <c r="BM463" i="2"/>
  <c r="Y463" i="2"/>
  <c r="Z463" i="2" s="1"/>
  <c r="P463" i="2"/>
  <c r="X461" i="2"/>
  <c r="X460" i="2"/>
  <c r="BO459" i="2"/>
  <c r="BM459" i="2"/>
  <c r="Y459" i="2"/>
  <c r="BP459" i="2" s="1"/>
  <c r="P459" i="2"/>
  <c r="BO458" i="2"/>
  <c r="BM458" i="2"/>
  <c r="Y458" i="2"/>
  <c r="BP458" i="2" s="1"/>
  <c r="P458" i="2"/>
  <c r="BO457" i="2"/>
  <c r="BM457" i="2"/>
  <c r="Y457" i="2"/>
  <c r="Y461" i="2" s="1"/>
  <c r="P457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BN451" i="2" s="1"/>
  <c r="P451" i="2"/>
  <c r="BO450" i="2"/>
  <c r="BM450" i="2"/>
  <c r="Y450" i="2"/>
  <c r="P450" i="2"/>
  <c r="BO449" i="2"/>
  <c r="BM449" i="2"/>
  <c r="Y449" i="2"/>
  <c r="BP449" i="2" s="1"/>
  <c r="P449" i="2"/>
  <c r="BO448" i="2"/>
  <c r="BM448" i="2"/>
  <c r="Y448" i="2"/>
  <c r="P448" i="2"/>
  <c r="BO447" i="2"/>
  <c r="BM447" i="2"/>
  <c r="Y447" i="2"/>
  <c r="BN447" i="2" s="1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39" i="2"/>
  <c r="X438" i="2"/>
  <c r="BP437" i="2"/>
  <c r="BO437" i="2"/>
  <c r="BN437" i="2"/>
  <c r="BM437" i="2"/>
  <c r="Z437" i="2"/>
  <c r="Z438" i="2" s="1"/>
  <c r="Y437" i="2"/>
  <c r="X512" i="2" s="1"/>
  <c r="P437" i="2"/>
  <c r="X434" i="2"/>
  <c r="X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P430" i="2"/>
  <c r="X428" i="2"/>
  <c r="X427" i="2"/>
  <c r="BO426" i="2"/>
  <c r="BM426" i="2"/>
  <c r="Y426" i="2"/>
  <c r="Y428" i="2" s="1"/>
  <c r="P426" i="2"/>
  <c r="X423" i="2"/>
  <c r="X422" i="2"/>
  <c r="BO421" i="2"/>
  <c r="BM421" i="2"/>
  <c r="Y421" i="2"/>
  <c r="BN421" i="2" s="1"/>
  <c r="P421" i="2"/>
  <c r="BO420" i="2"/>
  <c r="BM420" i="2"/>
  <c r="Y420" i="2"/>
  <c r="Y422" i="2" s="1"/>
  <c r="P420" i="2"/>
  <c r="X418" i="2"/>
  <c r="X417" i="2"/>
  <c r="BO416" i="2"/>
  <c r="BM416" i="2"/>
  <c r="Y416" i="2"/>
  <c r="BP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N411" i="2" s="1"/>
  <c r="P411" i="2"/>
  <c r="BO410" i="2"/>
  <c r="BM410" i="2"/>
  <c r="Y410" i="2"/>
  <c r="BP410" i="2" s="1"/>
  <c r="P410" i="2"/>
  <c r="BO409" i="2"/>
  <c r="BM409" i="2"/>
  <c r="Z409" i="2"/>
  <c r="Y409" i="2"/>
  <c r="BP409" i="2" s="1"/>
  <c r="P409" i="2"/>
  <c r="BO408" i="2"/>
  <c r="BM408" i="2"/>
  <c r="Y408" i="2"/>
  <c r="BP408" i="2" s="1"/>
  <c r="P408" i="2"/>
  <c r="X404" i="2"/>
  <c r="X403" i="2"/>
  <c r="BO402" i="2"/>
  <c r="BM402" i="2"/>
  <c r="Y402" i="2"/>
  <c r="BP402" i="2" s="1"/>
  <c r="P402" i="2"/>
  <c r="BO401" i="2"/>
  <c r="BM401" i="2"/>
  <c r="Y401" i="2"/>
  <c r="Y404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X394" i="2"/>
  <c r="X393" i="2"/>
  <c r="BO392" i="2"/>
  <c r="BM392" i="2"/>
  <c r="Z392" i="2"/>
  <c r="Y392" i="2"/>
  <c r="P392" i="2"/>
  <c r="BO391" i="2"/>
  <c r="BM391" i="2"/>
  <c r="Y391" i="2"/>
  <c r="P391" i="2"/>
  <c r="X388" i="2"/>
  <c r="X387" i="2"/>
  <c r="BO386" i="2"/>
  <c r="BM386" i="2"/>
  <c r="Y386" i="2"/>
  <c r="BN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O372" i="2"/>
  <c r="BM372" i="2"/>
  <c r="Z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X362" i="2"/>
  <c r="X361" i="2"/>
  <c r="BO360" i="2"/>
  <c r="BM360" i="2"/>
  <c r="Y360" i="2"/>
  <c r="BP360" i="2" s="1"/>
  <c r="P360" i="2"/>
  <c r="BO359" i="2"/>
  <c r="BM359" i="2"/>
  <c r="Y359" i="2"/>
  <c r="BN359" i="2" s="1"/>
  <c r="P359" i="2"/>
  <c r="BO358" i="2"/>
  <c r="BM358" i="2"/>
  <c r="Y358" i="2"/>
  <c r="Z358" i="2" s="1"/>
  <c r="P358" i="2"/>
  <c r="X355" i="2"/>
  <c r="X354" i="2"/>
  <c r="BO353" i="2"/>
  <c r="BM353" i="2"/>
  <c r="Y353" i="2"/>
  <c r="P353" i="2"/>
  <c r="BO352" i="2"/>
  <c r="BN352" i="2"/>
  <c r="BM352" i="2"/>
  <c r="Z352" i="2"/>
  <c r="Y352" i="2"/>
  <c r="BP352" i="2" s="1"/>
  <c r="P352" i="2"/>
  <c r="BO351" i="2"/>
  <c r="BM351" i="2"/>
  <c r="Y351" i="2"/>
  <c r="BP351" i="2" s="1"/>
  <c r="P351" i="2"/>
  <c r="X349" i="2"/>
  <c r="X348" i="2"/>
  <c r="BP347" i="2"/>
  <c r="BO347" i="2"/>
  <c r="BM347" i="2"/>
  <c r="Y347" i="2"/>
  <c r="P347" i="2"/>
  <c r="BO346" i="2"/>
  <c r="BM346" i="2"/>
  <c r="Y346" i="2"/>
  <c r="BP346" i="2" s="1"/>
  <c r="P346" i="2"/>
  <c r="BO345" i="2"/>
  <c r="BM345" i="2"/>
  <c r="Y345" i="2"/>
  <c r="Z345" i="2" s="1"/>
  <c r="P345" i="2"/>
  <c r="BO344" i="2"/>
  <c r="BM344" i="2"/>
  <c r="Y344" i="2"/>
  <c r="BN344" i="2" s="1"/>
  <c r="P344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P338" i="2"/>
  <c r="X336" i="2"/>
  <c r="X335" i="2"/>
  <c r="BO334" i="2"/>
  <c r="BM334" i="2"/>
  <c r="Y334" i="2"/>
  <c r="BP334" i="2" s="1"/>
  <c r="P334" i="2"/>
  <c r="BO333" i="2"/>
  <c r="BM333" i="2"/>
  <c r="Z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N322" i="2" s="1"/>
  <c r="P322" i="2"/>
  <c r="BO321" i="2"/>
  <c r="BM321" i="2"/>
  <c r="Y321" i="2"/>
  <c r="BP321" i="2" s="1"/>
  <c r="P321" i="2"/>
  <c r="X319" i="2"/>
  <c r="X318" i="2"/>
  <c r="BO317" i="2"/>
  <c r="BN317" i="2"/>
  <c r="BM317" i="2"/>
  <c r="Z317" i="2"/>
  <c r="Y317" i="2"/>
  <c r="BP317" i="2" s="1"/>
  <c r="P317" i="2"/>
  <c r="BO316" i="2"/>
  <c r="BM316" i="2"/>
  <c r="Y316" i="2"/>
  <c r="BN316" i="2" s="1"/>
  <c r="BO315" i="2"/>
  <c r="BM315" i="2"/>
  <c r="Z315" i="2"/>
  <c r="Y315" i="2"/>
  <c r="BN315" i="2" s="1"/>
  <c r="P315" i="2"/>
  <c r="BO314" i="2"/>
  <c r="BM314" i="2"/>
  <c r="Y314" i="2"/>
  <c r="BP314" i="2" s="1"/>
  <c r="P314" i="2"/>
  <c r="BO313" i="2"/>
  <c r="BM313" i="2"/>
  <c r="Y313" i="2"/>
  <c r="BP313" i="2" s="1"/>
  <c r="P313" i="2"/>
  <c r="BP312" i="2"/>
  <c r="BO312" i="2"/>
  <c r="BM312" i="2"/>
  <c r="Y312" i="2"/>
  <c r="BO311" i="2"/>
  <c r="BM311" i="2"/>
  <c r="Z311" i="2"/>
  <c r="Y311" i="2"/>
  <c r="BN311" i="2" s="1"/>
  <c r="P311" i="2"/>
  <c r="BO310" i="2"/>
  <c r="BM310" i="2"/>
  <c r="Y310" i="2"/>
  <c r="P310" i="2"/>
  <c r="X307" i="2"/>
  <c r="X306" i="2"/>
  <c r="BO305" i="2"/>
  <c r="BM305" i="2"/>
  <c r="Y305" i="2"/>
  <c r="BP305" i="2" s="1"/>
  <c r="P305" i="2"/>
  <c r="BO304" i="2"/>
  <c r="BM304" i="2"/>
  <c r="Y304" i="2"/>
  <c r="Y307" i="2" s="1"/>
  <c r="P304" i="2"/>
  <c r="X302" i="2"/>
  <c r="X301" i="2"/>
  <c r="BO300" i="2"/>
  <c r="BM300" i="2"/>
  <c r="Y300" i="2"/>
  <c r="BP300" i="2" s="1"/>
  <c r="P300" i="2"/>
  <c r="BO299" i="2"/>
  <c r="BM299" i="2"/>
  <c r="Y299" i="2"/>
  <c r="BN299" i="2" s="1"/>
  <c r="P299" i="2"/>
  <c r="BO298" i="2"/>
  <c r="BM298" i="2"/>
  <c r="Y298" i="2"/>
  <c r="BN298" i="2" s="1"/>
  <c r="P298" i="2"/>
  <c r="BO297" i="2"/>
  <c r="BM297" i="2"/>
  <c r="Y297" i="2"/>
  <c r="BP297" i="2" s="1"/>
  <c r="X294" i="2"/>
  <c r="X293" i="2"/>
  <c r="BO292" i="2"/>
  <c r="BM292" i="2"/>
  <c r="Y292" i="2"/>
  <c r="P292" i="2"/>
  <c r="BO291" i="2"/>
  <c r="BM291" i="2"/>
  <c r="Y291" i="2"/>
  <c r="BP291" i="2" s="1"/>
  <c r="P291" i="2"/>
  <c r="BO290" i="2"/>
  <c r="BM290" i="2"/>
  <c r="Z290" i="2"/>
  <c r="Y290" i="2"/>
  <c r="P290" i="2"/>
  <c r="X287" i="2"/>
  <c r="X286" i="2"/>
  <c r="BO285" i="2"/>
  <c r="BN285" i="2"/>
  <c r="BM285" i="2"/>
  <c r="Z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P283" i="2" s="1"/>
  <c r="P283" i="2"/>
  <c r="BO282" i="2"/>
  <c r="BM282" i="2"/>
  <c r="Y282" i="2"/>
  <c r="P282" i="2"/>
  <c r="X279" i="2"/>
  <c r="X278" i="2"/>
  <c r="BP277" i="2"/>
  <c r="BO277" i="2"/>
  <c r="BM277" i="2"/>
  <c r="Y277" i="2"/>
  <c r="BN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X270" i="2"/>
  <c r="X269" i="2"/>
  <c r="BO268" i="2"/>
  <c r="BM268" i="2"/>
  <c r="Y268" i="2"/>
  <c r="BP268" i="2" s="1"/>
  <c r="P268" i="2"/>
  <c r="BO267" i="2"/>
  <c r="BN267" i="2"/>
  <c r="BM267" i="2"/>
  <c r="Z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P252" i="2" s="1"/>
  <c r="P252" i="2"/>
  <c r="BO251" i="2"/>
  <c r="BM251" i="2"/>
  <c r="Y251" i="2"/>
  <c r="BN251" i="2" s="1"/>
  <c r="P251" i="2"/>
  <c r="BO250" i="2"/>
  <c r="BM250" i="2"/>
  <c r="Y250" i="2"/>
  <c r="BN250" i="2" s="1"/>
  <c r="P250" i="2"/>
  <c r="BO249" i="2"/>
  <c r="BM249" i="2"/>
  <c r="Y249" i="2"/>
  <c r="P249" i="2"/>
  <c r="BP248" i="2"/>
  <c r="BO248" i="2"/>
  <c r="BN248" i="2"/>
  <c r="BM248" i="2"/>
  <c r="Z248" i="2"/>
  <c r="Y248" i="2"/>
  <c r="P248" i="2"/>
  <c r="BO247" i="2"/>
  <c r="BM247" i="2"/>
  <c r="Y247" i="2"/>
  <c r="P247" i="2"/>
  <c r="BO246" i="2"/>
  <c r="BM246" i="2"/>
  <c r="Y246" i="2"/>
  <c r="BP246" i="2" s="1"/>
  <c r="P246" i="2"/>
  <c r="X243" i="2"/>
  <c r="X242" i="2"/>
  <c r="BO241" i="2"/>
  <c r="BM241" i="2"/>
  <c r="Y241" i="2"/>
  <c r="P241" i="2"/>
  <c r="BO240" i="2"/>
  <c r="BM240" i="2"/>
  <c r="Z240" i="2"/>
  <c r="Y240" i="2"/>
  <c r="BN240" i="2" s="1"/>
  <c r="P240" i="2"/>
  <c r="X238" i="2"/>
  <c r="X237" i="2"/>
  <c r="BO236" i="2"/>
  <c r="BM236" i="2"/>
  <c r="Y236" i="2"/>
  <c r="BN236" i="2" s="1"/>
  <c r="BO235" i="2"/>
  <c r="BM235" i="2"/>
  <c r="Y235" i="2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N227" i="2" s="1"/>
  <c r="P227" i="2"/>
  <c r="X225" i="2"/>
  <c r="X224" i="2"/>
  <c r="BO223" i="2"/>
  <c r="BM223" i="2"/>
  <c r="Y223" i="2"/>
  <c r="P223" i="2"/>
  <c r="BP222" i="2"/>
  <c r="BO222" i="2"/>
  <c r="BN222" i="2"/>
  <c r="BM222" i="2"/>
  <c r="Z222" i="2"/>
  <c r="Y222" i="2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N217" i="2" s="1"/>
  <c r="P217" i="2"/>
  <c r="BO216" i="2"/>
  <c r="BM216" i="2"/>
  <c r="Y216" i="2"/>
  <c r="P216" i="2"/>
  <c r="X214" i="2"/>
  <c r="X213" i="2"/>
  <c r="BO212" i="2"/>
  <c r="BM212" i="2"/>
  <c r="Z212" i="2"/>
  <c r="Y212" i="2"/>
  <c r="BN212" i="2" s="1"/>
  <c r="P212" i="2"/>
  <c r="BO211" i="2"/>
  <c r="BM211" i="2"/>
  <c r="Y211" i="2"/>
  <c r="BP211" i="2" s="1"/>
  <c r="P211" i="2"/>
  <c r="X209" i="2"/>
  <c r="X208" i="2"/>
  <c r="BO207" i="2"/>
  <c r="BM207" i="2"/>
  <c r="Y207" i="2"/>
  <c r="P207" i="2"/>
  <c r="BO206" i="2"/>
  <c r="BM206" i="2"/>
  <c r="Y206" i="2"/>
  <c r="BP206" i="2" s="1"/>
  <c r="P206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Z196" i="2"/>
  <c r="Y196" i="2"/>
  <c r="BN196" i="2" s="1"/>
  <c r="P196" i="2"/>
  <c r="BO195" i="2"/>
  <c r="BM195" i="2"/>
  <c r="Y195" i="2"/>
  <c r="BN195" i="2" s="1"/>
  <c r="P195" i="2"/>
  <c r="X193" i="2"/>
  <c r="X192" i="2"/>
  <c r="BO191" i="2"/>
  <c r="BM191" i="2"/>
  <c r="Y191" i="2"/>
  <c r="BN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BN186" i="2" s="1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P183" i="2" s="1"/>
  <c r="P183" i="2"/>
  <c r="BP182" i="2"/>
  <c r="BO182" i="2"/>
  <c r="BM182" i="2"/>
  <c r="Y182" i="2"/>
  <c r="BN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N178" i="2" s="1"/>
  <c r="P178" i="2"/>
  <c r="X176" i="2"/>
  <c r="X175" i="2"/>
  <c r="BO174" i="2"/>
  <c r="BM174" i="2"/>
  <c r="Y174" i="2"/>
  <c r="Y176" i="2" s="1"/>
  <c r="P174" i="2"/>
  <c r="X170" i="2"/>
  <c r="X169" i="2"/>
  <c r="BO168" i="2"/>
  <c r="BM168" i="2"/>
  <c r="Y168" i="2"/>
  <c r="P168" i="2"/>
  <c r="X166" i="2"/>
  <c r="X165" i="2"/>
  <c r="BO164" i="2"/>
  <c r="BM164" i="2"/>
  <c r="Y164" i="2"/>
  <c r="BN164" i="2" s="1"/>
  <c r="P164" i="2"/>
  <c r="BO163" i="2"/>
  <c r="BM163" i="2"/>
  <c r="Y163" i="2"/>
  <c r="P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BN159" i="2" s="1"/>
  <c r="P159" i="2"/>
  <c r="BO158" i="2"/>
  <c r="BM158" i="2"/>
  <c r="Y158" i="2"/>
  <c r="P158" i="2"/>
  <c r="BO157" i="2"/>
  <c r="BM157" i="2"/>
  <c r="Y157" i="2"/>
  <c r="BN157" i="2" s="1"/>
  <c r="P157" i="2"/>
  <c r="BO156" i="2"/>
  <c r="BM156" i="2"/>
  <c r="Y156" i="2"/>
  <c r="BN156" i="2" s="1"/>
  <c r="P156" i="2"/>
  <c r="BO155" i="2"/>
  <c r="BM155" i="2"/>
  <c r="Y155" i="2"/>
  <c r="BN155" i="2" s="1"/>
  <c r="P155" i="2"/>
  <c r="X153" i="2"/>
  <c r="X152" i="2"/>
  <c r="BO151" i="2"/>
  <c r="BM151" i="2"/>
  <c r="Y151" i="2"/>
  <c r="Y152" i="2" s="1"/>
  <c r="P151" i="2"/>
  <c r="X149" i="2"/>
  <c r="X148" i="2"/>
  <c r="BO147" i="2"/>
  <c r="BM147" i="2"/>
  <c r="Y147" i="2"/>
  <c r="P147" i="2"/>
  <c r="BO146" i="2"/>
  <c r="BM146" i="2"/>
  <c r="Z146" i="2"/>
  <c r="Y146" i="2"/>
  <c r="BP146" i="2" s="1"/>
  <c r="P146" i="2"/>
  <c r="X143" i="2"/>
  <c r="X142" i="2"/>
  <c r="BO141" i="2"/>
  <c r="BM141" i="2"/>
  <c r="Y141" i="2"/>
  <c r="Z141" i="2" s="1"/>
  <c r="P141" i="2"/>
  <c r="BO140" i="2"/>
  <c r="BM140" i="2"/>
  <c r="Z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P130" i="2"/>
  <c r="X127" i="2"/>
  <c r="X126" i="2"/>
  <c r="BO125" i="2"/>
  <c r="BM125" i="2"/>
  <c r="Y125" i="2"/>
  <c r="BP125" i="2" s="1"/>
  <c r="P125" i="2"/>
  <c r="X123" i="2"/>
  <c r="X122" i="2"/>
  <c r="BO121" i="2"/>
  <c r="BM121" i="2"/>
  <c r="Z121" i="2"/>
  <c r="Y121" i="2"/>
  <c r="BN121" i="2" s="1"/>
  <c r="P121" i="2"/>
  <c r="BO120" i="2"/>
  <c r="BM120" i="2"/>
  <c r="Y120" i="2"/>
  <c r="BN120" i="2" s="1"/>
  <c r="P120" i="2"/>
  <c r="BO119" i="2"/>
  <c r="BM119" i="2"/>
  <c r="Y119" i="2"/>
  <c r="BN119" i="2" s="1"/>
  <c r="P119" i="2"/>
  <c r="BO118" i="2"/>
  <c r="BM118" i="2"/>
  <c r="Y118" i="2"/>
  <c r="P118" i="2"/>
  <c r="X116" i="2"/>
  <c r="X115" i="2"/>
  <c r="BO114" i="2"/>
  <c r="BM114" i="2"/>
  <c r="Y114" i="2"/>
  <c r="P114" i="2"/>
  <c r="BO113" i="2"/>
  <c r="BM113" i="2"/>
  <c r="Y113" i="2"/>
  <c r="BN113" i="2" s="1"/>
  <c r="P113" i="2"/>
  <c r="BO112" i="2"/>
  <c r="BM112" i="2"/>
  <c r="Y112" i="2"/>
  <c r="Y115" i="2" s="1"/>
  <c r="P112" i="2"/>
  <c r="BO111" i="2"/>
  <c r="BM111" i="2"/>
  <c r="Z111" i="2"/>
  <c r="Y111" i="2"/>
  <c r="BN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Z98" i="2" s="1"/>
  <c r="BO97" i="2"/>
  <c r="BM97" i="2"/>
  <c r="Y97" i="2"/>
  <c r="BN97" i="2" s="1"/>
  <c r="P97" i="2"/>
  <c r="BO96" i="2"/>
  <c r="BM96" i="2"/>
  <c r="Y96" i="2"/>
  <c r="P96" i="2"/>
  <c r="BO95" i="2"/>
  <c r="BM95" i="2"/>
  <c r="Y95" i="2"/>
  <c r="BN95" i="2" s="1"/>
  <c r="P95" i="2"/>
  <c r="X93" i="2"/>
  <c r="X92" i="2"/>
  <c r="BO91" i="2"/>
  <c r="BM91" i="2"/>
  <c r="Y91" i="2"/>
  <c r="BP91" i="2" s="1"/>
  <c r="P91" i="2"/>
  <c r="BO90" i="2"/>
  <c r="BM90" i="2"/>
  <c r="Z90" i="2"/>
  <c r="Y90" i="2"/>
  <c r="BN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X71" i="2"/>
  <c r="X70" i="2"/>
  <c r="BO69" i="2"/>
  <c r="BM69" i="2"/>
  <c r="Y69" i="2"/>
  <c r="BN69" i="2" s="1"/>
  <c r="P69" i="2"/>
  <c r="BO68" i="2"/>
  <c r="BM68" i="2"/>
  <c r="Y68" i="2"/>
  <c r="P68" i="2"/>
  <c r="BP67" i="2"/>
  <c r="BO67" i="2"/>
  <c r="BN67" i="2"/>
  <c r="BM67" i="2"/>
  <c r="Z67" i="2"/>
  <c r="Y67" i="2"/>
  <c r="P67" i="2"/>
  <c r="BO66" i="2"/>
  <c r="BM66" i="2"/>
  <c r="Y66" i="2"/>
  <c r="BP66" i="2" s="1"/>
  <c r="P66" i="2"/>
  <c r="X64" i="2"/>
  <c r="X63" i="2"/>
  <c r="BO62" i="2"/>
  <c r="BM62" i="2"/>
  <c r="Y62" i="2"/>
  <c r="Z62" i="2" s="1"/>
  <c r="P62" i="2"/>
  <c r="BO61" i="2"/>
  <c r="BM61" i="2"/>
  <c r="Y61" i="2"/>
  <c r="P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Z57" i="2"/>
  <c r="Y57" i="2"/>
  <c r="P57" i="2"/>
  <c r="X54" i="2"/>
  <c r="X53" i="2"/>
  <c r="BO52" i="2"/>
  <c r="BM52" i="2"/>
  <c r="Y52" i="2"/>
  <c r="P52" i="2"/>
  <c r="BO51" i="2"/>
  <c r="BM51" i="2"/>
  <c r="Y51" i="2"/>
  <c r="P51" i="2"/>
  <c r="BO50" i="2"/>
  <c r="BM50" i="2"/>
  <c r="Y50" i="2"/>
  <c r="P50" i="2"/>
  <c r="BO49" i="2"/>
  <c r="BM49" i="2"/>
  <c r="Y49" i="2"/>
  <c r="BN49" i="2" s="1"/>
  <c r="P49" i="2"/>
  <c r="X45" i="2"/>
  <c r="X44" i="2"/>
  <c r="BO43" i="2"/>
  <c r="BM43" i="2"/>
  <c r="Y43" i="2"/>
  <c r="Y45" i="2" s="1"/>
  <c r="P43" i="2"/>
  <c r="X39" i="2"/>
  <c r="X38" i="2"/>
  <c r="BO37" i="2"/>
  <c r="BM37" i="2"/>
  <c r="Y37" i="2"/>
  <c r="BN37" i="2" s="1"/>
  <c r="P37" i="2"/>
  <c r="X35" i="2"/>
  <c r="X34" i="2"/>
  <c r="BO33" i="2"/>
  <c r="BM33" i="2"/>
  <c r="Y33" i="2"/>
  <c r="Z33" i="2" s="1"/>
  <c r="P33" i="2"/>
  <c r="BO32" i="2"/>
  <c r="BM32" i="2"/>
  <c r="Y32" i="2"/>
  <c r="BN32" i="2" s="1"/>
  <c r="P32" i="2"/>
  <c r="BO31" i="2"/>
  <c r="BN31" i="2"/>
  <c r="BM31" i="2"/>
  <c r="Z31" i="2"/>
  <c r="Y31" i="2"/>
  <c r="BP31" i="2" s="1"/>
  <c r="P31" i="2"/>
  <c r="BO30" i="2"/>
  <c r="BM30" i="2"/>
  <c r="Z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BN23" i="2" l="1"/>
  <c r="BN28" i="2"/>
  <c r="BN98" i="2"/>
  <c r="BP106" i="2"/>
  <c r="BN185" i="2"/>
  <c r="BP189" i="2"/>
  <c r="BP251" i="2"/>
  <c r="Y257" i="2"/>
  <c r="BP299" i="2"/>
  <c r="BN314" i="2"/>
  <c r="BN331" i="2"/>
  <c r="Y387" i="2"/>
  <c r="BP401" i="2"/>
  <c r="BP413" i="2"/>
  <c r="BN426" i="2"/>
  <c r="BN481" i="2"/>
  <c r="Y24" i="2"/>
  <c r="BP30" i="2"/>
  <c r="BP90" i="2"/>
  <c r="BN104" i="2"/>
  <c r="Z106" i="2"/>
  <c r="Z107" i="2"/>
  <c r="BN107" i="2"/>
  <c r="Z113" i="2"/>
  <c r="Z136" i="2"/>
  <c r="Y143" i="2"/>
  <c r="Z159" i="2"/>
  <c r="Z183" i="2"/>
  <c r="BN187" i="2"/>
  <c r="Z189" i="2"/>
  <c r="Z190" i="2"/>
  <c r="BN190" i="2"/>
  <c r="Z206" i="2"/>
  <c r="BP212" i="2"/>
  <c r="Z229" i="2"/>
  <c r="BN231" i="2"/>
  <c r="Z233" i="2"/>
  <c r="Z236" i="2"/>
  <c r="BP240" i="2"/>
  <c r="Z251" i="2"/>
  <c r="Z283" i="2"/>
  <c r="Z299" i="2"/>
  <c r="Z300" i="2"/>
  <c r="Y301" i="2"/>
  <c r="Z304" i="2"/>
  <c r="BP315" i="2"/>
  <c r="BP316" i="2"/>
  <c r="BN327" i="2"/>
  <c r="Y335" i="2"/>
  <c r="BP333" i="2"/>
  <c r="BN358" i="2"/>
  <c r="BP371" i="2"/>
  <c r="U512" i="2"/>
  <c r="Y398" i="2"/>
  <c r="BN400" i="2"/>
  <c r="Z401" i="2"/>
  <c r="Z402" i="2"/>
  <c r="BN402" i="2"/>
  <c r="Z411" i="2"/>
  <c r="BN412" i="2"/>
  <c r="Z413" i="2"/>
  <c r="Z414" i="2"/>
  <c r="BN414" i="2"/>
  <c r="BN416" i="2"/>
  <c r="Y427" i="2"/>
  <c r="Z447" i="2"/>
  <c r="BN449" i="2"/>
  <c r="Z451" i="2"/>
  <c r="BN459" i="2"/>
  <c r="BN468" i="2"/>
  <c r="Y486" i="2"/>
  <c r="Z458" i="2"/>
  <c r="BN458" i="2"/>
  <c r="Z391" i="2"/>
  <c r="Z393" i="2" s="1"/>
  <c r="BP476" i="2"/>
  <c r="Z344" i="2"/>
  <c r="Z227" i="2"/>
  <c r="BP391" i="2"/>
  <c r="BP344" i="2"/>
  <c r="Z157" i="2"/>
  <c r="Z43" i="2"/>
  <c r="Z44" i="2" s="1"/>
  <c r="Z465" i="2"/>
  <c r="Z366" i="2"/>
  <c r="Z232" i="2"/>
  <c r="Z360" i="2"/>
  <c r="Z91" i="2"/>
  <c r="BN91" i="2"/>
  <c r="BP464" i="2"/>
  <c r="Z321" i="2"/>
  <c r="BN321" i="2"/>
  <c r="BN274" i="2"/>
  <c r="Z219" i="2"/>
  <c r="Z217" i="2"/>
  <c r="Z97" i="2"/>
  <c r="Z58" i="2"/>
  <c r="BN376" i="2"/>
  <c r="BN368" i="2"/>
  <c r="BP359" i="2"/>
  <c r="Y361" i="2"/>
  <c r="BN340" i="2"/>
  <c r="BP232" i="2"/>
  <c r="BN230" i="2"/>
  <c r="BP120" i="2"/>
  <c r="Z120" i="2"/>
  <c r="Z95" i="2"/>
  <c r="Y99" i="2"/>
  <c r="Y93" i="2"/>
  <c r="BN62" i="2"/>
  <c r="X506" i="2"/>
  <c r="Z118" i="2"/>
  <c r="Y123" i="2"/>
  <c r="BP119" i="2"/>
  <c r="H512" i="2"/>
  <c r="Y133" i="2"/>
  <c r="BN130" i="2"/>
  <c r="BP156" i="2"/>
  <c r="Y170" i="2"/>
  <c r="BN168" i="2"/>
  <c r="BP179" i="2"/>
  <c r="Z179" i="2"/>
  <c r="BP186" i="2"/>
  <c r="BN235" i="2"/>
  <c r="BP235" i="2"/>
  <c r="Z235" i="2"/>
  <c r="Z27" i="2"/>
  <c r="BP37" i="2"/>
  <c r="BP103" i="2"/>
  <c r="Z119" i="2"/>
  <c r="Z125" i="2"/>
  <c r="Z126" i="2" s="1"/>
  <c r="Z130" i="2"/>
  <c r="BP163" i="2"/>
  <c r="BN163" i="2"/>
  <c r="Z201" i="2"/>
  <c r="Z202" i="2" s="1"/>
  <c r="Y203" i="2"/>
  <c r="BP249" i="2"/>
  <c r="BN249" i="2"/>
  <c r="Z249" i="2"/>
  <c r="BN323" i="2"/>
  <c r="BP323" i="2"/>
  <c r="Z323" i="2"/>
  <c r="BP339" i="2"/>
  <c r="BN339" i="2"/>
  <c r="BN444" i="2"/>
  <c r="BP444" i="2"/>
  <c r="BN467" i="2"/>
  <c r="Z467" i="2"/>
  <c r="BN33" i="2"/>
  <c r="Y34" i="2"/>
  <c r="Z37" i="2"/>
  <c r="Z38" i="2" s="1"/>
  <c r="Z60" i="2"/>
  <c r="BN60" i="2"/>
  <c r="BN77" i="2"/>
  <c r="BP77" i="2"/>
  <c r="BP78" i="2"/>
  <c r="Z78" i="2"/>
  <c r="Z103" i="2"/>
  <c r="Z163" i="2"/>
  <c r="BN179" i="2"/>
  <c r="Z180" i="2"/>
  <c r="Z181" i="2"/>
  <c r="BN181" i="2"/>
  <c r="BN216" i="2"/>
  <c r="Y224" i="2"/>
  <c r="BP216" i="2"/>
  <c r="Z216" i="2"/>
  <c r="Y253" i="2"/>
  <c r="BN247" i="2"/>
  <c r="BN266" i="2"/>
  <c r="BP266" i="2"/>
  <c r="O512" i="2"/>
  <c r="BN282" i="2"/>
  <c r="BP282" i="2"/>
  <c r="Z282" i="2"/>
  <c r="Y355" i="2"/>
  <c r="Z351" i="2"/>
  <c r="BP448" i="2"/>
  <c r="Z448" i="2"/>
  <c r="BP489" i="2"/>
  <c r="Z489" i="2"/>
  <c r="Z490" i="2" s="1"/>
  <c r="BP27" i="2"/>
  <c r="BP33" i="2"/>
  <c r="Y75" i="2"/>
  <c r="BN73" i="2"/>
  <c r="BP112" i="2"/>
  <c r="BN112" i="2"/>
  <c r="BP160" i="2"/>
  <c r="BN160" i="2"/>
  <c r="BP162" i="2"/>
  <c r="Z162" i="2"/>
  <c r="Z207" i="2"/>
  <c r="BN207" i="2"/>
  <c r="BP221" i="2"/>
  <c r="BN221" i="2"/>
  <c r="Z260" i="2"/>
  <c r="Z261" i="2" s="1"/>
  <c r="Y262" i="2"/>
  <c r="BP292" i="2"/>
  <c r="BN292" i="2"/>
  <c r="X504" i="2"/>
  <c r="Y39" i="2"/>
  <c r="Z51" i="2"/>
  <c r="BN51" i="2"/>
  <c r="BP68" i="2"/>
  <c r="Z68" i="2"/>
  <c r="Y100" i="2"/>
  <c r="BN96" i="2"/>
  <c r="BP114" i="2"/>
  <c r="BN114" i="2"/>
  <c r="Y122" i="2"/>
  <c r="Y126" i="2"/>
  <c r="Z156" i="2"/>
  <c r="Z186" i="2"/>
  <c r="BN326" i="2"/>
  <c r="BP326" i="2"/>
  <c r="BP338" i="2"/>
  <c r="Y342" i="2"/>
  <c r="BN353" i="2"/>
  <c r="BP353" i="2"/>
  <c r="Z353" i="2"/>
  <c r="BP23" i="2"/>
  <c r="Y38" i="2"/>
  <c r="C512" i="2"/>
  <c r="Y44" i="2"/>
  <c r="BN43" i="2"/>
  <c r="BP43" i="2"/>
  <c r="E512" i="2"/>
  <c r="BN57" i="2"/>
  <c r="BP57" i="2"/>
  <c r="BN68" i="2"/>
  <c r="BP135" i="2"/>
  <c r="BN135" i="2"/>
  <c r="Z147" i="2"/>
  <c r="Z148" i="2" s="1"/>
  <c r="BN147" i="2"/>
  <c r="Y165" i="2"/>
  <c r="BP155" i="2"/>
  <c r="Z155" i="2"/>
  <c r="BP158" i="2"/>
  <c r="BN158" i="2"/>
  <c r="BP197" i="2"/>
  <c r="BN197" i="2"/>
  <c r="BP223" i="2"/>
  <c r="BN223" i="2"/>
  <c r="Z223" i="2"/>
  <c r="Z276" i="2"/>
  <c r="BN276" i="2"/>
  <c r="BN312" i="2"/>
  <c r="Z312" i="2"/>
  <c r="BN347" i="2"/>
  <c r="Z347" i="2"/>
  <c r="Z370" i="2"/>
  <c r="BN370" i="2"/>
  <c r="BN450" i="2"/>
  <c r="BP450" i="2"/>
  <c r="Z450" i="2"/>
  <c r="BN469" i="2"/>
  <c r="BP469" i="2"/>
  <c r="Z469" i="2"/>
  <c r="BN58" i="2"/>
  <c r="Y84" i="2"/>
  <c r="BP82" i="2"/>
  <c r="F512" i="2"/>
  <c r="BP97" i="2"/>
  <c r="BP113" i="2"/>
  <c r="BP121" i="2"/>
  <c r="BP136" i="2"/>
  <c r="BP140" i="2"/>
  <c r="BP159" i="2"/>
  <c r="Y199" i="2"/>
  <c r="Y198" i="2"/>
  <c r="Y225" i="2"/>
  <c r="BP219" i="2"/>
  <c r="BN220" i="2"/>
  <c r="BP227" i="2"/>
  <c r="BN233" i="2"/>
  <c r="Y242" i="2"/>
  <c r="BN246" i="2"/>
  <c r="BN256" i="2"/>
  <c r="BN265" i="2"/>
  <c r="BN300" i="2"/>
  <c r="BN325" i="2"/>
  <c r="BP382" i="2"/>
  <c r="BP386" i="2"/>
  <c r="Y388" i="2"/>
  <c r="Y397" i="2"/>
  <c r="Y403" i="2"/>
  <c r="Y418" i="2"/>
  <c r="BP421" i="2"/>
  <c r="W512" i="2"/>
  <c r="Y433" i="2"/>
  <c r="BP430" i="2"/>
  <c r="BN432" i="2"/>
  <c r="BP453" i="2"/>
  <c r="BP457" i="2"/>
  <c r="Y483" i="2"/>
  <c r="D512" i="2"/>
  <c r="BP49" i="2"/>
  <c r="BP95" i="2"/>
  <c r="BP98" i="2"/>
  <c r="Y109" i="2"/>
  <c r="BP111" i="2"/>
  <c r="Z142" i="2"/>
  <c r="BP157" i="2"/>
  <c r="BP196" i="2"/>
  <c r="BP236" i="2"/>
  <c r="Y258" i="2"/>
  <c r="Z274" i="2"/>
  <c r="BN283" i="2"/>
  <c r="Y293" i="2"/>
  <c r="BP290" i="2"/>
  <c r="Y302" i="2"/>
  <c r="Z327" i="2"/>
  <c r="Z331" i="2"/>
  <c r="Z340" i="2"/>
  <c r="Y349" i="2"/>
  <c r="BP345" i="2"/>
  <c r="BN366" i="2"/>
  <c r="Z368" i="2"/>
  <c r="Z376" i="2"/>
  <c r="Z382" i="2"/>
  <c r="Z386" i="2"/>
  <c r="Z387" i="2" s="1"/>
  <c r="BN391" i="2"/>
  <c r="Y393" i="2"/>
  <c r="Z400" i="2"/>
  <c r="Z403" i="2" s="1"/>
  <c r="BN401" i="2"/>
  <c r="Z412" i="2"/>
  <c r="Z415" i="2"/>
  <c r="Z421" i="2"/>
  <c r="Z426" i="2"/>
  <c r="Z427" i="2" s="1"/>
  <c r="BP426" i="2"/>
  <c r="Z430" i="2"/>
  <c r="Z445" i="2"/>
  <c r="BP447" i="2"/>
  <c r="Z449" i="2"/>
  <c r="Z453" i="2"/>
  <c r="Z457" i="2"/>
  <c r="Z459" i="2"/>
  <c r="Z481" i="2"/>
  <c r="Z482" i="2" s="1"/>
  <c r="BP485" i="2"/>
  <c r="Y487" i="2"/>
  <c r="BN493" i="2"/>
  <c r="BP217" i="2"/>
  <c r="Y237" i="2"/>
  <c r="BP229" i="2"/>
  <c r="BP304" i="2"/>
  <c r="R512" i="2"/>
  <c r="BP311" i="2"/>
  <c r="BP411" i="2"/>
  <c r="BP451" i="2"/>
  <c r="Z468" i="2"/>
  <c r="Z477" i="2"/>
  <c r="Y482" i="2"/>
  <c r="Z61" i="2"/>
  <c r="BP61" i="2"/>
  <c r="BN61" i="2"/>
  <c r="Y63" i="2"/>
  <c r="F10" i="2"/>
  <c r="A10" i="2"/>
  <c r="BP50" i="2"/>
  <c r="Y53" i="2"/>
  <c r="BN50" i="2"/>
  <c r="Z50" i="2"/>
  <c r="F9" i="2"/>
  <c r="H9" i="2"/>
  <c r="Z208" i="2"/>
  <c r="X502" i="2"/>
  <c r="X503" i="2"/>
  <c r="BP52" i="2"/>
  <c r="BN52" i="2"/>
  <c r="Z52" i="2"/>
  <c r="BP83" i="2"/>
  <c r="Z83" i="2"/>
  <c r="BN83" i="2"/>
  <c r="Y85" i="2"/>
  <c r="Y116" i="2"/>
  <c r="BP29" i="2"/>
  <c r="Y54" i="2"/>
  <c r="Y79" i="2"/>
  <c r="BP22" i="2"/>
  <c r="BP32" i="2"/>
  <c r="BP59" i="2"/>
  <c r="BP69" i="2"/>
  <c r="Y80" i="2"/>
  <c r="BN118" i="2"/>
  <c r="BP131" i="2"/>
  <c r="BN141" i="2"/>
  <c r="BP164" i="2"/>
  <c r="BP178" i="2"/>
  <c r="BP191" i="2"/>
  <c r="BN201" i="2"/>
  <c r="BP234" i="2"/>
  <c r="Y238" i="2"/>
  <c r="BP250" i="2"/>
  <c r="BN260" i="2"/>
  <c r="BP273" i="2"/>
  <c r="BP284" i="2"/>
  <c r="BP322" i="2"/>
  <c r="BP332" i="2"/>
  <c r="BP367" i="2"/>
  <c r="BP377" i="2"/>
  <c r="Y423" i="2"/>
  <c r="BN448" i="2"/>
  <c r="BP494" i="2"/>
  <c r="I512" i="2"/>
  <c r="Y243" i="2"/>
  <c r="Y254" i="2"/>
  <c r="Y318" i="2"/>
  <c r="Y328" i="2"/>
  <c r="Y336" i="2"/>
  <c r="Y373" i="2"/>
  <c r="Y394" i="2"/>
  <c r="BN443" i="2"/>
  <c r="BN463" i="2"/>
  <c r="BN475" i="2"/>
  <c r="Y478" i="2"/>
  <c r="Z485" i="2"/>
  <c r="Z486" i="2" s="1"/>
  <c r="Y490" i="2"/>
  <c r="J512" i="2"/>
  <c r="Z174" i="2"/>
  <c r="Z175" i="2" s="1"/>
  <c r="Z184" i="2"/>
  <c r="Y192" i="2"/>
  <c r="BP201" i="2"/>
  <c r="BP260" i="2"/>
  <c r="Z268" i="2"/>
  <c r="Y294" i="2"/>
  <c r="Z310" i="2"/>
  <c r="Y378" i="2"/>
  <c r="Z410" i="2"/>
  <c r="Z420" i="2"/>
  <c r="Z422" i="2" s="1"/>
  <c r="Y434" i="2"/>
  <c r="Z446" i="2"/>
  <c r="Z466" i="2"/>
  <c r="Y495" i="2"/>
  <c r="K512" i="2"/>
  <c r="Y70" i="2"/>
  <c r="Z77" i="2"/>
  <c r="Z79" i="2" s="1"/>
  <c r="BP118" i="2"/>
  <c r="Y132" i="2"/>
  <c r="BP141" i="2"/>
  <c r="Y153" i="2"/>
  <c r="Z49" i="2"/>
  <c r="BP51" i="2"/>
  <c r="BP62" i="2"/>
  <c r="Z82" i="2"/>
  <c r="Z84" i="2" s="1"/>
  <c r="Y137" i="2"/>
  <c r="BP147" i="2"/>
  <c r="BP181" i="2"/>
  <c r="BP207" i="2"/>
  <c r="BP265" i="2"/>
  <c r="BP276" i="2"/>
  <c r="BN304" i="2"/>
  <c r="BP325" i="2"/>
  <c r="BN345" i="2"/>
  <c r="Y348" i="2"/>
  <c r="BP358" i="2"/>
  <c r="BP370" i="2"/>
  <c r="Y383" i="2"/>
  <c r="BN415" i="2"/>
  <c r="BP443" i="2"/>
  <c r="Y454" i="2"/>
  <c r="BP463" i="2"/>
  <c r="BP475" i="2"/>
  <c r="L512" i="2"/>
  <c r="Z28" i="2"/>
  <c r="Z88" i="2"/>
  <c r="Z104" i="2"/>
  <c r="Z114" i="2"/>
  <c r="Y127" i="2"/>
  <c r="Y142" i="2"/>
  <c r="Z160" i="2"/>
  <c r="BN174" i="2"/>
  <c r="BN184" i="2"/>
  <c r="Z187" i="2"/>
  <c r="Z197" i="2"/>
  <c r="Y202" i="2"/>
  <c r="Z220" i="2"/>
  <c r="Z230" i="2"/>
  <c r="Z246" i="2"/>
  <c r="Z256" i="2"/>
  <c r="Z257" i="2" s="1"/>
  <c r="Y261" i="2"/>
  <c r="BN268" i="2"/>
  <c r="Z291" i="2"/>
  <c r="Z297" i="2"/>
  <c r="BN310" i="2"/>
  <c r="Z313" i="2"/>
  <c r="Y319" i="2"/>
  <c r="Y329" i="2"/>
  <c r="Z338" i="2"/>
  <c r="Y362" i="2"/>
  <c r="Y374" i="2"/>
  <c r="Z396" i="2"/>
  <c r="Z397" i="2" s="1"/>
  <c r="BN410" i="2"/>
  <c r="BN420" i="2"/>
  <c r="Z431" i="2"/>
  <c r="BN446" i="2"/>
  <c r="BN466" i="2"/>
  <c r="Y479" i="2"/>
  <c r="Y491" i="2"/>
  <c r="M512" i="2"/>
  <c r="Y71" i="2"/>
  <c r="Y148" i="2"/>
  <c r="Y166" i="2"/>
  <c r="Y193" i="2"/>
  <c r="Y208" i="2"/>
  <c r="Y379" i="2"/>
  <c r="Y496" i="2"/>
  <c r="Y138" i="2"/>
  <c r="BP174" i="2"/>
  <c r="Z182" i="2"/>
  <c r="Y213" i="2"/>
  <c r="Z266" i="2"/>
  <c r="Z277" i="2"/>
  <c r="BN291" i="2"/>
  <c r="BN297" i="2"/>
  <c r="BP310" i="2"/>
  <c r="BN313" i="2"/>
  <c r="Z316" i="2"/>
  <c r="Z326" i="2"/>
  <c r="BN338" i="2"/>
  <c r="Y341" i="2"/>
  <c r="Z359" i="2"/>
  <c r="Z361" i="2" s="1"/>
  <c r="Z371" i="2"/>
  <c r="Y384" i="2"/>
  <c r="BN396" i="2"/>
  <c r="Z408" i="2"/>
  <c r="BP420" i="2"/>
  <c r="BN431" i="2"/>
  <c r="Z444" i="2"/>
  <c r="Y455" i="2"/>
  <c r="Z464" i="2"/>
  <c r="Z476" i="2"/>
  <c r="Z478" i="2" s="1"/>
  <c r="P512" i="2"/>
  <c r="Q512" i="2"/>
  <c r="Y64" i="2"/>
  <c r="Z73" i="2"/>
  <c r="Z74" i="2" s="1"/>
  <c r="BP88" i="2"/>
  <c r="Z96" i="2"/>
  <c r="Z99" i="2" s="1"/>
  <c r="Z112" i="2"/>
  <c r="Z135" i="2"/>
  <c r="Z137" i="2" s="1"/>
  <c r="Y149" i="2"/>
  <c r="Z158" i="2"/>
  <c r="Z168" i="2"/>
  <c r="Z169" i="2" s="1"/>
  <c r="Y175" i="2"/>
  <c r="Z185" i="2"/>
  <c r="Z195" i="2"/>
  <c r="Z198" i="2" s="1"/>
  <c r="Y209" i="2"/>
  <c r="Z218" i="2"/>
  <c r="Z228" i="2"/>
  <c r="Y269" i="2"/>
  <c r="Z305" i="2"/>
  <c r="Z306" i="2" s="1"/>
  <c r="Z346" i="2"/>
  <c r="Z381" i="2"/>
  <c r="BN408" i="2"/>
  <c r="Z416" i="2"/>
  <c r="Z452" i="2"/>
  <c r="Z499" i="2"/>
  <c r="Z500" i="2" s="1"/>
  <c r="Y214" i="2"/>
  <c r="Y286" i="2"/>
  <c r="S512" i="2"/>
  <c r="BN218" i="2"/>
  <c r="BN228" i="2"/>
  <c r="Z241" i="2"/>
  <c r="Z242" i="2" s="1"/>
  <c r="Z252" i="2"/>
  <c r="Z264" i="2"/>
  <c r="Z275" i="2"/>
  <c r="BN305" i="2"/>
  <c r="Z324" i="2"/>
  <c r="Z334" i="2"/>
  <c r="BN346" i="2"/>
  <c r="Z369" i="2"/>
  <c r="BN381" i="2"/>
  <c r="BN452" i="2"/>
  <c r="BN499" i="2"/>
  <c r="T512" i="2"/>
  <c r="BP130" i="2"/>
  <c r="Z151" i="2"/>
  <c r="Z152" i="2" s="1"/>
  <c r="Z161" i="2"/>
  <c r="Z188" i="2"/>
  <c r="Z211" i="2"/>
  <c r="Z213" i="2" s="1"/>
  <c r="Z221" i="2"/>
  <c r="Z231" i="2"/>
  <c r="Z247" i="2"/>
  <c r="Y270" i="2"/>
  <c r="Z292" i="2"/>
  <c r="Z298" i="2"/>
  <c r="Z314" i="2"/>
  <c r="Z339" i="2"/>
  <c r="BN351" i="2"/>
  <c r="Y354" i="2"/>
  <c r="Z432" i="2"/>
  <c r="Y438" i="2"/>
  <c r="BN457" i="2"/>
  <c r="Y460" i="2"/>
  <c r="Y470" i="2"/>
  <c r="B512" i="2"/>
  <c r="Z29" i="2"/>
  <c r="Y25" i="2"/>
  <c r="Y35" i="2"/>
  <c r="BP73" i="2"/>
  <c r="BP96" i="2"/>
  <c r="BN146" i="2"/>
  <c r="BP168" i="2"/>
  <c r="BN180" i="2"/>
  <c r="BP195" i="2"/>
  <c r="BN206" i="2"/>
  <c r="BP218" i="2"/>
  <c r="BP228" i="2"/>
  <c r="BN241" i="2"/>
  <c r="BN252" i="2"/>
  <c r="BN264" i="2"/>
  <c r="BN275" i="2"/>
  <c r="Y278" i="2"/>
  <c r="Y287" i="2"/>
  <c r="BN324" i="2"/>
  <c r="BN334" i="2"/>
  <c r="BN369" i="2"/>
  <c r="BN392" i="2"/>
  <c r="BP499" i="2"/>
  <c r="V512" i="2"/>
  <c r="Z66" i="2"/>
  <c r="Z89" i="2"/>
  <c r="Y92" i="2"/>
  <c r="BN188" i="2"/>
  <c r="BN211" i="2"/>
  <c r="Z22" i="2"/>
  <c r="Z24" i="2" s="1"/>
  <c r="Z32" i="2"/>
  <c r="Z59" i="2"/>
  <c r="Z63" i="2" s="1"/>
  <c r="Z69" i="2"/>
  <c r="Y74" i="2"/>
  <c r="Z131" i="2"/>
  <c r="Z164" i="2"/>
  <c r="Y169" i="2"/>
  <c r="Z178" i="2"/>
  <c r="Z191" i="2"/>
  <c r="Z234" i="2"/>
  <c r="BP241" i="2"/>
  <c r="Z250" i="2"/>
  <c r="Z273" i="2"/>
  <c r="Z284" i="2"/>
  <c r="Y306" i="2"/>
  <c r="Z322" i="2"/>
  <c r="Z332" i="2"/>
  <c r="Z367" i="2"/>
  <c r="Z377" i="2"/>
  <c r="Z378" i="2" s="1"/>
  <c r="BP392" i="2"/>
  <c r="Y417" i="2"/>
  <c r="Y439" i="2"/>
  <c r="Y471" i="2"/>
  <c r="Z494" i="2"/>
  <c r="Z495" i="2" s="1"/>
  <c r="Y500" i="2"/>
  <c r="BN89" i="2"/>
  <c r="BN125" i="2"/>
  <c r="BP161" i="2"/>
  <c r="BN183" i="2"/>
  <c r="BP247" i="2"/>
  <c r="Y279" i="2"/>
  <c r="BP298" i="2"/>
  <c r="BN360" i="2"/>
  <c r="BN372" i="2"/>
  <c r="BN409" i="2"/>
  <c r="BN445" i="2"/>
  <c r="BN465" i="2"/>
  <c r="BN477" i="2"/>
  <c r="BN489" i="2"/>
  <c r="Y512" i="2"/>
  <c r="BN66" i="2"/>
  <c r="BN105" i="2"/>
  <c r="BN151" i="2"/>
  <c r="BP89" i="2"/>
  <c r="G512" i="2"/>
  <c r="Z512" i="2"/>
  <c r="Z105" i="2"/>
  <c r="Y108" i="2"/>
  <c r="BP105" i="2"/>
  <c r="BP151" i="2"/>
  <c r="BN332" i="2"/>
  <c r="BN290" i="2"/>
  <c r="BN430" i="2"/>
  <c r="Y501" i="2"/>
  <c r="Z301" i="2" l="1"/>
  <c r="Z132" i="2"/>
  <c r="Z383" i="2"/>
  <c r="Z335" i="2"/>
  <c r="X505" i="2"/>
  <c r="Z470" i="2"/>
  <c r="Z454" i="2"/>
  <c r="Z341" i="2"/>
  <c r="Z237" i="2"/>
  <c r="Z286" i="2"/>
  <c r="Z348" i="2"/>
  <c r="Y506" i="2"/>
  <c r="Y503" i="2"/>
  <c r="Z278" i="2"/>
  <c r="Z115" i="2"/>
  <c r="Z293" i="2"/>
  <c r="Z108" i="2"/>
  <c r="Z460" i="2"/>
  <c r="Z354" i="2"/>
  <c r="Z373" i="2"/>
  <c r="Z224" i="2"/>
  <c r="Z328" i="2"/>
  <c r="Z165" i="2"/>
  <c r="Z417" i="2"/>
  <c r="Z92" i="2"/>
  <c r="Z122" i="2"/>
  <c r="Y504" i="2"/>
  <c r="Y502" i="2"/>
  <c r="Z192" i="2"/>
  <c r="Z34" i="2"/>
  <c r="Z318" i="2"/>
  <c r="Z253" i="2"/>
  <c r="Z53" i="2"/>
  <c r="Z433" i="2"/>
  <c r="Z70" i="2"/>
  <c r="Z269" i="2"/>
  <c r="Y505" i="2" l="1"/>
  <c r="Z507" i="2"/>
</calcChain>
</file>

<file path=xl/sharedStrings.xml><?xml version="1.0" encoding="utf-8"?>
<sst xmlns="http://schemas.openxmlformats.org/spreadsheetml/2006/main" count="3741" uniqueCount="802">
  <si>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</si>
  <si>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</si>
  <si>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</si>
  <si>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</si>
  <si>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</si>
  <si>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</si>
  <si>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</si>
  <si>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</si>
  <si>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</si>
  <si>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</si>
  <si>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</si>
  <si>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</si>
  <si>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</si>
  <si>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</si>
  <si>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</si>
  <si>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</si>
  <si>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</si>
  <si>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</si>
  <si>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</si>
  <si>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</si>
  <si>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</si>
  <si>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</si>
  <si>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</si>
  <si>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</si>
  <si>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</si>
  <si>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</si>
  <si>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</si>
  <si>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</si>
  <si>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</si>
  <si>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</si>
  <si>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</si>
  <si>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</si>
  <si>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</si>
  <si>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</si>
  <si>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</si>
  <si>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</si>
  <si>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</si>
  <si>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</si>
  <si>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</si>
  <si>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</si>
  <si>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</si>
  <si>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</si>
  <si>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</si>
  <si>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</si>
  <si>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</si>
  <si>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</si>
  <si>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</si>
  <si>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</si>
  <si>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</si>
  <si>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</si>
  <si>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</si>
  <si>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</si>
  <si>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</si>
  <si>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</si>
  <si>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</si>
  <si>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</si>
  <si>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</si>
  <si>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</si>
  <si>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</si>
  <si>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</si>
  <si>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</si>
  <si>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</si>
  <si>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</si>
  <si>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</si>
  <si>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</si>
  <si>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</si>
  <si>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</si>
  <si>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</si>
  <si>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06.04.2026</t>
  </si>
  <si>
    <t>01.04.2026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</si>
  <si>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</si>
  <si>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</si>
  <si>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</si>
  <si>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</si>
  <si>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</si>
  <si>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</si>
  <si>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</si>
  <si>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</si>
  <si>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</si>
  <si>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</si>
  <si>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</si>
  <si>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</si>
  <si>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</si>
  <si>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</si>
  <si>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</si>
  <si>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</si>
  <si>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</si>
  <si>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</si>
  <si>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</si>
  <si>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</si>
  <si>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</si>
  <si>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</si>
  <si>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</si>
  <si>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</si>
  <si>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</si>
  <si>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</si>
  <si>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</si>
  <si>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</si>
  <si>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</si>
  <si>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</si>
  <si>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</si>
  <si>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</si>
  <si>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</si>
  <si>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</si>
  <si>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</si>
  <si>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</si>
  <si>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</si>
  <si>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</si>
  <si>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</si>
  <si>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</si>
  <si>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</si>
  <si>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</si>
  <si>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</si>
  <si>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</si>
  <si>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</si>
  <si>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</si>
  <si>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</si>
  <si>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</si>
  <si>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</si>
  <si>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</si>
  <si>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</si>
  <si>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</si>
  <si>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</si>
  <si>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</si>
  <si>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</si>
  <si>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</si>
  <si>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</si>
  <si>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</si>
  <si>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</si>
  <si>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</si>
  <si>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</si>
  <si>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</si>
  <si>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</si>
  <si>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</si>
  <si>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</si>
  <si>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</si>
  <si>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</si>
  <si>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</si>
  <si>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</si>
  <si>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</si>
  <si>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</si>
  <si>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</si>
  <si>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</si>
  <si>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</si>
  <si>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</si>
  <si>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</si>
  <si>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</si>
  <si>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</si>
  <si>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</si>
  <si>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</si>
  <si>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</si>
  <si>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</si>
  <si>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</si>
  <si>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</si>
  <si>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</si>
  <si>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</si>
  <si>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</si>
  <si>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</si>
  <si>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</si>
  <si>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</si>
  <si>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</si>
  <si>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</si>
  <si>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</si>
  <si>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</si>
  <si>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</si>
  <si>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</si>
  <si>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</si>
  <si>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</si>
  <si>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</si>
  <si>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</si>
  <si>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</si>
  <si>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</si>
  <si>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</si>
  <si>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</si>
  <si>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</si>
  <si>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</si>
  <si>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</si>
  <si>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</si>
  <si>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</si>
  <si>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</si>
  <si>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</si>
  <si>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</si>
  <si>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</si>
  <si>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</si>
  <si>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</si>
  <si>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</si>
  <si>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</si>
  <si>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</si>
  <si>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</si>
  <si>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</si>
  <si>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</si>
  <si>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</si>
  <si>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</si>
  <si>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</si>
  <si>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</si>
  <si>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</si>
  <si>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</si>
  <si>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</si>
  <si>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</si>
  <si>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</si>
  <si>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</si>
  <si>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</si>
  <si>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</si>
  <si>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</si>
  <si>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</si>
  <si>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</si>
  <si>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</si>
  <si>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</si>
  <si>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</si>
  <si>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</si>
  <si>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</si>
  <si>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</si>
  <si>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</si>
  <si>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</si>
  <si>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</si>
  <si>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</si>
  <si>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</si>
  <si>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</si>
  <si>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</si>
  <si>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</si>
  <si>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</si>
  <si>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</si>
  <si>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</si>
  <si>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</si>
  <si>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</si>
  <si>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</si>
  <si>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</si>
  <si>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</si>
  <si>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</si>
  <si>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</si>
  <si>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</si>
  <si>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</si>
  <si>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</si>
  <si>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</si>
  <si>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</si>
  <si>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</si>
  <si>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</si>
  <si>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</si>
  <si>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</si>
  <si>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</si>
  <si>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</si>
  <si>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</si>
  <si>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</si>
  <si>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</si>
  <si>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</si>
  <si>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</si>
  <si>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</si>
  <si>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</si>
  <si>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</si>
  <si>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</si>
  <si>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</si>
  <si>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</si>
  <si>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</si>
  <si>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</si>
  <si>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</si>
  <si>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</si>
  <si>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</si>
  <si>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</si>
  <si>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</si>
  <si>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</si>
  <si>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</si>
  <si>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</si>
  <si>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</si>
  <si>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</si>
  <si>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</si>
  <si>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</si>
  <si>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</si>
  <si>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</si>
  <si>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</si>
  <si>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</si>
  <si>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</si>
  <si>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</si>
  <si>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</si>
  <si>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</si>
  <si>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</si>
  <si>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</si>
  <si>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</si>
  <si>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</si>
  <si>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</si>
  <si>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</si>
  <si>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</si>
  <si>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</si>
  <si>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</si>
  <si>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</si>
  <si>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</si>
  <si>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</si>
  <si>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</si>
  <si>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</si>
  <si>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</si>
  <si>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</si>
  <si>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</si>
  <si>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</si>
  <si>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</si>
  <si>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</si>
  <si>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</si>
  <si>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</si>
  <si>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</si>
  <si>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</si>
  <si>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</si>
  <si>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</si>
  <si>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</si>
  <si>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</si>
  <si>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</si>
  <si>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</si>
  <si>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</si>
  <si>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</si>
  <si>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</si>
  <si>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</si>
  <si>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</si>
  <si>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</si>
  <si>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</si>
  <si>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</si>
  <si>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</si>
  <si>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</si>
  <si>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</si>
  <si>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</si>
  <si>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</si>
  <si>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</si>
  <si>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</si>
  <si>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Копченые колбасы «Сервелат Мясорубский Выдержанный» Фикс.вес 0,3 фиброуз ТМ «Стародворье»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</si>
  <si>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</si>
  <si>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</si>
  <si>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</si>
  <si>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</si>
  <si>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</si>
  <si>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</si>
  <si>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</si>
  <si>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</si>
  <si>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</si>
  <si>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</si>
  <si>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</si>
  <si>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</si>
  <si>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</si>
  <si>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</si>
  <si>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</si>
  <si>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</si>
  <si>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</si>
  <si>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</si>
  <si>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</si>
  <si>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</si>
  <si>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</si>
  <si>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</si>
  <si>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</si>
  <si>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</si>
  <si>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</si>
  <si>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</si>
  <si>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</si>
  <si>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</si>
  <si>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</si>
  <si>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</si>
  <si>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</si>
  <si>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</si>
  <si>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</si>
  <si>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</si>
  <si>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</si>
  <si>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</si>
  <si>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</si>
  <si>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</si>
  <si>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</si>
  <si>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</si>
  <si>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</si>
  <si>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</si>
  <si>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</si>
  <si>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</si>
  <si>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</si>
  <si>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</si>
  <si>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</si>
  <si>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</si>
  <si>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</si>
  <si>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</si>
  <si>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</si>
  <si>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</si>
  <si>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</si>
  <si>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</si>
  <si>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</si>
  <si>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</si>
  <si>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</si>
  <si>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</si>
  <si>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</si>
  <si>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</si>
  <si>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</si>
  <si>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</si>
  <si>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</si>
  <si>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</si>
  <si>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</si>
  <si>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</si>
  <si>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</si>
  <si>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</si>
  <si>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</si>
  <si>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</si>
  <si>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</si>
  <si>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</si>
  <si>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</si>
  <si>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</si>
  <si>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</si>
  <si>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</si>
  <si>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</si>
  <si>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</si>
  <si>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</si>
  <si>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</si>
  <si>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</si>
  <si>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</si>
  <si>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</si>
  <si>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</si>
  <si>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</si>
  <si>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</si>
  <si>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Сосиски «Сочинки со сливками» Фикс.вес 0,4 п/а мгс ТМ «Стародворье»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</si>
  <si>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</si>
  <si>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</si>
  <si>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</si>
  <si>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</si>
  <si>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</si>
  <si>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</si>
  <si>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</si>
  <si>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</si>
  <si>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</si>
  <si>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</si>
  <si>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</si>
  <si>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</si>
  <si>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</si>
  <si>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</si>
  <si>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</si>
  <si>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</si>
  <si>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</si>
  <si>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</si>
  <si>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</si>
  <si>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</si>
  <si>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</si>
  <si>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</si>
  <si>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</si>
  <si>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</si>
  <si>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</si>
  <si>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</si>
  <si>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</si>
  <si>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</si>
  <si>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</si>
  <si>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</si>
  <si>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</si>
  <si>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</si>
  <si>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</si>
  <si>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</si>
  <si>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</si>
  <si>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</si>
  <si>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</si>
  <si>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</si>
  <si>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</si>
  <si>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</si>
  <si>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</si>
  <si>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</si>
  <si>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</si>
  <si>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</si>
  <si>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</si>
  <si>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</si>
  <si>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</si>
  <si>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</si>
  <si>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</si>
  <si>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</si>
  <si>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</si>
  <si>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</si>
  <si>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</si>
  <si>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</si>
  <si>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</si>
  <si>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</si>
  <si>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</si>
  <si>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</si>
  <si>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</si>
  <si>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</si>
  <si>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</si>
  <si>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</si>
  <si>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</si>
  <si>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</si>
  <si>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</si>
  <si>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</si>
  <si>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</si>
  <si>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</si>
  <si>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</si>
  <si>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</si>
  <si>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</si>
  <si>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</si>
  <si>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</si>
  <si>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</si>
  <si>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</si>
  <si>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</si>
  <si>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</si>
  <si>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</si>
  <si>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</si>
  <si>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</si>
  <si>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</si>
  <si>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</si>
  <si>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</si>
  <si>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</si>
  <si>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</si>
  <si>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Копченые колбасы «Марочная» Фикс.вес 0,35 фиброуз срез ТМ «Стародворье»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</si>
  <si>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</si>
  <si>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</si>
  <si>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</si>
  <si>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</si>
  <si>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</si>
  <si>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</si>
  <si>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</si>
  <si>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</si>
  <si>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</si>
  <si>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</si>
  <si>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</si>
  <si>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</si>
  <si>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</si>
  <si>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</si>
  <si>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</si>
  <si>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</si>
  <si>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</si>
  <si>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</si>
  <si>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</si>
  <si>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SU003394</t>
  </si>
  <si>
    <t>P004213</t>
  </si>
  <si>
    <t>ЕАЭС N RU Д-RU.РА01.В.51365/26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</si>
  <si>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</si>
  <si>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</si>
  <si>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</si>
  <si>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</si>
  <si>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</si>
  <si>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</si>
  <si>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</si>
  <si>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</si>
  <si>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</si>
  <si>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Д-RU.РА04.В.94346/24</t>
  </si>
  <si>
    <t>SU003395</t>
  </si>
  <si>
    <t>P004214</t>
  </si>
  <si>
    <t>SU004010</t>
  </si>
  <si>
    <t>P005139</t>
  </si>
  <si>
    <t>Вареные колбасы «Молочная Стародворская» Фикс.вес 0,4 п/а ТМ «Стародворье»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</si>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</sst>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9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0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12"/>
  <sheetViews>
    <sheetView showGridLines="0" tabSelected="1" topLeftCell="G496" zoomScaleNormal="100" zoomScaleSheetLayoutView="100" workbookViewId="0">
      <selection activeCell="U489" sqref="U48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72" t="s">
        <v>26</v>
      </c>
      <c r="E1" s="572"/>
      <c r="F1" s="572"/>
      <c r="G1" s="14" t="s">
        <v>67</v>
      </c>
      <c r="H1" s="572" t="s">
        <v>47</v>
      </c>
      <c r="I1" s="572"/>
      <c r="J1" s="572"/>
      <c r="K1" s="572"/>
      <c r="L1" s="572"/>
      <c r="M1" s="572"/>
      <c r="N1" s="572"/>
      <c r="O1" s="572"/>
      <c r="P1" s="572"/>
      <c r="Q1" s="572"/>
      <c r="R1" s="573" t="s">
        <v>68</v>
      </c>
      <c r="S1" s="574"/>
      <c r="T1" s="5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5"/>
      <c r="R2" s="575"/>
      <c r="S2" s="575"/>
      <c r="T2" s="575"/>
      <c r="U2" s="575"/>
      <c r="V2" s="575"/>
      <c r="W2" s="5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75"/>
      <c r="Q3" s="575"/>
      <c r="R3" s="575"/>
      <c r="S3" s="575"/>
      <c r="T3" s="575"/>
      <c r="U3" s="575"/>
      <c r="V3" s="575"/>
      <c r="W3" s="5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76" t="s">
        <v>8</v>
      </c>
      <c r="B5" s="576"/>
      <c r="C5" s="576"/>
      <c r="D5" s="577"/>
      <c r="E5" s="577"/>
      <c r="F5" s="578" t="s">
        <v>14</v>
      </c>
      <c r="G5" s="578"/>
      <c r="H5" s="577"/>
      <c r="I5" s="577"/>
      <c r="J5" s="577"/>
      <c r="K5" s="577"/>
      <c r="L5" s="577"/>
      <c r="M5" s="577"/>
      <c r="N5" s="72"/>
      <c r="P5" s="27" t="s">
        <v>4</v>
      </c>
      <c r="Q5" s="579">
        <v>46118</v>
      </c>
      <c r="R5" s="579"/>
      <c r="T5" s="580" t="s">
        <v>3</v>
      </c>
      <c r="U5" s="581"/>
      <c r="V5" s="582" t="s">
        <v>783</v>
      </c>
      <c r="W5" s="583"/>
      <c r="AB5" s="59"/>
      <c r="AC5" s="59"/>
      <c r="AD5" s="59"/>
      <c r="AE5" s="59"/>
    </row>
    <row r="6" spans="1:32" s="17" customFormat="1" ht="24" customHeight="1" x14ac:dyDescent="0.2">
      <c r="A6" s="576" t="s">
        <v>1</v>
      </c>
      <c r="B6" s="576"/>
      <c r="C6" s="576"/>
      <c r="D6" s="584" t="s">
        <v>784</v>
      </c>
      <c r="E6" s="584"/>
      <c r="F6" s="584"/>
      <c r="G6" s="584"/>
      <c r="H6" s="584"/>
      <c r="I6" s="584"/>
      <c r="J6" s="584"/>
      <c r="K6" s="584"/>
      <c r="L6" s="584"/>
      <c r="M6" s="584"/>
      <c r="N6" s="73"/>
      <c r="P6" s="27" t="s">
        <v>27</v>
      </c>
      <c r="Q6" s="585" t="str">
        <f>IF(Q5=0," ",CHOOSE(WEEKDAY(Q5,2),"Понедельник","Вторник","Среда","Четверг","Пятница","Суббота","Воскресенье"))</f>
        <v>Понедельник</v>
      </c>
      <c r="R6" s="585"/>
      <c r="T6" s="586" t="s">
        <v>5</v>
      </c>
      <c r="U6" s="587"/>
      <c r="V6" s="588" t="s">
        <v>70</v>
      </c>
      <c r="W6" s="58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94" t="str">
        <f>IFERROR(VLOOKUP(DeliveryAddress,Table,3,0),1)</f>
        <v>1</v>
      </c>
      <c r="E7" s="595"/>
      <c r="F7" s="595"/>
      <c r="G7" s="595"/>
      <c r="H7" s="595"/>
      <c r="I7" s="595"/>
      <c r="J7" s="595"/>
      <c r="K7" s="595"/>
      <c r="L7" s="595"/>
      <c r="M7" s="596"/>
      <c r="N7" s="74"/>
      <c r="P7" s="29"/>
      <c r="Q7" s="48"/>
      <c r="R7" s="48"/>
      <c r="T7" s="586"/>
      <c r="U7" s="587"/>
      <c r="V7" s="590"/>
      <c r="W7" s="591"/>
      <c r="AB7" s="59"/>
      <c r="AC7" s="59"/>
      <c r="AD7" s="59"/>
      <c r="AE7" s="59"/>
    </row>
    <row r="8" spans="1:32" s="17" customFormat="1" ht="25.5" customHeight="1" x14ac:dyDescent="0.2">
      <c r="A8" s="597" t="s">
        <v>58</v>
      </c>
      <c r="B8" s="597"/>
      <c r="C8" s="597"/>
      <c r="D8" s="598"/>
      <c r="E8" s="598"/>
      <c r="F8" s="598"/>
      <c r="G8" s="598"/>
      <c r="H8" s="598"/>
      <c r="I8" s="598"/>
      <c r="J8" s="598"/>
      <c r="K8" s="598"/>
      <c r="L8" s="598"/>
      <c r="M8" s="598"/>
      <c r="N8" s="75"/>
      <c r="P8" s="27" t="s">
        <v>11</v>
      </c>
      <c r="Q8" s="599">
        <v>0.375</v>
      </c>
      <c r="R8" s="599"/>
      <c r="T8" s="586"/>
      <c r="U8" s="587"/>
      <c r="V8" s="590"/>
      <c r="W8" s="591"/>
      <c r="AB8" s="59"/>
      <c r="AC8" s="59"/>
      <c r="AD8" s="59"/>
      <c r="AE8" s="59"/>
    </row>
    <row r="9" spans="1:32" s="17" customFormat="1" ht="39.950000000000003" customHeight="1" x14ac:dyDescent="0.2">
      <c r="A9" s="6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0"/>
      <c r="C9" s="600"/>
      <c r="D9" s="601" t="s">
        <v>46</v>
      </c>
      <c r="E9" s="602"/>
      <c r="F9" s="6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0"/>
      <c r="H9" s="603" t="str">
        <f>IF(AND($A$9="Тип доверенности/получателя при получении в адресе перегруза:",$D$9="Разовая доверенность"),"Введите ФИО","")</f>
        <v/>
      </c>
      <c r="I9" s="603"/>
      <c r="J9" s="6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03"/>
      <c r="L9" s="603"/>
      <c r="M9" s="603"/>
      <c r="N9" s="70"/>
      <c r="P9" s="31" t="s">
        <v>15</v>
      </c>
      <c r="Q9" s="604"/>
      <c r="R9" s="604"/>
      <c r="T9" s="586"/>
      <c r="U9" s="587"/>
      <c r="V9" s="592"/>
      <c r="W9" s="59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0"/>
      <c r="C10" s="600"/>
      <c r="D10" s="601"/>
      <c r="E10" s="602"/>
      <c r="F10" s="6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0"/>
      <c r="H10" s="605" t="str">
        <f>IFERROR(VLOOKUP($D$10,Proxy,2,FALSE),"")</f>
        <v/>
      </c>
      <c r="I10" s="605"/>
      <c r="J10" s="605"/>
      <c r="K10" s="605"/>
      <c r="L10" s="605"/>
      <c r="M10" s="605"/>
      <c r="N10" s="71"/>
      <c r="P10" s="31" t="s">
        <v>32</v>
      </c>
      <c r="Q10" s="606"/>
      <c r="R10" s="606"/>
      <c r="U10" s="29" t="s">
        <v>12</v>
      </c>
      <c r="V10" s="607" t="s">
        <v>71</v>
      </c>
      <c r="W10" s="60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09"/>
      <c r="R11" s="609"/>
      <c r="U11" s="29" t="s">
        <v>28</v>
      </c>
      <c r="V11" s="610" t="s">
        <v>55</v>
      </c>
      <c r="W11" s="61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11" t="s">
        <v>72</v>
      </c>
      <c r="B12" s="611"/>
      <c r="C12" s="611"/>
      <c r="D12" s="611"/>
      <c r="E12" s="611"/>
      <c r="F12" s="611"/>
      <c r="G12" s="611"/>
      <c r="H12" s="611"/>
      <c r="I12" s="611"/>
      <c r="J12" s="611"/>
      <c r="K12" s="611"/>
      <c r="L12" s="611"/>
      <c r="M12" s="611"/>
      <c r="N12" s="76"/>
      <c r="P12" s="27" t="s">
        <v>30</v>
      </c>
      <c r="Q12" s="599"/>
      <c r="R12" s="599"/>
      <c r="S12" s="28"/>
      <c r="T12"/>
      <c r="U12" s="29" t="s">
        <v>46</v>
      </c>
      <c r="V12" s="612"/>
      <c r="W12" s="612"/>
      <c r="X12"/>
      <c r="AB12" s="59"/>
      <c r="AC12" s="59"/>
      <c r="AD12" s="59"/>
      <c r="AE12" s="59"/>
    </row>
    <row r="13" spans="1:32" s="17" customFormat="1" ht="23.25" customHeight="1" x14ac:dyDescent="0.2">
      <c r="A13" s="611" t="s">
        <v>73</v>
      </c>
      <c r="B13" s="611"/>
      <c r="C13" s="611"/>
      <c r="D13" s="611"/>
      <c r="E13" s="611"/>
      <c r="F13" s="611"/>
      <c r="G13" s="611"/>
      <c r="H13" s="611"/>
      <c r="I13" s="611"/>
      <c r="J13" s="611"/>
      <c r="K13" s="611"/>
      <c r="L13" s="611"/>
      <c r="M13" s="611"/>
      <c r="N13" s="76"/>
      <c r="O13" s="31"/>
      <c r="P13" s="31" t="s">
        <v>31</v>
      </c>
      <c r="Q13" s="610"/>
      <c r="R13" s="61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11" t="s">
        <v>74</v>
      </c>
      <c r="B14" s="611"/>
      <c r="C14" s="611"/>
      <c r="D14" s="611"/>
      <c r="E14" s="611"/>
      <c r="F14" s="611"/>
      <c r="G14" s="611"/>
      <c r="H14" s="611"/>
      <c r="I14" s="611"/>
      <c r="J14" s="611"/>
      <c r="K14" s="611"/>
      <c r="L14" s="611"/>
      <c r="M14" s="61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13" t="s">
        <v>75</v>
      </c>
      <c r="B15" s="613"/>
      <c r="C15" s="613"/>
      <c r="D15" s="613"/>
      <c r="E15" s="613"/>
      <c r="F15" s="613"/>
      <c r="G15" s="613"/>
      <c r="H15" s="613"/>
      <c r="I15" s="613"/>
      <c r="J15" s="613"/>
      <c r="K15" s="613"/>
      <c r="L15" s="613"/>
      <c r="M15" s="613"/>
      <c r="N15" s="77"/>
      <c r="O15"/>
      <c r="P15" s="614" t="s">
        <v>61</v>
      </c>
      <c r="Q15" s="614"/>
      <c r="R15" s="614"/>
      <c r="S15" s="614"/>
      <c r="T15" s="61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15"/>
      <c r="Q16" s="615"/>
      <c r="R16" s="615"/>
      <c r="S16" s="615"/>
      <c r="T16" s="61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18" t="s">
        <v>59</v>
      </c>
      <c r="B17" s="618" t="s">
        <v>49</v>
      </c>
      <c r="C17" s="620" t="s">
        <v>48</v>
      </c>
      <c r="D17" s="622" t="s">
        <v>50</v>
      </c>
      <c r="E17" s="623"/>
      <c r="F17" s="618" t="s">
        <v>21</v>
      </c>
      <c r="G17" s="618" t="s">
        <v>24</v>
      </c>
      <c r="H17" s="618" t="s">
        <v>22</v>
      </c>
      <c r="I17" s="618" t="s">
        <v>23</v>
      </c>
      <c r="J17" s="618" t="s">
        <v>16</v>
      </c>
      <c r="K17" s="618" t="s">
        <v>66</v>
      </c>
      <c r="L17" s="618" t="s">
        <v>64</v>
      </c>
      <c r="M17" s="618" t="s">
        <v>2</v>
      </c>
      <c r="N17" s="618" t="s">
        <v>63</v>
      </c>
      <c r="O17" s="618" t="s">
        <v>25</v>
      </c>
      <c r="P17" s="622" t="s">
        <v>17</v>
      </c>
      <c r="Q17" s="626"/>
      <c r="R17" s="626"/>
      <c r="S17" s="626"/>
      <c r="T17" s="623"/>
      <c r="U17" s="616" t="s">
        <v>56</v>
      </c>
      <c r="V17" s="617"/>
      <c r="W17" s="618" t="s">
        <v>6</v>
      </c>
      <c r="X17" s="618" t="s">
        <v>41</v>
      </c>
      <c r="Y17" s="628" t="s">
        <v>54</v>
      </c>
      <c r="Z17" s="630" t="s">
        <v>18</v>
      </c>
      <c r="AA17" s="632" t="s">
        <v>60</v>
      </c>
      <c r="AB17" s="632" t="s">
        <v>19</v>
      </c>
      <c r="AC17" s="632" t="s">
        <v>65</v>
      </c>
      <c r="AD17" s="634" t="s">
        <v>57</v>
      </c>
      <c r="AE17" s="635"/>
      <c r="AF17" s="636"/>
      <c r="AG17" s="82"/>
      <c r="BD17" s="81" t="s">
        <v>62</v>
      </c>
    </row>
    <row r="18" spans="1:68" ht="14.25" customHeight="1" x14ac:dyDescent="0.2">
      <c r="A18" s="619"/>
      <c r="B18" s="619"/>
      <c r="C18" s="621"/>
      <c r="D18" s="624"/>
      <c r="E18" s="625"/>
      <c r="F18" s="619"/>
      <c r="G18" s="619"/>
      <c r="H18" s="619"/>
      <c r="I18" s="619"/>
      <c r="J18" s="619"/>
      <c r="K18" s="619"/>
      <c r="L18" s="619"/>
      <c r="M18" s="619"/>
      <c r="N18" s="619"/>
      <c r="O18" s="619"/>
      <c r="P18" s="624"/>
      <c r="Q18" s="627"/>
      <c r="R18" s="627"/>
      <c r="S18" s="627"/>
      <c r="T18" s="625"/>
      <c r="U18" s="83" t="s">
        <v>44</v>
      </c>
      <c r="V18" s="83" t="s">
        <v>43</v>
      </c>
      <c r="W18" s="619"/>
      <c r="X18" s="619"/>
      <c r="Y18" s="629"/>
      <c r="Z18" s="631"/>
      <c r="AA18" s="633"/>
      <c r="AB18" s="633"/>
      <c r="AC18" s="633"/>
      <c r="AD18" s="637"/>
      <c r="AE18" s="638"/>
      <c r="AF18" s="639"/>
      <c r="AG18" s="82"/>
      <c r="BD18" s="81"/>
    </row>
    <row r="19" spans="1:68" ht="27.75" customHeight="1" x14ac:dyDescent="0.2">
      <c r="A19" s="640" t="s">
        <v>76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54"/>
      <c r="AB19" s="54"/>
      <c r="AC19" s="54"/>
    </row>
    <row r="20" spans="1:68" ht="16.5" customHeight="1" x14ac:dyDescent="0.25">
      <c r="A20" s="641" t="s">
        <v>76</v>
      </c>
      <c r="B20" s="641"/>
      <c r="C20" s="641"/>
      <c r="D20" s="641"/>
      <c r="E20" s="641"/>
      <c r="F20" s="641"/>
      <c r="G20" s="641"/>
      <c r="H20" s="641"/>
      <c r="I20" s="641"/>
      <c r="J20" s="641"/>
      <c r="K20" s="641"/>
      <c r="L20" s="641"/>
      <c r="M20" s="641"/>
      <c r="N20" s="641"/>
      <c r="O20" s="641"/>
      <c r="P20" s="641"/>
      <c r="Q20" s="641"/>
      <c r="R20" s="641"/>
      <c r="S20" s="641"/>
      <c r="T20" s="641"/>
      <c r="U20" s="641"/>
      <c r="V20" s="641"/>
      <c r="W20" s="641"/>
      <c r="X20" s="641"/>
      <c r="Y20" s="641"/>
      <c r="Z20" s="641"/>
      <c r="AA20" s="65"/>
      <c r="AB20" s="65"/>
      <c r="AC20" s="79"/>
    </row>
    <row r="21" spans="1:68" ht="14.25" customHeight="1" x14ac:dyDescent="0.25">
      <c r="A21" s="642" t="s">
        <v>77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4301031446</v>
      </c>
      <c r="D22" s="643">
        <v>4680115887510</v>
      </c>
      <c r="E22" s="64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4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45"/>
      <c r="R22" s="645"/>
      <c r="S22" s="645"/>
      <c r="T22" s="64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4301031278</v>
      </c>
      <c r="D23" s="643">
        <v>4680115886643</v>
      </c>
      <c r="E23" s="64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64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45"/>
      <c r="R23" s="645"/>
      <c r="S23" s="645"/>
      <c r="T23" s="64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42" t="s">
        <v>87</v>
      </c>
      <c r="B26" s="642"/>
      <c r="C26" s="642"/>
      <c r="D26" s="642"/>
      <c r="E26" s="642"/>
      <c r="F26" s="642"/>
      <c r="G26" s="642"/>
      <c r="H26" s="642"/>
      <c r="I26" s="642"/>
      <c r="J26" s="642"/>
      <c r="K26" s="642"/>
      <c r="L26" s="642"/>
      <c r="M26" s="642"/>
      <c r="N26" s="642"/>
      <c r="O26" s="642"/>
      <c r="P26" s="642"/>
      <c r="Q26" s="642"/>
      <c r="R26" s="642"/>
      <c r="S26" s="642"/>
      <c r="T26" s="642"/>
      <c r="U26" s="642"/>
      <c r="V26" s="642"/>
      <c r="W26" s="642"/>
      <c r="X26" s="642"/>
      <c r="Y26" s="642"/>
      <c r="Z26" s="642"/>
      <c r="AA26" s="66"/>
      <c r="AB26" s="66"/>
      <c r="AC26" s="80"/>
    </row>
    <row r="27" spans="1:68" ht="27" customHeight="1" x14ac:dyDescent="0.25">
      <c r="A27" s="63" t="s">
        <v>88</v>
      </c>
      <c r="B27" s="63" t="s">
        <v>89</v>
      </c>
      <c r="C27" s="36">
        <v>4301051866</v>
      </c>
      <c r="D27" s="643">
        <v>4680115885912</v>
      </c>
      <c r="E27" s="64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82</v>
      </c>
      <c r="L27" s="37" t="s">
        <v>46</v>
      </c>
      <c r="M27" s="38" t="s">
        <v>91</v>
      </c>
      <c r="N27" s="38"/>
      <c r="O27" s="37">
        <v>40</v>
      </c>
      <c r="P27" s="6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5"/>
      <c r="R27" s="645"/>
      <c r="S27" s="645"/>
      <c r="T27" s="646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3" si="0">IFERROR(IF(X27="",0,CEILING((X27/$H27),1)*$H27),"")</f>
        <v>0</v>
      </c>
      <c r="Z27" s="41" t="str">
        <f t="shared" ref="Z27:Z33" si="1">IFERROR(IF(Y27=0,"",ROUNDUP(Y27/H27,0)*0.00651),"")</f>
        <v/>
      </c>
      <c r="AA27" s="68" t="s">
        <v>46</v>
      </c>
      <c r="AB27" s="69" t="s">
        <v>46</v>
      </c>
      <c r="AC27" s="90" t="s">
        <v>90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3" si="2">IFERROR(X27*I27/H27,"0")</f>
        <v>0</v>
      </c>
      <c r="BN27" s="78">
        <f t="shared" ref="BN27:BN33" si="3">IFERROR(Y27*I27/H27,"0")</f>
        <v>0</v>
      </c>
      <c r="BO27" s="78">
        <f t="shared" ref="BO27:BO33" si="4">IFERROR(1/J27*(X27/H27),"0")</f>
        <v>0</v>
      </c>
      <c r="BP27" s="78">
        <f t="shared" ref="BP27:BP33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43">
        <v>4607091388237</v>
      </c>
      <c r="E28" s="64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82</v>
      </c>
      <c r="L28" s="37" t="s">
        <v>46</v>
      </c>
      <c r="M28" s="38" t="s">
        <v>91</v>
      </c>
      <c r="N28" s="38"/>
      <c r="O28" s="37">
        <v>40</v>
      </c>
      <c r="P28" s="6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5"/>
      <c r="R28" s="645"/>
      <c r="S28" s="645"/>
      <c r="T28" s="646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90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43">
        <v>4680115887350</v>
      </c>
      <c r="E29" s="64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82</v>
      </c>
      <c r="L29" s="37" t="s">
        <v>46</v>
      </c>
      <c r="M29" s="38" t="s">
        <v>97</v>
      </c>
      <c r="N29" s="38"/>
      <c r="O29" s="37">
        <v>40</v>
      </c>
      <c r="P29" s="6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5"/>
      <c r="R29" s="645"/>
      <c r="S29" s="645"/>
      <c r="T29" s="646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43">
        <v>4680115885905</v>
      </c>
      <c r="E30" s="64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97</v>
      </c>
      <c r="N30" s="38"/>
      <c r="O30" s="37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5"/>
      <c r="R30" s="645"/>
      <c r="S30" s="645"/>
      <c r="T30" s="646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43">
        <v>4680115887657</v>
      </c>
      <c r="E31" s="64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82</v>
      </c>
      <c r="L31" s="37" t="s">
        <v>46</v>
      </c>
      <c r="M31" s="38" t="s">
        <v>97</v>
      </c>
      <c r="N31" s="38"/>
      <c r="O31" s="37">
        <v>40</v>
      </c>
      <c r="P31" s="65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45"/>
      <c r="R31" s="645"/>
      <c r="S31" s="645"/>
      <c r="T31" s="646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4301052197</v>
      </c>
      <c r="D32" s="643">
        <v>4680115888326</v>
      </c>
      <c r="E32" s="643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82</v>
      </c>
      <c r="L32" s="37" t="s">
        <v>46</v>
      </c>
      <c r="M32" s="38" t="s">
        <v>97</v>
      </c>
      <c r="N32" s="38"/>
      <c r="O32" s="37">
        <v>40</v>
      </c>
      <c r="P32" s="658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2" s="645"/>
      <c r="R32" s="645"/>
      <c r="S32" s="645"/>
      <c r="T32" s="646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customHeight="1" x14ac:dyDescent="0.25">
      <c r="A33" s="63" t="s">
        <v>107</v>
      </c>
      <c r="B33" s="63" t="s">
        <v>108</v>
      </c>
      <c r="C33" s="36">
        <v>4301052071</v>
      </c>
      <c r="D33" s="643">
        <v>4680115887619</v>
      </c>
      <c r="E33" s="643"/>
      <c r="F33" s="62">
        <v>0.33</v>
      </c>
      <c r="G33" s="37">
        <v>6</v>
      </c>
      <c r="H33" s="62">
        <v>1.98</v>
      </c>
      <c r="I33" s="62">
        <v>2.16</v>
      </c>
      <c r="J33" s="37">
        <v>182</v>
      </c>
      <c r="K33" s="37" t="s">
        <v>82</v>
      </c>
      <c r="L33" s="37" t="s">
        <v>46</v>
      </c>
      <c r="M33" s="38" t="s">
        <v>91</v>
      </c>
      <c r="N33" s="38"/>
      <c r="O33" s="37">
        <v>40</v>
      </c>
      <c r="P33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645"/>
      <c r="R33" s="645"/>
      <c r="S33" s="645"/>
      <c r="T33" s="646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109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x14ac:dyDescent="0.2">
      <c r="A34" s="651"/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2"/>
      <c r="P34" s="648" t="s">
        <v>40</v>
      </c>
      <c r="Q34" s="649"/>
      <c r="R34" s="649"/>
      <c r="S34" s="649"/>
      <c r="T34" s="649"/>
      <c r="U34" s="649"/>
      <c r="V34" s="650"/>
      <c r="W34" s="42" t="s">
        <v>39</v>
      </c>
      <c r="X34" s="43">
        <f>IFERROR(X27/H27,"0")+IFERROR(X28/H28,"0")+IFERROR(X29/H29,"0")+IFERROR(X30/H30,"0")+IFERROR(X31/H31,"0")+IFERROR(X32/H32,"0")+IFERROR(X33/H33,"0")</f>
        <v>0</v>
      </c>
      <c r="Y34" s="43">
        <f>IFERROR(Y27/H27,"0")+IFERROR(Y28/H28,"0")+IFERROR(Y29/H29,"0")+IFERROR(Y30/H30,"0")+IFERROR(Y31/H31,"0")+IFERROR(Y32/H32,"0")+IFERROR(Y33/H33,"0")</f>
        <v>0</v>
      </c>
      <c r="Z34" s="43">
        <f>IFERROR(IF(Z27="",0,Z27),"0")+IFERROR(IF(Z28="",0,Z28),"0")+IFERROR(IF(Z29="",0,Z29),"0")+IFERROR(IF(Z30="",0,Z30),"0")+IFERROR(IF(Z31="",0,Z31),"0")+IFERROR(IF(Z32="",0,Z32),"0")+IFERROR(IF(Z33="",0,Z33),"0")</f>
        <v>0</v>
      </c>
      <c r="AA34" s="67"/>
      <c r="AB34" s="67"/>
      <c r="AC34" s="67"/>
    </row>
    <row r="35" spans="1:68" x14ac:dyDescent="0.2">
      <c r="A35" s="651"/>
      <c r="B35" s="651"/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1"/>
      <c r="N35" s="651"/>
      <c r="O35" s="652"/>
      <c r="P35" s="648" t="s">
        <v>40</v>
      </c>
      <c r="Q35" s="649"/>
      <c r="R35" s="649"/>
      <c r="S35" s="649"/>
      <c r="T35" s="649"/>
      <c r="U35" s="649"/>
      <c r="V35" s="650"/>
      <c r="W35" s="42" t="s">
        <v>0</v>
      </c>
      <c r="X35" s="43">
        <f>IFERROR(SUM(X27:X33),"0")</f>
        <v>0</v>
      </c>
      <c r="Y35" s="43">
        <f>IFERROR(SUM(Y27:Y33),"0")</f>
        <v>0</v>
      </c>
      <c r="Z35" s="42"/>
      <c r="AA35" s="67"/>
      <c r="AB35" s="67"/>
      <c r="AC35" s="67"/>
    </row>
    <row r="36" spans="1:68" ht="14.25" customHeight="1" x14ac:dyDescent="0.25">
      <c r="A36" s="642" t="s">
        <v>110</v>
      </c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42"/>
      <c r="P36" s="642"/>
      <c r="Q36" s="642"/>
      <c r="R36" s="642"/>
      <c r="S36" s="642"/>
      <c r="T36" s="642"/>
      <c r="U36" s="642"/>
      <c r="V36" s="642"/>
      <c r="W36" s="642"/>
      <c r="X36" s="642"/>
      <c r="Y36" s="642"/>
      <c r="Z36" s="642"/>
      <c r="AA36" s="66"/>
      <c r="AB36" s="66"/>
      <c r="AC36" s="80"/>
    </row>
    <row r="37" spans="1:68" ht="27" customHeight="1" x14ac:dyDescent="0.25">
      <c r="A37" s="63" t="s">
        <v>111</v>
      </c>
      <c r="B37" s="63" t="s">
        <v>112</v>
      </c>
      <c r="C37" s="36">
        <v>4301032013</v>
      </c>
      <c r="D37" s="643">
        <v>4607091388503</v>
      </c>
      <c r="E37" s="643"/>
      <c r="F37" s="62">
        <v>0.05</v>
      </c>
      <c r="G37" s="37">
        <v>12</v>
      </c>
      <c r="H37" s="62">
        <v>0.6</v>
      </c>
      <c r="I37" s="62">
        <v>0.82199999999999995</v>
      </c>
      <c r="J37" s="37">
        <v>182</v>
      </c>
      <c r="K37" s="37" t="s">
        <v>82</v>
      </c>
      <c r="L37" s="37" t="s">
        <v>46</v>
      </c>
      <c r="M37" s="38" t="s">
        <v>115</v>
      </c>
      <c r="N37" s="38"/>
      <c r="O37" s="37">
        <v>120</v>
      </c>
      <c r="P37" s="6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645"/>
      <c r="R37" s="645"/>
      <c r="S37" s="645"/>
      <c r="T37" s="64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4" t="s">
        <v>113</v>
      </c>
      <c r="AG37" s="78"/>
      <c r="AJ37" s="84" t="s">
        <v>46</v>
      </c>
      <c r="AK37" s="84">
        <v>0</v>
      </c>
      <c r="BB37" s="105" t="s">
        <v>114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x14ac:dyDescent="0.2">
      <c r="A38" s="651"/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2"/>
      <c r="P38" s="648" t="s">
        <v>40</v>
      </c>
      <c r="Q38" s="649"/>
      <c r="R38" s="649"/>
      <c r="S38" s="649"/>
      <c r="T38" s="649"/>
      <c r="U38" s="649"/>
      <c r="V38" s="650"/>
      <c r="W38" s="42" t="s">
        <v>39</v>
      </c>
      <c r="X38" s="43">
        <f>IFERROR(X37/H37,"0")</f>
        <v>0</v>
      </c>
      <c r="Y38" s="43">
        <f>IFERROR(Y37/H37,"0")</f>
        <v>0</v>
      </c>
      <c r="Z38" s="43">
        <f>IFERROR(IF(Z37="",0,Z37),"0")</f>
        <v>0</v>
      </c>
      <c r="AA38" s="67"/>
      <c r="AB38" s="67"/>
      <c r="AC38" s="67"/>
    </row>
    <row r="39" spans="1:68" x14ac:dyDescent="0.2">
      <c r="A39" s="651"/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2"/>
      <c r="P39" s="648" t="s">
        <v>40</v>
      </c>
      <c r="Q39" s="649"/>
      <c r="R39" s="649"/>
      <c r="S39" s="649"/>
      <c r="T39" s="649"/>
      <c r="U39" s="649"/>
      <c r="V39" s="650"/>
      <c r="W39" s="42" t="s">
        <v>0</v>
      </c>
      <c r="X39" s="43">
        <f>IFERROR(SUM(X37:X37),"0")</f>
        <v>0</v>
      </c>
      <c r="Y39" s="43">
        <f>IFERROR(SUM(Y37:Y37),"0")</f>
        <v>0</v>
      </c>
      <c r="Z39" s="42"/>
      <c r="AA39" s="67"/>
      <c r="AB39" s="67"/>
      <c r="AC39" s="67"/>
    </row>
    <row r="40" spans="1:68" ht="27.75" customHeight="1" x14ac:dyDescent="0.2">
      <c r="A40" s="640" t="s">
        <v>45</v>
      </c>
      <c r="B40" s="640"/>
      <c r="C40" s="640"/>
      <c r="D40" s="640"/>
      <c r="E40" s="640"/>
      <c r="F40" s="640"/>
      <c r="G40" s="640"/>
      <c r="H40" s="640"/>
      <c r="I40" s="640"/>
      <c r="J40" s="640"/>
      <c r="K40" s="640"/>
      <c r="L40" s="640"/>
      <c r="M40" s="640"/>
      <c r="N40" s="640"/>
      <c r="O40" s="640"/>
      <c r="P40" s="640"/>
      <c r="Q40" s="640"/>
      <c r="R40" s="640"/>
      <c r="S40" s="640"/>
      <c r="T40" s="640"/>
      <c r="U40" s="640"/>
      <c r="V40" s="640"/>
      <c r="W40" s="640"/>
      <c r="X40" s="640"/>
      <c r="Y40" s="640"/>
      <c r="Z40" s="640"/>
      <c r="AA40" s="54"/>
      <c r="AB40" s="54"/>
      <c r="AC40" s="54"/>
    </row>
    <row r="41" spans="1:68" ht="16.5" customHeight="1" x14ac:dyDescent="0.25">
      <c r="A41" s="641" t="s">
        <v>116</v>
      </c>
      <c r="B41" s="641"/>
      <c r="C41" s="641"/>
      <c r="D41" s="641"/>
      <c r="E41" s="641"/>
      <c r="F41" s="641"/>
      <c r="G41" s="641"/>
      <c r="H41" s="641"/>
      <c r="I41" s="641"/>
      <c r="J41" s="641"/>
      <c r="K41" s="641"/>
      <c r="L41" s="641"/>
      <c r="M41" s="641"/>
      <c r="N41" s="641"/>
      <c r="O41" s="641"/>
      <c r="P41" s="641"/>
      <c r="Q41" s="641"/>
      <c r="R41" s="641"/>
      <c r="S41" s="641"/>
      <c r="T41" s="641"/>
      <c r="U41" s="641"/>
      <c r="V41" s="641"/>
      <c r="W41" s="641"/>
      <c r="X41" s="641"/>
      <c r="Y41" s="641"/>
      <c r="Z41" s="641"/>
      <c r="AA41" s="65"/>
      <c r="AB41" s="65"/>
      <c r="AC41" s="79"/>
    </row>
    <row r="42" spans="1:68" ht="14.25" customHeight="1" x14ac:dyDescent="0.25">
      <c r="A42" s="642" t="s">
        <v>87</v>
      </c>
      <c r="B42" s="642"/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42"/>
      <c r="N42" s="642"/>
      <c r="O42" s="642"/>
      <c r="P42" s="642"/>
      <c r="Q42" s="642"/>
      <c r="R42" s="642"/>
      <c r="S42" s="642"/>
      <c r="T42" s="642"/>
      <c r="U42" s="642"/>
      <c r="V42" s="642"/>
      <c r="W42" s="642"/>
      <c r="X42" s="642"/>
      <c r="Y42" s="642"/>
      <c r="Z42" s="642"/>
      <c r="AA42" s="66"/>
      <c r="AB42" s="66"/>
      <c r="AC42" s="80"/>
    </row>
    <row r="43" spans="1:68" ht="27" customHeight="1" x14ac:dyDescent="0.25">
      <c r="A43" s="63" t="s">
        <v>117</v>
      </c>
      <c r="B43" s="63" t="s">
        <v>118</v>
      </c>
      <c r="C43" s="36">
        <v>4301052184</v>
      </c>
      <c r="D43" s="643">
        <v>4680115888272</v>
      </c>
      <c r="E43" s="643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82</v>
      </c>
      <c r="L43" s="37" t="s">
        <v>46</v>
      </c>
      <c r="M43" s="38" t="s">
        <v>91</v>
      </c>
      <c r="N43" s="38"/>
      <c r="O43" s="37">
        <v>40</v>
      </c>
      <c r="P43" s="66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645"/>
      <c r="R43" s="645"/>
      <c r="S43" s="645"/>
      <c r="T43" s="646"/>
      <c r="U43" s="39" t="s">
        <v>46</v>
      </c>
      <c r="V43" s="39" t="s">
        <v>46</v>
      </c>
      <c r="W43" s="40" t="s">
        <v>0</v>
      </c>
      <c r="X43" s="58"/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51"/>
      <c r="B44" s="651"/>
      <c r="C44" s="651"/>
      <c r="D44" s="651"/>
      <c r="E44" s="651"/>
      <c r="F44" s="651"/>
      <c r="G44" s="651"/>
      <c r="H44" s="651"/>
      <c r="I44" s="651"/>
      <c r="J44" s="651"/>
      <c r="K44" s="651"/>
      <c r="L44" s="651"/>
      <c r="M44" s="651"/>
      <c r="N44" s="651"/>
      <c r="O44" s="652"/>
      <c r="P44" s="648" t="s">
        <v>40</v>
      </c>
      <c r="Q44" s="649"/>
      <c r="R44" s="649"/>
      <c r="S44" s="649"/>
      <c r="T44" s="649"/>
      <c r="U44" s="649"/>
      <c r="V44" s="650"/>
      <c r="W44" s="42" t="s">
        <v>39</v>
      </c>
      <c r="X44" s="43">
        <f>IFERROR(X43/H43,"0")</f>
        <v>0</v>
      </c>
      <c r="Y44" s="43">
        <f>IFERROR(Y43/H43,"0")</f>
        <v>0</v>
      </c>
      <c r="Z44" s="43">
        <f>IFERROR(IF(Z43="",0,Z43),"0")</f>
        <v>0</v>
      </c>
      <c r="AA44" s="67"/>
      <c r="AB44" s="67"/>
      <c r="AC44" s="67"/>
    </row>
    <row r="45" spans="1:68" x14ac:dyDescent="0.2">
      <c r="A45" s="651"/>
      <c r="B45" s="651"/>
      <c r="C45" s="651"/>
      <c r="D45" s="651"/>
      <c r="E45" s="651"/>
      <c r="F45" s="651"/>
      <c r="G45" s="651"/>
      <c r="H45" s="651"/>
      <c r="I45" s="651"/>
      <c r="J45" s="651"/>
      <c r="K45" s="651"/>
      <c r="L45" s="651"/>
      <c r="M45" s="651"/>
      <c r="N45" s="651"/>
      <c r="O45" s="652"/>
      <c r="P45" s="648" t="s">
        <v>40</v>
      </c>
      <c r="Q45" s="649"/>
      <c r="R45" s="649"/>
      <c r="S45" s="649"/>
      <c r="T45" s="649"/>
      <c r="U45" s="649"/>
      <c r="V45" s="650"/>
      <c r="W45" s="42" t="s">
        <v>0</v>
      </c>
      <c r="X45" s="43">
        <f>IFERROR(SUM(X43:X43),"0")</f>
        <v>0</v>
      </c>
      <c r="Y45" s="43">
        <f>IFERROR(SUM(Y43:Y43),"0")</f>
        <v>0</v>
      </c>
      <c r="Z45" s="42"/>
      <c r="AA45" s="67"/>
      <c r="AB45" s="67"/>
      <c r="AC45" s="67"/>
    </row>
    <row r="46" spans="1:68" ht="27.75" customHeight="1" x14ac:dyDescent="0.2">
      <c r="A46" s="640" t="s">
        <v>120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54"/>
      <c r="AB46" s="54"/>
      <c r="AC46" s="54"/>
    </row>
    <row r="47" spans="1:68" ht="16.5" customHeight="1" x14ac:dyDescent="0.25">
      <c r="A47" s="641" t="s">
        <v>121</v>
      </c>
      <c r="B47" s="641"/>
      <c r="C47" s="641"/>
      <c r="D47" s="641"/>
      <c r="E47" s="641"/>
      <c r="F47" s="641"/>
      <c r="G47" s="641"/>
      <c r="H47" s="641"/>
      <c r="I47" s="641"/>
      <c r="J47" s="641"/>
      <c r="K47" s="641"/>
      <c r="L47" s="641"/>
      <c r="M47" s="641"/>
      <c r="N47" s="641"/>
      <c r="O47" s="641"/>
      <c r="P47" s="641"/>
      <c r="Q47" s="641"/>
      <c r="R47" s="641"/>
      <c r="S47" s="641"/>
      <c r="T47" s="641"/>
      <c r="U47" s="641"/>
      <c r="V47" s="641"/>
      <c r="W47" s="641"/>
      <c r="X47" s="641"/>
      <c r="Y47" s="641"/>
      <c r="Z47" s="641"/>
      <c r="AA47" s="65"/>
      <c r="AB47" s="65"/>
      <c r="AC47" s="79"/>
    </row>
    <row r="48" spans="1:68" ht="14.25" customHeight="1" x14ac:dyDescent="0.25">
      <c r="A48" s="642" t="s">
        <v>122</v>
      </c>
      <c r="B48" s="642"/>
      <c r="C48" s="642"/>
      <c r="D48" s="642"/>
      <c r="E48" s="642"/>
      <c r="F48" s="642"/>
      <c r="G48" s="642"/>
      <c r="H48" s="642"/>
      <c r="I48" s="642"/>
      <c r="J48" s="642"/>
      <c r="K48" s="642"/>
      <c r="L48" s="642"/>
      <c r="M48" s="642"/>
      <c r="N48" s="642"/>
      <c r="O48" s="642"/>
      <c r="P48" s="642"/>
      <c r="Q48" s="642"/>
      <c r="R48" s="642"/>
      <c r="S48" s="642"/>
      <c r="T48" s="642"/>
      <c r="U48" s="642"/>
      <c r="V48" s="642"/>
      <c r="W48" s="642"/>
      <c r="X48" s="642"/>
      <c r="Y48" s="642"/>
      <c r="Z48" s="642"/>
      <c r="AA48" s="66"/>
      <c r="AB48" s="66"/>
      <c r="AC48" s="80"/>
    </row>
    <row r="49" spans="1:68" ht="16.5" customHeight="1" x14ac:dyDescent="0.25">
      <c r="A49" s="63" t="s">
        <v>123</v>
      </c>
      <c r="B49" s="63" t="s">
        <v>124</v>
      </c>
      <c r="C49" s="36">
        <v>4301011380</v>
      </c>
      <c r="D49" s="643">
        <v>4607091385670</v>
      </c>
      <c r="E49" s="643"/>
      <c r="F49" s="62">
        <v>1.35</v>
      </c>
      <c r="G49" s="37">
        <v>8</v>
      </c>
      <c r="H49" s="62">
        <v>10.8</v>
      </c>
      <c r="I49" s="62">
        <v>11.21</v>
      </c>
      <c r="J49" s="37">
        <v>64</v>
      </c>
      <c r="K49" s="37" t="s">
        <v>127</v>
      </c>
      <c r="L49" s="37" t="s">
        <v>46</v>
      </c>
      <c r="M49" s="38" t="s">
        <v>126</v>
      </c>
      <c r="N49" s="38"/>
      <c r="O49" s="37">
        <v>50</v>
      </c>
      <c r="P49" s="6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645"/>
      <c r="R49" s="645"/>
      <c r="S49" s="645"/>
      <c r="T49" s="646"/>
      <c r="U49" s="39" t="s">
        <v>46</v>
      </c>
      <c r="V49" s="39" t="s">
        <v>46</v>
      </c>
      <c r="W49" s="40" t="s">
        <v>0</v>
      </c>
      <c r="X49" s="58"/>
      <c r="Y49" s="55">
        <f>IFERROR(IF(X49="",0,CEILING((X49/$H49),1)*$H49),"")</f>
        <v>0</v>
      </c>
      <c r="Z49" s="41" t="str">
        <f>IFERROR(IF(Y49=0,"",ROUNDUP(Y49/H49,0)*0.01898),"")</f>
        <v/>
      </c>
      <c r="AA49" s="68" t="s">
        <v>46</v>
      </c>
      <c r="AB49" s="69" t="s">
        <v>46</v>
      </c>
      <c r="AC49" s="108" t="s">
        <v>125</v>
      </c>
      <c r="AG49" s="78"/>
      <c r="AJ49" s="84" t="s">
        <v>46</v>
      </c>
      <c r="AK49" s="84">
        <v>0</v>
      </c>
      <c r="BB49" s="109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128</v>
      </c>
      <c r="B50" s="63" t="s">
        <v>129</v>
      </c>
      <c r="C50" s="36">
        <v>4301012053</v>
      </c>
      <c r="D50" s="643">
        <v>4680115887725</v>
      </c>
      <c r="E50" s="643"/>
      <c r="F50" s="62">
        <v>0.11</v>
      </c>
      <c r="G50" s="37">
        <v>10</v>
      </c>
      <c r="H50" s="62">
        <v>1.1000000000000001</v>
      </c>
      <c r="I50" s="62">
        <v>1.31</v>
      </c>
      <c r="J50" s="37">
        <v>192</v>
      </c>
      <c r="K50" s="37" t="s">
        <v>131</v>
      </c>
      <c r="L50" s="37" t="s">
        <v>46</v>
      </c>
      <c r="M50" s="38" t="s">
        <v>81</v>
      </c>
      <c r="N50" s="38"/>
      <c r="O50" s="37">
        <v>30</v>
      </c>
      <c r="P50" s="66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0" s="645"/>
      <c r="R50" s="645"/>
      <c r="S50" s="645"/>
      <c r="T50" s="64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IFERROR(IF(Y50=0,"",ROUNDUP(Y50/H50,0)*0.00726),"")</f>
        <v/>
      </c>
      <c r="AA50" s="68" t="s">
        <v>46</v>
      </c>
      <c r="AB50" s="69" t="s">
        <v>46</v>
      </c>
      <c r="AC50" s="110" t="s">
        <v>130</v>
      </c>
      <c r="AG50" s="78"/>
      <c r="AJ50" s="84" t="s">
        <v>46</v>
      </c>
      <c r="AK50" s="84">
        <v>0</v>
      </c>
      <c r="BB50" s="111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132</v>
      </c>
      <c r="B51" s="63" t="s">
        <v>133</v>
      </c>
      <c r="C51" s="36">
        <v>4301011382</v>
      </c>
      <c r="D51" s="643">
        <v>4607091385687</v>
      </c>
      <c r="E51" s="643"/>
      <c r="F51" s="62">
        <v>0.4</v>
      </c>
      <c r="G51" s="37">
        <v>10</v>
      </c>
      <c r="H51" s="62">
        <v>4</v>
      </c>
      <c r="I51" s="62">
        <v>4.1900000000000004</v>
      </c>
      <c r="J51" s="37">
        <v>132</v>
      </c>
      <c r="K51" s="37" t="s">
        <v>134</v>
      </c>
      <c r="L51" s="37" t="s">
        <v>46</v>
      </c>
      <c r="M51" s="38" t="s">
        <v>91</v>
      </c>
      <c r="N51" s="38"/>
      <c r="O51" s="37">
        <v>50</v>
      </c>
      <c r="P51" s="66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645"/>
      <c r="R51" s="645"/>
      <c r="S51" s="645"/>
      <c r="T51" s="64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2" t="s">
        <v>125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135</v>
      </c>
      <c r="B52" s="63" t="s">
        <v>136</v>
      </c>
      <c r="C52" s="36">
        <v>4301011565</v>
      </c>
      <c r="D52" s="643">
        <v>4680115882539</v>
      </c>
      <c r="E52" s="643"/>
      <c r="F52" s="62">
        <v>0.37</v>
      </c>
      <c r="G52" s="37">
        <v>10</v>
      </c>
      <c r="H52" s="62">
        <v>3.7</v>
      </c>
      <c r="I52" s="62">
        <v>3.89</v>
      </c>
      <c r="J52" s="37">
        <v>132</v>
      </c>
      <c r="K52" s="37" t="s">
        <v>134</v>
      </c>
      <c r="L52" s="37" t="s">
        <v>46</v>
      </c>
      <c r="M52" s="38" t="s">
        <v>91</v>
      </c>
      <c r="N52" s="38"/>
      <c r="O52" s="37">
        <v>50</v>
      </c>
      <c r="P52" s="6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645"/>
      <c r="R52" s="645"/>
      <c r="S52" s="645"/>
      <c r="T52" s="64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IFERROR(IF(Y52=0,"",ROUNDUP(Y52/H52,0)*0.00902),"")</f>
        <v/>
      </c>
      <c r="AA52" s="68" t="s">
        <v>46</v>
      </c>
      <c r="AB52" s="69" t="s">
        <v>46</v>
      </c>
      <c r="AC52" s="114" t="s">
        <v>125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x14ac:dyDescent="0.2">
      <c r="A53" s="651"/>
      <c r="B53" s="651"/>
      <c r="C53" s="651"/>
      <c r="D53" s="651"/>
      <c r="E53" s="651"/>
      <c r="F53" s="651"/>
      <c r="G53" s="651"/>
      <c r="H53" s="651"/>
      <c r="I53" s="651"/>
      <c r="J53" s="651"/>
      <c r="K53" s="651"/>
      <c r="L53" s="651"/>
      <c r="M53" s="651"/>
      <c r="N53" s="651"/>
      <c r="O53" s="652"/>
      <c r="P53" s="648" t="s">
        <v>40</v>
      </c>
      <c r="Q53" s="649"/>
      <c r="R53" s="649"/>
      <c r="S53" s="649"/>
      <c r="T53" s="649"/>
      <c r="U53" s="649"/>
      <c r="V53" s="650"/>
      <c r="W53" s="42" t="s">
        <v>39</v>
      </c>
      <c r="X53" s="43">
        <f>IFERROR(X49/H49,"0")+IFERROR(X50/H50,"0")+IFERROR(X51/H51,"0")+IFERROR(X52/H52,"0")</f>
        <v>0</v>
      </c>
      <c r="Y53" s="43">
        <f>IFERROR(Y49/H49,"0")+IFERROR(Y50/H50,"0")+IFERROR(Y51/H51,"0")+IFERROR(Y52/H52,"0")</f>
        <v>0</v>
      </c>
      <c r="Z53" s="43">
        <f>IFERROR(IF(Z49="",0,Z49),"0")+IFERROR(IF(Z50="",0,Z50),"0")+IFERROR(IF(Z51="",0,Z51),"0")+IFERROR(IF(Z52="",0,Z52),"0")</f>
        <v>0</v>
      </c>
      <c r="AA53" s="67"/>
      <c r="AB53" s="67"/>
      <c r="AC53" s="67"/>
    </row>
    <row r="54" spans="1:68" x14ac:dyDescent="0.2">
      <c r="A54" s="651"/>
      <c r="B54" s="651"/>
      <c r="C54" s="651"/>
      <c r="D54" s="651"/>
      <c r="E54" s="651"/>
      <c r="F54" s="651"/>
      <c r="G54" s="651"/>
      <c r="H54" s="651"/>
      <c r="I54" s="651"/>
      <c r="J54" s="651"/>
      <c r="K54" s="651"/>
      <c r="L54" s="651"/>
      <c r="M54" s="651"/>
      <c r="N54" s="651"/>
      <c r="O54" s="652"/>
      <c r="P54" s="648" t="s">
        <v>40</v>
      </c>
      <c r="Q54" s="649"/>
      <c r="R54" s="649"/>
      <c r="S54" s="649"/>
      <c r="T54" s="649"/>
      <c r="U54" s="649"/>
      <c r="V54" s="650"/>
      <c r="W54" s="42" t="s">
        <v>0</v>
      </c>
      <c r="X54" s="43">
        <f>IFERROR(SUM(X49:X52),"0")</f>
        <v>0</v>
      </c>
      <c r="Y54" s="43">
        <f>IFERROR(SUM(Y49:Y52),"0")</f>
        <v>0</v>
      </c>
      <c r="Z54" s="42"/>
      <c r="AA54" s="67"/>
      <c r="AB54" s="67"/>
      <c r="AC54" s="67"/>
    </row>
    <row r="55" spans="1:68" ht="16.5" customHeight="1" x14ac:dyDescent="0.25">
      <c r="A55" s="641" t="s">
        <v>137</v>
      </c>
      <c r="B55" s="641"/>
      <c r="C55" s="641"/>
      <c r="D55" s="641"/>
      <c r="E55" s="641"/>
      <c r="F55" s="641"/>
      <c r="G55" s="641"/>
      <c r="H55" s="641"/>
      <c r="I55" s="641"/>
      <c r="J55" s="641"/>
      <c r="K55" s="641"/>
      <c r="L55" s="641"/>
      <c r="M55" s="641"/>
      <c r="N55" s="641"/>
      <c r="O55" s="641"/>
      <c r="P55" s="641"/>
      <c r="Q55" s="641"/>
      <c r="R55" s="641"/>
      <c r="S55" s="641"/>
      <c r="T55" s="641"/>
      <c r="U55" s="641"/>
      <c r="V55" s="641"/>
      <c r="W55" s="641"/>
      <c r="X55" s="641"/>
      <c r="Y55" s="641"/>
      <c r="Z55" s="641"/>
      <c r="AA55" s="65"/>
      <c r="AB55" s="65"/>
      <c r="AC55" s="79"/>
    </row>
    <row r="56" spans="1:68" ht="14.25" customHeight="1" x14ac:dyDescent="0.25">
      <c r="A56" s="642" t="s">
        <v>122</v>
      </c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42"/>
      <c r="P56" s="642"/>
      <c r="Q56" s="642"/>
      <c r="R56" s="642"/>
      <c r="S56" s="642"/>
      <c r="T56" s="642"/>
      <c r="U56" s="642"/>
      <c r="V56" s="642"/>
      <c r="W56" s="642"/>
      <c r="X56" s="642"/>
      <c r="Y56" s="642"/>
      <c r="Z56" s="642"/>
      <c r="AA56" s="66"/>
      <c r="AB56" s="66"/>
      <c r="AC56" s="80"/>
    </row>
    <row r="57" spans="1:68" ht="27" customHeight="1" x14ac:dyDescent="0.25">
      <c r="A57" s="63" t="s">
        <v>138</v>
      </c>
      <c r="B57" s="63" t="s">
        <v>139</v>
      </c>
      <c r="C57" s="36">
        <v>4301012030</v>
      </c>
      <c r="D57" s="643">
        <v>4680115885882</v>
      </c>
      <c r="E57" s="643"/>
      <c r="F57" s="62">
        <v>1.4</v>
      </c>
      <c r="G57" s="37">
        <v>8</v>
      </c>
      <c r="H57" s="62">
        <v>11.2</v>
      </c>
      <c r="I57" s="62">
        <v>11.61</v>
      </c>
      <c r="J57" s="37">
        <v>64</v>
      </c>
      <c r="K57" s="37" t="s">
        <v>127</v>
      </c>
      <c r="L57" s="37" t="s">
        <v>46</v>
      </c>
      <c r="M57" s="38" t="s">
        <v>91</v>
      </c>
      <c r="N57" s="38"/>
      <c r="O57" s="37">
        <v>50</v>
      </c>
      <c r="P57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7" s="645"/>
      <c r="R57" s="645"/>
      <c r="S57" s="645"/>
      <c r="T57" s="64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ref="Y57:Y62" si="6">IFERROR(IF(X57="",0,CEILING((X57/$H57),1)*$H57),"")</f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16" t="s">
        <v>140</v>
      </c>
      <c r="AG57" s="78"/>
      <c r="AJ57" s="84" t="s">
        <v>46</v>
      </c>
      <c r="AK57" s="84">
        <v>0</v>
      </c>
      <c r="BB57" s="117" t="s">
        <v>67</v>
      </c>
      <c r="BM57" s="78">
        <f t="shared" ref="BM57:BM62" si="7">IFERROR(X57*I57/H57,"0")</f>
        <v>0</v>
      </c>
      <c r="BN57" s="78">
        <f t="shared" ref="BN57:BN62" si="8">IFERROR(Y57*I57/H57,"0")</f>
        <v>0</v>
      </c>
      <c r="BO57" s="78">
        <f t="shared" ref="BO57:BO62" si="9">IFERROR(1/J57*(X57/H57),"0")</f>
        <v>0</v>
      </c>
      <c r="BP57" s="78">
        <f t="shared" ref="BP57:BP62" si="10">IFERROR(1/J57*(Y57/H57),"0")</f>
        <v>0</v>
      </c>
    </row>
    <row r="58" spans="1:68" ht="27" customHeight="1" x14ac:dyDescent="0.25">
      <c r="A58" s="63" t="s">
        <v>141</v>
      </c>
      <c r="B58" s="63" t="s">
        <v>142</v>
      </c>
      <c r="C58" s="36">
        <v>4301011816</v>
      </c>
      <c r="D58" s="643">
        <v>4680115881426</v>
      </c>
      <c r="E58" s="643"/>
      <c r="F58" s="62">
        <v>1.35</v>
      </c>
      <c r="G58" s="37">
        <v>8</v>
      </c>
      <c r="H58" s="62">
        <v>10.8</v>
      </c>
      <c r="I58" s="62">
        <v>11.21</v>
      </c>
      <c r="J58" s="37">
        <v>64</v>
      </c>
      <c r="K58" s="37" t="s">
        <v>127</v>
      </c>
      <c r="L58" s="37" t="s">
        <v>46</v>
      </c>
      <c r="M58" s="38" t="s">
        <v>126</v>
      </c>
      <c r="N58" s="38"/>
      <c r="O58" s="37">
        <v>50</v>
      </c>
      <c r="P58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8" s="645"/>
      <c r="R58" s="645"/>
      <c r="S58" s="645"/>
      <c r="T58" s="646"/>
      <c r="U58" s="39" t="s">
        <v>46</v>
      </c>
      <c r="V58" s="39" t="s">
        <v>46</v>
      </c>
      <c r="W58" s="40" t="s">
        <v>0</v>
      </c>
      <c r="X58" s="58">
        <v>50</v>
      </c>
      <c r="Y58" s="55">
        <f t="shared" si="6"/>
        <v>54</v>
      </c>
      <c r="Z58" s="41">
        <f>IFERROR(IF(Y58=0,"",ROUNDUP(Y58/H58,0)*0.01898),"")</f>
        <v>9.4899999999999998E-2</v>
      </c>
      <c r="AA58" s="68" t="s">
        <v>46</v>
      </c>
      <c r="AB58" s="69" t="s">
        <v>46</v>
      </c>
      <c r="AC58" s="118" t="s">
        <v>143</v>
      </c>
      <c r="AG58" s="78"/>
      <c r="AJ58" s="84" t="s">
        <v>46</v>
      </c>
      <c r="AK58" s="84">
        <v>0</v>
      </c>
      <c r="BB58" s="119" t="s">
        <v>67</v>
      </c>
      <c r="BM58" s="78">
        <f t="shared" si="7"/>
        <v>51.898148148148145</v>
      </c>
      <c r="BN58" s="78">
        <f t="shared" si="8"/>
        <v>56.05</v>
      </c>
      <c r="BO58" s="78">
        <f t="shared" si="9"/>
        <v>7.2337962962962965E-2</v>
      </c>
      <c r="BP58" s="78">
        <f t="shared" si="10"/>
        <v>7.8125E-2</v>
      </c>
    </row>
    <row r="59" spans="1:68" ht="27" customHeight="1" x14ac:dyDescent="0.25">
      <c r="A59" s="63" t="s">
        <v>144</v>
      </c>
      <c r="B59" s="63" t="s">
        <v>145</v>
      </c>
      <c r="C59" s="36">
        <v>4301011386</v>
      </c>
      <c r="D59" s="643">
        <v>4680115880283</v>
      </c>
      <c r="E59" s="643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66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9" s="645"/>
      <c r="R59" s="645"/>
      <c r="S59" s="645"/>
      <c r="T59" s="64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customHeight="1" x14ac:dyDescent="0.25">
      <c r="A60" s="63" t="s">
        <v>147</v>
      </c>
      <c r="B60" s="63" t="s">
        <v>148</v>
      </c>
      <c r="C60" s="36">
        <v>4301011806</v>
      </c>
      <c r="D60" s="643">
        <v>4680115881525</v>
      </c>
      <c r="E60" s="64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66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5"/>
      <c r="R60" s="645"/>
      <c r="S60" s="645"/>
      <c r="T60" s="64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4301011589</v>
      </c>
      <c r="D61" s="643">
        <v>4680115885899</v>
      </c>
      <c r="E61" s="64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97</v>
      </c>
      <c r="N61" s="38"/>
      <c r="O61" s="37">
        <v>50</v>
      </c>
      <c r="P61" s="67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1" s="645"/>
      <c r="R61" s="645"/>
      <c r="S61" s="645"/>
      <c r="T61" s="64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37.5" customHeight="1" x14ac:dyDescent="0.25">
      <c r="A62" s="63" t="s">
        <v>153</v>
      </c>
      <c r="B62" s="63" t="s">
        <v>154</v>
      </c>
      <c r="C62" s="36">
        <v>4301011801</v>
      </c>
      <c r="D62" s="643">
        <v>4680115881419</v>
      </c>
      <c r="E62" s="64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67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5"/>
      <c r="R62" s="645"/>
      <c r="S62" s="645"/>
      <c r="T62" s="646"/>
      <c r="U62" s="39" t="s">
        <v>46</v>
      </c>
      <c r="V62" s="39" t="s">
        <v>46</v>
      </c>
      <c r="W62" s="40" t="s">
        <v>0</v>
      </c>
      <c r="X62" s="58"/>
      <c r="Y62" s="55">
        <f t="shared" si="6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IFERROR(X57/H57,"0")+IFERROR(X58/H58,"0")+IFERROR(X59/H59,"0")+IFERROR(X60/H60,"0")+IFERROR(X61/H61,"0")+IFERROR(X62/H62,"0")</f>
        <v>4.6296296296296298</v>
      </c>
      <c r="Y63" s="43">
        <f>IFERROR(Y57/H57,"0")+IFERROR(Y58/H58,"0")+IFERROR(Y59/H59,"0")+IFERROR(Y60/H60,"0")+IFERROR(Y61/H61,"0")+IFERROR(Y62/H62,"0")</f>
        <v>5</v>
      </c>
      <c r="Z63" s="43">
        <f>IFERROR(IF(Z57="",0,Z57),"0")+IFERROR(IF(Z58="",0,Z58),"0")+IFERROR(IF(Z59="",0,Z59),"0")+IFERROR(IF(Z60="",0,Z60),"0")+IFERROR(IF(Z61="",0,Z61),"0")+IFERROR(IF(Z62="",0,Z62),"0")</f>
        <v>9.4899999999999998E-2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IFERROR(SUM(X57:X62),"0")</f>
        <v>50</v>
      </c>
      <c r="Y64" s="43">
        <f>IFERROR(SUM(Y57:Y62),"0")</f>
        <v>54</v>
      </c>
      <c r="Z64" s="42"/>
      <c r="AA64" s="67"/>
      <c r="AB64" s="67"/>
      <c r="AC64" s="67"/>
    </row>
    <row r="65" spans="1:68" ht="14.25" customHeight="1" x14ac:dyDescent="0.25">
      <c r="A65" s="642" t="s">
        <v>156</v>
      </c>
      <c r="B65" s="642"/>
      <c r="C65" s="642"/>
      <c r="D65" s="642"/>
      <c r="E65" s="642"/>
      <c r="F65" s="642"/>
      <c r="G65" s="642"/>
      <c r="H65" s="642"/>
      <c r="I65" s="642"/>
      <c r="J65" s="642"/>
      <c r="K65" s="642"/>
      <c r="L65" s="642"/>
      <c r="M65" s="642"/>
      <c r="N65" s="642"/>
      <c r="O65" s="642"/>
      <c r="P65" s="642"/>
      <c r="Q65" s="642"/>
      <c r="R65" s="642"/>
      <c r="S65" s="642"/>
      <c r="T65" s="642"/>
      <c r="U65" s="642"/>
      <c r="V65" s="642"/>
      <c r="W65" s="642"/>
      <c r="X65" s="642"/>
      <c r="Y65" s="642"/>
      <c r="Z65" s="642"/>
      <c r="AA65" s="66"/>
      <c r="AB65" s="66"/>
      <c r="AC65" s="80"/>
    </row>
    <row r="66" spans="1:68" ht="16.5" customHeight="1" x14ac:dyDescent="0.25">
      <c r="A66" s="63" t="s">
        <v>157</v>
      </c>
      <c r="B66" s="63" t="s">
        <v>158</v>
      </c>
      <c r="C66" s="36">
        <v>4301020298</v>
      </c>
      <c r="D66" s="643">
        <v>4680115881440</v>
      </c>
      <c r="E66" s="643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6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5"/>
      <c r="R66" s="645"/>
      <c r="S66" s="645"/>
      <c r="T66" s="646"/>
      <c r="U66" s="39" t="s">
        <v>46</v>
      </c>
      <c r="V66" s="39" t="s">
        <v>46</v>
      </c>
      <c r="W66" s="40" t="s">
        <v>0</v>
      </c>
      <c r="X66" s="58">
        <v>40</v>
      </c>
      <c r="Y66" s="55">
        <f>IFERROR(IF(X66="",0,CEILING((X66/$H66),1)*$H66),"")</f>
        <v>43.2</v>
      </c>
      <c r="Z66" s="41">
        <f>IFERROR(IF(Y66=0,"",ROUNDUP(Y66/H66,0)*0.01898),"")</f>
        <v>7.5920000000000001E-2</v>
      </c>
      <c r="AA66" s="68" t="s">
        <v>46</v>
      </c>
      <c r="AB66" s="69" t="s">
        <v>46</v>
      </c>
      <c r="AC66" s="128" t="s">
        <v>159</v>
      </c>
      <c r="AG66" s="78"/>
      <c r="AJ66" s="84" t="s">
        <v>46</v>
      </c>
      <c r="AK66" s="84">
        <v>0</v>
      </c>
      <c r="BB66" s="129" t="s">
        <v>67</v>
      </c>
      <c r="BM66" s="78">
        <f>IFERROR(X66*I66/H66,"0")</f>
        <v>41.518518518518519</v>
      </c>
      <c r="BN66" s="78">
        <f>IFERROR(Y66*I66/H66,"0")</f>
        <v>44.84</v>
      </c>
      <c r="BO66" s="78">
        <f>IFERROR(1/J66*(X66/H66),"0")</f>
        <v>5.7870370370370364E-2</v>
      </c>
      <c r="BP66" s="78">
        <f>IFERROR(1/J66*(Y66/H66),"0")</f>
        <v>6.25E-2</v>
      </c>
    </row>
    <row r="67" spans="1:68" ht="16.5" customHeight="1" x14ac:dyDescent="0.25">
      <c r="A67" s="63" t="s">
        <v>160</v>
      </c>
      <c r="B67" s="63" t="s">
        <v>161</v>
      </c>
      <c r="C67" s="36">
        <v>4301020358</v>
      </c>
      <c r="D67" s="643">
        <v>4680115885950</v>
      </c>
      <c r="E67" s="643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91</v>
      </c>
      <c r="N67" s="38"/>
      <c r="O67" s="37">
        <v>50</v>
      </c>
      <c r="P67" s="6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5"/>
      <c r="R67" s="645"/>
      <c r="S67" s="645"/>
      <c r="T67" s="64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0" t="s">
        <v>159</v>
      </c>
      <c r="AG67" s="78"/>
      <c r="AJ67" s="84" t="s">
        <v>46</v>
      </c>
      <c r="AK67" s="84">
        <v>0</v>
      </c>
      <c r="BB67" s="131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162</v>
      </c>
      <c r="B68" s="63" t="s">
        <v>163</v>
      </c>
      <c r="C68" s="36">
        <v>4301020371</v>
      </c>
      <c r="D68" s="643">
        <v>4680115887688</v>
      </c>
      <c r="E68" s="643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6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5"/>
      <c r="R68" s="645"/>
      <c r="S68" s="645"/>
      <c r="T68" s="64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2" t="s">
        <v>164</v>
      </c>
      <c r="AG68" s="78"/>
      <c r="AJ68" s="84" t="s">
        <v>46</v>
      </c>
      <c r="AK68" s="84">
        <v>0</v>
      </c>
      <c r="BB68" s="133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165</v>
      </c>
      <c r="B69" s="63" t="s">
        <v>166</v>
      </c>
      <c r="C69" s="36">
        <v>4301020296</v>
      </c>
      <c r="D69" s="643">
        <v>4680115881433</v>
      </c>
      <c r="E69" s="643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126</v>
      </c>
      <c r="N69" s="38"/>
      <c r="O69" s="37">
        <v>50</v>
      </c>
      <c r="P69" s="67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5"/>
      <c r="R69" s="645"/>
      <c r="S69" s="645"/>
      <c r="T69" s="64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34" t="s">
        <v>159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3.7037037037037033</v>
      </c>
      <c r="Y70" s="43">
        <f>IFERROR(Y66/H66,"0")+IFERROR(Y67/H67,"0")+IFERROR(Y68/H68,"0")+IFERROR(Y69/H69,"0")</f>
        <v>4</v>
      </c>
      <c r="Z70" s="43">
        <f>IFERROR(IF(Z66="",0,Z66),"0")+IFERROR(IF(Z67="",0,Z67),"0")+IFERROR(IF(Z68="",0,Z68),"0")+IFERROR(IF(Z69="",0,Z69),"0")</f>
        <v>7.5920000000000001E-2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40</v>
      </c>
      <c r="Y71" s="43">
        <f>IFERROR(SUM(Y66:Y69),"0")</f>
        <v>43.2</v>
      </c>
      <c r="Z71" s="42"/>
      <c r="AA71" s="67"/>
      <c r="AB71" s="67"/>
      <c r="AC71" s="67"/>
    </row>
    <row r="72" spans="1:68" ht="14.25" customHeight="1" x14ac:dyDescent="0.25">
      <c r="A72" s="642" t="s">
        <v>77</v>
      </c>
      <c r="B72" s="642"/>
      <c r="C72" s="642"/>
      <c r="D72" s="642"/>
      <c r="E72" s="642"/>
      <c r="F72" s="642"/>
      <c r="G72" s="642"/>
      <c r="H72" s="642"/>
      <c r="I72" s="642"/>
      <c r="J72" s="642"/>
      <c r="K72" s="642"/>
      <c r="L72" s="642"/>
      <c r="M72" s="642"/>
      <c r="N72" s="642"/>
      <c r="O72" s="642"/>
      <c r="P72" s="642"/>
      <c r="Q72" s="642"/>
      <c r="R72" s="642"/>
      <c r="S72" s="642"/>
      <c r="T72" s="642"/>
      <c r="U72" s="642"/>
      <c r="V72" s="642"/>
      <c r="W72" s="642"/>
      <c r="X72" s="642"/>
      <c r="Y72" s="642"/>
      <c r="Z72" s="642"/>
      <c r="AA72" s="66"/>
      <c r="AB72" s="66"/>
      <c r="AC72" s="80"/>
    </row>
    <row r="73" spans="1:68" ht="27" customHeight="1" x14ac:dyDescent="0.25">
      <c r="A73" s="63" t="s">
        <v>167</v>
      </c>
      <c r="B73" s="63" t="s">
        <v>168</v>
      </c>
      <c r="C73" s="36">
        <v>4301031316</v>
      </c>
      <c r="D73" s="643">
        <v>4680115885097</v>
      </c>
      <c r="E73" s="643"/>
      <c r="F73" s="62">
        <v>0.3</v>
      </c>
      <c r="G73" s="37">
        <v>6</v>
      </c>
      <c r="H73" s="62">
        <v>1.8</v>
      </c>
      <c r="I73" s="62">
        <v>1.9</v>
      </c>
      <c r="J73" s="37">
        <v>234</v>
      </c>
      <c r="K73" s="37" t="s">
        <v>86</v>
      </c>
      <c r="L73" s="37" t="s">
        <v>46</v>
      </c>
      <c r="M73" s="38" t="s">
        <v>81</v>
      </c>
      <c r="N73" s="38"/>
      <c r="O73" s="37">
        <v>40</v>
      </c>
      <c r="P73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3" s="645"/>
      <c r="R73" s="645"/>
      <c r="S73" s="645"/>
      <c r="T73" s="64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IFERROR(IF(Y73=0,"",ROUNDUP(Y73/H73,0)*0.00502),"")</f>
        <v/>
      </c>
      <c r="AA73" s="68" t="s">
        <v>46</v>
      </c>
      <c r="AB73" s="69" t="s">
        <v>46</v>
      </c>
      <c r="AC73" s="136" t="s">
        <v>169</v>
      </c>
      <c r="AG73" s="78"/>
      <c r="AJ73" s="84" t="s">
        <v>46</v>
      </c>
      <c r="AK73" s="84">
        <v>0</v>
      </c>
      <c r="BB73" s="137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51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2"/>
      <c r="P74" s="648" t="s">
        <v>40</v>
      </c>
      <c r="Q74" s="649"/>
      <c r="R74" s="649"/>
      <c r="S74" s="649"/>
      <c r="T74" s="649"/>
      <c r="U74" s="649"/>
      <c r="V74" s="650"/>
      <c r="W74" s="42" t="s">
        <v>39</v>
      </c>
      <c r="X74" s="43">
        <f>IFERROR(X73/H73,"0")</f>
        <v>0</v>
      </c>
      <c r="Y74" s="43">
        <f>IFERROR(Y73/H73,"0")</f>
        <v>0</v>
      </c>
      <c r="Z74" s="43">
        <f>IFERROR(IF(Z73="",0,Z73),"0")</f>
        <v>0</v>
      </c>
      <c r="AA74" s="67"/>
      <c r="AB74" s="67"/>
      <c r="AC74" s="67"/>
    </row>
    <row r="75" spans="1:68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0</v>
      </c>
      <c r="X75" s="43">
        <f>IFERROR(SUM(X73:X73),"0")</f>
        <v>0</v>
      </c>
      <c r="Y75" s="43">
        <f>IFERROR(SUM(Y73:Y73),"0")</f>
        <v>0</v>
      </c>
      <c r="Z75" s="42"/>
      <c r="AA75" s="67"/>
      <c r="AB75" s="67"/>
      <c r="AC75" s="67"/>
    </row>
    <row r="76" spans="1:68" ht="14.25" customHeight="1" x14ac:dyDescent="0.25">
      <c r="A76" s="642" t="s">
        <v>87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6"/>
      <c r="AB76" s="66"/>
      <c r="AC76" s="80"/>
    </row>
    <row r="77" spans="1:68" ht="16.5" customHeight="1" x14ac:dyDescent="0.25">
      <c r="A77" s="63" t="s">
        <v>170</v>
      </c>
      <c r="B77" s="63" t="s">
        <v>171</v>
      </c>
      <c r="C77" s="36">
        <v>4301051837</v>
      </c>
      <c r="D77" s="643">
        <v>4680115884311</v>
      </c>
      <c r="E77" s="64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82</v>
      </c>
      <c r="L77" s="37" t="s">
        <v>46</v>
      </c>
      <c r="M77" s="38" t="s">
        <v>91</v>
      </c>
      <c r="N77" s="38"/>
      <c r="O77" s="37">
        <v>40</v>
      </c>
      <c r="P77" s="67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5"/>
      <c r="R77" s="645"/>
      <c r="S77" s="645"/>
      <c r="T77" s="64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38" t="s">
        <v>172</v>
      </c>
      <c r="AG77" s="78"/>
      <c r="AJ77" s="84" t="s">
        <v>46</v>
      </c>
      <c r="AK77" s="84">
        <v>0</v>
      </c>
      <c r="BB77" s="139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173</v>
      </c>
      <c r="B78" s="63" t="s">
        <v>174</v>
      </c>
      <c r="C78" s="36">
        <v>4301051929</v>
      </c>
      <c r="D78" s="643">
        <v>4680115884403</v>
      </c>
      <c r="E78" s="64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82</v>
      </c>
      <c r="L78" s="37" t="s">
        <v>46</v>
      </c>
      <c r="M78" s="38" t="s">
        <v>91</v>
      </c>
      <c r="N78" s="38"/>
      <c r="O78" s="37">
        <v>40</v>
      </c>
      <c r="P78" s="67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5"/>
      <c r="R78" s="645"/>
      <c r="S78" s="645"/>
      <c r="T78" s="64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0" t="s">
        <v>175</v>
      </c>
      <c r="AG78" s="78"/>
      <c r="AJ78" s="84" t="s">
        <v>46</v>
      </c>
      <c r="AK78" s="84">
        <v>0</v>
      </c>
      <c r="BB78" s="141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51"/>
      <c r="B79" s="651"/>
      <c r="C79" s="651"/>
      <c r="D79" s="651"/>
      <c r="E79" s="651"/>
      <c r="F79" s="651"/>
      <c r="G79" s="651"/>
      <c r="H79" s="651"/>
      <c r="I79" s="651"/>
      <c r="J79" s="651"/>
      <c r="K79" s="651"/>
      <c r="L79" s="651"/>
      <c r="M79" s="651"/>
      <c r="N79" s="651"/>
      <c r="O79" s="652"/>
      <c r="P79" s="648" t="s">
        <v>40</v>
      </c>
      <c r="Q79" s="649"/>
      <c r="R79" s="649"/>
      <c r="S79" s="649"/>
      <c r="T79" s="649"/>
      <c r="U79" s="649"/>
      <c r="V79" s="65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42" t="s">
        <v>176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6"/>
      <c r="AB81" s="66"/>
      <c r="AC81" s="80"/>
    </row>
    <row r="82" spans="1:68" ht="27" customHeight="1" x14ac:dyDescent="0.25">
      <c r="A82" s="63" t="s">
        <v>177</v>
      </c>
      <c r="B82" s="63" t="s">
        <v>178</v>
      </c>
      <c r="C82" s="36">
        <v>4301060455</v>
      </c>
      <c r="D82" s="643">
        <v>4680115881532</v>
      </c>
      <c r="E82" s="64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6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5"/>
      <c r="R82" s="645"/>
      <c r="S82" s="645"/>
      <c r="T82" s="646"/>
      <c r="U82" s="39" t="s">
        <v>46</v>
      </c>
      <c r="V82" s="39" t="s">
        <v>46</v>
      </c>
      <c r="W82" s="40" t="s">
        <v>0</v>
      </c>
      <c r="X82" s="58"/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2" t="s">
        <v>179</v>
      </c>
      <c r="AG82" s="78"/>
      <c r="AJ82" s="84" t="s">
        <v>46</v>
      </c>
      <c r="AK82" s="84">
        <v>0</v>
      </c>
      <c r="BB82" s="143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180</v>
      </c>
      <c r="B83" s="63" t="s">
        <v>181</v>
      </c>
      <c r="C83" s="36">
        <v>4301060351</v>
      </c>
      <c r="D83" s="643">
        <v>4680115881464</v>
      </c>
      <c r="E83" s="643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91</v>
      </c>
      <c r="N83" s="38"/>
      <c r="O83" s="37">
        <v>30</v>
      </c>
      <c r="P83" s="68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5"/>
      <c r="R83" s="645"/>
      <c r="S83" s="645"/>
      <c r="T83" s="64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44" t="s">
        <v>182</v>
      </c>
      <c r="AG83" s="78"/>
      <c r="AJ83" s="84" t="s">
        <v>46</v>
      </c>
      <c r="AK83" s="84">
        <v>0</v>
      </c>
      <c r="BB83" s="145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51"/>
      <c r="B84" s="651"/>
      <c r="C84" s="651"/>
      <c r="D84" s="651"/>
      <c r="E84" s="651"/>
      <c r="F84" s="651"/>
      <c r="G84" s="651"/>
      <c r="H84" s="651"/>
      <c r="I84" s="651"/>
      <c r="J84" s="651"/>
      <c r="K84" s="651"/>
      <c r="L84" s="651"/>
      <c r="M84" s="651"/>
      <c r="N84" s="651"/>
      <c r="O84" s="652"/>
      <c r="P84" s="648" t="s">
        <v>40</v>
      </c>
      <c r="Q84" s="649"/>
      <c r="R84" s="649"/>
      <c r="S84" s="649"/>
      <c r="T84" s="649"/>
      <c r="U84" s="649"/>
      <c r="V84" s="650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51"/>
      <c r="B85" s="651"/>
      <c r="C85" s="651"/>
      <c r="D85" s="651"/>
      <c r="E85" s="651"/>
      <c r="F85" s="651"/>
      <c r="G85" s="651"/>
      <c r="H85" s="651"/>
      <c r="I85" s="651"/>
      <c r="J85" s="651"/>
      <c r="K85" s="651"/>
      <c r="L85" s="651"/>
      <c r="M85" s="651"/>
      <c r="N85" s="651"/>
      <c r="O85" s="652"/>
      <c r="P85" s="648" t="s">
        <v>40</v>
      </c>
      <c r="Q85" s="649"/>
      <c r="R85" s="649"/>
      <c r="S85" s="649"/>
      <c r="T85" s="649"/>
      <c r="U85" s="649"/>
      <c r="V85" s="650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41" t="s">
        <v>183</v>
      </c>
      <c r="B86" s="641"/>
      <c r="C86" s="641"/>
      <c r="D86" s="641"/>
      <c r="E86" s="641"/>
      <c r="F86" s="641"/>
      <c r="G86" s="641"/>
      <c r="H86" s="641"/>
      <c r="I86" s="641"/>
      <c r="J86" s="641"/>
      <c r="K86" s="641"/>
      <c r="L86" s="641"/>
      <c r="M86" s="641"/>
      <c r="N86" s="641"/>
      <c r="O86" s="641"/>
      <c r="P86" s="641"/>
      <c r="Q86" s="641"/>
      <c r="R86" s="641"/>
      <c r="S86" s="641"/>
      <c r="T86" s="641"/>
      <c r="U86" s="641"/>
      <c r="V86" s="641"/>
      <c r="W86" s="641"/>
      <c r="X86" s="641"/>
      <c r="Y86" s="641"/>
      <c r="Z86" s="641"/>
      <c r="AA86" s="65"/>
      <c r="AB86" s="65"/>
      <c r="AC86" s="79"/>
    </row>
    <row r="87" spans="1:68" ht="14.25" customHeight="1" x14ac:dyDescent="0.25">
      <c r="A87" s="642" t="s">
        <v>122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6"/>
      <c r="AB87" s="66"/>
      <c r="AC87" s="80"/>
    </row>
    <row r="88" spans="1:68" ht="27" customHeight="1" x14ac:dyDescent="0.25">
      <c r="A88" s="63" t="s">
        <v>184</v>
      </c>
      <c r="B88" s="63" t="s">
        <v>185</v>
      </c>
      <c r="C88" s="36">
        <v>4301011468</v>
      </c>
      <c r="D88" s="643">
        <v>4680115881327</v>
      </c>
      <c r="E88" s="643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6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5"/>
      <c r="R88" s="645"/>
      <c r="S88" s="645"/>
      <c r="T88" s="646"/>
      <c r="U88" s="39" t="s">
        <v>46</v>
      </c>
      <c r="V88" s="39" t="s">
        <v>46</v>
      </c>
      <c r="W88" s="40" t="s">
        <v>0</v>
      </c>
      <c r="X88" s="58"/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46" t="s">
        <v>186</v>
      </c>
      <c r="AG88" s="78"/>
      <c r="AJ88" s="84" t="s">
        <v>46</v>
      </c>
      <c r="AK88" s="84">
        <v>0</v>
      </c>
      <c r="BB88" s="147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187</v>
      </c>
      <c r="B89" s="63" t="s">
        <v>188</v>
      </c>
      <c r="C89" s="36">
        <v>4301011261</v>
      </c>
      <c r="D89" s="643">
        <v>4680115887732</v>
      </c>
      <c r="E89" s="643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68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5"/>
      <c r="R89" s="645"/>
      <c r="S89" s="645"/>
      <c r="T89" s="64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48" t="s">
        <v>189</v>
      </c>
      <c r="AG89" s="78"/>
      <c r="AJ89" s="84" t="s">
        <v>46</v>
      </c>
      <c r="AK89" s="84">
        <v>0</v>
      </c>
      <c r="BB89" s="149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190</v>
      </c>
      <c r="B90" s="63" t="s">
        <v>191</v>
      </c>
      <c r="C90" s="36">
        <v>4301011476</v>
      </c>
      <c r="D90" s="643">
        <v>4680115881518</v>
      </c>
      <c r="E90" s="64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91</v>
      </c>
      <c r="N90" s="38"/>
      <c r="O90" s="37">
        <v>50</v>
      </c>
      <c r="P90" s="68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5"/>
      <c r="R90" s="645"/>
      <c r="S90" s="645"/>
      <c r="T90" s="64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0" t="s">
        <v>186</v>
      </c>
      <c r="AG90" s="78"/>
      <c r="AJ90" s="84" t="s">
        <v>46</v>
      </c>
      <c r="AK90" s="84">
        <v>0</v>
      </c>
      <c r="BB90" s="151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192</v>
      </c>
      <c r="B91" s="63" t="s">
        <v>193</v>
      </c>
      <c r="C91" s="36">
        <v>4301011443</v>
      </c>
      <c r="D91" s="643">
        <v>4680115881303</v>
      </c>
      <c r="E91" s="643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97</v>
      </c>
      <c r="N91" s="38"/>
      <c r="O91" s="37">
        <v>50</v>
      </c>
      <c r="P91" s="68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5"/>
      <c r="R91" s="645"/>
      <c r="S91" s="645"/>
      <c r="T91" s="646"/>
      <c r="U91" s="39" t="s">
        <v>46</v>
      </c>
      <c r="V91" s="39" t="s">
        <v>46</v>
      </c>
      <c r="W91" s="40" t="s">
        <v>0</v>
      </c>
      <c r="X91" s="58">
        <v>22.5</v>
      </c>
      <c r="Y91" s="55">
        <f>IFERROR(IF(X91="",0,CEILING((X91/$H91),1)*$H91),"")</f>
        <v>22.5</v>
      </c>
      <c r="Z91" s="41">
        <f>IFERROR(IF(Y91=0,"",ROUNDUP(Y91/H91,0)*0.00902),"")</f>
        <v>4.5100000000000001E-2</v>
      </c>
      <c r="AA91" s="68" t="s">
        <v>46</v>
      </c>
      <c r="AB91" s="69" t="s">
        <v>46</v>
      </c>
      <c r="AC91" s="152" t="s">
        <v>186</v>
      </c>
      <c r="AG91" s="78"/>
      <c r="AJ91" s="84" t="s">
        <v>46</v>
      </c>
      <c r="AK91" s="84">
        <v>0</v>
      </c>
      <c r="BB91" s="153" t="s">
        <v>67</v>
      </c>
      <c r="BM91" s="78">
        <f>IFERROR(X91*I91/H91,"0")</f>
        <v>23.450000000000003</v>
      </c>
      <c r="BN91" s="78">
        <f>IFERROR(Y91*I91/H91,"0")</f>
        <v>23.450000000000003</v>
      </c>
      <c r="BO91" s="78">
        <f>IFERROR(1/J91*(X91/H91),"0")</f>
        <v>3.787878787878788E-2</v>
      </c>
      <c r="BP91" s="78">
        <f>IFERROR(1/J91*(Y91/H91),"0")</f>
        <v>3.787878787878788E-2</v>
      </c>
    </row>
    <row r="92" spans="1:68" x14ac:dyDescent="0.2">
      <c r="A92" s="651"/>
      <c r="B92" s="651"/>
      <c r="C92" s="651"/>
      <c r="D92" s="651"/>
      <c r="E92" s="651"/>
      <c r="F92" s="651"/>
      <c r="G92" s="651"/>
      <c r="H92" s="651"/>
      <c r="I92" s="651"/>
      <c r="J92" s="651"/>
      <c r="K92" s="651"/>
      <c r="L92" s="651"/>
      <c r="M92" s="651"/>
      <c r="N92" s="651"/>
      <c r="O92" s="652"/>
      <c r="P92" s="648" t="s">
        <v>40</v>
      </c>
      <c r="Q92" s="649"/>
      <c r="R92" s="649"/>
      <c r="S92" s="649"/>
      <c r="T92" s="649"/>
      <c r="U92" s="649"/>
      <c r="V92" s="650"/>
      <c r="W92" s="42" t="s">
        <v>39</v>
      </c>
      <c r="X92" s="43">
        <f>IFERROR(X88/H88,"0")+IFERROR(X89/H89,"0")+IFERROR(X90/H90,"0")+IFERROR(X91/H91,"0")</f>
        <v>5</v>
      </c>
      <c r="Y92" s="43">
        <f>IFERROR(Y88/H88,"0")+IFERROR(Y89/H89,"0")+IFERROR(Y90/H90,"0")+IFERROR(Y91/H91,"0")</f>
        <v>5</v>
      </c>
      <c r="Z92" s="43">
        <f>IFERROR(IF(Z88="",0,Z88),"0")+IFERROR(IF(Z89="",0,Z89),"0")+IFERROR(IF(Z90="",0,Z90),"0")+IFERROR(IF(Z91="",0,Z91),"0")</f>
        <v>4.5100000000000001E-2</v>
      </c>
      <c r="AA92" s="67"/>
      <c r="AB92" s="67"/>
      <c r="AC92" s="67"/>
    </row>
    <row r="93" spans="1:68" x14ac:dyDescent="0.2">
      <c r="A93" s="651"/>
      <c r="B93" s="651"/>
      <c r="C93" s="651"/>
      <c r="D93" s="651"/>
      <c r="E93" s="651"/>
      <c r="F93" s="651"/>
      <c r="G93" s="651"/>
      <c r="H93" s="651"/>
      <c r="I93" s="651"/>
      <c r="J93" s="651"/>
      <c r="K93" s="651"/>
      <c r="L93" s="651"/>
      <c r="M93" s="651"/>
      <c r="N93" s="651"/>
      <c r="O93" s="652"/>
      <c r="P93" s="648" t="s">
        <v>40</v>
      </c>
      <c r="Q93" s="649"/>
      <c r="R93" s="649"/>
      <c r="S93" s="649"/>
      <c r="T93" s="649"/>
      <c r="U93" s="649"/>
      <c r="V93" s="650"/>
      <c r="W93" s="42" t="s">
        <v>0</v>
      </c>
      <c r="X93" s="43">
        <f>IFERROR(SUM(X88:X91),"0")</f>
        <v>22.5</v>
      </c>
      <c r="Y93" s="43">
        <f>IFERROR(SUM(Y88:Y91),"0")</f>
        <v>22.5</v>
      </c>
      <c r="Z93" s="42"/>
      <c r="AA93" s="67"/>
      <c r="AB93" s="67"/>
      <c r="AC93" s="67"/>
    </row>
    <row r="94" spans="1:68" ht="14.25" customHeight="1" x14ac:dyDescent="0.25">
      <c r="A94" s="642" t="s">
        <v>87</v>
      </c>
      <c r="B94" s="642"/>
      <c r="C94" s="642"/>
      <c r="D94" s="642"/>
      <c r="E94" s="642"/>
      <c r="F94" s="642"/>
      <c r="G94" s="642"/>
      <c r="H94" s="642"/>
      <c r="I94" s="642"/>
      <c r="J94" s="642"/>
      <c r="K94" s="642"/>
      <c r="L94" s="642"/>
      <c r="M94" s="642"/>
      <c r="N94" s="642"/>
      <c r="O94" s="642"/>
      <c r="P94" s="642"/>
      <c r="Q94" s="642"/>
      <c r="R94" s="642"/>
      <c r="S94" s="642"/>
      <c r="T94" s="642"/>
      <c r="U94" s="642"/>
      <c r="V94" s="642"/>
      <c r="W94" s="642"/>
      <c r="X94" s="642"/>
      <c r="Y94" s="642"/>
      <c r="Z94" s="642"/>
      <c r="AA94" s="66"/>
      <c r="AB94" s="66"/>
      <c r="AC94" s="80"/>
    </row>
    <row r="95" spans="1:68" ht="27" customHeight="1" x14ac:dyDescent="0.25">
      <c r="A95" s="63" t="s">
        <v>194</v>
      </c>
      <c r="B95" s="63" t="s">
        <v>195</v>
      </c>
      <c r="C95" s="36">
        <v>4301051712</v>
      </c>
      <c r="D95" s="643">
        <v>4607091386967</v>
      </c>
      <c r="E95" s="643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68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5"/>
      <c r="R95" s="645"/>
      <c r="S95" s="645"/>
      <c r="T95" s="646"/>
      <c r="U95" s="39" t="s">
        <v>46</v>
      </c>
      <c r="V95" s="39" t="s">
        <v>46</v>
      </c>
      <c r="W95" s="40" t="s">
        <v>0</v>
      </c>
      <c r="X95" s="58"/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54" t="s">
        <v>196</v>
      </c>
      <c r="AG95" s="78"/>
      <c r="AJ95" s="84" t="s">
        <v>46</v>
      </c>
      <c r="AK95" s="84">
        <v>0</v>
      </c>
      <c r="BB95" s="155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197</v>
      </c>
      <c r="B96" s="63" t="s">
        <v>198</v>
      </c>
      <c r="C96" s="36">
        <v>4301051788</v>
      </c>
      <c r="D96" s="643">
        <v>4680115884953</v>
      </c>
      <c r="E96" s="64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82</v>
      </c>
      <c r="L96" s="37" t="s">
        <v>46</v>
      </c>
      <c r="M96" s="38" t="s">
        <v>91</v>
      </c>
      <c r="N96" s="38"/>
      <c r="O96" s="37">
        <v>45</v>
      </c>
      <c r="P96" s="68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5"/>
      <c r="R96" s="645"/>
      <c r="S96" s="645"/>
      <c r="T96" s="64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56" t="s">
        <v>196</v>
      </c>
      <c r="AG96" s="78"/>
      <c r="AJ96" s="84" t="s">
        <v>46</v>
      </c>
      <c r="AK96" s="84">
        <v>0</v>
      </c>
      <c r="BB96" s="157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199</v>
      </c>
      <c r="B97" s="63" t="s">
        <v>200</v>
      </c>
      <c r="C97" s="36">
        <v>4301051718</v>
      </c>
      <c r="D97" s="643">
        <v>4607091385731</v>
      </c>
      <c r="E97" s="64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82</v>
      </c>
      <c r="L97" s="37" t="s">
        <v>46</v>
      </c>
      <c r="M97" s="38" t="s">
        <v>97</v>
      </c>
      <c r="N97" s="38"/>
      <c r="O97" s="37">
        <v>45</v>
      </c>
      <c r="P97" s="6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5"/>
      <c r="R97" s="645"/>
      <c r="S97" s="645"/>
      <c r="T97" s="646"/>
      <c r="U97" s="39" t="s">
        <v>46</v>
      </c>
      <c r="V97" s="39" t="s">
        <v>46</v>
      </c>
      <c r="W97" s="40" t="s">
        <v>0</v>
      </c>
      <c r="X97" s="58"/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58" t="s">
        <v>196</v>
      </c>
      <c r="AG97" s="78"/>
      <c r="AJ97" s="84" t="s">
        <v>46</v>
      </c>
      <c r="AK97" s="84">
        <v>0</v>
      </c>
      <c r="BB97" s="159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201</v>
      </c>
      <c r="B98" s="63" t="s">
        <v>202</v>
      </c>
      <c r="C98" s="36">
        <v>4301052092</v>
      </c>
      <c r="D98" s="643">
        <v>4680115880894</v>
      </c>
      <c r="E98" s="64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82</v>
      </c>
      <c r="L98" s="37" t="s">
        <v>46</v>
      </c>
      <c r="M98" s="38" t="s">
        <v>91</v>
      </c>
      <c r="N98" s="38"/>
      <c r="O98" s="37">
        <v>45</v>
      </c>
      <c r="P98" s="688" t="s">
        <v>203</v>
      </c>
      <c r="Q98" s="645"/>
      <c r="R98" s="645"/>
      <c r="S98" s="645"/>
      <c r="T98" s="64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0" t="s">
        <v>204</v>
      </c>
      <c r="AG98" s="78"/>
      <c r="AJ98" s="84" t="s">
        <v>46</v>
      </c>
      <c r="AK98" s="84">
        <v>0</v>
      </c>
      <c r="BB98" s="161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41" t="s">
        <v>205</v>
      </c>
      <c r="B101" s="641"/>
      <c r="C101" s="641"/>
      <c r="D101" s="641"/>
      <c r="E101" s="641"/>
      <c r="F101" s="641"/>
      <c r="G101" s="641"/>
      <c r="H101" s="641"/>
      <c r="I101" s="641"/>
      <c r="J101" s="641"/>
      <c r="K101" s="641"/>
      <c r="L101" s="641"/>
      <c r="M101" s="641"/>
      <c r="N101" s="641"/>
      <c r="O101" s="641"/>
      <c r="P101" s="641"/>
      <c r="Q101" s="641"/>
      <c r="R101" s="641"/>
      <c r="S101" s="641"/>
      <c r="T101" s="641"/>
      <c r="U101" s="641"/>
      <c r="V101" s="641"/>
      <c r="W101" s="641"/>
      <c r="X101" s="641"/>
      <c r="Y101" s="641"/>
      <c r="Z101" s="641"/>
      <c r="AA101" s="65"/>
      <c r="AB101" s="65"/>
      <c r="AC101" s="79"/>
    </row>
    <row r="102" spans="1:68" ht="14.25" customHeight="1" x14ac:dyDescent="0.25">
      <c r="A102" s="642" t="s">
        <v>122</v>
      </c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42"/>
      <c r="P102" s="642"/>
      <c r="Q102" s="642"/>
      <c r="R102" s="642"/>
      <c r="S102" s="642"/>
      <c r="T102" s="642"/>
      <c r="U102" s="642"/>
      <c r="V102" s="642"/>
      <c r="W102" s="642"/>
      <c r="X102" s="642"/>
      <c r="Y102" s="642"/>
      <c r="Z102" s="642"/>
      <c r="AA102" s="66"/>
      <c r="AB102" s="66"/>
      <c r="AC102" s="80"/>
    </row>
    <row r="103" spans="1:68" ht="37.5" customHeight="1" x14ac:dyDescent="0.25">
      <c r="A103" s="63" t="s">
        <v>206</v>
      </c>
      <c r="B103" s="63" t="s">
        <v>207</v>
      </c>
      <c r="C103" s="36">
        <v>4301011514</v>
      </c>
      <c r="D103" s="643">
        <v>4680115882133</v>
      </c>
      <c r="E103" s="64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6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5"/>
      <c r="R103" s="645"/>
      <c r="S103" s="645"/>
      <c r="T103" s="646"/>
      <c r="U103" s="39" t="s">
        <v>46</v>
      </c>
      <c r="V103" s="39" t="s">
        <v>46</v>
      </c>
      <c r="W103" s="40" t="s">
        <v>0</v>
      </c>
      <c r="X103" s="58">
        <v>20</v>
      </c>
      <c r="Y103" s="55">
        <f>IFERROR(IF(X103="",0,CEILING((X103/$H103),1)*$H103),"")</f>
        <v>21.6</v>
      </c>
      <c r="Z103" s="41">
        <f>IFERROR(IF(Y103=0,"",ROUNDUP(Y103/H103,0)*0.01898),"")</f>
        <v>3.7960000000000001E-2</v>
      </c>
      <c r="AA103" s="68" t="s">
        <v>46</v>
      </c>
      <c r="AB103" s="69" t="s">
        <v>46</v>
      </c>
      <c r="AC103" s="162" t="s">
        <v>208</v>
      </c>
      <c r="AG103" s="78"/>
      <c r="AJ103" s="84" t="s">
        <v>46</v>
      </c>
      <c r="AK103" s="84">
        <v>0</v>
      </c>
      <c r="BB103" s="163" t="s">
        <v>67</v>
      </c>
      <c r="BM103" s="78">
        <f>IFERROR(X103*I103/H103,"0")</f>
        <v>20.75925925925926</v>
      </c>
      <c r="BN103" s="78">
        <f>IFERROR(Y103*I103/H103,"0")</f>
        <v>22.42</v>
      </c>
      <c r="BO103" s="78">
        <f>IFERROR(1/J103*(X103/H103),"0")</f>
        <v>2.8935185185185182E-2</v>
      </c>
      <c r="BP103" s="78">
        <f>IFERROR(1/J103*(Y103/H103),"0")</f>
        <v>3.125E-2</v>
      </c>
    </row>
    <row r="104" spans="1:68" ht="27" customHeight="1" x14ac:dyDescent="0.25">
      <c r="A104" s="63" t="s">
        <v>209</v>
      </c>
      <c r="B104" s="63" t="s">
        <v>210</v>
      </c>
      <c r="C104" s="36">
        <v>4301012051</v>
      </c>
      <c r="D104" s="643">
        <v>4680115887718</v>
      </c>
      <c r="E104" s="643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69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5"/>
      <c r="R104" s="645"/>
      <c r="S104" s="645"/>
      <c r="T104" s="646"/>
      <c r="U104" s="39" t="s">
        <v>46</v>
      </c>
      <c r="V104" s="39" t="s">
        <v>46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64" t="s">
        <v>211</v>
      </c>
      <c r="AG104" s="78"/>
      <c r="AJ104" s="84" t="s">
        <v>46</v>
      </c>
      <c r="AK104" s="84">
        <v>0</v>
      </c>
      <c r="BB104" s="165" t="s">
        <v>67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212</v>
      </c>
      <c r="B105" s="63" t="s">
        <v>213</v>
      </c>
      <c r="C105" s="36">
        <v>4301011417</v>
      </c>
      <c r="D105" s="643">
        <v>4680115880269</v>
      </c>
      <c r="E105" s="643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134</v>
      </c>
      <c r="L105" s="37" t="s">
        <v>46</v>
      </c>
      <c r="M105" s="38" t="s">
        <v>91</v>
      </c>
      <c r="N105" s="38"/>
      <c r="O105" s="37">
        <v>50</v>
      </c>
      <c r="P105" s="6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5" s="645"/>
      <c r="R105" s="645"/>
      <c r="S105" s="645"/>
      <c r="T105" s="646"/>
      <c r="U105" s="39" t="s">
        <v>46</v>
      </c>
      <c r="V105" s="39" t="s">
        <v>46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66" t="s">
        <v>208</v>
      </c>
      <c r="AG105" s="78"/>
      <c r="AJ105" s="84" t="s">
        <v>46</v>
      </c>
      <c r="AK105" s="84">
        <v>0</v>
      </c>
      <c r="BB105" s="167" t="s">
        <v>67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ht="37.5" customHeight="1" x14ac:dyDescent="0.25">
      <c r="A106" s="63" t="s">
        <v>214</v>
      </c>
      <c r="B106" s="63" t="s">
        <v>215</v>
      </c>
      <c r="C106" s="36">
        <v>4301011415</v>
      </c>
      <c r="D106" s="643">
        <v>4680115880429</v>
      </c>
      <c r="E106" s="643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91</v>
      </c>
      <c r="N106" s="38"/>
      <c r="O106" s="37">
        <v>50</v>
      </c>
      <c r="P106" s="6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6" s="645"/>
      <c r="R106" s="645"/>
      <c r="S106" s="645"/>
      <c r="T106" s="646"/>
      <c r="U106" s="39" t="s">
        <v>46</v>
      </c>
      <c r="V106" s="39" t="s">
        <v>46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68" t="s">
        <v>208</v>
      </c>
      <c r="AG106" s="78"/>
      <c r="AJ106" s="84" t="s">
        <v>46</v>
      </c>
      <c r="AK106" s="84">
        <v>0</v>
      </c>
      <c r="BB106" s="169" t="s">
        <v>67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37.5" customHeight="1" x14ac:dyDescent="0.25">
      <c r="A107" s="63" t="s">
        <v>216</v>
      </c>
      <c r="B107" s="63" t="s">
        <v>217</v>
      </c>
      <c r="C107" s="36">
        <v>4301011462</v>
      </c>
      <c r="D107" s="643">
        <v>4680115881457</v>
      </c>
      <c r="E107" s="64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91</v>
      </c>
      <c r="N107" s="38"/>
      <c r="O107" s="37">
        <v>50</v>
      </c>
      <c r="P107" s="6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7" s="645"/>
      <c r="R107" s="645"/>
      <c r="S107" s="645"/>
      <c r="T107" s="646"/>
      <c r="U107" s="39" t="s">
        <v>46</v>
      </c>
      <c r="V107" s="39" t="s">
        <v>46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0" t="s">
        <v>208</v>
      </c>
      <c r="AG107" s="78"/>
      <c r="AJ107" s="84" t="s">
        <v>46</v>
      </c>
      <c r="AK107" s="84">
        <v>0</v>
      </c>
      <c r="BB107" s="171" t="s">
        <v>67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x14ac:dyDescent="0.2">
      <c r="A108" s="651"/>
      <c r="B108" s="651"/>
      <c r="C108" s="651"/>
      <c r="D108" s="651"/>
      <c r="E108" s="651"/>
      <c r="F108" s="651"/>
      <c r="G108" s="651"/>
      <c r="H108" s="651"/>
      <c r="I108" s="651"/>
      <c r="J108" s="651"/>
      <c r="K108" s="651"/>
      <c r="L108" s="651"/>
      <c r="M108" s="651"/>
      <c r="N108" s="651"/>
      <c r="O108" s="652"/>
      <c r="P108" s="648" t="s">
        <v>40</v>
      </c>
      <c r="Q108" s="649"/>
      <c r="R108" s="649"/>
      <c r="S108" s="649"/>
      <c r="T108" s="649"/>
      <c r="U108" s="649"/>
      <c r="V108" s="650"/>
      <c r="W108" s="42" t="s">
        <v>39</v>
      </c>
      <c r="X108" s="43">
        <f>IFERROR(X103/H103,"0")+IFERROR(X104/H104,"0")+IFERROR(X105/H105,"0")+IFERROR(X106/H106,"0")+IFERROR(X107/H107,"0")</f>
        <v>1.8518518518518516</v>
      </c>
      <c r="Y108" s="43">
        <f>IFERROR(Y103/H103,"0")+IFERROR(Y104/H104,"0")+IFERROR(Y105/H105,"0")+IFERROR(Y106/H106,"0")+IFERROR(Y107/H107,"0")</f>
        <v>2</v>
      </c>
      <c r="Z108" s="43">
        <f>IFERROR(IF(Z103="",0,Z103),"0")+IFERROR(IF(Z104="",0,Z104),"0")+IFERROR(IF(Z105="",0,Z105),"0")+IFERROR(IF(Z106="",0,Z106),"0")+IFERROR(IF(Z107="",0,Z107),"0")</f>
        <v>3.7960000000000001E-2</v>
      </c>
      <c r="AA108" s="67"/>
      <c r="AB108" s="67"/>
      <c r="AC108" s="67"/>
    </row>
    <row r="109" spans="1:68" x14ac:dyDescent="0.2">
      <c r="A109" s="651"/>
      <c r="B109" s="651"/>
      <c r="C109" s="651"/>
      <c r="D109" s="651"/>
      <c r="E109" s="651"/>
      <c r="F109" s="651"/>
      <c r="G109" s="651"/>
      <c r="H109" s="651"/>
      <c r="I109" s="651"/>
      <c r="J109" s="651"/>
      <c r="K109" s="651"/>
      <c r="L109" s="651"/>
      <c r="M109" s="651"/>
      <c r="N109" s="651"/>
      <c r="O109" s="652"/>
      <c r="P109" s="648" t="s">
        <v>40</v>
      </c>
      <c r="Q109" s="649"/>
      <c r="R109" s="649"/>
      <c r="S109" s="649"/>
      <c r="T109" s="649"/>
      <c r="U109" s="649"/>
      <c r="V109" s="650"/>
      <c r="W109" s="42" t="s">
        <v>0</v>
      </c>
      <c r="X109" s="43">
        <f>IFERROR(SUM(X103:X107),"0")</f>
        <v>20</v>
      </c>
      <c r="Y109" s="43">
        <f>IFERROR(SUM(Y103:Y107),"0")</f>
        <v>21.6</v>
      </c>
      <c r="Z109" s="42"/>
      <c r="AA109" s="67"/>
      <c r="AB109" s="67"/>
      <c r="AC109" s="67"/>
    </row>
    <row r="110" spans="1:68" ht="14.25" customHeight="1" x14ac:dyDescent="0.25">
      <c r="A110" s="642" t="s">
        <v>156</v>
      </c>
      <c r="B110" s="642"/>
      <c r="C110" s="642"/>
      <c r="D110" s="642"/>
      <c r="E110" s="642"/>
      <c r="F110" s="642"/>
      <c r="G110" s="642"/>
      <c r="H110" s="642"/>
      <c r="I110" s="642"/>
      <c r="J110" s="642"/>
      <c r="K110" s="642"/>
      <c r="L110" s="642"/>
      <c r="M110" s="642"/>
      <c r="N110" s="642"/>
      <c r="O110" s="642"/>
      <c r="P110" s="642"/>
      <c r="Q110" s="642"/>
      <c r="R110" s="642"/>
      <c r="S110" s="642"/>
      <c r="T110" s="642"/>
      <c r="U110" s="642"/>
      <c r="V110" s="642"/>
      <c r="W110" s="642"/>
      <c r="X110" s="642"/>
      <c r="Y110" s="642"/>
      <c r="Z110" s="642"/>
      <c r="AA110" s="66"/>
      <c r="AB110" s="66"/>
      <c r="AC110" s="80"/>
    </row>
    <row r="111" spans="1:68" ht="16.5" customHeight="1" x14ac:dyDescent="0.25">
      <c r="A111" s="63" t="s">
        <v>218</v>
      </c>
      <c r="B111" s="63" t="s">
        <v>219</v>
      </c>
      <c r="C111" s="36">
        <v>4301020345</v>
      </c>
      <c r="D111" s="643">
        <v>4680115881488</v>
      </c>
      <c r="E111" s="64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69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1" s="645"/>
      <c r="R111" s="645"/>
      <c r="S111" s="645"/>
      <c r="T111" s="646"/>
      <c r="U111" s="39" t="s">
        <v>46</v>
      </c>
      <c r="V111" s="39" t="s">
        <v>46</v>
      </c>
      <c r="W111" s="40" t="s">
        <v>0</v>
      </c>
      <c r="X111" s="58"/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72" t="s">
        <v>220</v>
      </c>
      <c r="AG111" s="78"/>
      <c r="AJ111" s="84" t="s">
        <v>46</v>
      </c>
      <c r="AK111" s="84">
        <v>0</v>
      </c>
      <c r="BB111" s="173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221</v>
      </c>
      <c r="B112" s="63" t="s">
        <v>222</v>
      </c>
      <c r="C112" s="36">
        <v>4301020186</v>
      </c>
      <c r="D112" s="643">
        <v>4680115887664</v>
      </c>
      <c r="E112" s="64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224</v>
      </c>
      <c r="L112" s="37" t="s">
        <v>46</v>
      </c>
      <c r="M112" s="38" t="s">
        <v>81</v>
      </c>
      <c r="N112" s="38"/>
      <c r="O112" s="37">
        <v>30</v>
      </c>
      <c r="P112" s="6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5"/>
      <c r="R112" s="645"/>
      <c r="S112" s="645"/>
      <c r="T112" s="64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74" t="s">
        <v>223</v>
      </c>
      <c r="AG112" s="78"/>
      <c r="AJ112" s="84" t="s">
        <v>46</v>
      </c>
      <c r="AK112" s="84">
        <v>0</v>
      </c>
      <c r="BB112" s="175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16.5" customHeight="1" x14ac:dyDescent="0.25">
      <c r="A113" s="63" t="s">
        <v>225</v>
      </c>
      <c r="B113" s="63" t="s">
        <v>226</v>
      </c>
      <c r="C113" s="36">
        <v>4301020346</v>
      </c>
      <c r="D113" s="643">
        <v>4680115882775</v>
      </c>
      <c r="E113" s="643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86</v>
      </c>
      <c r="L113" s="37" t="s">
        <v>46</v>
      </c>
      <c r="M113" s="38" t="s">
        <v>126</v>
      </c>
      <c r="N113" s="38"/>
      <c r="O113" s="37">
        <v>55</v>
      </c>
      <c r="P113" s="6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45"/>
      <c r="R113" s="645"/>
      <c r="S113" s="645"/>
      <c r="T113" s="64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76" t="s">
        <v>220</v>
      </c>
      <c r="AG113" s="78"/>
      <c r="AJ113" s="84" t="s">
        <v>46</v>
      </c>
      <c r="AK113" s="84">
        <v>0</v>
      </c>
      <c r="BB113" s="177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16.5" customHeight="1" x14ac:dyDescent="0.25">
      <c r="A114" s="63" t="s">
        <v>227</v>
      </c>
      <c r="B114" s="63" t="s">
        <v>228</v>
      </c>
      <c r="C114" s="36">
        <v>4301020344</v>
      </c>
      <c r="D114" s="643">
        <v>4680115880658</v>
      </c>
      <c r="E114" s="643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69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45"/>
      <c r="R114" s="645"/>
      <c r="S114" s="645"/>
      <c r="T114" s="64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78" t="s">
        <v>220</v>
      </c>
      <c r="AG114" s="78"/>
      <c r="AJ114" s="84" t="s">
        <v>46</v>
      </c>
      <c r="AK114" s="84">
        <v>0</v>
      </c>
      <c r="BB114" s="179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39</v>
      </c>
      <c r="X115" s="43">
        <f>IFERROR(X111/H111,"0")+IFERROR(X112/H112,"0")+IFERROR(X113/H113,"0")+IFERROR(X114/H114,"0")</f>
        <v>0</v>
      </c>
      <c r="Y115" s="43">
        <f>IFERROR(Y111/H111,"0")+IFERROR(Y112/H112,"0")+IFERROR(Y113/H113,"0")+IFERROR(Y114/H114,"0")</f>
        <v>0</v>
      </c>
      <c r="Z115" s="43">
        <f>IFERROR(IF(Z111="",0,Z111),"0")+IFERROR(IF(Z112="",0,Z112),"0")+IFERROR(IF(Z113="",0,Z113),"0")+IFERROR(IF(Z114="",0,Z114),"0")</f>
        <v>0</v>
      </c>
      <c r="AA115" s="67"/>
      <c r="AB115" s="67"/>
      <c r="AC115" s="67"/>
    </row>
    <row r="116" spans="1:68" x14ac:dyDescent="0.2">
      <c r="A116" s="651"/>
      <c r="B116" s="651"/>
      <c r="C116" s="651"/>
      <c r="D116" s="651"/>
      <c r="E116" s="651"/>
      <c r="F116" s="651"/>
      <c r="G116" s="651"/>
      <c r="H116" s="651"/>
      <c r="I116" s="651"/>
      <c r="J116" s="651"/>
      <c r="K116" s="651"/>
      <c r="L116" s="651"/>
      <c r="M116" s="651"/>
      <c r="N116" s="651"/>
      <c r="O116" s="652"/>
      <c r="P116" s="648" t="s">
        <v>40</v>
      </c>
      <c r="Q116" s="649"/>
      <c r="R116" s="649"/>
      <c r="S116" s="649"/>
      <c r="T116" s="649"/>
      <c r="U116" s="649"/>
      <c r="V116" s="650"/>
      <c r="W116" s="42" t="s">
        <v>0</v>
      </c>
      <c r="X116" s="43">
        <f>IFERROR(SUM(X111:X114),"0")</f>
        <v>0</v>
      </c>
      <c r="Y116" s="43">
        <f>IFERROR(SUM(Y111:Y114),"0")</f>
        <v>0</v>
      </c>
      <c r="Z116" s="42"/>
      <c r="AA116" s="67"/>
      <c r="AB116" s="67"/>
      <c r="AC116" s="67"/>
    </row>
    <row r="117" spans="1:68" ht="14.25" customHeight="1" x14ac:dyDescent="0.25">
      <c r="A117" s="642" t="s">
        <v>87</v>
      </c>
      <c r="B117" s="642"/>
      <c r="C117" s="642"/>
      <c r="D117" s="642"/>
      <c r="E117" s="642"/>
      <c r="F117" s="642"/>
      <c r="G117" s="642"/>
      <c r="H117" s="642"/>
      <c r="I117" s="642"/>
      <c r="J117" s="642"/>
      <c r="K117" s="642"/>
      <c r="L117" s="642"/>
      <c r="M117" s="642"/>
      <c r="N117" s="642"/>
      <c r="O117" s="642"/>
      <c r="P117" s="642"/>
      <c r="Q117" s="642"/>
      <c r="R117" s="642"/>
      <c r="S117" s="642"/>
      <c r="T117" s="642"/>
      <c r="U117" s="642"/>
      <c r="V117" s="642"/>
      <c r="W117" s="642"/>
      <c r="X117" s="642"/>
      <c r="Y117" s="642"/>
      <c r="Z117" s="642"/>
      <c r="AA117" s="66"/>
      <c r="AB117" s="66"/>
      <c r="AC117" s="80"/>
    </row>
    <row r="118" spans="1:68" ht="27" customHeight="1" x14ac:dyDescent="0.25">
      <c r="A118" s="63" t="s">
        <v>229</v>
      </c>
      <c r="B118" s="63" t="s">
        <v>230</v>
      </c>
      <c r="C118" s="36">
        <v>4301051724</v>
      </c>
      <c r="D118" s="643">
        <v>4607091385168</v>
      </c>
      <c r="E118" s="643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127</v>
      </c>
      <c r="L118" s="37" t="s">
        <v>46</v>
      </c>
      <c r="M118" s="38" t="s">
        <v>97</v>
      </c>
      <c r="N118" s="38"/>
      <c r="O118" s="37">
        <v>45</v>
      </c>
      <c r="P118" s="6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8" s="645"/>
      <c r="R118" s="645"/>
      <c r="S118" s="645"/>
      <c r="T118" s="646"/>
      <c r="U118" s="39" t="s">
        <v>46</v>
      </c>
      <c r="V118" s="39" t="s">
        <v>46</v>
      </c>
      <c r="W118" s="40" t="s">
        <v>0</v>
      </c>
      <c r="X118" s="58">
        <v>100</v>
      </c>
      <c r="Y118" s="55">
        <f>IFERROR(IF(X118="",0,CEILING((X118/$H118),1)*$H118),"")</f>
        <v>105.3</v>
      </c>
      <c r="Z118" s="41">
        <f>IFERROR(IF(Y118=0,"",ROUNDUP(Y118/H118,0)*0.01898),"")</f>
        <v>0.24674000000000001</v>
      </c>
      <c r="AA118" s="68" t="s">
        <v>46</v>
      </c>
      <c r="AB118" s="69" t="s">
        <v>46</v>
      </c>
      <c r="AC118" s="180" t="s">
        <v>231</v>
      </c>
      <c r="AG118" s="78"/>
      <c r="AJ118" s="84" t="s">
        <v>46</v>
      </c>
      <c r="AK118" s="84">
        <v>0</v>
      </c>
      <c r="BB118" s="181" t="s">
        <v>67</v>
      </c>
      <c r="BM118" s="78">
        <f>IFERROR(X118*I118/H118,"0")</f>
        <v>106.0246913580247</v>
      </c>
      <c r="BN118" s="78">
        <f>IFERROR(Y118*I118/H118,"0")</f>
        <v>111.64399999999999</v>
      </c>
      <c r="BO118" s="78">
        <f>IFERROR(1/J118*(X118/H118),"0")</f>
        <v>0.19290123456790123</v>
      </c>
      <c r="BP118" s="78">
        <f>IFERROR(1/J118*(Y118/H118),"0")</f>
        <v>0.203125</v>
      </c>
    </row>
    <row r="119" spans="1:68" ht="27" customHeight="1" x14ac:dyDescent="0.25">
      <c r="A119" s="63" t="s">
        <v>232</v>
      </c>
      <c r="B119" s="63" t="s">
        <v>233</v>
      </c>
      <c r="C119" s="36">
        <v>4301051730</v>
      </c>
      <c r="D119" s="643">
        <v>4607091383256</v>
      </c>
      <c r="E119" s="643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97</v>
      </c>
      <c r="N119" s="38"/>
      <c r="O119" s="37">
        <v>45</v>
      </c>
      <c r="P119" s="6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9" s="645"/>
      <c r="R119" s="645"/>
      <c r="S119" s="645"/>
      <c r="T119" s="64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82" t="s">
        <v>231</v>
      </c>
      <c r="AG119" s="78"/>
      <c r="AJ119" s="84" t="s">
        <v>46</v>
      </c>
      <c r="AK119" s="84">
        <v>0</v>
      </c>
      <c r="BB119" s="183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234</v>
      </c>
      <c r="B120" s="63" t="s">
        <v>235</v>
      </c>
      <c r="C120" s="36">
        <v>4301051721</v>
      </c>
      <c r="D120" s="643">
        <v>4607091385748</v>
      </c>
      <c r="E120" s="643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97</v>
      </c>
      <c r="N120" s="38"/>
      <c r="O120" s="37">
        <v>45</v>
      </c>
      <c r="P120" s="7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0" s="645"/>
      <c r="R120" s="645"/>
      <c r="S120" s="645"/>
      <c r="T120" s="646"/>
      <c r="U120" s="39" t="s">
        <v>46</v>
      </c>
      <c r="V120" s="39" t="s">
        <v>46</v>
      </c>
      <c r="W120" s="40" t="s">
        <v>0</v>
      </c>
      <c r="X120" s="58"/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84" t="s">
        <v>231</v>
      </c>
      <c r="AG120" s="78"/>
      <c r="AJ120" s="84" t="s">
        <v>46</v>
      </c>
      <c r="AK120" s="84">
        <v>0</v>
      </c>
      <c r="BB120" s="185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16.5" customHeight="1" x14ac:dyDescent="0.25">
      <c r="A121" s="63" t="s">
        <v>236</v>
      </c>
      <c r="B121" s="63" t="s">
        <v>237</v>
      </c>
      <c r="C121" s="36">
        <v>4301051740</v>
      </c>
      <c r="D121" s="643">
        <v>4680115884533</v>
      </c>
      <c r="E121" s="643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91</v>
      </c>
      <c r="N121" s="38"/>
      <c r="O121" s="37">
        <v>45</v>
      </c>
      <c r="P121" s="7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1" s="645"/>
      <c r="R121" s="645"/>
      <c r="S121" s="645"/>
      <c r="T121" s="64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86" t="s">
        <v>238</v>
      </c>
      <c r="AG121" s="78"/>
      <c r="AJ121" s="84" t="s">
        <v>46</v>
      </c>
      <c r="AK121" s="84">
        <v>0</v>
      </c>
      <c r="BB121" s="187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39</v>
      </c>
      <c r="X122" s="43">
        <f>IFERROR(X118/H118,"0")+IFERROR(X119/H119,"0")+IFERROR(X120/H120,"0")+IFERROR(X121/H121,"0")</f>
        <v>12.345679012345679</v>
      </c>
      <c r="Y122" s="43">
        <f>IFERROR(Y118/H118,"0")+IFERROR(Y119/H119,"0")+IFERROR(Y120/H120,"0")+IFERROR(Y121/H121,"0")</f>
        <v>13</v>
      </c>
      <c r="Z122" s="43">
        <f>IFERROR(IF(Z118="",0,Z118),"0")+IFERROR(IF(Z119="",0,Z119),"0")+IFERROR(IF(Z120="",0,Z120),"0")+IFERROR(IF(Z121="",0,Z121),"0")</f>
        <v>0.24674000000000001</v>
      </c>
      <c r="AA122" s="67"/>
      <c r="AB122" s="67"/>
      <c r="AC122" s="67"/>
    </row>
    <row r="123" spans="1:68" x14ac:dyDescent="0.2">
      <c r="A123" s="651"/>
      <c r="B123" s="651"/>
      <c r="C123" s="651"/>
      <c r="D123" s="651"/>
      <c r="E123" s="651"/>
      <c r="F123" s="651"/>
      <c r="G123" s="651"/>
      <c r="H123" s="651"/>
      <c r="I123" s="651"/>
      <c r="J123" s="651"/>
      <c r="K123" s="651"/>
      <c r="L123" s="651"/>
      <c r="M123" s="651"/>
      <c r="N123" s="651"/>
      <c r="O123" s="652"/>
      <c r="P123" s="648" t="s">
        <v>40</v>
      </c>
      <c r="Q123" s="649"/>
      <c r="R123" s="649"/>
      <c r="S123" s="649"/>
      <c r="T123" s="649"/>
      <c r="U123" s="649"/>
      <c r="V123" s="650"/>
      <c r="W123" s="42" t="s">
        <v>0</v>
      </c>
      <c r="X123" s="43">
        <f>IFERROR(SUM(X118:X121),"0")</f>
        <v>100</v>
      </c>
      <c r="Y123" s="43">
        <f>IFERROR(SUM(Y118:Y121),"0")</f>
        <v>105.3</v>
      </c>
      <c r="Z123" s="42"/>
      <c r="AA123" s="67"/>
      <c r="AB123" s="67"/>
      <c r="AC123" s="67"/>
    </row>
    <row r="124" spans="1:68" ht="14.25" customHeight="1" x14ac:dyDescent="0.25">
      <c r="A124" s="642" t="s">
        <v>176</v>
      </c>
      <c r="B124" s="642"/>
      <c r="C124" s="642"/>
      <c r="D124" s="642"/>
      <c r="E124" s="642"/>
      <c r="F124" s="642"/>
      <c r="G124" s="642"/>
      <c r="H124" s="642"/>
      <c r="I124" s="642"/>
      <c r="J124" s="642"/>
      <c r="K124" s="642"/>
      <c r="L124" s="642"/>
      <c r="M124" s="642"/>
      <c r="N124" s="642"/>
      <c r="O124" s="642"/>
      <c r="P124" s="642"/>
      <c r="Q124" s="642"/>
      <c r="R124" s="642"/>
      <c r="S124" s="642"/>
      <c r="T124" s="642"/>
      <c r="U124" s="642"/>
      <c r="V124" s="642"/>
      <c r="W124" s="642"/>
      <c r="X124" s="642"/>
      <c r="Y124" s="642"/>
      <c r="Z124" s="642"/>
      <c r="AA124" s="66"/>
      <c r="AB124" s="66"/>
      <c r="AC124" s="80"/>
    </row>
    <row r="125" spans="1:68" ht="16.5" customHeight="1" x14ac:dyDescent="0.25">
      <c r="A125" s="63" t="s">
        <v>239</v>
      </c>
      <c r="B125" s="63" t="s">
        <v>240</v>
      </c>
      <c r="C125" s="36">
        <v>4301060317</v>
      </c>
      <c r="D125" s="643">
        <v>4680115880238</v>
      </c>
      <c r="E125" s="643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91</v>
      </c>
      <c r="N125" s="38"/>
      <c r="O125" s="37">
        <v>40</v>
      </c>
      <c r="P125" s="70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5" s="645"/>
      <c r="R125" s="645"/>
      <c r="S125" s="645"/>
      <c r="T125" s="64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188" t="s">
        <v>241</v>
      </c>
      <c r="AG125" s="78"/>
      <c r="AJ125" s="84" t="s">
        <v>46</v>
      </c>
      <c r="AK125" s="84">
        <v>0</v>
      </c>
      <c r="BB125" s="189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651"/>
      <c r="B127" s="651"/>
      <c r="C127" s="651"/>
      <c r="D127" s="651"/>
      <c r="E127" s="651"/>
      <c r="F127" s="651"/>
      <c r="G127" s="651"/>
      <c r="H127" s="651"/>
      <c r="I127" s="651"/>
      <c r="J127" s="651"/>
      <c r="K127" s="651"/>
      <c r="L127" s="651"/>
      <c r="M127" s="651"/>
      <c r="N127" s="651"/>
      <c r="O127" s="652"/>
      <c r="P127" s="648" t="s">
        <v>40</v>
      </c>
      <c r="Q127" s="649"/>
      <c r="R127" s="649"/>
      <c r="S127" s="649"/>
      <c r="T127" s="649"/>
      <c r="U127" s="649"/>
      <c r="V127" s="650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customHeight="1" x14ac:dyDescent="0.25">
      <c r="A128" s="641" t="s">
        <v>242</v>
      </c>
      <c r="B128" s="641"/>
      <c r="C128" s="641"/>
      <c r="D128" s="641"/>
      <c r="E128" s="641"/>
      <c r="F128" s="641"/>
      <c r="G128" s="641"/>
      <c r="H128" s="641"/>
      <c r="I128" s="641"/>
      <c r="J128" s="641"/>
      <c r="K128" s="641"/>
      <c r="L128" s="641"/>
      <c r="M128" s="641"/>
      <c r="N128" s="641"/>
      <c r="O128" s="641"/>
      <c r="P128" s="641"/>
      <c r="Q128" s="641"/>
      <c r="R128" s="641"/>
      <c r="S128" s="641"/>
      <c r="T128" s="641"/>
      <c r="U128" s="641"/>
      <c r="V128" s="641"/>
      <c r="W128" s="641"/>
      <c r="X128" s="641"/>
      <c r="Y128" s="641"/>
      <c r="Z128" s="641"/>
      <c r="AA128" s="65"/>
      <c r="AB128" s="65"/>
      <c r="AC128" s="79"/>
    </row>
    <row r="129" spans="1:68" ht="14.25" customHeight="1" x14ac:dyDescent="0.25">
      <c r="A129" s="642" t="s">
        <v>122</v>
      </c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42"/>
      <c r="P129" s="642"/>
      <c r="Q129" s="642"/>
      <c r="R129" s="642"/>
      <c r="S129" s="642"/>
      <c r="T129" s="642"/>
      <c r="U129" s="642"/>
      <c r="V129" s="642"/>
      <c r="W129" s="642"/>
      <c r="X129" s="642"/>
      <c r="Y129" s="642"/>
      <c r="Z129" s="642"/>
      <c r="AA129" s="66"/>
      <c r="AB129" s="66"/>
      <c r="AC129" s="80"/>
    </row>
    <row r="130" spans="1:68" ht="27" customHeight="1" x14ac:dyDescent="0.25">
      <c r="A130" s="63" t="s">
        <v>243</v>
      </c>
      <c r="B130" s="63" t="s">
        <v>244</v>
      </c>
      <c r="C130" s="36">
        <v>4301011564</v>
      </c>
      <c r="D130" s="643">
        <v>4680115882577</v>
      </c>
      <c r="E130" s="64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115</v>
      </c>
      <c r="N130" s="38"/>
      <c r="O130" s="37">
        <v>90</v>
      </c>
      <c r="P130" s="7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45"/>
      <c r="R130" s="645"/>
      <c r="S130" s="645"/>
      <c r="T130" s="64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190" t="s">
        <v>245</v>
      </c>
      <c r="AG130" s="78"/>
      <c r="AJ130" s="84" t="s">
        <v>46</v>
      </c>
      <c r="AK130" s="84">
        <v>0</v>
      </c>
      <c r="BB130" s="19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243</v>
      </c>
      <c r="B131" s="63" t="s">
        <v>246</v>
      </c>
      <c r="C131" s="36">
        <v>4301011562</v>
      </c>
      <c r="D131" s="643">
        <v>4680115882577</v>
      </c>
      <c r="E131" s="64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115</v>
      </c>
      <c r="N131" s="38"/>
      <c r="O131" s="37">
        <v>90</v>
      </c>
      <c r="P131" s="70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5"/>
      <c r="R131" s="645"/>
      <c r="S131" s="645"/>
      <c r="T131" s="64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192" t="s">
        <v>245</v>
      </c>
      <c r="AG131" s="78"/>
      <c r="AJ131" s="84" t="s">
        <v>46</v>
      </c>
      <c r="AK131" s="84">
        <v>0</v>
      </c>
      <c r="BB131" s="193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42" t="s">
        <v>77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6"/>
      <c r="AB134" s="66"/>
      <c r="AC134" s="80"/>
    </row>
    <row r="135" spans="1:68" ht="27" customHeight="1" x14ac:dyDescent="0.25">
      <c r="A135" s="63" t="s">
        <v>247</v>
      </c>
      <c r="B135" s="63" t="s">
        <v>248</v>
      </c>
      <c r="C135" s="36">
        <v>4301031234</v>
      </c>
      <c r="D135" s="643">
        <v>4680115883444</v>
      </c>
      <c r="E135" s="64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115</v>
      </c>
      <c r="N135" s="38"/>
      <c r="O135" s="37">
        <v>90</v>
      </c>
      <c r="P135" s="7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5"/>
      <c r="R135" s="645"/>
      <c r="S135" s="645"/>
      <c r="T135" s="64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194" t="s">
        <v>249</v>
      </c>
      <c r="AG135" s="78"/>
      <c r="AJ135" s="84" t="s">
        <v>46</v>
      </c>
      <c r="AK135" s="84">
        <v>0</v>
      </c>
      <c r="BB135" s="195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247</v>
      </c>
      <c r="B136" s="63" t="s">
        <v>250</v>
      </c>
      <c r="C136" s="36">
        <v>4301031235</v>
      </c>
      <c r="D136" s="643">
        <v>4680115883444</v>
      </c>
      <c r="E136" s="64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115</v>
      </c>
      <c r="N136" s="38"/>
      <c r="O136" s="37">
        <v>90</v>
      </c>
      <c r="P136" s="7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5"/>
      <c r="R136" s="645"/>
      <c r="S136" s="645"/>
      <c r="T136" s="64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196" t="s">
        <v>249</v>
      </c>
      <c r="AG136" s="78"/>
      <c r="AJ136" s="84" t="s">
        <v>46</v>
      </c>
      <c r="AK136" s="84">
        <v>0</v>
      </c>
      <c r="BB136" s="197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51"/>
      <c r="B137" s="651"/>
      <c r="C137" s="651"/>
      <c r="D137" s="651"/>
      <c r="E137" s="651"/>
      <c r="F137" s="651"/>
      <c r="G137" s="651"/>
      <c r="H137" s="651"/>
      <c r="I137" s="651"/>
      <c r="J137" s="651"/>
      <c r="K137" s="651"/>
      <c r="L137" s="651"/>
      <c r="M137" s="651"/>
      <c r="N137" s="651"/>
      <c r="O137" s="652"/>
      <c r="P137" s="648" t="s">
        <v>40</v>
      </c>
      <c r="Q137" s="649"/>
      <c r="R137" s="649"/>
      <c r="S137" s="649"/>
      <c r="T137" s="649"/>
      <c r="U137" s="649"/>
      <c r="V137" s="65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51"/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2"/>
      <c r="P138" s="648" t="s">
        <v>40</v>
      </c>
      <c r="Q138" s="649"/>
      <c r="R138" s="649"/>
      <c r="S138" s="649"/>
      <c r="T138" s="649"/>
      <c r="U138" s="649"/>
      <c r="V138" s="65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642" t="s">
        <v>87</v>
      </c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42"/>
      <c r="P139" s="642"/>
      <c r="Q139" s="642"/>
      <c r="R139" s="642"/>
      <c r="S139" s="642"/>
      <c r="T139" s="642"/>
      <c r="U139" s="642"/>
      <c r="V139" s="642"/>
      <c r="W139" s="642"/>
      <c r="X139" s="642"/>
      <c r="Y139" s="642"/>
      <c r="Z139" s="642"/>
      <c r="AA139" s="66"/>
      <c r="AB139" s="66"/>
      <c r="AC139" s="80"/>
    </row>
    <row r="140" spans="1:68" ht="16.5" customHeight="1" x14ac:dyDescent="0.25">
      <c r="A140" s="63" t="s">
        <v>251</v>
      </c>
      <c r="B140" s="63" t="s">
        <v>252</v>
      </c>
      <c r="C140" s="36">
        <v>4301051477</v>
      </c>
      <c r="D140" s="643">
        <v>4680115882584</v>
      </c>
      <c r="E140" s="643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115</v>
      </c>
      <c r="N140" s="38"/>
      <c r="O140" s="37">
        <v>60</v>
      </c>
      <c r="P140" s="70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0" s="645"/>
      <c r="R140" s="645"/>
      <c r="S140" s="645"/>
      <c r="T140" s="64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198" t="s">
        <v>245</v>
      </c>
      <c r="AG140" s="78"/>
      <c r="AJ140" s="84" t="s">
        <v>46</v>
      </c>
      <c r="AK140" s="84">
        <v>0</v>
      </c>
      <c r="BB140" s="199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customHeight="1" x14ac:dyDescent="0.25">
      <c r="A141" s="63" t="s">
        <v>251</v>
      </c>
      <c r="B141" s="63" t="s">
        <v>253</v>
      </c>
      <c r="C141" s="36">
        <v>4301051476</v>
      </c>
      <c r="D141" s="643">
        <v>4680115882584</v>
      </c>
      <c r="E141" s="64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115</v>
      </c>
      <c r="N141" s="38"/>
      <c r="O141" s="37">
        <v>60</v>
      </c>
      <c r="P141" s="70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5"/>
      <c r="R141" s="645"/>
      <c r="S141" s="645"/>
      <c r="T141" s="64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00" t="s">
        <v>245</v>
      </c>
      <c r="AG141" s="78"/>
      <c r="AJ141" s="84" t="s">
        <v>46</v>
      </c>
      <c r="AK141" s="84">
        <v>0</v>
      </c>
      <c r="BB141" s="201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51"/>
      <c r="B142" s="651"/>
      <c r="C142" s="651"/>
      <c r="D142" s="651"/>
      <c r="E142" s="651"/>
      <c r="F142" s="651"/>
      <c r="G142" s="651"/>
      <c r="H142" s="651"/>
      <c r="I142" s="651"/>
      <c r="J142" s="651"/>
      <c r="K142" s="651"/>
      <c r="L142" s="651"/>
      <c r="M142" s="651"/>
      <c r="N142" s="651"/>
      <c r="O142" s="652"/>
      <c r="P142" s="648" t="s">
        <v>40</v>
      </c>
      <c r="Q142" s="649"/>
      <c r="R142" s="649"/>
      <c r="S142" s="649"/>
      <c r="T142" s="649"/>
      <c r="U142" s="649"/>
      <c r="V142" s="65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51"/>
      <c r="B143" s="651"/>
      <c r="C143" s="651"/>
      <c r="D143" s="651"/>
      <c r="E143" s="651"/>
      <c r="F143" s="651"/>
      <c r="G143" s="651"/>
      <c r="H143" s="651"/>
      <c r="I143" s="651"/>
      <c r="J143" s="651"/>
      <c r="K143" s="651"/>
      <c r="L143" s="651"/>
      <c r="M143" s="651"/>
      <c r="N143" s="651"/>
      <c r="O143" s="652"/>
      <c r="P143" s="648" t="s">
        <v>40</v>
      </c>
      <c r="Q143" s="649"/>
      <c r="R143" s="649"/>
      <c r="S143" s="649"/>
      <c r="T143" s="649"/>
      <c r="U143" s="649"/>
      <c r="V143" s="65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customHeight="1" x14ac:dyDescent="0.25">
      <c r="A144" s="641" t="s">
        <v>120</v>
      </c>
      <c r="B144" s="641"/>
      <c r="C144" s="641"/>
      <c r="D144" s="641"/>
      <c r="E144" s="641"/>
      <c r="F144" s="641"/>
      <c r="G144" s="641"/>
      <c r="H144" s="641"/>
      <c r="I144" s="641"/>
      <c r="J144" s="641"/>
      <c r="K144" s="641"/>
      <c r="L144" s="641"/>
      <c r="M144" s="641"/>
      <c r="N144" s="641"/>
      <c r="O144" s="641"/>
      <c r="P144" s="641"/>
      <c r="Q144" s="641"/>
      <c r="R144" s="641"/>
      <c r="S144" s="641"/>
      <c r="T144" s="641"/>
      <c r="U144" s="641"/>
      <c r="V144" s="641"/>
      <c r="W144" s="641"/>
      <c r="X144" s="641"/>
      <c r="Y144" s="641"/>
      <c r="Z144" s="641"/>
      <c r="AA144" s="65"/>
      <c r="AB144" s="65"/>
      <c r="AC144" s="79"/>
    </row>
    <row r="145" spans="1:68" ht="14.25" customHeight="1" x14ac:dyDescent="0.25">
      <c r="A145" s="642" t="s">
        <v>122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6"/>
      <c r="AB145" s="66"/>
      <c r="AC145" s="80"/>
    </row>
    <row r="146" spans="1:68" ht="27" customHeight="1" x14ac:dyDescent="0.25">
      <c r="A146" s="63" t="s">
        <v>254</v>
      </c>
      <c r="B146" s="63" t="s">
        <v>255</v>
      </c>
      <c r="C146" s="36">
        <v>4301012244</v>
      </c>
      <c r="D146" s="643">
        <v>4680115887374</v>
      </c>
      <c r="E146" s="643"/>
      <c r="F146" s="62">
        <v>1.6</v>
      </c>
      <c r="G146" s="37">
        <v>8</v>
      </c>
      <c r="H146" s="62">
        <v>12.8</v>
      </c>
      <c r="I146" s="62">
        <v>13.21</v>
      </c>
      <c r="J146" s="37">
        <v>64</v>
      </c>
      <c r="K146" s="37" t="s">
        <v>127</v>
      </c>
      <c r="L146" s="37" t="s">
        <v>46</v>
      </c>
      <c r="M146" s="38" t="s">
        <v>126</v>
      </c>
      <c r="N146" s="38"/>
      <c r="O146" s="37">
        <v>55</v>
      </c>
      <c r="P146" s="7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6" s="645"/>
      <c r="R146" s="645"/>
      <c r="S146" s="645"/>
      <c r="T146" s="64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46</v>
      </c>
      <c r="AB146" s="69" t="s">
        <v>46</v>
      </c>
      <c r="AC146" s="202" t="s">
        <v>256</v>
      </c>
      <c r="AG146" s="78"/>
      <c r="AJ146" s="84" t="s">
        <v>46</v>
      </c>
      <c r="AK146" s="84">
        <v>0</v>
      </c>
      <c r="BB146" s="20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257</v>
      </c>
      <c r="B147" s="63" t="s">
        <v>258</v>
      </c>
      <c r="C147" s="36">
        <v>4301011705</v>
      </c>
      <c r="D147" s="643">
        <v>4607091384604</v>
      </c>
      <c r="E147" s="643"/>
      <c r="F147" s="62">
        <v>0.4</v>
      </c>
      <c r="G147" s="37">
        <v>10</v>
      </c>
      <c r="H147" s="62">
        <v>4</v>
      </c>
      <c r="I147" s="62">
        <v>4.1900000000000004</v>
      </c>
      <c r="J147" s="37">
        <v>132</v>
      </c>
      <c r="K147" s="37" t="s">
        <v>134</v>
      </c>
      <c r="L147" s="37" t="s">
        <v>46</v>
      </c>
      <c r="M147" s="38" t="s">
        <v>126</v>
      </c>
      <c r="N147" s="38"/>
      <c r="O147" s="37">
        <v>50</v>
      </c>
      <c r="P147" s="71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7" s="645"/>
      <c r="R147" s="645"/>
      <c r="S147" s="645"/>
      <c r="T147" s="646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IFERROR(IF(Y147=0,"",ROUNDUP(Y147/H147,0)*0.00902),"")</f>
        <v/>
      </c>
      <c r="AA147" s="68" t="s">
        <v>46</v>
      </c>
      <c r="AB147" s="69" t="s">
        <v>46</v>
      </c>
      <c r="AC147" s="204" t="s">
        <v>259</v>
      </c>
      <c r="AG147" s="78"/>
      <c r="AJ147" s="84" t="s">
        <v>46</v>
      </c>
      <c r="AK147" s="84">
        <v>0</v>
      </c>
      <c r="BB147" s="205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51"/>
      <c r="B148" s="651"/>
      <c r="C148" s="651"/>
      <c r="D148" s="651"/>
      <c r="E148" s="651"/>
      <c r="F148" s="651"/>
      <c r="G148" s="651"/>
      <c r="H148" s="651"/>
      <c r="I148" s="651"/>
      <c r="J148" s="651"/>
      <c r="K148" s="651"/>
      <c r="L148" s="651"/>
      <c r="M148" s="651"/>
      <c r="N148" s="651"/>
      <c r="O148" s="652"/>
      <c r="P148" s="648" t="s">
        <v>40</v>
      </c>
      <c r="Q148" s="649"/>
      <c r="R148" s="649"/>
      <c r="S148" s="649"/>
      <c r="T148" s="649"/>
      <c r="U148" s="649"/>
      <c r="V148" s="650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651"/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2"/>
      <c r="P149" s="648" t="s">
        <v>40</v>
      </c>
      <c r="Q149" s="649"/>
      <c r="R149" s="649"/>
      <c r="S149" s="649"/>
      <c r="T149" s="649"/>
      <c r="U149" s="649"/>
      <c r="V149" s="650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4.25" customHeight="1" x14ac:dyDescent="0.25">
      <c r="A150" s="642" t="s">
        <v>156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6"/>
      <c r="AB150" s="66"/>
      <c r="AC150" s="80"/>
    </row>
    <row r="151" spans="1:68" ht="16.5" customHeight="1" x14ac:dyDescent="0.25">
      <c r="A151" s="63" t="s">
        <v>260</v>
      </c>
      <c r="B151" s="63" t="s">
        <v>261</v>
      </c>
      <c r="C151" s="36">
        <v>4301020410</v>
      </c>
      <c r="D151" s="643">
        <v>4680115887695</v>
      </c>
      <c r="E151" s="643"/>
      <c r="F151" s="62">
        <v>0.12</v>
      </c>
      <c r="G151" s="37">
        <v>6</v>
      </c>
      <c r="H151" s="62">
        <v>0.72</v>
      </c>
      <c r="I151" s="62">
        <v>0.85</v>
      </c>
      <c r="J151" s="37">
        <v>216</v>
      </c>
      <c r="K151" s="37" t="s">
        <v>86</v>
      </c>
      <c r="L151" s="37" t="s">
        <v>46</v>
      </c>
      <c r="M151" s="38" t="s">
        <v>81</v>
      </c>
      <c r="N151" s="38"/>
      <c r="O151" s="37">
        <v>30</v>
      </c>
      <c r="P151" s="7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51" s="645"/>
      <c r="R151" s="645"/>
      <c r="S151" s="645"/>
      <c r="T151" s="64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IFERROR(IF(Y151=0,"",ROUNDUP(Y151/H151,0)*0.00556),"")</f>
        <v/>
      </c>
      <c r="AA151" s="68" t="s">
        <v>46</v>
      </c>
      <c r="AB151" s="69" t="s">
        <v>46</v>
      </c>
      <c r="AC151" s="206" t="s">
        <v>262</v>
      </c>
      <c r="AG151" s="78"/>
      <c r="AJ151" s="84" t="s">
        <v>46</v>
      </c>
      <c r="AK151" s="84">
        <v>0</v>
      </c>
      <c r="BB151" s="207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51"/>
      <c r="B152" s="651"/>
      <c r="C152" s="651"/>
      <c r="D152" s="651"/>
      <c r="E152" s="651"/>
      <c r="F152" s="651"/>
      <c r="G152" s="651"/>
      <c r="H152" s="651"/>
      <c r="I152" s="651"/>
      <c r="J152" s="651"/>
      <c r="K152" s="651"/>
      <c r="L152" s="651"/>
      <c r="M152" s="651"/>
      <c r="N152" s="651"/>
      <c r="O152" s="652"/>
      <c r="P152" s="648" t="s">
        <v>40</v>
      </c>
      <c r="Q152" s="649"/>
      <c r="R152" s="649"/>
      <c r="S152" s="649"/>
      <c r="T152" s="649"/>
      <c r="U152" s="649"/>
      <c r="V152" s="650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651"/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2"/>
      <c r="P153" s="648" t="s">
        <v>40</v>
      </c>
      <c r="Q153" s="649"/>
      <c r="R153" s="649"/>
      <c r="S153" s="649"/>
      <c r="T153" s="649"/>
      <c r="U153" s="649"/>
      <c r="V153" s="650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14.25" customHeight="1" x14ac:dyDescent="0.25">
      <c r="A154" s="642" t="s">
        <v>77</v>
      </c>
      <c r="B154" s="642"/>
      <c r="C154" s="642"/>
      <c r="D154" s="642"/>
      <c r="E154" s="642"/>
      <c r="F154" s="642"/>
      <c r="G154" s="642"/>
      <c r="H154" s="642"/>
      <c r="I154" s="642"/>
      <c r="J154" s="642"/>
      <c r="K154" s="642"/>
      <c r="L154" s="642"/>
      <c r="M154" s="642"/>
      <c r="N154" s="642"/>
      <c r="O154" s="642"/>
      <c r="P154" s="642"/>
      <c r="Q154" s="642"/>
      <c r="R154" s="642"/>
      <c r="S154" s="642"/>
      <c r="T154" s="642"/>
      <c r="U154" s="642"/>
      <c r="V154" s="642"/>
      <c r="W154" s="642"/>
      <c r="X154" s="642"/>
      <c r="Y154" s="642"/>
      <c r="Z154" s="642"/>
      <c r="AA154" s="66"/>
      <c r="AB154" s="66"/>
      <c r="AC154" s="80"/>
    </row>
    <row r="155" spans="1:68" ht="27" customHeight="1" x14ac:dyDescent="0.25">
      <c r="A155" s="63" t="s">
        <v>263</v>
      </c>
      <c r="B155" s="63" t="s">
        <v>264</v>
      </c>
      <c r="C155" s="36">
        <v>4301031450</v>
      </c>
      <c r="D155" s="643">
        <v>4680115887428</v>
      </c>
      <c r="E155" s="643"/>
      <c r="F155" s="62">
        <v>0.7</v>
      </c>
      <c r="G155" s="37">
        <v>6</v>
      </c>
      <c r="H155" s="62">
        <v>4.2</v>
      </c>
      <c r="I155" s="62">
        <v>4.3899999999999997</v>
      </c>
      <c r="J155" s="37">
        <v>132</v>
      </c>
      <c r="K155" s="37" t="s">
        <v>134</v>
      </c>
      <c r="L155" s="37" t="s">
        <v>46</v>
      </c>
      <c r="M155" s="38" t="s">
        <v>81</v>
      </c>
      <c r="N155" s="38"/>
      <c r="O155" s="37">
        <v>40</v>
      </c>
      <c r="P155" s="71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55" s="645"/>
      <c r="R155" s="645"/>
      <c r="S155" s="645"/>
      <c r="T155" s="646"/>
      <c r="U155" s="39" t="s">
        <v>46</v>
      </c>
      <c r="V155" s="39" t="s">
        <v>46</v>
      </c>
      <c r="W155" s="40" t="s">
        <v>0</v>
      </c>
      <c r="X155" s="58"/>
      <c r="Y155" s="55">
        <f t="shared" ref="Y155:Y164" si="11">IFERROR(IF(X155="",0,CEILING((X155/$H155),1)*$H155),"")</f>
        <v>0</v>
      </c>
      <c r="Z155" s="41" t="str">
        <f>IFERROR(IF(Y155=0,"",ROUNDUP(Y155/H155,0)*0.00902),"")</f>
        <v/>
      </c>
      <c r="AA155" s="68" t="s">
        <v>46</v>
      </c>
      <c r="AB155" s="69" t="s">
        <v>46</v>
      </c>
      <c r="AC155" s="208" t="s">
        <v>265</v>
      </c>
      <c r="AG155" s="78"/>
      <c r="AJ155" s="84" t="s">
        <v>46</v>
      </c>
      <c r="AK155" s="84">
        <v>0</v>
      </c>
      <c r="BB155" s="209" t="s">
        <v>67</v>
      </c>
      <c r="BM155" s="78">
        <f t="shared" ref="BM155:BM164" si="12">IFERROR(X155*I155/H155,"0")</f>
        <v>0</v>
      </c>
      <c r="BN155" s="78">
        <f t="shared" ref="BN155:BN164" si="13">IFERROR(Y155*I155/H155,"0")</f>
        <v>0</v>
      </c>
      <c r="BO155" s="78">
        <f t="shared" ref="BO155:BO164" si="14">IFERROR(1/J155*(X155/H155),"0")</f>
        <v>0</v>
      </c>
      <c r="BP155" s="78">
        <f t="shared" ref="BP155:BP164" si="15">IFERROR(1/J155*(Y155/H155),"0")</f>
        <v>0</v>
      </c>
    </row>
    <row r="156" spans="1:68" ht="27" customHeight="1" x14ac:dyDescent="0.25">
      <c r="A156" s="63" t="s">
        <v>266</v>
      </c>
      <c r="B156" s="63" t="s">
        <v>267</v>
      </c>
      <c r="C156" s="36">
        <v>4301031453</v>
      </c>
      <c r="D156" s="643">
        <v>4680115887336</v>
      </c>
      <c r="E156" s="643"/>
      <c r="F156" s="62">
        <v>0.7</v>
      </c>
      <c r="G156" s="37">
        <v>6</v>
      </c>
      <c r="H156" s="62">
        <v>4.2</v>
      </c>
      <c r="I156" s="62">
        <v>4.3899999999999997</v>
      </c>
      <c r="J156" s="37">
        <v>132</v>
      </c>
      <c r="K156" s="37" t="s">
        <v>134</v>
      </c>
      <c r="L156" s="37" t="s">
        <v>46</v>
      </c>
      <c r="M156" s="38" t="s">
        <v>81</v>
      </c>
      <c r="N156" s="38"/>
      <c r="O156" s="37">
        <v>40</v>
      </c>
      <c r="P156" s="71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6" s="645"/>
      <c r="R156" s="645"/>
      <c r="S156" s="645"/>
      <c r="T156" s="646"/>
      <c r="U156" s="39" t="s">
        <v>46</v>
      </c>
      <c r="V156" s="39" t="s">
        <v>46</v>
      </c>
      <c r="W156" s="40" t="s">
        <v>0</v>
      </c>
      <c r="X156" s="58"/>
      <c r="Y156" s="55">
        <f t="shared" si="11"/>
        <v>0</v>
      </c>
      <c r="Z156" s="41" t="str">
        <f>IFERROR(IF(Y156=0,"",ROUNDUP(Y156/H156,0)*0.00902),"")</f>
        <v/>
      </c>
      <c r="AA156" s="68" t="s">
        <v>46</v>
      </c>
      <c r="AB156" s="69" t="s">
        <v>46</v>
      </c>
      <c r="AC156" s="210" t="s">
        <v>268</v>
      </c>
      <c r="AG156" s="78"/>
      <c r="AJ156" s="84" t="s">
        <v>46</v>
      </c>
      <c r="AK156" s="84">
        <v>0</v>
      </c>
      <c r="BB156" s="211" t="s">
        <v>67</v>
      </c>
      <c r="BM156" s="78">
        <f t="shared" si="12"/>
        <v>0</v>
      </c>
      <c r="BN156" s="78">
        <f t="shared" si="13"/>
        <v>0</v>
      </c>
      <c r="BO156" s="78">
        <f t="shared" si="14"/>
        <v>0</v>
      </c>
      <c r="BP156" s="78">
        <f t="shared" si="15"/>
        <v>0</v>
      </c>
    </row>
    <row r="157" spans="1:68" ht="27" customHeight="1" x14ac:dyDescent="0.25">
      <c r="A157" s="63" t="s">
        <v>269</v>
      </c>
      <c r="B157" s="63" t="s">
        <v>270</v>
      </c>
      <c r="C157" s="36">
        <v>4301030963</v>
      </c>
      <c r="D157" s="643">
        <v>4607091382426</v>
      </c>
      <c r="E157" s="643"/>
      <c r="F157" s="62">
        <v>0.9</v>
      </c>
      <c r="G157" s="37">
        <v>10</v>
      </c>
      <c r="H157" s="62">
        <v>9</v>
      </c>
      <c r="I157" s="62">
        <v>9.56</v>
      </c>
      <c r="J157" s="37">
        <v>64</v>
      </c>
      <c r="K157" s="37" t="s">
        <v>127</v>
      </c>
      <c r="L157" s="37" t="s">
        <v>46</v>
      </c>
      <c r="M157" s="38" t="s">
        <v>81</v>
      </c>
      <c r="N157" s="38"/>
      <c r="O157" s="37">
        <v>40</v>
      </c>
      <c r="P157" s="71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45"/>
      <c r="R157" s="645"/>
      <c r="S157" s="645"/>
      <c r="T157" s="646"/>
      <c r="U157" s="39" t="s">
        <v>46</v>
      </c>
      <c r="V157" s="39" t="s">
        <v>46</v>
      </c>
      <c r="W157" s="40" t="s">
        <v>0</v>
      </c>
      <c r="X157" s="58"/>
      <c r="Y157" s="55">
        <f t="shared" si="11"/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12" t="s">
        <v>271</v>
      </c>
      <c r="AG157" s="78"/>
      <c r="AJ157" s="84" t="s">
        <v>46</v>
      </c>
      <c r="AK157" s="84">
        <v>0</v>
      </c>
      <c r="BB157" s="213" t="s">
        <v>67</v>
      </c>
      <c r="BM157" s="78">
        <f t="shared" si="12"/>
        <v>0</v>
      </c>
      <c r="BN157" s="78">
        <f t="shared" si="13"/>
        <v>0</v>
      </c>
      <c r="BO157" s="78">
        <f t="shared" si="14"/>
        <v>0</v>
      </c>
      <c r="BP157" s="78">
        <f t="shared" si="15"/>
        <v>0</v>
      </c>
    </row>
    <row r="158" spans="1:68" ht="27" customHeight="1" x14ac:dyDescent="0.25">
      <c r="A158" s="63" t="s">
        <v>272</v>
      </c>
      <c r="B158" s="63" t="s">
        <v>273</v>
      </c>
      <c r="C158" s="36">
        <v>4301031456</v>
      </c>
      <c r="D158" s="643">
        <v>4680115887398</v>
      </c>
      <c r="E158" s="643"/>
      <c r="F158" s="62">
        <v>0.7</v>
      </c>
      <c r="G158" s="37">
        <v>6</v>
      </c>
      <c r="H158" s="62">
        <v>4.2</v>
      </c>
      <c r="I158" s="62">
        <v>4.3899999999999997</v>
      </c>
      <c r="J158" s="37">
        <v>132</v>
      </c>
      <c r="K158" s="37" t="s">
        <v>134</v>
      </c>
      <c r="L158" s="37" t="s">
        <v>46</v>
      </c>
      <c r="M158" s="38" t="s">
        <v>81</v>
      </c>
      <c r="N158" s="38"/>
      <c r="O158" s="37">
        <v>40</v>
      </c>
      <c r="P158" s="71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8" s="645"/>
      <c r="R158" s="645"/>
      <c r="S158" s="645"/>
      <c r="T158" s="646"/>
      <c r="U158" s="39" t="s">
        <v>46</v>
      </c>
      <c r="V158" s="39" t="s">
        <v>46</v>
      </c>
      <c r="W158" s="40" t="s">
        <v>0</v>
      </c>
      <c r="X158" s="58"/>
      <c r="Y158" s="55">
        <f t="shared" si="11"/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14" t="s">
        <v>274</v>
      </c>
      <c r="AG158" s="78"/>
      <c r="AJ158" s="84" t="s">
        <v>46</v>
      </c>
      <c r="AK158" s="84">
        <v>0</v>
      </c>
      <c r="BB158" s="215" t="s">
        <v>67</v>
      </c>
      <c r="BM158" s="78">
        <f t="shared" si="12"/>
        <v>0</v>
      </c>
      <c r="BN158" s="78">
        <f t="shared" si="13"/>
        <v>0</v>
      </c>
      <c r="BO158" s="78">
        <f t="shared" si="14"/>
        <v>0</v>
      </c>
      <c r="BP158" s="78">
        <f t="shared" si="15"/>
        <v>0</v>
      </c>
    </row>
    <row r="159" spans="1:68" ht="16.5" customHeight="1" x14ac:dyDescent="0.25">
      <c r="A159" s="63" t="s">
        <v>275</v>
      </c>
      <c r="B159" s="63" t="s">
        <v>276</v>
      </c>
      <c r="C159" s="36">
        <v>4301032049</v>
      </c>
      <c r="D159" s="643">
        <v>4680115887787</v>
      </c>
      <c r="E159" s="643"/>
      <c r="F159" s="62">
        <v>0.09</v>
      </c>
      <c r="G159" s="37">
        <v>10</v>
      </c>
      <c r="H159" s="62">
        <v>0.9</v>
      </c>
      <c r="I159" s="62">
        <v>1.1100000000000001</v>
      </c>
      <c r="J159" s="37">
        <v>336</v>
      </c>
      <c r="K159" s="37" t="s">
        <v>131</v>
      </c>
      <c r="L159" s="37" t="s">
        <v>46</v>
      </c>
      <c r="M159" s="38" t="s">
        <v>81</v>
      </c>
      <c r="N159" s="38"/>
      <c r="O159" s="37">
        <v>45</v>
      </c>
      <c r="P159" s="7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9" s="645"/>
      <c r="R159" s="645"/>
      <c r="S159" s="645"/>
      <c r="T159" s="64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11"/>
        <v>0</v>
      </c>
      <c r="Z159" s="41" t="str">
        <f>IFERROR(IF(Y159=0,"",ROUNDUP(Y159/H159,0)*0.00417),"")</f>
        <v/>
      </c>
      <c r="AA159" s="68" t="s">
        <v>46</v>
      </c>
      <c r="AB159" s="69" t="s">
        <v>46</v>
      </c>
      <c r="AC159" s="216" t="s">
        <v>277</v>
      </c>
      <c r="AG159" s="78"/>
      <c r="AJ159" s="84" t="s">
        <v>46</v>
      </c>
      <c r="AK159" s="84">
        <v>0</v>
      </c>
      <c r="BB159" s="217" t="s">
        <v>67</v>
      </c>
      <c r="BM159" s="78">
        <f t="shared" si="12"/>
        <v>0</v>
      </c>
      <c r="BN159" s="78">
        <f t="shared" si="13"/>
        <v>0</v>
      </c>
      <c r="BO159" s="78">
        <f t="shared" si="14"/>
        <v>0</v>
      </c>
      <c r="BP159" s="78">
        <f t="shared" si="15"/>
        <v>0</v>
      </c>
    </row>
    <row r="160" spans="1:68" ht="27" customHeight="1" x14ac:dyDescent="0.25">
      <c r="A160" s="63" t="s">
        <v>278</v>
      </c>
      <c r="B160" s="63" t="s">
        <v>279</v>
      </c>
      <c r="C160" s="36">
        <v>4301031448</v>
      </c>
      <c r="D160" s="643">
        <v>4680115887503</v>
      </c>
      <c r="E160" s="643"/>
      <c r="F160" s="62">
        <v>0.28000000000000003</v>
      </c>
      <c r="G160" s="37">
        <v>6</v>
      </c>
      <c r="H160" s="62">
        <v>1.68</v>
      </c>
      <c r="I160" s="62">
        <v>1.78</v>
      </c>
      <c r="J160" s="37">
        <v>234</v>
      </c>
      <c r="K160" s="37" t="s">
        <v>86</v>
      </c>
      <c r="L160" s="37" t="s">
        <v>46</v>
      </c>
      <c r="M160" s="38" t="s">
        <v>81</v>
      </c>
      <c r="N160" s="38"/>
      <c r="O160" s="37">
        <v>40</v>
      </c>
      <c r="P160" s="71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0" s="645"/>
      <c r="R160" s="645"/>
      <c r="S160" s="645"/>
      <c r="T160" s="646"/>
      <c r="U160" s="39" t="s">
        <v>46</v>
      </c>
      <c r="V160" s="39" t="s">
        <v>46</v>
      </c>
      <c r="W160" s="40" t="s">
        <v>0</v>
      </c>
      <c r="X160" s="58"/>
      <c r="Y160" s="55">
        <f t="shared" si="11"/>
        <v>0</v>
      </c>
      <c r="Z160" s="41" t="str">
        <f>IFERROR(IF(Y160=0,"",ROUNDUP(Y160/H160,0)*0.00502),"")</f>
        <v/>
      </c>
      <c r="AA160" s="68" t="s">
        <v>46</v>
      </c>
      <c r="AB160" s="69" t="s">
        <v>46</v>
      </c>
      <c r="AC160" s="218" t="s">
        <v>265</v>
      </c>
      <c r="AG160" s="78"/>
      <c r="AJ160" s="84" t="s">
        <v>46</v>
      </c>
      <c r="AK160" s="84">
        <v>0</v>
      </c>
      <c r="BB160" s="219" t="s">
        <v>67</v>
      </c>
      <c r="BM160" s="78">
        <f t="shared" si="12"/>
        <v>0</v>
      </c>
      <c r="BN160" s="78">
        <f t="shared" si="13"/>
        <v>0</v>
      </c>
      <c r="BO160" s="78">
        <f t="shared" si="14"/>
        <v>0</v>
      </c>
      <c r="BP160" s="78">
        <f t="shared" si="15"/>
        <v>0</v>
      </c>
    </row>
    <row r="161" spans="1:68" ht="27" customHeight="1" x14ac:dyDescent="0.25">
      <c r="A161" s="63" t="s">
        <v>280</v>
      </c>
      <c r="B161" s="63" t="s">
        <v>281</v>
      </c>
      <c r="C161" s="36">
        <v>4301031389</v>
      </c>
      <c r="D161" s="643">
        <v>4680115887763</v>
      </c>
      <c r="E161" s="643"/>
      <c r="F161" s="62">
        <v>0.09</v>
      </c>
      <c r="G161" s="37">
        <v>10</v>
      </c>
      <c r="H161" s="62">
        <v>0.9</v>
      </c>
      <c r="I161" s="62">
        <v>1.1100000000000001</v>
      </c>
      <c r="J161" s="37">
        <v>336</v>
      </c>
      <c r="K161" s="37" t="s">
        <v>131</v>
      </c>
      <c r="L161" s="37" t="s">
        <v>46</v>
      </c>
      <c r="M161" s="38" t="s">
        <v>81</v>
      </c>
      <c r="N161" s="38"/>
      <c r="O161" s="37">
        <v>45</v>
      </c>
      <c r="P161" s="7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1" s="645"/>
      <c r="R161" s="645"/>
      <c r="S161" s="645"/>
      <c r="T161" s="64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11"/>
        <v>0</v>
      </c>
      <c r="Z161" s="41" t="str">
        <f>IFERROR(IF(Y161=0,"",ROUNDUP(Y161/H161,0)*0.00417),"")</f>
        <v/>
      </c>
      <c r="AA161" s="68" t="s">
        <v>46</v>
      </c>
      <c r="AB161" s="69" t="s">
        <v>46</v>
      </c>
      <c r="AC161" s="220" t="s">
        <v>282</v>
      </c>
      <c r="AG161" s="78"/>
      <c r="AJ161" s="84" t="s">
        <v>46</v>
      </c>
      <c r="AK161" s="84">
        <v>0</v>
      </c>
      <c r="BB161" s="221" t="s">
        <v>67</v>
      </c>
      <c r="BM161" s="78">
        <f t="shared" si="12"/>
        <v>0</v>
      </c>
      <c r="BN161" s="78">
        <f t="shared" si="13"/>
        <v>0</v>
      </c>
      <c r="BO161" s="78">
        <f t="shared" si="14"/>
        <v>0</v>
      </c>
      <c r="BP161" s="78">
        <f t="shared" si="15"/>
        <v>0</v>
      </c>
    </row>
    <row r="162" spans="1:68" ht="27" customHeight="1" x14ac:dyDescent="0.25">
      <c r="A162" s="63" t="s">
        <v>283</v>
      </c>
      <c r="B162" s="63" t="s">
        <v>284</v>
      </c>
      <c r="C162" s="36">
        <v>4301031454</v>
      </c>
      <c r="D162" s="643">
        <v>4680115887480</v>
      </c>
      <c r="E162" s="643"/>
      <c r="F162" s="62">
        <v>0.28000000000000003</v>
      </c>
      <c r="G162" s="37">
        <v>6</v>
      </c>
      <c r="H162" s="62">
        <v>1.68</v>
      </c>
      <c r="I162" s="62">
        <v>1.78</v>
      </c>
      <c r="J162" s="37">
        <v>234</v>
      </c>
      <c r="K162" s="37" t="s">
        <v>86</v>
      </c>
      <c r="L162" s="37" t="s">
        <v>46</v>
      </c>
      <c r="M162" s="38" t="s">
        <v>81</v>
      </c>
      <c r="N162" s="38"/>
      <c r="O162" s="37">
        <v>40</v>
      </c>
      <c r="P162" s="71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2" s="645"/>
      <c r="R162" s="645"/>
      <c r="S162" s="645"/>
      <c r="T162" s="646"/>
      <c r="U162" s="39" t="s">
        <v>46</v>
      </c>
      <c r="V162" s="39" t="s">
        <v>46</v>
      </c>
      <c r="W162" s="40" t="s">
        <v>0</v>
      </c>
      <c r="X162" s="58"/>
      <c r="Y162" s="55">
        <f t="shared" si="11"/>
        <v>0</v>
      </c>
      <c r="Z162" s="41" t="str">
        <f>IFERROR(IF(Y162=0,"",ROUNDUP(Y162/H162,0)*0.00502),"")</f>
        <v/>
      </c>
      <c r="AA162" s="68" t="s">
        <v>46</v>
      </c>
      <c r="AB162" s="69" t="s">
        <v>46</v>
      </c>
      <c r="AC162" s="222" t="s">
        <v>274</v>
      </c>
      <c r="AG162" s="78"/>
      <c r="AJ162" s="84" t="s">
        <v>46</v>
      </c>
      <c r="AK162" s="84">
        <v>0</v>
      </c>
      <c r="BB162" s="223" t="s">
        <v>67</v>
      </c>
      <c r="BM162" s="78">
        <f t="shared" si="12"/>
        <v>0</v>
      </c>
      <c r="BN162" s="78">
        <f t="shared" si="13"/>
        <v>0</v>
      </c>
      <c r="BO162" s="78">
        <f t="shared" si="14"/>
        <v>0</v>
      </c>
      <c r="BP162" s="78">
        <f t="shared" si="15"/>
        <v>0</v>
      </c>
    </row>
    <row r="163" spans="1:68" ht="27" customHeight="1" x14ac:dyDescent="0.25">
      <c r="A163" s="63" t="s">
        <v>285</v>
      </c>
      <c r="B163" s="63" t="s">
        <v>286</v>
      </c>
      <c r="C163" s="36">
        <v>4301031434</v>
      </c>
      <c r="D163" s="643">
        <v>4680115888067</v>
      </c>
      <c r="E163" s="643"/>
      <c r="F163" s="62">
        <v>0.09</v>
      </c>
      <c r="G163" s="37">
        <v>10</v>
      </c>
      <c r="H163" s="62">
        <v>0.9</v>
      </c>
      <c r="I163" s="62">
        <v>1</v>
      </c>
      <c r="J163" s="37">
        <v>336</v>
      </c>
      <c r="K163" s="37" t="s">
        <v>131</v>
      </c>
      <c r="L163" s="37" t="s">
        <v>46</v>
      </c>
      <c r="M163" s="38" t="s">
        <v>81</v>
      </c>
      <c r="N163" s="38"/>
      <c r="O163" s="37">
        <v>45</v>
      </c>
      <c r="P163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63" s="645"/>
      <c r="R163" s="645"/>
      <c r="S163" s="645"/>
      <c r="T163" s="646"/>
      <c r="U163" s="39" t="s">
        <v>46</v>
      </c>
      <c r="V163" s="39" t="s">
        <v>46</v>
      </c>
      <c r="W163" s="40" t="s">
        <v>0</v>
      </c>
      <c r="X163" s="58">
        <v>0</v>
      </c>
      <c r="Y163" s="55">
        <f t="shared" si="11"/>
        <v>0</v>
      </c>
      <c r="Z163" s="41" t="str">
        <f>IFERROR(IF(Y163=0,"",ROUNDUP(Y163/H163,0)*0.00417),"")</f>
        <v/>
      </c>
      <c r="AA163" s="68" t="s">
        <v>46</v>
      </c>
      <c r="AB163" s="69" t="s">
        <v>46</v>
      </c>
      <c r="AC163" s="224" t="s">
        <v>287</v>
      </c>
      <c r="AG163" s="78"/>
      <c r="AJ163" s="84" t="s">
        <v>46</v>
      </c>
      <c r="AK163" s="84">
        <v>0</v>
      </c>
      <c r="BB163" s="225" t="s">
        <v>67</v>
      </c>
      <c r="BM163" s="78">
        <f t="shared" si="12"/>
        <v>0</v>
      </c>
      <c r="BN163" s="78">
        <f t="shared" si="13"/>
        <v>0</v>
      </c>
      <c r="BO163" s="78">
        <f t="shared" si="14"/>
        <v>0</v>
      </c>
      <c r="BP163" s="78">
        <f t="shared" si="15"/>
        <v>0</v>
      </c>
    </row>
    <row r="164" spans="1:68" ht="27" customHeight="1" x14ac:dyDescent="0.25">
      <c r="A164" s="63" t="s">
        <v>288</v>
      </c>
      <c r="B164" s="63" t="s">
        <v>289</v>
      </c>
      <c r="C164" s="36">
        <v>4301031451</v>
      </c>
      <c r="D164" s="643">
        <v>4680115887435</v>
      </c>
      <c r="E164" s="643"/>
      <c r="F164" s="62">
        <v>0.28000000000000003</v>
      </c>
      <c r="G164" s="37">
        <v>6</v>
      </c>
      <c r="H164" s="62">
        <v>1.68</v>
      </c>
      <c r="I164" s="62">
        <v>1.78</v>
      </c>
      <c r="J164" s="37">
        <v>234</v>
      </c>
      <c r="K164" s="37" t="s">
        <v>86</v>
      </c>
      <c r="L164" s="37" t="s">
        <v>46</v>
      </c>
      <c r="M164" s="38" t="s">
        <v>81</v>
      </c>
      <c r="N164" s="38"/>
      <c r="O164" s="37">
        <v>40</v>
      </c>
      <c r="P164" s="72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64" s="645"/>
      <c r="R164" s="645"/>
      <c r="S164" s="645"/>
      <c r="T164" s="646"/>
      <c r="U164" s="39" t="s">
        <v>46</v>
      </c>
      <c r="V164" s="39" t="s">
        <v>46</v>
      </c>
      <c r="W164" s="40" t="s">
        <v>0</v>
      </c>
      <c r="X164" s="58"/>
      <c r="Y164" s="55">
        <f t="shared" si="11"/>
        <v>0</v>
      </c>
      <c r="Z164" s="41" t="str">
        <f>IFERROR(IF(Y164=0,"",ROUNDUP(Y164/H164,0)*0.00502),"")</f>
        <v/>
      </c>
      <c r="AA164" s="68" t="s">
        <v>46</v>
      </c>
      <c r="AB164" s="69" t="s">
        <v>46</v>
      </c>
      <c r="AC164" s="226" t="s">
        <v>268</v>
      </c>
      <c r="AG164" s="78"/>
      <c r="AJ164" s="84" t="s">
        <v>46</v>
      </c>
      <c r="AK164" s="84">
        <v>0</v>
      </c>
      <c r="BB164" s="227" t="s">
        <v>67</v>
      </c>
      <c r="BM164" s="78">
        <f t="shared" si="12"/>
        <v>0</v>
      </c>
      <c r="BN164" s="78">
        <f t="shared" si="13"/>
        <v>0</v>
      </c>
      <c r="BO164" s="78">
        <f t="shared" si="14"/>
        <v>0</v>
      </c>
      <c r="BP164" s="78">
        <f t="shared" si="15"/>
        <v>0</v>
      </c>
    </row>
    <row r="165" spans="1:68" x14ac:dyDescent="0.2">
      <c r="A165" s="651"/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2"/>
      <c r="P165" s="648" t="s">
        <v>40</v>
      </c>
      <c r="Q165" s="649"/>
      <c r="R165" s="649"/>
      <c r="S165" s="649"/>
      <c r="T165" s="649"/>
      <c r="U165" s="649"/>
      <c r="V165" s="650"/>
      <c r="W165" s="42" t="s">
        <v>39</v>
      </c>
      <c r="X165" s="43">
        <f>IFERROR(X155/H155,"0")+IFERROR(X156/H156,"0")+IFERROR(X157/H157,"0")+IFERROR(X158/H158,"0")+IFERROR(X159/H159,"0")+IFERROR(X160/H160,"0")+IFERROR(X161/H161,"0")+IFERROR(X162/H162,"0")+IFERROR(X163/H163,"0")+IFERROR(X164/H164,"0")</f>
        <v>0</v>
      </c>
      <c r="Y165" s="43">
        <f>IFERROR(Y155/H155,"0")+IFERROR(Y156/H156,"0")+IFERROR(Y157/H157,"0")+IFERROR(Y158/H158,"0")+IFERROR(Y159/H159,"0")+IFERROR(Y160/H160,"0")+IFERROR(Y161/H161,"0")+IFERROR(Y162/H162,"0")+IFERROR(Y163/H163,"0")+IFERROR(Y164/H164,"0")</f>
        <v>0</v>
      </c>
      <c r="Z165" s="43">
        <f>IFERROR(IF(Z155="",0,Z155),"0")+IFERROR(IF(Z156="",0,Z156),"0")+IFERROR(IF(Z157="",0,Z157),"0")+IFERROR(IF(Z158="",0,Z158),"0")+IFERROR(IF(Z159="",0,Z159),"0")+IFERROR(IF(Z160="",0,Z160),"0")+IFERROR(IF(Z161="",0,Z161),"0")+IFERROR(IF(Z162="",0,Z162),"0")+IFERROR(IF(Z163="",0,Z163),"0")+IFERROR(IF(Z164="",0,Z164),"0")</f>
        <v>0</v>
      </c>
      <c r="AA165" s="67"/>
      <c r="AB165" s="67"/>
      <c r="AC165" s="67"/>
    </row>
    <row r="166" spans="1:68" x14ac:dyDescent="0.2">
      <c r="A166" s="651"/>
      <c r="B166" s="651"/>
      <c r="C166" s="651"/>
      <c r="D166" s="651"/>
      <c r="E166" s="651"/>
      <c r="F166" s="651"/>
      <c r="G166" s="651"/>
      <c r="H166" s="651"/>
      <c r="I166" s="651"/>
      <c r="J166" s="651"/>
      <c r="K166" s="651"/>
      <c r="L166" s="651"/>
      <c r="M166" s="651"/>
      <c r="N166" s="651"/>
      <c r="O166" s="652"/>
      <c r="P166" s="648" t="s">
        <v>40</v>
      </c>
      <c r="Q166" s="649"/>
      <c r="R166" s="649"/>
      <c r="S166" s="649"/>
      <c r="T166" s="649"/>
      <c r="U166" s="649"/>
      <c r="V166" s="650"/>
      <c r="W166" s="42" t="s">
        <v>0</v>
      </c>
      <c r="X166" s="43">
        <f>IFERROR(SUM(X155:X164),"0")</f>
        <v>0</v>
      </c>
      <c r="Y166" s="43">
        <f>IFERROR(SUM(Y155:Y164),"0")</f>
        <v>0</v>
      </c>
      <c r="Z166" s="42"/>
      <c r="AA166" s="67"/>
      <c r="AB166" s="67"/>
      <c r="AC166" s="67"/>
    </row>
    <row r="167" spans="1:68" ht="14.25" customHeight="1" x14ac:dyDescent="0.25">
      <c r="A167" s="642" t="s">
        <v>87</v>
      </c>
      <c r="B167" s="642"/>
      <c r="C167" s="642"/>
      <c r="D167" s="642"/>
      <c r="E167" s="642"/>
      <c r="F167" s="642"/>
      <c r="G167" s="642"/>
      <c r="H167" s="642"/>
      <c r="I167" s="642"/>
      <c r="J167" s="642"/>
      <c r="K167" s="642"/>
      <c r="L167" s="642"/>
      <c r="M167" s="642"/>
      <c r="N167" s="642"/>
      <c r="O167" s="642"/>
      <c r="P167" s="642"/>
      <c r="Q167" s="642"/>
      <c r="R167" s="642"/>
      <c r="S167" s="642"/>
      <c r="T167" s="642"/>
      <c r="U167" s="642"/>
      <c r="V167" s="642"/>
      <c r="W167" s="642"/>
      <c r="X167" s="642"/>
      <c r="Y167" s="642"/>
      <c r="Z167" s="642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4301052064</v>
      </c>
      <c r="D168" s="643">
        <v>4680115887459</v>
      </c>
      <c r="E168" s="643"/>
      <c r="F168" s="62">
        <v>0.3</v>
      </c>
      <c r="G168" s="37">
        <v>6</v>
      </c>
      <c r="H168" s="62">
        <v>1.8</v>
      </c>
      <c r="I168" s="62">
        <v>2.0579999999999998</v>
      </c>
      <c r="J168" s="37">
        <v>182</v>
      </c>
      <c r="K168" s="37" t="s">
        <v>82</v>
      </c>
      <c r="L168" s="37" t="s">
        <v>46</v>
      </c>
      <c r="M168" s="38" t="s">
        <v>91</v>
      </c>
      <c r="N168" s="38"/>
      <c r="O168" s="37">
        <v>45</v>
      </c>
      <c r="P168" s="72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8" s="645"/>
      <c r="R168" s="645"/>
      <c r="S168" s="645"/>
      <c r="T168" s="64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28" t="s">
        <v>292</v>
      </c>
      <c r="AG168" s="78"/>
      <c r="AJ168" s="84" t="s">
        <v>46</v>
      </c>
      <c r="AK168" s="84">
        <v>0</v>
      </c>
      <c r="BB168" s="22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651"/>
      <c r="B169" s="651"/>
      <c r="C169" s="651"/>
      <c r="D169" s="651"/>
      <c r="E169" s="651"/>
      <c r="F169" s="651"/>
      <c r="G169" s="651"/>
      <c r="H169" s="651"/>
      <c r="I169" s="651"/>
      <c r="J169" s="651"/>
      <c r="K169" s="651"/>
      <c r="L169" s="651"/>
      <c r="M169" s="651"/>
      <c r="N169" s="651"/>
      <c r="O169" s="652"/>
      <c r="P169" s="648" t="s">
        <v>40</v>
      </c>
      <c r="Q169" s="649"/>
      <c r="R169" s="649"/>
      <c r="S169" s="649"/>
      <c r="T169" s="649"/>
      <c r="U169" s="649"/>
      <c r="V169" s="650"/>
      <c r="W169" s="42" t="s">
        <v>39</v>
      </c>
      <c r="X169" s="43">
        <f>IFERROR(X168/H168,"0")</f>
        <v>0</v>
      </c>
      <c r="Y169" s="43">
        <f>IFERROR(Y168/H168,"0")</f>
        <v>0</v>
      </c>
      <c r="Z169" s="43">
        <f>IFERROR(IF(Z168="",0,Z168),"0")</f>
        <v>0</v>
      </c>
      <c r="AA169" s="67"/>
      <c r="AB169" s="67"/>
      <c r="AC169" s="67"/>
    </row>
    <row r="170" spans="1:68" x14ac:dyDescent="0.2">
      <c r="A170" s="651"/>
      <c r="B170" s="651"/>
      <c r="C170" s="651"/>
      <c r="D170" s="651"/>
      <c r="E170" s="651"/>
      <c r="F170" s="651"/>
      <c r="G170" s="651"/>
      <c r="H170" s="651"/>
      <c r="I170" s="651"/>
      <c r="J170" s="651"/>
      <c r="K170" s="651"/>
      <c r="L170" s="651"/>
      <c r="M170" s="651"/>
      <c r="N170" s="651"/>
      <c r="O170" s="652"/>
      <c r="P170" s="648" t="s">
        <v>40</v>
      </c>
      <c r="Q170" s="649"/>
      <c r="R170" s="649"/>
      <c r="S170" s="649"/>
      <c r="T170" s="649"/>
      <c r="U170" s="649"/>
      <c r="V170" s="650"/>
      <c r="W170" s="42" t="s">
        <v>0</v>
      </c>
      <c r="X170" s="43">
        <f>IFERROR(SUM(X168:X168),"0")</f>
        <v>0</v>
      </c>
      <c r="Y170" s="43">
        <f>IFERROR(SUM(Y168:Y168),"0")</f>
        <v>0</v>
      </c>
      <c r="Z170" s="42"/>
      <c r="AA170" s="67"/>
      <c r="AB170" s="67"/>
      <c r="AC170" s="67"/>
    </row>
    <row r="171" spans="1:68" ht="27.75" customHeight="1" x14ac:dyDescent="0.2">
      <c r="A171" s="640" t="s">
        <v>293</v>
      </c>
      <c r="B171" s="640"/>
      <c r="C171" s="640"/>
      <c r="D171" s="640"/>
      <c r="E171" s="640"/>
      <c r="F171" s="640"/>
      <c r="G171" s="640"/>
      <c r="H171" s="640"/>
      <c r="I171" s="640"/>
      <c r="J171" s="640"/>
      <c r="K171" s="640"/>
      <c r="L171" s="640"/>
      <c r="M171" s="640"/>
      <c r="N171" s="640"/>
      <c r="O171" s="640"/>
      <c r="P171" s="640"/>
      <c r="Q171" s="640"/>
      <c r="R171" s="640"/>
      <c r="S171" s="640"/>
      <c r="T171" s="640"/>
      <c r="U171" s="640"/>
      <c r="V171" s="640"/>
      <c r="W171" s="640"/>
      <c r="X171" s="640"/>
      <c r="Y171" s="640"/>
      <c r="Z171" s="640"/>
      <c r="AA171" s="54"/>
      <c r="AB171" s="54"/>
      <c r="AC171" s="54"/>
    </row>
    <row r="172" spans="1:68" ht="16.5" customHeight="1" x14ac:dyDescent="0.25">
      <c r="A172" s="641" t="s">
        <v>294</v>
      </c>
      <c r="B172" s="641"/>
      <c r="C172" s="641"/>
      <c r="D172" s="641"/>
      <c r="E172" s="641"/>
      <c r="F172" s="641"/>
      <c r="G172" s="641"/>
      <c r="H172" s="641"/>
      <c r="I172" s="641"/>
      <c r="J172" s="641"/>
      <c r="K172" s="641"/>
      <c r="L172" s="641"/>
      <c r="M172" s="641"/>
      <c r="N172" s="641"/>
      <c r="O172" s="641"/>
      <c r="P172" s="641"/>
      <c r="Q172" s="641"/>
      <c r="R172" s="641"/>
      <c r="S172" s="641"/>
      <c r="T172" s="641"/>
      <c r="U172" s="641"/>
      <c r="V172" s="641"/>
      <c r="W172" s="641"/>
      <c r="X172" s="641"/>
      <c r="Y172" s="641"/>
      <c r="Z172" s="641"/>
      <c r="AA172" s="65"/>
      <c r="AB172" s="65"/>
      <c r="AC172" s="79"/>
    </row>
    <row r="173" spans="1:68" ht="14.25" customHeight="1" x14ac:dyDescent="0.25">
      <c r="A173" s="642" t="s">
        <v>156</v>
      </c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42"/>
      <c r="P173" s="642"/>
      <c r="Q173" s="642"/>
      <c r="R173" s="642"/>
      <c r="S173" s="642"/>
      <c r="T173" s="642"/>
      <c r="U173" s="642"/>
      <c r="V173" s="642"/>
      <c r="W173" s="642"/>
      <c r="X173" s="642"/>
      <c r="Y173" s="642"/>
      <c r="Z173" s="642"/>
      <c r="AA173" s="66"/>
      <c r="AB173" s="66"/>
      <c r="AC173" s="80"/>
    </row>
    <row r="174" spans="1:68" ht="27" customHeight="1" x14ac:dyDescent="0.25">
      <c r="A174" s="63" t="s">
        <v>295</v>
      </c>
      <c r="B174" s="63" t="s">
        <v>296</v>
      </c>
      <c r="C174" s="36">
        <v>4301020323</v>
      </c>
      <c r="D174" s="643">
        <v>4680115886223</v>
      </c>
      <c r="E174" s="643"/>
      <c r="F174" s="62">
        <v>0.33</v>
      </c>
      <c r="G174" s="37">
        <v>6</v>
      </c>
      <c r="H174" s="62">
        <v>1.98</v>
      </c>
      <c r="I174" s="62">
        <v>2.08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7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4" s="645"/>
      <c r="R174" s="645"/>
      <c r="S174" s="645"/>
      <c r="T174" s="646"/>
      <c r="U174" s="39" t="s">
        <v>46</v>
      </c>
      <c r="V174" s="39" t="s">
        <v>46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30" t="s">
        <v>297</v>
      </c>
      <c r="AG174" s="78"/>
      <c r="AJ174" s="84" t="s">
        <v>46</v>
      </c>
      <c r="AK174" s="84">
        <v>0</v>
      </c>
      <c r="BB174" s="231" t="s">
        <v>67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x14ac:dyDescent="0.2">
      <c r="A175" s="651"/>
      <c r="B175" s="651"/>
      <c r="C175" s="651"/>
      <c r="D175" s="651"/>
      <c r="E175" s="651"/>
      <c r="F175" s="651"/>
      <c r="G175" s="651"/>
      <c r="H175" s="651"/>
      <c r="I175" s="651"/>
      <c r="J175" s="651"/>
      <c r="K175" s="651"/>
      <c r="L175" s="651"/>
      <c r="M175" s="651"/>
      <c r="N175" s="651"/>
      <c r="O175" s="652"/>
      <c r="P175" s="648" t="s">
        <v>40</v>
      </c>
      <c r="Q175" s="649"/>
      <c r="R175" s="649"/>
      <c r="S175" s="649"/>
      <c r="T175" s="649"/>
      <c r="U175" s="649"/>
      <c r="V175" s="650"/>
      <c r="W175" s="42" t="s">
        <v>39</v>
      </c>
      <c r="X175" s="43">
        <f>IFERROR(X174/H174,"0")</f>
        <v>0</v>
      </c>
      <c r="Y175" s="43">
        <f>IFERROR(Y174/H174,"0")</f>
        <v>0</v>
      </c>
      <c r="Z175" s="43">
        <f>IFERROR(IF(Z174="",0,Z174),"0")</f>
        <v>0</v>
      </c>
      <c r="AA175" s="67"/>
      <c r="AB175" s="67"/>
      <c r="AC175" s="67"/>
    </row>
    <row r="176" spans="1:68" x14ac:dyDescent="0.2">
      <c r="A176" s="651"/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2"/>
      <c r="P176" s="648" t="s">
        <v>40</v>
      </c>
      <c r="Q176" s="649"/>
      <c r="R176" s="649"/>
      <c r="S176" s="649"/>
      <c r="T176" s="649"/>
      <c r="U176" s="649"/>
      <c r="V176" s="650"/>
      <c r="W176" s="42" t="s">
        <v>0</v>
      </c>
      <c r="X176" s="43">
        <f>IFERROR(SUM(X174:X174),"0")</f>
        <v>0</v>
      </c>
      <c r="Y176" s="43">
        <f>IFERROR(SUM(Y174:Y174),"0")</f>
        <v>0</v>
      </c>
      <c r="Z176" s="42"/>
      <c r="AA176" s="67"/>
      <c r="AB176" s="67"/>
      <c r="AC176" s="67"/>
    </row>
    <row r="177" spans="1:68" ht="14.25" customHeight="1" x14ac:dyDescent="0.25">
      <c r="A177" s="642" t="s">
        <v>77</v>
      </c>
      <c r="B177" s="642"/>
      <c r="C177" s="642"/>
      <c r="D177" s="642"/>
      <c r="E177" s="642"/>
      <c r="F177" s="642"/>
      <c r="G177" s="642"/>
      <c r="H177" s="642"/>
      <c r="I177" s="642"/>
      <c r="J177" s="642"/>
      <c r="K177" s="642"/>
      <c r="L177" s="642"/>
      <c r="M177" s="642"/>
      <c r="N177" s="642"/>
      <c r="O177" s="642"/>
      <c r="P177" s="642"/>
      <c r="Q177" s="642"/>
      <c r="R177" s="642"/>
      <c r="S177" s="642"/>
      <c r="T177" s="642"/>
      <c r="U177" s="642"/>
      <c r="V177" s="642"/>
      <c r="W177" s="642"/>
      <c r="X177" s="642"/>
      <c r="Y177" s="642"/>
      <c r="Z177" s="642"/>
      <c r="AA177" s="66"/>
      <c r="AB177" s="66"/>
      <c r="AC177" s="80"/>
    </row>
    <row r="178" spans="1:68" ht="27" customHeight="1" x14ac:dyDescent="0.25">
      <c r="A178" s="63" t="s">
        <v>298</v>
      </c>
      <c r="B178" s="63" t="s">
        <v>299</v>
      </c>
      <c r="C178" s="36">
        <v>4301031191</v>
      </c>
      <c r="D178" s="643">
        <v>4680115880993</v>
      </c>
      <c r="E178" s="643"/>
      <c r="F178" s="62">
        <v>0.7</v>
      </c>
      <c r="G178" s="37">
        <v>6</v>
      </c>
      <c r="H178" s="62">
        <v>4.2</v>
      </c>
      <c r="I178" s="62">
        <v>4.45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7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8" s="645"/>
      <c r="R178" s="645"/>
      <c r="S178" s="645"/>
      <c r="T178" s="64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ref="Y178:Y191" si="16">IFERROR(IF(X178="",0,CEILING((X178/$H178),1)*$H178),"")</f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32" t="s">
        <v>300</v>
      </c>
      <c r="AG178" s="78"/>
      <c r="AJ178" s="84" t="s">
        <v>46</v>
      </c>
      <c r="AK178" s="84">
        <v>0</v>
      </c>
      <c r="BB178" s="233" t="s">
        <v>67</v>
      </c>
      <c r="BM178" s="78">
        <f t="shared" ref="BM178:BM191" si="17">IFERROR(X178*I178/H178,"0")</f>
        <v>0</v>
      </c>
      <c r="BN178" s="78">
        <f t="shared" ref="BN178:BN191" si="18">IFERROR(Y178*I178/H178,"0")</f>
        <v>0</v>
      </c>
      <c r="BO178" s="78">
        <f t="shared" ref="BO178:BO191" si="19">IFERROR(1/J178*(X178/H178),"0")</f>
        <v>0</v>
      </c>
      <c r="BP178" s="78">
        <f t="shared" ref="BP178:BP191" si="20">IFERROR(1/J178*(Y178/H178),"0")</f>
        <v>0</v>
      </c>
    </row>
    <row r="179" spans="1:68" ht="27" customHeight="1" x14ac:dyDescent="0.25">
      <c r="A179" s="63" t="s">
        <v>301</v>
      </c>
      <c r="B179" s="63" t="s">
        <v>302</v>
      </c>
      <c r="C179" s="36">
        <v>4301031204</v>
      </c>
      <c r="D179" s="643">
        <v>4680115881761</v>
      </c>
      <c r="E179" s="643"/>
      <c r="F179" s="62">
        <v>0.7</v>
      </c>
      <c r="G179" s="37">
        <v>6</v>
      </c>
      <c r="H179" s="62">
        <v>4.2</v>
      </c>
      <c r="I179" s="62">
        <v>4.45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40</v>
      </c>
      <c r="P179" s="7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9" s="645"/>
      <c r="R179" s="645"/>
      <c r="S179" s="645"/>
      <c r="T179" s="64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34" t="s">
        <v>303</v>
      </c>
      <c r="AG179" s="78"/>
      <c r="AJ179" s="84" t="s">
        <v>46</v>
      </c>
      <c r="AK179" s="84">
        <v>0</v>
      </c>
      <c r="BB179" s="23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304</v>
      </c>
      <c r="B180" s="63" t="s">
        <v>305</v>
      </c>
      <c r="C180" s="36">
        <v>4301031201</v>
      </c>
      <c r="D180" s="643">
        <v>4680115881563</v>
      </c>
      <c r="E180" s="643"/>
      <c r="F180" s="62">
        <v>0.7</v>
      </c>
      <c r="G180" s="37">
        <v>6</v>
      </c>
      <c r="H180" s="62">
        <v>4.2</v>
      </c>
      <c r="I180" s="62">
        <v>4.3899999999999997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7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0" s="645"/>
      <c r="R180" s="645"/>
      <c r="S180" s="645"/>
      <c r="T180" s="64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36" t="s">
        <v>306</v>
      </c>
      <c r="AG180" s="78"/>
      <c r="AJ180" s="84" t="s">
        <v>46</v>
      </c>
      <c r="AK180" s="84">
        <v>0</v>
      </c>
      <c r="BB180" s="23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37.5" customHeight="1" x14ac:dyDescent="0.25">
      <c r="A181" s="63" t="s">
        <v>307</v>
      </c>
      <c r="B181" s="63" t="s">
        <v>308</v>
      </c>
      <c r="C181" s="36">
        <v>4301031447</v>
      </c>
      <c r="D181" s="643">
        <v>4680115887565</v>
      </c>
      <c r="E181" s="643"/>
      <c r="F181" s="62">
        <v>0.08</v>
      </c>
      <c r="G181" s="37">
        <v>10</v>
      </c>
      <c r="H181" s="62">
        <v>0.8</v>
      </c>
      <c r="I181" s="62">
        <v>0.93</v>
      </c>
      <c r="J181" s="37">
        <v>216</v>
      </c>
      <c r="K181" s="37" t="s">
        <v>86</v>
      </c>
      <c r="L181" s="37" t="s">
        <v>46</v>
      </c>
      <c r="M181" s="38" t="s">
        <v>81</v>
      </c>
      <c r="N181" s="38"/>
      <c r="O181" s="37">
        <v>45</v>
      </c>
      <c r="P181" s="7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1" s="645"/>
      <c r="R181" s="645"/>
      <c r="S181" s="645"/>
      <c r="T181" s="64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IFERROR(IF(Y181=0,"",ROUNDUP(Y181/H181,0)*0.00556),"")</f>
        <v/>
      </c>
      <c r="AA181" s="68" t="s">
        <v>46</v>
      </c>
      <c r="AB181" s="69" t="s">
        <v>46</v>
      </c>
      <c r="AC181" s="238" t="s">
        <v>309</v>
      </c>
      <c r="AG181" s="78"/>
      <c r="AJ181" s="84" t="s">
        <v>46</v>
      </c>
      <c r="AK181" s="84">
        <v>0</v>
      </c>
      <c r="BB181" s="23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310</v>
      </c>
      <c r="B182" s="63" t="s">
        <v>311</v>
      </c>
      <c r="C182" s="36">
        <v>4301031199</v>
      </c>
      <c r="D182" s="643">
        <v>4680115880986</v>
      </c>
      <c r="E182" s="643"/>
      <c r="F182" s="62">
        <v>0.35</v>
      </c>
      <c r="G182" s="37">
        <v>6</v>
      </c>
      <c r="H182" s="62">
        <v>2.1</v>
      </c>
      <c r="I182" s="62">
        <v>2.23</v>
      </c>
      <c r="J182" s="37">
        <v>234</v>
      </c>
      <c r="K182" s="37" t="s">
        <v>86</v>
      </c>
      <c r="L182" s="37" t="s">
        <v>46</v>
      </c>
      <c r="M182" s="38" t="s">
        <v>81</v>
      </c>
      <c r="N182" s="38"/>
      <c r="O182" s="37">
        <v>40</v>
      </c>
      <c r="P182" s="7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2" s="645"/>
      <c r="R182" s="645"/>
      <c r="S182" s="645"/>
      <c r="T182" s="64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 t="shared" ref="Z182:Z187" si="21">IFERROR(IF(Y182=0,"",ROUNDUP(Y182/H182,0)*0.00502),"")</f>
        <v/>
      </c>
      <c r="AA182" s="68" t="s">
        <v>46</v>
      </c>
      <c r="AB182" s="69" t="s">
        <v>46</v>
      </c>
      <c r="AC182" s="240" t="s">
        <v>300</v>
      </c>
      <c r="AG182" s="78"/>
      <c r="AJ182" s="84" t="s">
        <v>46</v>
      </c>
      <c r="AK182" s="84">
        <v>0</v>
      </c>
      <c r="BB182" s="24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312</v>
      </c>
      <c r="B183" s="63" t="s">
        <v>313</v>
      </c>
      <c r="C183" s="36">
        <v>4301031443</v>
      </c>
      <c r="D183" s="643">
        <v>4680115887213</v>
      </c>
      <c r="E183" s="643"/>
      <c r="F183" s="62">
        <v>0.3</v>
      </c>
      <c r="G183" s="37">
        <v>6</v>
      </c>
      <c r="H183" s="62">
        <v>1.8</v>
      </c>
      <c r="I183" s="62">
        <v>1.9</v>
      </c>
      <c r="J183" s="37">
        <v>234</v>
      </c>
      <c r="K183" s="37" t="s">
        <v>86</v>
      </c>
      <c r="L183" s="37" t="s">
        <v>46</v>
      </c>
      <c r="M183" s="38" t="s">
        <v>81</v>
      </c>
      <c r="N183" s="38"/>
      <c r="O183" s="37">
        <v>45</v>
      </c>
      <c r="P183" s="7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3" s="645"/>
      <c r="R183" s="645"/>
      <c r="S183" s="645"/>
      <c r="T183" s="64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 t="shared" si="21"/>
        <v/>
      </c>
      <c r="AA183" s="68" t="s">
        <v>46</v>
      </c>
      <c r="AB183" s="69" t="s">
        <v>46</v>
      </c>
      <c r="AC183" s="242" t="s">
        <v>314</v>
      </c>
      <c r="AG183" s="78"/>
      <c r="AJ183" s="84" t="s">
        <v>46</v>
      </c>
      <c r="AK183" s="84">
        <v>0</v>
      </c>
      <c r="BB183" s="24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315</v>
      </c>
      <c r="B184" s="63" t="s">
        <v>316</v>
      </c>
      <c r="C184" s="36">
        <v>4301031205</v>
      </c>
      <c r="D184" s="643">
        <v>4680115881785</v>
      </c>
      <c r="E184" s="643"/>
      <c r="F184" s="62">
        <v>0.35</v>
      </c>
      <c r="G184" s="37">
        <v>6</v>
      </c>
      <c r="H184" s="62">
        <v>2.1</v>
      </c>
      <c r="I184" s="62">
        <v>2.23</v>
      </c>
      <c r="J184" s="37">
        <v>234</v>
      </c>
      <c r="K184" s="37" t="s">
        <v>86</v>
      </c>
      <c r="L184" s="37" t="s">
        <v>46</v>
      </c>
      <c r="M184" s="38" t="s">
        <v>81</v>
      </c>
      <c r="N184" s="38"/>
      <c r="O184" s="37">
        <v>40</v>
      </c>
      <c r="P184" s="7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84" s="645"/>
      <c r="R184" s="645"/>
      <c r="S184" s="645"/>
      <c r="T184" s="64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 t="shared" si="21"/>
        <v/>
      </c>
      <c r="AA184" s="68" t="s">
        <v>46</v>
      </c>
      <c r="AB184" s="69" t="s">
        <v>46</v>
      </c>
      <c r="AC184" s="244" t="s">
        <v>303</v>
      </c>
      <c r="AG184" s="78"/>
      <c r="AJ184" s="84" t="s">
        <v>46</v>
      </c>
      <c r="AK184" s="84">
        <v>0</v>
      </c>
      <c r="BB184" s="24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317</v>
      </c>
      <c r="B185" s="63" t="s">
        <v>318</v>
      </c>
      <c r="C185" s="36">
        <v>4301031499</v>
      </c>
      <c r="D185" s="643">
        <v>4680115888432</v>
      </c>
      <c r="E185" s="643"/>
      <c r="F185" s="62">
        <v>0.3</v>
      </c>
      <c r="G185" s="37">
        <v>6</v>
      </c>
      <c r="H185" s="62">
        <v>1.8</v>
      </c>
      <c r="I185" s="62">
        <v>1.93</v>
      </c>
      <c r="J185" s="37">
        <v>234</v>
      </c>
      <c r="K185" s="37" t="s">
        <v>86</v>
      </c>
      <c r="L185" s="37" t="s">
        <v>46</v>
      </c>
      <c r="M185" s="38" t="s">
        <v>81</v>
      </c>
      <c r="N185" s="38"/>
      <c r="O185" s="37">
        <v>45</v>
      </c>
      <c r="P185" s="731" t="s">
        <v>319</v>
      </c>
      <c r="Q185" s="645"/>
      <c r="R185" s="645"/>
      <c r="S185" s="645"/>
      <c r="T185" s="64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 t="shared" si="21"/>
        <v/>
      </c>
      <c r="AA185" s="68" t="s">
        <v>46</v>
      </c>
      <c r="AB185" s="69" t="s">
        <v>46</v>
      </c>
      <c r="AC185" s="246" t="s">
        <v>320</v>
      </c>
      <c r="AG185" s="78"/>
      <c r="AJ185" s="84" t="s">
        <v>46</v>
      </c>
      <c r="AK185" s="84">
        <v>0</v>
      </c>
      <c r="BB185" s="24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customHeight="1" x14ac:dyDescent="0.25">
      <c r="A186" s="63" t="s">
        <v>321</v>
      </c>
      <c r="B186" s="63" t="s">
        <v>322</v>
      </c>
      <c r="C186" s="36">
        <v>4301031427</v>
      </c>
      <c r="D186" s="643">
        <v>4680115888104</v>
      </c>
      <c r="E186" s="643"/>
      <c r="F186" s="62">
        <v>0.35</v>
      </c>
      <c r="G186" s="37">
        <v>6</v>
      </c>
      <c r="H186" s="62">
        <v>2.1</v>
      </c>
      <c r="I186" s="62">
        <v>2.2000000000000002</v>
      </c>
      <c r="J186" s="37">
        <v>234</v>
      </c>
      <c r="K186" s="37" t="s">
        <v>86</v>
      </c>
      <c r="L186" s="37" t="s">
        <v>46</v>
      </c>
      <c r="M186" s="38" t="s">
        <v>81</v>
      </c>
      <c r="N186" s="38"/>
      <c r="O186" s="37">
        <v>45</v>
      </c>
      <c r="P186" s="7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86" s="645"/>
      <c r="R186" s="645"/>
      <c r="S186" s="645"/>
      <c r="T186" s="64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 t="shared" si="21"/>
        <v/>
      </c>
      <c r="AA186" s="68" t="s">
        <v>46</v>
      </c>
      <c r="AB186" s="69" t="s">
        <v>46</v>
      </c>
      <c r="AC186" s="248" t="s">
        <v>323</v>
      </c>
      <c r="AG186" s="78"/>
      <c r="AJ186" s="84" t="s">
        <v>46</v>
      </c>
      <c r="AK186" s="84">
        <v>0</v>
      </c>
      <c r="BB186" s="24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customHeight="1" x14ac:dyDescent="0.25">
      <c r="A187" s="63" t="s">
        <v>324</v>
      </c>
      <c r="B187" s="63" t="s">
        <v>325</v>
      </c>
      <c r="C187" s="36">
        <v>4301031399</v>
      </c>
      <c r="D187" s="643">
        <v>4680115886537</v>
      </c>
      <c r="E187" s="643"/>
      <c r="F187" s="62">
        <v>0.3</v>
      </c>
      <c r="G187" s="37">
        <v>6</v>
      </c>
      <c r="H187" s="62">
        <v>1.8</v>
      </c>
      <c r="I187" s="62">
        <v>1.93</v>
      </c>
      <c r="J187" s="37">
        <v>234</v>
      </c>
      <c r="K187" s="37" t="s">
        <v>86</v>
      </c>
      <c r="L187" s="37" t="s">
        <v>46</v>
      </c>
      <c r="M187" s="38" t="s">
        <v>81</v>
      </c>
      <c r="N187" s="38"/>
      <c r="O187" s="37">
        <v>40</v>
      </c>
      <c r="P187" s="73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87" s="645"/>
      <c r="R187" s="645"/>
      <c r="S187" s="645"/>
      <c r="T187" s="64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 t="shared" si="21"/>
        <v/>
      </c>
      <c r="AA187" s="68" t="s">
        <v>46</v>
      </c>
      <c r="AB187" s="69" t="s">
        <v>46</v>
      </c>
      <c r="AC187" s="250" t="s">
        <v>326</v>
      </c>
      <c r="AG187" s="78"/>
      <c r="AJ187" s="84" t="s">
        <v>46</v>
      </c>
      <c r="AK187" s="84">
        <v>0</v>
      </c>
      <c r="BB187" s="25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t="27" customHeight="1" x14ac:dyDescent="0.25">
      <c r="A188" s="63" t="s">
        <v>327</v>
      </c>
      <c r="B188" s="63" t="s">
        <v>328</v>
      </c>
      <c r="C188" s="36">
        <v>4301031279</v>
      </c>
      <c r="D188" s="643">
        <v>4680115887596</v>
      </c>
      <c r="E188" s="643"/>
      <c r="F188" s="62">
        <v>0.08</v>
      </c>
      <c r="G188" s="37">
        <v>10</v>
      </c>
      <c r="H188" s="62">
        <v>0.8</v>
      </c>
      <c r="I188" s="62">
        <v>1.01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7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88" s="645"/>
      <c r="R188" s="645"/>
      <c r="S188" s="645"/>
      <c r="T188" s="64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1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52" t="s">
        <v>329</v>
      </c>
      <c r="AG188" s="78"/>
      <c r="AJ188" s="84" t="s">
        <v>46</v>
      </c>
      <c r="AK188" s="84">
        <v>0</v>
      </c>
      <c r="BB188" s="253" t="s">
        <v>67</v>
      </c>
      <c r="BM188" s="78">
        <f t="shared" si="17"/>
        <v>0</v>
      </c>
      <c r="BN188" s="78">
        <f t="shared" si="18"/>
        <v>0</v>
      </c>
      <c r="BO188" s="78">
        <f t="shared" si="19"/>
        <v>0</v>
      </c>
      <c r="BP188" s="78">
        <f t="shared" si="20"/>
        <v>0</v>
      </c>
    </row>
    <row r="189" spans="1:68" ht="37.5" customHeight="1" x14ac:dyDescent="0.25">
      <c r="A189" s="63" t="s">
        <v>330</v>
      </c>
      <c r="B189" s="63" t="s">
        <v>331</v>
      </c>
      <c r="C189" s="36">
        <v>4301031202</v>
      </c>
      <c r="D189" s="643">
        <v>4680115881679</v>
      </c>
      <c r="E189" s="643"/>
      <c r="F189" s="62">
        <v>0.35</v>
      </c>
      <c r="G189" s="37">
        <v>6</v>
      </c>
      <c r="H189" s="62">
        <v>2.1</v>
      </c>
      <c r="I189" s="62">
        <v>2.2000000000000002</v>
      </c>
      <c r="J189" s="37">
        <v>234</v>
      </c>
      <c r="K189" s="37" t="s">
        <v>86</v>
      </c>
      <c r="L189" s="37" t="s">
        <v>46</v>
      </c>
      <c r="M189" s="38" t="s">
        <v>81</v>
      </c>
      <c r="N189" s="38"/>
      <c r="O189" s="37">
        <v>40</v>
      </c>
      <c r="P189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9" s="645"/>
      <c r="R189" s="645"/>
      <c r="S189" s="645"/>
      <c r="T189" s="64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1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54" t="s">
        <v>306</v>
      </c>
      <c r="AG189" s="78"/>
      <c r="AJ189" s="84" t="s">
        <v>46</v>
      </c>
      <c r="AK189" s="84">
        <v>0</v>
      </c>
      <c r="BB189" s="255" t="s">
        <v>67</v>
      </c>
      <c r="BM189" s="78">
        <f t="shared" si="17"/>
        <v>0</v>
      </c>
      <c r="BN189" s="78">
        <f t="shared" si="18"/>
        <v>0</v>
      </c>
      <c r="BO189" s="78">
        <f t="shared" si="19"/>
        <v>0</v>
      </c>
      <c r="BP189" s="78">
        <f t="shared" si="20"/>
        <v>0</v>
      </c>
    </row>
    <row r="190" spans="1:68" ht="27" customHeight="1" x14ac:dyDescent="0.25">
      <c r="A190" s="63" t="s">
        <v>332</v>
      </c>
      <c r="B190" s="63" t="s">
        <v>333</v>
      </c>
      <c r="C190" s="36">
        <v>4301031158</v>
      </c>
      <c r="D190" s="643">
        <v>4680115880191</v>
      </c>
      <c r="E190" s="643"/>
      <c r="F190" s="62">
        <v>0.4</v>
      </c>
      <c r="G190" s="37">
        <v>6</v>
      </c>
      <c r="H190" s="62">
        <v>2.4</v>
      </c>
      <c r="I190" s="62">
        <v>2.58</v>
      </c>
      <c r="J190" s="37">
        <v>182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7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0" s="645"/>
      <c r="R190" s="645"/>
      <c r="S190" s="645"/>
      <c r="T190" s="64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16"/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56" t="s">
        <v>306</v>
      </c>
      <c r="AG190" s="78"/>
      <c r="AJ190" s="84" t="s">
        <v>46</v>
      </c>
      <c r="AK190" s="84">
        <v>0</v>
      </c>
      <c r="BB190" s="257" t="s">
        <v>67</v>
      </c>
      <c r="BM190" s="78">
        <f t="shared" si="17"/>
        <v>0</v>
      </c>
      <c r="BN190" s="78">
        <f t="shared" si="18"/>
        <v>0</v>
      </c>
      <c r="BO190" s="78">
        <f t="shared" si="19"/>
        <v>0</v>
      </c>
      <c r="BP190" s="78">
        <f t="shared" si="20"/>
        <v>0</v>
      </c>
    </row>
    <row r="191" spans="1:68" ht="27" customHeight="1" x14ac:dyDescent="0.25">
      <c r="A191" s="63" t="s">
        <v>334</v>
      </c>
      <c r="B191" s="63" t="s">
        <v>335</v>
      </c>
      <c r="C191" s="36">
        <v>4301031245</v>
      </c>
      <c r="D191" s="643">
        <v>4680115883963</v>
      </c>
      <c r="E191" s="643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86</v>
      </c>
      <c r="L191" s="37" t="s">
        <v>46</v>
      </c>
      <c r="M191" s="38" t="s">
        <v>81</v>
      </c>
      <c r="N191" s="38"/>
      <c r="O191" s="37">
        <v>40</v>
      </c>
      <c r="P191" s="7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1" s="645"/>
      <c r="R191" s="645"/>
      <c r="S191" s="645"/>
      <c r="T191" s="64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1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58" t="s">
        <v>336</v>
      </c>
      <c r="AG191" s="78"/>
      <c r="AJ191" s="84" t="s">
        <v>46</v>
      </c>
      <c r="AK191" s="84">
        <v>0</v>
      </c>
      <c r="BB191" s="259" t="s">
        <v>67</v>
      </c>
      <c r="BM191" s="78">
        <f t="shared" si="17"/>
        <v>0</v>
      </c>
      <c r="BN191" s="78">
        <f t="shared" si="18"/>
        <v>0</v>
      </c>
      <c r="BO191" s="78">
        <f t="shared" si="19"/>
        <v>0</v>
      </c>
      <c r="BP191" s="78">
        <f t="shared" si="20"/>
        <v>0</v>
      </c>
    </row>
    <row r="192" spans="1:68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178/H178,"0")+IFERROR(X179/H179,"0")+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178/H178,"0")+IFERROR(Y179/H179,"0")+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IFERROR(SUM(X178:X191),"0")</f>
        <v>0</v>
      </c>
      <c r="Y193" s="43">
        <f>IFERROR(SUM(Y178:Y191),"0")</f>
        <v>0</v>
      </c>
      <c r="Z193" s="42"/>
      <c r="AA193" s="67"/>
      <c r="AB193" s="67"/>
      <c r="AC193" s="67"/>
    </row>
    <row r="194" spans="1:68" ht="14.25" customHeight="1" x14ac:dyDescent="0.25">
      <c r="A194" s="642" t="s">
        <v>110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6"/>
      <c r="AB194" s="66"/>
      <c r="AC194" s="80"/>
    </row>
    <row r="195" spans="1:68" ht="27" customHeight="1" x14ac:dyDescent="0.25">
      <c r="A195" s="63" t="s">
        <v>337</v>
      </c>
      <c r="B195" s="63" t="s">
        <v>338</v>
      </c>
      <c r="C195" s="36">
        <v>4301032053</v>
      </c>
      <c r="D195" s="643">
        <v>4680115886780</v>
      </c>
      <c r="E195" s="643"/>
      <c r="F195" s="62">
        <v>7.0000000000000007E-2</v>
      </c>
      <c r="G195" s="37">
        <v>18</v>
      </c>
      <c r="H195" s="62">
        <v>1.26</v>
      </c>
      <c r="I195" s="62">
        <v>1.45</v>
      </c>
      <c r="J195" s="37">
        <v>216</v>
      </c>
      <c r="K195" s="37" t="s">
        <v>341</v>
      </c>
      <c r="L195" s="37" t="s">
        <v>46</v>
      </c>
      <c r="M195" s="38" t="s">
        <v>340</v>
      </c>
      <c r="N195" s="38"/>
      <c r="O195" s="37">
        <v>60</v>
      </c>
      <c r="P195" s="7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95" s="645"/>
      <c r="R195" s="645"/>
      <c r="S195" s="645"/>
      <c r="T195" s="64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0" t="s">
        <v>339</v>
      </c>
      <c r="AG195" s="78"/>
      <c r="AJ195" s="84" t="s">
        <v>46</v>
      </c>
      <c r="AK195" s="84">
        <v>0</v>
      </c>
      <c r="BB195" s="26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342</v>
      </c>
      <c r="B196" s="63" t="s">
        <v>343</v>
      </c>
      <c r="C196" s="36">
        <v>4301032051</v>
      </c>
      <c r="D196" s="643">
        <v>4680115886742</v>
      </c>
      <c r="E196" s="643"/>
      <c r="F196" s="62">
        <v>7.0000000000000007E-2</v>
      </c>
      <c r="G196" s="37">
        <v>18</v>
      </c>
      <c r="H196" s="62">
        <v>1.26</v>
      </c>
      <c r="I196" s="62">
        <v>1.45</v>
      </c>
      <c r="J196" s="37">
        <v>216</v>
      </c>
      <c r="K196" s="37" t="s">
        <v>341</v>
      </c>
      <c r="L196" s="37" t="s">
        <v>46</v>
      </c>
      <c r="M196" s="38" t="s">
        <v>340</v>
      </c>
      <c r="N196" s="38"/>
      <c r="O196" s="37">
        <v>90</v>
      </c>
      <c r="P196" s="7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96" s="645"/>
      <c r="R196" s="645"/>
      <c r="S196" s="645"/>
      <c r="T196" s="64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62" t="s">
        <v>344</v>
      </c>
      <c r="AG196" s="78"/>
      <c r="AJ196" s="84" t="s">
        <v>46</v>
      </c>
      <c r="AK196" s="84">
        <v>0</v>
      </c>
      <c r="BB196" s="26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345</v>
      </c>
      <c r="B197" s="63" t="s">
        <v>346</v>
      </c>
      <c r="C197" s="36">
        <v>4301032052</v>
      </c>
      <c r="D197" s="643">
        <v>4680115886766</v>
      </c>
      <c r="E197" s="643"/>
      <c r="F197" s="62">
        <v>7.0000000000000007E-2</v>
      </c>
      <c r="G197" s="37">
        <v>18</v>
      </c>
      <c r="H197" s="62">
        <v>1.26</v>
      </c>
      <c r="I197" s="62">
        <v>1.45</v>
      </c>
      <c r="J197" s="37">
        <v>216</v>
      </c>
      <c r="K197" s="37" t="s">
        <v>341</v>
      </c>
      <c r="L197" s="37" t="s">
        <v>46</v>
      </c>
      <c r="M197" s="38" t="s">
        <v>340</v>
      </c>
      <c r="N197" s="38"/>
      <c r="O197" s="37">
        <v>90</v>
      </c>
      <c r="P197" s="7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97" s="645"/>
      <c r="R197" s="645"/>
      <c r="S197" s="645"/>
      <c r="T197" s="64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4" t="s">
        <v>344</v>
      </c>
      <c r="AG197" s="78"/>
      <c r="AJ197" s="84" t="s">
        <v>46</v>
      </c>
      <c r="AK197" s="84">
        <v>0</v>
      </c>
      <c r="BB197" s="26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x14ac:dyDescent="0.2">
      <c r="A199" s="651"/>
      <c r="B199" s="651"/>
      <c r="C199" s="651"/>
      <c r="D199" s="651"/>
      <c r="E199" s="651"/>
      <c r="F199" s="651"/>
      <c r="G199" s="651"/>
      <c r="H199" s="651"/>
      <c r="I199" s="651"/>
      <c r="J199" s="651"/>
      <c r="K199" s="651"/>
      <c r="L199" s="651"/>
      <c r="M199" s="651"/>
      <c r="N199" s="651"/>
      <c r="O199" s="652"/>
      <c r="P199" s="648" t="s">
        <v>40</v>
      </c>
      <c r="Q199" s="649"/>
      <c r="R199" s="649"/>
      <c r="S199" s="649"/>
      <c r="T199" s="649"/>
      <c r="U199" s="649"/>
      <c r="V199" s="65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customHeight="1" x14ac:dyDescent="0.25">
      <c r="A200" s="642" t="s">
        <v>347</v>
      </c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42"/>
      <c r="P200" s="642"/>
      <c r="Q200" s="642"/>
      <c r="R200" s="642"/>
      <c r="S200" s="642"/>
      <c r="T200" s="642"/>
      <c r="U200" s="642"/>
      <c r="V200" s="642"/>
      <c r="W200" s="642"/>
      <c r="X200" s="642"/>
      <c r="Y200" s="642"/>
      <c r="Z200" s="642"/>
      <c r="AA200" s="66"/>
      <c r="AB200" s="66"/>
      <c r="AC200" s="80"/>
    </row>
    <row r="201" spans="1:68" ht="27" customHeight="1" x14ac:dyDescent="0.25">
      <c r="A201" s="63" t="s">
        <v>348</v>
      </c>
      <c r="B201" s="63" t="s">
        <v>349</v>
      </c>
      <c r="C201" s="36">
        <v>4301170013</v>
      </c>
      <c r="D201" s="643">
        <v>4680115886797</v>
      </c>
      <c r="E201" s="643"/>
      <c r="F201" s="62">
        <v>7.0000000000000007E-2</v>
      </c>
      <c r="G201" s="37">
        <v>18</v>
      </c>
      <c r="H201" s="62">
        <v>1.26</v>
      </c>
      <c r="I201" s="62">
        <v>1.45</v>
      </c>
      <c r="J201" s="37">
        <v>216</v>
      </c>
      <c r="K201" s="37" t="s">
        <v>341</v>
      </c>
      <c r="L201" s="37" t="s">
        <v>46</v>
      </c>
      <c r="M201" s="38" t="s">
        <v>340</v>
      </c>
      <c r="N201" s="38"/>
      <c r="O201" s="37">
        <v>90</v>
      </c>
      <c r="P201" s="74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1" s="645"/>
      <c r="R201" s="645"/>
      <c r="S201" s="645"/>
      <c r="T201" s="64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66" t="s">
        <v>344</v>
      </c>
      <c r="AG201" s="78"/>
      <c r="AJ201" s="84" t="s">
        <v>46</v>
      </c>
      <c r="AK201" s="84">
        <v>0</v>
      </c>
      <c r="BB201" s="26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x14ac:dyDescent="0.2">
      <c r="A203" s="651"/>
      <c r="B203" s="651"/>
      <c r="C203" s="651"/>
      <c r="D203" s="651"/>
      <c r="E203" s="651"/>
      <c r="F203" s="651"/>
      <c r="G203" s="651"/>
      <c r="H203" s="651"/>
      <c r="I203" s="651"/>
      <c r="J203" s="651"/>
      <c r="K203" s="651"/>
      <c r="L203" s="651"/>
      <c r="M203" s="651"/>
      <c r="N203" s="651"/>
      <c r="O203" s="652"/>
      <c r="P203" s="648" t="s">
        <v>40</v>
      </c>
      <c r="Q203" s="649"/>
      <c r="R203" s="649"/>
      <c r="S203" s="649"/>
      <c r="T203" s="649"/>
      <c r="U203" s="649"/>
      <c r="V203" s="65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6.5" customHeight="1" x14ac:dyDescent="0.25">
      <c r="A204" s="641" t="s">
        <v>350</v>
      </c>
      <c r="B204" s="641"/>
      <c r="C204" s="641"/>
      <c r="D204" s="641"/>
      <c r="E204" s="641"/>
      <c r="F204" s="641"/>
      <c r="G204" s="641"/>
      <c r="H204" s="641"/>
      <c r="I204" s="641"/>
      <c r="J204" s="641"/>
      <c r="K204" s="641"/>
      <c r="L204" s="641"/>
      <c r="M204" s="641"/>
      <c r="N204" s="641"/>
      <c r="O204" s="641"/>
      <c r="P204" s="641"/>
      <c r="Q204" s="641"/>
      <c r="R204" s="641"/>
      <c r="S204" s="641"/>
      <c r="T204" s="641"/>
      <c r="U204" s="641"/>
      <c r="V204" s="641"/>
      <c r="W204" s="641"/>
      <c r="X204" s="641"/>
      <c r="Y204" s="641"/>
      <c r="Z204" s="641"/>
      <c r="AA204" s="65"/>
      <c r="AB204" s="65"/>
      <c r="AC204" s="79"/>
    </row>
    <row r="205" spans="1:68" ht="14.25" customHeight="1" x14ac:dyDescent="0.25">
      <c r="A205" s="642" t="s">
        <v>122</v>
      </c>
      <c r="B205" s="642"/>
      <c r="C205" s="642"/>
      <c r="D205" s="642"/>
      <c r="E205" s="642"/>
      <c r="F205" s="642"/>
      <c r="G205" s="642"/>
      <c r="H205" s="642"/>
      <c r="I205" s="642"/>
      <c r="J205" s="642"/>
      <c r="K205" s="642"/>
      <c r="L205" s="642"/>
      <c r="M205" s="642"/>
      <c r="N205" s="642"/>
      <c r="O205" s="642"/>
      <c r="P205" s="642"/>
      <c r="Q205" s="642"/>
      <c r="R205" s="642"/>
      <c r="S205" s="642"/>
      <c r="T205" s="642"/>
      <c r="U205" s="642"/>
      <c r="V205" s="642"/>
      <c r="W205" s="642"/>
      <c r="X205" s="642"/>
      <c r="Y205" s="642"/>
      <c r="Z205" s="642"/>
      <c r="AA205" s="66"/>
      <c r="AB205" s="66"/>
      <c r="AC205" s="80"/>
    </row>
    <row r="206" spans="1:68" ht="27" customHeight="1" x14ac:dyDescent="0.25">
      <c r="A206" s="63" t="s">
        <v>351</v>
      </c>
      <c r="B206" s="63" t="s">
        <v>352</v>
      </c>
      <c r="C206" s="36">
        <v>4301011450</v>
      </c>
      <c r="D206" s="643">
        <v>4680115881402</v>
      </c>
      <c r="E206" s="643"/>
      <c r="F206" s="62">
        <v>1.35</v>
      </c>
      <c r="G206" s="37">
        <v>8</v>
      </c>
      <c r="H206" s="62">
        <v>10.8</v>
      </c>
      <c r="I206" s="62">
        <v>11.21</v>
      </c>
      <c r="J206" s="37">
        <v>64</v>
      </c>
      <c r="K206" s="37" t="s">
        <v>127</v>
      </c>
      <c r="L206" s="37" t="s">
        <v>46</v>
      </c>
      <c r="M206" s="38" t="s">
        <v>126</v>
      </c>
      <c r="N206" s="38"/>
      <c r="O206" s="37">
        <v>55</v>
      </c>
      <c r="P206" s="7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06" s="645"/>
      <c r="R206" s="645"/>
      <c r="S206" s="645"/>
      <c r="T206" s="646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IFERROR(IF(Y206=0,"",ROUNDUP(Y206/H206,0)*0.01898),"")</f>
        <v/>
      </c>
      <c r="AA206" s="68" t="s">
        <v>46</v>
      </c>
      <c r="AB206" s="69" t="s">
        <v>46</v>
      </c>
      <c r="AC206" s="268" t="s">
        <v>353</v>
      </c>
      <c r="AG206" s="78"/>
      <c r="AJ206" s="84" t="s">
        <v>46</v>
      </c>
      <c r="AK206" s="84">
        <v>0</v>
      </c>
      <c r="BB206" s="269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ht="27" customHeight="1" x14ac:dyDescent="0.25">
      <c r="A207" s="63" t="s">
        <v>354</v>
      </c>
      <c r="B207" s="63" t="s">
        <v>355</v>
      </c>
      <c r="C207" s="36">
        <v>4301011768</v>
      </c>
      <c r="D207" s="643">
        <v>4680115881396</v>
      </c>
      <c r="E207" s="643"/>
      <c r="F207" s="62">
        <v>0.45</v>
      </c>
      <c r="G207" s="37">
        <v>6</v>
      </c>
      <c r="H207" s="62">
        <v>2.7</v>
      </c>
      <c r="I207" s="62">
        <v>2.88</v>
      </c>
      <c r="J207" s="37">
        <v>182</v>
      </c>
      <c r="K207" s="37" t="s">
        <v>82</v>
      </c>
      <c r="L207" s="37" t="s">
        <v>46</v>
      </c>
      <c r="M207" s="38" t="s">
        <v>126</v>
      </c>
      <c r="N207" s="38"/>
      <c r="O207" s="37">
        <v>55</v>
      </c>
      <c r="P207" s="7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07" s="645"/>
      <c r="R207" s="645"/>
      <c r="S207" s="645"/>
      <c r="T207" s="646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IFERROR(IF(Y207=0,"",ROUNDUP(Y207/H207,0)*0.00651),"")</f>
        <v/>
      </c>
      <c r="AA207" s="68" t="s">
        <v>46</v>
      </c>
      <c r="AB207" s="69" t="s">
        <v>46</v>
      </c>
      <c r="AC207" s="270" t="s">
        <v>353</v>
      </c>
      <c r="AG207" s="78"/>
      <c r="AJ207" s="84" t="s">
        <v>46</v>
      </c>
      <c r="AK207" s="84">
        <v>0</v>
      </c>
      <c r="BB207" s="271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x14ac:dyDescent="0.2">
      <c r="A208" s="651"/>
      <c r="B208" s="651"/>
      <c r="C208" s="651"/>
      <c r="D208" s="651"/>
      <c r="E208" s="651"/>
      <c r="F208" s="651"/>
      <c r="G208" s="651"/>
      <c r="H208" s="651"/>
      <c r="I208" s="651"/>
      <c r="J208" s="651"/>
      <c r="K208" s="651"/>
      <c r="L208" s="651"/>
      <c r="M208" s="651"/>
      <c r="N208" s="651"/>
      <c r="O208" s="652"/>
      <c r="P208" s="648" t="s">
        <v>40</v>
      </c>
      <c r="Q208" s="649"/>
      <c r="R208" s="649"/>
      <c r="S208" s="649"/>
      <c r="T208" s="649"/>
      <c r="U208" s="649"/>
      <c r="V208" s="650"/>
      <c r="W208" s="42" t="s">
        <v>39</v>
      </c>
      <c r="X208" s="43">
        <f>IFERROR(X206/H206,"0")+IFERROR(X207/H207,"0")</f>
        <v>0</v>
      </c>
      <c r="Y208" s="43">
        <f>IFERROR(Y206/H206,"0")+IFERROR(Y207/H207,"0")</f>
        <v>0</v>
      </c>
      <c r="Z208" s="43">
        <f>IFERROR(IF(Z206="",0,Z206),"0")+IFERROR(IF(Z207="",0,Z207),"0")</f>
        <v>0</v>
      </c>
      <c r="AA208" s="67"/>
      <c r="AB208" s="67"/>
      <c r="AC208" s="67"/>
    </row>
    <row r="209" spans="1:68" x14ac:dyDescent="0.2">
      <c r="A209" s="651"/>
      <c r="B209" s="651"/>
      <c r="C209" s="651"/>
      <c r="D209" s="651"/>
      <c r="E209" s="651"/>
      <c r="F209" s="651"/>
      <c r="G209" s="651"/>
      <c r="H209" s="651"/>
      <c r="I209" s="651"/>
      <c r="J209" s="651"/>
      <c r="K209" s="651"/>
      <c r="L209" s="651"/>
      <c r="M209" s="651"/>
      <c r="N209" s="651"/>
      <c r="O209" s="652"/>
      <c r="P209" s="648" t="s">
        <v>40</v>
      </c>
      <c r="Q209" s="649"/>
      <c r="R209" s="649"/>
      <c r="S209" s="649"/>
      <c r="T209" s="649"/>
      <c r="U209" s="649"/>
      <c r="V209" s="650"/>
      <c r="W209" s="42" t="s">
        <v>0</v>
      </c>
      <c r="X209" s="43">
        <f>IFERROR(SUM(X206:X207),"0")</f>
        <v>0</v>
      </c>
      <c r="Y209" s="43">
        <f>IFERROR(SUM(Y206:Y207),"0")</f>
        <v>0</v>
      </c>
      <c r="Z209" s="42"/>
      <c r="AA209" s="67"/>
      <c r="AB209" s="67"/>
      <c r="AC209" s="67"/>
    </row>
    <row r="210" spans="1:68" ht="14.25" customHeight="1" x14ac:dyDescent="0.25">
      <c r="A210" s="642" t="s">
        <v>156</v>
      </c>
      <c r="B210" s="642"/>
      <c r="C210" s="642"/>
      <c r="D210" s="642"/>
      <c r="E210" s="642"/>
      <c r="F210" s="642"/>
      <c r="G210" s="642"/>
      <c r="H210" s="642"/>
      <c r="I210" s="642"/>
      <c r="J210" s="642"/>
      <c r="K210" s="642"/>
      <c r="L210" s="642"/>
      <c r="M210" s="642"/>
      <c r="N210" s="642"/>
      <c r="O210" s="642"/>
      <c r="P210" s="642"/>
      <c r="Q210" s="642"/>
      <c r="R210" s="642"/>
      <c r="S210" s="642"/>
      <c r="T210" s="642"/>
      <c r="U210" s="642"/>
      <c r="V210" s="642"/>
      <c r="W210" s="642"/>
      <c r="X210" s="642"/>
      <c r="Y210" s="642"/>
      <c r="Z210" s="642"/>
      <c r="AA210" s="66"/>
      <c r="AB210" s="66"/>
      <c r="AC210" s="80"/>
    </row>
    <row r="211" spans="1:68" ht="16.5" customHeight="1" x14ac:dyDescent="0.25">
      <c r="A211" s="63" t="s">
        <v>356</v>
      </c>
      <c r="B211" s="63" t="s">
        <v>357</v>
      </c>
      <c r="C211" s="36">
        <v>4301020261</v>
      </c>
      <c r="D211" s="643">
        <v>4680115882935</v>
      </c>
      <c r="E211" s="643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126</v>
      </c>
      <c r="N211" s="38"/>
      <c r="O211" s="37">
        <v>50</v>
      </c>
      <c r="P211" s="74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1" s="645"/>
      <c r="R211" s="645"/>
      <c r="S211" s="645"/>
      <c r="T211" s="646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IFERROR(IF(Y211=0,"",ROUNDUP(Y211/H211,0)*0.01898),"")</f>
        <v/>
      </c>
      <c r="AA211" s="68" t="s">
        <v>46</v>
      </c>
      <c r="AB211" s="69" t="s">
        <v>46</v>
      </c>
      <c r="AC211" s="272" t="s">
        <v>358</v>
      </c>
      <c r="AG211" s="78"/>
      <c r="AJ211" s="84" t="s">
        <v>46</v>
      </c>
      <c r="AK211" s="84">
        <v>0</v>
      </c>
      <c r="BB211" s="273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t="16.5" customHeight="1" x14ac:dyDescent="0.25">
      <c r="A212" s="63" t="s">
        <v>359</v>
      </c>
      <c r="B212" s="63" t="s">
        <v>360</v>
      </c>
      <c r="C212" s="36">
        <v>4301020220</v>
      </c>
      <c r="D212" s="643">
        <v>4680115880764</v>
      </c>
      <c r="E212" s="643"/>
      <c r="F212" s="62">
        <v>0.35</v>
      </c>
      <c r="G212" s="37">
        <v>6</v>
      </c>
      <c r="H212" s="62">
        <v>2.1</v>
      </c>
      <c r="I212" s="62">
        <v>2.2799999999999998</v>
      </c>
      <c r="J212" s="37">
        <v>182</v>
      </c>
      <c r="K212" s="37" t="s">
        <v>82</v>
      </c>
      <c r="L212" s="37" t="s">
        <v>46</v>
      </c>
      <c r="M212" s="38" t="s">
        <v>126</v>
      </c>
      <c r="N212" s="38"/>
      <c r="O212" s="37">
        <v>50</v>
      </c>
      <c r="P212" s="7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2" s="645"/>
      <c r="R212" s="645"/>
      <c r="S212" s="645"/>
      <c r="T212" s="646"/>
      <c r="U212" s="39" t="s">
        <v>46</v>
      </c>
      <c r="V212" s="39" t="s">
        <v>46</v>
      </c>
      <c r="W212" s="40" t="s">
        <v>0</v>
      </c>
      <c r="X212" s="58">
        <v>0</v>
      </c>
      <c r="Y212" s="55">
        <f>IFERROR(IF(X212="",0,CEILING((X212/$H212),1)*$H212),"")</f>
        <v>0</v>
      </c>
      <c r="Z212" s="41" t="str">
        <f>IFERROR(IF(Y212=0,"",ROUNDUP(Y212/H212,0)*0.00651),"")</f>
        <v/>
      </c>
      <c r="AA212" s="68" t="s">
        <v>46</v>
      </c>
      <c r="AB212" s="69" t="s">
        <v>46</v>
      </c>
      <c r="AC212" s="274" t="s">
        <v>358</v>
      </c>
      <c r="AG212" s="78"/>
      <c r="AJ212" s="84" t="s">
        <v>46</v>
      </c>
      <c r="AK212" s="84">
        <v>0</v>
      </c>
      <c r="BB212" s="275" t="s">
        <v>67</v>
      </c>
      <c r="BM212" s="78">
        <f>IFERROR(X212*I212/H212,"0")</f>
        <v>0</v>
      </c>
      <c r="BN212" s="78">
        <f>IFERROR(Y212*I212/H212,"0")</f>
        <v>0</v>
      </c>
      <c r="BO212" s="78">
        <f>IFERROR(1/J212*(X212/H212),"0")</f>
        <v>0</v>
      </c>
      <c r="BP212" s="78">
        <f>IFERROR(1/J212*(Y212/H212),"0")</f>
        <v>0</v>
      </c>
    </row>
    <row r="213" spans="1:68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IFERROR(X211/H211,"0")+IFERROR(X212/H212,"0")</f>
        <v>0</v>
      </c>
      <c r="Y213" s="43">
        <f>IFERROR(Y211/H211,"0")+IFERROR(Y212/H212,"0")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IFERROR(SUM(X211:X212),"0")</f>
        <v>0</v>
      </c>
      <c r="Y214" s="43">
        <f>IFERROR(SUM(Y211:Y212),"0")</f>
        <v>0</v>
      </c>
      <c r="Z214" s="42"/>
      <c r="AA214" s="67"/>
      <c r="AB214" s="67"/>
      <c r="AC214" s="67"/>
    </row>
    <row r="215" spans="1:68" ht="14.25" customHeight="1" x14ac:dyDescent="0.25">
      <c r="A215" s="642" t="s">
        <v>77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6"/>
      <c r="AB215" s="66"/>
      <c r="AC215" s="80"/>
    </row>
    <row r="216" spans="1:68" ht="27" customHeight="1" x14ac:dyDescent="0.25">
      <c r="A216" s="63" t="s">
        <v>361</v>
      </c>
      <c r="B216" s="63" t="s">
        <v>362</v>
      </c>
      <c r="C216" s="36">
        <v>4301031224</v>
      </c>
      <c r="D216" s="643">
        <v>4680115882683</v>
      </c>
      <c r="E216" s="643"/>
      <c r="F216" s="62">
        <v>0.9</v>
      </c>
      <c r="G216" s="37">
        <v>6</v>
      </c>
      <c r="H216" s="62">
        <v>5.4</v>
      </c>
      <c r="I216" s="62">
        <v>5.59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7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16" s="645"/>
      <c r="R216" s="645"/>
      <c r="S216" s="645"/>
      <c r="T216" s="646"/>
      <c r="U216" s="39" t="s">
        <v>46</v>
      </c>
      <c r="V216" s="39" t="s">
        <v>46</v>
      </c>
      <c r="W216" s="40" t="s">
        <v>0</v>
      </c>
      <c r="X216" s="58">
        <v>30</v>
      </c>
      <c r="Y216" s="55">
        <f t="shared" ref="Y216:Y223" si="22">IFERROR(IF(X216="",0,CEILING((X216/$H216),1)*$H216),"")</f>
        <v>32.400000000000006</v>
      </c>
      <c r="Z216" s="41">
        <f>IFERROR(IF(Y216=0,"",ROUNDUP(Y216/H216,0)*0.00902),"")</f>
        <v>5.4120000000000001E-2</v>
      </c>
      <c r="AA216" s="68" t="s">
        <v>46</v>
      </c>
      <c r="AB216" s="69" t="s">
        <v>46</v>
      </c>
      <c r="AC216" s="276" t="s">
        <v>363</v>
      </c>
      <c r="AG216" s="78"/>
      <c r="AJ216" s="84" t="s">
        <v>46</v>
      </c>
      <c r="AK216" s="84">
        <v>0</v>
      </c>
      <c r="BB216" s="277" t="s">
        <v>67</v>
      </c>
      <c r="BM216" s="78">
        <f t="shared" ref="BM216:BM223" si="23">IFERROR(X216*I216/H216,"0")</f>
        <v>31.05555555555555</v>
      </c>
      <c r="BN216" s="78">
        <f t="shared" ref="BN216:BN223" si="24">IFERROR(Y216*I216/H216,"0")</f>
        <v>33.54</v>
      </c>
      <c r="BO216" s="78">
        <f t="shared" ref="BO216:BO223" si="25">IFERROR(1/J216*(X216/H216),"0")</f>
        <v>4.208754208754209E-2</v>
      </c>
      <c r="BP216" s="78">
        <f t="shared" ref="BP216:BP223" si="26">IFERROR(1/J216*(Y216/H216),"0")</f>
        <v>4.5454545454545463E-2</v>
      </c>
    </row>
    <row r="217" spans="1:68" ht="27" customHeight="1" x14ac:dyDescent="0.25">
      <c r="A217" s="63" t="s">
        <v>364</v>
      </c>
      <c r="B217" s="63" t="s">
        <v>365</v>
      </c>
      <c r="C217" s="36">
        <v>4301031230</v>
      </c>
      <c r="D217" s="643">
        <v>4680115882690</v>
      </c>
      <c r="E217" s="643"/>
      <c r="F217" s="62">
        <v>0.9</v>
      </c>
      <c r="G217" s="37">
        <v>6</v>
      </c>
      <c r="H217" s="62">
        <v>5.4</v>
      </c>
      <c r="I217" s="62">
        <v>5.59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7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17" s="645"/>
      <c r="R217" s="645"/>
      <c r="S217" s="645"/>
      <c r="T217" s="646"/>
      <c r="U217" s="39" t="s">
        <v>46</v>
      </c>
      <c r="V217" s="39" t="s">
        <v>46</v>
      </c>
      <c r="W217" s="40" t="s">
        <v>0</v>
      </c>
      <c r="X217" s="58"/>
      <c r="Y217" s="55">
        <f t="shared" si="22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78" t="s">
        <v>366</v>
      </c>
      <c r="AG217" s="78"/>
      <c r="AJ217" s="84" t="s">
        <v>46</v>
      </c>
      <c r="AK217" s="84">
        <v>0</v>
      </c>
      <c r="BB217" s="279" t="s">
        <v>67</v>
      </c>
      <c r="BM217" s="78">
        <f t="shared" si="23"/>
        <v>0</v>
      </c>
      <c r="BN217" s="78">
        <f t="shared" si="24"/>
        <v>0</v>
      </c>
      <c r="BO217" s="78">
        <f t="shared" si="25"/>
        <v>0</v>
      </c>
      <c r="BP217" s="78">
        <f t="shared" si="26"/>
        <v>0</v>
      </c>
    </row>
    <row r="218" spans="1:68" ht="27" customHeight="1" x14ac:dyDescent="0.25">
      <c r="A218" s="63" t="s">
        <v>367</v>
      </c>
      <c r="B218" s="63" t="s">
        <v>368</v>
      </c>
      <c r="C218" s="36">
        <v>4301031220</v>
      </c>
      <c r="D218" s="643">
        <v>4680115882669</v>
      </c>
      <c r="E218" s="643"/>
      <c r="F218" s="62">
        <v>0.9</v>
      </c>
      <c r="G218" s="37">
        <v>6</v>
      </c>
      <c r="H218" s="62">
        <v>5.4</v>
      </c>
      <c r="I218" s="62">
        <v>5.59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7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18" s="645"/>
      <c r="R218" s="645"/>
      <c r="S218" s="645"/>
      <c r="T218" s="646"/>
      <c r="U218" s="39" t="s">
        <v>46</v>
      </c>
      <c r="V218" s="39" t="s">
        <v>46</v>
      </c>
      <c r="W218" s="40" t="s">
        <v>0</v>
      </c>
      <c r="X218" s="58"/>
      <c r="Y218" s="55">
        <f t="shared" si="22"/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0" t="s">
        <v>369</v>
      </c>
      <c r="AG218" s="78"/>
      <c r="AJ218" s="84" t="s">
        <v>46</v>
      </c>
      <c r="AK218" s="84">
        <v>0</v>
      </c>
      <c r="BB218" s="281" t="s">
        <v>67</v>
      </c>
      <c r="BM218" s="78">
        <f t="shared" si="23"/>
        <v>0</v>
      </c>
      <c r="BN218" s="78">
        <f t="shared" si="24"/>
        <v>0</v>
      </c>
      <c r="BO218" s="78">
        <f t="shared" si="25"/>
        <v>0</v>
      </c>
      <c r="BP218" s="78">
        <f t="shared" si="26"/>
        <v>0</v>
      </c>
    </row>
    <row r="219" spans="1:68" ht="27" customHeight="1" x14ac:dyDescent="0.25">
      <c r="A219" s="63" t="s">
        <v>370</v>
      </c>
      <c r="B219" s="63" t="s">
        <v>371</v>
      </c>
      <c r="C219" s="36">
        <v>4301031221</v>
      </c>
      <c r="D219" s="643">
        <v>4680115882676</v>
      </c>
      <c r="E219" s="643"/>
      <c r="F219" s="62">
        <v>0.9</v>
      </c>
      <c r="G219" s="37">
        <v>6</v>
      </c>
      <c r="H219" s="62">
        <v>5.4</v>
      </c>
      <c r="I219" s="62">
        <v>5.59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7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19" s="645"/>
      <c r="R219" s="645"/>
      <c r="S219" s="645"/>
      <c r="T219" s="646"/>
      <c r="U219" s="39" t="s">
        <v>46</v>
      </c>
      <c r="V219" s="39" t="s">
        <v>46</v>
      </c>
      <c r="W219" s="40" t="s">
        <v>0</v>
      </c>
      <c r="X219" s="58"/>
      <c r="Y219" s="55">
        <f t="shared" si="2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2" t="s">
        <v>372</v>
      </c>
      <c r="AG219" s="78"/>
      <c r="AJ219" s="84" t="s">
        <v>46</v>
      </c>
      <c r="AK219" s="84">
        <v>0</v>
      </c>
      <c r="BB219" s="283" t="s">
        <v>67</v>
      </c>
      <c r="BM219" s="78">
        <f t="shared" si="23"/>
        <v>0</v>
      </c>
      <c r="BN219" s="78">
        <f t="shared" si="24"/>
        <v>0</v>
      </c>
      <c r="BO219" s="78">
        <f t="shared" si="25"/>
        <v>0</v>
      </c>
      <c r="BP219" s="78">
        <f t="shared" si="26"/>
        <v>0</v>
      </c>
    </row>
    <row r="220" spans="1:68" ht="27" customHeight="1" x14ac:dyDescent="0.25">
      <c r="A220" s="63" t="s">
        <v>373</v>
      </c>
      <c r="B220" s="63" t="s">
        <v>374</v>
      </c>
      <c r="C220" s="36">
        <v>4301031223</v>
      </c>
      <c r="D220" s="643">
        <v>4680115884014</v>
      </c>
      <c r="E220" s="643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0" s="645"/>
      <c r="R220" s="645"/>
      <c r="S220" s="645"/>
      <c r="T220" s="64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2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84" t="s">
        <v>363</v>
      </c>
      <c r="AG220" s="78"/>
      <c r="AJ220" s="84" t="s">
        <v>46</v>
      </c>
      <c r="AK220" s="84">
        <v>0</v>
      </c>
      <c r="BB220" s="285" t="s">
        <v>67</v>
      </c>
      <c r="BM220" s="78">
        <f t="shared" si="23"/>
        <v>0</v>
      </c>
      <c r="BN220" s="78">
        <f t="shared" si="24"/>
        <v>0</v>
      </c>
      <c r="BO220" s="78">
        <f t="shared" si="25"/>
        <v>0</v>
      </c>
      <c r="BP220" s="78">
        <f t="shared" si="26"/>
        <v>0</v>
      </c>
    </row>
    <row r="221" spans="1:68" ht="27" customHeight="1" x14ac:dyDescent="0.25">
      <c r="A221" s="63" t="s">
        <v>375</v>
      </c>
      <c r="B221" s="63" t="s">
        <v>376</v>
      </c>
      <c r="C221" s="36">
        <v>4301031222</v>
      </c>
      <c r="D221" s="643">
        <v>4680115884007</v>
      </c>
      <c r="E221" s="643"/>
      <c r="F221" s="62">
        <v>0.3</v>
      </c>
      <c r="G221" s="37">
        <v>6</v>
      </c>
      <c r="H221" s="62">
        <v>1.8</v>
      </c>
      <c r="I221" s="62">
        <v>1.9</v>
      </c>
      <c r="J221" s="37">
        <v>234</v>
      </c>
      <c r="K221" s="37" t="s">
        <v>86</v>
      </c>
      <c r="L221" s="37" t="s">
        <v>46</v>
      </c>
      <c r="M221" s="38" t="s">
        <v>81</v>
      </c>
      <c r="N221" s="38"/>
      <c r="O221" s="37">
        <v>40</v>
      </c>
      <c r="P221" s="7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1" s="645"/>
      <c r="R221" s="645"/>
      <c r="S221" s="645"/>
      <c r="T221" s="64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2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86" t="s">
        <v>366</v>
      </c>
      <c r="AG221" s="78"/>
      <c r="AJ221" s="84" t="s">
        <v>46</v>
      </c>
      <c r="AK221" s="84">
        <v>0</v>
      </c>
      <c r="BB221" s="287" t="s">
        <v>67</v>
      </c>
      <c r="BM221" s="78">
        <f t="shared" si="23"/>
        <v>0</v>
      </c>
      <c r="BN221" s="78">
        <f t="shared" si="24"/>
        <v>0</v>
      </c>
      <c r="BO221" s="78">
        <f t="shared" si="25"/>
        <v>0</v>
      </c>
      <c r="BP221" s="78">
        <f t="shared" si="26"/>
        <v>0</v>
      </c>
    </row>
    <row r="222" spans="1:68" ht="27" customHeight="1" x14ac:dyDescent="0.25">
      <c r="A222" s="63" t="s">
        <v>377</v>
      </c>
      <c r="B222" s="63" t="s">
        <v>378</v>
      </c>
      <c r="C222" s="36">
        <v>4301031229</v>
      </c>
      <c r="D222" s="643">
        <v>4680115884038</v>
      </c>
      <c r="E222" s="643"/>
      <c r="F222" s="62">
        <v>0.3</v>
      </c>
      <c r="G222" s="37">
        <v>6</v>
      </c>
      <c r="H222" s="62">
        <v>1.8</v>
      </c>
      <c r="I222" s="62">
        <v>1.9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5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2" s="645"/>
      <c r="R222" s="645"/>
      <c r="S222" s="645"/>
      <c r="T222" s="64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2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88" t="s">
        <v>369</v>
      </c>
      <c r="AG222" s="78"/>
      <c r="AJ222" s="84" t="s">
        <v>46</v>
      </c>
      <c r="AK222" s="84">
        <v>0</v>
      </c>
      <c r="BB222" s="289" t="s">
        <v>67</v>
      </c>
      <c r="BM222" s="78">
        <f t="shared" si="23"/>
        <v>0</v>
      </c>
      <c r="BN222" s="78">
        <f t="shared" si="24"/>
        <v>0</v>
      </c>
      <c r="BO222" s="78">
        <f t="shared" si="25"/>
        <v>0</v>
      </c>
      <c r="BP222" s="78">
        <f t="shared" si="26"/>
        <v>0</v>
      </c>
    </row>
    <row r="223" spans="1:68" ht="27" customHeight="1" x14ac:dyDescent="0.25">
      <c r="A223" s="63" t="s">
        <v>379</v>
      </c>
      <c r="B223" s="63" t="s">
        <v>380</v>
      </c>
      <c r="C223" s="36">
        <v>4301031225</v>
      </c>
      <c r="D223" s="643">
        <v>4680115884021</v>
      </c>
      <c r="E223" s="64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86</v>
      </c>
      <c r="L223" s="37" t="s">
        <v>46</v>
      </c>
      <c r="M223" s="38" t="s">
        <v>81</v>
      </c>
      <c r="N223" s="38"/>
      <c r="O223" s="37">
        <v>40</v>
      </c>
      <c r="P223" s="75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3" s="645"/>
      <c r="R223" s="645"/>
      <c r="S223" s="645"/>
      <c r="T223" s="64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2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0" t="s">
        <v>372</v>
      </c>
      <c r="AG223" s="78"/>
      <c r="AJ223" s="84" t="s">
        <v>46</v>
      </c>
      <c r="AK223" s="84">
        <v>0</v>
      </c>
      <c r="BB223" s="291" t="s">
        <v>67</v>
      </c>
      <c r="BM223" s="78">
        <f t="shared" si="23"/>
        <v>0</v>
      </c>
      <c r="BN223" s="78">
        <f t="shared" si="24"/>
        <v>0</v>
      </c>
      <c r="BO223" s="78">
        <f t="shared" si="25"/>
        <v>0</v>
      </c>
      <c r="BP223" s="78">
        <f t="shared" si="26"/>
        <v>0</v>
      </c>
    </row>
    <row r="224" spans="1:68" x14ac:dyDescent="0.2">
      <c r="A224" s="651"/>
      <c r="B224" s="651"/>
      <c r="C224" s="651"/>
      <c r="D224" s="651"/>
      <c r="E224" s="651"/>
      <c r="F224" s="651"/>
      <c r="G224" s="651"/>
      <c r="H224" s="651"/>
      <c r="I224" s="651"/>
      <c r="J224" s="651"/>
      <c r="K224" s="651"/>
      <c r="L224" s="651"/>
      <c r="M224" s="651"/>
      <c r="N224" s="651"/>
      <c r="O224" s="652"/>
      <c r="P224" s="648" t="s">
        <v>40</v>
      </c>
      <c r="Q224" s="649"/>
      <c r="R224" s="649"/>
      <c r="S224" s="649"/>
      <c r="T224" s="649"/>
      <c r="U224" s="649"/>
      <c r="V224" s="650"/>
      <c r="W224" s="42" t="s">
        <v>39</v>
      </c>
      <c r="X224" s="43">
        <f>IFERROR(X216/H216,"0")+IFERROR(X217/H217,"0")+IFERROR(X218/H218,"0")+IFERROR(X219/H219,"0")+IFERROR(X220/H220,"0")+IFERROR(X221/H221,"0")+IFERROR(X222/H222,"0")+IFERROR(X223/H223,"0")</f>
        <v>5.5555555555555554</v>
      </c>
      <c r="Y224" s="43">
        <f>IFERROR(Y216/H216,"0")+IFERROR(Y217/H217,"0")+IFERROR(Y218/H218,"0")+IFERROR(Y219/H219,"0")+IFERROR(Y220/H220,"0")+IFERROR(Y221/H221,"0")+IFERROR(Y222/H222,"0")+IFERROR(Y223/H223,"0")</f>
        <v>6.0000000000000009</v>
      </c>
      <c r="Z224" s="43">
        <f>IFERROR(IF(Z216="",0,Z216),"0")+IFERROR(IF(Z217="",0,Z217),"0")+IFERROR(IF(Z218="",0,Z218),"0")+IFERROR(IF(Z219="",0,Z219),"0")+IFERROR(IF(Z220="",0,Z220),"0")+IFERROR(IF(Z221="",0,Z221),"0")+IFERROR(IF(Z222="",0,Z222),"0")+IFERROR(IF(Z223="",0,Z223),"0")</f>
        <v>5.4120000000000001E-2</v>
      </c>
      <c r="AA224" s="67"/>
      <c r="AB224" s="67"/>
      <c r="AC224" s="67"/>
    </row>
    <row r="225" spans="1:68" x14ac:dyDescent="0.2">
      <c r="A225" s="651"/>
      <c r="B225" s="651"/>
      <c r="C225" s="651"/>
      <c r="D225" s="651"/>
      <c r="E225" s="651"/>
      <c r="F225" s="651"/>
      <c r="G225" s="651"/>
      <c r="H225" s="651"/>
      <c r="I225" s="651"/>
      <c r="J225" s="651"/>
      <c r="K225" s="651"/>
      <c r="L225" s="651"/>
      <c r="M225" s="651"/>
      <c r="N225" s="651"/>
      <c r="O225" s="652"/>
      <c r="P225" s="648" t="s">
        <v>40</v>
      </c>
      <c r="Q225" s="649"/>
      <c r="R225" s="649"/>
      <c r="S225" s="649"/>
      <c r="T225" s="649"/>
      <c r="U225" s="649"/>
      <c r="V225" s="650"/>
      <c r="W225" s="42" t="s">
        <v>0</v>
      </c>
      <c r="X225" s="43">
        <f>IFERROR(SUM(X216:X223),"0")</f>
        <v>30</v>
      </c>
      <c r="Y225" s="43">
        <f>IFERROR(SUM(Y216:Y223),"0")</f>
        <v>32.400000000000006</v>
      </c>
      <c r="Z225" s="42"/>
      <c r="AA225" s="67"/>
      <c r="AB225" s="67"/>
      <c r="AC225" s="67"/>
    </row>
    <row r="226" spans="1:68" ht="14.25" customHeight="1" x14ac:dyDescent="0.25">
      <c r="A226" s="642" t="s">
        <v>87</v>
      </c>
      <c r="B226" s="642"/>
      <c r="C226" s="642"/>
      <c r="D226" s="642"/>
      <c r="E226" s="642"/>
      <c r="F226" s="642"/>
      <c r="G226" s="642"/>
      <c r="H226" s="642"/>
      <c r="I226" s="642"/>
      <c r="J226" s="642"/>
      <c r="K226" s="642"/>
      <c r="L226" s="642"/>
      <c r="M226" s="642"/>
      <c r="N226" s="642"/>
      <c r="O226" s="642"/>
      <c r="P226" s="642"/>
      <c r="Q226" s="642"/>
      <c r="R226" s="642"/>
      <c r="S226" s="642"/>
      <c r="T226" s="642"/>
      <c r="U226" s="642"/>
      <c r="V226" s="642"/>
      <c r="W226" s="642"/>
      <c r="X226" s="642"/>
      <c r="Y226" s="642"/>
      <c r="Z226" s="642"/>
      <c r="AA226" s="66"/>
      <c r="AB226" s="66"/>
      <c r="AC226" s="80"/>
    </row>
    <row r="227" spans="1:68" ht="37.5" customHeight="1" x14ac:dyDescent="0.25">
      <c r="A227" s="63" t="s">
        <v>381</v>
      </c>
      <c r="B227" s="63" t="s">
        <v>382</v>
      </c>
      <c r="C227" s="36">
        <v>4301051408</v>
      </c>
      <c r="D227" s="643">
        <v>4680115881594</v>
      </c>
      <c r="E227" s="643"/>
      <c r="F227" s="62">
        <v>1.35</v>
      </c>
      <c r="G227" s="37">
        <v>6</v>
      </c>
      <c r="H227" s="62">
        <v>8.1</v>
      </c>
      <c r="I227" s="62">
        <v>8.5939999999999994</v>
      </c>
      <c r="J227" s="37">
        <v>64</v>
      </c>
      <c r="K227" s="37" t="s">
        <v>127</v>
      </c>
      <c r="L227" s="37" t="s">
        <v>46</v>
      </c>
      <c r="M227" s="38" t="s">
        <v>91</v>
      </c>
      <c r="N227" s="38"/>
      <c r="O227" s="37">
        <v>40</v>
      </c>
      <c r="P227" s="75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27" s="645"/>
      <c r="R227" s="645"/>
      <c r="S227" s="645"/>
      <c r="T227" s="646"/>
      <c r="U227" s="39" t="s">
        <v>46</v>
      </c>
      <c r="V227" s="39" t="s">
        <v>46</v>
      </c>
      <c r="W227" s="40" t="s">
        <v>0</v>
      </c>
      <c r="X227" s="58"/>
      <c r="Y227" s="55">
        <f t="shared" ref="Y227:Y236" si="27">IFERROR(IF(X227="",0,CEILING((X227/$H227),1)*$H227),"")</f>
        <v>0</v>
      </c>
      <c r="Z227" s="41" t="str">
        <f>IFERROR(IF(Y227=0,"",ROUNDUP(Y227/H227,0)*0.01898),"")</f>
        <v/>
      </c>
      <c r="AA227" s="68" t="s">
        <v>46</v>
      </c>
      <c r="AB227" s="69" t="s">
        <v>46</v>
      </c>
      <c r="AC227" s="292" t="s">
        <v>383</v>
      </c>
      <c r="AG227" s="78"/>
      <c r="AJ227" s="84" t="s">
        <v>46</v>
      </c>
      <c r="AK227" s="84">
        <v>0</v>
      </c>
      <c r="BB227" s="293" t="s">
        <v>67</v>
      </c>
      <c r="BM227" s="78">
        <f t="shared" ref="BM227:BM236" si="28">IFERROR(X227*I227/H227,"0")</f>
        <v>0</v>
      </c>
      <c r="BN227" s="78">
        <f t="shared" ref="BN227:BN236" si="29">IFERROR(Y227*I227/H227,"0")</f>
        <v>0</v>
      </c>
      <c r="BO227" s="78">
        <f t="shared" ref="BO227:BO236" si="30">IFERROR(1/J227*(X227/H227),"0")</f>
        <v>0</v>
      </c>
      <c r="BP227" s="78">
        <f t="shared" ref="BP227:BP236" si="31">IFERROR(1/J227*(Y227/H227),"0")</f>
        <v>0</v>
      </c>
    </row>
    <row r="228" spans="1:68" ht="37.5" customHeight="1" x14ac:dyDescent="0.25">
      <c r="A228" s="63" t="s">
        <v>384</v>
      </c>
      <c r="B228" s="63" t="s">
        <v>385</v>
      </c>
      <c r="C228" s="36">
        <v>4301051411</v>
      </c>
      <c r="D228" s="643">
        <v>4680115881617</v>
      </c>
      <c r="E228" s="643"/>
      <c r="F228" s="62">
        <v>1.35</v>
      </c>
      <c r="G228" s="37">
        <v>6</v>
      </c>
      <c r="H228" s="62">
        <v>8.1</v>
      </c>
      <c r="I228" s="62">
        <v>8.5760000000000005</v>
      </c>
      <c r="J228" s="37">
        <v>64</v>
      </c>
      <c r="K228" s="37" t="s">
        <v>127</v>
      </c>
      <c r="L228" s="37" t="s">
        <v>46</v>
      </c>
      <c r="M228" s="38" t="s">
        <v>91</v>
      </c>
      <c r="N228" s="38"/>
      <c r="O228" s="37">
        <v>40</v>
      </c>
      <c r="P228" s="75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28" s="645"/>
      <c r="R228" s="645"/>
      <c r="S228" s="645"/>
      <c r="T228" s="646"/>
      <c r="U228" s="39" t="s">
        <v>46</v>
      </c>
      <c r="V228" s="39" t="s">
        <v>46</v>
      </c>
      <c r="W228" s="40" t="s">
        <v>0</v>
      </c>
      <c r="X228" s="58">
        <v>8</v>
      </c>
      <c r="Y228" s="55">
        <f t="shared" si="27"/>
        <v>8.1</v>
      </c>
      <c r="Z228" s="41">
        <f>IFERROR(IF(Y228=0,"",ROUNDUP(Y228/H228,0)*0.01898),"")</f>
        <v>1.898E-2</v>
      </c>
      <c r="AA228" s="68" t="s">
        <v>46</v>
      </c>
      <c r="AB228" s="69" t="s">
        <v>46</v>
      </c>
      <c r="AC228" s="294" t="s">
        <v>386</v>
      </c>
      <c r="AG228" s="78"/>
      <c r="AJ228" s="84" t="s">
        <v>46</v>
      </c>
      <c r="AK228" s="84">
        <v>0</v>
      </c>
      <c r="BB228" s="295" t="s">
        <v>67</v>
      </c>
      <c r="BM228" s="78">
        <f t="shared" si="28"/>
        <v>8.4701234567901249</v>
      </c>
      <c r="BN228" s="78">
        <f t="shared" si="29"/>
        <v>8.5760000000000005</v>
      </c>
      <c r="BO228" s="78">
        <f t="shared" si="30"/>
        <v>1.54320987654321E-2</v>
      </c>
      <c r="BP228" s="78">
        <f t="shared" si="31"/>
        <v>1.5625E-2</v>
      </c>
    </row>
    <row r="229" spans="1:68" ht="27" customHeight="1" x14ac:dyDescent="0.25">
      <c r="A229" s="63" t="s">
        <v>387</v>
      </c>
      <c r="B229" s="63" t="s">
        <v>388</v>
      </c>
      <c r="C229" s="36">
        <v>4301051656</v>
      </c>
      <c r="D229" s="643">
        <v>4680115880573</v>
      </c>
      <c r="E229" s="643"/>
      <c r="F229" s="62">
        <v>1.45</v>
      </c>
      <c r="G229" s="37">
        <v>6</v>
      </c>
      <c r="H229" s="62">
        <v>8.6999999999999993</v>
      </c>
      <c r="I229" s="62">
        <v>9.1940000000000008</v>
      </c>
      <c r="J229" s="37">
        <v>64</v>
      </c>
      <c r="K229" s="37" t="s">
        <v>127</v>
      </c>
      <c r="L229" s="37" t="s">
        <v>46</v>
      </c>
      <c r="M229" s="38" t="s">
        <v>91</v>
      </c>
      <c r="N229" s="38"/>
      <c r="O229" s="37">
        <v>45</v>
      </c>
      <c r="P229" s="7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29" s="645"/>
      <c r="R229" s="645"/>
      <c r="S229" s="645"/>
      <c r="T229" s="64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IFERROR(IF(Y229=0,"",ROUNDUP(Y229/H229,0)*0.01898),"")</f>
        <v/>
      </c>
      <c r="AA229" s="68" t="s">
        <v>46</v>
      </c>
      <c r="AB229" s="69" t="s">
        <v>46</v>
      </c>
      <c r="AC229" s="296" t="s">
        <v>389</v>
      </c>
      <c r="AG229" s="78"/>
      <c r="AJ229" s="84" t="s">
        <v>46</v>
      </c>
      <c r="AK229" s="84">
        <v>0</v>
      </c>
      <c r="BB229" s="297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37.5" customHeight="1" x14ac:dyDescent="0.25">
      <c r="A230" s="63" t="s">
        <v>390</v>
      </c>
      <c r="B230" s="63" t="s">
        <v>391</v>
      </c>
      <c r="C230" s="36">
        <v>4301051407</v>
      </c>
      <c r="D230" s="643">
        <v>4680115882195</v>
      </c>
      <c r="E230" s="643"/>
      <c r="F230" s="62">
        <v>0.4</v>
      </c>
      <c r="G230" s="37">
        <v>6</v>
      </c>
      <c r="H230" s="62">
        <v>2.4</v>
      </c>
      <c r="I230" s="62">
        <v>2.67</v>
      </c>
      <c r="J230" s="37">
        <v>182</v>
      </c>
      <c r="K230" s="37" t="s">
        <v>82</v>
      </c>
      <c r="L230" s="37" t="s">
        <v>46</v>
      </c>
      <c r="M230" s="38" t="s">
        <v>91</v>
      </c>
      <c r="N230" s="38"/>
      <c r="O230" s="37">
        <v>40</v>
      </c>
      <c r="P230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0" s="645"/>
      <c r="R230" s="645"/>
      <c r="S230" s="645"/>
      <c r="T230" s="646"/>
      <c r="U230" s="39" t="s">
        <v>46</v>
      </c>
      <c r="V230" s="39" t="s">
        <v>46</v>
      </c>
      <c r="W230" s="40" t="s">
        <v>0</v>
      </c>
      <c r="X230" s="58"/>
      <c r="Y230" s="55">
        <f t="shared" si="27"/>
        <v>0</v>
      </c>
      <c r="Z230" s="41" t="str">
        <f t="shared" ref="Z230:Z236" si="32">IFERROR(IF(Y230=0,"",ROUNDUP(Y230/H230,0)*0.00651),"")</f>
        <v/>
      </c>
      <c r="AA230" s="68" t="s">
        <v>46</v>
      </c>
      <c r="AB230" s="69" t="s">
        <v>46</v>
      </c>
      <c r="AC230" s="298" t="s">
        <v>383</v>
      </c>
      <c r="AG230" s="78"/>
      <c r="AJ230" s="84" t="s">
        <v>46</v>
      </c>
      <c r="AK230" s="84">
        <v>0</v>
      </c>
      <c r="BB230" s="299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392</v>
      </c>
      <c r="B231" s="63" t="s">
        <v>393</v>
      </c>
      <c r="C231" s="36">
        <v>4301051752</v>
      </c>
      <c r="D231" s="643">
        <v>4680115882607</v>
      </c>
      <c r="E231" s="643"/>
      <c r="F231" s="62">
        <v>0.3</v>
      </c>
      <c r="G231" s="37">
        <v>6</v>
      </c>
      <c r="H231" s="62">
        <v>1.8</v>
      </c>
      <c r="I231" s="62">
        <v>2.052</v>
      </c>
      <c r="J231" s="37">
        <v>182</v>
      </c>
      <c r="K231" s="37" t="s">
        <v>82</v>
      </c>
      <c r="L231" s="37" t="s">
        <v>46</v>
      </c>
      <c r="M231" s="38" t="s">
        <v>97</v>
      </c>
      <c r="N231" s="38"/>
      <c r="O231" s="37">
        <v>45</v>
      </c>
      <c r="P231" s="7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1" s="645"/>
      <c r="R231" s="645"/>
      <c r="S231" s="645"/>
      <c r="T231" s="64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00" t="s">
        <v>389</v>
      </c>
      <c r="AG231" s="78"/>
      <c r="AJ231" s="84" t="s">
        <v>46</v>
      </c>
      <c r="AK231" s="84">
        <v>0</v>
      </c>
      <c r="BB231" s="301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customHeight="1" x14ac:dyDescent="0.25">
      <c r="A232" s="63" t="s">
        <v>394</v>
      </c>
      <c r="B232" s="63" t="s">
        <v>395</v>
      </c>
      <c r="C232" s="36">
        <v>4301051666</v>
      </c>
      <c r="D232" s="643">
        <v>4680115880092</v>
      </c>
      <c r="E232" s="643"/>
      <c r="F232" s="62">
        <v>0.4</v>
      </c>
      <c r="G232" s="37">
        <v>6</v>
      </c>
      <c r="H232" s="62">
        <v>2.4</v>
      </c>
      <c r="I232" s="62">
        <v>2.6520000000000001</v>
      </c>
      <c r="J232" s="37">
        <v>182</v>
      </c>
      <c r="K232" s="37" t="s">
        <v>82</v>
      </c>
      <c r="L232" s="37" t="s">
        <v>46</v>
      </c>
      <c r="M232" s="38" t="s">
        <v>91</v>
      </c>
      <c r="N232" s="38"/>
      <c r="O232" s="37">
        <v>45</v>
      </c>
      <c r="P232" s="75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2" s="645"/>
      <c r="R232" s="645"/>
      <c r="S232" s="645"/>
      <c r="T232" s="646"/>
      <c r="U232" s="39" t="s">
        <v>46</v>
      </c>
      <c r="V232" s="39" t="s">
        <v>46</v>
      </c>
      <c r="W232" s="40" t="s">
        <v>0</v>
      </c>
      <c r="X232" s="58"/>
      <c r="Y232" s="55">
        <f t="shared" si="27"/>
        <v>0</v>
      </c>
      <c r="Z232" s="41" t="str">
        <f t="shared" si="32"/>
        <v/>
      </c>
      <c r="AA232" s="68" t="s">
        <v>46</v>
      </c>
      <c r="AB232" s="69" t="s">
        <v>46</v>
      </c>
      <c r="AC232" s="302" t="s">
        <v>389</v>
      </c>
      <c r="AG232" s="78"/>
      <c r="AJ232" s="84" t="s">
        <v>46</v>
      </c>
      <c r="AK232" s="84">
        <v>0</v>
      </c>
      <c r="BB232" s="303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396</v>
      </c>
      <c r="B233" s="63" t="s">
        <v>397</v>
      </c>
      <c r="C233" s="36">
        <v>4301051668</v>
      </c>
      <c r="D233" s="643">
        <v>4680115880221</v>
      </c>
      <c r="E233" s="643"/>
      <c r="F233" s="62">
        <v>0.4</v>
      </c>
      <c r="G233" s="37">
        <v>6</v>
      </c>
      <c r="H233" s="62">
        <v>2.4</v>
      </c>
      <c r="I233" s="62">
        <v>2.6520000000000001</v>
      </c>
      <c r="J233" s="37">
        <v>182</v>
      </c>
      <c r="K233" s="37" t="s">
        <v>82</v>
      </c>
      <c r="L233" s="37" t="s">
        <v>46</v>
      </c>
      <c r="M233" s="38" t="s">
        <v>91</v>
      </c>
      <c r="N233" s="38"/>
      <c r="O233" s="37">
        <v>45</v>
      </c>
      <c r="P233" s="76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3" s="645"/>
      <c r="R233" s="645"/>
      <c r="S233" s="645"/>
      <c r="T233" s="64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 t="shared" si="32"/>
        <v/>
      </c>
      <c r="AA233" s="68" t="s">
        <v>46</v>
      </c>
      <c r="AB233" s="69" t="s">
        <v>46</v>
      </c>
      <c r="AC233" s="304" t="s">
        <v>389</v>
      </c>
      <c r="AG233" s="78"/>
      <c r="AJ233" s="84" t="s">
        <v>46</v>
      </c>
      <c r="AK233" s="84">
        <v>0</v>
      </c>
      <c r="BB233" s="305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398</v>
      </c>
      <c r="B234" s="63" t="s">
        <v>399</v>
      </c>
      <c r="C234" s="36">
        <v>4301051945</v>
      </c>
      <c r="D234" s="643">
        <v>4680115880504</v>
      </c>
      <c r="E234" s="643"/>
      <c r="F234" s="62">
        <v>0.4</v>
      </c>
      <c r="G234" s="37">
        <v>6</v>
      </c>
      <c r="H234" s="62">
        <v>2.4</v>
      </c>
      <c r="I234" s="62">
        <v>2.6520000000000001</v>
      </c>
      <c r="J234" s="37">
        <v>182</v>
      </c>
      <c r="K234" s="37" t="s">
        <v>82</v>
      </c>
      <c r="L234" s="37" t="s">
        <v>46</v>
      </c>
      <c r="M234" s="38" t="s">
        <v>97</v>
      </c>
      <c r="N234" s="38"/>
      <c r="O234" s="37">
        <v>40</v>
      </c>
      <c r="P234" s="7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4" s="645"/>
      <c r="R234" s="645"/>
      <c r="S234" s="645"/>
      <c r="T234" s="64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 t="shared" si="32"/>
        <v/>
      </c>
      <c r="AA234" s="68" t="s">
        <v>46</v>
      </c>
      <c r="AB234" s="69" t="s">
        <v>46</v>
      </c>
      <c r="AC234" s="306" t="s">
        <v>400</v>
      </c>
      <c r="AG234" s="78"/>
      <c r="AJ234" s="84" t="s">
        <v>46</v>
      </c>
      <c r="AK234" s="84">
        <v>0</v>
      </c>
      <c r="BB234" s="307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customHeight="1" x14ac:dyDescent="0.25">
      <c r="A235" s="63" t="s">
        <v>401</v>
      </c>
      <c r="B235" s="63" t="s">
        <v>402</v>
      </c>
      <c r="C235" s="36">
        <v>4301051410</v>
      </c>
      <c r="D235" s="643">
        <v>4680115882164</v>
      </c>
      <c r="E235" s="643"/>
      <c r="F235" s="62">
        <v>0.4</v>
      </c>
      <c r="G235" s="37">
        <v>6</v>
      </c>
      <c r="H235" s="62">
        <v>2.4</v>
      </c>
      <c r="I235" s="62">
        <v>2.6579999999999999</v>
      </c>
      <c r="J235" s="37">
        <v>182</v>
      </c>
      <c r="K235" s="37" t="s">
        <v>82</v>
      </c>
      <c r="L235" s="37" t="s">
        <v>46</v>
      </c>
      <c r="M235" s="38" t="s">
        <v>91</v>
      </c>
      <c r="N235" s="38"/>
      <c r="O235" s="37">
        <v>40</v>
      </c>
      <c r="P235" s="76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35" s="645"/>
      <c r="R235" s="645"/>
      <c r="S235" s="645"/>
      <c r="T235" s="64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 t="shared" si="32"/>
        <v/>
      </c>
      <c r="AA235" s="68" t="s">
        <v>46</v>
      </c>
      <c r="AB235" s="69" t="s">
        <v>46</v>
      </c>
      <c r="AC235" s="308" t="s">
        <v>403</v>
      </c>
      <c r="AG235" s="78"/>
      <c r="AJ235" s="84" t="s">
        <v>46</v>
      </c>
      <c r="AK235" s="84">
        <v>0</v>
      </c>
      <c r="BB235" s="309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customHeight="1" x14ac:dyDescent="0.25">
      <c r="A236" s="63" t="s">
        <v>404</v>
      </c>
      <c r="B236" s="63" t="s">
        <v>405</v>
      </c>
      <c r="C236" s="36">
        <v>4301052180</v>
      </c>
      <c r="D236" s="643">
        <v>4680115888340</v>
      </c>
      <c r="E236" s="643"/>
      <c r="F236" s="62">
        <v>0.4</v>
      </c>
      <c r="G236" s="37">
        <v>6</v>
      </c>
      <c r="H236" s="62">
        <v>2.4</v>
      </c>
      <c r="I236" s="62">
        <v>2.6520000000000001</v>
      </c>
      <c r="J236" s="37">
        <v>182</v>
      </c>
      <c r="K236" s="37" t="s">
        <v>82</v>
      </c>
      <c r="L236" s="37" t="s">
        <v>46</v>
      </c>
      <c r="M236" s="38" t="s">
        <v>91</v>
      </c>
      <c r="N236" s="38"/>
      <c r="O236" s="37">
        <v>45</v>
      </c>
      <c r="P236" s="763" t="s">
        <v>406</v>
      </c>
      <c r="Q236" s="645"/>
      <c r="R236" s="645"/>
      <c r="S236" s="645"/>
      <c r="T236" s="64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 t="shared" si="32"/>
        <v/>
      </c>
      <c r="AA236" s="68" t="s">
        <v>46</v>
      </c>
      <c r="AB236" s="69" t="s">
        <v>46</v>
      </c>
      <c r="AC236" s="310" t="s">
        <v>407</v>
      </c>
      <c r="AG236" s="78"/>
      <c r="AJ236" s="84" t="s">
        <v>46</v>
      </c>
      <c r="AK236" s="84">
        <v>0</v>
      </c>
      <c r="BB236" s="311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x14ac:dyDescent="0.2">
      <c r="A237" s="651"/>
      <c r="B237" s="651"/>
      <c r="C237" s="651"/>
      <c r="D237" s="651"/>
      <c r="E237" s="651"/>
      <c r="F237" s="651"/>
      <c r="G237" s="651"/>
      <c r="H237" s="651"/>
      <c r="I237" s="651"/>
      <c r="J237" s="651"/>
      <c r="K237" s="651"/>
      <c r="L237" s="651"/>
      <c r="M237" s="651"/>
      <c r="N237" s="651"/>
      <c r="O237" s="652"/>
      <c r="P237" s="648" t="s">
        <v>40</v>
      </c>
      <c r="Q237" s="649"/>
      <c r="R237" s="649"/>
      <c r="S237" s="649"/>
      <c r="T237" s="649"/>
      <c r="U237" s="649"/>
      <c r="V237" s="650"/>
      <c r="W237" s="42" t="s">
        <v>39</v>
      </c>
      <c r="X237" s="43">
        <f>IFERROR(X227/H227,"0")+IFERROR(X228/H228,"0")+IFERROR(X229/H229,"0")+IFERROR(X230/H230,"0")+IFERROR(X231/H231,"0")+IFERROR(X232/H232,"0")+IFERROR(X233/H233,"0")+IFERROR(X234/H234,"0")+IFERROR(X235/H235,"0")+IFERROR(X236/H236,"0")</f>
        <v>0.98765432098765438</v>
      </c>
      <c r="Y237" s="43">
        <f>IFERROR(Y227/H227,"0")+IFERROR(Y228/H228,"0")+IFERROR(Y229/H229,"0")+IFERROR(Y230/H230,"0")+IFERROR(Y231/H231,"0")+IFERROR(Y232/H232,"0")+IFERROR(Y233/H233,"0")+IFERROR(Y234/H234,"0")+IFERROR(Y235/H235,"0")+IFERROR(Y236/H236,"0")</f>
        <v>1</v>
      </c>
      <c r="Z237" s="43">
        <f>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1.898E-2</v>
      </c>
      <c r="AA237" s="67"/>
      <c r="AB237" s="67"/>
      <c r="AC237" s="67"/>
    </row>
    <row r="238" spans="1:68" x14ac:dyDescent="0.2">
      <c r="A238" s="651"/>
      <c r="B238" s="651"/>
      <c r="C238" s="651"/>
      <c r="D238" s="651"/>
      <c r="E238" s="651"/>
      <c r="F238" s="651"/>
      <c r="G238" s="651"/>
      <c r="H238" s="651"/>
      <c r="I238" s="651"/>
      <c r="J238" s="651"/>
      <c r="K238" s="651"/>
      <c r="L238" s="651"/>
      <c r="M238" s="651"/>
      <c r="N238" s="651"/>
      <c r="O238" s="652"/>
      <c r="P238" s="648" t="s">
        <v>40</v>
      </c>
      <c r="Q238" s="649"/>
      <c r="R238" s="649"/>
      <c r="S238" s="649"/>
      <c r="T238" s="649"/>
      <c r="U238" s="649"/>
      <c r="V238" s="650"/>
      <c r="W238" s="42" t="s">
        <v>0</v>
      </c>
      <c r="X238" s="43">
        <f>IFERROR(SUM(X227:X236),"0")</f>
        <v>8</v>
      </c>
      <c r="Y238" s="43">
        <f>IFERROR(SUM(Y227:Y236),"0")</f>
        <v>8.1</v>
      </c>
      <c r="Z238" s="42"/>
      <c r="AA238" s="67"/>
      <c r="AB238" s="67"/>
      <c r="AC238" s="67"/>
    </row>
    <row r="239" spans="1:68" ht="14.25" customHeight="1" x14ac:dyDescent="0.25">
      <c r="A239" s="642" t="s">
        <v>176</v>
      </c>
      <c r="B239" s="642"/>
      <c r="C239" s="642"/>
      <c r="D239" s="642"/>
      <c r="E239" s="642"/>
      <c r="F239" s="642"/>
      <c r="G239" s="642"/>
      <c r="H239" s="642"/>
      <c r="I239" s="642"/>
      <c r="J239" s="642"/>
      <c r="K239" s="642"/>
      <c r="L239" s="642"/>
      <c r="M239" s="642"/>
      <c r="N239" s="642"/>
      <c r="O239" s="642"/>
      <c r="P239" s="642"/>
      <c r="Q239" s="642"/>
      <c r="R239" s="642"/>
      <c r="S239" s="642"/>
      <c r="T239" s="642"/>
      <c r="U239" s="642"/>
      <c r="V239" s="642"/>
      <c r="W239" s="642"/>
      <c r="X239" s="642"/>
      <c r="Y239" s="642"/>
      <c r="Z239" s="642"/>
      <c r="AA239" s="66"/>
      <c r="AB239" s="66"/>
      <c r="AC239" s="80"/>
    </row>
    <row r="240" spans="1:68" ht="27" customHeight="1" x14ac:dyDescent="0.25">
      <c r="A240" s="63" t="s">
        <v>408</v>
      </c>
      <c r="B240" s="63" t="s">
        <v>409</v>
      </c>
      <c r="C240" s="36">
        <v>4301060463</v>
      </c>
      <c r="D240" s="643">
        <v>4680115880818</v>
      </c>
      <c r="E240" s="643"/>
      <c r="F240" s="62">
        <v>0.4</v>
      </c>
      <c r="G240" s="37">
        <v>6</v>
      </c>
      <c r="H240" s="62">
        <v>2.4</v>
      </c>
      <c r="I240" s="62">
        <v>2.6520000000000001</v>
      </c>
      <c r="J240" s="37">
        <v>182</v>
      </c>
      <c r="K240" s="37" t="s">
        <v>82</v>
      </c>
      <c r="L240" s="37" t="s">
        <v>46</v>
      </c>
      <c r="M240" s="38" t="s">
        <v>97</v>
      </c>
      <c r="N240" s="38"/>
      <c r="O240" s="37">
        <v>40</v>
      </c>
      <c r="P240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0" s="645"/>
      <c r="R240" s="645"/>
      <c r="S240" s="645"/>
      <c r="T240" s="64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IFERROR(IF(Y240=0,"",ROUNDUP(Y240/H240,0)*0.00651),"")</f>
        <v/>
      </c>
      <c r="AA240" s="68" t="s">
        <v>46</v>
      </c>
      <c r="AB240" s="69" t="s">
        <v>46</v>
      </c>
      <c r="AC240" s="312" t="s">
        <v>410</v>
      </c>
      <c r="AG240" s="78"/>
      <c r="AJ240" s="84" t="s">
        <v>46</v>
      </c>
      <c r="AK240" s="84">
        <v>0</v>
      </c>
      <c r="BB240" s="31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37.5" customHeight="1" x14ac:dyDescent="0.25">
      <c r="A241" s="63" t="s">
        <v>411</v>
      </c>
      <c r="B241" s="63" t="s">
        <v>412</v>
      </c>
      <c r="C241" s="36">
        <v>4301060389</v>
      </c>
      <c r="D241" s="643">
        <v>4680115880801</v>
      </c>
      <c r="E241" s="643"/>
      <c r="F241" s="62">
        <v>0.4</v>
      </c>
      <c r="G241" s="37">
        <v>6</v>
      </c>
      <c r="H241" s="62">
        <v>2.4</v>
      </c>
      <c r="I241" s="62">
        <v>2.6520000000000001</v>
      </c>
      <c r="J241" s="37">
        <v>182</v>
      </c>
      <c r="K241" s="37" t="s">
        <v>82</v>
      </c>
      <c r="L241" s="37" t="s">
        <v>46</v>
      </c>
      <c r="M241" s="38" t="s">
        <v>91</v>
      </c>
      <c r="N241" s="38"/>
      <c r="O241" s="37">
        <v>40</v>
      </c>
      <c r="P241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1" s="645"/>
      <c r="R241" s="645"/>
      <c r="S241" s="645"/>
      <c r="T241" s="646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IFERROR(IF(Y241=0,"",ROUNDUP(Y241/H241,0)*0.00651),"")</f>
        <v/>
      </c>
      <c r="AA241" s="68" t="s">
        <v>46</v>
      </c>
      <c r="AB241" s="69" t="s">
        <v>46</v>
      </c>
      <c r="AC241" s="314" t="s">
        <v>413</v>
      </c>
      <c r="AG241" s="78"/>
      <c r="AJ241" s="84" t="s">
        <v>46</v>
      </c>
      <c r="AK241" s="84">
        <v>0</v>
      </c>
      <c r="BB241" s="31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51"/>
      <c r="B242" s="651"/>
      <c r="C242" s="651"/>
      <c r="D242" s="651"/>
      <c r="E242" s="651"/>
      <c r="F242" s="651"/>
      <c r="G242" s="651"/>
      <c r="H242" s="651"/>
      <c r="I242" s="651"/>
      <c r="J242" s="651"/>
      <c r="K242" s="651"/>
      <c r="L242" s="651"/>
      <c r="M242" s="651"/>
      <c r="N242" s="651"/>
      <c r="O242" s="652"/>
      <c r="P242" s="648" t="s">
        <v>40</v>
      </c>
      <c r="Q242" s="649"/>
      <c r="R242" s="649"/>
      <c r="S242" s="649"/>
      <c r="T242" s="649"/>
      <c r="U242" s="649"/>
      <c r="V242" s="650"/>
      <c r="W242" s="42" t="s">
        <v>39</v>
      </c>
      <c r="X242" s="43">
        <f>IFERROR(X240/H240,"0")+IFERROR(X241/H241,"0")</f>
        <v>0</v>
      </c>
      <c r="Y242" s="43">
        <f>IFERROR(Y240/H240,"0")+IFERROR(Y241/H241,"0")</f>
        <v>0</v>
      </c>
      <c r="Z242" s="43">
        <f>IFERROR(IF(Z240="",0,Z240),"0")+IFERROR(IF(Z241="",0,Z241),"0")</f>
        <v>0</v>
      </c>
      <c r="AA242" s="67"/>
      <c r="AB242" s="67"/>
      <c r="AC242" s="67"/>
    </row>
    <row r="243" spans="1:68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0</v>
      </c>
      <c r="X243" s="43">
        <f>IFERROR(SUM(X240:X241),"0")</f>
        <v>0</v>
      </c>
      <c r="Y243" s="43">
        <f>IFERROR(SUM(Y240:Y241),"0")</f>
        <v>0</v>
      </c>
      <c r="Z243" s="42"/>
      <c r="AA243" s="67"/>
      <c r="AB243" s="67"/>
      <c r="AC243" s="67"/>
    </row>
    <row r="244" spans="1:68" ht="16.5" customHeight="1" x14ac:dyDescent="0.25">
      <c r="A244" s="641" t="s">
        <v>414</v>
      </c>
      <c r="B244" s="641"/>
      <c r="C244" s="641"/>
      <c r="D244" s="641"/>
      <c r="E244" s="641"/>
      <c r="F244" s="641"/>
      <c r="G244" s="641"/>
      <c r="H244" s="641"/>
      <c r="I244" s="641"/>
      <c r="J244" s="641"/>
      <c r="K244" s="641"/>
      <c r="L244" s="641"/>
      <c r="M244" s="641"/>
      <c r="N244" s="641"/>
      <c r="O244" s="641"/>
      <c r="P244" s="641"/>
      <c r="Q244" s="641"/>
      <c r="R244" s="641"/>
      <c r="S244" s="641"/>
      <c r="T244" s="641"/>
      <c r="U244" s="641"/>
      <c r="V244" s="641"/>
      <c r="W244" s="641"/>
      <c r="X244" s="641"/>
      <c r="Y244" s="641"/>
      <c r="Z244" s="641"/>
      <c r="AA244" s="65"/>
      <c r="AB244" s="65"/>
      <c r="AC244" s="79"/>
    </row>
    <row r="245" spans="1:68" ht="14.25" customHeight="1" x14ac:dyDescent="0.25">
      <c r="A245" s="642" t="s">
        <v>122</v>
      </c>
      <c r="B245" s="642"/>
      <c r="C245" s="642"/>
      <c r="D245" s="642"/>
      <c r="E245" s="642"/>
      <c r="F245" s="642"/>
      <c r="G245" s="642"/>
      <c r="H245" s="642"/>
      <c r="I245" s="642"/>
      <c r="J245" s="642"/>
      <c r="K245" s="642"/>
      <c r="L245" s="642"/>
      <c r="M245" s="642"/>
      <c r="N245" s="642"/>
      <c r="O245" s="642"/>
      <c r="P245" s="642"/>
      <c r="Q245" s="642"/>
      <c r="R245" s="642"/>
      <c r="S245" s="642"/>
      <c r="T245" s="642"/>
      <c r="U245" s="642"/>
      <c r="V245" s="642"/>
      <c r="W245" s="642"/>
      <c r="X245" s="642"/>
      <c r="Y245" s="642"/>
      <c r="Z245" s="642"/>
      <c r="AA245" s="66"/>
      <c r="AB245" s="66"/>
      <c r="AC245" s="80"/>
    </row>
    <row r="246" spans="1:68" ht="27" customHeight="1" x14ac:dyDescent="0.25">
      <c r="A246" s="63" t="s">
        <v>415</v>
      </c>
      <c r="B246" s="63" t="s">
        <v>416</v>
      </c>
      <c r="C246" s="36">
        <v>4301011826</v>
      </c>
      <c r="D246" s="643">
        <v>4680115884137</v>
      </c>
      <c r="E246" s="643"/>
      <c r="F246" s="62">
        <v>1.45</v>
      </c>
      <c r="G246" s="37">
        <v>8</v>
      </c>
      <c r="H246" s="62">
        <v>11.6</v>
      </c>
      <c r="I246" s="62">
        <v>12.01</v>
      </c>
      <c r="J246" s="37">
        <v>64</v>
      </c>
      <c r="K246" s="37" t="s">
        <v>127</v>
      </c>
      <c r="L246" s="37" t="s">
        <v>46</v>
      </c>
      <c r="M246" s="38" t="s">
        <v>126</v>
      </c>
      <c r="N246" s="38"/>
      <c r="O246" s="37">
        <v>55</v>
      </c>
      <c r="P246" s="76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46" s="645"/>
      <c r="R246" s="645"/>
      <c r="S246" s="645"/>
      <c r="T246" s="64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ref="Y246:Y252" si="33">IFERROR(IF(X246="",0,CEILING((X246/$H246),1)*$H246),"")</f>
        <v>0</v>
      </c>
      <c r="Z246" s="41" t="str">
        <f>IFERROR(IF(Y246=0,"",ROUNDUP(Y246/H246,0)*0.01898),"")</f>
        <v/>
      </c>
      <c r="AA246" s="68" t="s">
        <v>46</v>
      </c>
      <c r="AB246" s="69" t="s">
        <v>46</v>
      </c>
      <c r="AC246" s="316" t="s">
        <v>417</v>
      </c>
      <c r="AG246" s="78"/>
      <c r="AJ246" s="84" t="s">
        <v>46</v>
      </c>
      <c r="AK246" s="84">
        <v>0</v>
      </c>
      <c r="BB246" s="317" t="s">
        <v>67</v>
      </c>
      <c r="BM246" s="78">
        <f t="shared" ref="BM246:BM252" si="34">IFERROR(X246*I246/H246,"0")</f>
        <v>0</v>
      </c>
      <c r="BN246" s="78">
        <f t="shared" ref="BN246:BN252" si="35">IFERROR(Y246*I246/H246,"0")</f>
        <v>0</v>
      </c>
      <c r="BO246" s="78">
        <f t="shared" ref="BO246:BO252" si="36">IFERROR(1/J246*(X246/H246),"0")</f>
        <v>0</v>
      </c>
      <c r="BP246" s="78">
        <f t="shared" ref="BP246:BP252" si="37">IFERROR(1/J246*(Y246/H246),"0")</f>
        <v>0</v>
      </c>
    </row>
    <row r="247" spans="1:68" ht="27" customHeight="1" x14ac:dyDescent="0.25">
      <c r="A247" s="63" t="s">
        <v>418</v>
      </c>
      <c r="B247" s="63" t="s">
        <v>419</v>
      </c>
      <c r="C247" s="36">
        <v>4301011724</v>
      </c>
      <c r="D247" s="643">
        <v>4680115884236</v>
      </c>
      <c r="E247" s="643"/>
      <c r="F247" s="62">
        <v>1.45</v>
      </c>
      <c r="G247" s="37">
        <v>8</v>
      </c>
      <c r="H247" s="62">
        <v>11.6</v>
      </c>
      <c r="I247" s="62">
        <v>12.01</v>
      </c>
      <c r="J247" s="37">
        <v>64</v>
      </c>
      <c r="K247" s="37" t="s">
        <v>127</v>
      </c>
      <c r="L247" s="37" t="s">
        <v>46</v>
      </c>
      <c r="M247" s="38" t="s">
        <v>126</v>
      </c>
      <c r="N247" s="38"/>
      <c r="O247" s="37">
        <v>55</v>
      </c>
      <c r="P247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47" s="645"/>
      <c r="R247" s="645"/>
      <c r="S247" s="645"/>
      <c r="T247" s="646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IFERROR(IF(Y247=0,"",ROUNDUP(Y247/H247,0)*0.01898),"")</f>
        <v/>
      </c>
      <c r="AA247" s="68" t="s">
        <v>46</v>
      </c>
      <c r="AB247" s="69" t="s">
        <v>46</v>
      </c>
      <c r="AC247" s="318" t="s">
        <v>420</v>
      </c>
      <c r="AG247" s="78"/>
      <c r="AJ247" s="84" t="s">
        <v>46</v>
      </c>
      <c r="AK247" s="84">
        <v>0</v>
      </c>
      <c r="BB247" s="319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customHeight="1" x14ac:dyDescent="0.25">
      <c r="A248" s="63" t="s">
        <v>421</v>
      </c>
      <c r="B248" s="63" t="s">
        <v>422</v>
      </c>
      <c r="C248" s="36">
        <v>4301011721</v>
      </c>
      <c r="D248" s="643">
        <v>4680115884175</v>
      </c>
      <c r="E248" s="643"/>
      <c r="F248" s="62">
        <v>1.45</v>
      </c>
      <c r="G248" s="37">
        <v>8</v>
      </c>
      <c r="H248" s="62">
        <v>11.6</v>
      </c>
      <c r="I248" s="62">
        <v>12.01</v>
      </c>
      <c r="J248" s="37">
        <v>64</v>
      </c>
      <c r="K248" s="37" t="s">
        <v>127</v>
      </c>
      <c r="L248" s="37" t="s">
        <v>46</v>
      </c>
      <c r="M248" s="38" t="s">
        <v>126</v>
      </c>
      <c r="N248" s="38"/>
      <c r="O248" s="37">
        <v>55</v>
      </c>
      <c r="P248" s="76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48" s="645"/>
      <c r="R248" s="645"/>
      <c r="S248" s="645"/>
      <c r="T248" s="646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IFERROR(IF(Y248=0,"",ROUNDUP(Y248/H248,0)*0.01898),"")</f>
        <v/>
      </c>
      <c r="AA248" s="68" t="s">
        <v>46</v>
      </c>
      <c r="AB248" s="69" t="s">
        <v>46</v>
      </c>
      <c r="AC248" s="320" t="s">
        <v>423</v>
      </c>
      <c r="AG248" s="78"/>
      <c r="AJ248" s="84" t="s">
        <v>46</v>
      </c>
      <c r="AK248" s="84">
        <v>0</v>
      </c>
      <c r="BB248" s="321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t="27" customHeight="1" x14ac:dyDescent="0.25">
      <c r="A249" s="63" t="s">
        <v>424</v>
      </c>
      <c r="B249" s="63" t="s">
        <v>425</v>
      </c>
      <c r="C249" s="36">
        <v>4301011824</v>
      </c>
      <c r="D249" s="643">
        <v>4680115884144</v>
      </c>
      <c r="E249" s="643"/>
      <c r="F249" s="62">
        <v>0.4</v>
      </c>
      <c r="G249" s="37">
        <v>10</v>
      </c>
      <c r="H249" s="62">
        <v>4</v>
      </c>
      <c r="I249" s="62">
        <v>4.1900000000000004</v>
      </c>
      <c r="J249" s="37">
        <v>132</v>
      </c>
      <c r="K249" s="37" t="s">
        <v>134</v>
      </c>
      <c r="L249" s="37" t="s">
        <v>46</v>
      </c>
      <c r="M249" s="38" t="s">
        <v>126</v>
      </c>
      <c r="N249" s="38"/>
      <c r="O249" s="37">
        <v>55</v>
      </c>
      <c r="P249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49" s="645"/>
      <c r="R249" s="645"/>
      <c r="S249" s="645"/>
      <c r="T249" s="646"/>
      <c r="U249" s="39" t="s">
        <v>46</v>
      </c>
      <c r="V249" s="39" t="s">
        <v>46</v>
      </c>
      <c r="W249" s="40" t="s">
        <v>0</v>
      </c>
      <c r="X249" s="58">
        <v>0</v>
      </c>
      <c r="Y249" s="55">
        <f t="shared" si="33"/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22" t="s">
        <v>417</v>
      </c>
      <c r="AG249" s="78"/>
      <c r="AJ249" s="84" t="s">
        <v>46</v>
      </c>
      <c r="AK249" s="84">
        <v>0</v>
      </c>
      <c r="BB249" s="323" t="s">
        <v>67</v>
      </c>
      <c r="BM249" s="78">
        <f t="shared" si="34"/>
        <v>0</v>
      </c>
      <c r="BN249" s="78">
        <f t="shared" si="35"/>
        <v>0</v>
      </c>
      <c r="BO249" s="78">
        <f t="shared" si="36"/>
        <v>0</v>
      </c>
      <c r="BP249" s="78">
        <f t="shared" si="37"/>
        <v>0</v>
      </c>
    </row>
    <row r="250" spans="1:68" ht="27" customHeight="1" x14ac:dyDescent="0.25">
      <c r="A250" s="63" t="s">
        <v>426</v>
      </c>
      <c r="B250" s="63" t="s">
        <v>427</v>
      </c>
      <c r="C250" s="36">
        <v>4301012149</v>
      </c>
      <c r="D250" s="643">
        <v>4680115886551</v>
      </c>
      <c r="E250" s="643"/>
      <c r="F250" s="62">
        <v>0.4</v>
      </c>
      <c r="G250" s="37">
        <v>10</v>
      </c>
      <c r="H250" s="62">
        <v>4</v>
      </c>
      <c r="I250" s="62">
        <v>4.1900000000000004</v>
      </c>
      <c r="J250" s="37">
        <v>132</v>
      </c>
      <c r="K250" s="37" t="s">
        <v>134</v>
      </c>
      <c r="L250" s="37" t="s">
        <v>46</v>
      </c>
      <c r="M250" s="38" t="s">
        <v>126</v>
      </c>
      <c r="N250" s="38"/>
      <c r="O250" s="37">
        <v>55</v>
      </c>
      <c r="P250" s="77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0" s="645"/>
      <c r="R250" s="645"/>
      <c r="S250" s="645"/>
      <c r="T250" s="646"/>
      <c r="U250" s="39" t="s">
        <v>46</v>
      </c>
      <c r="V250" s="39" t="s">
        <v>46</v>
      </c>
      <c r="W250" s="40" t="s">
        <v>0</v>
      </c>
      <c r="X250" s="58">
        <v>0</v>
      </c>
      <c r="Y250" s="55">
        <f t="shared" si="33"/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24" t="s">
        <v>428</v>
      </c>
      <c r="AG250" s="78"/>
      <c r="AJ250" s="84" t="s">
        <v>46</v>
      </c>
      <c r="AK250" s="84">
        <v>0</v>
      </c>
      <c r="BB250" s="325" t="s">
        <v>67</v>
      </c>
      <c r="BM250" s="78">
        <f t="shared" si="34"/>
        <v>0</v>
      </c>
      <c r="BN250" s="78">
        <f t="shared" si="35"/>
        <v>0</v>
      </c>
      <c r="BO250" s="78">
        <f t="shared" si="36"/>
        <v>0</v>
      </c>
      <c r="BP250" s="78">
        <f t="shared" si="37"/>
        <v>0</v>
      </c>
    </row>
    <row r="251" spans="1:68" ht="27" customHeight="1" x14ac:dyDescent="0.25">
      <c r="A251" s="63" t="s">
        <v>429</v>
      </c>
      <c r="B251" s="63" t="s">
        <v>430</v>
      </c>
      <c r="C251" s="36">
        <v>4301012228</v>
      </c>
      <c r="D251" s="643">
        <v>4680115887282</v>
      </c>
      <c r="E251" s="643"/>
      <c r="F251" s="62">
        <v>0.4</v>
      </c>
      <c r="G251" s="37">
        <v>6</v>
      </c>
      <c r="H251" s="62">
        <v>2.4</v>
      </c>
      <c r="I251" s="62">
        <v>2.58</v>
      </c>
      <c r="J251" s="37">
        <v>182</v>
      </c>
      <c r="K251" s="37" t="s">
        <v>82</v>
      </c>
      <c r="L251" s="37" t="s">
        <v>46</v>
      </c>
      <c r="M251" s="38" t="s">
        <v>126</v>
      </c>
      <c r="N251" s="38"/>
      <c r="O251" s="37">
        <v>55</v>
      </c>
      <c r="P251" s="77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1" s="645"/>
      <c r="R251" s="645"/>
      <c r="S251" s="645"/>
      <c r="T251" s="646"/>
      <c r="U251" s="39" t="s">
        <v>46</v>
      </c>
      <c r="V251" s="39" t="s">
        <v>46</v>
      </c>
      <c r="W251" s="40" t="s">
        <v>0</v>
      </c>
      <c r="X251" s="58">
        <v>0</v>
      </c>
      <c r="Y251" s="55">
        <f t="shared" si="33"/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6" t="s">
        <v>431</v>
      </c>
      <c r="AG251" s="78"/>
      <c r="AJ251" s="84" t="s">
        <v>46</v>
      </c>
      <c r="AK251" s="84">
        <v>0</v>
      </c>
      <c r="BB251" s="327" t="s">
        <v>67</v>
      </c>
      <c r="BM251" s="78">
        <f t="shared" si="34"/>
        <v>0</v>
      </c>
      <c r="BN251" s="78">
        <f t="shared" si="35"/>
        <v>0</v>
      </c>
      <c r="BO251" s="78">
        <f t="shared" si="36"/>
        <v>0</v>
      </c>
      <c r="BP251" s="78">
        <f t="shared" si="37"/>
        <v>0</v>
      </c>
    </row>
    <row r="252" spans="1:68" ht="27" customHeight="1" x14ac:dyDescent="0.25">
      <c r="A252" s="63" t="s">
        <v>432</v>
      </c>
      <c r="B252" s="63" t="s">
        <v>433</v>
      </c>
      <c r="C252" s="36">
        <v>4301011722</v>
      </c>
      <c r="D252" s="643">
        <v>4680115884205</v>
      </c>
      <c r="E252" s="643"/>
      <c r="F252" s="62">
        <v>0.4</v>
      </c>
      <c r="G252" s="37">
        <v>10</v>
      </c>
      <c r="H252" s="62">
        <v>4</v>
      </c>
      <c r="I252" s="62">
        <v>4.1900000000000004</v>
      </c>
      <c r="J252" s="37">
        <v>132</v>
      </c>
      <c r="K252" s="37" t="s">
        <v>134</v>
      </c>
      <c r="L252" s="37" t="s">
        <v>46</v>
      </c>
      <c r="M252" s="38" t="s">
        <v>126</v>
      </c>
      <c r="N252" s="38"/>
      <c r="O252" s="37">
        <v>55</v>
      </c>
      <c r="P252" s="77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2" s="645"/>
      <c r="R252" s="645"/>
      <c r="S252" s="645"/>
      <c r="T252" s="646"/>
      <c r="U252" s="39" t="s">
        <v>46</v>
      </c>
      <c r="V252" s="39" t="s">
        <v>46</v>
      </c>
      <c r="W252" s="40" t="s">
        <v>0</v>
      </c>
      <c r="X252" s="58">
        <v>0</v>
      </c>
      <c r="Y252" s="55">
        <f t="shared" si="33"/>
        <v>0</v>
      </c>
      <c r="Z252" s="41" t="str">
        <f>IFERROR(IF(Y252=0,"",ROUNDUP(Y252/H252,0)*0.00902),"")</f>
        <v/>
      </c>
      <c r="AA252" s="68" t="s">
        <v>46</v>
      </c>
      <c r="AB252" s="69" t="s">
        <v>46</v>
      </c>
      <c r="AC252" s="328" t="s">
        <v>423</v>
      </c>
      <c r="AG252" s="78"/>
      <c r="AJ252" s="84" t="s">
        <v>46</v>
      </c>
      <c r="AK252" s="84">
        <v>0</v>
      </c>
      <c r="BB252" s="329" t="s">
        <v>67</v>
      </c>
      <c r="BM252" s="78">
        <f t="shared" si="34"/>
        <v>0</v>
      </c>
      <c r="BN252" s="78">
        <f t="shared" si="35"/>
        <v>0</v>
      </c>
      <c r="BO252" s="78">
        <f t="shared" si="36"/>
        <v>0</v>
      </c>
      <c r="BP252" s="78">
        <f t="shared" si="37"/>
        <v>0</v>
      </c>
    </row>
    <row r="253" spans="1:68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IFERROR(X246/H246,"0")+IFERROR(X247/H247,"0")+IFERROR(X248/H248,"0")+IFERROR(X249/H249,"0")+IFERROR(X250/H250,"0")+IFERROR(X251/H251,"0")+IFERROR(X252/H252,"0")</f>
        <v>0</v>
      </c>
      <c r="Y253" s="43">
        <f>IFERROR(Y246/H246,"0")+IFERROR(Y247/H247,"0")+IFERROR(Y248/H248,"0")+IFERROR(Y249/H249,"0")+IFERROR(Y250/H250,"0")+IFERROR(Y251/H251,"0")+IFERROR(Y252/H252,"0")</f>
        <v>0</v>
      </c>
      <c r="Z253" s="43">
        <f>IFERROR(IF(Z246="",0,Z246),"0")+IFERROR(IF(Z247="",0,Z247),"0")+IFERROR(IF(Z248="",0,Z248),"0")+IFERROR(IF(Z249="",0,Z249),"0")+IFERROR(IF(Z250="",0,Z250),"0")+IFERROR(IF(Z251="",0,Z251),"0")+IFERROR(IF(Z252="",0,Z252),"0")</f>
        <v>0</v>
      </c>
      <c r="AA253" s="67"/>
      <c r="AB253" s="67"/>
      <c r="AC253" s="67"/>
    </row>
    <row r="254" spans="1:68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IFERROR(SUM(X246:X252),"0")</f>
        <v>0</v>
      </c>
      <c r="Y254" s="43">
        <f>IFERROR(SUM(Y246:Y252),"0")</f>
        <v>0</v>
      </c>
      <c r="Z254" s="42"/>
      <c r="AA254" s="67"/>
      <c r="AB254" s="67"/>
      <c r="AC254" s="67"/>
    </row>
    <row r="255" spans="1:68" ht="14.25" customHeight="1" x14ac:dyDescent="0.25">
      <c r="A255" s="642" t="s">
        <v>156</v>
      </c>
      <c r="B255" s="642"/>
      <c r="C255" s="642"/>
      <c r="D255" s="642"/>
      <c r="E255" s="642"/>
      <c r="F255" s="642"/>
      <c r="G255" s="642"/>
      <c r="H255" s="642"/>
      <c r="I255" s="642"/>
      <c r="J255" s="642"/>
      <c r="K255" s="642"/>
      <c r="L255" s="642"/>
      <c r="M255" s="642"/>
      <c r="N255" s="642"/>
      <c r="O255" s="642"/>
      <c r="P255" s="642"/>
      <c r="Q255" s="642"/>
      <c r="R255" s="642"/>
      <c r="S255" s="642"/>
      <c r="T255" s="642"/>
      <c r="U255" s="642"/>
      <c r="V255" s="642"/>
      <c r="W255" s="642"/>
      <c r="X255" s="642"/>
      <c r="Y255" s="642"/>
      <c r="Z255" s="642"/>
      <c r="AA255" s="66"/>
      <c r="AB255" s="66"/>
      <c r="AC255" s="80"/>
    </row>
    <row r="256" spans="1:68" ht="27" customHeight="1" x14ac:dyDescent="0.25">
      <c r="A256" s="63" t="s">
        <v>434</v>
      </c>
      <c r="B256" s="63" t="s">
        <v>435</v>
      </c>
      <c r="C256" s="36">
        <v>4301020377</v>
      </c>
      <c r="D256" s="643">
        <v>4680115885981</v>
      </c>
      <c r="E256" s="643"/>
      <c r="F256" s="62">
        <v>0.33</v>
      </c>
      <c r="G256" s="37">
        <v>6</v>
      </c>
      <c r="H256" s="62">
        <v>1.98</v>
      </c>
      <c r="I256" s="62">
        <v>2.08</v>
      </c>
      <c r="J256" s="37">
        <v>234</v>
      </c>
      <c r="K256" s="37" t="s">
        <v>86</v>
      </c>
      <c r="L256" s="37" t="s">
        <v>46</v>
      </c>
      <c r="M256" s="38" t="s">
        <v>91</v>
      </c>
      <c r="N256" s="38"/>
      <c r="O256" s="37">
        <v>50</v>
      </c>
      <c r="P256" s="77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56" s="645"/>
      <c r="R256" s="645"/>
      <c r="S256" s="645"/>
      <c r="T256" s="64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IFERROR(IF(Y256=0,"",ROUNDUP(Y256/H256,0)*0.00502),"")</f>
        <v/>
      </c>
      <c r="AA256" s="68" t="s">
        <v>46</v>
      </c>
      <c r="AB256" s="69" t="s">
        <v>46</v>
      </c>
      <c r="AC256" s="330" t="s">
        <v>436</v>
      </c>
      <c r="AG256" s="78"/>
      <c r="AJ256" s="84" t="s">
        <v>46</v>
      </c>
      <c r="AK256" s="84">
        <v>0</v>
      </c>
      <c r="BB256" s="33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51"/>
      <c r="B257" s="651"/>
      <c r="C257" s="651"/>
      <c r="D257" s="651"/>
      <c r="E257" s="651"/>
      <c r="F257" s="651"/>
      <c r="G257" s="651"/>
      <c r="H257" s="651"/>
      <c r="I257" s="651"/>
      <c r="J257" s="651"/>
      <c r="K257" s="651"/>
      <c r="L257" s="651"/>
      <c r="M257" s="651"/>
      <c r="N257" s="651"/>
      <c r="O257" s="652"/>
      <c r="P257" s="648" t="s">
        <v>40</v>
      </c>
      <c r="Q257" s="649"/>
      <c r="R257" s="649"/>
      <c r="S257" s="649"/>
      <c r="T257" s="649"/>
      <c r="U257" s="649"/>
      <c r="V257" s="650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4.25" customHeight="1" x14ac:dyDescent="0.25">
      <c r="A259" s="642" t="s">
        <v>437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6"/>
      <c r="AB259" s="66"/>
      <c r="AC259" s="80"/>
    </row>
    <row r="260" spans="1:68" ht="27" customHeight="1" x14ac:dyDescent="0.25">
      <c r="A260" s="63" t="s">
        <v>438</v>
      </c>
      <c r="B260" s="63" t="s">
        <v>439</v>
      </c>
      <c r="C260" s="36">
        <v>4301040362</v>
      </c>
      <c r="D260" s="643">
        <v>4680115886803</v>
      </c>
      <c r="E260" s="643"/>
      <c r="F260" s="62">
        <v>0.12</v>
      </c>
      <c r="G260" s="37">
        <v>15</v>
      </c>
      <c r="H260" s="62">
        <v>1.8</v>
      </c>
      <c r="I260" s="62">
        <v>1.9750000000000001</v>
      </c>
      <c r="J260" s="37">
        <v>216</v>
      </c>
      <c r="K260" s="37" t="s">
        <v>341</v>
      </c>
      <c r="L260" s="37" t="s">
        <v>46</v>
      </c>
      <c r="M260" s="38" t="s">
        <v>340</v>
      </c>
      <c r="N260" s="38"/>
      <c r="O260" s="37">
        <v>45</v>
      </c>
      <c r="P260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0" s="645"/>
      <c r="R260" s="645"/>
      <c r="S260" s="645"/>
      <c r="T260" s="64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IFERROR(IF(Y260=0,"",ROUNDUP(Y260/H260,0)*0.0059),"")</f>
        <v/>
      </c>
      <c r="AA260" s="68" t="s">
        <v>46</v>
      </c>
      <c r="AB260" s="69" t="s">
        <v>46</v>
      </c>
      <c r="AC260" s="332" t="s">
        <v>440</v>
      </c>
      <c r="AG260" s="78"/>
      <c r="AJ260" s="84" t="s">
        <v>46</v>
      </c>
      <c r="AK260" s="84">
        <v>0</v>
      </c>
      <c r="BB260" s="33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651"/>
      <c r="B261" s="651"/>
      <c r="C261" s="651"/>
      <c r="D261" s="651"/>
      <c r="E261" s="651"/>
      <c r="F261" s="651"/>
      <c r="G261" s="651"/>
      <c r="H261" s="651"/>
      <c r="I261" s="651"/>
      <c r="J261" s="651"/>
      <c r="K261" s="651"/>
      <c r="L261" s="651"/>
      <c r="M261" s="651"/>
      <c r="N261" s="651"/>
      <c r="O261" s="652"/>
      <c r="P261" s="648" t="s">
        <v>40</v>
      </c>
      <c r="Q261" s="649"/>
      <c r="R261" s="649"/>
      <c r="S261" s="649"/>
      <c r="T261" s="649"/>
      <c r="U261" s="649"/>
      <c r="V261" s="650"/>
      <c r="W261" s="42" t="s">
        <v>39</v>
      </c>
      <c r="X261" s="43">
        <f>IFERROR(X260/H260,"0")</f>
        <v>0</v>
      </c>
      <c r="Y261" s="43">
        <f>IFERROR(Y260/H260,"0")</f>
        <v>0</v>
      </c>
      <c r="Z261" s="43">
        <f>IFERROR(IF(Z260="",0,Z260),"0")</f>
        <v>0</v>
      </c>
      <c r="AA261" s="67"/>
      <c r="AB261" s="67"/>
      <c r="AC261" s="67"/>
    </row>
    <row r="262" spans="1:68" x14ac:dyDescent="0.2">
      <c r="A262" s="651"/>
      <c r="B262" s="651"/>
      <c r="C262" s="651"/>
      <c r="D262" s="651"/>
      <c r="E262" s="651"/>
      <c r="F262" s="651"/>
      <c r="G262" s="651"/>
      <c r="H262" s="651"/>
      <c r="I262" s="651"/>
      <c r="J262" s="651"/>
      <c r="K262" s="651"/>
      <c r="L262" s="651"/>
      <c r="M262" s="651"/>
      <c r="N262" s="651"/>
      <c r="O262" s="652"/>
      <c r="P262" s="648" t="s">
        <v>40</v>
      </c>
      <c r="Q262" s="649"/>
      <c r="R262" s="649"/>
      <c r="S262" s="649"/>
      <c r="T262" s="649"/>
      <c r="U262" s="649"/>
      <c r="V262" s="650"/>
      <c r="W262" s="42" t="s">
        <v>0</v>
      </c>
      <c r="X262" s="43">
        <f>IFERROR(SUM(X260:X260),"0")</f>
        <v>0</v>
      </c>
      <c r="Y262" s="43">
        <f>IFERROR(SUM(Y260:Y260),"0")</f>
        <v>0</v>
      </c>
      <c r="Z262" s="42"/>
      <c r="AA262" s="67"/>
      <c r="AB262" s="67"/>
      <c r="AC262" s="67"/>
    </row>
    <row r="263" spans="1:68" ht="14.25" customHeight="1" x14ac:dyDescent="0.25">
      <c r="A263" s="642" t="s">
        <v>441</v>
      </c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42"/>
      <c r="P263" s="642"/>
      <c r="Q263" s="642"/>
      <c r="R263" s="642"/>
      <c r="S263" s="642"/>
      <c r="T263" s="642"/>
      <c r="U263" s="642"/>
      <c r="V263" s="642"/>
      <c r="W263" s="642"/>
      <c r="X263" s="642"/>
      <c r="Y263" s="642"/>
      <c r="Z263" s="642"/>
      <c r="AA263" s="66"/>
      <c r="AB263" s="66"/>
      <c r="AC263" s="80"/>
    </row>
    <row r="264" spans="1:68" ht="27" customHeight="1" x14ac:dyDescent="0.25">
      <c r="A264" s="63" t="s">
        <v>442</v>
      </c>
      <c r="B264" s="63" t="s">
        <v>443</v>
      </c>
      <c r="C264" s="36">
        <v>4301041004</v>
      </c>
      <c r="D264" s="643">
        <v>4680115886704</v>
      </c>
      <c r="E264" s="643"/>
      <c r="F264" s="62">
        <v>5.5E-2</v>
      </c>
      <c r="G264" s="37">
        <v>18</v>
      </c>
      <c r="H264" s="62">
        <v>0.99</v>
      </c>
      <c r="I264" s="62">
        <v>1.18</v>
      </c>
      <c r="J264" s="37">
        <v>216</v>
      </c>
      <c r="K264" s="37" t="s">
        <v>341</v>
      </c>
      <c r="L264" s="37" t="s">
        <v>46</v>
      </c>
      <c r="M264" s="38" t="s">
        <v>340</v>
      </c>
      <c r="N264" s="38"/>
      <c r="O264" s="37">
        <v>90</v>
      </c>
      <c r="P264" s="7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4" s="645"/>
      <c r="R264" s="645"/>
      <c r="S264" s="645"/>
      <c r="T264" s="64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IFERROR(IF(Y264=0,"",ROUNDUP(Y264/H264,0)*0.0059),"")</f>
        <v/>
      </c>
      <c r="AA264" s="68" t="s">
        <v>46</v>
      </c>
      <c r="AB264" s="69" t="s">
        <v>46</v>
      </c>
      <c r="AC264" s="334" t="s">
        <v>444</v>
      </c>
      <c r="AG264" s="78"/>
      <c r="AJ264" s="84" t="s">
        <v>46</v>
      </c>
      <c r="AK264" s="84">
        <v>0</v>
      </c>
      <c r="BB264" s="33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445</v>
      </c>
      <c r="B265" s="63" t="s">
        <v>446</v>
      </c>
      <c r="C265" s="36">
        <v>4301041008</v>
      </c>
      <c r="D265" s="643">
        <v>4680115886681</v>
      </c>
      <c r="E265" s="643"/>
      <c r="F265" s="62">
        <v>0.12</v>
      </c>
      <c r="G265" s="37">
        <v>15</v>
      </c>
      <c r="H265" s="62">
        <v>1.8</v>
      </c>
      <c r="I265" s="62">
        <v>1.9750000000000001</v>
      </c>
      <c r="J265" s="37">
        <v>216</v>
      </c>
      <c r="K265" s="37" t="s">
        <v>341</v>
      </c>
      <c r="L265" s="37" t="s">
        <v>46</v>
      </c>
      <c r="M265" s="38" t="s">
        <v>340</v>
      </c>
      <c r="N265" s="38"/>
      <c r="O265" s="37">
        <v>90</v>
      </c>
      <c r="P265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5" s="645"/>
      <c r="R265" s="645"/>
      <c r="S265" s="645"/>
      <c r="T265" s="64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IFERROR(IF(Y265=0,"",ROUNDUP(Y265/H265,0)*0.0059),"")</f>
        <v/>
      </c>
      <c r="AA265" s="68" t="s">
        <v>46</v>
      </c>
      <c r="AB265" s="69" t="s">
        <v>46</v>
      </c>
      <c r="AC265" s="336" t="s">
        <v>444</v>
      </c>
      <c r="AG265" s="78"/>
      <c r="AJ265" s="84" t="s">
        <v>46</v>
      </c>
      <c r="AK265" s="84">
        <v>0</v>
      </c>
      <c r="BB265" s="33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447</v>
      </c>
      <c r="B266" s="63" t="s">
        <v>448</v>
      </c>
      <c r="C266" s="36">
        <v>4301041007</v>
      </c>
      <c r="D266" s="643">
        <v>4680115886735</v>
      </c>
      <c r="E266" s="643"/>
      <c r="F266" s="62">
        <v>0.05</v>
      </c>
      <c r="G266" s="37">
        <v>18</v>
      </c>
      <c r="H266" s="62">
        <v>0.9</v>
      </c>
      <c r="I266" s="62">
        <v>1.0900000000000001</v>
      </c>
      <c r="J266" s="37">
        <v>216</v>
      </c>
      <c r="K266" s="37" t="s">
        <v>341</v>
      </c>
      <c r="L266" s="37" t="s">
        <v>46</v>
      </c>
      <c r="M266" s="38" t="s">
        <v>340</v>
      </c>
      <c r="N266" s="38"/>
      <c r="O266" s="37">
        <v>90</v>
      </c>
      <c r="P266" s="77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66" s="645"/>
      <c r="R266" s="645"/>
      <c r="S266" s="645"/>
      <c r="T266" s="64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IFERROR(IF(Y266=0,"",ROUNDUP(Y266/H266,0)*0.0059),"")</f>
        <v/>
      </c>
      <c r="AA266" s="68" t="s">
        <v>46</v>
      </c>
      <c r="AB266" s="69" t="s">
        <v>46</v>
      </c>
      <c r="AC266" s="338" t="s">
        <v>444</v>
      </c>
      <c r="AG266" s="78"/>
      <c r="AJ266" s="84" t="s">
        <v>46</v>
      </c>
      <c r="AK266" s="84">
        <v>0</v>
      </c>
      <c r="BB266" s="339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4301041006</v>
      </c>
      <c r="D267" s="643">
        <v>4680115886728</v>
      </c>
      <c r="E267" s="643"/>
      <c r="F267" s="62">
        <v>5.5E-2</v>
      </c>
      <c r="G267" s="37">
        <v>18</v>
      </c>
      <c r="H267" s="62">
        <v>0.99</v>
      </c>
      <c r="I267" s="62">
        <v>1.18</v>
      </c>
      <c r="J267" s="37">
        <v>216</v>
      </c>
      <c r="K267" s="37" t="s">
        <v>341</v>
      </c>
      <c r="L267" s="37" t="s">
        <v>46</v>
      </c>
      <c r="M267" s="38" t="s">
        <v>340</v>
      </c>
      <c r="N267" s="38"/>
      <c r="O267" s="37">
        <v>90</v>
      </c>
      <c r="P267" s="77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67" s="645"/>
      <c r="R267" s="645"/>
      <c r="S267" s="645"/>
      <c r="T267" s="64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IFERROR(IF(Y267=0,"",ROUNDUP(Y267/H267,0)*0.0059),"")</f>
        <v/>
      </c>
      <c r="AA267" s="68" t="s">
        <v>46</v>
      </c>
      <c r="AB267" s="69" t="s">
        <v>46</v>
      </c>
      <c r="AC267" s="340" t="s">
        <v>444</v>
      </c>
      <c r="AG267" s="78"/>
      <c r="AJ267" s="84" t="s">
        <v>46</v>
      </c>
      <c r="AK267" s="84">
        <v>0</v>
      </c>
      <c r="BB267" s="341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27" customHeight="1" x14ac:dyDescent="0.25">
      <c r="A268" s="63" t="s">
        <v>451</v>
      </c>
      <c r="B268" s="63" t="s">
        <v>452</v>
      </c>
      <c r="C268" s="36">
        <v>4301041005</v>
      </c>
      <c r="D268" s="643">
        <v>4680115886711</v>
      </c>
      <c r="E268" s="643"/>
      <c r="F268" s="62">
        <v>5.5E-2</v>
      </c>
      <c r="G268" s="37">
        <v>18</v>
      </c>
      <c r="H268" s="62">
        <v>0.99</v>
      </c>
      <c r="I268" s="62">
        <v>1.18</v>
      </c>
      <c r="J268" s="37">
        <v>216</v>
      </c>
      <c r="K268" s="37" t="s">
        <v>341</v>
      </c>
      <c r="L268" s="37" t="s">
        <v>46</v>
      </c>
      <c r="M268" s="38" t="s">
        <v>340</v>
      </c>
      <c r="N268" s="38"/>
      <c r="O268" s="37">
        <v>90</v>
      </c>
      <c r="P268" s="77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68" s="645"/>
      <c r="R268" s="645"/>
      <c r="S268" s="645"/>
      <c r="T268" s="646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IFERROR(IF(Y268=0,"",ROUNDUP(Y268/H268,0)*0.0059),"")</f>
        <v/>
      </c>
      <c r="AA268" s="68" t="s">
        <v>46</v>
      </c>
      <c r="AB268" s="69" t="s">
        <v>46</v>
      </c>
      <c r="AC268" s="342" t="s">
        <v>444</v>
      </c>
      <c r="AG268" s="78"/>
      <c r="AJ268" s="84" t="s">
        <v>46</v>
      </c>
      <c r="AK268" s="84">
        <v>0</v>
      </c>
      <c r="BB268" s="343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2" t="s">
        <v>39</v>
      </c>
      <c r="X269" s="43">
        <f>IFERROR(X264/H264,"0")+IFERROR(X265/H265,"0")+IFERROR(X266/H266,"0")+IFERROR(X267/H267,"0")+IFERROR(X268/H268,"0")</f>
        <v>0</v>
      </c>
      <c r="Y269" s="43">
        <f>IFERROR(Y264/H264,"0")+IFERROR(Y265/H265,"0")+IFERROR(Y266/H266,"0")+IFERROR(Y267/H267,"0")+IFERROR(Y268/H268,"0")</f>
        <v>0</v>
      </c>
      <c r="Z269" s="43">
        <f>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x14ac:dyDescent="0.2">
      <c r="A270" s="651"/>
      <c r="B270" s="651"/>
      <c r="C270" s="651"/>
      <c r="D270" s="651"/>
      <c r="E270" s="651"/>
      <c r="F270" s="651"/>
      <c r="G270" s="651"/>
      <c r="H270" s="651"/>
      <c r="I270" s="651"/>
      <c r="J270" s="651"/>
      <c r="K270" s="651"/>
      <c r="L270" s="651"/>
      <c r="M270" s="651"/>
      <c r="N270" s="651"/>
      <c r="O270" s="652"/>
      <c r="P270" s="648" t="s">
        <v>40</v>
      </c>
      <c r="Q270" s="649"/>
      <c r="R270" s="649"/>
      <c r="S270" s="649"/>
      <c r="T270" s="649"/>
      <c r="U270" s="649"/>
      <c r="V270" s="650"/>
      <c r="W270" s="42" t="s">
        <v>0</v>
      </c>
      <c r="X270" s="43">
        <f>IFERROR(SUM(X264:X268),"0")</f>
        <v>0</v>
      </c>
      <c r="Y270" s="43">
        <f>IFERROR(SUM(Y264:Y268),"0")</f>
        <v>0</v>
      </c>
      <c r="Z270" s="42"/>
      <c r="AA270" s="67"/>
      <c r="AB270" s="67"/>
      <c r="AC270" s="67"/>
    </row>
    <row r="271" spans="1:68" ht="16.5" customHeight="1" x14ac:dyDescent="0.25">
      <c r="A271" s="641" t="s">
        <v>453</v>
      </c>
      <c r="B271" s="641"/>
      <c r="C271" s="641"/>
      <c r="D271" s="641"/>
      <c r="E271" s="641"/>
      <c r="F271" s="641"/>
      <c r="G271" s="641"/>
      <c r="H271" s="641"/>
      <c r="I271" s="641"/>
      <c r="J271" s="641"/>
      <c r="K271" s="641"/>
      <c r="L271" s="641"/>
      <c r="M271" s="641"/>
      <c r="N271" s="641"/>
      <c r="O271" s="641"/>
      <c r="P271" s="641"/>
      <c r="Q271" s="641"/>
      <c r="R271" s="641"/>
      <c r="S271" s="641"/>
      <c r="T271" s="641"/>
      <c r="U271" s="641"/>
      <c r="V271" s="641"/>
      <c r="W271" s="641"/>
      <c r="X271" s="641"/>
      <c r="Y271" s="641"/>
      <c r="Z271" s="641"/>
      <c r="AA271" s="65"/>
      <c r="AB271" s="65"/>
      <c r="AC271" s="79"/>
    </row>
    <row r="272" spans="1:68" ht="14.25" customHeight="1" x14ac:dyDescent="0.25">
      <c r="A272" s="642" t="s">
        <v>122</v>
      </c>
      <c r="B272" s="642"/>
      <c r="C272" s="642"/>
      <c r="D272" s="642"/>
      <c r="E272" s="642"/>
      <c r="F272" s="642"/>
      <c r="G272" s="642"/>
      <c r="H272" s="642"/>
      <c r="I272" s="642"/>
      <c r="J272" s="642"/>
      <c r="K272" s="642"/>
      <c r="L272" s="642"/>
      <c r="M272" s="642"/>
      <c r="N272" s="642"/>
      <c r="O272" s="642"/>
      <c r="P272" s="642"/>
      <c r="Q272" s="642"/>
      <c r="R272" s="642"/>
      <c r="S272" s="642"/>
      <c r="T272" s="642"/>
      <c r="U272" s="642"/>
      <c r="V272" s="642"/>
      <c r="W272" s="642"/>
      <c r="X272" s="642"/>
      <c r="Y272" s="642"/>
      <c r="Z272" s="642"/>
      <c r="AA272" s="66"/>
      <c r="AB272" s="66"/>
      <c r="AC272" s="80"/>
    </row>
    <row r="273" spans="1:68" ht="27" customHeight="1" x14ac:dyDescent="0.25">
      <c r="A273" s="63" t="s">
        <v>454</v>
      </c>
      <c r="B273" s="63" t="s">
        <v>455</v>
      </c>
      <c r="C273" s="36">
        <v>4301011855</v>
      </c>
      <c r="D273" s="643">
        <v>4680115885837</v>
      </c>
      <c r="E273" s="643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127</v>
      </c>
      <c r="L273" s="37" t="s">
        <v>46</v>
      </c>
      <c r="M273" s="38" t="s">
        <v>126</v>
      </c>
      <c r="N273" s="38"/>
      <c r="O273" s="37">
        <v>55</v>
      </c>
      <c r="P273" s="7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3" s="645"/>
      <c r="R273" s="645"/>
      <c r="S273" s="645"/>
      <c r="T273" s="646"/>
      <c r="U273" s="39" t="s">
        <v>46</v>
      </c>
      <c r="V273" s="39" t="s">
        <v>46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44" t="s">
        <v>456</v>
      </c>
      <c r="AG273" s="78"/>
      <c r="AJ273" s="84" t="s">
        <v>46</v>
      </c>
      <c r="AK273" s="84">
        <v>0</v>
      </c>
      <c r="BB273" s="345" t="s">
        <v>67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457</v>
      </c>
      <c r="B274" s="63" t="s">
        <v>458</v>
      </c>
      <c r="C274" s="36">
        <v>4301012234</v>
      </c>
      <c r="D274" s="643">
        <v>4680115887237</v>
      </c>
      <c r="E274" s="643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127</v>
      </c>
      <c r="L274" s="37" t="s">
        <v>46</v>
      </c>
      <c r="M274" s="38" t="s">
        <v>126</v>
      </c>
      <c r="N274" s="38"/>
      <c r="O274" s="37">
        <v>55</v>
      </c>
      <c r="P274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274" s="645"/>
      <c r="R274" s="645"/>
      <c r="S274" s="645"/>
      <c r="T274" s="646"/>
      <c r="U274" s="39" t="s">
        <v>46</v>
      </c>
      <c r="V274" s="39" t="s">
        <v>46</v>
      </c>
      <c r="W274" s="40" t="s">
        <v>0</v>
      </c>
      <c r="X274" s="58"/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46" t="s">
        <v>459</v>
      </c>
      <c r="AG274" s="78"/>
      <c r="AJ274" s="84" t="s">
        <v>46</v>
      </c>
      <c r="AK274" s="84">
        <v>0</v>
      </c>
      <c r="BB274" s="347" t="s">
        <v>67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27" customHeight="1" x14ac:dyDescent="0.25">
      <c r="A275" s="63" t="s">
        <v>460</v>
      </c>
      <c r="B275" s="63" t="s">
        <v>461</v>
      </c>
      <c r="C275" s="36">
        <v>4301011850</v>
      </c>
      <c r="D275" s="643">
        <v>4680115885806</v>
      </c>
      <c r="E275" s="643"/>
      <c r="F275" s="62">
        <v>1.35</v>
      </c>
      <c r="G275" s="37">
        <v>8</v>
      </c>
      <c r="H275" s="62">
        <v>10.8</v>
      </c>
      <c r="I275" s="62">
        <v>11.21</v>
      </c>
      <c r="J275" s="37">
        <v>64</v>
      </c>
      <c r="K275" s="37" t="s">
        <v>127</v>
      </c>
      <c r="L275" s="37" t="s">
        <v>46</v>
      </c>
      <c r="M275" s="38" t="s">
        <v>126</v>
      </c>
      <c r="N275" s="38"/>
      <c r="O275" s="37">
        <v>55</v>
      </c>
      <c r="P275" s="7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5" s="645"/>
      <c r="R275" s="645"/>
      <c r="S275" s="645"/>
      <c r="T275" s="646"/>
      <c r="U275" s="39" t="s">
        <v>46</v>
      </c>
      <c r="V275" s="39" t="s">
        <v>46</v>
      </c>
      <c r="W275" s="40" t="s">
        <v>0</v>
      </c>
      <c r="X275" s="58"/>
      <c r="Y275" s="55">
        <f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48" t="s">
        <v>462</v>
      </c>
      <c r="AG275" s="78"/>
      <c r="AJ275" s="84" t="s">
        <v>46</v>
      </c>
      <c r="AK275" s="84">
        <v>0</v>
      </c>
      <c r="BB275" s="349" t="s">
        <v>67</v>
      </c>
      <c r="BM275" s="78">
        <f>IFERROR(X275*I275/H275,"0")</f>
        <v>0</v>
      </c>
      <c r="BN275" s="78">
        <f>IFERROR(Y275*I275/H275,"0")</f>
        <v>0</v>
      </c>
      <c r="BO275" s="78">
        <f>IFERROR(1/J275*(X275/H275),"0")</f>
        <v>0</v>
      </c>
      <c r="BP275" s="78">
        <f>IFERROR(1/J275*(Y275/H275),"0")</f>
        <v>0</v>
      </c>
    </row>
    <row r="276" spans="1:68" ht="27" customHeight="1" x14ac:dyDescent="0.25">
      <c r="A276" s="63" t="s">
        <v>463</v>
      </c>
      <c r="B276" s="63" t="s">
        <v>464</v>
      </c>
      <c r="C276" s="36">
        <v>4301011852</v>
      </c>
      <c r="D276" s="643">
        <v>4680115885844</v>
      </c>
      <c r="E276" s="643"/>
      <c r="F276" s="62">
        <v>0.4</v>
      </c>
      <c r="G276" s="37">
        <v>10</v>
      </c>
      <c r="H276" s="62">
        <v>4</v>
      </c>
      <c r="I276" s="62">
        <v>4.1900000000000004</v>
      </c>
      <c r="J276" s="37">
        <v>132</v>
      </c>
      <c r="K276" s="37" t="s">
        <v>134</v>
      </c>
      <c r="L276" s="37" t="s">
        <v>46</v>
      </c>
      <c r="M276" s="38" t="s">
        <v>126</v>
      </c>
      <c r="N276" s="38"/>
      <c r="O276" s="37">
        <v>55</v>
      </c>
      <c r="P276" s="7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76" s="645"/>
      <c r="R276" s="645"/>
      <c r="S276" s="645"/>
      <c r="T276" s="646"/>
      <c r="U276" s="39" t="s">
        <v>46</v>
      </c>
      <c r="V276" s="39" t="s">
        <v>46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50" t="s">
        <v>465</v>
      </c>
      <c r="AG276" s="78"/>
      <c r="AJ276" s="84" t="s">
        <v>46</v>
      </c>
      <c r="AK276" s="84">
        <v>0</v>
      </c>
      <c r="BB276" s="351" t="s">
        <v>67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37.5" customHeight="1" x14ac:dyDescent="0.25">
      <c r="A277" s="63" t="s">
        <v>466</v>
      </c>
      <c r="B277" s="63" t="s">
        <v>467</v>
      </c>
      <c r="C277" s="36">
        <v>4301011851</v>
      </c>
      <c r="D277" s="643">
        <v>4680115885820</v>
      </c>
      <c r="E277" s="643"/>
      <c r="F277" s="62">
        <v>0.4</v>
      </c>
      <c r="G277" s="37">
        <v>10</v>
      </c>
      <c r="H277" s="62">
        <v>4</v>
      </c>
      <c r="I277" s="62">
        <v>4.1900000000000004</v>
      </c>
      <c r="J277" s="37">
        <v>132</v>
      </c>
      <c r="K277" s="37" t="s">
        <v>134</v>
      </c>
      <c r="L277" s="37" t="s">
        <v>46</v>
      </c>
      <c r="M277" s="38" t="s">
        <v>126</v>
      </c>
      <c r="N277" s="38"/>
      <c r="O277" s="37">
        <v>55</v>
      </c>
      <c r="P277" s="78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77" s="645"/>
      <c r="R277" s="645"/>
      <c r="S277" s="645"/>
      <c r="T277" s="646"/>
      <c r="U277" s="39" t="s">
        <v>46</v>
      </c>
      <c r="V277" s="39" t="s">
        <v>46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52" t="s">
        <v>468</v>
      </c>
      <c r="AG277" s="78"/>
      <c r="AJ277" s="84" t="s">
        <v>46</v>
      </c>
      <c r="AK277" s="84">
        <v>0</v>
      </c>
      <c r="BB277" s="353" t="s">
        <v>67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x14ac:dyDescent="0.2">
      <c r="A278" s="651"/>
      <c r="B278" s="651"/>
      <c r="C278" s="651"/>
      <c r="D278" s="651"/>
      <c r="E278" s="651"/>
      <c r="F278" s="651"/>
      <c r="G278" s="651"/>
      <c r="H278" s="651"/>
      <c r="I278" s="651"/>
      <c r="J278" s="651"/>
      <c r="K278" s="651"/>
      <c r="L278" s="651"/>
      <c r="M278" s="651"/>
      <c r="N278" s="651"/>
      <c r="O278" s="652"/>
      <c r="P278" s="648" t="s">
        <v>40</v>
      </c>
      <c r="Q278" s="649"/>
      <c r="R278" s="649"/>
      <c r="S278" s="649"/>
      <c r="T278" s="649"/>
      <c r="U278" s="649"/>
      <c r="V278" s="650"/>
      <c r="W278" s="42" t="s">
        <v>39</v>
      </c>
      <c r="X278" s="43">
        <f>IFERROR(X273/H273,"0")+IFERROR(X274/H274,"0")+IFERROR(X275/H275,"0")+IFERROR(X276/H276,"0")+IFERROR(X277/H277,"0")</f>
        <v>0</v>
      </c>
      <c r="Y278" s="43">
        <f>IFERROR(Y273/H273,"0")+IFERROR(Y274/H274,"0")+IFERROR(Y275/H275,"0")+IFERROR(Y276/H276,"0")+IFERROR(Y277/H277,"0")</f>
        <v>0</v>
      </c>
      <c r="Z278" s="43">
        <f>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x14ac:dyDescent="0.2">
      <c r="A279" s="651"/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2"/>
      <c r="P279" s="648" t="s">
        <v>40</v>
      </c>
      <c r="Q279" s="649"/>
      <c r="R279" s="649"/>
      <c r="S279" s="649"/>
      <c r="T279" s="649"/>
      <c r="U279" s="649"/>
      <c r="V279" s="650"/>
      <c r="W279" s="42" t="s">
        <v>0</v>
      </c>
      <c r="X279" s="43">
        <f>IFERROR(SUM(X273:X277),"0")</f>
        <v>0</v>
      </c>
      <c r="Y279" s="43">
        <f>IFERROR(SUM(Y273:Y277),"0")</f>
        <v>0</v>
      </c>
      <c r="Z279" s="42"/>
      <c r="AA279" s="67"/>
      <c r="AB279" s="67"/>
      <c r="AC279" s="67"/>
    </row>
    <row r="280" spans="1:68" ht="16.5" customHeight="1" x14ac:dyDescent="0.25">
      <c r="A280" s="641" t="s">
        <v>469</v>
      </c>
      <c r="B280" s="641"/>
      <c r="C280" s="641"/>
      <c r="D280" s="641"/>
      <c r="E280" s="641"/>
      <c r="F280" s="641"/>
      <c r="G280" s="641"/>
      <c r="H280" s="641"/>
      <c r="I280" s="641"/>
      <c r="J280" s="641"/>
      <c r="K280" s="641"/>
      <c r="L280" s="641"/>
      <c r="M280" s="641"/>
      <c r="N280" s="641"/>
      <c r="O280" s="641"/>
      <c r="P280" s="641"/>
      <c r="Q280" s="641"/>
      <c r="R280" s="641"/>
      <c r="S280" s="641"/>
      <c r="T280" s="641"/>
      <c r="U280" s="641"/>
      <c r="V280" s="641"/>
      <c r="W280" s="641"/>
      <c r="X280" s="641"/>
      <c r="Y280" s="641"/>
      <c r="Z280" s="641"/>
      <c r="AA280" s="65"/>
      <c r="AB280" s="65"/>
      <c r="AC280" s="79"/>
    </row>
    <row r="281" spans="1:68" ht="14.25" customHeight="1" x14ac:dyDescent="0.25">
      <c r="A281" s="642" t="s">
        <v>122</v>
      </c>
      <c r="B281" s="642"/>
      <c r="C281" s="642"/>
      <c r="D281" s="642"/>
      <c r="E281" s="642"/>
      <c r="F281" s="642"/>
      <c r="G281" s="642"/>
      <c r="H281" s="642"/>
      <c r="I281" s="642"/>
      <c r="J281" s="642"/>
      <c r="K281" s="642"/>
      <c r="L281" s="642"/>
      <c r="M281" s="642"/>
      <c r="N281" s="642"/>
      <c r="O281" s="642"/>
      <c r="P281" s="642"/>
      <c r="Q281" s="642"/>
      <c r="R281" s="642"/>
      <c r="S281" s="642"/>
      <c r="T281" s="642"/>
      <c r="U281" s="642"/>
      <c r="V281" s="642"/>
      <c r="W281" s="642"/>
      <c r="X281" s="642"/>
      <c r="Y281" s="642"/>
      <c r="Z281" s="642"/>
      <c r="AA281" s="66"/>
      <c r="AB281" s="66"/>
      <c r="AC281" s="80"/>
    </row>
    <row r="282" spans="1:68" ht="27" customHeight="1" x14ac:dyDescent="0.25">
      <c r="A282" s="63" t="s">
        <v>470</v>
      </c>
      <c r="B282" s="63" t="s">
        <v>471</v>
      </c>
      <c r="C282" s="36">
        <v>4301011223</v>
      </c>
      <c r="D282" s="643">
        <v>4607091383423</v>
      </c>
      <c r="E282" s="643"/>
      <c r="F282" s="62">
        <v>1.35</v>
      </c>
      <c r="G282" s="37">
        <v>8</v>
      </c>
      <c r="H282" s="62">
        <v>10.8</v>
      </c>
      <c r="I282" s="62">
        <v>11.305999999999999</v>
      </c>
      <c r="J282" s="37">
        <v>64</v>
      </c>
      <c r="K282" s="37" t="s">
        <v>127</v>
      </c>
      <c r="L282" s="37" t="s">
        <v>46</v>
      </c>
      <c r="M282" s="38" t="s">
        <v>91</v>
      </c>
      <c r="N282" s="38"/>
      <c r="O282" s="37">
        <v>35</v>
      </c>
      <c r="P282" s="7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2" s="645"/>
      <c r="R282" s="645"/>
      <c r="S282" s="645"/>
      <c r="T282" s="646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54" t="s">
        <v>125</v>
      </c>
      <c r="AG282" s="78"/>
      <c r="AJ282" s="84" t="s">
        <v>46</v>
      </c>
      <c r="AK282" s="84">
        <v>0</v>
      </c>
      <c r="BB282" s="355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ht="37.5" customHeight="1" x14ac:dyDescent="0.25">
      <c r="A283" s="63" t="s">
        <v>472</v>
      </c>
      <c r="B283" s="63" t="s">
        <v>473</v>
      </c>
      <c r="C283" s="36">
        <v>4301012199</v>
      </c>
      <c r="D283" s="643">
        <v>4680115886957</v>
      </c>
      <c r="E283" s="643"/>
      <c r="F283" s="62">
        <v>1.35</v>
      </c>
      <c r="G283" s="37">
        <v>8</v>
      </c>
      <c r="H283" s="62">
        <v>10.8</v>
      </c>
      <c r="I283" s="62">
        <v>11.21</v>
      </c>
      <c r="J283" s="37">
        <v>64</v>
      </c>
      <c r="K283" s="37" t="s">
        <v>127</v>
      </c>
      <c r="L283" s="37" t="s">
        <v>46</v>
      </c>
      <c r="M283" s="38" t="s">
        <v>91</v>
      </c>
      <c r="N283" s="38"/>
      <c r="O283" s="37">
        <v>30</v>
      </c>
      <c r="P283" s="78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3" s="645"/>
      <c r="R283" s="645"/>
      <c r="S283" s="645"/>
      <c r="T283" s="646"/>
      <c r="U283" s="39" t="s">
        <v>46</v>
      </c>
      <c r="V283" s="39" t="s">
        <v>46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56" t="s">
        <v>474</v>
      </c>
      <c r="AG283" s="78"/>
      <c r="AJ283" s="84" t="s">
        <v>46</v>
      </c>
      <c r="AK283" s="84">
        <v>0</v>
      </c>
      <c r="BB283" s="357" t="s">
        <v>67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475</v>
      </c>
      <c r="B284" s="63" t="s">
        <v>476</v>
      </c>
      <c r="C284" s="36">
        <v>4301012098</v>
      </c>
      <c r="D284" s="643">
        <v>4680115885660</v>
      </c>
      <c r="E284" s="643"/>
      <c r="F284" s="62">
        <v>1.35</v>
      </c>
      <c r="G284" s="37">
        <v>8</v>
      </c>
      <c r="H284" s="62">
        <v>10.8</v>
      </c>
      <c r="I284" s="62">
        <v>11.21</v>
      </c>
      <c r="J284" s="37">
        <v>64</v>
      </c>
      <c r="K284" s="37" t="s">
        <v>127</v>
      </c>
      <c r="L284" s="37" t="s">
        <v>46</v>
      </c>
      <c r="M284" s="38" t="s">
        <v>91</v>
      </c>
      <c r="N284" s="38"/>
      <c r="O284" s="37">
        <v>35</v>
      </c>
      <c r="P284" s="78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4" s="645"/>
      <c r="R284" s="645"/>
      <c r="S284" s="645"/>
      <c r="T284" s="646"/>
      <c r="U284" s="39" t="s">
        <v>46</v>
      </c>
      <c r="V284" s="39" t="s">
        <v>46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58" t="s">
        <v>423</v>
      </c>
      <c r="AG284" s="78"/>
      <c r="AJ284" s="84" t="s">
        <v>46</v>
      </c>
      <c r="AK284" s="84">
        <v>0</v>
      </c>
      <c r="BB284" s="359" t="s">
        <v>67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customHeight="1" x14ac:dyDescent="0.25">
      <c r="A285" s="63" t="s">
        <v>477</v>
      </c>
      <c r="B285" s="63" t="s">
        <v>478</v>
      </c>
      <c r="C285" s="36">
        <v>4301012176</v>
      </c>
      <c r="D285" s="643">
        <v>4680115886773</v>
      </c>
      <c r="E285" s="643"/>
      <c r="F285" s="62">
        <v>0.9</v>
      </c>
      <c r="G285" s="37">
        <v>10</v>
      </c>
      <c r="H285" s="62">
        <v>9</v>
      </c>
      <c r="I285" s="62">
        <v>9.41</v>
      </c>
      <c r="J285" s="37">
        <v>64</v>
      </c>
      <c r="K285" s="37" t="s">
        <v>127</v>
      </c>
      <c r="L285" s="37" t="s">
        <v>46</v>
      </c>
      <c r="M285" s="38" t="s">
        <v>126</v>
      </c>
      <c r="N285" s="38"/>
      <c r="O285" s="37">
        <v>31</v>
      </c>
      <c r="P285" s="78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5" s="645"/>
      <c r="R285" s="645"/>
      <c r="S285" s="645"/>
      <c r="T285" s="646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60" t="s">
        <v>479</v>
      </c>
      <c r="AG285" s="78"/>
      <c r="AJ285" s="84" t="s">
        <v>46</v>
      </c>
      <c r="AK285" s="84">
        <v>0</v>
      </c>
      <c r="BB285" s="361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51"/>
      <c r="B286" s="651"/>
      <c r="C286" s="651"/>
      <c r="D286" s="651"/>
      <c r="E286" s="651"/>
      <c r="F286" s="651"/>
      <c r="G286" s="651"/>
      <c r="H286" s="651"/>
      <c r="I286" s="651"/>
      <c r="J286" s="651"/>
      <c r="K286" s="651"/>
      <c r="L286" s="651"/>
      <c r="M286" s="651"/>
      <c r="N286" s="651"/>
      <c r="O286" s="652"/>
      <c r="P286" s="648" t="s">
        <v>40</v>
      </c>
      <c r="Q286" s="649"/>
      <c r="R286" s="649"/>
      <c r="S286" s="649"/>
      <c r="T286" s="649"/>
      <c r="U286" s="649"/>
      <c r="V286" s="650"/>
      <c r="W286" s="42" t="s">
        <v>39</v>
      </c>
      <c r="X286" s="43">
        <f>IFERROR(X282/H282,"0")+IFERROR(X283/H283,"0")+IFERROR(X284/H284,"0")+IFERROR(X285/H285,"0")</f>
        <v>0</v>
      </c>
      <c r="Y286" s="43">
        <f>IFERROR(Y282/H282,"0")+IFERROR(Y283/H283,"0")+IFERROR(Y284/H284,"0")+IFERROR(Y285/H285,"0")</f>
        <v>0</v>
      </c>
      <c r="Z286" s="43">
        <f>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x14ac:dyDescent="0.2">
      <c r="A287" s="651"/>
      <c r="B287" s="651"/>
      <c r="C287" s="651"/>
      <c r="D287" s="651"/>
      <c r="E287" s="651"/>
      <c r="F287" s="651"/>
      <c r="G287" s="651"/>
      <c r="H287" s="651"/>
      <c r="I287" s="651"/>
      <c r="J287" s="651"/>
      <c r="K287" s="651"/>
      <c r="L287" s="651"/>
      <c r="M287" s="651"/>
      <c r="N287" s="651"/>
      <c r="O287" s="652"/>
      <c r="P287" s="648" t="s">
        <v>40</v>
      </c>
      <c r="Q287" s="649"/>
      <c r="R287" s="649"/>
      <c r="S287" s="649"/>
      <c r="T287" s="649"/>
      <c r="U287" s="649"/>
      <c r="V287" s="650"/>
      <c r="W287" s="42" t="s">
        <v>0</v>
      </c>
      <c r="X287" s="43">
        <f>IFERROR(SUM(X282:X285),"0")</f>
        <v>0</v>
      </c>
      <c r="Y287" s="43">
        <f>IFERROR(SUM(Y282:Y285),"0")</f>
        <v>0</v>
      </c>
      <c r="Z287" s="42"/>
      <c r="AA287" s="67"/>
      <c r="AB287" s="67"/>
      <c r="AC287" s="67"/>
    </row>
    <row r="288" spans="1:68" ht="16.5" customHeight="1" x14ac:dyDescent="0.25">
      <c r="A288" s="641" t="s">
        <v>480</v>
      </c>
      <c r="B288" s="641"/>
      <c r="C288" s="641"/>
      <c r="D288" s="641"/>
      <c r="E288" s="641"/>
      <c r="F288" s="641"/>
      <c r="G288" s="641"/>
      <c r="H288" s="641"/>
      <c r="I288" s="641"/>
      <c r="J288" s="641"/>
      <c r="K288" s="641"/>
      <c r="L288" s="641"/>
      <c r="M288" s="641"/>
      <c r="N288" s="641"/>
      <c r="O288" s="641"/>
      <c r="P288" s="641"/>
      <c r="Q288" s="641"/>
      <c r="R288" s="641"/>
      <c r="S288" s="641"/>
      <c r="T288" s="641"/>
      <c r="U288" s="641"/>
      <c r="V288" s="641"/>
      <c r="W288" s="641"/>
      <c r="X288" s="641"/>
      <c r="Y288" s="641"/>
      <c r="Z288" s="641"/>
      <c r="AA288" s="65"/>
      <c r="AB288" s="65"/>
      <c r="AC288" s="79"/>
    </row>
    <row r="289" spans="1:68" ht="14.25" customHeight="1" x14ac:dyDescent="0.25">
      <c r="A289" s="642" t="s">
        <v>87</v>
      </c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42"/>
      <c r="P289" s="642"/>
      <c r="Q289" s="642"/>
      <c r="R289" s="642"/>
      <c r="S289" s="642"/>
      <c r="T289" s="642"/>
      <c r="U289" s="642"/>
      <c r="V289" s="642"/>
      <c r="W289" s="642"/>
      <c r="X289" s="642"/>
      <c r="Y289" s="642"/>
      <c r="Z289" s="642"/>
      <c r="AA289" s="66"/>
      <c r="AB289" s="66"/>
      <c r="AC289" s="80"/>
    </row>
    <row r="290" spans="1:68" ht="27" customHeight="1" x14ac:dyDescent="0.25">
      <c r="A290" s="63" t="s">
        <v>481</v>
      </c>
      <c r="B290" s="63" t="s">
        <v>482</v>
      </c>
      <c r="C290" s="36">
        <v>4301051893</v>
      </c>
      <c r="D290" s="643">
        <v>4680115886186</v>
      </c>
      <c r="E290" s="643"/>
      <c r="F290" s="62">
        <v>0.3</v>
      </c>
      <c r="G290" s="37">
        <v>6</v>
      </c>
      <c r="H290" s="62">
        <v>1.8</v>
      </c>
      <c r="I290" s="62">
        <v>1.98</v>
      </c>
      <c r="J290" s="37">
        <v>182</v>
      </c>
      <c r="K290" s="37" t="s">
        <v>82</v>
      </c>
      <c r="L290" s="37" t="s">
        <v>46</v>
      </c>
      <c r="M290" s="38" t="s">
        <v>91</v>
      </c>
      <c r="N290" s="38"/>
      <c r="O290" s="37">
        <v>45</v>
      </c>
      <c r="P290" s="7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0" s="645"/>
      <c r="R290" s="645"/>
      <c r="S290" s="645"/>
      <c r="T290" s="64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62" t="s">
        <v>483</v>
      </c>
      <c r="AG290" s="78"/>
      <c r="AJ290" s="84" t="s">
        <v>46</v>
      </c>
      <c r="AK290" s="84">
        <v>0</v>
      </c>
      <c r="BB290" s="363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484</v>
      </c>
      <c r="B291" s="63" t="s">
        <v>485</v>
      </c>
      <c r="C291" s="36">
        <v>4301051795</v>
      </c>
      <c r="D291" s="643">
        <v>4680115881228</v>
      </c>
      <c r="E291" s="64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82</v>
      </c>
      <c r="L291" s="37" t="s">
        <v>46</v>
      </c>
      <c r="M291" s="38" t="s">
        <v>97</v>
      </c>
      <c r="N291" s="38"/>
      <c r="O291" s="37">
        <v>40</v>
      </c>
      <c r="P291" s="7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1" s="645"/>
      <c r="R291" s="645"/>
      <c r="S291" s="645"/>
      <c r="T291" s="64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64" t="s">
        <v>486</v>
      </c>
      <c r="AG291" s="78"/>
      <c r="AJ291" s="84" t="s">
        <v>46</v>
      </c>
      <c r="AK291" s="84">
        <v>0</v>
      </c>
      <c r="BB291" s="365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487</v>
      </c>
      <c r="B292" s="63" t="s">
        <v>488</v>
      </c>
      <c r="C292" s="36">
        <v>4301051388</v>
      </c>
      <c r="D292" s="643">
        <v>4680115881211</v>
      </c>
      <c r="E292" s="643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82</v>
      </c>
      <c r="L292" s="37" t="s">
        <v>46</v>
      </c>
      <c r="M292" s="38" t="s">
        <v>91</v>
      </c>
      <c r="N292" s="38"/>
      <c r="O292" s="37">
        <v>45</v>
      </c>
      <c r="P292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2" s="645"/>
      <c r="R292" s="645"/>
      <c r="S292" s="645"/>
      <c r="T292" s="64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66" t="s">
        <v>483</v>
      </c>
      <c r="AG292" s="78"/>
      <c r="AJ292" s="84" t="s">
        <v>46</v>
      </c>
      <c r="AK292" s="84">
        <v>0</v>
      </c>
      <c r="BB292" s="367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51"/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2"/>
      <c r="P293" s="648" t="s">
        <v>40</v>
      </c>
      <c r="Q293" s="649"/>
      <c r="R293" s="649"/>
      <c r="S293" s="649"/>
      <c r="T293" s="649"/>
      <c r="U293" s="649"/>
      <c r="V293" s="650"/>
      <c r="W293" s="42" t="s">
        <v>39</v>
      </c>
      <c r="X293" s="43">
        <f>IFERROR(X290/H290,"0")+IFERROR(X291/H291,"0")+IFERROR(X292/H292,"0")</f>
        <v>0</v>
      </c>
      <c r="Y293" s="43">
        <f>IFERROR(Y290/H290,"0")+IFERROR(Y291/H291,"0")+IFERROR(Y292/H292,"0")</f>
        <v>0</v>
      </c>
      <c r="Z293" s="43">
        <f>IFERROR(IF(Z290="",0,Z290),"0")+IFERROR(IF(Z291="",0,Z291),"0")+IFERROR(IF(Z292="",0,Z292),"0")</f>
        <v>0</v>
      </c>
      <c r="AA293" s="67"/>
      <c r="AB293" s="67"/>
      <c r="AC293" s="67"/>
    </row>
    <row r="294" spans="1:68" x14ac:dyDescent="0.2">
      <c r="A294" s="651"/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2"/>
      <c r="P294" s="648" t="s">
        <v>40</v>
      </c>
      <c r="Q294" s="649"/>
      <c r="R294" s="649"/>
      <c r="S294" s="649"/>
      <c r="T294" s="649"/>
      <c r="U294" s="649"/>
      <c r="V294" s="650"/>
      <c r="W294" s="42" t="s">
        <v>0</v>
      </c>
      <c r="X294" s="43">
        <f>IFERROR(SUM(X290:X292),"0")</f>
        <v>0</v>
      </c>
      <c r="Y294" s="43">
        <f>IFERROR(SUM(Y290:Y292),"0")</f>
        <v>0</v>
      </c>
      <c r="Z294" s="42"/>
      <c r="AA294" s="67"/>
      <c r="AB294" s="67"/>
      <c r="AC294" s="67"/>
    </row>
    <row r="295" spans="1:68" ht="16.5" customHeight="1" x14ac:dyDescent="0.25">
      <c r="A295" s="641" t="s">
        <v>489</v>
      </c>
      <c r="B295" s="641"/>
      <c r="C295" s="641"/>
      <c r="D295" s="641"/>
      <c r="E295" s="641"/>
      <c r="F295" s="641"/>
      <c r="G295" s="641"/>
      <c r="H295" s="641"/>
      <c r="I295" s="641"/>
      <c r="J295" s="641"/>
      <c r="K295" s="641"/>
      <c r="L295" s="641"/>
      <c r="M295" s="641"/>
      <c r="N295" s="641"/>
      <c r="O295" s="641"/>
      <c r="P295" s="641"/>
      <c r="Q295" s="641"/>
      <c r="R295" s="641"/>
      <c r="S295" s="641"/>
      <c r="T295" s="641"/>
      <c r="U295" s="641"/>
      <c r="V295" s="641"/>
      <c r="W295" s="641"/>
      <c r="X295" s="641"/>
      <c r="Y295" s="641"/>
      <c r="Z295" s="641"/>
      <c r="AA295" s="65"/>
      <c r="AB295" s="65"/>
      <c r="AC295" s="79"/>
    </row>
    <row r="296" spans="1:68" ht="14.25" customHeight="1" x14ac:dyDescent="0.25">
      <c r="A296" s="642" t="s">
        <v>77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6"/>
      <c r="AB296" s="66"/>
      <c r="AC296" s="80"/>
    </row>
    <row r="297" spans="1:68" ht="27" customHeight="1" x14ac:dyDescent="0.25">
      <c r="A297" s="63" t="s">
        <v>490</v>
      </c>
      <c r="B297" s="63" t="s">
        <v>491</v>
      </c>
      <c r="C297" s="36">
        <v>4301031445</v>
      </c>
      <c r="D297" s="643">
        <v>4680115888319</v>
      </c>
      <c r="E297" s="643"/>
      <c r="F297" s="62">
        <v>0.35</v>
      </c>
      <c r="G297" s="37">
        <v>6</v>
      </c>
      <c r="H297" s="62">
        <v>2.1</v>
      </c>
      <c r="I297" s="62">
        <v>2.23</v>
      </c>
      <c r="J297" s="37">
        <v>234</v>
      </c>
      <c r="K297" s="37" t="s">
        <v>86</v>
      </c>
      <c r="L297" s="37" t="s">
        <v>46</v>
      </c>
      <c r="M297" s="38" t="s">
        <v>81</v>
      </c>
      <c r="N297" s="38"/>
      <c r="O297" s="37">
        <v>45</v>
      </c>
      <c r="P297" s="792" t="s">
        <v>492</v>
      </c>
      <c r="Q297" s="645"/>
      <c r="R297" s="645"/>
      <c r="S297" s="645"/>
      <c r="T297" s="64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68" t="s">
        <v>323</v>
      </c>
      <c r="AG297" s="78"/>
      <c r="AJ297" s="84" t="s">
        <v>46</v>
      </c>
      <c r="AK297" s="84">
        <v>0</v>
      </c>
      <c r="BB297" s="36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493</v>
      </c>
      <c r="B298" s="63" t="s">
        <v>494</v>
      </c>
      <c r="C298" s="36">
        <v>4301031424</v>
      </c>
      <c r="D298" s="643">
        <v>4680115884700</v>
      </c>
      <c r="E298" s="643"/>
      <c r="F298" s="62">
        <v>0.57999999999999996</v>
      </c>
      <c r="G298" s="37">
        <v>4</v>
      </c>
      <c r="H298" s="62">
        <v>2.3199999999999998</v>
      </c>
      <c r="I298" s="62">
        <v>2.42</v>
      </c>
      <c r="J298" s="37">
        <v>234</v>
      </c>
      <c r="K298" s="37" t="s">
        <v>86</v>
      </c>
      <c r="L298" s="37" t="s">
        <v>46</v>
      </c>
      <c r="M298" s="38" t="s">
        <v>81</v>
      </c>
      <c r="N298" s="38"/>
      <c r="O298" s="37">
        <v>40</v>
      </c>
      <c r="P298" s="793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298" s="645"/>
      <c r="R298" s="645"/>
      <c r="S298" s="645"/>
      <c r="T298" s="64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IFERROR(IF(Y298=0,"",ROUNDUP(Y298/H298,0)*0.00502),"")</f>
        <v/>
      </c>
      <c r="AA298" s="68" t="s">
        <v>46</v>
      </c>
      <c r="AB298" s="69" t="s">
        <v>46</v>
      </c>
      <c r="AC298" s="370" t="s">
        <v>495</v>
      </c>
      <c r="AG298" s="78"/>
      <c r="AJ298" s="84" t="s">
        <v>46</v>
      </c>
      <c r="AK298" s="84">
        <v>0</v>
      </c>
      <c r="BB298" s="37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496</v>
      </c>
      <c r="B299" s="63" t="s">
        <v>497</v>
      </c>
      <c r="C299" s="36">
        <v>4301031307</v>
      </c>
      <c r="D299" s="643">
        <v>4680115880344</v>
      </c>
      <c r="E299" s="643"/>
      <c r="F299" s="62">
        <v>0.28000000000000003</v>
      </c>
      <c r="G299" s="37">
        <v>6</v>
      </c>
      <c r="H299" s="62">
        <v>1.68</v>
      </c>
      <c r="I299" s="62">
        <v>1.78</v>
      </c>
      <c r="J299" s="37">
        <v>234</v>
      </c>
      <c r="K299" s="37" t="s">
        <v>86</v>
      </c>
      <c r="L299" s="37" t="s">
        <v>46</v>
      </c>
      <c r="M299" s="38" t="s">
        <v>81</v>
      </c>
      <c r="N299" s="38"/>
      <c r="O299" s="37">
        <v>40</v>
      </c>
      <c r="P299" s="7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9" s="645"/>
      <c r="R299" s="645"/>
      <c r="S299" s="645"/>
      <c r="T299" s="646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IFERROR(IF(Y299=0,"",ROUNDUP(Y299/H299,0)*0.00502),"")</f>
        <v/>
      </c>
      <c r="AA299" s="68" t="s">
        <v>46</v>
      </c>
      <c r="AB299" s="69" t="s">
        <v>46</v>
      </c>
      <c r="AC299" s="372" t="s">
        <v>498</v>
      </c>
      <c r="AG299" s="78"/>
      <c r="AJ299" s="84" t="s">
        <v>46</v>
      </c>
      <c r="AK299" s="84">
        <v>0</v>
      </c>
      <c r="BB299" s="37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499</v>
      </c>
      <c r="B300" s="63" t="s">
        <v>500</v>
      </c>
      <c r="C300" s="36">
        <v>4301031429</v>
      </c>
      <c r="D300" s="643">
        <v>4680115886919</v>
      </c>
      <c r="E300" s="64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82</v>
      </c>
      <c r="L300" s="37" t="s">
        <v>46</v>
      </c>
      <c r="M300" s="38" t="s">
        <v>81</v>
      </c>
      <c r="N300" s="38"/>
      <c r="O300" s="37">
        <v>40</v>
      </c>
      <c r="P300" s="79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0" s="645"/>
      <c r="R300" s="645"/>
      <c r="S300" s="645"/>
      <c r="T300" s="646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74" t="s">
        <v>501</v>
      </c>
      <c r="AG300" s="78"/>
      <c r="AJ300" s="84" t="s">
        <v>46</v>
      </c>
      <c r="AK300" s="84">
        <v>0</v>
      </c>
      <c r="BB300" s="37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51"/>
      <c r="B301" s="651"/>
      <c r="C301" s="651"/>
      <c r="D301" s="651"/>
      <c r="E301" s="651"/>
      <c r="F301" s="651"/>
      <c r="G301" s="651"/>
      <c r="H301" s="651"/>
      <c r="I301" s="651"/>
      <c r="J301" s="651"/>
      <c r="K301" s="651"/>
      <c r="L301" s="651"/>
      <c r="M301" s="651"/>
      <c r="N301" s="651"/>
      <c r="O301" s="652"/>
      <c r="P301" s="648" t="s">
        <v>40</v>
      </c>
      <c r="Q301" s="649"/>
      <c r="R301" s="649"/>
      <c r="S301" s="649"/>
      <c r="T301" s="649"/>
      <c r="U301" s="649"/>
      <c r="V301" s="650"/>
      <c r="W301" s="42" t="s">
        <v>39</v>
      </c>
      <c r="X301" s="43">
        <f>IFERROR(X297/H297,"0")+IFERROR(X298/H298,"0")+IFERROR(X299/H299,"0")+IFERROR(X300/H300,"0")</f>
        <v>0</v>
      </c>
      <c r="Y301" s="43">
        <f>IFERROR(Y297/H297,"0")+IFERROR(Y298/H298,"0")+IFERROR(Y299/H299,"0")+IFERROR(Y300/H300,"0")</f>
        <v>0</v>
      </c>
      <c r="Z301" s="43">
        <f>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651"/>
      <c r="B302" s="651"/>
      <c r="C302" s="651"/>
      <c r="D302" s="651"/>
      <c r="E302" s="651"/>
      <c r="F302" s="651"/>
      <c r="G302" s="651"/>
      <c r="H302" s="651"/>
      <c r="I302" s="651"/>
      <c r="J302" s="651"/>
      <c r="K302" s="651"/>
      <c r="L302" s="651"/>
      <c r="M302" s="651"/>
      <c r="N302" s="651"/>
      <c r="O302" s="652"/>
      <c r="P302" s="648" t="s">
        <v>40</v>
      </c>
      <c r="Q302" s="649"/>
      <c r="R302" s="649"/>
      <c r="S302" s="649"/>
      <c r="T302" s="649"/>
      <c r="U302" s="649"/>
      <c r="V302" s="650"/>
      <c r="W302" s="42" t="s">
        <v>0</v>
      </c>
      <c r="X302" s="43">
        <f>IFERROR(SUM(X297:X300),"0")</f>
        <v>0</v>
      </c>
      <c r="Y302" s="43">
        <f>IFERROR(SUM(Y297:Y300),"0")</f>
        <v>0</v>
      </c>
      <c r="Z302" s="42"/>
      <c r="AA302" s="67"/>
      <c r="AB302" s="67"/>
      <c r="AC302" s="67"/>
    </row>
    <row r="303" spans="1:68" ht="14.25" customHeight="1" x14ac:dyDescent="0.25">
      <c r="A303" s="642" t="s">
        <v>87</v>
      </c>
      <c r="B303" s="642"/>
      <c r="C303" s="642"/>
      <c r="D303" s="642"/>
      <c r="E303" s="642"/>
      <c r="F303" s="642"/>
      <c r="G303" s="642"/>
      <c r="H303" s="642"/>
      <c r="I303" s="642"/>
      <c r="J303" s="642"/>
      <c r="K303" s="642"/>
      <c r="L303" s="642"/>
      <c r="M303" s="642"/>
      <c r="N303" s="642"/>
      <c r="O303" s="642"/>
      <c r="P303" s="642"/>
      <c r="Q303" s="642"/>
      <c r="R303" s="642"/>
      <c r="S303" s="642"/>
      <c r="T303" s="642"/>
      <c r="U303" s="642"/>
      <c r="V303" s="642"/>
      <c r="W303" s="642"/>
      <c r="X303" s="642"/>
      <c r="Y303" s="642"/>
      <c r="Z303" s="642"/>
      <c r="AA303" s="66"/>
      <c r="AB303" s="66"/>
      <c r="AC303" s="80"/>
    </row>
    <row r="304" spans="1:68" ht="37.5" customHeight="1" x14ac:dyDescent="0.25">
      <c r="A304" s="63" t="s">
        <v>502</v>
      </c>
      <c r="B304" s="63" t="s">
        <v>503</v>
      </c>
      <c r="C304" s="36">
        <v>4301051782</v>
      </c>
      <c r="D304" s="643">
        <v>4680115884618</v>
      </c>
      <c r="E304" s="643"/>
      <c r="F304" s="62">
        <v>0.6</v>
      </c>
      <c r="G304" s="37">
        <v>6</v>
      </c>
      <c r="H304" s="62">
        <v>3.6</v>
      </c>
      <c r="I304" s="62">
        <v>3.79</v>
      </c>
      <c r="J304" s="37">
        <v>132</v>
      </c>
      <c r="K304" s="37" t="s">
        <v>134</v>
      </c>
      <c r="L304" s="37" t="s">
        <v>46</v>
      </c>
      <c r="M304" s="38" t="s">
        <v>91</v>
      </c>
      <c r="N304" s="38"/>
      <c r="O304" s="37">
        <v>45</v>
      </c>
      <c r="P304" s="7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4" s="645"/>
      <c r="R304" s="645"/>
      <c r="S304" s="645"/>
      <c r="T304" s="646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76" t="s">
        <v>504</v>
      </c>
      <c r="AG304" s="78"/>
      <c r="AJ304" s="84" t="s">
        <v>46</v>
      </c>
      <c r="AK304" s="84">
        <v>0</v>
      </c>
      <c r="BB304" s="37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customHeight="1" x14ac:dyDescent="0.25">
      <c r="A305" s="63" t="s">
        <v>505</v>
      </c>
      <c r="B305" s="63" t="s">
        <v>506</v>
      </c>
      <c r="C305" s="36">
        <v>4301052057</v>
      </c>
      <c r="D305" s="643">
        <v>4680115887114</v>
      </c>
      <c r="E305" s="643"/>
      <c r="F305" s="62">
        <v>0.55000000000000004</v>
      </c>
      <c r="G305" s="37">
        <v>6</v>
      </c>
      <c r="H305" s="62">
        <v>3.3</v>
      </c>
      <c r="I305" s="62">
        <v>3.49</v>
      </c>
      <c r="J305" s="37">
        <v>132</v>
      </c>
      <c r="K305" s="37" t="s">
        <v>134</v>
      </c>
      <c r="L305" s="37" t="s">
        <v>46</v>
      </c>
      <c r="M305" s="38" t="s">
        <v>91</v>
      </c>
      <c r="N305" s="38"/>
      <c r="O305" s="37">
        <v>45</v>
      </c>
      <c r="P305" s="7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5" s="645"/>
      <c r="R305" s="645"/>
      <c r="S305" s="645"/>
      <c r="T305" s="64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378" t="s">
        <v>507</v>
      </c>
      <c r="AG305" s="78"/>
      <c r="AJ305" s="84" t="s">
        <v>46</v>
      </c>
      <c r="AK305" s="84">
        <v>0</v>
      </c>
      <c r="BB305" s="37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IFERROR(X304/H304,"0")+IFERROR(X305/H305,"0")</f>
        <v>0</v>
      </c>
      <c r="Y306" s="43">
        <f>IFERROR(Y304/H304,"0")+IFERROR(Y305/H305,"0")</f>
        <v>0</v>
      </c>
      <c r="Z306" s="43">
        <f>IFERROR(IF(Z304="",0,Z304),"0")+IFERROR(IF(Z305="",0,Z305),"0")</f>
        <v>0</v>
      </c>
      <c r="AA306" s="67"/>
      <c r="AB306" s="67"/>
      <c r="AC306" s="67"/>
    </row>
    <row r="307" spans="1:68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IFERROR(SUM(X304:X305),"0")</f>
        <v>0</v>
      </c>
      <c r="Y307" s="43">
        <f>IFERROR(SUM(Y304:Y305),"0")</f>
        <v>0</v>
      </c>
      <c r="Z307" s="42"/>
      <c r="AA307" s="67"/>
      <c r="AB307" s="67"/>
      <c r="AC307" s="67"/>
    </row>
    <row r="308" spans="1:68" ht="16.5" customHeight="1" x14ac:dyDescent="0.25">
      <c r="A308" s="641" t="s">
        <v>508</v>
      </c>
      <c r="B308" s="641"/>
      <c r="C308" s="641"/>
      <c r="D308" s="641"/>
      <c r="E308" s="641"/>
      <c r="F308" s="641"/>
      <c r="G308" s="641"/>
      <c r="H308" s="641"/>
      <c r="I308" s="641"/>
      <c r="J308" s="641"/>
      <c r="K308" s="641"/>
      <c r="L308" s="641"/>
      <c r="M308" s="641"/>
      <c r="N308" s="641"/>
      <c r="O308" s="641"/>
      <c r="P308" s="641"/>
      <c r="Q308" s="641"/>
      <c r="R308" s="641"/>
      <c r="S308" s="641"/>
      <c r="T308" s="641"/>
      <c r="U308" s="641"/>
      <c r="V308" s="641"/>
      <c r="W308" s="641"/>
      <c r="X308" s="641"/>
      <c r="Y308" s="641"/>
      <c r="Z308" s="641"/>
      <c r="AA308" s="65"/>
      <c r="AB308" s="65"/>
      <c r="AC308" s="79"/>
    </row>
    <row r="309" spans="1:68" ht="14.25" customHeight="1" x14ac:dyDescent="0.25">
      <c r="A309" s="642" t="s">
        <v>122</v>
      </c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42"/>
      <c r="P309" s="642"/>
      <c r="Q309" s="642"/>
      <c r="R309" s="642"/>
      <c r="S309" s="642"/>
      <c r="T309" s="642"/>
      <c r="U309" s="642"/>
      <c r="V309" s="642"/>
      <c r="W309" s="642"/>
      <c r="X309" s="642"/>
      <c r="Y309" s="642"/>
      <c r="Z309" s="642"/>
      <c r="AA309" s="66"/>
      <c r="AB309" s="66"/>
      <c r="AC309" s="80"/>
    </row>
    <row r="310" spans="1:68" ht="27" customHeight="1" x14ac:dyDescent="0.25">
      <c r="A310" s="63" t="s">
        <v>509</v>
      </c>
      <c r="B310" s="63" t="s">
        <v>510</v>
      </c>
      <c r="C310" s="36">
        <v>4301012126</v>
      </c>
      <c r="D310" s="643">
        <v>4607091386004</v>
      </c>
      <c r="E310" s="643"/>
      <c r="F310" s="62">
        <v>1.35</v>
      </c>
      <c r="G310" s="37">
        <v>8</v>
      </c>
      <c r="H310" s="62">
        <v>10.8</v>
      </c>
      <c r="I310" s="62">
        <v>11.21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79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0" s="645"/>
      <c r="R310" s="645"/>
      <c r="S310" s="645"/>
      <c r="T310" s="64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ref="Y310:Y317" si="38">IFERROR(IF(X310="",0,CEILING((X310/$H310),1)*$H310),"")</f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380" t="s">
        <v>511</v>
      </c>
      <c r="AG310" s="78"/>
      <c r="AJ310" s="84" t="s">
        <v>46</v>
      </c>
      <c r="AK310" s="84">
        <v>0</v>
      </c>
      <c r="BB310" s="381" t="s">
        <v>67</v>
      </c>
      <c r="BM310" s="78">
        <f t="shared" ref="BM310:BM317" si="39">IFERROR(X310*I310/H310,"0")</f>
        <v>0</v>
      </c>
      <c r="BN310" s="78">
        <f t="shared" ref="BN310:BN317" si="40">IFERROR(Y310*I310/H310,"0")</f>
        <v>0</v>
      </c>
      <c r="BO310" s="78">
        <f t="shared" ref="BO310:BO317" si="41">IFERROR(1/J310*(X310/H310),"0")</f>
        <v>0</v>
      </c>
      <c r="BP310" s="78">
        <f t="shared" ref="BP310:BP317" si="42">IFERROR(1/J310*(Y310/H310),"0")</f>
        <v>0</v>
      </c>
    </row>
    <row r="311" spans="1:68" ht="27" customHeight="1" x14ac:dyDescent="0.25">
      <c r="A311" s="63" t="s">
        <v>512</v>
      </c>
      <c r="B311" s="63" t="s">
        <v>513</v>
      </c>
      <c r="C311" s="36">
        <v>4301012024</v>
      </c>
      <c r="D311" s="643">
        <v>4680115885615</v>
      </c>
      <c r="E311" s="643"/>
      <c r="F311" s="62">
        <v>1.35</v>
      </c>
      <c r="G311" s="37">
        <v>8</v>
      </c>
      <c r="H311" s="62">
        <v>10.8</v>
      </c>
      <c r="I311" s="62">
        <v>11.21</v>
      </c>
      <c r="J311" s="37">
        <v>64</v>
      </c>
      <c r="K311" s="37" t="s">
        <v>127</v>
      </c>
      <c r="L311" s="37" t="s">
        <v>46</v>
      </c>
      <c r="M311" s="38" t="s">
        <v>91</v>
      </c>
      <c r="N311" s="38"/>
      <c r="O311" s="37">
        <v>55</v>
      </c>
      <c r="P311" s="79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1" s="645"/>
      <c r="R311" s="645"/>
      <c r="S311" s="645"/>
      <c r="T311" s="64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38"/>
        <v>0</v>
      </c>
      <c r="Z311" s="41" t="str">
        <f>IFERROR(IF(Y311=0,"",ROUNDUP(Y311/H311,0)*0.01898),"")</f>
        <v/>
      </c>
      <c r="AA311" s="68" t="s">
        <v>46</v>
      </c>
      <c r="AB311" s="69" t="s">
        <v>46</v>
      </c>
      <c r="AC311" s="382" t="s">
        <v>514</v>
      </c>
      <c r="AG311" s="78"/>
      <c r="AJ311" s="84" t="s">
        <v>46</v>
      </c>
      <c r="AK311" s="84">
        <v>0</v>
      </c>
      <c r="BB311" s="383" t="s">
        <v>67</v>
      </c>
      <c r="BM311" s="78">
        <f t="shared" si="39"/>
        <v>0</v>
      </c>
      <c r="BN311" s="78">
        <f t="shared" si="40"/>
        <v>0</v>
      </c>
      <c r="BO311" s="78">
        <f t="shared" si="41"/>
        <v>0</v>
      </c>
      <c r="BP311" s="78">
        <f t="shared" si="42"/>
        <v>0</v>
      </c>
    </row>
    <row r="312" spans="1:68" ht="27" customHeight="1" x14ac:dyDescent="0.25">
      <c r="A312" s="63" t="s">
        <v>515</v>
      </c>
      <c r="B312" s="63" t="s">
        <v>516</v>
      </c>
      <c r="C312" s="36">
        <v>4301012235</v>
      </c>
      <c r="D312" s="643">
        <v>4680115887190</v>
      </c>
      <c r="E312" s="643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127</v>
      </c>
      <c r="L312" s="37" t="s">
        <v>46</v>
      </c>
      <c r="M312" s="38" t="s">
        <v>126</v>
      </c>
      <c r="N312" s="38"/>
      <c r="O312" s="37">
        <v>55</v>
      </c>
      <c r="P312" s="800" t="s">
        <v>517</v>
      </c>
      <c r="Q312" s="645"/>
      <c r="R312" s="645"/>
      <c r="S312" s="645"/>
      <c r="T312" s="64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38"/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84" t="s">
        <v>518</v>
      </c>
      <c r="AG312" s="78"/>
      <c r="AJ312" s="84" t="s">
        <v>46</v>
      </c>
      <c r="AK312" s="84">
        <v>0</v>
      </c>
      <c r="BB312" s="385" t="s">
        <v>67</v>
      </c>
      <c r="BM312" s="78">
        <f t="shared" si="39"/>
        <v>0</v>
      </c>
      <c r="BN312" s="78">
        <f t="shared" si="40"/>
        <v>0</v>
      </c>
      <c r="BO312" s="78">
        <f t="shared" si="41"/>
        <v>0</v>
      </c>
      <c r="BP312" s="78">
        <f t="shared" si="42"/>
        <v>0</v>
      </c>
    </row>
    <row r="313" spans="1:68" ht="37.5" customHeight="1" x14ac:dyDescent="0.25">
      <c r="A313" s="63" t="s">
        <v>519</v>
      </c>
      <c r="B313" s="63" t="s">
        <v>520</v>
      </c>
      <c r="C313" s="36">
        <v>4301012233</v>
      </c>
      <c r="D313" s="643">
        <v>4680115887138</v>
      </c>
      <c r="E313" s="643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127</v>
      </c>
      <c r="L313" s="37" t="s">
        <v>46</v>
      </c>
      <c r="M313" s="38" t="s">
        <v>126</v>
      </c>
      <c r="N313" s="38"/>
      <c r="O313" s="37">
        <v>55</v>
      </c>
      <c r="P313" s="80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13" s="645"/>
      <c r="R313" s="645"/>
      <c r="S313" s="645"/>
      <c r="T313" s="64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38"/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86" t="s">
        <v>521</v>
      </c>
      <c r="AG313" s="78"/>
      <c r="AJ313" s="84" t="s">
        <v>46</v>
      </c>
      <c r="AK313" s="84">
        <v>0</v>
      </c>
      <c r="BB313" s="387" t="s">
        <v>67</v>
      </c>
      <c r="BM313" s="78">
        <f t="shared" si="39"/>
        <v>0</v>
      </c>
      <c r="BN313" s="78">
        <f t="shared" si="40"/>
        <v>0</v>
      </c>
      <c r="BO313" s="78">
        <f t="shared" si="41"/>
        <v>0</v>
      </c>
      <c r="BP313" s="78">
        <f t="shared" si="42"/>
        <v>0</v>
      </c>
    </row>
    <row r="314" spans="1:68" ht="27" customHeight="1" x14ac:dyDescent="0.25">
      <c r="A314" s="63" t="s">
        <v>522</v>
      </c>
      <c r="B314" s="63" t="s">
        <v>523</v>
      </c>
      <c r="C314" s="36">
        <v>4301012016</v>
      </c>
      <c r="D314" s="643">
        <v>4680115885554</v>
      </c>
      <c r="E314" s="643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127</v>
      </c>
      <c r="L314" s="37" t="s">
        <v>46</v>
      </c>
      <c r="M314" s="38" t="s">
        <v>91</v>
      </c>
      <c r="N314" s="38"/>
      <c r="O314" s="37">
        <v>55</v>
      </c>
      <c r="P314" s="80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4" s="645"/>
      <c r="R314" s="645"/>
      <c r="S314" s="645"/>
      <c r="T314" s="64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38"/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88" t="s">
        <v>524</v>
      </c>
      <c r="AG314" s="78"/>
      <c r="AJ314" s="84" t="s">
        <v>46</v>
      </c>
      <c r="AK314" s="84">
        <v>0</v>
      </c>
      <c r="BB314" s="389" t="s">
        <v>67</v>
      </c>
      <c r="BM314" s="78">
        <f t="shared" si="39"/>
        <v>0</v>
      </c>
      <c r="BN314" s="78">
        <f t="shared" si="40"/>
        <v>0</v>
      </c>
      <c r="BO314" s="78">
        <f t="shared" si="41"/>
        <v>0</v>
      </c>
      <c r="BP314" s="78">
        <f t="shared" si="42"/>
        <v>0</v>
      </c>
    </row>
    <row r="315" spans="1:68" ht="27" customHeight="1" x14ac:dyDescent="0.25">
      <c r="A315" s="63" t="s">
        <v>525</v>
      </c>
      <c r="B315" s="63" t="s">
        <v>526</v>
      </c>
      <c r="C315" s="36">
        <v>4301011857</v>
      </c>
      <c r="D315" s="643">
        <v>4680115885622</v>
      </c>
      <c r="E315" s="643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134</v>
      </c>
      <c r="L315" s="37" t="s">
        <v>46</v>
      </c>
      <c r="M315" s="38" t="s">
        <v>126</v>
      </c>
      <c r="N315" s="38"/>
      <c r="O315" s="37">
        <v>55</v>
      </c>
      <c r="P315" s="80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5" s="645"/>
      <c r="R315" s="645"/>
      <c r="S315" s="645"/>
      <c r="T315" s="646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si="38"/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390" t="s">
        <v>514</v>
      </c>
      <c r="AG315" s="78"/>
      <c r="AJ315" s="84" t="s">
        <v>46</v>
      </c>
      <c r="AK315" s="84">
        <v>0</v>
      </c>
      <c r="BB315" s="391" t="s">
        <v>67</v>
      </c>
      <c r="BM315" s="78">
        <f t="shared" si="39"/>
        <v>0</v>
      </c>
      <c r="BN315" s="78">
        <f t="shared" si="40"/>
        <v>0</v>
      </c>
      <c r="BO315" s="78">
        <f t="shared" si="41"/>
        <v>0</v>
      </c>
      <c r="BP315" s="78">
        <f t="shared" si="42"/>
        <v>0</v>
      </c>
    </row>
    <row r="316" spans="1:68" ht="27" customHeight="1" x14ac:dyDescent="0.25">
      <c r="A316" s="63" t="s">
        <v>527</v>
      </c>
      <c r="B316" s="63" t="s">
        <v>528</v>
      </c>
      <c r="C316" s="36">
        <v>4301012236</v>
      </c>
      <c r="D316" s="643">
        <v>4680115887220</v>
      </c>
      <c r="E316" s="643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134</v>
      </c>
      <c r="L316" s="37" t="s">
        <v>46</v>
      </c>
      <c r="M316" s="38" t="s">
        <v>126</v>
      </c>
      <c r="N316" s="38"/>
      <c r="O316" s="37">
        <v>55</v>
      </c>
      <c r="P316" s="804" t="s">
        <v>529</v>
      </c>
      <c r="Q316" s="645"/>
      <c r="R316" s="645"/>
      <c r="S316" s="645"/>
      <c r="T316" s="646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38"/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392" t="s">
        <v>518</v>
      </c>
      <c r="AG316" s="78"/>
      <c r="AJ316" s="84" t="s">
        <v>46</v>
      </c>
      <c r="AK316" s="84">
        <v>0</v>
      </c>
      <c r="BB316" s="393" t="s">
        <v>67</v>
      </c>
      <c r="BM316" s="78">
        <f t="shared" si="39"/>
        <v>0</v>
      </c>
      <c r="BN316" s="78">
        <f t="shared" si="40"/>
        <v>0</v>
      </c>
      <c r="BO316" s="78">
        <f t="shared" si="41"/>
        <v>0</v>
      </c>
      <c r="BP316" s="78">
        <f t="shared" si="42"/>
        <v>0</v>
      </c>
    </row>
    <row r="317" spans="1:68" ht="27" customHeight="1" x14ac:dyDescent="0.25">
      <c r="A317" s="63" t="s">
        <v>530</v>
      </c>
      <c r="B317" s="63" t="s">
        <v>531</v>
      </c>
      <c r="C317" s="36">
        <v>4301011859</v>
      </c>
      <c r="D317" s="643">
        <v>4680115885608</v>
      </c>
      <c r="E317" s="643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134</v>
      </c>
      <c r="L317" s="37" t="s">
        <v>46</v>
      </c>
      <c r="M317" s="38" t="s">
        <v>126</v>
      </c>
      <c r="N317" s="38"/>
      <c r="O317" s="37">
        <v>55</v>
      </c>
      <c r="P317" s="8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17" s="645"/>
      <c r="R317" s="645"/>
      <c r="S317" s="645"/>
      <c r="T317" s="646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38"/>
        <v>0</v>
      </c>
      <c r="Z317" s="41" t="str">
        <f>IFERROR(IF(Y317=0,"",ROUNDUP(Y317/H317,0)*0.00902),"")</f>
        <v/>
      </c>
      <c r="AA317" s="68" t="s">
        <v>46</v>
      </c>
      <c r="AB317" s="69" t="s">
        <v>46</v>
      </c>
      <c r="AC317" s="394" t="s">
        <v>532</v>
      </c>
      <c r="AG317" s="78"/>
      <c r="AJ317" s="84" t="s">
        <v>46</v>
      </c>
      <c r="AK317" s="84">
        <v>0</v>
      </c>
      <c r="BB317" s="395" t="s">
        <v>67</v>
      </c>
      <c r="BM317" s="78">
        <f t="shared" si="39"/>
        <v>0</v>
      </c>
      <c r="BN317" s="78">
        <f t="shared" si="40"/>
        <v>0</v>
      </c>
      <c r="BO317" s="78">
        <f t="shared" si="41"/>
        <v>0</v>
      </c>
      <c r="BP317" s="78">
        <f t="shared" si="42"/>
        <v>0</v>
      </c>
    </row>
    <row r="318" spans="1:68" x14ac:dyDescent="0.2">
      <c r="A318" s="651"/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2"/>
      <c r="P318" s="648" t="s">
        <v>40</v>
      </c>
      <c r="Q318" s="649"/>
      <c r="R318" s="649"/>
      <c r="S318" s="649"/>
      <c r="T318" s="649"/>
      <c r="U318" s="649"/>
      <c r="V318" s="650"/>
      <c r="W318" s="42" t="s">
        <v>39</v>
      </c>
      <c r="X318" s="43">
        <f>IFERROR(X310/H310,"0")+IFERROR(X311/H311,"0")+IFERROR(X312/H312,"0")+IFERROR(X313/H313,"0")+IFERROR(X314/H314,"0")+IFERROR(X315/H315,"0")+IFERROR(X316/H316,"0")+IFERROR(X317/H317,"0")</f>
        <v>0</v>
      </c>
      <c r="Y318" s="43">
        <f>IFERROR(Y310/H310,"0")+IFERROR(Y311/H311,"0")+IFERROR(Y312/H312,"0")+IFERROR(Y313/H313,"0")+IFERROR(Y314/H314,"0")+IFERROR(Y315/H315,"0")+IFERROR(Y316/H316,"0")+IFERROR(Y317/H317,"0")</f>
        <v>0</v>
      </c>
      <c r="Z318" s="43">
        <f>IFERROR(IF(Z310="",0,Z310),"0")+IFERROR(IF(Z311="",0,Z311),"0")+IFERROR(IF(Z312="",0,Z312),"0")+IFERROR(IF(Z313="",0,Z313),"0")+IFERROR(IF(Z314="",0,Z314),"0")+IFERROR(IF(Z315="",0,Z315),"0")+IFERROR(IF(Z316="",0,Z316),"0")+IFERROR(IF(Z317="",0,Z317),"0")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2" t="s">
        <v>0</v>
      </c>
      <c r="X319" s="43">
        <f>IFERROR(SUM(X310:X317),"0")</f>
        <v>0</v>
      </c>
      <c r="Y319" s="43">
        <f>IFERROR(SUM(Y310:Y317),"0")</f>
        <v>0</v>
      </c>
      <c r="Z319" s="42"/>
      <c r="AA319" s="67"/>
      <c r="AB319" s="67"/>
      <c r="AC319" s="67"/>
    </row>
    <row r="320" spans="1:68" ht="14.25" customHeight="1" x14ac:dyDescent="0.25">
      <c r="A320" s="642" t="s">
        <v>77</v>
      </c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42"/>
      <c r="P320" s="642"/>
      <c r="Q320" s="642"/>
      <c r="R320" s="642"/>
      <c r="S320" s="642"/>
      <c r="T320" s="642"/>
      <c r="U320" s="642"/>
      <c r="V320" s="642"/>
      <c r="W320" s="642"/>
      <c r="X320" s="642"/>
      <c r="Y320" s="642"/>
      <c r="Z320" s="642"/>
      <c r="AA320" s="66"/>
      <c r="AB320" s="66"/>
      <c r="AC320" s="80"/>
    </row>
    <row r="321" spans="1:68" ht="27" customHeight="1" x14ac:dyDescent="0.25">
      <c r="A321" s="63" t="s">
        <v>533</v>
      </c>
      <c r="B321" s="63" t="s">
        <v>534</v>
      </c>
      <c r="C321" s="36">
        <v>4301030878</v>
      </c>
      <c r="D321" s="643">
        <v>4607091387193</v>
      </c>
      <c r="E321" s="643"/>
      <c r="F321" s="62">
        <v>0.7</v>
      </c>
      <c r="G321" s="37">
        <v>6</v>
      </c>
      <c r="H321" s="62">
        <v>4.2</v>
      </c>
      <c r="I321" s="62">
        <v>4.45</v>
      </c>
      <c r="J321" s="37">
        <v>132</v>
      </c>
      <c r="K321" s="37" t="s">
        <v>134</v>
      </c>
      <c r="L321" s="37" t="s">
        <v>46</v>
      </c>
      <c r="M321" s="38" t="s">
        <v>81</v>
      </c>
      <c r="N321" s="38"/>
      <c r="O321" s="37">
        <v>35</v>
      </c>
      <c r="P321" s="8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1" s="645"/>
      <c r="R321" s="645"/>
      <c r="S321" s="645"/>
      <c r="T321" s="646"/>
      <c r="U321" s="39" t="s">
        <v>46</v>
      </c>
      <c r="V321" s="39" t="s">
        <v>46</v>
      </c>
      <c r="W321" s="40" t="s">
        <v>0</v>
      </c>
      <c r="X321" s="58">
        <v>10</v>
      </c>
      <c r="Y321" s="55">
        <f t="shared" ref="Y321:Y327" si="43">IFERROR(IF(X321="",0,CEILING((X321/$H321),1)*$H321),"")</f>
        <v>12.600000000000001</v>
      </c>
      <c r="Z321" s="41">
        <f>IFERROR(IF(Y321=0,"",ROUNDUP(Y321/H321,0)*0.00902),"")</f>
        <v>2.7060000000000001E-2</v>
      </c>
      <c r="AA321" s="68" t="s">
        <v>46</v>
      </c>
      <c r="AB321" s="69" t="s">
        <v>46</v>
      </c>
      <c r="AC321" s="396" t="s">
        <v>535</v>
      </c>
      <c r="AG321" s="78"/>
      <c r="AJ321" s="84" t="s">
        <v>46</v>
      </c>
      <c r="AK321" s="84">
        <v>0</v>
      </c>
      <c r="BB321" s="397" t="s">
        <v>67</v>
      </c>
      <c r="BM321" s="78">
        <f t="shared" ref="BM321:BM327" si="44">IFERROR(X321*I321/H321,"0")</f>
        <v>10.595238095238095</v>
      </c>
      <c r="BN321" s="78">
        <f t="shared" ref="BN321:BN327" si="45">IFERROR(Y321*I321/H321,"0")</f>
        <v>13.350000000000001</v>
      </c>
      <c r="BO321" s="78">
        <f t="shared" ref="BO321:BO327" si="46">IFERROR(1/J321*(X321/H321),"0")</f>
        <v>1.8037518037518036E-2</v>
      </c>
      <c r="BP321" s="78">
        <f t="shared" ref="BP321:BP327" si="47">IFERROR(1/J321*(Y321/H321),"0")</f>
        <v>2.2727272727272728E-2</v>
      </c>
    </row>
    <row r="322" spans="1:68" ht="27" customHeight="1" x14ac:dyDescent="0.25">
      <c r="A322" s="63" t="s">
        <v>536</v>
      </c>
      <c r="B322" s="63" t="s">
        <v>537</v>
      </c>
      <c r="C322" s="36">
        <v>4301031153</v>
      </c>
      <c r="D322" s="643">
        <v>4607091387230</v>
      </c>
      <c r="E322" s="643"/>
      <c r="F322" s="62">
        <v>0.7</v>
      </c>
      <c r="G322" s="37">
        <v>6</v>
      </c>
      <c r="H322" s="62">
        <v>4.2</v>
      </c>
      <c r="I322" s="62">
        <v>4.45</v>
      </c>
      <c r="J322" s="37">
        <v>132</v>
      </c>
      <c r="K322" s="37" t="s">
        <v>134</v>
      </c>
      <c r="L322" s="37" t="s">
        <v>46</v>
      </c>
      <c r="M322" s="38" t="s">
        <v>81</v>
      </c>
      <c r="N322" s="38"/>
      <c r="O322" s="37">
        <v>40</v>
      </c>
      <c r="P322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2" s="645"/>
      <c r="R322" s="645"/>
      <c r="S322" s="645"/>
      <c r="T322" s="64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3"/>
        <v>0</v>
      </c>
      <c r="Z322" s="41" t="str">
        <f>IFERROR(IF(Y322=0,"",ROUNDUP(Y322/H322,0)*0.00902),"")</f>
        <v/>
      </c>
      <c r="AA322" s="68" t="s">
        <v>46</v>
      </c>
      <c r="AB322" s="69" t="s">
        <v>46</v>
      </c>
      <c r="AC322" s="398" t="s">
        <v>538</v>
      </c>
      <c r="AG322" s="78"/>
      <c r="AJ322" s="84" t="s">
        <v>46</v>
      </c>
      <c r="AK322" s="84">
        <v>0</v>
      </c>
      <c r="BB322" s="399" t="s">
        <v>67</v>
      </c>
      <c r="BM322" s="78">
        <f t="shared" si="44"/>
        <v>0</v>
      </c>
      <c r="BN322" s="78">
        <f t="shared" si="45"/>
        <v>0</v>
      </c>
      <c r="BO322" s="78">
        <f t="shared" si="46"/>
        <v>0</v>
      </c>
      <c r="BP322" s="78">
        <f t="shared" si="47"/>
        <v>0</v>
      </c>
    </row>
    <row r="323" spans="1:68" ht="27" customHeight="1" x14ac:dyDescent="0.25">
      <c r="A323" s="63" t="s">
        <v>539</v>
      </c>
      <c r="B323" s="63" t="s">
        <v>540</v>
      </c>
      <c r="C323" s="36">
        <v>4301031154</v>
      </c>
      <c r="D323" s="643">
        <v>4607091387292</v>
      </c>
      <c r="E323" s="643"/>
      <c r="F323" s="62">
        <v>0.73</v>
      </c>
      <c r="G323" s="37">
        <v>6</v>
      </c>
      <c r="H323" s="62">
        <v>4.38</v>
      </c>
      <c r="I323" s="62">
        <v>4.63</v>
      </c>
      <c r="J323" s="37">
        <v>132</v>
      </c>
      <c r="K323" s="37" t="s">
        <v>134</v>
      </c>
      <c r="L323" s="37" t="s">
        <v>46</v>
      </c>
      <c r="M323" s="38" t="s">
        <v>81</v>
      </c>
      <c r="N323" s="38"/>
      <c r="O323" s="37">
        <v>45</v>
      </c>
      <c r="P323" s="8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3" s="645"/>
      <c r="R323" s="645"/>
      <c r="S323" s="645"/>
      <c r="T323" s="64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3"/>
        <v>0</v>
      </c>
      <c r="Z323" s="41" t="str">
        <f>IFERROR(IF(Y323=0,"",ROUNDUP(Y323/H323,0)*0.00902),"")</f>
        <v/>
      </c>
      <c r="AA323" s="68" t="s">
        <v>46</v>
      </c>
      <c r="AB323" s="69" t="s">
        <v>46</v>
      </c>
      <c r="AC323" s="400" t="s">
        <v>541</v>
      </c>
      <c r="AG323" s="78"/>
      <c r="AJ323" s="84" t="s">
        <v>46</v>
      </c>
      <c r="AK323" s="84">
        <v>0</v>
      </c>
      <c r="BB323" s="401" t="s">
        <v>67</v>
      </c>
      <c r="BM323" s="78">
        <f t="shared" si="44"/>
        <v>0</v>
      </c>
      <c r="BN323" s="78">
        <f t="shared" si="45"/>
        <v>0</v>
      </c>
      <c r="BO323" s="78">
        <f t="shared" si="46"/>
        <v>0</v>
      </c>
      <c r="BP323" s="78">
        <f t="shared" si="47"/>
        <v>0</v>
      </c>
    </row>
    <row r="324" spans="1:68" ht="27" customHeight="1" x14ac:dyDescent="0.25">
      <c r="A324" s="63" t="s">
        <v>542</v>
      </c>
      <c r="B324" s="63" t="s">
        <v>543</v>
      </c>
      <c r="C324" s="36">
        <v>4301031152</v>
      </c>
      <c r="D324" s="643">
        <v>4607091387285</v>
      </c>
      <c r="E324" s="643"/>
      <c r="F324" s="62">
        <v>0.35</v>
      </c>
      <c r="G324" s="37">
        <v>6</v>
      </c>
      <c r="H324" s="62">
        <v>2.1</v>
      </c>
      <c r="I324" s="62">
        <v>2.23</v>
      </c>
      <c r="J324" s="37">
        <v>234</v>
      </c>
      <c r="K324" s="37" t="s">
        <v>86</v>
      </c>
      <c r="L324" s="37" t="s">
        <v>46</v>
      </c>
      <c r="M324" s="38" t="s">
        <v>81</v>
      </c>
      <c r="N324" s="38"/>
      <c r="O324" s="37">
        <v>40</v>
      </c>
      <c r="P324" s="8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4" s="645"/>
      <c r="R324" s="645"/>
      <c r="S324" s="645"/>
      <c r="T324" s="64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3"/>
        <v>0</v>
      </c>
      <c r="Z324" s="41" t="str">
        <f>IFERROR(IF(Y324=0,"",ROUNDUP(Y324/H324,0)*0.00502),"")</f>
        <v/>
      </c>
      <c r="AA324" s="68" t="s">
        <v>46</v>
      </c>
      <c r="AB324" s="69" t="s">
        <v>46</v>
      </c>
      <c r="AC324" s="402" t="s">
        <v>538</v>
      </c>
      <c r="AG324" s="78"/>
      <c r="AJ324" s="84" t="s">
        <v>46</v>
      </c>
      <c r="AK324" s="84">
        <v>0</v>
      </c>
      <c r="BB324" s="403" t="s">
        <v>67</v>
      </c>
      <c r="BM324" s="78">
        <f t="shared" si="44"/>
        <v>0</v>
      </c>
      <c r="BN324" s="78">
        <f t="shared" si="45"/>
        <v>0</v>
      </c>
      <c r="BO324" s="78">
        <f t="shared" si="46"/>
        <v>0</v>
      </c>
      <c r="BP324" s="78">
        <f t="shared" si="47"/>
        <v>0</v>
      </c>
    </row>
    <row r="325" spans="1:68" ht="27" customHeight="1" x14ac:dyDescent="0.25">
      <c r="A325" s="63" t="s">
        <v>544</v>
      </c>
      <c r="B325" s="63" t="s">
        <v>545</v>
      </c>
      <c r="C325" s="36">
        <v>4301031305</v>
      </c>
      <c r="D325" s="643">
        <v>4607091389845</v>
      </c>
      <c r="E325" s="643"/>
      <c r="F325" s="62">
        <v>0.35</v>
      </c>
      <c r="G325" s="37">
        <v>6</v>
      </c>
      <c r="H325" s="62">
        <v>2.1</v>
      </c>
      <c r="I325" s="62">
        <v>2.2000000000000002</v>
      </c>
      <c r="J325" s="37">
        <v>234</v>
      </c>
      <c r="K325" s="37" t="s">
        <v>86</v>
      </c>
      <c r="L325" s="37" t="s">
        <v>46</v>
      </c>
      <c r="M325" s="38" t="s">
        <v>81</v>
      </c>
      <c r="N325" s="38"/>
      <c r="O325" s="37">
        <v>40</v>
      </c>
      <c r="P325" s="8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5" s="645"/>
      <c r="R325" s="645"/>
      <c r="S325" s="645"/>
      <c r="T325" s="64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3"/>
        <v>0</v>
      </c>
      <c r="Z325" s="41" t="str">
        <f>IFERROR(IF(Y325=0,"",ROUNDUP(Y325/H325,0)*0.00502),"")</f>
        <v/>
      </c>
      <c r="AA325" s="68" t="s">
        <v>46</v>
      </c>
      <c r="AB325" s="69" t="s">
        <v>46</v>
      </c>
      <c r="AC325" s="404" t="s">
        <v>546</v>
      </c>
      <c r="AG325" s="78"/>
      <c r="AJ325" s="84" t="s">
        <v>46</v>
      </c>
      <c r="AK325" s="84">
        <v>0</v>
      </c>
      <c r="BB325" s="405" t="s">
        <v>67</v>
      </c>
      <c r="BM325" s="78">
        <f t="shared" si="44"/>
        <v>0</v>
      </c>
      <c r="BN325" s="78">
        <f t="shared" si="45"/>
        <v>0</v>
      </c>
      <c r="BO325" s="78">
        <f t="shared" si="46"/>
        <v>0</v>
      </c>
      <c r="BP325" s="78">
        <f t="shared" si="47"/>
        <v>0</v>
      </c>
    </row>
    <row r="326" spans="1:68" ht="27" customHeight="1" x14ac:dyDescent="0.25">
      <c r="A326" s="63" t="s">
        <v>547</v>
      </c>
      <c r="B326" s="63" t="s">
        <v>548</v>
      </c>
      <c r="C326" s="36">
        <v>4301031460</v>
      </c>
      <c r="D326" s="643">
        <v>4680115887442</v>
      </c>
      <c r="E326" s="643"/>
      <c r="F326" s="62">
        <v>0.73</v>
      </c>
      <c r="G326" s="37">
        <v>6</v>
      </c>
      <c r="H326" s="62">
        <v>4.38</v>
      </c>
      <c r="I326" s="62">
        <v>4.63</v>
      </c>
      <c r="J326" s="37">
        <v>132</v>
      </c>
      <c r="K326" s="37" t="s">
        <v>134</v>
      </c>
      <c r="L326" s="37" t="s">
        <v>46</v>
      </c>
      <c r="M326" s="38" t="s">
        <v>81</v>
      </c>
      <c r="N326" s="38"/>
      <c r="O326" s="37">
        <v>45</v>
      </c>
      <c r="P326" s="8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6" s="645"/>
      <c r="R326" s="645"/>
      <c r="S326" s="645"/>
      <c r="T326" s="64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06" t="s">
        <v>541</v>
      </c>
      <c r="AG326" s="78"/>
      <c r="AJ326" s="84" t="s">
        <v>46</v>
      </c>
      <c r="AK326" s="84">
        <v>0</v>
      </c>
      <c r="BB326" s="407" t="s">
        <v>67</v>
      </c>
      <c r="BM326" s="78">
        <f t="shared" si="44"/>
        <v>0</v>
      </c>
      <c r="BN326" s="78">
        <f t="shared" si="45"/>
        <v>0</v>
      </c>
      <c r="BO326" s="78">
        <f t="shared" si="46"/>
        <v>0</v>
      </c>
      <c r="BP326" s="78">
        <f t="shared" si="47"/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4301031066</v>
      </c>
      <c r="D327" s="643">
        <v>4607091383836</v>
      </c>
      <c r="E327" s="643"/>
      <c r="F327" s="62">
        <v>0.3</v>
      </c>
      <c r="G327" s="37">
        <v>6</v>
      </c>
      <c r="H327" s="62">
        <v>1.8</v>
      </c>
      <c r="I327" s="62">
        <v>2.028</v>
      </c>
      <c r="J327" s="37">
        <v>182</v>
      </c>
      <c r="K327" s="37" t="s">
        <v>82</v>
      </c>
      <c r="L327" s="37" t="s">
        <v>46</v>
      </c>
      <c r="M327" s="38" t="s">
        <v>81</v>
      </c>
      <c r="N327" s="38"/>
      <c r="O327" s="37">
        <v>40</v>
      </c>
      <c r="P327" s="8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27" s="645"/>
      <c r="R327" s="645"/>
      <c r="S327" s="645"/>
      <c r="T327" s="64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3"/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08" t="s">
        <v>551</v>
      </c>
      <c r="AG327" s="78"/>
      <c r="AJ327" s="84" t="s">
        <v>46</v>
      </c>
      <c r="AK327" s="84">
        <v>0</v>
      </c>
      <c r="BB327" s="409" t="s">
        <v>67</v>
      </c>
      <c r="BM327" s="78">
        <f t="shared" si="44"/>
        <v>0</v>
      </c>
      <c r="BN327" s="78">
        <f t="shared" si="45"/>
        <v>0</v>
      </c>
      <c r="BO327" s="78">
        <f t="shared" si="46"/>
        <v>0</v>
      </c>
      <c r="BP327" s="78">
        <f t="shared" si="47"/>
        <v>0</v>
      </c>
    </row>
    <row r="328" spans="1:68" x14ac:dyDescent="0.2">
      <c r="A328" s="651"/>
      <c r="B328" s="651"/>
      <c r="C328" s="651"/>
      <c r="D328" s="651"/>
      <c r="E328" s="651"/>
      <c r="F328" s="651"/>
      <c r="G328" s="651"/>
      <c r="H328" s="651"/>
      <c r="I328" s="651"/>
      <c r="J328" s="651"/>
      <c r="K328" s="651"/>
      <c r="L328" s="651"/>
      <c r="M328" s="651"/>
      <c r="N328" s="651"/>
      <c r="O328" s="652"/>
      <c r="P328" s="648" t="s">
        <v>40</v>
      </c>
      <c r="Q328" s="649"/>
      <c r="R328" s="649"/>
      <c r="S328" s="649"/>
      <c r="T328" s="649"/>
      <c r="U328" s="649"/>
      <c r="V328" s="650"/>
      <c r="W328" s="42" t="s">
        <v>39</v>
      </c>
      <c r="X328" s="43">
        <f>IFERROR(X321/H321,"0")+IFERROR(X322/H322,"0")+IFERROR(X323/H323,"0")+IFERROR(X324/H324,"0")+IFERROR(X325/H325,"0")+IFERROR(X326/H326,"0")+IFERROR(X327/H327,"0")</f>
        <v>2.3809523809523809</v>
      </c>
      <c r="Y328" s="43">
        <f>IFERROR(Y321/H321,"0")+IFERROR(Y322/H322,"0")+IFERROR(Y323/H323,"0")+IFERROR(Y324/H324,"0")+IFERROR(Y325/H325,"0")+IFERROR(Y326/H326,"0")+IFERROR(Y327/H327,"0")</f>
        <v>3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2.7060000000000001E-2</v>
      </c>
      <c r="AA328" s="67"/>
      <c r="AB328" s="67"/>
      <c r="AC328" s="67"/>
    </row>
    <row r="329" spans="1:68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0</v>
      </c>
      <c r="X329" s="43">
        <f>IFERROR(SUM(X321:X327),"0")</f>
        <v>10</v>
      </c>
      <c r="Y329" s="43">
        <f>IFERROR(SUM(Y321:Y327),"0")</f>
        <v>12.600000000000001</v>
      </c>
      <c r="Z329" s="42"/>
      <c r="AA329" s="67"/>
      <c r="AB329" s="67"/>
      <c r="AC329" s="67"/>
    </row>
    <row r="330" spans="1:68" ht="14.25" customHeight="1" x14ac:dyDescent="0.25">
      <c r="A330" s="642" t="s">
        <v>87</v>
      </c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42"/>
      <c r="P330" s="642"/>
      <c r="Q330" s="642"/>
      <c r="R330" s="642"/>
      <c r="S330" s="642"/>
      <c r="T330" s="642"/>
      <c r="U330" s="642"/>
      <c r="V330" s="642"/>
      <c r="W330" s="642"/>
      <c r="X330" s="642"/>
      <c r="Y330" s="642"/>
      <c r="Z330" s="642"/>
      <c r="AA330" s="66"/>
      <c r="AB330" s="66"/>
      <c r="AC330" s="80"/>
    </row>
    <row r="331" spans="1:68" ht="27" customHeight="1" x14ac:dyDescent="0.25">
      <c r="A331" s="63" t="s">
        <v>552</v>
      </c>
      <c r="B331" s="63" t="s">
        <v>553</v>
      </c>
      <c r="C331" s="36">
        <v>4301051100</v>
      </c>
      <c r="D331" s="643">
        <v>4607091387766</v>
      </c>
      <c r="E331" s="643"/>
      <c r="F331" s="62">
        <v>1.3</v>
      </c>
      <c r="G331" s="37">
        <v>6</v>
      </c>
      <c r="H331" s="62">
        <v>7.8</v>
      </c>
      <c r="I331" s="62">
        <v>8.2880000000000003</v>
      </c>
      <c r="J331" s="37">
        <v>64</v>
      </c>
      <c r="K331" s="37" t="s">
        <v>127</v>
      </c>
      <c r="L331" s="37" t="s">
        <v>46</v>
      </c>
      <c r="M331" s="38" t="s">
        <v>91</v>
      </c>
      <c r="N331" s="38"/>
      <c r="O331" s="37">
        <v>40</v>
      </c>
      <c r="P331" s="8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1" s="645"/>
      <c r="R331" s="645"/>
      <c r="S331" s="645"/>
      <c r="T331" s="64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10" t="s">
        <v>554</v>
      </c>
      <c r="AG331" s="78"/>
      <c r="AJ331" s="84" t="s">
        <v>46</v>
      </c>
      <c r="AK331" s="84">
        <v>0</v>
      </c>
      <c r="BB331" s="41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555</v>
      </c>
      <c r="B332" s="63" t="s">
        <v>556</v>
      </c>
      <c r="C332" s="36">
        <v>4301051818</v>
      </c>
      <c r="D332" s="643">
        <v>4607091387957</v>
      </c>
      <c r="E332" s="643"/>
      <c r="F332" s="62">
        <v>1.3</v>
      </c>
      <c r="G332" s="37">
        <v>6</v>
      </c>
      <c r="H332" s="62">
        <v>7.8</v>
      </c>
      <c r="I332" s="62">
        <v>8.2940000000000005</v>
      </c>
      <c r="J332" s="37">
        <v>64</v>
      </c>
      <c r="K332" s="37" t="s">
        <v>127</v>
      </c>
      <c r="L332" s="37" t="s">
        <v>46</v>
      </c>
      <c r="M332" s="38" t="s">
        <v>91</v>
      </c>
      <c r="N332" s="38"/>
      <c r="O332" s="37">
        <v>40</v>
      </c>
      <c r="P332" s="8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2" s="645"/>
      <c r="R332" s="645"/>
      <c r="S332" s="645"/>
      <c r="T332" s="64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IFERROR(IF(Y332=0,"",ROUNDUP(Y332/H332,0)*0.01898),"")</f>
        <v/>
      </c>
      <c r="AA332" s="68" t="s">
        <v>46</v>
      </c>
      <c r="AB332" s="69" t="s">
        <v>46</v>
      </c>
      <c r="AC332" s="412" t="s">
        <v>557</v>
      </c>
      <c r="AG332" s="78"/>
      <c r="AJ332" s="84" t="s">
        <v>46</v>
      </c>
      <c r="AK332" s="84">
        <v>0</v>
      </c>
      <c r="BB332" s="41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558</v>
      </c>
      <c r="B333" s="63" t="s">
        <v>559</v>
      </c>
      <c r="C333" s="36">
        <v>4301051819</v>
      </c>
      <c r="D333" s="643">
        <v>4607091387964</v>
      </c>
      <c r="E333" s="643"/>
      <c r="F333" s="62">
        <v>1.35</v>
      </c>
      <c r="G333" s="37">
        <v>6</v>
      </c>
      <c r="H333" s="62">
        <v>8.1</v>
      </c>
      <c r="I333" s="62">
        <v>8.5760000000000005</v>
      </c>
      <c r="J333" s="37">
        <v>64</v>
      </c>
      <c r="K333" s="37" t="s">
        <v>127</v>
      </c>
      <c r="L333" s="37" t="s">
        <v>46</v>
      </c>
      <c r="M333" s="38" t="s">
        <v>91</v>
      </c>
      <c r="N333" s="38"/>
      <c r="O333" s="37">
        <v>40</v>
      </c>
      <c r="P333" s="8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3" s="645"/>
      <c r="R333" s="645"/>
      <c r="S333" s="645"/>
      <c r="T333" s="64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14" t="s">
        <v>560</v>
      </c>
      <c r="AG333" s="78"/>
      <c r="AJ333" s="84" t="s">
        <v>46</v>
      </c>
      <c r="AK333" s="84">
        <v>0</v>
      </c>
      <c r="BB333" s="41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561</v>
      </c>
      <c r="B334" s="63" t="s">
        <v>562</v>
      </c>
      <c r="C334" s="36">
        <v>4301051734</v>
      </c>
      <c r="D334" s="643">
        <v>4680115884588</v>
      </c>
      <c r="E334" s="643"/>
      <c r="F334" s="62">
        <v>0.5</v>
      </c>
      <c r="G334" s="37">
        <v>6</v>
      </c>
      <c r="H334" s="62">
        <v>3</v>
      </c>
      <c r="I334" s="62">
        <v>3.246</v>
      </c>
      <c r="J334" s="37">
        <v>182</v>
      </c>
      <c r="K334" s="37" t="s">
        <v>82</v>
      </c>
      <c r="L334" s="37" t="s">
        <v>46</v>
      </c>
      <c r="M334" s="38" t="s">
        <v>91</v>
      </c>
      <c r="N334" s="38"/>
      <c r="O334" s="37">
        <v>40</v>
      </c>
      <c r="P334" s="8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4" s="645"/>
      <c r="R334" s="645"/>
      <c r="S334" s="645"/>
      <c r="T334" s="64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16" t="s">
        <v>563</v>
      </c>
      <c r="AG334" s="78"/>
      <c r="AJ334" s="84" t="s">
        <v>46</v>
      </c>
      <c r="AK334" s="84">
        <v>0</v>
      </c>
      <c r="BB334" s="417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651"/>
      <c r="B335" s="651"/>
      <c r="C335" s="651"/>
      <c r="D335" s="651"/>
      <c r="E335" s="651"/>
      <c r="F335" s="651"/>
      <c r="G335" s="651"/>
      <c r="H335" s="651"/>
      <c r="I335" s="651"/>
      <c r="J335" s="651"/>
      <c r="K335" s="651"/>
      <c r="L335" s="651"/>
      <c r="M335" s="651"/>
      <c r="N335" s="651"/>
      <c r="O335" s="652"/>
      <c r="P335" s="648" t="s">
        <v>40</v>
      </c>
      <c r="Q335" s="649"/>
      <c r="R335" s="649"/>
      <c r="S335" s="649"/>
      <c r="T335" s="649"/>
      <c r="U335" s="649"/>
      <c r="V335" s="650"/>
      <c r="W335" s="42" t="s">
        <v>39</v>
      </c>
      <c r="X335" s="43">
        <f>IFERROR(X331/H331,"0")+IFERROR(X332/H332,"0")+IFERROR(X333/H333,"0")+IFERROR(X334/H334,"0")</f>
        <v>0</v>
      </c>
      <c r="Y335" s="43">
        <f>IFERROR(Y331/H331,"0")+IFERROR(Y332/H332,"0")+IFERROR(Y333/H333,"0")+IFERROR(Y334/H334,"0")</f>
        <v>0</v>
      </c>
      <c r="Z335" s="43">
        <f>IFERROR(IF(Z331="",0,Z331),"0")+IFERROR(IF(Z332="",0,Z332),"0")+IFERROR(IF(Z333="",0,Z333),"0")+IFERROR(IF(Z334="",0,Z334),"0")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0</v>
      </c>
      <c r="X336" s="43">
        <f>IFERROR(SUM(X331:X334),"0")</f>
        <v>0</v>
      </c>
      <c r="Y336" s="43">
        <f>IFERROR(SUM(Y331:Y334),"0")</f>
        <v>0</v>
      </c>
      <c r="Z336" s="42"/>
      <c r="AA336" s="67"/>
      <c r="AB336" s="67"/>
      <c r="AC336" s="67"/>
    </row>
    <row r="337" spans="1:68" ht="14.25" customHeight="1" x14ac:dyDescent="0.25">
      <c r="A337" s="642" t="s">
        <v>176</v>
      </c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42"/>
      <c r="P337" s="642"/>
      <c r="Q337" s="642"/>
      <c r="R337" s="642"/>
      <c r="S337" s="642"/>
      <c r="T337" s="642"/>
      <c r="U337" s="642"/>
      <c r="V337" s="642"/>
      <c r="W337" s="642"/>
      <c r="X337" s="642"/>
      <c r="Y337" s="642"/>
      <c r="Z337" s="642"/>
      <c r="AA337" s="66"/>
      <c r="AB337" s="66"/>
      <c r="AC337" s="80"/>
    </row>
    <row r="338" spans="1:68" ht="27" customHeight="1" x14ac:dyDescent="0.25">
      <c r="A338" s="63" t="s">
        <v>564</v>
      </c>
      <c r="B338" s="63" t="s">
        <v>565</v>
      </c>
      <c r="C338" s="36">
        <v>4301060387</v>
      </c>
      <c r="D338" s="643">
        <v>4607091380880</v>
      </c>
      <c r="E338" s="643"/>
      <c r="F338" s="62">
        <v>1.4</v>
      </c>
      <c r="G338" s="37">
        <v>6</v>
      </c>
      <c r="H338" s="62">
        <v>8.4</v>
      </c>
      <c r="I338" s="62">
        <v>8.8940000000000001</v>
      </c>
      <c r="J338" s="37">
        <v>64</v>
      </c>
      <c r="K338" s="37" t="s">
        <v>127</v>
      </c>
      <c r="L338" s="37" t="s">
        <v>46</v>
      </c>
      <c r="M338" s="38" t="s">
        <v>91</v>
      </c>
      <c r="N338" s="38"/>
      <c r="O338" s="37">
        <v>30</v>
      </c>
      <c r="P338" s="8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38" s="645"/>
      <c r="R338" s="645"/>
      <c r="S338" s="645"/>
      <c r="T338" s="64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IFERROR(IF(Y338=0,"",ROUNDUP(Y338/H338,0)*0.01898),"")</f>
        <v/>
      </c>
      <c r="AA338" s="68" t="s">
        <v>46</v>
      </c>
      <c r="AB338" s="69" t="s">
        <v>46</v>
      </c>
      <c r="AC338" s="418" t="s">
        <v>566</v>
      </c>
      <c r="AG338" s="78"/>
      <c r="AJ338" s="84" t="s">
        <v>46</v>
      </c>
      <c r="AK338" s="84">
        <v>0</v>
      </c>
      <c r="BB338" s="41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567</v>
      </c>
      <c r="B339" s="63" t="s">
        <v>568</v>
      </c>
      <c r="C339" s="36">
        <v>4301060406</v>
      </c>
      <c r="D339" s="643">
        <v>4607091384482</v>
      </c>
      <c r="E339" s="643"/>
      <c r="F339" s="62">
        <v>1.3</v>
      </c>
      <c r="G339" s="37">
        <v>6</v>
      </c>
      <c r="H339" s="62">
        <v>7.8</v>
      </c>
      <c r="I339" s="62">
        <v>8.2940000000000005</v>
      </c>
      <c r="J339" s="37">
        <v>64</v>
      </c>
      <c r="K339" s="37" t="s">
        <v>127</v>
      </c>
      <c r="L339" s="37" t="s">
        <v>46</v>
      </c>
      <c r="M339" s="38" t="s">
        <v>91</v>
      </c>
      <c r="N339" s="38"/>
      <c r="O339" s="37">
        <v>30</v>
      </c>
      <c r="P339" s="8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39" s="645"/>
      <c r="R339" s="645"/>
      <c r="S339" s="645"/>
      <c r="T339" s="646"/>
      <c r="U339" s="39" t="s">
        <v>46</v>
      </c>
      <c r="V339" s="39" t="s">
        <v>46</v>
      </c>
      <c r="W339" s="40" t="s">
        <v>0</v>
      </c>
      <c r="X339" s="58">
        <v>80</v>
      </c>
      <c r="Y339" s="55">
        <f>IFERROR(IF(X339="",0,CEILING((X339/$H339),1)*$H339),"")</f>
        <v>85.8</v>
      </c>
      <c r="Z339" s="41">
        <f>IFERROR(IF(Y339=0,"",ROUNDUP(Y339/H339,0)*0.01898),"")</f>
        <v>0.20877999999999999</v>
      </c>
      <c r="AA339" s="68" t="s">
        <v>46</v>
      </c>
      <c r="AB339" s="69" t="s">
        <v>46</v>
      </c>
      <c r="AC339" s="420" t="s">
        <v>569</v>
      </c>
      <c r="AG339" s="78"/>
      <c r="AJ339" s="84" t="s">
        <v>46</v>
      </c>
      <c r="AK339" s="84">
        <v>0</v>
      </c>
      <c r="BB339" s="421" t="s">
        <v>67</v>
      </c>
      <c r="BM339" s="78">
        <f>IFERROR(X339*I339/H339,"0")</f>
        <v>85.066666666666663</v>
      </c>
      <c r="BN339" s="78">
        <f>IFERROR(Y339*I339/H339,"0")</f>
        <v>91.234000000000009</v>
      </c>
      <c r="BO339" s="78">
        <f>IFERROR(1/J339*(X339/H339),"0")</f>
        <v>0.16025641025641027</v>
      </c>
      <c r="BP339" s="78">
        <f>IFERROR(1/J339*(Y339/H339),"0")</f>
        <v>0.171875</v>
      </c>
    </row>
    <row r="340" spans="1:68" ht="16.5" customHeight="1" x14ac:dyDescent="0.25">
      <c r="A340" s="63" t="s">
        <v>570</v>
      </c>
      <c r="B340" s="63" t="s">
        <v>571</v>
      </c>
      <c r="C340" s="36">
        <v>4301060484</v>
      </c>
      <c r="D340" s="643">
        <v>4607091380897</v>
      </c>
      <c r="E340" s="643"/>
      <c r="F340" s="62">
        <v>1.4</v>
      </c>
      <c r="G340" s="37">
        <v>6</v>
      </c>
      <c r="H340" s="62">
        <v>8.4</v>
      </c>
      <c r="I340" s="62">
        <v>8.8940000000000001</v>
      </c>
      <c r="J340" s="37">
        <v>64</v>
      </c>
      <c r="K340" s="37" t="s">
        <v>127</v>
      </c>
      <c r="L340" s="37" t="s">
        <v>46</v>
      </c>
      <c r="M340" s="38" t="s">
        <v>97</v>
      </c>
      <c r="N340" s="38"/>
      <c r="O340" s="37">
        <v>30</v>
      </c>
      <c r="P340" s="8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0" s="645"/>
      <c r="R340" s="645"/>
      <c r="S340" s="645"/>
      <c r="T340" s="646"/>
      <c r="U340" s="39" t="s">
        <v>46</v>
      </c>
      <c r="V340" s="39" t="s">
        <v>46</v>
      </c>
      <c r="W340" s="40" t="s">
        <v>0</v>
      </c>
      <c r="X340" s="58"/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46</v>
      </c>
      <c r="AB340" s="69" t="s">
        <v>46</v>
      </c>
      <c r="AC340" s="422" t="s">
        <v>572</v>
      </c>
      <c r="AG340" s="78"/>
      <c r="AJ340" s="84" t="s">
        <v>46</v>
      </c>
      <c r="AK340" s="84">
        <v>0</v>
      </c>
      <c r="BB340" s="42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651"/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2"/>
      <c r="P341" s="648" t="s">
        <v>40</v>
      </c>
      <c r="Q341" s="649"/>
      <c r="R341" s="649"/>
      <c r="S341" s="649"/>
      <c r="T341" s="649"/>
      <c r="U341" s="649"/>
      <c r="V341" s="650"/>
      <c r="W341" s="42" t="s">
        <v>39</v>
      </c>
      <c r="X341" s="43">
        <f>IFERROR(X338/H338,"0")+IFERROR(X339/H339,"0")+IFERROR(X340/H340,"0")</f>
        <v>10.256410256410257</v>
      </c>
      <c r="Y341" s="43">
        <f>IFERROR(Y338/H338,"0")+IFERROR(Y339/H339,"0")+IFERROR(Y340/H340,"0")</f>
        <v>11</v>
      </c>
      <c r="Z341" s="43">
        <f>IFERROR(IF(Z338="",0,Z338),"0")+IFERROR(IF(Z339="",0,Z339),"0")+IFERROR(IF(Z340="",0,Z340),"0")</f>
        <v>0.20877999999999999</v>
      </c>
      <c r="AA341" s="67"/>
      <c r="AB341" s="67"/>
      <c r="AC341" s="67"/>
    </row>
    <row r="342" spans="1:68" x14ac:dyDescent="0.2">
      <c r="A342" s="651"/>
      <c r="B342" s="651"/>
      <c r="C342" s="651"/>
      <c r="D342" s="651"/>
      <c r="E342" s="651"/>
      <c r="F342" s="651"/>
      <c r="G342" s="651"/>
      <c r="H342" s="651"/>
      <c r="I342" s="651"/>
      <c r="J342" s="651"/>
      <c r="K342" s="651"/>
      <c r="L342" s="651"/>
      <c r="M342" s="651"/>
      <c r="N342" s="651"/>
      <c r="O342" s="652"/>
      <c r="P342" s="648" t="s">
        <v>40</v>
      </c>
      <c r="Q342" s="649"/>
      <c r="R342" s="649"/>
      <c r="S342" s="649"/>
      <c r="T342" s="649"/>
      <c r="U342" s="649"/>
      <c r="V342" s="650"/>
      <c r="W342" s="42" t="s">
        <v>0</v>
      </c>
      <c r="X342" s="43">
        <f>IFERROR(SUM(X338:X340),"0")</f>
        <v>80</v>
      </c>
      <c r="Y342" s="43">
        <f>IFERROR(SUM(Y338:Y340),"0")</f>
        <v>85.8</v>
      </c>
      <c r="Z342" s="42"/>
      <c r="AA342" s="67"/>
      <c r="AB342" s="67"/>
      <c r="AC342" s="67"/>
    </row>
    <row r="343" spans="1:68" ht="14.25" customHeight="1" x14ac:dyDescent="0.25">
      <c r="A343" s="642" t="s">
        <v>110</v>
      </c>
      <c r="B343" s="642"/>
      <c r="C343" s="642"/>
      <c r="D343" s="642"/>
      <c r="E343" s="642"/>
      <c r="F343" s="642"/>
      <c r="G343" s="642"/>
      <c r="H343" s="642"/>
      <c r="I343" s="642"/>
      <c r="J343" s="642"/>
      <c r="K343" s="642"/>
      <c r="L343" s="642"/>
      <c r="M343" s="642"/>
      <c r="N343" s="642"/>
      <c r="O343" s="642"/>
      <c r="P343" s="642"/>
      <c r="Q343" s="642"/>
      <c r="R343" s="642"/>
      <c r="S343" s="642"/>
      <c r="T343" s="642"/>
      <c r="U343" s="642"/>
      <c r="V343" s="642"/>
      <c r="W343" s="642"/>
      <c r="X343" s="642"/>
      <c r="Y343" s="642"/>
      <c r="Z343" s="642"/>
      <c r="AA343" s="66"/>
      <c r="AB343" s="66"/>
      <c r="AC343" s="80"/>
    </row>
    <row r="344" spans="1:68" ht="27" customHeight="1" x14ac:dyDescent="0.25">
      <c r="A344" s="63" t="s">
        <v>573</v>
      </c>
      <c r="B344" s="63" t="s">
        <v>574</v>
      </c>
      <c r="C344" s="36">
        <v>4301030235</v>
      </c>
      <c r="D344" s="643">
        <v>4607091388381</v>
      </c>
      <c r="E344" s="643"/>
      <c r="F344" s="62">
        <v>0.38</v>
      </c>
      <c r="G344" s="37">
        <v>8</v>
      </c>
      <c r="H344" s="62">
        <v>3.04</v>
      </c>
      <c r="I344" s="62">
        <v>3.31</v>
      </c>
      <c r="J344" s="37">
        <v>132</v>
      </c>
      <c r="K344" s="37" t="s">
        <v>134</v>
      </c>
      <c r="L344" s="37" t="s">
        <v>46</v>
      </c>
      <c r="M344" s="38" t="s">
        <v>115</v>
      </c>
      <c r="N344" s="38"/>
      <c r="O344" s="37">
        <v>180</v>
      </c>
      <c r="P344" s="8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4" s="645"/>
      <c r="R344" s="645"/>
      <c r="S344" s="645"/>
      <c r="T344" s="646"/>
      <c r="U344" s="39" t="s">
        <v>46</v>
      </c>
      <c r="V344" s="39" t="s">
        <v>46</v>
      </c>
      <c r="W344" s="40" t="s">
        <v>0</v>
      </c>
      <c r="X344" s="58"/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24" t="s">
        <v>575</v>
      </c>
      <c r="AG344" s="78"/>
      <c r="AJ344" s="84" t="s">
        <v>46</v>
      </c>
      <c r="AK344" s="84">
        <v>0</v>
      </c>
      <c r="BB344" s="425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576</v>
      </c>
      <c r="B345" s="63" t="s">
        <v>577</v>
      </c>
      <c r="C345" s="36">
        <v>4301030232</v>
      </c>
      <c r="D345" s="643">
        <v>4607091388374</v>
      </c>
      <c r="E345" s="643"/>
      <c r="F345" s="62">
        <v>0.38</v>
      </c>
      <c r="G345" s="37">
        <v>8</v>
      </c>
      <c r="H345" s="62">
        <v>3.04</v>
      </c>
      <c r="I345" s="62">
        <v>3.27</v>
      </c>
      <c r="J345" s="37">
        <v>132</v>
      </c>
      <c r="K345" s="37" t="s">
        <v>134</v>
      </c>
      <c r="L345" s="37" t="s">
        <v>46</v>
      </c>
      <c r="M345" s="38" t="s">
        <v>115</v>
      </c>
      <c r="N345" s="38"/>
      <c r="O345" s="37">
        <v>180</v>
      </c>
      <c r="P345" s="8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5" s="645"/>
      <c r="R345" s="645"/>
      <c r="S345" s="645"/>
      <c r="T345" s="646"/>
      <c r="U345" s="39" t="s">
        <v>46</v>
      </c>
      <c r="V345" s="39" t="s">
        <v>46</v>
      </c>
      <c r="W345" s="40" t="s">
        <v>0</v>
      </c>
      <c r="X345" s="58"/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26" t="s">
        <v>575</v>
      </c>
      <c r="AG345" s="78"/>
      <c r="AJ345" s="84" t="s">
        <v>46</v>
      </c>
      <c r="AK345" s="84">
        <v>0</v>
      </c>
      <c r="BB345" s="427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578</v>
      </c>
      <c r="B346" s="63" t="s">
        <v>579</v>
      </c>
      <c r="C346" s="36">
        <v>4301032015</v>
      </c>
      <c r="D346" s="643">
        <v>4607091383102</v>
      </c>
      <c r="E346" s="643"/>
      <c r="F346" s="62">
        <v>0.17</v>
      </c>
      <c r="G346" s="37">
        <v>15</v>
      </c>
      <c r="H346" s="62">
        <v>2.5499999999999998</v>
      </c>
      <c r="I346" s="62">
        <v>2.9550000000000001</v>
      </c>
      <c r="J346" s="37">
        <v>182</v>
      </c>
      <c r="K346" s="37" t="s">
        <v>82</v>
      </c>
      <c r="L346" s="37" t="s">
        <v>46</v>
      </c>
      <c r="M346" s="38" t="s">
        <v>115</v>
      </c>
      <c r="N346" s="38"/>
      <c r="O346" s="37">
        <v>180</v>
      </c>
      <c r="P346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6" s="645"/>
      <c r="R346" s="645"/>
      <c r="S346" s="645"/>
      <c r="T346" s="64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28" t="s">
        <v>575</v>
      </c>
      <c r="AG346" s="78"/>
      <c r="AJ346" s="84" t="s">
        <v>46</v>
      </c>
      <c r="AK346" s="84">
        <v>0</v>
      </c>
      <c r="BB346" s="429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580</v>
      </c>
      <c r="B347" s="63" t="s">
        <v>581</v>
      </c>
      <c r="C347" s="36">
        <v>4301030233</v>
      </c>
      <c r="D347" s="643">
        <v>4607091388404</v>
      </c>
      <c r="E347" s="643"/>
      <c r="F347" s="62">
        <v>0.17</v>
      </c>
      <c r="G347" s="37">
        <v>15</v>
      </c>
      <c r="H347" s="62">
        <v>2.5499999999999998</v>
      </c>
      <c r="I347" s="62">
        <v>2.88</v>
      </c>
      <c r="J347" s="37">
        <v>182</v>
      </c>
      <c r="K347" s="37" t="s">
        <v>82</v>
      </c>
      <c r="L347" s="37" t="s">
        <v>46</v>
      </c>
      <c r="M347" s="38" t="s">
        <v>115</v>
      </c>
      <c r="N347" s="38"/>
      <c r="O347" s="37">
        <v>180</v>
      </c>
      <c r="P347" s="8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47" s="645"/>
      <c r="R347" s="645"/>
      <c r="S347" s="645"/>
      <c r="T347" s="64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30" t="s">
        <v>575</v>
      </c>
      <c r="AG347" s="78"/>
      <c r="AJ347" s="84" t="s">
        <v>46</v>
      </c>
      <c r="AK347" s="84">
        <v>0</v>
      </c>
      <c r="BB347" s="431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651"/>
      <c r="B348" s="651"/>
      <c r="C348" s="651"/>
      <c r="D348" s="651"/>
      <c r="E348" s="651"/>
      <c r="F348" s="651"/>
      <c r="G348" s="651"/>
      <c r="H348" s="651"/>
      <c r="I348" s="651"/>
      <c r="J348" s="651"/>
      <c r="K348" s="651"/>
      <c r="L348" s="651"/>
      <c r="M348" s="651"/>
      <c r="N348" s="651"/>
      <c r="O348" s="652"/>
      <c r="P348" s="648" t="s">
        <v>40</v>
      </c>
      <c r="Q348" s="649"/>
      <c r="R348" s="649"/>
      <c r="S348" s="649"/>
      <c r="T348" s="649"/>
      <c r="U348" s="649"/>
      <c r="V348" s="650"/>
      <c r="W348" s="42" t="s">
        <v>39</v>
      </c>
      <c r="X348" s="43">
        <f>IFERROR(X344/H344,"0")+IFERROR(X345/H345,"0")+IFERROR(X346/H346,"0")+IFERROR(X347/H347,"0")</f>
        <v>0</v>
      </c>
      <c r="Y348" s="43">
        <f>IFERROR(Y344/H344,"0")+IFERROR(Y345/H345,"0")+IFERROR(Y346/H346,"0")+IFERROR(Y347/H347,"0")</f>
        <v>0</v>
      </c>
      <c r="Z348" s="43">
        <f>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x14ac:dyDescent="0.2">
      <c r="A349" s="651"/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2"/>
      <c r="P349" s="648" t="s">
        <v>40</v>
      </c>
      <c r="Q349" s="649"/>
      <c r="R349" s="649"/>
      <c r="S349" s="649"/>
      <c r="T349" s="649"/>
      <c r="U349" s="649"/>
      <c r="V349" s="650"/>
      <c r="W349" s="42" t="s">
        <v>0</v>
      </c>
      <c r="X349" s="43">
        <f>IFERROR(SUM(X344:X347),"0")</f>
        <v>0</v>
      </c>
      <c r="Y349" s="43">
        <f>IFERROR(SUM(Y344:Y347),"0")</f>
        <v>0</v>
      </c>
      <c r="Z349" s="42"/>
      <c r="AA349" s="67"/>
      <c r="AB349" s="67"/>
      <c r="AC349" s="67"/>
    </row>
    <row r="350" spans="1:68" ht="14.25" customHeight="1" x14ac:dyDescent="0.25">
      <c r="A350" s="642" t="s">
        <v>582</v>
      </c>
      <c r="B350" s="642"/>
      <c r="C350" s="642"/>
      <c r="D350" s="642"/>
      <c r="E350" s="642"/>
      <c r="F350" s="642"/>
      <c r="G350" s="642"/>
      <c r="H350" s="642"/>
      <c r="I350" s="642"/>
      <c r="J350" s="642"/>
      <c r="K350" s="642"/>
      <c r="L350" s="642"/>
      <c r="M350" s="642"/>
      <c r="N350" s="642"/>
      <c r="O350" s="642"/>
      <c r="P350" s="642"/>
      <c r="Q350" s="642"/>
      <c r="R350" s="642"/>
      <c r="S350" s="642"/>
      <c r="T350" s="642"/>
      <c r="U350" s="642"/>
      <c r="V350" s="642"/>
      <c r="W350" s="642"/>
      <c r="X350" s="642"/>
      <c r="Y350" s="642"/>
      <c r="Z350" s="642"/>
      <c r="AA350" s="66"/>
      <c r="AB350" s="66"/>
      <c r="AC350" s="80"/>
    </row>
    <row r="351" spans="1:68" ht="16.5" customHeight="1" x14ac:dyDescent="0.25">
      <c r="A351" s="63" t="s">
        <v>583</v>
      </c>
      <c r="B351" s="63" t="s">
        <v>584</v>
      </c>
      <c r="C351" s="36">
        <v>4301180007</v>
      </c>
      <c r="D351" s="643">
        <v>4680115881808</v>
      </c>
      <c r="E351" s="643"/>
      <c r="F351" s="62">
        <v>0.1</v>
      </c>
      <c r="G351" s="37">
        <v>20</v>
      </c>
      <c r="H351" s="62">
        <v>2</v>
      </c>
      <c r="I351" s="62">
        <v>2.2400000000000002</v>
      </c>
      <c r="J351" s="37">
        <v>238</v>
      </c>
      <c r="K351" s="37" t="s">
        <v>82</v>
      </c>
      <c r="L351" s="37" t="s">
        <v>46</v>
      </c>
      <c r="M351" s="38" t="s">
        <v>586</v>
      </c>
      <c r="N351" s="38"/>
      <c r="O351" s="37">
        <v>730</v>
      </c>
      <c r="P351" s="8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1" s="645"/>
      <c r="R351" s="645"/>
      <c r="S351" s="645"/>
      <c r="T351" s="64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IFERROR(IF(Y351=0,"",ROUNDUP(Y351/H351,0)*0.00474),"")</f>
        <v/>
      </c>
      <c r="AA351" s="68" t="s">
        <v>46</v>
      </c>
      <c r="AB351" s="69" t="s">
        <v>46</v>
      </c>
      <c r="AC351" s="432" t="s">
        <v>585</v>
      </c>
      <c r="AG351" s="78"/>
      <c r="AJ351" s="84" t="s">
        <v>46</v>
      </c>
      <c r="AK351" s="84">
        <v>0</v>
      </c>
      <c r="BB351" s="43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587</v>
      </c>
      <c r="B352" s="63" t="s">
        <v>588</v>
      </c>
      <c r="C352" s="36">
        <v>4301180006</v>
      </c>
      <c r="D352" s="643">
        <v>4680115881822</v>
      </c>
      <c r="E352" s="643"/>
      <c r="F352" s="62">
        <v>0.1</v>
      </c>
      <c r="G352" s="37">
        <v>20</v>
      </c>
      <c r="H352" s="62">
        <v>2</v>
      </c>
      <c r="I352" s="62">
        <v>2.2400000000000002</v>
      </c>
      <c r="J352" s="37">
        <v>238</v>
      </c>
      <c r="K352" s="37" t="s">
        <v>82</v>
      </c>
      <c r="L352" s="37" t="s">
        <v>46</v>
      </c>
      <c r="M352" s="38" t="s">
        <v>586</v>
      </c>
      <c r="N352" s="38"/>
      <c r="O352" s="37">
        <v>730</v>
      </c>
      <c r="P352" s="8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2" s="645"/>
      <c r="R352" s="645"/>
      <c r="S352" s="645"/>
      <c r="T352" s="64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IFERROR(IF(Y352=0,"",ROUNDUP(Y352/H352,0)*0.00474),"")</f>
        <v/>
      </c>
      <c r="AA352" s="68" t="s">
        <v>46</v>
      </c>
      <c r="AB352" s="69" t="s">
        <v>46</v>
      </c>
      <c r="AC352" s="434" t="s">
        <v>585</v>
      </c>
      <c r="AG352" s="78"/>
      <c r="AJ352" s="84" t="s">
        <v>46</v>
      </c>
      <c r="AK352" s="84">
        <v>0</v>
      </c>
      <c r="BB352" s="43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589</v>
      </c>
      <c r="B353" s="63" t="s">
        <v>590</v>
      </c>
      <c r="C353" s="36">
        <v>4301180001</v>
      </c>
      <c r="D353" s="643">
        <v>4680115880016</v>
      </c>
      <c r="E353" s="643"/>
      <c r="F353" s="62">
        <v>0.1</v>
      </c>
      <c r="G353" s="37">
        <v>20</v>
      </c>
      <c r="H353" s="62">
        <v>2</v>
      </c>
      <c r="I353" s="62">
        <v>2.2400000000000002</v>
      </c>
      <c r="J353" s="37">
        <v>238</v>
      </c>
      <c r="K353" s="37" t="s">
        <v>82</v>
      </c>
      <c r="L353" s="37" t="s">
        <v>46</v>
      </c>
      <c r="M353" s="38" t="s">
        <v>586</v>
      </c>
      <c r="N353" s="38"/>
      <c r="O353" s="37">
        <v>730</v>
      </c>
      <c r="P353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3" s="645"/>
      <c r="R353" s="645"/>
      <c r="S353" s="645"/>
      <c r="T353" s="64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IFERROR(IF(Y353=0,"",ROUNDUP(Y353/H353,0)*0.00474),"")</f>
        <v/>
      </c>
      <c r="AA353" s="68" t="s">
        <v>46</v>
      </c>
      <c r="AB353" s="69" t="s">
        <v>46</v>
      </c>
      <c r="AC353" s="436" t="s">
        <v>585</v>
      </c>
      <c r="AG353" s="78"/>
      <c r="AJ353" s="84" t="s">
        <v>46</v>
      </c>
      <c r="AK353" s="84">
        <v>0</v>
      </c>
      <c r="BB353" s="43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51"/>
      <c r="B354" s="651"/>
      <c r="C354" s="651"/>
      <c r="D354" s="651"/>
      <c r="E354" s="651"/>
      <c r="F354" s="651"/>
      <c r="G354" s="651"/>
      <c r="H354" s="651"/>
      <c r="I354" s="651"/>
      <c r="J354" s="651"/>
      <c r="K354" s="651"/>
      <c r="L354" s="651"/>
      <c r="M354" s="651"/>
      <c r="N354" s="651"/>
      <c r="O354" s="652"/>
      <c r="P354" s="648" t="s">
        <v>40</v>
      </c>
      <c r="Q354" s="649"/>
      <c r="R354" s="649"/>
      <c r="S354" s="649"/>
      <c r="T354" s="649"/>
      <c r="U354" s="649"/>
      <c r="V354" s="650"/>
      <c r="W354" s="42" t="s">
        <v>39</v>
      </c>
      <c r="X354" s="43">
        <f>IFERROR(X351/H351,"0")+IFERROR(X352/H352,"0")+IFERROR(X353/H353,"0")</f>
        <v>0</v>
      </c>
      <c r="Y354" s="43">
        <f>IFERROR(Y351/H351,"0")+IFERROR(Y352/H352,"0")+IFERROR(Y353/H353,"0")</f>
        <v>0</v>
      </c>
      <c r="Z354" s="43">
        <f>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651"/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2"/>
      <c r="P355" s="648" t="s">
        <v>40</v>
      </c>
      <c r="Q355" s="649"/>
      <c r="R355" s="649"/>
      <c r="S355" s="649"/>
      <c r="T355" s="649"/>
      <c r="U355" s="649"/>
      <c r="V355" s="650"/>
      <c r="W355" s="42" t="s">
        <v>0</v>
      </c>
      <c r="X355" s="43">
        <f>IFERROR(SUM(X351:X353),"0")</f>
        <v>0</v>
      </c>
      <c r="Y355" s="43">
        <f>IFERROR(SUM(Y351:Y353),"0")</f>
        <v>0</v>
      </c>
      <c r="Z355" s="42"/>
      <c r="AA355" s="67"/>
      <c r="AB355" s="67"/>
      <c r="AC355" s="67"/>
    </row>
    <row r="356" spans="1:68" ht="16.5" customHeight="1" x14ac:dyDescent="0.25">
      <c r="A356" s="641" t="s">
        <v>591</v>
      </c>
      <c r="B356" s="641"/>
      <c r="C356" s="641"/>
      <c r="D356" s="641"/>
      <c r="E356" s="641"/>
      <c r="F356" s="641"/>
      <c r="G356" s="641"/>
      <c r="H356" s="641"/>
      <c r="I356" s="641"/>
      <c r="J356" s="641"/>
      <c r="K356" s="641"/>
      <c r="L356" s="641"/>
      <c r="M356" s="641"/>
      <c r="N356" s="641"/>
      <c r="O356" s="641"/>
      <c r="P356" s="641"/>
      <c r="Q356" s="641"/>
      <c r="R356" s="641"/>
      <c r="S356" s="641"/>
      <c r="T356" s="641"/>
      <c r="U356" s="641"/>
      <c r="V356" s="641"/>
      <c r="W356" s="641"/>
      <c r="X356" s="641"/>
      <c r="Y356" s="641"/>
      <c r="Z356" s="641"/>
      <c r="AA356" s="65"/>
      <c r="AB356" s="65"/>
      <c r="AC356" s="79"/>
    </row>
    <row r="357" spans="1:68" ht="14.25" customHeight="1" x14ac:dyDescent="0.25">
      <c r="A357" s="642" t="s">
        <v>87</v>
      </c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42"/>
      <c r="P357" s="642"/>
      <c r="Q357" s="642"/>
      <c r="R357" s="642"/>
      <c r="S357" s="642"/>
      <c r="T357" s="642"/>
      <c r="U357" s="642"/>
      <c r="V357" s="642"/>
      <c r="W357" s="642"/>
      <c r="X357" s="642"/>
      <c r="Y357" s="642"/>
      <c r="Z357" s="642"/>
      <c r="AA357" s="66"/>
      <c r="AB357" s="66"/>
      <c r="AC357" s="80"/>
    </row>
    <row r="358" spans="1:68" ht="27" customHeight="1" x14ac:dyDescent="0.25">
      <c r="A358" s="63" t="s">
        <v>592</v>
      </c>
      <c r="B358" s="63" t="s">
        <v>593</v>
      </c>
      <c r="C358" s="36">
        <v>4301051489</v>
      </c>
      <c r="D358" s="643">
        <v>4607091387919</v>
      </c>
      <c r="E358" s="643"/>
      <c r="F358" s="62">
        <v>1.35</v>
      </c>
      <c r="G358" s="37">
        <v>6</v>
      </c>
      <c r="H358" s="62">
        <v>8.1</v>
      </c>
      <c r="I358" s="62">
        <v>8.5939999999999994</v>
      </c>
      <c r="J358" s="37">
        <v>64</v>
      </c>
      <c r="K358" s="37" t="s">
        <v>127</v>
      </c>
      <c r="L358" s="37" t="s">
        <v>46</v>
      </c>
      <c r="M358" s="38" t="s">
        <v>97</v>
      </c>
      <c r="N358" s="38"/>
      <c r="O358" s="37">
        <v>45</v>
      </c>
      <c r="P358" s="8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58" s="645"/>
      <c r="R358" s="645"/>
      <c r="S358" s="645"/>
      <c r="T358" s="64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38" t="s">
        <v>594</v>
      </c>
      <c r="AG358" s="78"/>
      <c r="AJ358" s="84" t="s">
        <v>46</v>
      </c>
      <c r="AK358" s="84">
        <v>0</v>
      </c>
      <c r="BB358" s="439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595</v>
      </c>
      <c r="B359" s="63" t="s">
        <v>596</v>
      </c>
      <c r="C359" s="36">
        <v>4301051461</v>
      </c>
      <c r="D359" s="643">
        <v>4680115883604</v>
      </c>
      <c r="E359" s="643"/>
      <c r="F359" s="62">
        <v>0.35</v>
      </c>
      <c r="G359" s="37">
        <v>6</v>
      </c>
      <c r="H359" s="62">
        <v>2.1</v>
      </c>
      <c r="I359" s="62">
        <v>2.3519999999999999</v>
      </c>
      <c r="J359" s="37">
        <v>182</v>
      </c>
      <c r="K359" s="37" t="s">
        <v>82</v>
      </c>
      <c r="L359" s="37" t="s">
        <v>46</v>
      </c>
      <c r="M359" s="38" t="s">
        <v>91</v>
      </c>
      <c r="N359" s="38"/>
      <c r="O359" s="37">
        <v>45</v>
      </c>
      <c r="P359" s="8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59" s="645"/>
      <c r="R359" s="645"/>
      <c r="S359" s="645"/>
      <c r="T359" s="646"/>
      <c r="U359" s="39" t="s">
        <v>46</v>
      </c>
      <c r="V359" s="39" t="s">
        <v>46</v>
      </c>
      <c r="W359" s="40" t="s">
        <v>0</v>
      </c>
      <c r="X359" s="58"/>
      <c r="Y359" s="55">
        <f>IFERROR(IF(X359="",0,CEILING((X359/$H359),1)*$H359),"")</f>
        <v>0</v>
      </c>
      <c r="Z359" s="41" t="str">
        <f>IFERROR(IF(Y359=0,"",ROUNDUP(Y359/H359,0)*0.00651),"")</f>
        <v/>
      </c>
      <c r="AA359" s="68" t="s">
        <v>46</v>
      </c>
      <c r="AB359" s="69" t="s">
        <v>46</v>
      </c>
      <c r="AC359" s="440" t="s">
        <v>597</v>
      </c>
      <c r="AG359" s="78"/>
      <c r="AJ359" s="84" t="s">
        <v>46</v>
      </c>
      <c r="AK359" s="84">
        <v>0</v>
      </c>
      <c r="BB359" s="441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598</v>
      </c>
      <c r="B360" s="63" t="s">
        <v>599</v>
      </c>
      <c r="C360" s="36">
        <v>4301051864</v>
      </c>
      <c r="D360" s="643">
        <v>4680115883567</v>
      </c>
      <c r="E360" s="643"/>
      <c r="F360" s="62">
        <v>0.35</v>
      </c>
      <c r="G360" s="37">
        <v>6</v>
      </c>
      <c r="H360" s="62">
        <v>2.1</v>
      </c>
      <c r="I360" s="62">
        <v>2.34</v>
      </c>
      <c r="J360" s="37">
        <v>182</v>
      </c>
      <c r="K360" s="37" t="s">
        <v>82</v>
      </c>
      <c r="L360" s="37" t="s">
        <v>46</v>
      </c>
      <c r="M360" s="38" t="s">
        <v>97</v>
      </c>
      <c r="N360" s="38"/>
      <c r="O360" s="37">
        <v>40</v>
      </c>
      <c r="P360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0" s="645"/>
      <c r="R360" s="645"/>
      <c r="S360" s="645"/>
      <c r="T360" s="646"/>
      <c r="U360" s="39" t="s">
        <v>46</v>
      </c>
      <c r="V360" s="39" t="s">
        <v>46</v>
      </c>
      <c r="W360" s="40" t="s">
        <v>0</v>
      </c>
      <c r="X360" s="58"/>
      <c r="Y360" s="55">
        <f>IFERROR(IF(X360="",0,CEILING((X360/$H360),1)*$H360),"")</f>
        <v>0</v>
      </c>
      <c r="Z360" s="41" t="str">
        <f>IFERROR(IF(Y360=0,"",ROUNDUP(Y360/H360,0)*0.00651),"")</f>
        <v/>
      </c>
      <c r="AA360" s="68" t="s">
        <v>46</v>
      </c>
      <c r="AB360" s="69" t="s">
        <v>46</v>
      </c>
      <c r="AC360" s="442" t="s">
        <v>600</v>
      </c>
      <c r="AG360" s="78"/>
      <c r="AJ360" s="84" t="s">
        <v>46</v>
      </c>
      <c r="AK360" s="84">
        <v>0</v>
      </c>
      <c r="BB360" s="443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651"/>
      <c r="B361" s="651"/>
      <c r="C361" s="651"/>
      <c r="D361" s="651"/>
      <c r="E361" s="651"/>
      <c r="F361" s="651"/>
      <c r="G361" s="651"/>
      <c r="H361" s="651"/>
      <c r="I361" s="651"/>
      <c r="J361" s="651"/>
      <c r="K361" s="651"/>
      <c r="L361" s="651"/>
      <c r="M361" s="651"/>
      <c r="N361" s="651"/>
      <c r="O361" s="652"/>
      <c r="P361" s="648" t="s">
        <v>40</v>
      </c>
      <c r="Q361" s="649"/>
      <c r="R361" s="649"/>
      <c r="S361" s="649"/>
      <c r="T361" s="649"/>
      <c r="U361" s="649"/>
      <c r="V361" s="650"/>
      <c r="W361" s="42" t="s">
        <v>39</v>
      </c>
      <c r="X361" s="43">
        <f>IFERROR(X358/H358,"0")+IFERROR(X359/H359,"0")+IFERROR(X360/H360,"0")</f>
        <v>0</v>
      </c>
      <c r="Y361" s="43">
        <f>IFERROR(Y358/H358,"0")+IFERROR(Y359/H359,"0")+IFERROR(Y360/H360,"0")</f>
        <v>0</v>
      </c>
      <c r="Z361" s="43">
        <f>IFERROR(IF(Z358="",0,Z358),"0")+IFERROR(IF(Z359="",0,Z359),"0")+IFERROR(IF(Z360="",0,Z360),"0")</f>
        <v>0</v>
      </c>
      <c r="AA361" s="67"/>
      <c r="AB361" s="67"/>
      <c r="AC361" s="67"/>
    </row>
    <row r="362" spans="1:68" x14ac:dyDescent="0.2">
      <c r="A362" s="651"/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2"/>
      <c r="P362" s="648" t="s">
        <v>40</v>
      </c>
      <c r="Q362" s="649"/>
      <c r="R362" s="649"/>
      <c r="S362" s="649"/>
      <c r="T362" s="649"/>
      <c r="U362" s="649"/>
      <c r="V362" s="650"/>
      <c r="W362" s="42" t="s">
        <v>0</v>
      </c>
      <c r="X362" s="43">
        <f>IFERROR(SUM(X358:X360),"0")</f>
        <v>0</v>
      </c>
      <c r="Y362" s="43">
        <f>IFERROR(SUM(Y358:Y360),"0")</f>
        <v>0</v>
      </c>
      <c r="Z362" s="42"/>
      <c r="AA362" s="67"/>
      <c r="AB362" s="67"/>
      <c r="AC362" s="67"/>
    </row>
    <row r="363" spans="1:68" ht="27.75" customHeight="1" x14ac:dyDescent="0.2">
      <c r="A363" s="640" t="s">
        <v>601</v>
      </c>
      <c r="B363" s="640"/>
      <c r="C363" s="640"/>
      <c r="D363" s="640"/>
      <c r="E363" s="640"/>
      <c r="F363" s="640"/>
      <c r="G363" s="640"/>
      <c r="H363" s="640"/>
      <c r="I363" s="640"/>
      <c r="J363" s="640"/>
      <c r="K363" s="640"/>
      <c r="L363" s="640"/>
      <c r="M363" s="640"/>
      <c r="N363" s="640"/>
      <c r="O363" s="640"/>
      <c r="P363" s="640"/>
      <c r="Q363" s="640"/>
      <c r="R363" s="640"/>
      <c r="S363" s="640"/>
      <c r="T363" s="640"/>
      <c r="U363" s="640"/>
      <c r="V363" s="640"/>
      <c r="W363" s="640"/>
      <c r="X363" s="640"/>
      <c r="Y363" s="640"/>
      <c r="Z363" s="640"/>
      <c r="AA363" s="54"/>
      <c r="AB363" s="54"/>
      <c r="AC363" s="54"/>
    </row>
    <row r="364" spans="1:68" ht="16.5" customHeight="1" x14ac:dyDescent="0.25">
      <c r="A364" s="641" t="s">
        <v>602</v>
      </c>
      <c r="B364" s="641"/>
      <c r="C364" s="641"/>
      <c r="D364" s="641"/>
      <c r="E364" s="641"/>
      <c r="F364" s="641"/>
      <c r="G364" s="641"/>
      <c r="H364" s="641"/>
      <c r="I364" s="641"/>
      <c r="J364" s="641"/>
      <c r="K364" s="641"/>
      <c r="L364" s="641"/>
      <c r="M364" s="641"/>
      <c r="N364" s="641"/>
      <c r="O364" s="641"/>
      <c r="P364" s="641"/>
      <c r="Q364" s="641"/>
      <c r="R364" s="641"/>
      <c r="S364" s="641"/>
      <c r="T364" s="641"/>
      <c r="U364" s="641"/>
      <c r="V364" s="641"/>
      <c r="W364" s="641"/>
      <c r="X364" s="641"/>
      <c r="Y364" s="641"/>
      <c r="Z364" s="641"/>
      <c r="AA364" s="65"/>
      <c r="AB364" s="65"/>
      <c r="AC364" s="79"/>
    </row>
    <row r="365" spans="1:68" ht="14.25" customHeight="1" x14ac:dyDescent="0.25">
      <c r="A365" s="642" t="s">
        <v>122</v>
      </c>
      <c r="B365" s="642"/>
      <c r="C365" s="642"/>
      <c r="D365" s="642"/>
      <c r="E365" s="642"/>
      <c r="F365" s="642"/>
      <c r="G365" s="642"/>
      <c r="H365" s="642"/>
      <c r="I365" s="642"/>
      <c r="J365" s="642"/>
      <c r="K365" s="642"/>
      <c r="L365" s="642"/>
      <c r="M365" s="642"/>
      <c r="N365" s="642"/>
      <c r="O365" s="642"/>
      <c r="P365" s="642"/>
      <c r="Q365" s="642"/>
      <c r="R365" s="642"/>
      <c r="S365" s="642"/>
      <c r="T365" s="642"/>
      <c r="U365" s="642"/>
      <c r="V365" s="642"/>
      <c r="W365" s="642"/>
      <c r="X365" s="642"/>
      <c r="Y365" s="642"/>
      <c r="Z365" s="642"/>
      <c r="AA365" s="66"/>
      <c r="AB365" s="66"/>
      <c r="AC365" s="80"/>
    </row>
    <row r="366" spans="1:68" ht="37.5" customHeight="1" x14ac:dyDescent="0.25">
      <c r="A366" s="63" t="s">
        <v>603</v>
      </c>
      <c r="B366" s="63" t="s">
        <v>604</v>
      </c>
      <c r="C366" s="36">
        <v>4301011869</v>
      </c>
      <c r="D366" s="643">
        <v>4680115884847</v>
      </c>
      <c r="E366" s="643"/>
      <c r="F366" s="62">
        <v>2.5</v>
      </c>
      <c r="G366" s="37">
        <v>6</v>
      </c>
      <c r="H366" s="62">
        <v>15</v>
      </c>
      <c r="I366" s="62">
        <v>15.47</v>
      </c>
      <c r="J366" s="37">
        <v>48</v>
      </c>
      <c r="K366" s="37" t="s">
        <v>127</v>
      </c>
      <c r="L366" s="37" t="s">
        <v>46</v>
      </c>
      <c r="M366" s="38" t="s">
        <v>81</v>
      </c>
      <c r="N366" s="38"/>
      <c r="O366" s="37">
        <v>60</v>
      </c>
      <c r="P366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6" s="645"/>
      <c r="R366" s="645"/>
      <c r="S366" s="645"/>
      <c r="T366" s="646"/>
      <c r="U366" s="39" t="s">
        <v>46</v>
      </c>
      <c r="V366" s="39" t="s">
        <v>46</v>
      </c>
      <c r="W366" s="40" t="s">
        <v>0</v>
      </c>
      <c r="X366" s="58">
        <v>140</v>
      </c>
      <c r="Y366" s="55">
        <f t="shared" ref="Y366:Y372" si="48">IFERROR(IF(X366="",0,CEILING((X366/$H366),1)*$H366),"")</f>
        <v>150</v>
      </c>
      <c r="Z366" s="41">
        <f>IFERROR(IF(Y366=0,"",ROUNDUP(Y366/H366,0)*0.02175),"")</f>
        <v>0.21749999999999997</v>
      </c>
      <c r="AA366" s="68" t="s">
        <v>46</v>
      </c>
      <c r="AB366" s="69" t="s">
        <v>46</v>
      </c>
      <c r="AC366" s="444" t="s">
        <v>605</v>
      </c>
      <c r="AG366" s="78"/>
      <c r="AJ366" s="84" t="s">
        <v>46</v>
      </c>
      <c r="AK366" s="84">
        <v>0</v>
      </c>
      <c r="BB366" s="445" t="s">
        <v>67</v>
      </c>
      <c r="BM366" s="78">
        <f t="shared" ref="BM366:BM372" si="49">IFERROR(X366*I366/H366,"0")</f>
        <v>144.38666666666668</v>
      </c>
      <c r="BN366" s="78">
        <f t="shared" ref="BN366:BN372" si="50">IFERROR(Y366*I366/H366,"0")</f>
        <v>154.69999999999999</v>
      </c>
      <c r="BO366" s="78">
        <f t="shared" ref="BO366:BO372" si="51">IFERROR(1/J366*(X366/H366),"0")</f>
        <v>0.19444444444444445</v>
      </c>
      <c r="BP366" s="78">
        <f t="shared" ref="BP366:BP372" si="52">IFERROR(1/J366*(Y366/H366),"0")</f>
        <v>0.20833333333333331</v>
      </c>
    </row>
    <row r="367" spans="1:68" ht="27" customHeight="1" x14ac:dyDescent="0.25">
      <c r="A367" s="63" t="s">
        <v>606</v>
      </c>
      <c r="B367" s="63" t="s">
        <v>607</v>
      </c>
      <c r="C367" s="36">
        <v>4301012083</v>
      </c>
      <c r="D367" s="643">
        <v>4680115884854</v>
      </c>
      <c r="E367" s="643"/>
      <c r="F367" s="62">
        <v>2.5</v>
      </c>
      <c r="G367" s="37">
        <v>6</v>
      </c>
      <c r="H367" s="62">
        <v>15</v>
      </c>
      <c r="I367" s="62">
        <v>15.47</v>
      </c>
      <c r="J367" s="37">
        <v>48</v>
      </c>
      <c r="K367" s="37" t="s">
        <v>127</v>
      </c>
      <c r="L367" s="37" t="s">
        <v>46</v>
      </c>
      <c r="M367" s="38" t="s">
        <v>126</v>
      </c>
      <c r="N367" s="38"/>
      <c r="O367" s="37">
        <v>60</v>
      </c>
      <c r="P367" s="8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67" s="645"/>
      <c r="R367" s="645"/>
      <c r="S367" s="645"/>
      <c r="T367" s="646"/>
      <c r="U367" s="39" t="s">
        <v>46</v>
      </c>
      <c r="V367" s="39" t="s">
        <v>46</v>
      </c>
      <c r="W367" s="40" t="s">
        <v>0</v>
      </c>
      <c r="X367" s="58">
        <v>100</v>
      </c>
      <c r="Y367" s="55">
        <f t="shared" si="48"/>
        <v>105</v>
      </c>
      <c r="Z367" s="41">
        <f>IFERROR(IF(Y367=0,"",ROUNDUP(Y367/H367,0)*0.02175),"")</f>
        <v>0.15225</v>
      </c>
      <c r="AA367" s="68" t="s">
        <v>46</v>
      </c>
      <c r="AB367" s="69" t="s">
        <v>46</v>
      </c>
      <c r="AC367" s="446" t="s">
        <v>608</v>
      </c>
      <c r="AG367" s="78"/>
      <c r="AJ367" s="84" t="s">
        <v>46</v>
      </c>
      <c r="AK367" s="84">
        <v>0</v>
      </c>
      <c r="BB367" s="447" t="s">
        <v>67</v>
      </c>
      <c r="BM367" s="78">
        <f t="shared" si="49"/>
        <v>103.13333333333334</v>
      </c>
      <c r="BN367" s="78">
        <f t="shared" si="50"/>
        <v>108.29</v>
      </c>
      <c r="BO367" s="78">
        <f t="shared" si="51"/>
        <v>0.1388888888888889</v>
      </c>
      <c r="BP367" s="78">
        <f t="shared" si="52"/>
        <v>0.14583333333333331</v>
      </c>
    </row>
    <row r="368" spans="1:68" ht="37.5" customHeight="1" x14ac:dyDescent="0.25">
      <c r="A368" s="63" t="s">
        <v>609</v>
      </c>
      <c r="B368" s="63" t="s">
        <v>610</v>
      </c>
      <c r="C368" s="36">
        <v>4301011867</v>
      </c>
      <c r="D368" s="643">
        <v>4680115884830</v>
      </c>
      <c r="E368" s="643"/>
      <c r="F368" s="62">
        <v>2.5</v>
      </c>
      <c r="G368" s="37">
        <v>6</v>
      </c>
      <c r="H368" s="62">
        <v>15</v>
      </c>
      <c r="I368" s="62">
        <v>15.47</v>
      </c>
      <c r="J368" s="37">
        <v>48</v>
      </c>
      <c r="K368" s="37" t="s">
        <v>127</v>
      </c>
      <c r="L368" s="37" t="s">
        <v>46</v>
      </c>
      <c r="M368" s="38" t="s">
        <v>81</v>
      </c>
      <c r="N368" s="38"/>
      <c r="O368" s="37">
        <v>60</v>
      </c>
      <c r="P368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68" s="645"/>
      <c r="R368" s="645"/>
      <c r="S368" s="645"/>
      <c r="T368" s="646"/>
      <c r="U368" s="39" t="s">
        <v>46</v>
      </c>
      <c r="V368" s="39" t="s">
        <v>46</v>
      </c>
      <c r="W368" s="40" t="s">
        <v>0</v>
      </c>
      <c r="X368" s="58"/>
      <c r="Y368" s="55">
        <f t="shared" si="48"/>
        <v>0</v>
      </c>
      <c r="Z368" s="41" t="str">
        <f>IFERROR(IF(Y368=0,"",ROUNDUP(Y368/H368,0)*0.02175),"")</f>
        <v/>
      </c>
      <c r="AA368" s="68" t="s">
        <v>46</v>
      </c>
      <c r="AB368" s="69" t="s">
        <v>46</v>
      </c>
      <c r="AC368" s="448" t="s">
        <v>611</v>
      </c>
      <c r="AG368" s="78"/>
      <c r="AJ368" s="84" t="s">
        <v>46</v>
      </c>
      <c r="AK368" s="84">
        <v>0</v>
      </c>
      <c r="BB368" s="449" t="s">
        <v>67</v>
      </c>
      <c r="BM368" s="78">
        <f t="shared" si="49"/>
        <v>0</v>
      </c>
      <c r="BN368" s="78">
        <f t="shared" si="50"/>
        <v>0</v>
      </c>
      <c r="BO368" s="78">
        <f t="shared" si="51"/>
        <v>0</v>
      </c>
      <c r="BP368" s="78">
        <f t="shared" si="52"/>
        <v>0</v>
      </c>
    </row>
    <row r="369" spans="1:68" ht="27" customHeight="1" x14ac:dyDescent="0.25">
      <c r="A369" s="63" t="s">
        <v>612</v>
      </c>
      <c r="B369" s="63" t="s">
        <v>613</v>
      </c>
      <c r="C369" s="36">
        <v>4301012215</v>
      </c>
      <c r="D369" s="643">
        <v>4680115887046</v>
      </c>
      <c r="E369" s="643"/>
      <c r="F369" s="62">
        <v>2.5</v>
      </c>
      <c r="G369" s="37">
        <v>6</v>
      </c>
      <c r="H369" s="62">
        <v>15</v>
      </c>
      <c r="I369" s="62">
        <v>15.47</v>
      </c>
      <c r="J369" s="37">
        <v>48</v>
      </c>
      <c r="K369" s="37" t="s">
        <v>127</v>
      </c>
      <c r="L369" s="37" t="s">
        <v>46</v>
      </c>
      <c r="M369" s="38" t="s">
        <v>97</v>
      </c>
      <c r="N369" s="38"/>
      <c r="O369" s="37">
        <v>60</v>
      </c>
      <c r="P369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69" s="645"/>
      <c r="R369" s="645"/>
      <c r="S369" s="645"/>
      <c r="T369" s="64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48"/>
        <v>0</v>
      </c>
      <c r="Z369" s="41" t="str">
        <f>IFERROR(IF(Y369=0,"",ROUNDUP(Y369/H369,0)*0.02175),"")</f>
        <v/>
      </c>
      <c r="AA369" s="68" t="s">
        <v>46</v>
      </c>
      <c r="AB369" s="69" t="s">
        <v>46</v>
      </c>
      <c r="AC369" s="450" t="s">
        <v>614</v>
      </c>
      <c r="AG369" s="78"/>
      <c r="AJ369" s="84" t="s">
        <v>46</v>
      </c>
      <c r="AK369" s="84">
        <v>0</v>
      </c>
      <c r="BB369" s="451" t="s">
        <v>67</v>
      </c>
      <c r="BM369" s="78">
        <f t="shared" si="49"/>
        <v>0</v>
      </c>
      <c r="BN369" s="78">
        <f t="shared" si="50"/>
        <v>0</v>
      </c>
      <c r="BO369" s="78">
        <f t="shared" si="51"/>
        <v>0</v>
      </c>
      <c r="BP369" s="78">
        <f t="shared" si="52"/>
        <v>0</v>
      </c>
    </row>
    <row r="370" spans="1:68" ht="27" customHeight="1" x14ac:dyDescent="0.25">
      <c r="A370" s="63" t="s">
        <v>615</v>
      </c>
      <c r="B370" s="63" t="s">
        <v>616</v>
      </c>
      <c r="C370" s="36">
        <v>4301011433</v>
      </c>
      <c r="D370" s="643">
        <v>4680115882638</v>
      </c>
      <c r="E370" s="64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90</v>
      </c>
      <c r="P370" s="8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0" s="645"/>
      <c r="R370" s="645"/>
      <c r="S370" s="645"/>
      <c r="T370" s="64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52" t="s">
        <v>617</v>
      </c>
      <c r="AG370" s="78"/>
      <c r="AJ370" s="84" t="s">
        <v>46</v>
      </c>
      <c r="AK370" s="84">
        <v>0</v>
      </c>
      <c r="BB370" s="453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customHeight="1" x14ac:dyDescent="0.25">
      <c r="A371" s="63" t="s">
        <v>618</v>
      </c>
      <c r="B371" s="63" t="s">
        <v>619</v>
      </c>
      <c r="C371" s="36">
        <v>4301011952</v>
      </c>
      <c r="D371" s="643">
        <v>4680115884922</v>
      </c>
      <c r="E371" s="643"/>
      <c r="F371" s="62">
        <v>0.5</v>
      </c>
      <c r="G371" s="37">
        <v>10</v>
      </c>
      <c r="H371" s="62">
        <v>5</v>
      </c>
      <c r="I371" s="62">
        <v>5.19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60</v>
      </c>
      <c r="P371" s="83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1" s="645"/>
      <c r="R371" s="645"/>
      <c r="S371" s="645"/>
      <c r="T371" s="64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54" t="s">
        <v>620</v>
      </c>
      <c r="AG371" s="78"/>
      <c r="AJ371" s="84" t="s">
        <v>46</v>
      </c>
      <c r="AK371" s="84">
        <v>0</v>
      </c>
      <c r="BB371" s="455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37.5" customHeight="1" x14ac:dyDescent="0.25">
      <c r="A372" s="63" t="s">
        <v>621</v>
      </c>
      <c r="B372" s="63" t="s">
        <v>622</v>
      </c>
      <c r="C372" s="36">
        <v>4301011868</v>
      </c>
      <c r="D372" s="643">
        <v>4680115884861</v>
      </c>
      <c r="E372" s="643"/>
      <c r="F372" s="62">
        <v>0.5</v>
      </c>
      <c r="G372" s="37">
        <v>10</v>
      </c>
      <c r="H372" s="62">
        <v>5</v>
      </c>
      <c r="I372" s="62">
        <v>5.19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60</v>
      </c>
      <c r="P372" s="8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2" s="645"/>
      <c r="R372" s="645"/>
      <c r="S372" s="645"/>
      <c r="T372" s="64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56" t="s">
        <v>611</v>
      </c>
      <c r="AG372" s="78"/>
      <c r="AJ372" s="84" t="s">
        <v>46</v>
      </c>
      <c r="AK372" s="84">
        <v>0</v>
      </c>
      <c r="BB372" s="457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x14ac:dyDescent="0.2">
      <c r="A373" s="651"/>
      <c r="B373" s="651"/>
      <c r="C373" s="651"/>
      <c r="D373" s="651"/>
      <c r="E373" s="651"/>
      <c r="F373" s="651"/>
      <c r="G373" s="651"/>
      <c r="H373" s="651"/>
      <c r="I373" s="651"/>
      <c r="J373" s="651"/>
      <c r="K373" s="651"/>
      <c r="L373" s="651"/>
      <c r="M373" s="651"/>
      <c r="N373" s="651"/>
      <c r="O373" s="652"/>
      <c r="P373" s="648" t="s">
        <v>40</v>
      </c>
      <c r="Q373" s="649"/>
      <c r="R373" s="649"/>
      <c r="S373" s="649"/>
      <c r="T373" s="649"/>
      <c r="U373" s="649"/>
      <c r="V373" s="650"/>
      <c r="W373" s="42" t="s">
        <v>39</v>
      </c>
      <c r="X373" s="43">
        <f>IFERROR(X366/H366,"0")+IFERROR(X367/H367,"0")+IFERROR(X368/H368,"0")+IFERROR(X369/H369,"0")+IFERROR(X370/H370,"0")+IFERROR(X371/H371,"0")+IFERROR(X372/H372,"0")</f>
        <v>16</v>
      </c>
      <c r="Y373" s="43">
        <f>IFERROR(Y366/H366,"0")+IFERROR(Y367/H367,"0")+IFERROR(Y368/H368,"0")+IFERROR(Y369/H369,"0")+IFERROR(Y370/H370,"0")+IFERROR(Y371/H371,"0")+IFERROR(Y372/H372,"0")</f>
        <v>17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0.36974999999999997</v>
      </c>
      <c r="AA373" s="67"/>
      <c r="AB373" s="67"/>
      <c r="AC373" s="67"/>
    </row>
    <row r="374" spans="1:68" x14ac:dyDescent="0.2">
      <c r="A374" s="651"/>
      <c r="B374" s="651"/>
      <c r="C374" s="651"/>
      <c r="D374" s="651"/>
      <c r="E374" s="651"/>
      <c r="F374" s="651"/>
      <c r="G374" s="651"/>
      <c r="H374" s="651"/>
      <c r="I374" s="651"/>
      <c r="J374" s="651"/>
      <c r="K374" s="651"/>
      <c r="L374" s="651"/>
      <c r="M374" s="651"/>
      <c r="N374" s="651"/>
      <c r="O374" s="652"/>
      <c r="P374" s="648" t="s">
        <v>40</v>
      </c>
      <c r="Q374" s="649"/>
      <c r="R374" s="649"/>
      <c r="S374" s="649"/>
      <c r="T374" s="649"/>
      <c r="U374" s="649"/>
      <c r="V374" s="650"/>
      <c r="W374" s="42" t="s">
        <v>0</v>
      </c>
      <c r="X374" s="43">
        <f>IFERROR(SUM(X366:X372),"0")</f>
        <v>240</v>
      </c>
      <c r="Y374" s="43">
        <f>IFERROR(SUM(Y366:Y372),"0")</f>
        <v>255</v>
      </c>
      <c r="Z374" s="42"/>
      <c r="AA374" s="67"/>
      <c r="AB374" s="67"/>
      <c r="AC374" s="67"/>
    </row>
    <row r="375" spans="1:68" ht="14.25" customHeight="1" x14ac:dyDescent="0.25">
      <c r="A375" s="642" t="s">
        <v>156</v>
      </c>
      <c r="B375" s="642"/>
      <c r="C375" s="642"/>
      <c r="D375" s="642"/>
      <c r="E375" s="642"/>
      <c r="F375" s="642"/>
      <c r="G375" s="642"/>
      <c r="H375" s="642"/>
      <c r="I375" s="642"/>
      <c r="J375" s="642"/>
      <c r="K375" s="642"/>
      <c r="L375" s="642"/>
      <c r="M375" s="642"/>
      <c r="N375" s="642"/>
      <c r="O375" s="642"/>
      <c r="P375" s="642"/>
      <c r="Q375" s="642"/>
      <c r="R375" s="642"/>
      <c r="S375" s="642"/>
      <c r="T375" s="642"/>
      <c r="U375" s="642"/>
      <c r="V375" s="642"/>
      <c r="W375" s="642"/>
      <c r="X375" s="642"/>
      <c r="Y375" s="642"/>
      <c r="Z375" s="642"/>
      <c r="AA375" s="66"/>
      <c r="AB375" s="66"/>
      <c r="AC375" s="80"/>
    </row>
    <row r="376" spans="1:68" ht="27" customHeight="1" x14ac:dyDescent="0.25">
      <c r="A376" s="63" t="s">
        <v>623</v>
      </c>
      <c r="B376" s="63" t="s">
        <v>624</v>
      </c>
      <c r="C376" s="36">
        <v>4301020178</v>
      </c>
      <c r="D376" s="643">
        <v>4607091383980</v>
      </c>
      <c r="E376" s="643"/>
      <c r="F376" s="62">
        <v>2.5</v>
      </c>
      <c r="G376" s="37">
        <v>6</v>
      </c>
      <c r="H376" s="62">
        <v>15</v>
      </c>
      <c r="I376" s="62">
        <v>15.47</v>
      </c>
      <c r="J376" s="37">
        <v>48</v>
      </c>
      <c r="K376" s="37" t="s">
        <v>127</v>
      </c>
      <c r="L376" s="37" t="s">
        <v>46</v>
      </c>
      <c r="M376" s="38" t="s">
        <v>126</v>
      </c>
      <c r="N376" s="38"/>
      <c r="O376" s="37">
        <v>50</v>
      </c>
      <c r="P376" s="83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6" s="645"/>
      <c r="R376" s="645"/>
      <c r="S376" s="645"/>
      <c r="T376" s="646"/>
      <c r="U376" s="39" t="s">
        <v>46</v>
      </c>
      <c r="V376" s="39" t="s">
        <v>46</v>
      </c>
      <c r="W376" s="40" t="s">
        <v>0</v>
      </c>
      <c r="X376" s="58">
        <v>150</v>
      </c>
      <c r="Y376" s="55">
        <f>IFERROR(IF(X376="",0,CEILING((X376/$H376),1)*$H376),"")</f>
        <v>150</v>
      </c>
      <c r="Z376" s="41">
        <f>IFERROR(IF(Y376=0,"",ROUNDUP(Y376/H376,0)*0.02175),"")</f>
        <v>0.21749999999999997</v>
      </c>
      <c r="AA376" s="68" t="s">
        <v>46</v>
      </c>
      <c r="AB376" s="69" t="s">
        <v>46</v>
      </c>
      <c r="AC376" s="458" t="s">
        <v>625</v>
      </c>
      <c r="AG376" s="78"/>
      <c r="AJ376" s="84" t="s">
        <v>46</v>
      </c>
      <c r="AK376" s="84">
        <v>0</v>
      </c>
      <c r="BB376" s="459" t="s">
        <v>67</v>
      </c>
      <c r="BM376" s="78">
        <f>IFERROR(X376*I376/H376,"0")</f>
        <v>154.69999999999999</v>
      </c>
      <c r="BN376" s="78">
        <f>IFERROR(Y376*I376/H376,"0")</f>
        <v>154.69999999999999</v>
      </c>
      <c r="BO376" s="78">
        <f>IFERROR(1/J376*(X376/H376),"0")</f>
        <v>0.20833333333333331</v>
      </c>
      <c r="BP376" s="78">
        <f>IFERROR(1/J376*(Y376/H376),"0")</f>
        <v>0.20833333333333331</v>
      </c>
    </row>
    <row r="377" spans="1:68" ht="27" customHeight="1" x14ac:dyDescent="0.25">
      <c r="A377" s="63" t="s">
        <v>626</v>
      </c>
      <c r="B377" s="63" t="s">
        <v>627</v>
      </c>
      <c r="C377" s="36">
        <v>4301020179</v>
      </c>
      <c r="D377" s="643">
        <v>4607091384178</v>
      </c>
      <c r="E377" s="643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134</v>
      </c>
      <c r="L377" s="37" t="s">
        <v>46</v>
      </c>
      <c r="M377" s="38" t="s">
        <v>126</v>
      </c>
      <c r="N377" s="38"/>
      <c r="O377" s="37">
        <v>50</v>
      </c>
      <c r="P377" s="8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77" s="645"/>
      <c r="R377" s="645"/>
      <c r="S377" s="645"/>
      <c r="T377" s="646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0" t="s">
        <v>628</v>
      </c>
      <c r="AG377" s="78"/>
      <c r="AJ377" s="84" t="s">
        <v>46</v>
      </c>
      <c r="AK377" s="84">
        <v>0</v>
      </c>
      <c r="BB377" s="461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39</v>
      </c>
      <c r="X378" s="43">
        <f>IFERROR(X376/H376,"0")+IFERROR(X377/H377,"0")</f>
        <v>10</v>
      </c>
      <c r="Y378" s="43">
        <f>IFERROR(Y376/H376,"0")+IFERROR(Y377/H377,"0")</f>
        <v>10</v>
      </c>
      <c r="Z378" s="43">
        <f>IFERROR(IF(Z376="",0,Z376),"0")+IFERROR(IF(Z377="",0,Z377),"0")</f>
        <v>0.21749999999999997</v>
      </c>
      <c r="AA378" s="67"/>
      <c r="AB378" s="67"/>
      <c r="AC378" s="67"/>
    </row>
    <row r="379" spans="1:68" x14ac:dyDescent="0.2">
      <c r="A379" s="651"/>
      <c r="B379" s="651"/>
      <c r="C379" s="651"/>
      <c r="D379" s="651"/>
      <c r="E379" s="651"/>
      <c r="F379" s="651"/>
      <c r="G379" s="651"/>
      <c r="H379" s="651"/>
      <c r="I379" s="651"/>
      <c r="J379" s="651"/>
      <c r="K379" s="651"/>
      <c r="L379" s="651"/>
      <c r="M379" s="651"/>
      <c r="N379" s="651"/>
      <c r="O379" s="652"/>
      <c r="P379" s="648" t="s">
        <v>40</v>
      </c>
      <c r="Q379" s="649"/>
      <c r="R379" s="649"/>
      <c r="S379" s="649"/>
      <c r="T379" s="649"/>
      <c r="U379" s="649"/>
      <c r="V379" s="650"/>
      <c r="W379" s="42" t="s">
        <v>0</v>
      </c>
      <c r="X379" s="43">
        <f>IFERROR(SUM(X376:X377),"0")</f>
        <v>150</v>
      </c>
      <c r="Y379" s="43">
        <f>IFERROR(SUM(Y376:Y377),"0")</f>
        <v>150</v>
      </c>
      <c r="Z379" s="42"/>
      <c r="AA379" s="67"/>
      <c r="AB379" s="67"/>
      <c r="AC379" s="67"/>
    </row>
    <row r="380" spans="1:68" ht="14.25" customHeight="1" x14ac:dyDescent="0.25">
      <c r="A380" s="642" t="s">
        <v>87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6"/>
      <c r="AB380" s="66"/>
      <c r="AC380" s="80"/>
    </row>
    <row r="381" spans="1:68" ht="27" customHeight="1" x14ac:dyDescent="0.25">
      <c r="A381" s="63" t="s">
        <v>629</v>
      </c>
      <c r="B381" s="63" t="s">
        <v>630</v>
      </c>
      <c r="C381" s="36">
        <v>4301051903</v>
      </c>
      <c r="D381" s="643">
        <v>4607091383928</v>
      </c>
      <c r="E381" s="643"/>
      <c r="F381" s="62">
        <v>1.5</v>
      </c>
      <c r="G381" s="37">
        <v>6</v>
      </c>
      <c r="H381" s="62">
        <v>9</v>
      </c>
      <c r="I381" s="62">
        <v>9.5</v>
      </c>
      <c r="J381" s="37">
        <v>64</v>
      </c>
      <c r="K381" s="37" t="s">
        <v>127</v>
      </c>
      <c r="L381" s="37" t="s">
        <v>46</v>
      </c>
      <c r="M381" s="38" t="s">
        <v>91</v>
      </c>
      <c r="N381" s="38"/>
      <c r="O381" s="37">
        <v>40</v>
      </c>
      <c r="P381" s="8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1" s="645"/>
      <c r="R381" s="645"/>
      <c r="S381" s="645"/>
      <c r="T381" s="64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62" t="s">
        <v>631</v>
      </c>
      <c r="AG381" s="78"/>
      <c r="AJ381" s="84" t="s">
        <v>46</v>
      </c>
      <c r="AK381" s="84">
        <v>0</v>
      </c>
      <c r="BB381" s="46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632</v>
      </c>
      <c r="B382" s="63" t="s">
        <v>633</v>
      </c>
      <c r="C382" s="36">
        <v>4301051897</v>
      </c>
      <c r="D382" s="643">
        <v>4607091384260</v>
      </c>
      <c r="E382" s="643"/>
      <c r="F382" s="62">
        <v>1.5</v>
      </c>
      <c r="G382" s="37">
        <v>6</v>
      </c>
      <c r="H382" s="62">
        <v>9</v>
      </c>
      <c r="I382" s="62">
        <v>9.4939999999999998</v>
      </c>
      <c r="J382" s="37">
        <v>64</v>
      </c>
      <c r="K382" s="37" t="s">
        <v>127</v>
      </c>
      <c r="L382" s="37" t="s">
        <v>46</v>
      </c>
      <c r="M382" s="38" t="s">
        <v>91</v>
      </c>
      <c r="N382" s="38"/>
      <c r="O382" s="37">
        <v>40</v>
      </c>
      <c r="P382" s="8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2" s="645"/>
      <c r="R382" s="645"/>
      <c r="S382" s="645"/>
      <c r="T382" s="64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64" t="s">
        <v>634</v>
      </c>
      <c r="AG382" s="78"/>
      <c r="AJ382" s="84" t="s">
        <v>46</v>
      </c>
      <c r="AK382" s="84">
        <v>0</v>
      </c>
      <c r="BB382" s="46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51"/>
      <c r="B383" s="651"/>
      <c r="C383" s="651"/>
      <c r="D383" s="651"/>
      <c r="E383" s="651"/>
      <c r="F383" s="651"/>
      <c r="G383" s="651"/>
      <c r="H383" s="651"/>
      <c r="I383" s="651"/>
      <c r="J383" s="651"/>
      <c r="K383" s="651"/>
      <c r="L383" s="651"/>
      <c r="M383" s="651"/>
      <c r="N383" s="651"/>
      <c r="O383" s="652"/>
      <c r="P383" s="648" t="s">
        <v>40</v>
      </c>
      <c r="Q383" s="649"/>
      <c r="R383" s="649"/>
      <c r="S383" s="649"/>
      <c r="T383" s="649"/>
      <c r="U383" s="649"/>
      <c r="V383" s="650"/>
      <c r="W383" s="42" t="s">
        <v>39</v>
      </c>
      <c r="X383" s="43">
        <f>IFERROR(X381/H381,"0")+IFERROR(X382/H382,"0")</f>
        <v>0</v>
      </c>
      <c r="Y383" s="43">
        <f>IFERROR(Y381/H381,"0")+IFERROR(Y382/H382,"0")</f>
        <v>0</v>
      </c>
      <c r="Z383" s="43">
        <f>IFERROR(IF(Z381="",0,Z381),"0")+IFERROR(IF(Z382="",0,Z382),"0")</f>
        <v>0</v>
      </c>
      <c r="AA383" s="67"/>
      <c r="AB383" s="67"/>
      <c r="AC383" s="67"/>
    </row>
    <row r="384" spans="1:68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0</v>
      </c>
      <c r="X384" s="43">
        <f>IFERROR(SUM(X381:X382),"0")</f>
        <v>0</v>
      </c>
      <c r="Y384" s="43">
        <f>IFERROR(SUM(Y381:Y382),"0")</f>
        <v>0</v>
      </c>
      <c r="Z384" s="42"/>
      <c r="AA384" s="67"/>
      <c r="AB384" s="67"/>
      <c r="AC384" s="67"/>
    </row>
    <row r="385" spans="1:68" ht="14.25" customHeight="1" x14ac:dyDescent="0.25">
      <c r="A385" s="642" t="s">
        <v>176</v>
      </c>
      <c r="B385" s="642"/>
      <c r="C385" s="642"/>
      <c r="D385" s="642"/>
      <c r="E385" s="642"/>
      <c r="F385" s="642"/>
      <c r="G385" s="642"/>
      <c r="H385" s="642"/>
      <c r="I385" s="642"/>
      <c r="J385" s="642"/>
      <c r="K385" s="642"/>
      <c r="L385" s="642"/>
      <c r="M385" s="642"/>
      <c r="N385" s="642"/>
      <c r="O385" s="642"/>
      <c r="P385" s="642"/>
      <c r="Q385" s="642"/>
      <c r="R385" s="642"/>
      <c r="S385" s="642"/>
      <c r="T385" s="642"/>
      <c r="U385" s="642"/>
      <c r="V385" s="642"/>
      <c r="W385" s="642"/>
      <c r="X385" s="642"/>
      <c r="Y385" s="642"/>
      <c r="Z385" s="642"/>
      <c r="AA385" s="66"/>
      <c r="AB385" s="66"/>
      <c r="AC385" s="80"/>
    </row>
    <row r="386" spans="1:68" ht="16.5" customHeight="1" x14ac:dyDescent="0.25">
      <c r="A386" s="63" t="s">
        <v>635</v>
      </c>
      <c r="B386" s="63" t="s">
        <v>636</v>
      </c>
      <c r="C386" s="36">
        <v>4301060524</v>
      </c>
      <c r="D386" s="643">
        <v>4607091384673</v>
      </c>
      <c r="E386" s="643"/>
      <c r="F386" s="62">
        <v>1.5</v>
      </c>
      <c r="G386" s="37">
        <v>6</v>
      </c>
      <c r="H386" s="62">
        <v>9</v>
      </c>
      <c r="I386" s="62">
        <v>9.4939999999999998</v>
      </c>
      <c r="J386" s="37">
        <v>64</v>
      </c>
      <c r="K386" s="37" t="s">
        <v>127</v>
      </c>
      <c r="L386" s="37" t="s">
        <v>46</v>
      </c>
      <c r="M386" s="38" t="s">
        <v>91</v>
      </c>
      <c r="N386" s="38"/>
      <c r="O386" s="37">
        <v>40</v>
      </c>
      <c r="P38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6" s="645"/>
      <c r="R386" s="645"/>
      <c r="S386" s="645"/>
      <c r="T386" s="64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66" t="s">
        <v>637</v>
      </c>
      <c r="AG386" s="78"/>
      <c r="AJ386" s="84" t="s">
        <v>46</v>
      </c>
      <c r="AK386" s="84">
        <v>0</v>
      </c>
      <c r="BB386" s="46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51"/>
      <c r="B387" s="651"/>
      <c r="C387" s="651"/>
      <c r="D387" s="651"/>
      <c r="E387" s="651"/>
      <c r="F387" s="651"/>
      <c r="G387" s="651"/>
      <c r="H387" s="651"/>
      <c r="I387" s="651"/>
      <c r="J387" s="651"/>
      <c r="K387" s="651"/>
      <c r="L387" s="651"/>
      <c r="M387" s="651"/>
      <c r="N387" s="651"/>
      <c r="O387" s="652"/>
      <c r="P387" s="648" t="s">
        <v>40</v>
      </c>
      <c r="Q387" s="649"/>
      <c r="R387" s="649"/>
      <c r="S387" s="649"/>
      <c r="T387" s="649"/>
      <c r="U387" s="649"/>
      <c r="V387" s="650"/>
      <c r="W387" s="42" t="s">
        <v>39</v>
      </c>
      <c r="X387" s="43">
        <f>IFERROR(X386/H386,"0")</f>
        <v>0</v>
      </c>
      <c r="Y387" s="43">
        <f>IFERROR(Y386/H386,"0")</f>
        <v>0</v>
      </c>
      <c r="Z387" s="43">
        <f>IFERROR(IF(Z386="",0,Z386),"0")</f>
        <v>0</v>
      </c>
      <c r="AA387" s="67"/>
      <c r="AB387" s="67"/>
      <c r="AC387" s="67"/>
    </row>
    <row r="388" spans="1:68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2" t="s">
        <v>0</v>
      </c>
      <c r="X388" s="43">
        <f>IFERROR(SUM(X386:X386),"0")</f>
        <v>0</v>
      </c>
      <c r="Y388" s="43">
        <f>IFERROR(SUM(Y386:Y386),"0")</f>
        <v>0</v>
      </c>
      <c r="Z388" s="42"/>
      <c r="AA388" s="67"/>
      <c r="AB388" s="67"/>
      <c r="AC388" s="67"/>
    </row>
    <row r="389" spans="1:68" ht="16.5" customHeight="1" x14ac:dyDescent="0.25">
      <c r="A389" s="641" t="s">
        <v>638</v>
      </c>
      <c r="B389" s="641"/>
      <c r="C389" s="641"/>
      <c r="D389" s="641"/>
      <c r="E389" s="641"/>
      <c r="F389" s="641"/>
      <c r="G389" s="641"/>
      <c r="H389" s="641"/>
      <c r="I389" s="641"/>
      <c r="J389" s="641"/>
      <c r="K389" s="641"/>
      <c r="L389" s="641"/>
      <c r="M389" s="641"/>
      <c r="N389" s="641"/>
      <c r="O389" s="641"/>
      <c r="P389" s="641"/>
      <c r="Q389" s="641"/>
      <c r="R389" s="641"/>
      <c r="S389" s="641"/>
      <c r="T389" s="641"/>
      <c r="U389" s="641"/>
      <c r="V389" s="641"/>
      <c r="W389" s="641"/>
      <c r="X389" s="641"/>
      <c r="Y389" s="641"/>
      <c r="Z389" s="641"/>
      <c r="AA389" s="65"/>
      <c r="AB389" s="65"/>
      <c r="AC389" s="79"/>
    </row>
    <row r="390" spans="1:68" ht="14.25" customHeight="1" x14ac:dyDescent="0.25">
      <c r="A390" s="642" t="s">
        <v>122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6"/>
      <c r="AB390" s="66"/>
      <c r="AC390" s="80"/>
    </row>
    <row r="391" spans="1:68" ht="37.5" customHeight="1" x14ac:dyDescent="0.25">
      <c r="A391" s="63" t="s">
        <v>639</v>
      </c>
      <c r="B391" s="63" t="s">
        <v>640</v>
      </c>
      <c r="C391" s="36">
        <v>4301011875</v>
      </c>
      <c r="D391" s="643">
        <v>4680115884885</v>
      </c>
      <c r="E391" s="643"/>
      <c r="F391" s="62">
        <v>0.8</v>
      </c>
      <c r="G391" s="37">
        <v>15</v>
      </c>
      <c r="H391" s="62">
        <v>12</v>
      </c>
      <c r="I391" s="62">
        <v>12.41</v>
      </c>
      <c r="J391" s="37">
        <v>64</v>
      </c>
      <c r="K391" s="37" t="s">
        <v>127</v>
      </c>
      <c r="L391" s="37" t="s">
        <v>46</v>
      </c>
      <c r="M391" s="38" t="s">
        <v>81</v>
      </c>
      <c r="N391" s="38"/>
      <c r="O391" s="37">
        <v>60</v>
      </c>
      <c r="P391" s="84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1" s="645"/>
      <c r="R391" s="645"/>
      <c r="S391" s="645"/>
      <c r="T391" s="646"/>
      <c r="U391" s="39" t="s">
        <v>46</v>
      </c>
      <c r="V391" s="39" t="s">
        <v>46</v>
      </c>
      <c r="W391" s="40" t="s">
        <v>0</v>
      </c>
      <c r="X391" s="58"/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68" t="s">
        <v>641</v>
      </c>
      <c r="AG391" s="78"/>
      <c r="AJ391" s="84" t="s">
        <v>46</v>
      </c>
      <c r="AK391" s="84">
        <v>0</v>
      </c>
      <c r="BB391" s="469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37.5" customHeight="1" x14ac:dyDescent="0.25">
      <c r="A392" s="63" t="s">
        <v>642</v>
      </c>
      <c r="B392" s="63" t="s">
        <v>643</v>
      </c>
      <c r="C392" s="36">
        <v>4301011871</v>
      </c>
      <c r="D392" s="643">
        <v>4680115884908</v>
      </c>
      <c r="E392" s="643"/>
      <c r="F392" s="62">
        <v>0.4</v>
      </c>
      <c r="G392" s="37">
        <v>10</v>
      </c>
      <c r="H392" s="62">
        <v>4</v>
      </c>
      <c r="I392" s="62">
        <v>4.1900000000000004</v>
      </c>
      <c r="J392" s="37">
        <v>132</v>
      </c>
      <c r="K392" s="37" t="s">
        <v>134</v>
      </c>
      <c r="L392" s="37" t="s">
        <v>46</v>
      </c>
      <c r="M392" s="38" t="s">
        <v>81</v>
      </c>
      <c r="N392" s="38"/>
      <c r="O392" s="37">
        <v>60</v>
      </c>
      <c r="P392" s="84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2" s="645"/>
      <c r="R392" s="645"/>
      <c r="S392" s="645"/>
      <c r="T392" s="64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70" t="s">
        <v>641</v>
      </c>
      <c r="AG392" s="78"/>
      <c r="AJ392" s="84" t="s">
        <v>46</v>
      </c>
      <c r="AK392" s="84">
        <v>0</v>
      </c>
      <c r="BB392" s="471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51"/>
      <c r="B393" s="651"/>
      <c r="C393" s="651"/>
      <c r="D393" s="651"/>
      <c r="E393" s="651"/>
      <c r="F393" s="651"/>
      <c r="G393" s="651"/>
      <c r="H393" s="651"/>
      <c r="I393" s="651"/>
      <c r="J393" s="651"/>
      <c r="K393" s="651"/>
      <c r="L393" s="651"/>
      <c r="M393" s="651"/>
      <c r="N393" s="651"/>
      <c r="O393" s="652"/>
      <c r="P393" s="648" t="s">
        <v>40</v>
      </c>
      <c r="Q393" s="649"/>
      <c r="R393" s="649"/>
      <c r="S393" s="649"/>
      <c r="T393" s="649"/>
      <c r="U393" s="649"/>
      <c r="V393" s="650"/>
      <c r="W393" s="42" t="s">
        <v>39</v>
      </c>
      <c r="X393" s="43">
        <f>IFERROR(X391/H391,"0")+IFERROR(X392/H392,"0")</f>
        <v>0</v>
      </c>
      <c r="Y393" s="43">
        <f>IFERROR(Y391/H391,"0")+IFERROR(Y392/H392,"0")</f>
        <v>0</v>
      </c>
      <c r="Z393" s="43">
        <f>IFERROR(IF(Z391="",0,Z391),"0")+IFERROR(IF(Z392="",0,Z392),"0")</f>
        <v>0</v>
      </c>
      <c r="AA393" s="67"/>
      <c r="AB393" s="67"/>
      <c r="AC393" s="67"/>
    </row>
    <row r="394" spans="1:68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2" t="s">
        <v>0</v>
      </c>
      <c r="X394" s="43">
        <f>IFERROR(SUM(X391:X392),"0")</f>
        <v>0</v>
      </c>
      <c r="Y394" s="43">
        <f>IFERROR(SUM(Y391:Y392),"0")</f>
        <v>0</v>
      </c>
      <c r="Z394" s="42"/>
      <c r="AA394" s="67"/>
      <c r="AB394" s="67"/>
      <c r="AC394" s="67"/>
    </row>
    <row r="395" spans="1:68" ht="14.25" customHeight="1" x14ac:dyDescent="0.25">
      <c r="A395" s="642" t="s">
        <v>77</v>
      </c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42"/>
      <c r="P395" s="642"/>
      <c r="Q395" s="642"/>
      <c r="R395" s="642"/>
      <c r="S395" s="642"/>
      <c r="T395" s="642"/>
      <c r="U395" s="642"/>
      <c r="V395" s="642"/>
      <c r="W395" s="642"/>
      <c r="X395" s="642"/>
      <c r="Y395" s="642"/>
      <c r="Z395" s="642"/>
      <c r="AA395" s="66"/>
      <c r="AB395" s="66"/>
      <c r="AC395" s="80"/>
    </row>
    <row r="396" spans="1:68" ht="27" customHeight="1" x14ac:dyDescent="0.25">
      <c r="A396" s="63" t="s">
        <v>644</v>
      </c>
      <c r="B396" s="63" t="s">
        <v>645</v>
      </c>
      <c r="C396" s="36">
        <v>4301031457</v>
      </c>
      <c r="D396" s="643">
        <v>4607091384802</v>
      </c>
      <c r="E396" s="643"/>
      <c r="F396" s="62">
        <v>0.7</v>
      </c>
      <c r="G396" s="37">
        <v>6</v>
      </c>
      <c r="H396" s="62">
        <v>4.2</v>
      </c>
      <c r="I396" s="62">
        <v>4.45</v>
      </c>
      <c r="J396" s="37">
        <v>132</v>
      </c>
      <c r="K396" s="37" t="s">
        <v>134</v>
      </c>
      <c r="L396" s="37" t="s">
        <v>46</v>
      </c>
      <c r="M396" s="38" t="s">
        <v>81</v>
      </c>
      <c r="N396" s="38"/>
      <c r="O396" s="37">
        <v>50</v>
      </c>
      <c r="P396" s="8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6" s="645"/>
      <c r="R396" s="645"/>
      <c r="S396" s="645"/>
      <c r="T396" s="64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72" t="s">
        <v>646</v>
      </c>
      <c r="AG396" s="78"/>
      <c r="AJ396" s="84" t="s">
        <v>46</v>
      </c>
      <c r="AK396" s="84">
        <v>0</v>
      </c>
      <c r="BB396" s="473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IFERROR(X396/H396,"0")</f>
        <v>0</v>
      </c>
      <c r="Y397" s="43">
        <f>IFERROR(Y396/H396,"0")</f>
        <v>0</v>
      </c>
      <c r="Z397" s="43">
        <f>IFERROR(IF(Z396="",0,Z396),"0")</f>
        <v>0</v>
      </c>
      <c r="AA397" s="67"/>
      <c r="AB397" s="67"/>
      <c r="AC397" s="67"/>
    </row>
    <row r="398" spans="1:68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IFERROR(SUM(X396:X396),"0")</f>
        <v>0</v>
      </c>
      <c r="Y398" s="43">
        <f>IFERROR(SUM(Y396:Y396),"0")</f>
        <v>0</v>
      </c>
      <c r="Z398" s="42"/>
      <c r="AA398" s="67"/>
      <c r="AB398" s="67"/>
      <c r="AC398" s="67"/>
    </row>
    <row r="399" spans="1:68" ht="14.25" customHeight="1" x14ac:dyDescent="0.25">
      <c r="A399" s="642" t="s">
        <v>87</v>
      </c>
      <c r="B399" s="642"/>
      <c r="C399" s="642"/>
      <c r="D399" s="642"/>
      <c r="E399" s="642"/>
      <c r="F399" s="642"/>
      <c r="G399" s="642"/>
      <c r="H399" s="642"/>
      <c r="I399" s="642"/>
      <c r="J399" s="642"/>
      <c r="K399" s="642"/>
      <c r="L399" s="642"/>
      <c r="M399" s="642"/>
      <c r="N399" s="642"/>
      <c r="O399" s="642"/>
      <c r="P399" s="642"/>
      <c r="Q399" s="642"/>
      <c r="R399" s="642"/>
      <c r="S399" s="642"/>
      <c r="T399" s="642"/>
      <c r="U399" s="642"/>
      <c r="V399" s="642"/>
      <c r="W399" s="642"/>
      <c r="X399" s="642"/>
      <c r="Y399" s="642"/>
      <c r="Z399" s="642"/>
      <c r="AA399" s="66"/>
      <c r="AB399" s="66"/>
      <c r="AC399" s="80"/>
    </row>
    <row r="400" spans="1:68" ht="27" customHeight="1" x14ac:dyDescent="0.25">
      <c r="A400" s="63" t="s">
        <v>647</v>
      </c>
      <c r="B400" s="63" t="s">
        <v>648</v>
      </c>
      <c r="C400" s="36">
        <v>4301051899</v>
      </c>
      <c r="D400" s="643">
        <v>4607091384246</v>
      </c>
      <c r="E400" s="643"/>
      <c r="F400" s="62">
        <v>1.5</v>
      </c>
      <c r="G400" s="37">
        <v>6</v>
      </c>
      <c r="H400" s="62">
        <v>9</v>
      </c>
      <c r="I400" s="62">
        <v>9.4939999999999998</v>
      </c>
      <c r="J400" s="37">
        <v>64</v>
      </c>
      <c r="K400" s="37" t="s">
        <v>127</v>
      </c>
      <c r="L400" s="37" t="s">
        <v>46</v>
      </c>
      <c r="M400" s="38" t="s">
        <v>91</v>
      </c>
      <c r="N400" s="38"/>
      <c r="O400" s="37">
        <v>40</v>
      </c>
      <c r="P400" s="84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0" s="645"/>
      <c r="R400" s="645"/>
      <c r="S400" s="645"/>
      <c r="T400" s="64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74" t="s">
        <v>649</v>
      </c>
      <c r="AG400" s="78"/>
      <c r="AJ400" s="84" t="s">
        <v>46</v>
      </c>
      <c r="AK400" s="84">
        <v>0</v>
      </c>
      <c r="BB400" s="47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650</v>
      </c>
      <c r="B401" s="63" t="s">
        <v>651</v>
      </c>
      <c r="C401" s="36">
        <v>4301051660</v>
      </c>
      <c r="D401" s="643">
        <v>4607091384253</v>
      </c>
      <c r="E401" s="643"/>
      <c r="F401" s="62">
        <v>0.4</v>
      </c>
      <c r="G401" s="37">
        <v>6</v>
      </c>
      <c r="H401" s="62">
        <v>2.4</v>
      </c>
      <c r="I401" s="62">
        <v>2.6640000000000001</v>
      </c>
      <c r="J401" s="37">
        <v>182</v>
      </c>
      <c r="K401" s="37" t="s">
        <v>82</v>
      </c>
      <c r="L401" s="37" t="s">
        <v>46</v>
      </c>
      <c r="M401" s="38" t="s">
        <v>91</v>
      </c>
      <c r="N401" s="38"/>
      <c r="O401" s="37">
        <v>40</v>
      </c>
      <c r="P401" s="8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1" s="645"/>
      <c r="R401" s="645"/>
      <c r="S401" s="645"/>
      <c r="T401" s="646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76" t="s">
        <v>649</v>
      </c>
      <c r="AG401" s="78"/>
      <c r="AJ401" s="84" t="s">
        <v>46</v>
      </c>
      <c r="AK401" s="84">
        <v>0</v>
      </c>
      <c r="BB401" s="47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650</v>
      </c>
      <c r="B402" s="63" t="s">
        <v>652</v>
      </c>
      <c r="C402" s="36">
        <v>4301052069</v>
      </c>
      <c r="D402" s="643">
        <v>4607091384253</v>
      </c>
      <c r="E402" s="643"/>
      <c r="F402" s="62">
        <v>0.4</v>
      </c>
      <c r="G402" s="37">
        <v>6</v>
      </c>
      <c r="H402" s="62">
        <v>2.4</v>
      </c>
      <c r="I402" s="62">
        <v>2.6640000000000001</v>
      </c>
      <c r="J402" s="37">
        <v>182</v>
      </c>
      <c r="K402" s="37" t="s">
        <v>82</v>
      </c>
      <c r="L402" s="37" t="s">
        <v>46</v>
      </c>
      <c r="M402" s="38" t="s">
        <v>91</v>
      </c>
      <c r="N402" s="38"/>
      <c r="O402" s="37">
        <v>40</v>
      </c>
      <c r="P402" s="84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2" s="645"/>
      <c r="R402" s="645"/>
      <c r="S402" s="645"/>
      <c r="T402" s="64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78" t="s">
        <v>653</v>
      </c>
      <c r="AG402" s="78"/>
      <c r="AJ402" s="84" t="s">
        <v>46</v>
      </c>
      <c r="AK402" s="84">
        <v>0</v>
      </c>
      <c r="BB402" s="47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27.75" customHeight="1" x14ac:dyDescent="0.2">
      <c r="A405" s="640" t="s">
        <v>654</v>
      </c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0"/>
      <c r="P405" s="640"/>
      <c r="Q405" s="640"/>
      <c r="R405" s="640"/>
      <c r="S405" s="640"/>
      <c r="T405" s="640"/>
      <c r="U405" s="640"/>
      <c r="V405" s="640"/>
      <c r="W405" s="640"/>
      <c r="X405" s="640"/>
      <c r="Y405" s="640"/>
      <c r="Z405" s="640"/>
      <c r="AA405" s="54"/>
      <c r="AB405" s="54"/>
      <c r="AC405" s="54"/>
    </row>
    <row r="406" spans="1:68" ht="16.5" customHeight="1" x14ac:dyDescent="0.25">
      <c r="A406" s="641" t="s">
        <v>655</v>
      </c>
      <c r="B406" s="641"/>
      <c r="C406" s="641"/>
      <c r="D406" s="641"/>
      <c r="E406" s="641"/>
      <c r="F406" s="641"/>
      <c r="G406" s="641"/>
      <c r="H406" s="641"/>
      <c r="I406" s="641"/>
      <c r="J406" s="641"/>
      <c r="K406" s="641"/>
      <c r="L406" s="641"/>
      <c r="M406" s="641"/>
      <c r="N406" s="641"/>
      <c r="O406" s="641"/>
      <c r="P406" s="641"/>
      <c r="Q406" s="641"/>
      <c r="R406" s="641"/>
      <c r="S406" s="641"/>
      <c r="T406" s="641"/>
      <c r="U406" s="641"/>
      <c r="V406" s="641"/>
      <c r="W406" s="641"/>
      <c r="X406" s="641"/>
      <c r="Y406" s="641"/>
      <c r="Z406" s="641"/>
      <c r="AA406" s="65"/>
      <c r="AB406" s="65"/>
      <c r="AC406" s="79"/>
    </row>
    <row r="407" spans="1:68" ht="14.25" customHeight="1" x14ac:dyDescent="0.25">
      <c r="A407" s="642" t="s">
        <v>77</v>
      </c>
      <c r="B407" s="642"/>
      <c r="C407" s="642"/>
      <c r="D407" s="642"/>
      <c r="E407" s="642"/>
      <c r="F407" s="642"/>
      <c r="G407" s="642"/>
      <c r="H407" s="642"/>
      <c r="I407" s="642"/>
      <c r="J407" s="642"/>
      <c r="K407" s="642"/>
      <c r="L407" s="642"/>
      <c r="M407" s="642"/>
      <c r="N407" s="642"/>
      <c r="O407" s="642"/>
      <c r="P407" s="642"/>
      <c r="Q407" s="642"/>
      <c r="R407" s="642"/>
      <c r="S407" s="642"/>
      <c r="T407" s="642"/>
      <c r="U407" s="642"/>
      <c r="V407" s="642"/>
      <c r="W407" s="642"/>
      <c r="X407" s="642"/>
      <c r="Y407" s="642"/>
      <c r="Z407" s="642"/>
      <c r="AA407" s="66"/>
      <c r="AB407" s="66"/>
      <c r="AC407" s="80"/>
    </row>
    <row r="408" spans="1:68" ht="27" customHeight="1" x14ac:dyDescent="0.25">
      <c r="A408" s="63" t="s">
        <v>656</v>
      </c>
      <c r="B408" s="63" t="s">
        <v>657</v>
      </c>
      <c r="C408" s="36">
        <v>4301031405</v>
      </c>
      <c r="D408" s="643">
        <v>4680115886100</v>
      </c>
      <c r="E408" s="643"/>
      <c r="F408" s="62">
        <v>0.9</v>
      </c>
      <c r="G408" s="37">
        <v>6</v>
      </c>
      <c r="H408" s="62">
        <v>5.4</v>
      </c>
      <c r="I408" s="62">
        <v>5.59</v>
      </c>
      <c r="J408" s="37">
        <v>132</v>
      </c>
      <c r="K408" s="37" t="s">
        <v>134</v>
      </c>
      <c r="L408" s="37" t="s">
        <v>46</v>
      </c>
      <c r="M408" s="38" t="s">
        <v>81</v>
      </c>
      <c r="N408" s="38"/>
      <c r="O408" s="37">
        <v>50</v>
      </c>
      <c r="P408" s="8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08" s="645"/>
      <c r="R408" s="645"/>
      <c r="S408" s="645"/>
      <c r="T408" s="646"/>
      <c r="U408" s="39" t="s">
        <v>46</v>
      </c>
      <c r="V408" s="39" t="s">
        <v>46</v>
      </c>
      <c r="W408" s="40" t="s">
        <v>0</v>
      </c>
      <c r="X408" s="58">
        <v>10</v>
      </c>
      <c r="Y408" s="55">
        <f t="shared" ref="Y408:Y416" si="53">IFERROR(IF(X408="",0,CEILING((X408/$H408),1)*$H408),"")</f>
        <v>10.8</v>
      </c>
      <c r="Z408" s="41">
        <f>IFERROR(IF(Y408=0,"",ROUNDUP(Y408/H408,0)*0.00902),"")</f>
        <v>1.804E-2</v>
      </c>
      <c r="AA408" s="68" t="s">
        <v>46</v>
      </c>
      <c r="AB408" s="69" t="s">
        <v>46</v>
      </c>
      <c r="AC408" s="480" t="s">
        <v>658</v>
      </c>
      <c r="AG408" s="78"/>
      <c r="AJ408" s="84" t="s">
        <v>46</v>
      </c>
      <c r="AK408" s="84">
        <v>0</v>
      </c>
      <c r="BB408" s="481" t="s">
        <v>67</v>
      </c>
      <c r="BM408" s="78">
        <f t="shared" ref="BM408:BM416" si="54">IFERROR(X408*I408/H408,"0")</f>
        <v>10.351851851851851</v>
      </c>
      <c r="BN408" s="78">
        <f t="shared" ref="BN408:BN416" si="55">IFERROR(Y408*I408/H408,"0")</f>
        <v>11.18</v>
      </c>
      <c r="BO408" s="78">
        <f t="shared" ref="BO408:BO416" si="56">IFERROR(1/J408*(X408/H408),"0")</f>
        <v>1.4029180695847361E-2</v>
      </c>
      <c r="BP408" s="78">
        <f t="shared" ref="BP408:BP416" si="57">IFERROR(1/J408*(Y408/H408),"0")</f>
        <v>1.5151515151515152E-2</v>
      </c>
    </row>
    <row r="409" spans="1:68" ht="27" customHeight="1" x14ac:dyDescent="0.25">
      <c r="A409" s="63" t="s">
        <v>659</v>
      </c>
      <c r="B409" s="63" t="s">
        <v>660</v>
      </c>
      <c r="C409" s="36">
        <v>4301031406</v>
      </c>
      <c r="D409" s="643">
        <v>4680115886117</v>
      </c>
      <c r="E409" s="643"/>
      <c r="F409" s="62">
        <v>0.9</v>
      </c>
      <c r="G409" s="37">
        <v>6</v>
      </c>
      <c r="H409" s="62">
        <v>5.4</v>
      </c>
      <c r="I409" s="62">
        <v>5.59</v>
      </c>
      <c r="J409" s="37">
        <v>132</v>
      </c>
      <c r="K409" s="37" t="s">
        <v>134</v>
      </c>
      <c r="L409" s="37" t="s">
        <v>46</v>
      </c>
      <c r="M409" s="38" t="s">
        <v>81</v>
      </c>
      <c r="N409" s="38"/>
      <c r="O409" s="37">
        <v>50</v>
      </c>
      <c r="P409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09" s="645"/>
      <c r="R409" s="645"/>
      <c r="S409" s="645"/>
      <c r="T409" s="646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3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482" t="s">
        <v>661</v>
      </c>
      <c r="AG409" s="78"/>
      <c r="AJ409" s="84" t="s">
        <v>46</v>
      </c>
      <c r="AK409" s="84">
        <v>0</v>
      </c>
      <c r="BB409" s="483" t="s">
        <v>67</v>
      </c>
      <c r="BM409" s="78">
        <f t="shared" si="54"/>
        <v>0</v>
      </c>
      <c r="BN409" s="78">
        <f t="shared" si="55"/>
        <v>0</v>
      </c>
      <c r="BO409" s="78">
        <f t="shared" si="56"/>
        <v>0</v>
      </c>
      <c r="BP409" s="78">
        <f t="shared" si="57"/>
        <v>0</v>
      </c>
    </row>
    <row r="410" spans="1:68" ht="27" customHeight="1" x14ac:dyDescent="0.25">
      <c r="A410" s="63" t="s">
        <v>662</v>
      </c>
      <c r="B410" s="63" t="s">
        <v>663</v>
      </c>
      <c r="C410" s="36">
        <v>4301031402</v>
      </c>
      <c r="D410" s="643">
        <v>4680115886124</v>
      </c>
      <c r="E410" s="643"/>
      <c r="F410" s="62">
        <v>0.9</v>
      </c>
      <c r="G410" s="37">
        <v>6</v>
      </c>
      <c r="H410" s="62">
        <v>5.4</v>
      </c>
      <c r="I410" s="62">
        <v>5.59</v>
      </c>
      <c r="J410" s="37">
        <v>132</v>
      </c>
      <c r="K410" s="37" t="s">
        <v>134</v>
      </c>
      <c r="L410" s="37" t="s">
        <v>46</v>
      </c>
      <c r="M410" s="38" t="s">
        <v>81</v>
      </c>
      <c r="N410" s="38"/>
      <c r="O410" s="37">
        <v>50</v>
      </c>
      <c r="P410" s="85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0" s="645"/>
      <c r="R410" s="645"/>
      <c r="S410" s="645"/>
      <c r="T410" s="646"/>
      <c r="U410" s="39" t="s">
        <v>46</v>
      </c>
      <c r="V410" s="39" t="s">
        <v>46</v>
      </c>
      <c r="W410" s="40" t="s">
        <v>0</v>
      </c>
      <c r="X410" s="58">
        <v>10</v>
      </c>
      <c r="Y410" s="55">
        <f t="shared" si="53"/>
        <v>10.8</v>
      </c>
      <c r="Z410" s="41">
        <f>IFERROR(IF(Y410=0,"",ROUNDUP(Y410/H410,0)*0.00902),"")</f>
        <v>1.804E-2</v>
      </c>
      <c r="AA410" s="68" t="s">
        <v>46</v>
      </c>
      <c r="AB410" s="69" t="s">
        <v>46</v>
      </c>
      <c r="AC410" s="484" t="s">
        <v>664</v>
      </c>
      <c r="AG410" s="78"/>
      <c r="AJ410" s="84" t="s">
        <v>46</v>
      </c>
      <c r="AK410" s="84">
        <v>0</v>
      </c>
      <c r="BB410" s="485" t="s">
        <v>67</v>
      </c>
      <c r="BM410" s="78">
        <f t="shared" si="54"/>
        <v>10.351851851851851</v>
      </c>
      <c r="BN410" s="78">
        <f t="shared" si="55"/>
        <v>11.18</v>
      </c>
      <c r="BO410" s="78">
        <f t="shared" si="56"/>
        <v>1.4029180695847361E-2</v>
      </c>
      <c r="BP410" s="78">
        <f t="shared" si="57"/>
        <v>1.5151515151515152E-2</v>
      </c>
    </row>
    <row r="411" spans="1:68" ht="27" customHeight="1" x14ac:dyDescent="0.25">
      <c r="A411" s="63" t="s">
        <v>665</v>
      </c>
      <c r="B411" s="63" t="s">
        <v>666</v>
      </c>
      <c r="C411" s="36">
        <v>4301031366</v>
      </c>
      <c r="D411" s="643">
        <v>4680115883147</v>
      </c>
      <c r="E411" s="643"/>
      <c r="F411" s="62">
        <v>0.28000000000000003</v>
      </c>
      <c r="G411" s="37">
        <v>6</v>
      </c>
      <c r="H411" s="62">
        <v>1.68</v>
      </c>
      <c r="I411" s="62">
        <v>1.81</v>
      </c>
      <c r="J411" s="37">
        <v>234</v>
      </c>
      <c r="K411" s="37" t="s">
        <v>86</v>
      </c>
      <c r="L411" s="37" t="s">
        <v>46</v>
      </c>
      <c r="M411" s="38" t="s">
        <v>81</v>
      </c>
      <c r="N411" s="38"/>
      <c r="O411" s="37">
        <v>50</v>
      </c>
      <c r="P411" s="85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1" s="645"/>
      <c r="R411" s="645"/>
      <c r="S411" s="645"/>
      <c r="T411" s="646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3"/>
        <v>0</v>
      </c>
      <c r="Z411" s="41" t="str">
        <f t="shared" ref="Z411:Z416" si="58">IFERROR(IF(Y411=0,"",ROUNDUP(Y411/H411,0)*0.00502),"")</f>
        <v/>
      </c>
      <c r="AA411" s="68" t="s">
        <v>46</v>
      </c>
      <c r="AB411" s="69" t="s">
        <v>46</v>
      </c>
      <c r="AC411" s="486" t="s">
        <v>658</v>
      </c>
      <c r="AG411" s="78"/>
      <c r="AJ411" s="84" t="s">
        <v>46</v>
      </c>
      <c r="AK411" s="84">
        <v>0</v>
      </c>
      <c r="BB411" s="487" t="s">
        <v>67</v>
      </c>
      <c r="BM411" s="78">
        <f t="shared" si="54"/>
        <v>0</v>
      </c>
      <c r="BN411" s="78">
        <f t="shared" si="55"/>
        <v>0</v>
      </c>
      <c r="BO411" s="78">
        <f t="shared" si="56"/>
        <v>0</v>
      </c>
      <c r="BP411" s="78">
        <f t="shared" si="57"/>
        <v>0</v>
      </c>
    </row>
    <row r="412" spans="1:68" ht="27" customHeight="1" x14ac:dyDescent="0.25">
      <c r="A412" s="63" t="s">
        <v>667</v>
      </c>
      <c r="B412" s="63" t="s">
        <v>668</v>
      </c>
      <c r="C412" s="36">
        <v>4301031362</v>
      </c>
      <c r="D412" s="643">
        <v>4607091384338</v>
      </c>
      <c r="E412" s="643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86</v>
      </c>
      <c r="L412" s="37" t="s">
        <v>46</v>
      </c>
      <c r="M412" s="38" t="s">
        <v>81</v>
      </c>
      <c r="N412" s="38"/>
      <c r="O412" s="37">
        <v>50</v>
      </c>
      <c r="P412" s="8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2" s="645"/>
      <c r="R412" s="645"/>
      <c r="S412" s="645"/>
      <c r="T412" s="646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3"/>
        <v>0</v>
      </c>
      <c r="Z412" s="41" t="str">
        <f t="shared" si="58"/>
        <v/>
      </c>
      <c r="AA412" s="68" t="s">
        <v>46</v>
      </c>
      <c r="AB412" s="69" t="s">
        <v>46</v>
      </c>
      <c r="AC412" s="488" t="s">
        <v>658</v>
      </c>
      <c r="AG412" s="78"/>
      <c r="AJ412" s="84" t="s">
        <v>46</v>
      </c>
      <c r="AK412" s="84">
        <v>0</v>
      </c>
      <c r="BB412" s="489" t="s">
        <v>67</v>
      </c>
      <c r="BM412" s="78">
        <f t="shared" si="54"/>
        <v>0</v>
      </c>
      <c r="BN412" s="78">
        <f t="shared" si="55"/>
        <v>0</v>
      </c>
      <c r="BO412" s="78">
        <f t="shared" si="56"/>
        <v>0</v>
      </c>
      <c r="BP412" s="78">
        <f t="shared" si="57"/>
        <v>0</v>
      </c>
    </row>
    <row r="413" spans="1:68" ht="37.5" customHeight="1" x14ac:dyDescent="0.25">
      <c r="A413" s="63" t="s">
        <v>669</v>
      </c>
      <c r="B413" s="63" t="s">
        <v>670</v>
      </c>
      <c r="C413" s="36">
        <v>4301031361</v>
      </c>
      <c r="D413" s="643">
        <v>4607091389524</v>
      </c>
      <c r="E413" s="643"/>
      <c r="F413" s="62">
        <v>0.35</v>
      </c>
      <c r="G413" s="37">
        <v>6</v>
      </c>
      <c r="H413" s="62">
        <v>2.1</v>
      </c>
      <c r="I413" s="62">
        <v>2.23</v>
      </c>
      <c r="J413" s="37">
        <v>234</v>
      </c>
      <c r="K413" s="37" t="s">
        <v>86</v>
      </c>
      <c r="L413" s="37" t="s">
        <v>46</v>
      </c>
      <c r="M413" s="38" t="s">
        <v>81</v>
      </c>
      <c r="N413" s="38"/>
      <c r="O413" s="37">
        <v>50</v>
      </c>
      <c r="P413" s="85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3" s="645"/>
      <c r="R413" s="645"/>
      <c r="S413" s="645"/>
      <c r="T413" s="646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3"/>
        <v>0</v>
      </c>
      <c r="Z413" s="41" t="str">
        <f t="shared" si="58"/>
        <v/>
      </c>
      <c r="AA413" s="68" t="s">
        <v>46</v>
      </c>
      <c r="AB413" s="69" t="s">
        <v>46</v>
      </c>
      <c r="AC413" s="490" t="s">
        <v>671</v>
      </c>
      <c r="AG413" s="78"/>
      <c r="AJ413" s="84" t="s">
        <v>46</v>
      </c>
      <c r="AK413" s="84">
        <v>0</v>
      </c>
      <c r="BB413" s="491" t="s">
        <v>67</v>
      </c>
      <c r="BM413" s="78">
        <f t="shared" si="54"/>
        <v>0</v>
      </c>
      <c r="BN413" s="78">
        <f t="shared" si="55"/>
        <v>0</v>
      </c>
      <c r="BO413" s="78">
        <f t="shared" si="56"/>
        <v>0</v>
      </c>
      <c r="BP413" s="78">
        <f t="shared" si="57"/>
        <v>0</v>
      </c>
    </row>
    <row r="414" spans="1:68" ht="27" customHeight="1" x14ac:dyDescent="0.25">
      <c r="A414" s="63" t="s">
        <v>672</v>
      </c>
      <c r="B414" s="63" t="s">
        <v>673</v>
      </c>
      <c r="C414" s="36">
        <v>4301031364</v>
      </c>
      <c r="D414" s="643">
        <v>4680115883161</v>
      </c>
      <c r="E414" s="643"/>
      <c r="F414" s="62">
        <v>0.28000000000000003</v>
      </c>
      <c r="G414" s="37">
        <v>6</v>
      </c>
      <c r="H414" s="62">
        <v>1.68</v>
      </c>
      <c r="I414" s="62">
        <v>1.81</v>
      </c>
      <c r="J414" s="37">
        <v>234</v>
      </c>
      <c r="K414" s="37" t="s">
        <v>86</v>
      </c>
      <c r="L414" s="37" t="s">
        <v>46</v>
      </c>
      <c r="M414" s="38" t="s">
        <v>81</v>
      </c>
      <c r="N414" s="38"/>
      <c r="O414" s="37">
        <v>50</v>
      </c>
      <c r="P414" s="85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4" s="645"/>
      <c r="R414" s="645"/>
      <c r="S414" s="645"/>
      <c r="T414" s="646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3"/>
        <v>0</v>
      </c>
      <c r="Z414" s="41" t="str">
        <f t="shared" si="58"/>
        <v/>
      </c>
      <c r="AA414" s="68" t="s">
        <v>46</v>
      </c>
      <c r="AB414" s="69" t="s">
        <v>46</v>
      </c>
      <c r="AC414" s="492" t="s">
        <v>674</v>
      </c>
      <c r="AG414" s="78"/>
      <c r="AJ414" s="84" t="s">
        <v>46</v>
      </c>
      <c r="AK414" s="84">
        <v>0</v>
      </c>
      <c r="BB414" s="493" t="s">
        <v>67</v>
      </c>
      <c r="BM414" s="78">
        <f t="shared" si="54"/>
        <v>0</v>
      </c>
      <c r="BN414" s="78">
        <f t="shared" si="55"/>
        <v>0</v>
      </c>
      <c r="BO414" s="78">
        <f t="shared" si="56"/>
        <v>0</v>
      </c>
      <c r="BP414" s="78">
        <f t="shared" si="57"/>
        <v>0</v>
      </c>
    </row>
    <row r="415" spans="1:68" ht="27" customHeight="1" x14ac:dyDescent="0.25">
      <c r="A415" s="63" t="s">
        <v>675</v>
      </c>
      <c r="B415" s="63" t="s">
        <v>676</v>
      </c>
      <c r="C415" s="36">
        <v>4301031358</v>
      </c>
      <c r="D415" s="643">
        <v>4607091389531</v>
      </c>
      <c r="E415" s="643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86</v>
      </c>
      <c r="L415" s="37" t="s">
        <v>46</v>
      </c>
      <c r="M415" s="38" t="s">
        <v>81</v>
      </c>
      <c r="N415" s="38"/>
      <c r="O415" s="37">
        <v>50</v>
      </c>
      <c r="P415" s="85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5" s="645"/>
      <c r="R415" s="645"/>
      <c r="S415" s="645"/>
      <c r="T415" s="646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3"/>
        <v>0</v>
      </c>
      <c r="Z415" s="41" t="str">
        <f t="shared" si="58"/>
        <v/>
      </c>
      <c r="AA415" s="68" t="s">
        <v>46</v>
      </c>
      <c r="AB415" s="69" t="s">
        <v>46</v>
      </c>
      <c r="AC415" s="494" t="s">
        <v>677</v>
      </c>
      <c r="AG415" s="78"/>
      <c r="AJ415" s="84" t="s">
        <v>46</v>
      </c>
      <c r="AK415" s="84">
        <v>0</v>
      </c>
      <c r="BB415" s="495" t="s">
        <v>67</v>
      </c>
      <c r="BM415" s="78">
        <f t="shared" si="54"/>
        <v>0</v>
      </c>
      <c r="BN415" s="78">
        <f t="shared" si="55"/>
        <v>0</v>
      </c>
      <c r="BO415" s="78">
        <f t="shared" si="56"/>
        <v>0</v>
      </c>
      <c r="BP415" s="78">
        <f t="shared" si="57"/>
        <v>0</v>
      </c>
    </row>
    <row r="416" spans="1:68" ht="37.5" customHeight="1" x14ac:dyDescent="0.25">
      <c r="A416" s="63" t="s">
        <v>678</v>
      </c>
      <c r="B416" s="63" t="s">
        <v>679</v>
      </c>
      <c r="C416" s="36">
        <v>4301031360</v>
      </c>
      <c r="D416" s="643">
        <v>4607091384345</v>
      </c>
      <c r="E416" s="643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86</v>
      </c>
      <c r="L416" s="37" t="s">
        <v>46</v>
      </c>
      <c r="M416" s="38" t="s">
        <v>81</v>
      </c>
      <c r="N416" s="38"/>
      <c r="O416" s="37">
        <v>50</v>
      </c>
      <c r="P416" s="85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6" s="645"/>
      <c r="R416" s="645"/>
      <c r="S416" s="645"/>
      <c r="T416" s="646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3"/>
        <v>0</v>
      </c>
      <c r="Z416" s="41" t="str">
        <f t="shared" si="58"/>
        <v/>
      </c>
      <c r="AA416" s="68" t="s">
        <v>46</v>
      </c>
      <c r="AB416" s="69" t="s">
        <v>46</v>
      </c>
      <c r="AC416" s="496" t="s">
        <v>674</v>
      </c>
      <c r="AG416" s="78"/>
      <c r="AJ416" s="84" t="s">
        <v>46</v>
      </c>
      <c r="AK416" s="84">
        <v>0</v>
      </c>
      <c r="BB416" s="497" t="s">
        <v>67</v>
      </c>
      <c r="BM416" s="78">
        <f t="shared" si="54"/>
        <v>0</v>
      </c>
      <c r="BN416" s="78">
        <f t="shared" si="55"/>
        <v>0</v>
      </c>
      <c r="BO416" s="78">
        <f t="shared" si="56"/>
        <v>0</v>
      </c>
      <c r="BP416" s="78">
        <f t="shared" si="57"/>
        <v>0</v>
      </c>
    </row>
    <row r="417" spans="1:68" x14ac:dyDescent="0.2">
      <c r="A417" s="651"/>
      <c r="B417" s="651"/>
      <c r="C417" s="651"/>
      <c r="D417" s="651"/>
      <c r="E417" s="651"/>
      <c r="F417" s="651"/>
      <c r="G417" s="651"/>
      <c r="H417" s="651"/>
      <c r="I417" s="651"/>
      <c r="J417" s="651"/>
      <c r="K417" s="651"/>
      <c r="L417" s="651"/>
      <c r="M417" s="651"/>
      <c r="N417" s="651"/>
      <c r="O417" s="652"/>
      <c r="P417" s="648" t="s">
        <v>40</v>
      </c>
      <c r="Q417" s="649"/>
      <c r="R417" s="649"/>
      <c r="S417" s="649"/>
      <c r="T417" s="649"/>
      <c r="U417" s="649"/>
      <c r="V417" s="650"/>
      <c r="W417" s="42" t="s">
        <v>39</v>
      </c>
      <c r="X417" s="43">
        <f>IFERROR(X408/H408,"0")+IFERROR(X409/H409,"0")+IFERROR(X410/H410,"0")+IFERROR(X411/H411,"0")+IFERROR(X412/H412,"0")+IFERROR(X413/H413,"0")+IFERROR(X414/H414,"0")+IFERROR(X415/H415,"0")+IFERROR(X416/H416,"0")</f>
        <v>3.7037037037037033</v>
      </c>
      <c r="Y417" s="43">
        <f>IFERROR(Y408/H408,"0")+IFERROR(Y409/H409,"0")+IFERROR(Y410/H410,"0")+IFERROR(Y411/H411,"0")+IFERROR(Y412/H412,"0")+IFERROR(Y413/H413,"0")+IFERROR(Y414/H414,"0")+IFERROR(Y415/H415,"0")+IFERROR(Y416/H416,"0")</f>
        <v>4</v>
      </c>
      <c r="Z417" s="43">
        <f>IFERROR(IF(Z408="",0,Z408),"0")+IFERROR(IF(Z409="",0,Z409),"0")+IFERROR(IF(Z410="",0,Z410),"0")+IFERROR(IF(Z411="",0,Z411),"0")+IFERROR(IF(Z412="",0,Z412),"0")+IFERROR(IF(Z413="",0,Z413),"0")+IFERROR(IF(Z414="",0,Z414),"0")+IFERROR(IF(Z415="",0,Z415),"0")+IFERROR(IF(Z416="",0,Z416),"0")</f>
        <v>3.6080000000000001E-2</v>
      </c>
      <c r="AA417" s="67"/>
      <c r="AB417" s="67"/>
      <c r="AC417" s="67"/>
    </row>
    <row r="418" spans="1:68" x14ac:dyDescent="0.2">
      <c r="A418" s="651"/>
      <c r="B418" s="651"/>
      <c r="C418" s="651"/>
      <c r="D418" s="651"/>
      <c r="E418" s="651"/>
      <c r="F418" s="651"/>
      <c r="G418" s="651"/>
      <c r="H418" s="651"/>
      <c r="I418" s="651"/>
      <c r="J418" s="651"/>
      <c r="K418" s="651"/>
      <c r="L418" s="651"/>
      <c r="M418" s="651"/>
      <c r="N418" s="651"/>
      <c r="O418" s="652"/>
      <c r="P418" s="648" t="s">
        <v>40</v>
      </c>
      <c r="Q418" s="649"/>
      <c r="R418" s="649"/>
      <c r="S418" s="649"/>
      <c r="T418" s="649"/>
      <c r="U418" s="649"/>
      <c r="V418" s="650"/>
      <c r="W418" s="42" t="s">
        <v>0</v>
      </c>
      <c r="X418" s="43">
        <f>IFERROR(SUM(X408:X416),"0")</f>
        <v>20</v>
      </c>
      <c r="Y418" s="43">
        <f>IFERROR(SUM(Y408:Y416),"0")</f>
        <v>21.6</v>
      </c>
      <c r="Z418" s="42"/>
      <c r="AA418" s="67"/>
      <c r="AB418" s="67"/>
      <c r="AC418" s="67"/>
    </row>
    <row r="419" spans="1:68" ht="14.25" customHeight="1" x14ac:dyDescent="0.25">
      <c r="A419" s="642" t="s">
        <v>87</v>
      </c>
      <c r="B419" s="642"/>
      <c r="C419" s="642"/>
      <c r="D419" s="642"/>
      <c r="E419" s="642"/>
      <c r="F419" s="642"/>
      <c r="G419" s="642"/>
      <c r="H419" s="642"/>
      <c r="I419" s="642"/>
      <c r="J419" s="642"/>
      <c r="K419" s="642"/>
      <c r="L419" s="642"/>
      <c r="M419" s="642"/>
      <c r="N419" s="642"/>
      <c r="O419" s="642"/>
      <c r="P419" s="642"/>
      <c r="Q419" s="642"/>
      <c r="R419" s="642"/>
      <c r="S419" s="642"/>
      <c r="T419" s="642"/>
      <c r="U419" s="642"/>
      <c r="V419" s="642"/>
      <c r="W419" s="642"/>
      <c r="X419" s="642"/>
      <c r="Y419" s="642"/>
      <c r="Z419" s="642"/>
      <c r="AA419" s="66"/>
      <c r="AB419" s="66"/>
      <c r="AC419" s="80"/>
    </row>
    <row r="420" spans="1:68" ht="27" customHeight="1" x14ac:dyDescent="0.25">
      <c r="A420" s="63" t="s">
        <v>680</v>
      </c>
      <c r="B420" s="63" t="s">
        <v>681</v>
      </c>
      <c r="C420" s="36">
        <v>4301051284</v>
      </c>
      <c r="D420" s="643">
        <v>4607091384352</v>
      </c>
      <c r="E420" s="643"/>
      <c r="F420" s="62">
        <v>0.6</v>
      </c>
      <c r="G420" s="37">
        <v>4</v>
      </c>
      <c r="H420" s="62">
        <v>2.4</v>
      </c>
      <c r="I420" s="62">
        <v>2.6259999999999999</v>
      </c>
      <c r="J420" s="37">
        <v>132</v>
      </c>
      <c r="K420" s="37" t="s">
        <v>134</v>
      </c>
      <c r="L420" s="37" t="s">
        <v>46</v>
      </c>
      <c r="M420" s="38" t="s">
        <v>91</v>
      </c>
      <c r="N420" s="38"/>
      <c r="O420" s="37">
        <v>45</v>
      </c>
      <c r="P420" s="85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0" s="645"/>
      <c r="R420" s="645"/>
      <c r="S420" s="645"/>
      <c r="T420" s="646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498" t="s">
        <v>682</v>
      </c>
      <c r="AG420" s="78"/>
      <c r="AJ420" s="84" t="s">
        <v>46</v>
      </c>
      <c r="AK420" s="84">
        <v>0</v>
      </c>
      <c r="BB420" s="49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 x14ac:dyDescent="0.25">
      <c r="A421" s="63" t="s">
        <v>683</v>
      </c>
      <c r="B421" s="63" t="s">
        <v>684</v>
      </c>
      <c r="C421" s="36">
        <v>4301051431</v>
      </c>
      <c r="D421" s="643">
        <v>4607091389654</v>
      </c>
      <c r="E421" s="643"/>
      <c r="F421" s="62">
        <v>0.33</v>
      </c>
      <c r="G421" s="37">
        <v>6</v>
      </c>
      <c r="H421" s="62">
        <v>1.98</v>
      </c>
      <c r="I421" s="62">
        <v>2.238</v>
      </c>
      <c r="J421" s="37">
        <v>182</v>
      </c>
      <c r="K421" s="37" t="s">
        <v>82</v>
      </c>
      <c r="L421" s="37" t="s">
        <v>46</v>
      </c>
      <c r="M421" s="38" t="s">
        <v>91</v>
      </c>
      <c r="N421" s="38"/>
      <c r="O421" s="37">
        <v>45</v>
      </c>
      <c r="P421" s="85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1" s="645"/>
      <c r="R421" s="645"/>
      <c r="S421" s="645"/>
      <c r="T421" s="64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00" t="s">
        <v>685</v>
      </c>
      <c r="AG421" s="78"/>
      <c r="AJ421" s="84" t="s">
        <v>46</v>
      </c>
      <c r="AK421" s="84">
        <v>0</v>
      </c>
      <c r="BB421" s="501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6.5" customHeight="1" x14ac:dyDescent="0.25">
      <c r="A424" s="641" t="s">
        <v>686</v>
      </c>
      <c r="B424" s="641"/>
      <c r="C424" s="641"/>
      <c r="D424" s="641"/>
      <c r="E424" s="641"/>
      <c r="F424" s="641"/>
      <c r="G424" s="641"/>
      <c r="H424" s="641"/>
      <c r="I424" s="641"/>
      <c r="J424" s="641"/>
      <c r="K424" s="641"/>
      <c r="L424" s="641"/>
      <c r="M424" s="641"/>
      <c r="N424" s="641"/>
      <c r="O424" s="641"/>
      <c r="P424" s="641"/>
      <c r="Q424" s="641"/>
      <c r="R424" s="641"/>
      <c r="S424" s="641"/>
      <c r="T424" s="641"/>
      <c r="U424" s="641"/>
      <c r="V424" s="641"/>
      <c r="W424" s="641"/>
      <c r="X424" s="641"/>
      <c r="Y424" s="641"/>
      <c r="Z424" s="641"/>
      <c r="AA424" s="65"/>
      <c r="AB424" s="65"/>
      <c r="AC424" s="79"/>
    </row>
    <row r="425" spans="1:68" ht="14.25" customHeight="1" x14ac:dyDescent="0.25">
      <c r="A425" s="642" t="s">
        <v>156</v>
      </c>
      <c r="B425" s="642"/>
      <c r="C425" s="642"/>
      <c r="D425" s="642"/>
      <c r="E425" s="642"/>
      <c r="F425" s="642"/>
      <c r="G425" s="642"/>
      <c r="H425" s="642"/>
      <c r="I425" s="642"/>
      <c r="J425" s="642"/>
      <c r="K425" s="642"/>
      <c r="L425" s="642"/>
      <c r="M425" s="642"/>
      <c r="N425" s="642"/>
      <c r="O425" s="642"/>
      <c r="P425" s="642"/>
      <c r="Q425" s="642"/>
      <c r="R425" s="642"/>
      <c r="S425" s="642"/>
      <c r="T425" s="642"/>
      <c r="U425" s="642"/>
      <c r="V425" s="642"/>
      <c r="W425" s="642"/>
      <c r="X425" s="642"/>
      <c r="Y425" s="642"/>
      <c r="Z425" s="642"/>
      <c r="AA425" s="66"/>
      <c r="AB425" s="66"/>
      <c r="AC425" s="80"/>
    </row>
    <row r="426" spans="1:68" ht="27" customHeight="1" x14ac:dyDescent="0.25">
      <c r="A426" s="63" t="s">
        <v>687</v>
      </c>
      <c r="B426" s="63" t="s">
        <v>688</v>
      </c>
      <c r="C426" s="36">
        <v>4301020416</v>
      </c>
      <c r="D426" s="643">
        <v>4680115885240</v>
      </c>
      <c r="E426" s="643"/>
      <c r="F426" s="62">
        <v>0.35</v>
      </c>
      <c r="G426" s="37">
        <v>6</v>
      </c>
      <c r="H426" s="62">
        <v>2.1</v>
      </c>
      <c r="I426" s="62">
        <v>2.31</v>
      </c>
      <c r="J426" s="37">
        <v>182</v>
      </c>
      <c r="K426" s="37" t="s">
        <v>82</v>
      </c>
      <c r="L426" s="37" t="s">
        <v>46</v>
      </c>
      <c r="M426" s="38" t="s">
        <v>81</v>
      </c>
      <c r="N426" s="38"/>
      <c r="O426" s="37">
        <v>40</v>
      </c>
      <c r="P426" s="85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6" s="645"/>
      <c r="R426" s="645"/>
      <c r="S426" s="645"/>
      <c r="T426" s="646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02" t="s">
        <v>689</v>
      </c>
      <c r="AG426" s="78"/>
      <c r="AJ426" s="84" t="s">
        <v>46</v>
      </c>
      <c r="AK426" s="84">
        <v>0</v>
      </c>
      <c r="BB426" s="50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2" t="s">
        <v>39</v>
      </c>
      <c r="X427" s="43">
        <f>IFERROR(X426/H426,"0")</f>
        <v>0</v>
      </c>
      <c r="Y427" s="43">
        <f>IFERROR(Y426/H426,"0")</f>
        <v>0</v>
      </c>
      <c r="Z427" s="43">
        <f>IFERROR(IF(Z426="",0,Z426),"0")</f>
        <v>0</v>
      </c>
      <c r="AA427" s="67"/>
      <c r="AB427" s="67"/>
      <c r="AC427" s="67"/>
    </row>
    <row r="428" spans="1:68" x14ac:dyDescent="0.2">
      <c r="A428" s="651"/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2"/>
      <c r="P428" s="648" t="s">
        <v>40</v>
      </c>
      <c r="Q428" s="649"/>
      <c r="R428" s="649"/>
      <c r="S428" s="649"/>
      <c r="T428" s="649"/>
      <c r="U428" s="649"/>
      <c r="V428" s="650"/>
      <c r="W428" s="42" t="s">
        <v>0</v>
      </c>
      <c r="X428" s="43">
        <f>IFERROR(SUM(X426:X426),"0")</f>
        <v>0</v>
      </c>
      <c r="Y428" s="43">
        <f>IFERROR(SUM(Y426:Y426),"0")</f>
        <v>0</v>
      </c>
      <c r="Z428" s="42"/>
      <c r="AA428" s="67"/>
      <c r="AB428" s="67"/>
      <c r="AC428" s="67"/>
    </row>
    <row r="429" spans="1:68" ht="14.25" customHeight="1" x14ac:dyDescent="0.25">
      <c r="A429" s="642" t="s">
        <v>77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6"/>
      <c r="AB429" s="66"/>
      <c r="AC429" s="80"/>
    </row>
    <row r="430" spans="1:68" ht="27" customHeight="1" x14ac:dyDescent="0.25">
      <c r="A430" s="63" t="s">
        <v>690</v>
      </c>
      <c r="B430" s="63" t="s">
        <v>691</v>
      </c>
      <c r="C430" s="36">
        <v>4301031407</v>
      </c>
      <c r="D430" s="643">
        <v>4680115886094</v>
      </c>
      <c r="E430" s="643"/>
      <c r="F430" s="62">
        <v>0.9</v>
      </c>
      <c r="G430" s="37">
        <v>6</v>
      </c>
      <c r="H430" s="62">
        <v>5.4</v>
      </c>
      <c r="I430" s="62">
        <v>5.59</v>
      </c>
      <c r="J430" s="37">
        <v>132</v>
      </c>
      <c r="K430" s="37" t="s">
        <v>134</v>
      </c>
      <c r="L430" s="37" t="s">
        <v>46</v>
      </c>
      <c r="M430" s="38" t="s">
        <v>81</v>
      </c>
      <c r="N430" s="38"/>
      <c r="O430" s="37">
        <v>50</v>
      </c>
      <c r="P430" s="86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0" s="645"/>
      <c r="R430" s="645"/>
      <c r="S430" s="645"/>
      <c r="T430" s="646"/>
      <c r="U430" s="39" t="s">
        <v>46</v>
      </c>
      <c r="V430" s="39" t="s">
        <v>46</v>
      </c>
      <c r="W430" s="40" t="s">
        <v>0</v>
      </c>
      <c r="X430" s="58"/>
      <c r="Y430" s="55">
        <f>IFERROR(IF(X430="",0,CEILING((X430/$H430),1)*$H430),"")</f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04" t="s">
        <v>692</v>
      </c>
      <c r="AG430" s="78"/>
      <c r="AJ430" s="84" t="s">
        <v>46</v>
      </c>
      <c r="AK430" s="84">
        <v>0</v>
      </c>
      <c r="BB430" s="505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693</v>
      </c>
      <c r="B431" s="63" t="s">
        <v>694</v>
      </c>
      <c r="C431" s="36">
        <v>4301031373</v>
      </c>
      <c r="D431" s="643">
        <v>4680115880771</v>
      </c>
      <c r="E431" s="643"/>
      <c r="F431" s="62">
        <v>0.28000000000000003</v>
      </c>
      <c r="G431" s="37">
        <v>6</v>
      </c>
      <c r="H431" s="62">
        <v>1.68</v>
      </c>
      <c r="I431" s="62">
        <v>1.81</v>
      </c>
      <c r="J431" s="37">
        <v>234</v>
      </c>
      <c r="K431" s="37" t="s">
        <v>86</v>
      </c>
      <c r="L431" s="37" t="s">
        <v>46</v>
      </c>
      <c r="M431" s="38" t="s">
        <v>81</v>
      </c>
      <c r="N431" s="38"/>
      <c r="O431" s="37">
        <v>50</v>
      </c>
      <c r="P431" s="86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1" s="645"/>
      <c r="R431" s="645"/>
      <c r="S431" s="645"/>
      <c r="T431" s="64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IFERROR(IF(Y431=0,"",ROUNDUP(Y431/H431,0)*0.00502),"")</f>
        <v/>
      </c>
      <c r="AA431" s="68" t="s">
        <v>46</v>
      </c>
      <c r="AB431" s="69" t="s">
        <v>46</v>
      </c>
      <c r="AC431" s="506" t="s">
        <v>695</v>
      </c>
      <c r="AG431" s="78"/>
      <c r="AJ431" s="84" t="s">
        <v>46</v>
      </c>
      <c r="AK431" s="84">
        <v>0</v>
      </c>
      <c r="BB431" s="50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696</v>
      </c>
      <c r="B432" s="63" t="s">
        <v>697</v>
      </c>
      <c r="C432" s="36">
        <v>4301031359</v>
      </c>
      <c r="D432" s="643">
        <v>4607091389500</v>
      </c>
      <c r="E432" s="643"/>
      <c r="F432" s="62">
        <v>0.35</v>
      </c>
      <c r="G432" s="37">
        <v>6</v>
      </c>
      <c r="H432" s="62">
        <v>2.1</v>
      </c>
      <c r="I432" s="62">
        <v>2.23</v>
      </c>
      <c r="J432" s="37">
        <v>234</v>
      </c>
      <c r="K432" s="37" t="s">
        <v>86</v>
      </c>
      <c r="L432" s="37" t="s">
        <v>46</v>
      </c>
      <c r="M432" s="38" t="s">
        <v>81</v>
      </c>
      <c r="N432" s="38"/>
      <c r="O432" s="37">
        <v>50</v>
      </c>
      <c r="P432" s="86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2" s="645"/>
      <c r="R432" s="645"/>
      <c r="S432" s="645"/>
      <c r="T432" s="64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IFERROR(IF(Y432=0,"",ROUNDUP(Y432/H432,0)*0.00502),"")</f>
        <v/>
      </c>
      <c r="AA432" s="68" t="s">
        <v>46</v>
      </c>
      <c r="AB432" s="69" t="s">
        <v>46</v>
      </c>
      <c r="AC432" s="508" t="s">
        <v>695</v>
      </c>
      <c r="AG432" s="78"/>
      <c r="AJ432" s="84" t="s">
        <v>46</v>
      </c>
      <c r="AK432" s="84">
        <v>0</v>
      </c>
      <c r="BB432" s="50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651"/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2"/>
      <c r="P433" s="648" t="s">
        <v>40</v>
      </c>
      <c r="Q433" s="649"/>
      <c r="R433" s="649"/>
      <c r="S433" s="649"/>
      <c r="T433" s="649"/>
      <c r="U433" s="649"/>
      <c r="V433" s="650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651"/>
      <c r="B434" s="651"/>
      <c r="C434" s="651"/>
      <c r="D434" s="651"/>
      <c r="E434" s="651"/>
      <c r="F434" s="651"/>
      <c r="G434" s="651"/>
      <c r="H434" s="651"/>
      <c r="I434" s="651"/>
      <c r="J434" s="651"/>
      <c r="K434" s="651"/>
      <c r="L434" s="651"/>
      <c r="M434" s="651"/>
      <c r="N434" s="651"/>
      <c r="O434" s="652"/>
      <c r="P434" s="648" t="s">
        <v>40</v>
      </c>
      <c r="Q434" s="649"/>
      <c r="R434" s="649"/>
      <c r="S434" s="649"/>
      <c r="T434" s="649"/>
      <c r="U434" s="649"/>
      <c r="V434" s="650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6.5" customHeight="1" x14ac:dyDescent="0.25">
      <c r="A435" s="641" t="s">
        <v>698</v>
      </c>
      <c r="B435" s="641"/>
      <c r="C435" s="641"/>
      <c r="D435" s="641"/>
      <c r="E435" s="641"/>
      <c r="F435" s="641"/>
      <c r="G435" s="641"/>
      <c r="H435" s="641"/>
      <c r="I435" s="641"/>
      <c r="J435" s="641"/>
      <c r="K435" s="641"/>
      <c r="L435" s="641"/>
      <c r="M435" s="641"/>
      <c r="N435" s="641"/>
      <c r="O435" s="641"/>
      <c r="P435" s="641"/>
      <c r="Q435" s="641"/>
      <c r="R435" s="641"/>
      <c r="S435" s="641"/>
      <c r="T435" s="641"/>
      <c r="U435" s="641"/>
      <c r="V435" s="641"/>
      <c r="W435" s="641"/>
      <c r="X435" s="641"/>
      <c r="Y435" s="641"/>
      <c r="Z435" s="641"/>
      <c r="AA435" s="65"/>
      <c r="AB435" s="65"/>
      <c r="AC435" s="79"/>
    </row>
    <row r="436" spans="1:68" ht="14.25" customHeight="1" x14ac:dyDescent="0.25">
      <c r="A436" s="642" t="s">
        <v>77</v>
      </c>
      <c r="B436" s="642"/>
      <c r="C436" s="642"/>
      <c r="D436" s="642"/>
      <c r="E436" s="642"/>
      <c r="F436" s="642"/>
      <c r="G436" s="642"/>
      <c r="H436" s="642"/>
      <c r="I436" s="642"/>
      <c r="J436" s="642"/>
      <c r="K436" s="642"/>
      <c r="L436" s="642"/>
      <c r="M436" s="642"/>
      <c r="N436" s="642"/>
      <c r="O436" s="642"/>
      <c r="P436" s="642"/>
      <c r="Q436" s="642"/>
      <c r="R436" s="642"/>
      <c r="S436" s="642"/>
      <c r="T436" s="642"/>
      <c r="U436" s="642"/>
      <c r="V436" s="642"/>
      <c r="W436" s="642"/>
      <c r="X436" s="642"/>
      <c r="Y436" s="642"/>
      <c r="Z436" s="642"/>
      <c r="AA436" s="66"/>
      <c r="AB436" s="66"/>
      <c r="AC436" s="80"/>
    </row>
    <row r="437" spans="1:68" ht="27" customHeight="1" x14ac:dyDescent="0.25">
      <c r="A437" s="63" t="s">
        <v>699</v>
      </c>
      <c r="B437" s="63" t="s">
        <v>700</v>
      </c>
      <c r="C437" s="36">
        <v>4301031347</v>
      </c>
      <c r="D437" s="643">
        <v>4680115885110</v>
      </c>
      <c r="E437" s="643"/>
      <c r="F437" s="62">
        <v>0.2</v>
      </c>
      <c r="G437" s="37">
        <v>6</v>
      </c>
      <c r="H437" s="62">
        <v>1.2</v>
      </c>
      <c r="I437" s="62">
        <v>2.1</v>
      </c>
      <c r="J437" s="37">
        <v>182</v>
      </c>
      <c r="K437" s="37" t="s">
        <v>82</v>
      </c>
      <c r="L437" s="37" t="s">
        <v>46</v>
      </c>
      <c r="M437" s="38" t="s">
        <v>81</v>
      </c>
      <c r="N437" s="38"/>
      <c r="O437" s="37">
        <v>50</v>
      </c>
      <c r="P437" s="8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37" s="645"/>
      <c r="R437" s="645"/>
      <c r="S437" s="645"/>
      <c r="T437" s="64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46</v>
      </c>
      <c r="AB437" s="69" t="s">
        <v>46</v>
      </c>
      <c r="AC437" s="510" t="s">
        <v>701</v>
      </c>
      <c r="AG437" s="78"/>
      <c r="AJ437" s="84" t="s">
        <v>46</v>
      </c>
      <c r="AK437" s="84">
        <v>0</v>
      </c>
      <c r="BB437" s="511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51"/>
      <c r="B438" s="651"/>
      <c r="C438" s="651"/>
      <c r="D438" s="651"/>
      <c r="E438" s="651"/>
      <c r="F438" s="651"/>
      <c r="G438" s="651"/>
      <c r="H438" s="651"/>
      <c r="I438" s="651"/>
      <c r="J438" s="651"/>
      <c r="K438" s="651"/>
      <c r="L438" s="651"/>
      <c r="M438" s="651"/>
      <c r="N438" s="651"/>
      <c r="O438" s="652"/>
      <c r="P438" s="648" t="s">
        <v>40</v>
      </c>
      <c r="Q438" s="649"/>
      <c r="R438" s="649"/>
      <c r="S438" s="649"/>
      <c r="T438" s="649"/>
      <c r="U438" s="649"/>
      <c r="V438" s="650"/>
      <c r="W438" s="42" t="s">
        <v>39</v>
      </c>
      <c r="X438" s="43">
        <f>IFERROR(X437/H437,"0")</f>
        <v>0</v>
      </c>
      <c r="Y438" s="43">
        <f>IFERROR(Y437/H437,"0")</f>
        <v>0</v>
      </c>
      <c r="Z438" s="43">
        <f>IFERROR(IF(Z437="",0,Z437),"0")</f>
        <v>0</v>
      </c>
      <c r="AA438" s="67"/>
      <c r="AB438" s="67"/>
      <c r="AC438" s="67"/>
    </row>
    <row r="439" spans="1:68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2" t="s">
        <v>0</v>
      </c>
      <c r="X439" s="43">
        <f>IFERROR(SUM(X437:X437),"0")</f>
        <v>0</v>
      </c>
      <c r="Y439" s="43">
        <f>IFERROR(SUM(Y437:Y437),"0")</f>
        <v>0</v>
      </c>
      <c r="Z439" s="42"/>
      <c r="AA439" s="67"/>
      <c r="AB439" s="67"/>
      <c r="AC439" s="67"/>
    </row>
    <row r="440" spans="1:68" ht="27.75" customHeight="1" x14ac:dyDescent="0.2">
      <c r="A440" s="640" t="s">
        <v>702</v>
      </c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40"/>
      <c r="P440" s="640"/>
      <c r="Q440" s="640"/>
      <c r="R440" s="640"/>
      <c r="S440" s="640"/>
      <c r="T440" s="640"/>
      <c r="U440" s="640"/>
      <c r="V440" s="640"/>
      <c r="W440" s="640"/>
      <c r="X440" s="640"/>
      <c r="Y440" s="640"/>
      <c r="Z440" s="640"/>
      <c r="AA440" s="54"/>
      <c r="AB440" s="54"/>
      <c r="AC440" s="54"/>
    </row>
    <row r="441" spans="1:68" ht="16.5" customHeight="1" x14ac:dyDescent="0.25">
      <c r="A441" s="641" t="s">
        <v>702</v>
      </c>
      <c r="B441" s="641"/>
      <c r="C441" s="641"/>
      <c r="D441" s="641"/>
      <c r="E441" s="641"/>
      <c r="F441" s="641"/>
      <c r="G441" s="641"/>
      <c r="H441" s="641"/>
      <c r="I441" s="641"/>
      <c r="J441" s="641"/>
      <c r="K441" s="641"/>
      <c r="L441" s="641"/>
      <c r="M441" s="641"/>
      <c r="N441" s="641"/>
      <c r="O441" s="641"/>
      <c r="P441" s="641"/>
      <c r="Q441" s="641"/>
      <c r="R441" s="641"/>
      <c r="S441" s="641"/>
      <c r="T441" s="641"/>
      <c r="U441" s="641"/>
      <c r="V441" s="641"/>
      <c r="W441" s="641"/>
      <c r="X441" s="641"/>
      <c r="Y441" s="641"/>
      <c r="Z441" s="641"/>
      <c r="AA441" s="65"/>
      <c r="AB441" s="65"/>
      <c r="AC441" s="79"/>
    </row>
    <row r="442" spans="1:68" ht="14.25" customHeight="1" x14ac:dyDescent="0.25">
      <c r="A442" s="642" t="s">
        <v>122</v>
      </c>
      <c r="B442" s="642"/>
      <c r="C442" s="642"/>
      <c r="D442" s="642"/>
      <c r="E442" s="642"/>
      <c r="F442" s="642"/>
      <c r="G442" s="642"/>
      <c r="H442" s="642"/>
      <c r="I442" s="642"/>
      <c r="J442" s="642"/>
      <c r="K442" s="642"/>
      <c r="L442" s="642"/>
      <c r="M442" s="642"/>
      <c r="N442" s="642"/>
      <c r="O442" s="642"/>
      <c r="P442" s="642"/>
      <c r="Q442" s="642"/>
      <c r="R442" s="642"/>
      <c r="S442" s="642"/>
      <c r="T442" s="642"/>
      <c r="U442" s="642"/>
      <c r="V442" s="642"/>
      <c r="W442" s="642"/>
      <c r="X442" s="642"/>
      <c r="Y442" s="642"/>
      <c r="Z442" s="642"/>
      <c r="AA442" s="66"/>
      <c r="AB442" s="66"/>
      <c r="AC442" s="80"/>
    </row>
    <row r="443" spans="1:68" ht="27" customHeight="1" x14ac:dyDescent="0.25">
      <c r="A443" s="63" t="s">
        <v>703</v>
      </c>
      <c r="B443" s="63" t="s">
        <v>704</v>
      </c>
      <c r="C443" s="36">
        <v>4301011769</v>
      </c>
      <c r="D443" s="643">
        <v>4607091389067</v>
      </c>
      <c r="E443" s="64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127</v>
      </c>
      <c r="L443" s="37" t="s">
        <v>46</v>
      </c>
      <c r="M443" s="38" t="s">
        <v>91</v>
      </c>
      <c r="N443" s="38"/>
      <c r="O443" s="37">
        <v>60</v>
      </c>
      <c r="P443" s="8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3" s="645"/>
      <c r="R443" s="645"/>
      <c r="S443" s="645"/>
      <c r="T443" s="646"/>
      <c r="U443" s="39" t="s">
        <v>46</v>
      </c>
      <c r="V443" s="39" t="s">
        <v>46</v>
      </c>
      <c r="W443" s="40" t="s">
        <v>0</v>
      </c>
      <c r="X443" s="58">
        <v>10</v>
      </c>
      <c r="Y443" s="55">
        <f t="shared" ref="Y443:Y453" si="59">IFERROR(IF(X443="",0,CEILING((X443/$H443),1)*$H443),"")</f>
        <v>10.56</v>
      </c>
      <c r="Z443" s="41">
        <f t="shared" ref="Z443:Z448" si="60">IFERROR(IF(Y443=0,"",ROUNDUP(Y443/H443,0)*0.01196),"")</f>
        <v>2.392E-2</v>
      </c>
      <c r="AA443" s="68" t="s">
        <v>46</v>
      </c>
      <c r="AB443" s="69" t="s">
        <v>46</v>
      </c>
      <c r="AC443" s="512" t="s">
        <v>125</v>
      </c>
      <c r="AG443" s="78"/>
      <c r="AJ443" s="84" t="s">
        <v>46</v>
      </c>
      <c r="AK443" s="84">
        <v>0</v>
      </c>
      <c r="BB443" s="513" t="s">
        <v>67</v>
      </c>
      <c r="BM443" s="78">
        <f t="shared" ref="BM443:BM453" si="61">IFERROR(X443*I443/H443,"0")</f>
        <v>10.662878787878787</v>
      </c>
      <c r="BN443" s="78">
        <f t="shared" ref="BN443:BN453" si="62">IFERROR(Y443*I443/H443,"0")</f>
        <v>11.26</v>
      </c>
      <c r="BO443" s="78">
        <f t="shared" ref="BO443:BO453" si="63">IFERROR(1/J443*(X443/H443),"0")</f>
        <v>1.8210955710955712E-2</v>
      </c>
      <c r="BP443" s="78">
        <f t="shared" ref="BP443:BP453" si="64">IFERROR(1/J443*(Y443/H443),"0")</f>
        <v>1.9230769230769232E-2</v>
      </c>
    </row>
    <row r="444" spans="1:68" ht="27" customHeight="1" x14ac:dyDescent="0.25">
      <c r="A444" s="63" t="s">
        <v>705</v>
      </c>
      <c r="B444" s="63" t="s">
        <v>706</v>
      </c>
      <c r="C444" s="36">
        <v>4301012210</v>
      </c>
      <c r="D444" s="643">
        <v>4607091383522</v>
      </c>
      <c r="E444" s="64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127</v>
      </c>
      <c r="L444" s="37" t="s">
        <v>46</v>
      </c>
      <c r="M444" s="38" t="s">
        <v>126</v>
      </c>
      <c r="N444" s="38"/>
      <c r="O444" s="37">
        <v>60</v>
      </c>
      <c r="P444" s="86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4" s="645"/>
      <c r="R444" s="645"/>
      <c r="S444" s="645"/>
      <c r="T444" s="64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59"/>
        <v>0</v>
      </c>
      <c r="Z444" s="41" t="str">
        <f t="shared" si="60"/>
        <v/>
      </c>
      <c r="AA444" s="68" t="s">
        <v>46</v>
      </c>
      <c r="AB444" s="69" t="s">
        <v>46</v>
      </c>
      <c r="AC444" s="514" t="s">
        <v>707</v>
      </c>
      <c r="AG444" s="78"/>
      <c r="AJ444" s="84" t="s">
        <v>46</v>
      </c>
      <c r="AK444" s="84">
        <v>0</v>
      </c>
      <c r="BB444" s="515" t="s">
        <v>67</v>
      </c>
      <c r="BM444" s="78">
        <f t="shared" si="61"/>
        <v>0</v>
      </c>
      <c r="BN444" s="78">
        <f t="shared" si="62"/>
        <v>0</v>
      </c>
      <c r="BO444" s="78">
        <f t="shared" si="63"/>
        <v>0</v>
      </c>
      <c r="BP444" s="78">
        <f t="shared" si="64"/>
        <v>0</v>
      </c>
    </row>
    <row r="445" spans="1:68" ht="27" customHeight="1" x14ac:dyDescent="0.25">
      <c r="A445" s="63" t="s">
        <v>708</v>
      </c>
      <c r="B445" s="63" t="s">
        <v>709</v>
      </c>
      <c r="C445" s="36">
        <v>4301011961</v>
      </c>
      <c r="D445" s="643">
        <v>4680115885271</v>
      </c>
      <c r="E445" s="643"/>
      <c r="F445" s="62">
        <v>0.88</v>
      </c>
      <c r="G445" s="37">
        <v>6</v>
      </c>
      <c r="H445" s="62">
        <v>5.28</v>
      </c>
      <c r="I445" s="62">
        <v>5.63</v>
      </c>
      <c r="J445" s="37">
        <v>104</v>
      </c>
      <c r="K445" s="37" t="s">
        <v>127</v>
      </c>
      <c r="L445" s="37" t="s">
        <v>46</v>
      </c>
      <c r="M445" s="38" t="s">
        <v>126</v>
      </c>
      <c r="N445" s="38"/>
      <c r="O445" s="37">
        <v>60</v>
      </c>
      <c r="P445" s="8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5" s="645"/>
      <c r="R445" s="645"/>
      <c r="S445" s="645"/>
      <c r="T445" s="646"/>
      <c r="U445" s="39" t="s">
        <v>46</v>
      </c>
      <c r="V445" s="39" t="s">
        <v>46</v>
      </c>
      <c r="W445" s="40" t="s">
        <v>0</v>
      </c>
      <c r="X445" s="58">
        <v>5</v>
      </c>
      <c r="Y445" s="55">
        <f t="shared" si="59"/>
        <v>5.28</v>
      </c>
      <c r="Z445" s="41">
        <f t="shared" si="60"/>
        <v>1.196E-2</v>
      </c>
      <c r="AA445" s="68" t="s">
        <v>46</v>
      </c>
      <c r="AB445" s="69" t="s">
        <v>46</v>
      </c>
      <c r="AC445" s="516" t="s">
        <v>710</v>
      </c>
      <c r="AG445" s="78"/>
      <c r="AJ445" s="84" t="s">
        <v>46</v>
      </c>
      <c r="AK445" s="84">
        <v>0</v>
      </c>
      <c r="BB445" s="517" t="s">
        <v>67</v>
      </c>
      <c r="BM445" s="78">
        <f t="shared" si="61"/>
        <v>5.3314393939393936</v>
      </c>
      <c r="BN445" s="78">
        <f t="shared" si="62"/>
        <v>5.63</v>
      </c>
      <c r="BO445" s="78">
        <f t="shared" si="63"/>
        <v>9.1054778554778559E-3</v>
      </c>
      <c r="BP445" s="78">
        <f t="shared" si="64"/>
        <v>9.6153846153846159E-3</v>
      </c>
    </row>
    <row r="446" spans="1:68" ht="27" customHeight="1" x14ac:dyDescent="0.25">
      <c r="A446" s="63" t="s">
        <v>711</v>
      </c>
      <c r="B446" s="63" t="s">
        <v>712</v>
      </c>
      <c r="C446" s="36">
        <v>4301011369</v>
      </c>
      <c r="D446" s="643">
        <v>4680115885226</v>
      </c>
      <c r="E446" s="643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127</v>
      </c>
      <c r="L446" s="37" t="s">
        <v>46</v>
      </c>
      <c r="M446" s="38" t="s">
        <v>126</v>
      </c>
      <c r="N446" s="38"/>
      <c r="O446" s="37">
        <v>60</v>
      </c>
      <c r="P446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46" s="645"/>
      <c r="R446" s="645"/>
      <c r="S446" s="645"/>
      <c r="T446" s="646"/>
      <c r="U446" s="39" t="s">
        <v>46</v>
      </c>
      <c r="V446" s="39" t="s">
        <v>46</v>
      </c>
      <c r="W446" s="40" t="s">
        <v>0</v>
      </c>
      <c r="X446" s="58">
        <v>100</v>
      </c>
      <c r="Y446" s="55">
        <f t="shared" si="59"/>
        <v>100.32000000000001</v>
      </c>
      <c r="Z446" s="41">
        <f t="shared" si="60"/>
        <v>0.22724</v>
      </c>
      <c r="AA446" s="68" t="s">
        <v>46</v>
      </c>
      <c r="AB446" s="69" t="s">
        <v>46</v>
      </c>
      <c r="AC446" s="518" t="s">
        <v>713</v>
      </c>
      <c r="AG446" s="78"/>
      <c r="AJ446" s="84" t="s">
        <v>46</v>
      </c>
      <c r="AK446" s="84">
        <v>0</v>
      </c>
      <c r="BB446" s="519" t="s">
        <v>67</v>
      </c>
      <c r="BM446" s="78">
        <f t="shared" si="61"/>
        <v>106.62878787878788</v>
      </c>
      <c r="BN446" s="78">
        <f t="shared" si="62"/>
        <v>106.97</v>
      </c>
      <c r="BO446" s="78">
        <f t="shared" si="63"/>
        <v>0.18210955710955709</v>
      </c>
      <c r="BP446" s="78">
        <f t="shared" si="64"/>
        <v>0.18269230769230771</v>
      </c>
    </row>
    <row r="447" spans="1:68" ht="16.5" customHeight="1" x14ac:dyDescent="0.25">
      <c r="A447" s="63" t="s">
        <v>714</v>
      </c>
      <c r="B447" s="63" t="s">
        <v>715</v>
      </c>
      <c r="C447" s="36">
        <v>4301011797</v>
      </c>
      <c r="D447" s="643">
        <v>4680115884502</v>
      </c>
      <c r="E447" s="643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127</v>
      </c>
      <c r="L447" s="37" t="s">
        <v>46</v>
      </c>
      <c r="M447" s="38" t="s">
        <v>91</v>
      </c>
      <c r="N447" s="38"/>
      <c r="O447" s="37">
        <v>60</v>
      </c>
      <c r="P447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47" s="645"/>
      <c r="R447" s="645"/>
      <c r="S447" s="645"/>
      <c r="T447" s="646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59"/>
        <v>0</v>
      </c>
      <c r="Z447" s="41" t="str">
        <f t="shared" si="60"/>
        <v/>
      </c>
      <c r="AA447" s="68" t="s">
        <v>46</v>
      </c>
      <c r="AB447" s="69" t="s">
        <v>46</v>
      </c>
      <c r="AC447" s="520" t="s">
        <v>716</v>
      </c>
      <c r="AG447" s="78"/>
      <c r="AJ447" s="84" t="s">
        <v>46</v>
      </c>
      <c r="AK447" s="84">
        <v>0</v>
      </c>
      <c r="BB447" s="521" t="s">
        <v>67</v>
      </c>
      <c r="BM447" s="78">
        <f t="shared" si="61"/>
        <v>0</v>
      </c>
      <c r="BN447" s="78">
        <f t="shared" si="62"/>
        <v>0</v>
      </c>
      <c r="BO447" s="78">
        <f t="shared" si="63"/>
        <v>0</v>
      </c>
      <c r="BP447" s="78">
        <f t="shared" si="64"/>
        <v>0</v>
      </c>
    </row>
    <row r="448" spans="1:68" ht="27" customHeight="1" x14ac:dyDescent="0.25">
      <c r="A448" s="63" t="s">
        <v>717</v>
      </c>
      <c r="B448" s="63" t="s">
        <v>718</v>
      </c>
      <c r="C448" s="36">
        <v>4301011771</v>
      </c>
      <c r="D448" s="643">
        <v>4607091389104</v>
      </c>
      <c r="E448" s="643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127</v>
      </c>
      <c r="L448" s="37" t="s">
        <v>46</v>
      </c>
      <c r="M448" s="38" t="s">
        <v>126</v>
      </c>
      <c r="N448" s="38"/>
      <c r="O448" s="37">
        <v>60</v>
      </c>
      <c r="P448" s="8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48" s="645"/>
      <c r="R448" s="645"/>
      <c r="S448" s="645"/>
      <c r="T448" s="646"/>
      <c r="U448" s="39" t="s">
        <v>46</v>
      </c>
      <c r="V448" s="39" t="s">
        <v>46</v>
      </c>
      <c r="W448" s="40" t="s">
        <v>0</v>
      </c>
      <c r="X448" s="58">
        <v>50</v>
      </c>
      <c r="Y448" s="55">
        <f t="shared" si="59"/>
        <v>52.800000000000004</v>
      </c>
      <c r="Z448" s="41">
        <f t="shared" si="60"/>
        <v>0.1196</v>
      </c>
      <c r="AA448" s="68" t="s">
        <v>46</v>
      </c>
      <c r="AB448" s="69" t="s">
        <v>46</v>
      </c>
      <c r="AC448" s="522" t="s">
        <v>719</v>
      </c>
      <c r="AG448" s="78"/>
      <c r="AJ448" s="84" t="s">
        <v>46</v>
      </c>
      <c r="AK448" s="84">
        <v>0</v>
      </c>
      <c r="BB448" s="523" t="s">
        <v>67</v>
      </c>
      <c r="BM448" s="78">
        <f t="shared" si="61"/>
        <v>53.314393939393938</v>
      </c>
      <c r="BN448" s="78">
        <f t="shared" si="62"/>
        <v>56.3</v>
      </c>
      <c r="BO448" s="78">
        <f t="shared" si="63"/>
        <v>9.1054778554778545E-2</v>
      </c>
      <c r="BP448" s="78">
        <f t="shared" si="64"/>
        <v>9.6153846153846159E-2</v>
      </c>
    </row>
    <row r="449" spans="1:68" ht="27" customHeight="1" x14ac:dyDescent="0.25">
      <c r="A449" s="63" t="s">
        <v>720</v>
      </c>
      <c r="B449" s="63" t="s">
        <v>721</v>
      </c>
      <c r="C449" s="36">
        <v>4301012125</v>
      </c>
      <c r="D449" s="643">
        <v>4680115886391</v>
      </c>
      <c r="E449" s="643"/>
      <c r="F449" s="62">
        <v>0.4</v>
      </c>
      <c r="G449" s="37">
        <v>6</v>
      </c>
      <c r="H449" s="62">
        <v>2.4</v>
      </c>
      <c r="I449" s="62">
        <v>2.58</v>
      </c>
      <c r="J449" s="37">
        <v>182</v>
      </c>
      <c r="K449" s="37" t="s">
        <v>82</v>
      </c>
      <c r="L449" s="37" t="s">
        <v>46</v>
      </c>
      <c r="M449" s="38" t="s">
        <v>91</v>
      </c>
      <c r="N449" s="38"/>
      <c r="O449" s="37">
        <v>60</v>
      </c>
      <c r="P449" s="8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49" s="645"/>
      <c r="R449" s="645"/>
      <c r="S449" s="645"/>
      <c r="T449" s="646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9"/>
        <v>0</v>
      </c>
      <c r="Z449" s="41" t="str">
        <f>IFERROR(IF(Y449=0,"",ROUNDUP(Y449/H449,0)*0.00651),"")</f>
        <v/>
      </c>
      <c r="AA449" s="68" t="s">
        <v>46</v>
      </c>
      <c r="AB449" s="69" t="s">
        <v>46</v>
      </c>
      <c r="AC449" s="524" t="s">
        <v>125</v>
      </c>
      <c r="AG449" s="78"/>
      <c r="AJ449" s="84" t="s">
        <v>46</v>
      </c>
      <c r="AK449" s="84">
        <v>0</v>
      </c>
      <c r="BB449" s="525" t="s">
        <v>67</v>
      </c>
      <c r="BM449" s="78">
        <f t="shared" si="61"/>
        <v>0</v>
      </c>
      <c r="BN449" s="78">
        <f t="shared" si="62"/>
        <v>0</v>
      </c>
      <c r="BO449" s="78">
        <f t="shared" si="63"/>
        <v>0</v>
      </c>
      <c r="BP449" s="78">
        <f t="shared" si="64"/>
        <v>0</v>
      </c>
    </row>
    <row r="450" spans="1:68" ht="27" customHeight="1" x14ac:dyDescent="0.25">
      <c r="A450" s="63" t="s">
        <v>722</v>
      </c>
      <c r="B450" s="63" t="s">
        <v>723</v>
      </c>
      <c r="C450" s="36">
        <v>4301012048</v>
      </c>
      <c r="D450" s="643">
        <v>4680115880603</v>
      </c>
      <c r="E450" s="643"/>
      <c r="F450" s="62">
        <v>0.6</v>
      </c>
      <c r="G450" s="37">
        <v>8</v>
      </c>
      <c r="H450" s="62">
        <v>4.8</v>
      </c>
      <c r="I450" s="62">
        <v>6.91</v>
      </c>
      <c r="J450" s="37">
        <v>132</v>
      </c>
      <c r="K450" s="37" t="s">
        <v>134</v>
      </c>
      <c r="L450" s="37" t="s">
        <v>46</v>
      </c>
      <c r="M450" s="38" t="s">
        <v>91</v>
      </c>
      <c r="N450" s="38"/>
      <c r="O450" s="37">
        <v>60</v>
      </c>
      <c r="P450" s="8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0" s="645"/>
      <c r="R450" s="645"/>
      <c r="S450" s="645"/>
      <c r="T450" s="646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9"/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26" t="s">
        <v>125</v>
      </c>
      <c r="AG450" s="78"/>
      <c r="AJ450" s="84" t="s">
        <v>46</v>
      </c>
      <c r="AK450" s="84">
        <v>0</v>
      </c>
      <c r="BB450" s="527" t="s">
        <v>67</v>
      </c>
      <c r="BM450" s="78">
        <f t="shared" si="61"/>
        <v>0</v>
      </c>
      <c r="BN450" s="78">
        <f t="shared" si="62"/>
        <v>0</v>
      </c>
      <c r="BO450" s="78">
        <f t="shared" si="63"/>
        <v>0</v>
      </c>
      <c r="BP450" s="78">
        <f t="shared" si="64"/>
        <v>0</v>
      </c>
    </row>
    <row r="451" spans="1:68" ht="27" customHeight="1" x14ac:dyDescent="0.25">
      <c r="A451" s="63" t="s">
        <v>724</v>
      </c>
      <c r="B451" s="63" t="s">
        <v>725</v>
      </c>
      <c r="C451" s="36">
        <v>4301012036</v>
      </c>
      <c r="D451" s="643">
        <v>4680115882782</v>
      </c>
      <c r="E451" s="643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134</v>
      </c>
      <c r="L451" s="37" t="s">
        <v>46</v>
      </c>
      <c r="M451" s="38" t="s">
        <v>126</v>
      </c>
      <c r="N451" s="38"/>
      <c r="O451" s="37">
        <v>60</v>
      </c>
      <c r="P451" s="87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1" s="645"/>
      <c r="R451" s="645"/>
      <c r="S451" s="645"/>
      <c r="T451" s="646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9"/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28" t="s">
        <v>710</v>
      </c>
      <c r="AG451" s="78"/>
      <c r="AJ451" s="84" t="s">
        <v>46</v>
      </c>
      <c r="AK451" s="84">
        <v>0</v>
      </c>
      <c r="BB451" s="529" t="s">
        <v>67</v>
      </c>
      <c r="BM451" s="78">
        <f t="shared" si="61"/>
        <v>0</v>
      </c>
      <c r="BN451" s="78">
        <f t="shared" si="62"/>
        <v>0</v>
      </c>
      <c r="BO451" s="78">
        <f t="shared" si="63"/>
        <v>0</v>
      </c>
      <c r="BP451" s="78">
        <f t="shared" si="64"/>
        <v>0</v>
      </c>
    </row>
    <row r="452" spans="1:68" ht="27" customHeight="1" x14ac:dyDescent="0.25">
      <c r="A452" s="63" t="s">
        <v>726</v>
      </c>
      <c r="B452" s="63" t="s">
        <v>727</v>
      </c>
      <c r="C452" s="36">
        <v>4301012050</v>
      </c>
      <c r="D452" s="643">
        <v>4680115885479</v>
      </c>
      <c r="E452" s="643"/>
      <c r="F452" s="62">
        <v>0.4</v>
      </c>
      <c r="G452" s="37">
        <v>6</v>
      </c>
      <c r="H452" s="62">
        <v>2.4</v>
      </c>
      <c r="I452" s="62">
        <v>2.58</v>
      </c>
      <c r="J452" s="37">
        <v>182</v>
      </c>
      <c r="K452" s="37" t="s">
        <v>82</v>
      </c>
      <c r="L452" s="37" t="s">
        <v>46</v>
      </c>
      <c r="M452" s="38" t="s">
        <v>126</v>
      </c>
      <c r="N452" s="38"/>
      <c r="O452" s="37">
        <v>60</v>
      </c>
      <c r="P452" s="87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2" s="645"/>
      <c r="R452" s="645"/>
      <c r="S452" s="645"/>
      <c r="T452" s="646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59"/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30" t="s">
        <v>719</v>
      </c>
      <c r="AG452" s="78"/>
      <c r="AJ452" s="84" t="s">
        <v>46</v>
      </c>
      <c r="AK452" s="84">
        <v>0</v>
      </c>
      <c r="BB452" s="531" t="s">
        <v>67</v>
      </c>
      <c r="BM452" s="78">
        <f t="shared" si="61"/>
        <v>0</v>
      </c>
      <c r="BN452" s="78">
        <f t="shared" si="62"/>
        <v>0</v>
      </c>
      <c r="BO452" s="78">
        <f t="shared" si="63"/>
        <v>0</v>
      </c>
      <c r="BP452" s="78">
        <f t="shared" si="64"/>
        <v>0</v>
      </c>
    </row>
    <row r="453" spans="1:68" ht="27" customHeight="1" x14ac:dyDescent="0.25">
      <c r="A453" s="63" t="s">
        <v>728</v>
      </c>
      <c r="B453" s="63" t="s">
        <v>729</v>
      </c>
      <c r="C453" s="36">
        <v>4301012034</v>
      </c>
      <c r="D453" s="643">
        <v>4607091389982</v>
      </c>
      <c r="E453" s="643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134</v>
      </c>
      <c r="L453" s="37" t="s">
        <v>46</v>
      </c>
      <c r="M453" s="38" t="s">
        <v>126</v>
      </c>
      <c r="N453" s="38"/>
      <c r="O453" s="37">
        <v>60</v>
      </c>
      <c r="P453" s="87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3" s="645"/>
      <c r="R453" s="645"/>
      <c r="S453" s="645"/>
      <c r="T453" s="646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59"/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32" t="s">
        <v>719</v>
      </c>
      <c r="AG453" s="78"/>
      <c r="AJ453" s="84" t="s">
        <v>46</v>
      </c>
      <c r="AK453" s="84">
        <v>0</v>
      </c>
      <c r="BB453" s="533" t="s">
        <v>67</v>
      </c>
      <c r="BM453" s="78">
        <f t="shared" si="61"/>
        <v>0</v>
      </c>
      <c r="BN453" s="78">
        <f t="shared" si="62"/>
        <v>0</v>
      </c>
      <c r="BO453" s="78">
        <f t="shared" si="63"/>
        <v>0</v>
      </c>
      <c r="BP453" s="78">
        <f t="shared" si="64"/>
        <v>0</v>
      </c>
    </row>
    <row r="454" spans="1:68" x14ac:dyDescent="0.2">
      <c r="A454" s="651"/>
      <c r="B454" s="651"/>
      <c r="C454" s="651"/>
      <c r="D454" s="651"/>
      <c r="E454" s="651"/>
      <c r="F454" s="651"/>
      <c r="G454" s="651"/>
      <c r="H454" s="651"/>
      <c r="I454" s="651"/>
      <c r="J454" s="651"/>
      <c r="K454" s="651"/>
      <c r="L454" s="651"/>
      <c r="M454" s="651"/>
      <c r="N454" s="651"/>
      <c r="O454" s="652"/>
      <c r="P454" s="648" t="s">
        <v>40</v>
      </c>
      <c r="Q454" s="649"/>
      <c r="R454" s="649"/>
      <c r="S454" s="649"/>
      <c r="T454" s="649"/>
      <c r="U454" s="649"/>
      <c r="V454" s="650"/>
      <c r="W454" s="42" t="s">
        <v>39</v>
      </c>
      <c r="X454" s="43">
        <f>IFERROR(X443/H443,"0")+IFERROR(X444/H444,"0")+IFERROR(X445/H445,"0")+IFERROR(X446/H446,"0")+IFERROR(X447/H447,"0")+IFERROR(X448/H448,"0")+IFERROR(X449/H449,"0")+IFERROR(X450/H450,"0")+IFERROR(X451/H451,"0")+IFERROR(X452/H452,"0")+IFERROR(X453/H453,"0")</f>
        <v>31.249999999999996</v>
      </c>
      <c r="Y454" s="43">
        <f>IFERROR(Y443/H443,"0")+IFERROR(Y444/H444,"0")+IFERROR(Y445/H445,"0")+IFERROR(Y446/H446,"0")+IFERROR(Y447/H447,"0")+IFERROR(Y448/H448,"0")+IFERROR(Y449/H449,"0")+IFERROR(Y450/H450,"0")+IFERROR(Y451/H451,"0")+IFERROR(Y452/H452,"0")+IFERROR(Y453/H453,"0")</f>
        <v>32</v>
      </c>
      <c r="Z454" s="43">
        <f>IFERROR(IF(Z443="",0,Z443),"0")+IFERROR(IF(Z444="",0,Z444),"0")+IFERROR(IF(Z445="",0,Z445),"0")+IFERROR(IF(Z446="",0,Z446),"0")+IFERROR(IF(Z447="",0,Z447),"0")+IFERROR(IF(Z448="",0,Z448),"0")+IFERROR(IF(Z449="",0,Z449),"0")+IFERROR(IF(Z450="",0,Z450),"0")+IFERROR(IF(Z451="",0,Z451),"0")+IFERROR(IF(Z452="",0,Z452),"0")+IFERROR(IF(Z453="",0,Z453),"0")</f>
        <v>0.38272</v>
      </c>
      <c r="AA454" s="67"/>
      <c r="AB454" s="67"/>
      <c r="AC454" s="67"/>
    </row>
    <row r="455" spans="1:68" x14ac:dyDescent="0.2">
      <c r="A455" s="651"/>
      <c r="B455" s="651"/>
      <c r="C455" s="651"/>
      <c r="D455" s="651"/>
      <c r="E455" s="651"/>
      <c r="F455" s="651"/>
      <c r="G455" s="651"/>
      <c r="H455" s="651"/>
      <c r="I455" s="651"/>
      <c r="J455" s="651"/>
      <c r="K455" s="651"/>
      <c r="L455" s="651"/>
      <c r="M455" s="651"/>
      <c r="N455" s="651"/>
      <c r="O455" s="652"/>
      <c r="P455" s="648" t="s">
        <v>40</v>
      </c>
      <c r="Q455" s="649"/>
      <c r="R455" s="649"/>
      <c r="S455" s="649"/>
      <c r="T455" s="649"/>
      <c r="U455" s="649"/>
      <c r="V455" s="650"/>
      <c r="W455" s="42" t="s">
        <v>0</v>
      </c>
      <c r="X455" s="43">
        <f>IFERROR(SUM(X443:X453),"0")</f>
        <v>165</v>
      </c>
      <c r="Y455" s="43">
        <f>IFERROR(SUM(Y443:Y453),"0")</f>
        <v>168.96</v>
      </c>
      <c r="Z455" s="42"/>
      <c r="AA455" s="67"/>
      <c r="AB455" s="67"/>
      <c r="AC455" s="67"/>
    </row>
    <row r="456" spans="1:68" ht="14.25" customHeight="1" x14ac:dyDescent="0.25">
      <c r="A456" s="642" t="s">
        <v>156</v>
      </c>
      <c r="B456" s="642"/>
      <c r="C456" s="642"/>
      <c r="D456" s="642"/>
      <c r="E456" s="642"/>
      <c r="F456" s="642"/>
      <c r="G456" s="642"/>
      <c r="H456" s="642"/>
      <c r="I456" s="642"/>
      <c r="J456" s="642"/>
      <c r="K456" s="642"/>
      <c r="L456" s="642"/>
      <c r="M456" s="642"/>
      <c r="N456" s="642"/>
      <c r="O456" s="642"/>
      <c r="P456" s="642"/>
      <c r="Q456" s="642"/>
      <c r="R456" s="642"/>
      <c r="S456" s="642"/>
      <c r="T456" s="642"/>
      <c r="U456" s="642"/>
      <c r="V456" s="642"/>
      <c r="W456" s="642"/>
      <c r="X456" s="642"/>
      <c r="Y456" s="642"/>
      <c r="Z456" s="642"/>
      <c r="AA456" s="66"/>
      <c r="AB456" s="66"/>
      <c r="AC456" s="80"/>
    </row>
    <row r="457" spans="1:68" ht="16.5" customHeight="1" x14ac:dyDescent="0.25">
      <c r="A457" s="63" t="s">
        <v>730</v>
      </c>
      <c r="B457" s="63" t="s">
        <v>731</v>
      </c>
      <c r="C457" s="36">
        <v>4301020334</v>
      </c>
      <c r="D457" s="643">
        <v>4607091388930</v>
      </c>
      <c r="E457" s="643"/>
      <c r="F457" s="62">
        <v>0.88</v>
      </c>
      <c r="G457" s="37">
        <v>6</v>
      </c>
      <c r="H457" s="62">
        <v>5.28</v>
      </c>
      <c r="I457" s="62">
        <v>5.63</v>
      </c>
      <c r="J457" s="37">
        <v>104</v>
      </c>
      <c r="K457" s="37" t="s">
        <v>127</v>
      </c>
      <c r="L457" s="37" t="s">
        <v>46</v>
      </c>
      <c r="M457" s="38" t="s">
        <v>91</v>
      </c>
      <c r="N457" s="38"/>
      <c r="O457" s="37">
        <v>70</v>
      </c>
      <c r="P457" s="8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57" s="645"/>
      <c r="R457" s="645"/>
      <c r="S457" s="645"/>
      <c r="T457" s="646"/>
      <c r="U457" s="39" t="s">
        <v>46</v>
      </c>
      <c r="V457" s="39" t="s">
        <v>46</v>
      </c>
      <c r="W457" s="40" t="s">
        <v>0</v>
      </c>
      <c r="X457" s="58">
        <v>70</v>
      </c>
      <c r="Y457" s="55">
        <f>IFERROR(IF(X457="",0,CEILING((X457/$H457),1)*$H457),"")</f>
        <v>73.92</v>
      </c>
      <c r="Z457" s="41">
        <f>IFERROR(IF(Y457=0,"",ROUNDUP(Y457/H457,0)*0.01196),"")</f>
        <v>0.16744000000000001</v>
      </c>
      <c r="AA457" s="68" t="s">
        <v>46</v>
      </c>
      <c r="AB457" s="69" t="s">
        <v>46</v>
      </c>
      <c r="AC457" s="534" t="s">
        <v>732</v>
      </c>
      <c r="AG457" s="78"/>
      <c r="AJ457" s="84" t="s">
        <v>46</v>
      </c>
      <c r="AK457" s="84">
        <v>0</v>
      </c>
      <c r="BB457" s="535" t="s">
        <v>67</v>
      </c>
      <c r="BM457" s="78">
        <f>IFERROR(X457*I457/H457,"0")</f>
        <v>74.640151515151501</v>
      </c>
      <c r="BN457" s="78">
        <f>IFERROR(Y457*I457/H457,"0")</f>
        <v>78.819999999999993</v>
      </c>
      <c r="BO457" s="78">
        <f>IFERROR(1/J457*(X457/H457),"0")</f>
        <v>0.12747668997668998</v>
      </c>
      <c r="BP457" s="78">
        <f>IFERROR(1/J457*(Y457/H457),"0")</f>
        <v>0.13461538461538464</v>
      </c>
    </row>
    <row r="458" spans="1:68" ht="16.5" customHeight="1" x14ac:dyDescent="0.25">
      <c r="A458" s="63" t="s">
        <v>733</v>
      </c>
      <c r="B458" s="63" t="s">
        <v>734</v>
      </c>
      <c r="C458" s="36">
        <v>4301020374</v>
      </c>
      <c r="D458" s="643">
        <v>4680115886407</v>
      </c>
      <c r="E458" s="643"/>
      <c r="F458" s="62">
        <v>0.4</v>
      </c>
      <c r="G458" s="37">
        <v>6</v>
      </c>
      <c r="H458" s="62">
        <v>2.4</v>
      </c>
      <c r="I458" s="62">
        <v>2.58</v>
      </c>
      <c r="J458" s="37">
        <v>182</v>
      </c>
      <c r="K458" s="37" t="s">
        <v>82</v>
      </c>
      <c r="L458" s="37" t="s">
        <v>46</v>
      </c>
      <c r="M458" s="38" t="s">
        <v>126</v>
      </c>
      <c r="N458" s="38"/>
      <c r="O458" s="37">
        <v>70</v>
      </c>
      <c r="P458" s="8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58" s="645"/>
      <c r="R458" s="645"/>
      <c r="S458" s="645"/>
      <c r="T458" s="646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46</v>
      </c>
      <c r="AB458" s="69" t="s">
        <v>46</v>
      </c>
      <c r="AC458" s="536" t="s">
        <v>732</v>
      </c>
      <c r="AG458" s="78"/>
      <c r="AJ458" s="84" t="s">
        <v>46</v>
      </c>
      <c r="AK458" s="84">
        <v>0</v>
      </c>
      <c r="BB458" s="537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customHeight="1" x14ac:dyDescent="0.25">
      <c r="A459" s="63" t="s">
        <v>735</v>
      </c>
      <c r="B459" s="63" t="s">
        <v>736</v>
      </c>
      <c r="C459" s="36">
        <v>4301020385</v>
      </c>
      <c r="D459" s="643">
        <v>4680115880054</v>
      </c>
      <c r="E459" s="643"/>
      <c r="F459" s="62">
        <v>0.6</v>
      </c>
      <c r="G459" s="37">
        <v>8</v>
      </c>
      <c r="H459" s="62">
        <v>4.8</v>
      </c>
      <c r="I459" s="62">
        <v>6.91</v>
      </c>
      <c r="J459" s="37">
        <v>132</v>
      </c>
      <c r="K459" s="37" t="s">
        <v>134</v>
      </c>
      <c r="L459" s="37" t="s">
        <v>46</v>
      </c>
      <c r="M459" s="38" t="s">
        <v>126</v>
      </c>
      <c r="N459" s="38"/>
      <c r="O459" s="37">
        <v>70</v>
      </c>
      <c r="P459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59" s="645"/>
      <c r="R459" s="645"/>
      <c r="S459" s="645"/>
      <c r="T459" s="64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38" t="s">
        <v>732</v>
      </c>
      <c r="AG459" s="78"/>
      <c r="AJ459" s="84" t="s">
        <v>46</v>
      </c>
      <c r="AK459" s="84">
        <v>0</v>
      </c>
      <c r="BB459" s="539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51"/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2"/>
      <c r="P460" s="648" t="s">
        <v>40</v>
      </c>
      <c r="Q460" s="649"/>
      <c r="R460" s="649"/>
      <c r="S460" s="649"/>
      <c r="T460" s="649"/>
      <c r="U460" s="649"/>
      <c r="V460" s="650"/>
      <c r="W460" s="42" t="s">
        <v>39</v>
      </c>
      <c r="X460" s="43">
        <f>IFERROR(X457/H457,"0")+IFERROR(X458/H458,"0")+IFERROR(X459/H459,"0")</f>
        <v>13.257575757575758</v>
      </c>
      <c r="Y460" s="43">
        <f>IFERROR(Y457/H457,"0")+IFERROR(Y458/H458,"0")+IFERROR(Y459/H459,"0")</f>
        <v>14</v>
      </c>
      <c r="Z460" s="43">
        <f>IFERROR(IF(Z457="",0,Z457),"0")+IFERROR(IF(Z458="",0,Z458),"0")+IFERROR(IF(Z459="",0,Z459),"0")</f>
        <v>0.16744000000000001</v>
      </c>
      <c r="AA460" s="67"/>
      <c r="AB460" s="67"/>
      <c r="AC460" s="67"/>
    </row>
    <row r="461" spans="1:68" x14ac:dyDescent="0.2">
      <c r="A461" s="651"/>
      <c r="B461" s="651"/>
      <c r="C461" s="651"/>
      <c r="D461" s="651"/>
      <c r="E461" s="651"/>
      <c r="F461" s="651"/>
      <c r="G461" s="651"/>
      <c r="H461" s="651"/>
      <c r="I461" s="651"/>
      <c r="J461" s="651"/>
      <c r="K461" s="651"/>
      <c r="L461" s="651"/>
      <c r="M461" s="651"/>
      <c r="N461" s="651"/>
      <c r="O461" s="652"/>
      <c r="P461" s="648" t="s">
        <v>40</v>
      </c>
      <c r="Q461" s="649"/>
      <c r="R461" s="649"/>
      <c r="S461" s="649"/>
      <c r="T461" s="649"/>
      <c r="U461" s="649"/>
      <c r="V461" s="650"/>
      <c r="W461" s="42" t="s">
        <v>0</v>
      </c>
      <c r="X461" s="43">
        <f>IFERROR(SUM(X457:X459),"0")</f>
        <v>70</v>
      </c>
      <c r="Y461" s="43">
        <f>IFERROR(SUM(Y457:Y459),"0")</f>
        <v>73.92</v>
      </c>
      <c r="Z461" s="42"/>
      <c r="AA461" s="67"/>
      <c r="AB461" s="67"/>
      <c r="AC461" s="67"/>
    </row>
    <row r="462" spans="1:68" ht="14.25" customHeight="1" x14ac:dyDescent="0.25">
      <c r="A462" s="642" t="s">
        <v>77</v>
      </c>
      <c r="B462" s="642"/>
      <c r="C462" s="642"/>
      <c r="D462" s="642"/>
      <c r="E462" s="642"/>
      <c r="F462" s="642"/>
      <c r="G462" s="642"/>
      <c r="H462" s="642"/>
      <c r="I462" s="642"/>
      <c r="J462" s="642"/>
      <c r="K462" s="642"/>
      <c r="L462" s="642"/>
      <c r="M462" s="642"/>
      <c r="N462" s="642"/>
      <c r="O462" s="642"/>
      <c r="P462" s="642"/>
      <c r="Q462" s="642"/>
      <c r="R462" s="642"/>
      <c r="S462" s="642"/>
      <c r="T462" s="642"/>
      <c r="U462" s="642"/>
      <c r="V462" s="642"/>
      <c r="W462" s="642"/>
      <c r="X462" s="642"/>
      <c r="Y462" s="642"/>
      <c r="Z462" s="642"/>
      <c r="AA462" s="66"/>
      <c r="AB462" s="66"/>
      <c r="AC462" s="80"/>
    </row>
    <row r="463" spans="1:68" ht="27" customHeight="1" x14ac:dyDescent="0.25">
      <c r="A463" s="63" t="s">
        <v>737</v>
      </c>
      <c r="B463" s="63" t="s">
        <v>738</v>
      </c>
      <c r="C463" s="36">
        <v>4301031349</v>
      </c>
      <c r="D463" s="643">
        <v>4680115883116</v>
      </c>
      <c r="E463" s="643"/>
      <c r="F463" s="62">
        <v>0.88</v>
      </c>
      <c r="G463" s="37">
        <v>6</v>
      </c>
      <c r="H463" s="62">
        <v>5.28</v>
      </c>
      <c r="I463" s="62">
        <v>5.63</v>
      </c>
      <c r="J463" s="37">
        <v>104</v>
      </c>
      <c r="K463" s="37" t="s">
        <v>127</v>
      </c>
      <c r="L463" s="37" t="s">
        <v>46</v>
      </c>
      <c r="M463" s="38" t="s">
        <v>126</v>
      </c>
      <c r="N463" s="38"/>
      <c r="O463" s="37">
        <v>70</v>
      </c>
      <c r="P463" s="8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3" s="645"/>
      <c r="R463" s="645"/>
      <c r="S463" s="645"/>
      <c r="T463" s="646"/>
      <c r="U463" s="39" t="s">
        <v>46</v>
      </c>
      <c r="V463" s="39" t="s">
        <v>46</v>
      </c>
      <c r="W463" s="40" t="s">
        <v>0</v>
      </c>
      <c r="X463" s="58">
        <v>20</v>
      </c>
      <c r="Y463" s="55">
        <f t="shared" ref="Y463:Y469" si="65">IFERROR(IF(X463="",0,CEILING((X463/$H463),1)*$H463),"")</f>
        <v>21.12</v>
      </c>
      <c r="Z463" s="41">
        <f>IFERROR(IF(Y463=0,"",ROUNDUP(Y463/H463,0)*0.01196),"")</f>
        <v>4.7840000000000001E-2</v>
      </c>
      <c r="AA463" s="68" t="s">
        <v>46</v>
      </c>
      <c r="AB463" s="69" t="s">
        <v>46</v>
      </c>
      <c r="AC463" s="540" t="s">
        <v>739</v>
      </c>
      <c r="AG463" s="78"/>
      <c r="AJ463" s="84" t="s">
        <v>46</v>
      </c>
      <c r="AK463" s="84">
        <v>0</v>
      </c>
      <c r="BB463" s="541" t="s">
        <v>67</v>
      </c>
      <c r="BM463" s="78">
        <f t="shared" ref="BM463:BM469" si="66">IFERROR(X463*I463/H463,"0")</f>
        <v>21.325757575757574</v>
      </c>
      <c r="BN463" s="78">
        <f t="shared" ref="BN463:BN469" si="67">IFERROR(Y463*I463/H463,"0")</f>
        <v>22.52</v>
      </c>
      <c r="BO463" s="78">
        <f t="shared" ref="BO463:BO469" si="68">IFERROR(1/J463*(X463/H463),"0")</f>
        <v>3.6421911421911424E-2</v>
      </c>
      <c r="BP463" s="78">
        <f t="shared" ref="BP463:BP469" si="69">IFERROR(1/J463*(Y463/H463),"0")</f>
        <v>3.8461538461538464E-2</v>
      </c>
    </row>
    <row r="464" spans="1:68" ht="27" customHeight="1" x14ac:dyDescent="0.25">
      <c r="A464" s="63" t="s">
        <v>740</v>
      </c>
      <c r="B464" s="63" t="s">
        <v>741</v>
      </c>
      <c r="C464" s="36">
        <v>4301031350</v>
      </c>
      <c r="D464" s="643">
        <v>4680115883093</v>
      </c>
      <c r="E464" s="643"/>
      <c r="F464" s="62">
        <v>0.88</v>
      </c>
      <c r="G464" s="37">
        <v>6</v>
      </c>
      <c r="H464" s="62">
        <v>5.28</v>
      </c>
      <c r="I464" s="62">
        <v>5.63</v>
      </c>
      <c r="J464" s="37">
        <v>104</v>
      </c>
      <c r="K464" s="37" t="s">
        <v>127</v>
      </c>
      <c r="L464" s="37" t="s">
        <v>46</v>
      </c>
      <c r="M464" s="38" t="s">
        <v>81</v>
      </c>
      <c r="N464" s="38"/>
      <c r="O464" s="37">
        <v>70</v>
      </c>
      <c r="P464" s="87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4" s="645"/>
      <c r="R464" s="645"/>
      <c r="S464" s="645"/>
      <c r="T464" s="646"/>
      <c r="U464" s="39" t="s">
        <v>46</v>
      </c>
      <c r="V464" s="39" t="s">
        <v>46</v>
      </c>
      <c r="W464" s="40" t="s">
        <v>0</v>
      </c>
      <c r="X464" s="58">
        <v>20</v>
      </c>
      <c r="Y464" s="55">
        <f t="shared" si="65"/>
        <v>21.12</v>
      </c>
      <c r="Z464" s="41">
        <f>IFERROR(IF(Y464=0,"",ROUNDUP(Y464/H464,0)*0.01196),"")</f>
        <v>4.7840000000000001E-2</v>
      </c>
      <c r="AA464" s="68" t="s">
        <v>46</v>
      </c>
      <c r="AB464" s="69" t="s">
        <v>46</v>
      </c>
      <c r="AC464" s="542" t="s">
        <v>742</v>
      </c>
      <c r="AG464" s="78"/>
      <c r="AJ464" s="84" t="s">
        <v>46</v>
      </c>
      <c r="AK464" s="84">
        <v>0</v>
      </c>
      <c r="BB464" s="543" t="s">
        <v>67</v>
      </c>
      <c r="BM464" s="78">
        <f t="shared" si="66"/>
        <v>21.325757575757574</v>
      </c>
      <c r="BN464" s="78">
        <f t="shared" si="67"/>
        <v>22.52</v>
      </c>
      <c r="BO464" s="78">
        <f t="shared" si="68"/>
        <v>3.6421911421911424E-2</v>
      </c>
      <c r="BP464" s="78">
        <f t="shared" si="69"/>
        <v>3.8461538461538464E-2</v>
      </c>
    </row>
    <row r="465" spans="1:68" ht="27" customHeight="1" x14ac:dyDescent="0.25">
      <c r="A465" s="63" t="s">
        <v>743</v>
      </c>
      <c r="B465" s="63" t="s">
        <v>744</v>
      </c>
      <c r="C465" s="36">
        <v>4301031353</v>
      </c>
      <c r="D465" s="643">
        <v>4680115883109</v>
      </c>
      <c r="E465" s="643"/>
      <c r="F465" s="62">
        <v>0.88</v>
      </c>
      <c r="G465" s="37">
        <v>6</v>
      </c>
      <c r="H465" s="62">
        <v>5.28</v>
      </c>
      <c r="I465" s="62">
        <v>5.63</v>
      </c>
      <c r="J465" s="37">
        <v>104</v>
      </c>
      <c r="K465" s="37" t="s">
        <v>127</v>
      </c>
      <c r="L465" s="37" t="s">
        <v>46</v>
      </c>
      <c r="M465" s="38" t="s">
        <v>81</v>
      </c>
      <c r="N465" s="38"/>
      <c r="O465" s="37">
        <v>70</v>
      </c>
      <c r="P465" s="8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5" s="645"/>
      <c r="R465" s="645"/>
      <c r="S465" s="645"/>
      <c r="T465" s="646"/>
      <c r="U465" s="39" t="s">
        <v>46</v>
      </c>
      <c r="V465" s="39" t="s">
        <v>46</v>
      </c>
      <c r="W465" s="40" t="s">
        <v>0</v>
      </c>
      <c r="X465" s="58">
        <v>30</v>
      </c>
      <c r="Y465" s="55">
        <f t="shared" si="65"/>
        <v>31.68</v>
      </c>
      <c r="Z465" s="41">
        <f>IFERROR(IF(Y465=0,"",ROUNDUP(Y465/H465,0)*0.01196),"")</f>
        <v>7.1760000000000004E-2</v>
      </c>
      <c r="AA465" s="68" t="s">
        <v>46</v>
      </c>
      <c r="AB465" s="69" t="s">
        <v>46</v>
      </c>
      <c r="AC465" s="544" t="s">
        <v>745</v>
      </c>
      <c r="AG465" s="78"/>
      <c r="AJ465" s="84" t="s">
        <v>46</v>
      </c>
      <c r="AK465" s="84">
        <v>0</v>
      </c>
      <c r="BB465" s="545" t="s">
        <v>67</v>
      </c>
      <c r="BM465" s="78">
        <f t="shared" si="66"/>
        <v>31.988636363636363</v>
      </c>
      <c r="BN465" s="78">
        <f t="shared" si="67"/>
        <v>33.779999999999994</v>
      </c>
      <c r="BO465" s="78">
        <f t="shared" si="68"/>
        <v>5.4632867132867136E-2</v>
      </c>
      <c r="BP465" s="78">
        <f t="shared" si="69"/>
        <v>5.7692307692307696E-2</v>
      </c>
    </row>
    <row r="466" spans="1:68" ht="27" customHeight="1" x14ac:dyDescent="0.25">
      <c r="A466" s="63" t="s">
        <v>746</v>
      </c>
      <c r="B466" s="63" t="s">
        <v>747</v>
      </c>
      <c r="C466" s="36">
        <v>4301031419</v>
      </c>
      <c r="D466" s="643">
        <v>4680115882072</v>
      </c>
      <c r="E466" s="643"/>
      <c r="F466" s="62">
        <v>0.6</v>
      </c>
      <c r="G466" s="37">
        <v>8</v>
      </c>
      <c r="H466" s="62">
        <v>4.8</v>
      </c>
      <c r="I466" s="62">
        <v>6.91</v>
      </c>
      <c r="J466" s="37">
        <v>132</v>
      </c>
      <c r="K466" s="37" t="s">
        <v>134</v>
      </c>
      <c r="L466" s="37" t="s">
        <v>46</v>
      </c>
      <c r="M466" s="38" t="s">
        <v>126</v>
      </c>
      <c r="N466" s="38"/>
      <c r="O466" s="37">
        <v>70</v>
      </c>
      <c r="P466" s="88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66" s="645"/>
      <c r="R466" s="645"/>
      <c r="S466" s="645"/>
      <c r="T466" s="646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si="65"/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6" t="s">
        <v>739</v>
      </c>
      <c r="AG466" s="78"/>
      <c r="AJ466" s="84" t="s">
        <v>46</v>
      </c>
      <c r="AK466" s="84">
        <v>0</v>
      </c>
      <c r="BB466" s="547" t="s">
        <v>67</v>
      </c>
      <c r="BM466" s="78">
        <f t="shared" si="66"/>
        <v>0</v>
      </c>
      <c r="BN466" s="78">
        <f t="shared" si="67"/>
        <v>0</v>
      </c>
      <c r="BO466" s="78">
        <f t="shared" si="68"/>
        <v>0</v>
      </c>
      <c r="BP466" s="78">
        <f t="shared" si="69"/>
        <v>0</v>
      </c>
    </row>
    <row r="467" spans="1:68" ht="27" customHeight="1" x14ac:dyDescent="0.25">
      <c r="A467" s="63" t="s">
        <v>748</v>
      </c>
      <c r="B467" s="63" t="s">
        <v>749</v>
      </c>
      <c r="C467" s="36">
        <v>4301031352</v>
      </c>
      <c r="D467" s="643">
        <v>4680115882102</v>
      </c>
      <c r="E467" s="643"/>
      <c r="F467" s="62">
        <v>0.6</v>
      </c>
      <c r="G467" s="37">
        <v>6</v>
      </c>
      <c r="H467" s="62">
        <v>3.6</v>
      </c>
      <c r="I467" s="62">
        <v>3.79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70</v>
      </c>
      <c r="P467" s="88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67" s="645"/>
      <c r="R467" s="645"/>
      <c r="S467" s="645"/>
      <c r="T467" s="646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5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48" t="s">
        <v>742</v>
      </c>
      <c r="AG467" s="78"/>
      <c r="AJ467" s="84" t="s">
        <v>46</v>
      </c>
      <c r="AK467" s="84">
        <v>0</v>
      </c>
      <c r="BB467" s="549" t="s">
        <v>67</v>
      </c>
      <c r="BM467" s="78">
        <f t="shared" si="66"/>
        <v>0</v>
      </c>
      <c r="BN467" s="78">
        <f t="shared" si="67"/>
        <v>0</v>
      </c>
      <c r="BO467" s="78">
        <f t="shared" si="68"/>
        <v>0</v>
      </c>
      <c r="BP467" s="78">
        <f t="shared" si="69"/>
        <v>0</v>
      </c>
    </row>
    <row r="468" spans="1:68" ht="27" customHeight="1" x14ac:dyDescent="0.25">
      <c r="A468" s="63" t="s">
        <v>748</v>
      </c>
      <c r="B468" s="63" t="s">
        <v>750</v>
      </c>
      <c r="C468" s="36">
        <v>4301031418</v>
      </c>
      <c r="D468" s="643">
        <v>4680115882102</v>
      </c>
      <c r="E468" s="643"/>
      <c r="F468" s="62">
        <v>0.6</v>
      </c>
      <c r="G468" s="37">
        <v>8</v>
      </c>
      <c r="H468" s="62">
        <v>4.8</v>
      </c>
      <c r="I468" s="62">
        <v>6.67</v>
      </c>
      <c r="J468" s="37">
        <v>132</v>
      </c>
      <c r="K468" s="37" t="s">
        <v>134</v>
      </c>
      <c r="L468" s="37" t="s">
        <v>46</v>
      </c>
      <c r="M468" s="38" t="s">
        <v>81</v>
      </c>
      <c r="N468" s="38"/>
      <c r="O468" s="37">
        <v>70</v>
      </c>
      <c r="P468" s="8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68" s="645"/>
      <c r="R468" s="645"/>
      <c r="S468" s="645"/>
      <c r="T468" s="646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5"/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50" t="s">
        <v>742</v>
      </c>
      <c r="AG468" s="78"/>
      <c r="AJ468" s="84" t="s">
        <v>46</v>
      </c>
      <c r="AK468" s="84">
        <v>0</v>
      </c>
      <c r="BB468" s="551" t="s">
        <v>67</v>
      </c>
      <c r="BM468" s="78">
        <f t="shared" si="66"/>
        <v>0</v>
      </c>
      <c r="BN468" s="78">
        <f t="shared" si="67"/>
        <v>0</v>
      </c>
      <c r="BO468" s="78">
        <f t="shared" si="68"/>
        <v>0</v>
      </c>
      <c r="BP468" s="78">
        <f t="shared" si="69"/>
        <v>0</v>
      </c>
    </row>
    <row r="469" spans="1:68" ht="27" customHeight="1" x14ac:dyDescent="0.25">
      <c r="A469" s="63" t="s">
        <v>751</v>
      </c>
      <c r="B469" s="63" t="s">
        <v>752</v>
      </c>
      <c r="C469" s="36">
        <v>4301031417</v>
      </c>
      <c r="D469" s="643">
        <v>4680115882096</v>
      </c>
      <c r="E469" s="643"/>
      <c r="F469" s="62">
        <v>0.6</v>
      </c>
      <c r="G469" s="37">
        <v>8</v>
      </c>
      <c r="H469" s="62">
        <v>4.8</v>
      </c>
      <c r="I469" s="62">
        <v>6.67</v>
      </c>
      <c r="J469" s="37">
        <v>132</v>
      </c>
      <c r="K469" s="37" t="s">
        <v>134</v>
      </c>
      <c r="L469" s="37" t="s">
        <v>46</v>
      </c>
      <c r="M469" s="38" t="s">
        <v>81</v>
      </c>
      <c r="N469" s="38"/>
      <c r="O469" s="37">
        <v>70</v>
      </c>
      <c r="P469" s="88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69" s="645"/>
      <c r="R469" s="645"/>
      <c r="S469" s="645"/>
      <c r="T469" s="646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5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52" t="s">
        <v>745</v>
      </c>
      <c r="AG469" s="78"/>
      <c r="AJ469" s="84" t="s">
        <v>46</v>
      </c>
      <c r="AK469" s="84">
        <v>0</v>
      </c>
      <c r="BB469" s="553" t="s">
        <v>67</v>
      </c>
      <c r="BM469" s="78">
        <f t="shared" si="66"/>
        <v>0</v>
      </c>
      <c r="BN469" s="78">
        <f t="shared" si="67"/>
        <v>0</v>
      </c>
      <c r="BO469" s="78">
        <f t="shared" si="68"/>
        <v>0</v>
      </c>
      <c r="BP469" s="78">
        <f t="shared" si="69"/>
        <v>0</v>
      </c>
    </row>
    <row r="470" spans="1:68" x14ac:dyDescent="0.2">
      <c r="A470" s="651"/>
      <c r="B470" s="651"/>
      <c r="C470" s="651"/>
      <c r="D470" s="651"/>
      <c r="E470" s="651"/>
      <c r="F470" s="651"/>
      <c r="G470" s="651"/>
      <c r="H470" s="651"/>
      <c r="I470" s="651"/>
      <c r="J470" s="651"/>
      <c r="K470" s="651"/>
      <c r="L470" s="651"/>
      <c r="M470" s="651"/>
      <c r="N470" s="651"/>
      <c r="O470" s="652"/>
      <c r="P470" s="648" t="s">
        <v>40</v>
      </c>
      <c r="Q470" s="649"/>
      <c r="R470" s="649"/>
      <c r="S470" s="649"/>
      <c r="T470" s="649"/>
      <c r="U470" s="649"/>
      <c r="V470" s="650"/>
      <c r="W470" s="42" t="s">
        <v>39</v>
      </c>
      <c r="X470" s="43">
        <f>IFERROR(X463/H463,"0")+IFERROR(X464/H464,"0")+IFERROR(X465/H465,"0")+IFERROR(X466/H466,"0")+IFERROR(X467/H467,"0")+IFERROR(X468/H468,"0")+IFERROR(X469/H469,"0")</f>
        <v>13.257575757575758</v>
      </c>
      <c r="Y470" s="43">
        <f>IFERROR(Y463/H463,"0")+IFERROR(Y464/H464,"0")+IFERROR(Y465/H465,"0")+IFERROR(Y466/H466,"0")+IFERROR(Y467/H467,"0")+IFERROR(Y468/H468,"0")+IFERROR(Y469/H469,"0")</f>
        <v>14</v>
      </c>
      <c r="Z470" s="43">
        <f>IFERROR(IF(Z463="",0,Z463),"0")+IFERROR(IF(Z464="",0,Z464),"0")+IFERROR(IF(Z465="",0,Z465),"0")+IFERROR(IF(Z466="",0,Z466),"0")+IFERROR(IF(Z467="",0,Z467),"0")+IFERROR(IF(Z468="",0,Z468),"0")+IFERROR(IF(Z469="",0,Z469),"0")</f>
        <v>0.16744000000000001</v>
      </c>
      <c r="AA470" s="67"/>
      <c r="AB470" s="67"/>
      <c r="AC470" s="67"/>
    </row>
    <row r="471" spans="1:68" x14ac:dyDescent="0.2">
      <c r="A471" s="651"/>
      <c r="B471" s="651"/>
      <c r="C471" s="651"/>
      <c r="D471" s="651"/>
      <c r="E471" s="651"/>
      <c r="F471" s="651"/>
      <c r="G471" s="651"/>
      <c r="H471" s="651"/>
      <c r="I471" s="651"/>
      <c r="J471" s="651"/>
      <c r="K471" s="651"/>
      <c r="L471" s="651"/>
      <c r="M471" s="651"/>
      <c r="N471" s="651"/>
      <c r="O471" s="652"/>
      <c r="P471" s="648" t="s">
        <v>40</v>
      </c>
      <c r="Q471" s="649"/>
      <c r="R471" s="649"/>
      <c r="S471" s="649"/>
      <c r="T471" s="649"/>
      <c r="U471" s="649"/>
      <c r="V471" s="650"/>
      <c r="W471" s="42" t="s">
        <v>0</v>
      </c>
      <c r="X471" s="43">
        <f>IFERROR(SUM(X463:X469),"0")</f>
        <v>70</v>
      </c>
      <c r="Y471" s="43">
        <f>IFERROR(SUM(Y463:Y469),"0")</f>
        <v>73.92</v>
      </c>
      <c r="Z471" s="42"/>
      <c r="AA471" s="67"/>
      <c r="AB471" s="67"/>
      <c r="AC471" s="67"/>
    </row>
    <row r="472" spans="1:68" ht="27.75" customHeight="1" x14ac:dyDescent="0.2">
      <c r="A472" s="640" t="s">
        <v>753</v>
      </c>
      <c r="B472" s="640"/>
      <c r="C472" s="640"/>
      <c r="D472" s="640"/>
      <c r="E472" s="640"/>
      <c r="F472" s="640"/>
      <c r="G472" s="640"/>
      <c r="H472" s="640"/>
      <c r="I472" s="640"/>
      <c r="J472" s="640"/>
      <c r="K472" s="640"/>
      <c r="L472" s="640"/>
      <c r="M472" s="640"/>
      <c r="N472" s="640"/>
      <c r="O472" s="640"/>
      <c r="P472" s="640"/>
      <c r="Q472" s="640"/>
      <c r="R472" s="640"/>
      <c r="S472" s="640"/>
      <c r="T472" s="640"/>
      <c r="U472" s="640"/>
      <c r="V472" s="640"/>
      <c r="W472" s="640"/>
      <c r="X472" s="640"/>
      <c r="Y472" s="640"/>
      <c r="Z472" s="640"/>
      <c r="AA472" s="54"/>
      <c r="AB472" s="54"/>
      <c r="AC472" s="54"/>
    </row>
    <row r="473" spans="1:68" ht="16.5" customHeight="1" x14ac:dyDescent="0.25">
      <c r="A473" s="641" t="s">
        <v>753</v>
      </c>
      <c r="B473" s="641"/>
      <c r="C473" s="641"/>
      <c r="D473" s="641"/>
      <c r="E473" s="641"/>
      <c r="F473" s="641"/>
      <c r="G473" s="641"/>
      <c r="H473" s="641"/>
      <c r="I473" s="641"/>
      <c r="J473" s="641"/>
      <c r="K473" s="641"/>
      <c r="L473" s="641"/>
      <c r="M473" s="641"/>
      <c r="N473" s="641"/>
      <c r="O473" s="641"/>
      <c r="P473" s="641"/>
      <c r="Q473" s="641"/>
      <c r="R473" s="641"/>
      <c r="S473" s="641"/>
      <c r="T473" s="641"/>
      <c r="U473" s="641"/>
      <c r="V473" s="641"/>
      <c r="W473" s="641"/>
      <c r="X473" s="641"/>
      <c r="Y473" s="641"/>
      <c r="Z473" s="641"/>
      <c r="AA473" s="65"/>
      <c r="AB473" s="65"/>
      <c r="AC473" s="79"/>
    </row>
    <row r="474" spans="1:68" ht="14.25" customHeight="1" x14ac:dyDescent="0.25">
      <c r="A474" s="642" t="s">
        <v>122</v>
      </c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42"/>
      <c r="P474" s="642"/>
      <c r="Q474" s="642"/>
      <c r="R474" s="642"/>
      <c r="S474" s="642"/>
      <c r="T474" s="642"/>
      <c r="U474" s="642"/>
      <c r="V474" s="642"/>
      <c r="W474" s="642"/>
      <c r="X474" s="642"/>
      <c r="Y474" s="642"/>
      <c r="Z474" s="642"/>
      <c r="AA474" s="66"/>
      <c r="AB474" s="66"/>
      <c r="AC474" s="80"/>
    </row>
    <row r="475" spans="1:68" ht="27" customHeight="1" x14ac:dyDescent="0.25">
      <c r="A475" s="63" t="s">
        <v>754</v>
      </c>
      <c r="B475" s="63" t="s">
        <v>755</v>
      </c>
      <c r="C475" s="36">
        <v>4301011763</v>
      </c>
      <c r="D475" s="643">
        <v>4640242181011</v>
      </c>
      <c r="E475" s="643"/>
      <c r="F475" s="62">
        <v>1.35</v>
      </c>
      <c r="G475" s="37">
        <v>8</v>
      </c>
      <c r="H475" s="62">
        <v>10.8</v>
      </c>
      <c r="I475" s="62">
        <v>11.21</v>
      </c>
      <c r="J475" s="37">
        <v>64</v>
      </c>
      <c r="K475" s="37" t="s">
        <v>127</v>
      </c>
      <c r="L475" s="37" t="s">
        <v>46</v>
      </c>
      <c r="M475" s="38" t="s">
        <v>91</v>
      </c>
      <c r="N475" s="38"/>
      <c r="O475" s="37">
        <v>55</v>
      </c>
      <c r="P475" s="88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5" s="645"/>
      <c r="R475" s="645"/>
      <c r="S475" s="645"/>
      <c r="T475" s="64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46</v>
      </c>
      <c r="AB475" s="69" t="s">
        <v>46</v>
      </c>
      <c r="AC475" s="554" t="s">
        <v>756</v>
      </c>
      <c r="AG475" s="78"/>
      <c r="AJ475" s="84" t="s">
        <v>46</v>
      </c>
      <c r="AK475" s="84">
        <v>0</v>
      </c>
      <c r="BB475" s="555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757</v>
      </c>
      <c r="B476" s="63" t="s">
        <v>758</v>
      </c>
      <c r="C476" s="36">
        <v>4301011584</v>
      </c>
      <c r="D476" s="643">
        <v>4640242180564</v>
      </c>
      <c r="E476" s="643"/>
      <c r="F476" s="62">
        <v>1.5</v>
      </c>
      <c r="G476" s="37">
        <v>8</v>
      </c>
      <c r="H476" s="62">
        <v>12</v>
      </c>
      <c r="I476" s="62">
        <v>12.41</v>
      </c>
      <c r="J476" s="37">
        <v>64</v>
      </c>
      <c r="K476" s="37" t="s">
        <v>127</v>
      </c>
      <c r="L476" s="37" t="s">
        <v>46</v>
      </c>
      <c r="M476" s="38" t="s">
        <v>126</v>
      </c>
      <c r="N476" s="38"/>
      <c r="O476" s="37">
        <v>50</v>
      </c>
      <c r="P476" s="8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76" s="645"/>
      <c r="R476" s="645"/>
      <c r="S476" s="645"/>
      <c r="T476" s="646"/>
      <c r="U476" s="39" t="s">
        <v>46</v>
      </c>
      <c r="V476" s="39" t="s">
        <v>46</v>
      </c>
      <c r="W476" s="40" t="s">
        <v>0</v>
      </c>
      <c r="X476" s="58">
        <v>10</v>
      </c>
      <c r="Y476" s="55">
        <f>IFERROR(IF(X476="",0,CEILING((X476/$H476),1)*$H476),"")</f>
        <v>12</v>
      </c>
      <c r="Z476" s="41">
        <f>IFERROR(IF(Y476=0,"",ROUNDUP(Y476/H476,0)*0.01898),"")</f>
        <v>1.898E-2</v>
      </c>
      <c r="AA476" s="68" t="s">
        <v>46</v>
      </c>
      <c r="AB476" s="69" t="s">
        <v>46</v>
      </c>
      <c r="AC476" s="556" t="s">
        <v>759</v>
      </c>
      <c r="AG476" s="78"/>
      <c r="AJ476" s="84" t="s">
        <v>46</v>
      </c>
      <c r="AK476" s="84">
        <v>0</v>
      </c>
      <c r="BB476" s="557" t="s">
        <v>67</v>
      </c>
      <c r="BM476" s="78">
        <f>IFERROR(X476*I476/H476,"0")</f>
        <v>10.341666666666667</v>
      </c>
      <c r="BN476" s="78">
        <f>IFERROR(Y476*I476/H476,"0")</f>
        <v>12.410000000000002</v>
      </c>
      <c r="BO476" s="78">
        <f>IFERROR(1/J476*(X476/H476),"0")</f>
        <v>1.3020833333333334E-2</v>
      </c>
      <c r="BP476" s="78">
        <f>IFERROR(1/J476*(Y476/H476),"0")</f>
        <v>1.5625E-2</v>
      </c>
    </row>
    <row r="477" spans="1:68" ht="27" customHeight="1" x14ac:dyDescent="0.25">
      <c r="A477" s="63" t="s">
        <v>760</v>
      </c>
      <c r="B477" s="63" t="s">
        <v>761</v>
      </c>
      <c r="C477" s="36">
        <v>4301011764</v>
      </c>
      <c r="D477" s="643">
        <v>4640242181189</v>
      </c>
      <c r="E477" s="643"/>
      <c r="F477" s="62">
        <v>0.4</v>
      </c>
      <c r="G477" s="37">
        <v>10</v>
      </c>
      <c r="H477" s="62">
        <v>4</v>
      </c>
      <c r="I477" s="62">
        <v>4.1900000000000004</v>
      </c>
      <c r="J477" s="37">
        <v>132</v>
      </c>
      <c r="K477" s="37" t="s">
        <v>134</v>
      </c>
      <c r="L477" s="37" t="s">
        <v>46</v>
      </c>
      <c r="M477" s="38" t="s">
        <v>91</v>
      </c>
      <c r="N477" s="38"/>
      <c r="O477" s="37">
        <v>55</v>
      </c>
      <c r="P477" s="88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77" s="645"/>
      <c r="R477" s="645"/>
      <c r="S477" s="645"/>
      <c r="T477" s="64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58" t="s">
        <v>756</v>
      </c>
      <c r="AG477" s="78"/>
      <c r="AJ477" s="84" t="s">
        <v>46</v>
      </c>
      <c r="AK477" s="84">
        <v>0</v>
      </c>
      <c r="BB477" s="559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651"/>
      <c r="B478" s="651"/>
      <c r="C478" s="651"/>
      <c r="D478" s="651"/>
      <c r="E478" s="651"/>
      <c r="F478" s="651"/>
      <c r="G478" s="651"/>
      <c r="H478" s="651"/>
      <c r="I478" s="651"/>
      <c r="J478" s="651"/>
      <c r="K478" s="651"/>
      <c r="L478" s="651"/>
      <c r="M478" s="651"/>
      <c r="N478" s="651"/>
      <c r="O478" s="652"/>
      <c r="P478" s="648" t="s">
        <v>40</v>
      </c>
      <c r="Q478" s="649"/>
      <c r="R478" s="649"/>
      <c r="S478" s="649"/>
      <c r="T478" s="649"/>
      <c r="U478" s="649"/>
      <c r="V478" s="650"/>
      <c r="W478" s="42" t="s">
        <v>39</v>
      </c>
      <c r="X478" s="43">
        <f>IFERROR(X475/H475,"0")+IFERROR(X476/H476,"0")+IFERROR(X477/H477,"0")</f>
        <v>0.83333333333333337</v>
      </c>
      <c r="Y478" s="43">
        <f>IFERROR(Y475/H475,"0")+IFERROR(Y476/H476,"0")+IFERROR(Y477/H477,"0")</f>
        <v>1</v>
      </c>
      <c r="Z478" s="43">
        <f>IFERROR(IF(Z475="",0,Z475),"0")+IFERROR(IF(Z476="",0,Z476),"0")+IFERROR(IF(Z477="",0,Z477),"0")</f>
        <v>1.898E-2</v>
      </c>
      <c r="AA478" s="67"/>
      <c r="AB478" s="67"/>
      <c r="AC478" s="67"/>
    </row>
    <row r="479" spans="1:68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0</v>
      </c>
      <c r="X479" s="43">
        <f>IFERROR(SUM(X475:X477),"0")</f>
        <v>10</v>
      </c>
      <c r="Y479" s="43">
        <f>IFERROR(SUM(Y475:Y477),"0")</f>
        <v>12</v>
      </c>
      <c r="Z479" s="42"/>
      <c r="AA479" s="67"/>
      <c r="AB479" s="67"/>
      <c r="AC479" s="67"/>
    </row>
    <row r="480" spans="1:68" ht="14.25" customHeight="1" x14ac:dyDescent="0.25">
      <c r="A480" s="642" t="s">
        <v>156</v>
      </c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42"/>
      <c r="P480" s="642"/>
      <c r="Q480" s="642"/>
      <c r="R480" s="642"/>
      <c r="S480" s="642"/>
      <c r="T480" s="642"/>
      <c r="U480" s="642"/>
      <c r="V480" s="642"/>
      <c r="W480" s="642"/>
      <c r="X480" s="642"/>
      <c r="Y480" s="642"/>
      <c r="Z480" s="642"/>
      <c r="AA480" s="66"/>
      <c r="AB480" s="66"/>
      <c r="AC480" s="80"/>
    </row>
    <row r="481" spans="1:68" ht="27" customHeight="1" x14ac:dyDescent="0.25">
      <c r="A481" s="63" t="s">
        <v>762</v>
      </c>
      <c r="B481" s="63" t="s">
        <v>763</v>
      </c>
      <c r="C481" s="36">
        <v>4301020400</v>
      </c>
      <c r="D481" s="643">
        <v>4640242180519</v>
      </c>
      <c r="E481" s="643"/>
      <c r="F481" s="62">
        <v>1.5</v>
      </c>
      <c r="G481" s="37">
        <v>8</v>
      </c>
      <c r="H481" s="62">
        <v>12</v>
      </c>
      <c r="I481" s="62">
        <v>12.41</v>
      </c>
      <c r="J481" s="37">
        <v>64</v>
      </c>
      <c r="K481" s="37" t="s">
        <v>127</v>
      </c>
      <c r="L481" s="37" t="s">
        <v>46</v>
      </c>
      <c r="M481" s="38" t="s">
        <v>126</v>
      </c>
      <c r="N481" s="38"/>
      <c r="O481" s="37">
        <v>50</v>
      </c>
      <c r="P481" s="8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1" s="645"/>
      <c r="R481" s="645"/>
      <c r="S481" s="645"/>
      <c r="T481" s="64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46</v>
      </c>
      <c r="AB481" s="69" t="s">
        <v>46</v>
      </c>
      <c r="AC481" s="560" t="s">
        <v>764</v>
      </c>
      <c r="AG481" s="78"/>
      <c r="AJ481" s="84" t="s">
        <v>46</v>
      </c>
      <c r="AK481" s="84">
        <v>0</v>
      </c>
      <c r="BB481" s="561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51"/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2"/>
      <c r="P482" s="648" t="s">
        <v>40</v>
      </c>
      <c r="Q482" s="649"/>
      <c r="R482" s="649"/>
      <c r="S482" s="649"/>
      <c r="T482" s="649"/>
      <c r="U482" s="649"/>
      <c r="V482" s="650"/>
      <c r="W482" s="42" t="s">
        <v>39</v>
      </c>
      <c r="X482" s="43">
        <f>IFERROR(X481/H481,"0")</f>
        <v>0</v>
      </c>
      <c r="Y482" s="43">
        <f>IFERROR(Y481/H481,"0")</f>
        <v>0</v>
      </c>
      <c r="Z482" s="43">
        <f>IFERROR(IF(Z481="",0,Z481),"0")</f>
        <v>0</v>
      </c>
      <c r="AA482" s="67"/>
      <c r="AB482" s="67"/>
      <c r="AC482" s="67"/>
    </row>
    <row r="483" spans="1:68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2" t="s">
        <v>0</v>
      </c>
      <c r="X483" s="43">
        <f>IFERROR(SUM(X481:X481),"0")</f>
        <v>0</v>
      </c>
      <c r="Y483" s="43">
        <f>IFERROR(SUM(Y481:Y481),"0")</f>
        <v>0</v>
      </c>
      <c r="Z483" s="42"/>
      <c r="AA483" s="67"/>
      <c r="AB483" s="67"/>
      <c r="AC483" s="67"/>
    </row>
    <row r="484" spans="1:68" ht="14.25" customHeight="1" x14ac:dyDescent="0.25">
      <c r="A484" s="642" t="s">
        <v>77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6"/>
      <c r="AB484" s="66"/>
      <c r="AC484" s="80"/>
    </row>
    <row r="485" spans="1:68" ht="27" customHeight="1" x14ac:dyDescent="0.25">
      <c r="A485" s="63" t="s">
        <v>765</v>
      </c>
      <c r="B485" s="63" t="s">
        <v>766</v>
      </c>
      <c r="C485" s="36">
        <v>4301031467</v>
      </c>
      <c r="D485" s="643">
        <v>4640242180595</v>
      </c>
      <c r="E485" s="643"/>
      <c r="F485" s="62">
        <v>0.8</v>
      </c>
      <c r="G485" s="37">
        <v>6</v>
      </c>
      <c r="H485" s="62">
        <v>4.8</v>
      </c>
      <c r="I485" s="62">
        <v>5.05</v>
      </c>
      <c r="J485" s="37">
        <v>132</v>
      </c>
      <c r="K485" s="37" t="s">
        <v>134</v>
      </c>
      <c r="L485" s="37" t="s">
        <v>46</v>
      </c>
      <c r="M485" s="38" t="s">
        <v>81</v>
      </c>
      <c r="N485" s="38"/>
      <c r="O485" s="37">
        <v>40</v>
      </c>
      <c r="P485" s="88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5" s="645"/>
      <c r="R485" s="645"/>
      <c r="S485" s="645"/>
      <c r="T485" s="64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62" t="s">
        <v>767</v>
      </c>
      <c r="AG485" s="78"/>
      <c r="AJ485" s="84" t="s">
        <v>46</v>
      </c>
      <c r="AK485" s="84">
        <v>0</v>
      </c>
      <c r="BB485" s="56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51"/>
      <c r="B486" s="651"/>
      <c r="C486" s="651"/>
      <c r="D486" s="651"/>
      <c r="E486" s="651"/>
      <c r="F486" s="651"/>
      <c r="G486" s="651"/>
      <c r="H486" s="651"/>
      <c r="I486" s="651"/>
      <c r="J486" s="651"/>
      <c r="K486" s="651"/>
      <c r="L486" s="651"/>
      <c r="M486" s="651"/>
      <c r="N486" s="651"/>
      <c r="O486" s="652"/>
      <c r="P486" s="648" t="s">
        <v>40</v>
      </c>
      <c r="Q486" s="649"/>
      <c r="R486" s="649"/>
      <c r="S486" s="649"/>
      <c r="T486" s="649"/>
      <c r="U486" s="649"/>
      <c r="V486" s="650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51"/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2"/>
      <c r="P487" s="648" t="s">
        <v>40</v>
      </c>
      <c r="Q487" s="649"/>
      <c r="R487" s="649"/>
      <c r="S487" s="649"/>
      <c r="T487" s="649"/>
      <c r="U487" s="649"/>
      <c r="V487" s="650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customHeight="1" x14ac:dyDescent="0.25">
      <c r="A488" s="642" t="s">
        <v>87</v>
      </c>
      <c r="B488" s="642"/>
      <c r="C488" s="642"/>
      <c r="D488" s="642"/>
      <c r="E488" s="642"/>
      <c r="F488" s="642"/>
      <c r="G488" s="642"/>
      <c r="H488" s="642"/>
      <c r="I488" s="642"/>
      <c r="J488" s="642"/>
      <c r="K488" s="642"/>
      <c r="L488" s="642"/>
      <c r="M488" s="642"/>
      <c r="N488" s="642"/>
      <c r="O488" s="642"/>
      <c r="P488" s="642"/>
      <c r="Q488" s="642"/>
      <c r="R488" s="642"/>
      <c r="S488" s="642"/>
      <c r="T488" s="642"/>
      <c r="U488" s="642"/>
      <c r="V488" s="642"/>
      <c r="W488" s="642"/>
      <c r="X488" s="642"/>
      <c r="Y488" s="642"/>
      <c r="Z488" s="642"/>
      <c r="AA488" s="66"/>
      <c r="AB488" s="66"/>
      <c r="AC488" s="80"/>
    </row>
    <row r="489" spans="1:68" ht="27" customHeight="1" x14ac:dyDescent="0.25">
      <c r="A489" s="63" t="s">
        <v>768</v>
      </c>
      <c r="B489" s="63" t="s">
        <v>769</v>
      </c>
      <c r="C489" s="36">
        <v>4301052046</v>
      </c>
      <c r="D489" s="643">
        <v>4640242180533</v>
      </c>
      <c r="E489" s="643"/>
      <c r="F489" s="62">
        <v>1.5</v>
      </c>
      <c r="G489" s="37">
        <v>6</v>
      </c>
      <c r="H489" s="62">
        <v>9</v>
      </c>
      <c r="I489" s="62">
        <v>9.4939999999999998</v>
      </c>
      <c r="J489" s="37">
        <v>64</v>
      </c>
      <c r="K489" s="37" t="s">
        <v>127</v>
      </c>
      <c r="L489" s="37" t="s">
        <v>46</v>
      </c>
      <c r="M489" s="38" t="s">
        <v>97</v>
      </c>
      <c r="N489" s="38"/>
      <c r="O489" s="37">
        <v>45</v>
      </c>
      <c r="P489" s="89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9" s="645"/>
      <c r="R489" s="645"/>
      <c r="S489" s="645"/>
      <c r="T489" s="646"/>
      <c r="U489" s="39" t="s">
        <v>46</v>
      </c>
      <c r="V489" s="39" t="s">
        <v>46</v>
      </c>
      <c r="W489" s="40" t="s">
        <v>0</v>
      </c>
      <c r="X489" s="58">
        <v>100</v>
      </c>
      <c r="Y489" s="55">
        <f>IFERROR(IF(X489="",0,CEILING((X489/$H489),1)*$H489),"")</f>
        <v>108</v>
      </c>
      <c r="Z489" s="41">
        <f>IFERROR(IF(Y489=0,"",ROUNDUP(Y489/H489,0)*0.01898),"")</f>
        <v>0.22776000000000002</v>
      </c>
      <c r="AA489" s="68" t="s">
        <v>46</v>
      </c>
      <c r="AB489" s="69" t="s">
        <v>46</v>
      </c>
      <c r="AC489" s="564" t="s">
        <v>770</v>
      </c>
      <c r="AG489" s="78"/>
      <c r="AJ489" s="84" t="s">
        <v>46</v>
      </c>
      <c r="AK489" s="84">
        <v>0</v>
      </c>
      <c r="BB489" s="565" t="s">
        <v>67</v>
      </c>
      <c r="BM489" s="78">
        <f>IFERROR(X489*I489/H489,"0")</f>
        <v>105.48888888888888</v>
      </c>
      <c r="BN489" s="78">
        <f>IFERROR(Y489*I489/H489,"0")</f>
        <v>113.92799999999998</v>
      </c>
      <c r="BO489" s="78">
        <f>IFERROR(1/J489*(X489/H489),"0")</f>
        <v>0.1736111111111111</v>
      </c>
      <c r="BP489" s="78">
        <f>IFERROR(1/J489*(Y489/H489),"0")</f>
        <v>0.1875</v>
      </c>
    </row>
    <row r="490" spans="1:68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39</v>
      </c>
      <c r="X490" s="43">
        <f>IFERROR(X489/H489,"0")</f>
        <v>11.111111111111111</v>
      </c>
      <c r="Y490" s="43">
        <f>IFERROR(Y489/H489,"0")</f>
        <v>12</v>
      </c>
      <c r="Z490" s="43">
        <f>IFERROR(IF(Z489="",0,Z489),"0")</f>
        <v>0.22776000000000002</v>
      </c>
      <c r="AA490" s="67"/>
      <c r="AB490" s="67"/>
      <c r="AC490" s="67"/>
    </row>
    <row r="491" spans="1:68" x14ac:dyDescent="0.2">
      <c r="A491" s="651"/>
      <c r="B491" s="651"/>
      <c r="C491" s="651"/>
      <c r="D491" s="651"/>
      <c r="E491" s="651"/>
      <c r="F491" s="651"/>
      <c r="G491" s="651"/>
      <c r="H491" s="651"/>
      <c r="I491" s="651"/>
      <c r="J491" s="651"/>
      <c r="K491" s="651"/>
      <c r="L491" s="651"/>
      <c r="M491" s="651"/>
      <c r="N491" s="651"/>
      <c r="O491" s="652"/>
      <c r="P491" s="648" t="s">
        <v>40</v>
      </c>
      <c r="Q491" s="649"/>
      <c r="R491" s="649"/>
      <c r="S491" s="649"/>
      <c r="T491" s="649"/>
      <c r="U491" s="649"/>
      <c r="V491" s="650"/>
      <c r="W491" s="42" t="s">
        <v>0</v>
      </c>
      <c r="X491" s="43">
        <f>IFERROR(SUM(X489:X489),"0")</f>
        <v>100</v>
      </c>
      <c r="Y491" s="43">
        <f>IFERROR(SUM(Y489:Y489),"0")</f>
        <v>108</v>
      </c>
      <c r="Z491" s="42"/>
      <c r="AA491" s="67"/>
      <c r="AB491" s="67"/>
      <c r="AC491" s="67"/>
    </row>
    <row r="492" spans="1:68" ht="14.25" customHeight="1" x14ac:dyDescent="0.25">
      <c r="A492" s="642" t="s">
        <v>176</v>
      </c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42"/>
      <c r="P492" s="642"/>
      <c r="Q492" s="642"/>
      <c r="R492" s="642"/>
      <c r="S492" s="642"/>
      <c r="T492" s="642"/>
      <c r="U492" s="642"/>
      <c r="V492" s="642"/>
      <c r="W492" s="642"/>
      <c r="X492" s="642"/>
      <c r="Y492" s="642"/>
      <c r="Z492" s="642"/>
      <c r="AA492" s="66"/>
      <c r="AB492" s="66"/>
      <c r="AC492" s="80"/>
    </row>
    <row r="493" spans="1:68" ht="27" customHeight="1" x14ac:dyDescent="0.25">
      <c r="A493" s="63" t="s">
        <v>771</v>
      </c>
      <c r="B493" s="63" t="s">
        <v>772</v>
      </c>
      <c r="C493" s="36">
        <v>4301060491</v>
      </c>
      <c r="D493" s="643">
        <v>4640242180120</v>
      </c>
      <c r="E493" s="643"/>
      <c r="F493" s="62">
        <v>1.5</v>
      </c>
      <c r="G493" s="37">
        <v>6</v>
      </c>
      <c r="H493" s="62">
        <v>9</v>
      </c>
      <c r="I493" s="62">
        <v>9.41</v>
      </c>
      <c r="J493" s="37">
        <v>64</v>
      </c>
      <c r="K493" s="37" t="s">
        <v>127</v>
      </c>
      <c r="L493" s="37" t="s">
        <v>46</v>
      </c>
      <c r="M493" s="38" t="s">
        <v>91</v>
      </c>
      <c r="N493" s="38"/>
      <c r="O493" s="37">
        <v>40</v>
      </c>
      <c r="P493" s="89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3" s="645"/>
      <c r="R493" s="645"/>
      <c r="S493" s="645"/>
      <c r="T493" s="64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IFERROR(IF(Y493=0,"",ROUNDUP(Y493/H493,0)*0.01898),"")</f>
        <v/>
      </c>
      <c r="AA493" s="68" t="s">
        <v>46</v>
      </c>
      <c r="AB493" s="69" t="s">
        <v>46</v>
      </c>
      <c r="AC493" s="566" t="s">
        <v>773</v>
      </c>
      <c r="AG493" s="78"/>
      <c r="AJ493" s="84" t="s">
        <v>46</v>
      </c>
      <c r="AK493" s="84">
        <v>0</v>
      </c>
      <c r="BB493" s="567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customHeight="1" x14ac:dyDescent="0.25">
      <c r="A494" s="63" t="s">
        <v>774</v>
      </c>
      <c r="B494" s="63" t="s">
        <v>775</v>
      </c>
      <c r="C494" s="36">
        <v>4301060493</v>
      </c>
      <c r="D494" s="643">
        <v>4640242180137</v>
      </c>
      <c r="E494" s="643"/>
      <c r="F494" s="62">
        <v>1.5</v>
      </c>
      <c r="G494" s="37">
        <v>6</v>
      </c>
      <c r="H494" s="62">
        <v>9</v>
      </c>
      <c r="I494" s="62">
        <v>9.41</v>
      </c>
      <c r="J494" s="37">
        <v>64</v>
      </c>
      <c r="K494" s="37" t="s">
        <v>127</v>
      </c>
      <c r="L494" s="37" t="s">
        <v>46</v>
      </c>
      <c r="M494" s="38" t="s">
        <v>91</v>
      </c>
      <c r="N494" s="38"/>
      <c r="O494" s="37">
        <v>40</v>
      </c>
      <c r="P494" s="89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4" s="645"/>
      <c r="R494" s="645"/>
      <c r="S494" s="645"/>
      <c r="T494" s="646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IFERROR(IF(Y494=0,"",ROUNDUP(Y494/H494,0)*0.01898),"")</f>
        <v/>
      </c>
      <c r="AA494" s="68" t="s">
        <v>46</v>
      </c>
      <c r="AB494" s="69" t="s">
        <v>46</v>
      </c>
      <c r="AC494" s="568" t="s">
        <v>776</v>
      </c>
      <c r="AG494" s="78"/>
      <c r="AJ494" s="84" t="s">
        <v>46</v>
      </c>
      <c r="AK494" s="84">
        <v>0</v>
      </c>
      <c r="BB494" s="569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IFERROR(X493/H493,"0")+IFERROR(X494/H494,"0")</f>
        <v>0</v>
      </c>
      <c r="Y495" s="43">
        <f>IFERROR(Y493/H493,"0")+IFERROR(Y494/H494,"0")</f>
        <v>0</v>
      </c>
      <c r="Z495" s="43">
        <f>IFERROR(IF(Z493="",0,Z493),"0")+IFERROR(IF(Z494="",0,Z494),"0")</f>
        <v>0</v>
      </c>
      <c r="AA495" s="67"/>
      <c r="AB495" s="67"/>
      <c r="AC495" s="67"/>
    </row>
    <row r="496" spans="1:68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IFERROR(SUM(X493:X494),"0")</f>
        <v>0</v>
      </c>
      <c r="Y496" s="43">
        <f>IFERROR(SUM(Y493:Y494),"0")</f>
        <v>0</v>
      </c>
      <c r="Z496" s="42"/>
      <c r="AA496" s="67"/>
      <c r="AB496" s="67"/>
      <c r="AC496" s="67"/>
    </row>
    <row r="497" spans="1:68" ht="16.5" customHeight="1" x14ac:dyDescent="0.25">
      <c r="A497" s="641" t="s">
        <v>777</v>
      </c>
      <c r="B497" s="641"/>
      <c r="C497" s="641"/>
      <c r="D497" s="641"/>
      <c r="E497" s="641"/>
      <c r="F497" s="641"/>
      <c r="G497" s="641"/>
      <c r="H497" s="641"/>
      <c r="I497" s="641"/>
      <c r="J497" s="641"/>
      <c r="K497" s="641"/>
      <c r="L497" s="641"/>
      <c r="M497" s="641"/>
      <c r="N497" s="641"/>
      <c r="O497" s="641"/>
      <c r="P497" s="641"/>
      <c r="Q497" s="641"/>
      <c r="R497" s="641"/>
      <c r="S497" s="641"/>
      <c r="T497" s="641"/>
      <c r="U497" s="641"/>
      <c r="V497" s="641"/>
      <c r="W497" s="641"/>
      <c r="X497" s="641"/>
      <c r="Y497" s="641"/>
      <c r="Z497" s="641"/>
      <c r="AA497" s="65"/>
      <c r="AB497" s="65"/>
      <c r="AC497" s="79"/>
    </row>
    <row r="498" spans="1:68" ht="14.25" customHeight="1" x14ac:dyDescent="0.25">
      <c r="A498" s="642" t="s">
        <v>156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6"/>
      <c r="AB498" s="66"/>
      <c r="AC498" s="80"/>
    </row>
    <row r="499" spans="1:68" ht="27" customHeight="1" x14ac:dyDescent="0.25">
      <c r="A499" s="63" t="s">
        <v>778</v>
      </c>
      <c r="B499" s="63" t="s">
        <v>779</v>
      </c>
      <c r="C499" s="36">
        <v>4301020314</v>
      </c>
      <c r="D499" s="643">
        <v>4640242180090</v>
      </c>
      <c r="E499" s="643"/>
      <c r="F499" s="62">
        <v>1.5</v>
      </c>
      <c r="G499" s="37">
        <v>8</v>
      </c>
      <c r="H499" s="62">
        <v>12</v>
      </c>
      <c r="I499" s="62">
        <v>12.41</v>
      </c>
      <c r="J499" s="37">
        <v>64</v>
      </c>
      <c r="K499" s="37" t="s">
        <v>127</v>
      </c>
      <c r="L499" s="37" t="s">
        <v>46</v>
      </c>
      <c r="M499" s="38" t="s">
        <v>126</v>
      </c>
      <c r="N499" s="38"/>
      <c r="O499" s="37">
        <v>50</v>
      </c>
      <c r="P499" s="89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9" s="645"/>
      <c r="R499" s="645"/>
      <c r="S499" s="645"/>
      <c r="T499" s="646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IFERROR(IF(Y499=0,"",ROUNDUP(Y499/H499,0)*0.01898),"")</f>
        <v/>
      </c>
      <c r="AA499" s="68" t="s">
        <v>46</v>
      </c>
      <c r="AB499" s="69" t="s">
        <v>46</v>
      </c>
      <c r="AC499" s="570" t="s">
        <v>780</v>
      </c>
      <c r="AG499" s="78"/>
      <c r="AJ499" s="84" t="s">
        <v>46</v>
      </c>
      <c r="AK499" s="84">
        <v>0</v>
      </c>
      <c r="BB499" s="57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x14ac:dyDescent="0.2">
      <c r="A501" s="651"/>
      <c r="B501" s="651"/>
      <c r="C501" s="651"/>
      <c r="D501" s="651"/>
      <c r="E501" s="651"/>
      <c r="F501" s="651"/>
      <c r="G501" s="651"/>
      <c r="H501" s="651"/>
      <c r="I501" s="651"/>
      <c r="J501" s="651"/>
      <c r="K501" s="651"/>
      <c r="L501" s="651"/>
      <c r="M501" s="651"/>
      <c r="N501" s="651"/>
      <c r="O501" s="652"/>
      <c r="P501" s="648" t="s">
        <v>40</v>
      </c>
      <c r="Q501" s="649"/>
      <c r="R501" s="649"/>
      <c r="S501" s="649"/>
      <c r="T501" s="649"/>
      <c r="U501" s="649"/>
      <c r="V501" s="650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5" customHeight="1" x14ac:dyDescent="0.2">
      <c r="A502" s="651"/>
      <c r="B502" s="651"/>
      <c r="C502" s="651"/>
      <c r="D502" s="651"/>
      <c r="E502" s="651"/>
      <c r="F502" s="651"/>
      <c r="G502" s="651"/>
      <c r="H502" s="651"/>
      <c r="I502" s="651"/>
      <c r="J502" s="651"/>
      <c r="K502" s="651"/>
      <c r="L502" s="651"/>
      <c r="M502" s="651"/>
      <c r="N502" s="651"/>
      <c r="O502" s="897"/>
      <c r="P502" s="894" t="s">
        <v>33</v>
      </c>
      <c r="Q502" s="895"/>
      <c r="R502" s="895"/>
      <c r="S502" s="895"/>
      <c r="T502" s="895"/>
      <c r="U502" s="895"/>
      <c r="V502" s="896"/>
      <c r="W502" s="42" t="s">
        <v>0</v>
      </c>
      <c r="X502" s="43">
        <f>IFERROR(X25+X35+X39+X45+X54+X64+X71+X75+X80+X85+X93+X100+X109+X116+X123+X127+X133+X138+X143+X149+X153+X166+X170+X176+X193+X199+X203+X209+X214+X225+X238+X243+X254+X258+X262+X270+X279+X287+X294+X302+X307+X319+X329+X336+X342+X349+X355+X362+X374+X379+X384+X388+X394+X398+X404+X418+X423+X428+X434+X439+X455+X461+X471+X479+X483+X487+X491+X496+X501,"0")</f>
        <v>1185.5</v>
      </c>
      <c r="Y502" s="43">
        <f>IFERROR(Y25+Y35+Y39+Y45+Y54+Y64+Y71+Y75+Y80+Y85+Y93+Y100+Y109+Y116+Y123+Y127+Y133+Y138+Y143+Y149+Y153+Y166+Y170+Y176+Y193+Y199+Y203+Y209+Y214+Y225+Y238+Y243+Y254+Y258+Y262+Y270+Y279+Y287+Y294+Y302+Y307+Y319+Y329+Y336+Y342+Y349+Y355+Y362+Y374+Y379+Y384+Y388+Y394+Y398+Y404+Y418+Y423+Y428+Y434+Y439+Y455+Y461+Y471+Y479+Y483+Y487+Y491+Y496+Y501,"0")</f>
        <v>1248.9000000000001</v>
      </c>
      <c r="Z502" s="42"/>
      <c r="AA502" s="67"/>
      <c r="AB502" s="67"/>
      <c r="AC502" s="67"/>
    </row>
    <row r="503" spans="1:68" x14ac:dyDescent="0.2">
      <c r="A503" s="651"/>
      <c r="B503" s="651"/>
      <c r="C503" s="651"/>
      <c r="D503" s="651"/>
      <c r="E503" s="651"/>
      <c r="F503" s="651"/>
      <c r="G503" s="651"/>
      <c r="H503" s="651"/>
      <c r="I503" s="651"/>
      <c r="J503" s="651"/>
      <c r="K503" s="651"/>
      <c r="L503" s="651"/>
      <c r="M503" s="651"/>
      <c r="N503" s="651"/>
      <c r="O503" s="897"/>
      <c r="P503" s="894" t="s">
        <v>34</v>
      </c>
      <c r="Q503" s="895"/>
      <c r="R503" s="895"/>
      <c r="S503" s="895"/>
      <c r="T503" s="895"/>
      <c r="U503" s="895"/>
      <c r="V503" s="896"/>
      <c r="W503" s="42" t="s">
        <v>0</v>
      </c>
      <c r="X503" s="43">
        <f>IFERROR(SUM(BM22:BM499),"0")</f>
        <v>1242.8102633477631</v>
      </c>
      <c r="Y503" s="43">
        <f>IFERROR(SUM(BN22:BN499),"0")</f>
        <v>1309.2919999999999</v>
      </c>
      <c r="Z503" s="42"/>
      <c r="AA503" s="67"/>
      <c r="AB503" s="67"/>
      <c r="AC503" s="67"/>
    </row>
    <row r="504" spans="1:68" x14ac:dyDescent="0.2">
      <c r="A504" s="651"/>
      <c r="B504" s="651"/>
      <c r="C504" s="651"/>
      <c r="D504" s="651"/>
      <c r="E504" s="651"/>
      <c r="F504" s="651"/>
      <c r="G504" s="651"/>
      <c r="H504" s="651"/>
      <c r="I504" s="651"/>
      <c r="J504" s="651"/>
      <c r="K504" s="651"/>
      <c r="L504" s="651"/>
      <c r="M504" s="651"/>
      <c r="N504" s="651"/>
      <c r="O504" s="897"/>
      <c r="P504" s="894" t="s">
        <v>35</v>
      </c>
      <c r="Q504" s="895"/>
      <c r="R504" s="895"/>
      <c r="S504" s="895"/>
      <c r="T504" s="895"/>
      <c r="U504" s="895"/>
      <c r="V504" s="896"/>
      <c r="W504" s="42" t="s">
        <v>20</v>
      </c>
      <c r="X504" s="44">
        <f>ROUNDUP(SUM(BO22:BO499),0)</f>
        <v>2</v>
      </c>
      <c r="Y504" s="44">
        <f>ROUNDUP(SUM(BP22:BP499),0)</f>
        <v>3</v>
      </c>
      <c r="Z504" s="42"/>
      <c r="AA504" s="67"/>
      <c r="AB504" s="67"/>
      <c r="AC504" s="67"/>
    </row>
    <row r="505" spans="1:68" x14ac:dyDescent="0.2">
      <c r="A505" s="651"/>
      <c r="B505" s="651"/>
      <c r="C505" s="651"/>
      <c r="D505" s="651"/>
      <c r="E505" s="651"/>
      <c r="F505" s="651"/>
      <c r="G505" s="651"/>
      <c r="H505" s="651"/>
      <c r="I505" s="651"/>
      <c r="J505" s="651"/>
      <c r="K505" s="651"/>
      <c r="L505" s="651"/>
      <c r="M505" s="651"/>
      <c r="N505" s="651"/>
      <c r="O505" s="897"/>
      <c r="P505" s="894" t="s">
        <v>36</v>
      </c>
      <c r="Q505" s="895"/>
      <c r="R505" s="895"/>
      <c r="S505" s="895"/>
      <c r="T505" s="895"/>
      <c r="U505" s="895"/>
      <c r="V505" s="896"/>
      <c r="W505" s="42" t="s">
        <v>0</v>
      </c>
      <c r="X505" s="43">
        <f>GrossWeightTotal+PalletQtyTotal*25</f>
        <v>1292.8102633477631</v>
      </c>
      <c r="Y505" s="43">
        <f>GrossWeightTotalR+PalletQtyTotalR*25</f>
        <v>1384.2919999999999</v>
      </c>
      <c r="Z505" s="42"/>
      <c r="AA505" s="67"/>
      <c r="AB505" s="67"/>
      <c r="AC505" s="67"/>
    </row>
    <row r="506" spans="1:68" x14ac:dyDescent="0.2">
      <c r="A506" s="651"/>
      <c r="B506" s="651"/>
      <c r="C506" s="651"/>
      <c r="D506" s="651"/>
      <c r="E506" s="651"/>
      <c r="F506" s="651"/>
      <c r="G506" s="651"/>
      <c r="H506" s="651"/>
      <c r="I506" s="651"/>
      <c r="J506" s="651"/>
      <c r="K506" s="651"/>
      <c r="L506" s="651"/>
      <c r="M506" s="651"/>
      <c r="N506" s="651"/>
      <c r="O506" s="897"/>
      <c r="P506" s="894" t="s">
        <v>37</v>
      </c>
      <c r="Q506" s="895"/>
      <c r="R506" s="895"/>
      <c r="S506" s="895"/>
      <c r="T506" s="895"/>
      <c r="U506" s="895"/>
      <c r="V506" s="896"/>
      <c r="W506" s="42" t="s">
        <v>20</v>
      </c>
      <c r="X506" s="43">
        <f>IFERROR(X24+X34+X38+X44+X53+X63+X70+X74+X79+X84+X92+X99+X108+X115+X122+X126+X132+X137+X142+X148+X152+X165+X169+X175+X192+X198+X202+X208+X213+X224+X237+X242+X253+X257+X261+X269+X278+X286+X293+X301+X306+X318+X328+X335+X341+X348+X354+X361+X373+X378+X383+X387+X393+X397+X403+X417+X422+X427+X433+X438+X454+X460+X470+X478+X482+X486+X490+X495+X500,"0")</f>
        <v>146.12473637473639</v>
      </c>
      <c r="Y506" s="43">
        <f>IFERROR(Y24+Y34+Y38+Y44+Y53+Y63+Y70+Y74+Y79+Y84+Y92+Y99+Y108+Y115+Y122+Y126+Y132+Y137+Y142+Y148+Y152+Y165+Y169+Y175+Y192+Y198+Y202+Y208+Y213+Y224+Y237+Y242+Y253+Y257+Y261+Y269+Y278+Y286+Y293+Y301+Y306+Y318+Y328+Y335+Y341+Y348+Y354+Y361+Y373+Y378+Y383+Y387+Y393+Y397+Y403+Y417+Y422+Y427+Y433+Y438+Y454+Y460+Y470+Y478+Y482+Y486+Y490+Y495+Y500,"0")</f>
        <v>154</v>
      </c>
      <c r="Z506" s="42"/>
      <c r="AA506" s="67"/>
      <c r="AB506" s="67"/>
      <c r="AC506" s="67"/>
    </row>
    <row r="507" spans="1:68" ht="14.25" x14ac:dyDescent="0.2">
      <c r="A507" s="651"/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897"/>
      <c r="P507" s="894" t="s">
        <v>38</v>
      </c>
      <c r="Q507" s="895"/>
      <c r="R507" s="895"/>
      <c r="S507" s="895"/>
      <c r="T507" s="895"/>
      <c r="U507" s="895"/>
      <c r="V507" s="896"/>
      <c r="W507" s="45" t="s">
        <v>52</v>
      </c>
      <c r="X507" s="42"/>
      <c r="Y507" s="42"/>
      <c r="Z507" s="42">
        <f>IFERROR(Z24+Z34+Z38+Z44+Z53+Z63+Z70+Z74+Z79+Z84+Z92+Z99+Z108+Z115+Z122+Z126+Z132+Z137+Z142+Z148+Z152+Z165+Z169+Z175+Z192+Z198+Z202+Z208+Z213+Z224+Z237+Z242+Z253+Z257+Z261+Z269+Z278+Z286+Z293+Z301+Z306+Z318+Z328+Z335+Z341+Z348+Z354+Z361+Z373+Z378+Z383+Z387+Z393+Z397+Z403+Z417+Z422+Z427+Z433+Z438+Z454+Z460+Z470+Z478+Z482+Z486+Z490+Z495+Z500,"0")</f>
        <v>2.39723</v>
      </c>
      <c r="AA507" s="67"/>
      <c r="AB507" s="67"/>
      <c r="AC507" s="67"/>
    </row>
    <row r="508" spans="1:68" ht="13.5" thickBot="1" x14ac:dyDescent="0.25"/>
    <row r="509" spans="1:68" ht="27" thickTop="1" thickBot="1" x14ac:dyDescent="0.25">
      <c r="A509" s="46" t="s">
        <v>9</v>
      </c>
      <c r="B509" s="85" t="s">
        <v>76</v>
      </c>
      <c r="C509" s="85" t="s">
        <v>45</v>
      </c>
      <c r="D509" s="900" t="s">
        <v>120</v>
      </c>
      <c r="E509" s="900" t="s">
        <v>120</v>
      </c>
      <c r="F509" s="900" t="s">
        <v>120</v>
      </c>
      <c r="G509" s="900" t="s">
        <v>120</v>
      </c>
      <c r="H509" s="900" t="s">
        <v>120</v>
      </c>
      <c r="I509" s="900" t="s">
        <v>120</v>
      </c>
      <c r="J509" s="900" t="s">
        <v>293</v>
      </c>
      <c r="K509" s="900" t="s">
        <v>293</v>
      </c>
      <c r="L509" s="900" t="s">
        <v>293</v>
      </c>
      <c r="M509" s="900" t="s">
        <v>293</v>
      </c>
      <c r="N509" s="901"/>
      <c r="O509" s="900" t="s">
        <v>293</v>
      </c>
      <c r="P509" s="900" t="s">
        <v>293</v>
      </c>
      <c r="Q509" s="900" t="s">
        <v>293</v>
      </c>
      <c r="R509" s="900" t="s">
        <v>293</v>
      </c>
      <c r="S509" s="900" t="s">
        <v>293</v>
      </c>
      <c r="T509" s="900" t="s">
        <v>601</v>
      </c>
      <c r="U509" s="900" t="s">
        <v>601</v>
      </c>
      <c r="V509" s="900" t="s">
        <v>654</v>
      </c>
      <c r="W509" s="900" t="s">
        <v>654</v>
      </c>
      <c r="X509" s="900" t="s">
        <v>654</v>
      </c>
      <c r="Y509" s="85" t="s">
        <v>702</v>
      </c>
      <c r="Z509" s="900" t="s">
        <v>753</v>
      </c>
      <c r="AA509" s="900" t="s">
        <v>753</v>
      </c>
      <c r="AB509" s="60"/>
      <c r="AC509" s="60"/>
      <c r="AF509" s="1"/>
    </row>
    <row r="510" spans="1:68" ht="14.25" customHeight="1" thickTop="1" x14ac:dyDescent="0.2">
      <c r="A510" s="898" t="s">
        <v>10</v>
      </c>
      <c r="B510" s="900" t="s">
        <v>76</v>
      </c>
      <c r="C510" s="900" t="s">
        <v>116</v>
      </c>
      <c r="D510" s="900" t="s">
        <v>121</v>
      </c>
      <c r="E510" s="900" t="s">
        <v>137</v>
      </c>
      <c r="F510" s="900" t="s">
        <v>183</v>
      </c>
      <c r="G510" s="900" t="s">
        <v>205</v>
      </c>
      <c r="H510" s="900" t="s">
        <v>242</v>
      </c>
      <c r="I510" s="900" t="s">
        <v>120</v>
      </c>
      <c r="J510" s="900" t="s">
        <v>294</v>
      </c>
      <c r="K510" s="900" t="s">
        <v>350</v>
      </c>
      <c r="L510" s="900" t="s">
        <v>414</v>
      </c>
      <c r="M510" s="900" t="s">
        <v>453</v>
      </c>
      <c r="N510" s="1"/>
      <c r="O510" s="900" t="s">
        <v>469</v>
      </c>
      <c r="P510" s="900" t="s">
        <v>480</v>
      </c>
      <c r="Q510" s="900" t="s">
        <v>489</v>
      </c>
      <c r="R510" s="900" t="s">
        <v>508</v>
      </c>
      <c r="S510" s="900" t="s">
        <v>591</v>
      </c>
      <c r="T510" s="900" t="s">
        <v>602</v>
      </c>
      <c r="U510" s="900" t="s">
        <v>638</v>
      </c>
      <c r="V510" s="900" t="s">
        <v>655</v>
      </c>
      <c r="W510" s="900" t="s">
        <v>686</v>
      </c>
      <c r="X510" s="900" t="s">
        <v>698</v>
      </c>
      <c r="Y510" s="900" t="s">
        <v>702</v>
      </c>
      <c r="Z510" s="900" t="s">
        <v>753</v>
      </c>
      <c r="AA510" s="900" t="s">
        <v>777</v>
      </c>
      <c r="AB510" s="60"/>
      <c r="AC510" s="60"/>
      <c r="AF510" s="1"/>
    </row>
    <row r="511" spans="1:68" ht="13.5" thickBot="1" x14ac:dyDescent="0.25">
      <c r="A511" s="899"/>
      <c r="B511" s="900"/>
      <c r="C511" s="900"/>
      <c r="D511" s="900"/>
      <c r="E511" s="900"/>
      <c r="F511" s="900"/>
      <c r="G511" s="900"/>
      <c r="H511" s="900"/>
      <c r="I511" s="900"/>
      <c r="J511" s="900"/>
      <c r="K511" s="900"/>
      <c r="L511" s="900"/>
      <c r="M511" s="900"/>
      <c r="N511" s="1"/>
      <c r="O511" s="900"/>
      <c r="P511" s="900"/>
      <c r="Q511" s="900"/>
      <c r="R511" s="900"/>
      <c r="S511" s="900"/>
      <c r="T511" s="900"/>
      <c r="U511" s="900"/>
      <c r="V511" s="900"/>
      <c r="W511" s="900"/>
      <c r="X511" s="900"/>
      <c r="Y511" s="900"/>
      <c r="Z511" s="900"/>
      <c r="AA511" s="900"/>
      <c r="AB511" s="60"/>
      <c r="AC511" s="60"/>
      <c r="AF511" s="1"/>
    </row>
    <row r="512" spans="1:68" ht="18" thickTop="1" thickBot="1" x14ac:dyDescent="0.25">
      <c r="A512" s="46" t="s">
        <v>13</v>
      </c>
      <c r="B512" s="52">
        <f>IFERROR(Y22*1,"0")+IFERROR(Y23*1,"0")+IFERROR(Y27*1,"0")+IFERROR(Y28*1,"0")+IFERROR(Y29*1,"0")+IFERROR(Y30*1,"0")+IFERROR(Y31*1,"0")+IFERROR(Y32*1,"0")+IFERROR(Y33*1,"0")+IFERROR(Y37*1,"0")</f>
        <v>0</v>
      </c>
      <c r="C512" s="52">
        <f>IFERROR(Y43*1,"0")</f>
        <v>0</v>
      </c>
      <c r="D512" s="52">
        <f>IFERROR(Y49*1,"0")+IFERROR(Y50*1,"0")+IFERROR(Y51*1,"0")+IFERROR(Y52*1,"0")</f>
        <v>0</v>
      </c>
      <c r="E512" s="52">
        <f>IFERROR(Y57*1,"0")+IFERROR(Y58*1,"0")+IFERROR(Y59*1,"0")+IFERROR(Y60*1,"0")+IFERROR(Y61*1,"0")+IFERROR(Y62*1,"0")+IFERROR(Y66*1,"0")+IFERROR(Y67*1,"0")+IFERROR(Y68*1,"0")+IFERROR(Y69*1,"0")+IFERROR(Y73*1,"0")+IFERROR(Y77*1,"0")+IFERROR(Y78*1,"0")+IFERROR(Y82*1,"0")+IFERROR(Y83*1,"0")</f>
        <v>97.2</v>
      </c>
      <c r="F512" s="52">
        <f>IFERROR(Y88*1,"0")+IFERROR(Y89*1,"0")+IFERROR(Y90*1,"0")+IFERROR(Y91*1,"0")+IFERROR(Y95*1,"0")+IFERROR(Y96*1,"0")+IFERROR(Y97*1,"0")+IFERROR(Y98*1,"0")</f>
        <v>22.5</v>
      </c>
      <c r="G512" s="52">
        <f>IFERROR(Y103*1,"0")+IFERROR(Y104*1,"0")+IFERROR(Y105*1,"0")+IFERROR(Y106*1,"0")+IFERROR(Y107*1,"0")+IFERROR(Y111*1,"0")+IFERROR(Y112*1,"0")+IFERROR(Y113*1,"0")+IFERROR(Y114*1,"0")+IFERROR(Y118*1,"0")+IFERROR(Y119*1,"0")+IFERROR(Y120*1,"0")+IFERROR(Y121*1,"0")+IFERROR(Y125*1,"0")</f>
        <v>126.9</v>
      </c>
      <c r="H512" s="52">
        <f>IFERROR(Y130*1,"0")+IFERROR(Y131*1,"0")+IFERROR(Y135*1,"0")+IFERROR(Y136*1,"0")+IFERROR(Y140*1,"0")+IFERROR(Y141*1,"0")</f>
        <v>0</v>
      </c>
      <c r="I512" s="52">
        <f>IFERROR(Y146*1,"0")+IFERROR(Y147*1,"0")+IFERROR(Y151*1,"0")+IFERROR(Y155*1,"0")+IFERROR(Y156*1,"0")+IFERROR(Y157*1,"0")+IFERROR(Y158*1,"0")+IFERROR(Y159*1,"0")+IFERROR(Y160*1,"0")+IFERROR(Y161*1,"0")+IFERROR(Y162*1,"0")+IFERROR(Y163*1,"0")+IFERROR(Y164*1,"0")+IFERROR(Y168*1,"0")</f>
        <v>0</v>
      </c>
      <c r="J512" s="52">
        <f>IFERROR(Y174*1,"0")+IFERROR(Y178*1,"0")+IFERROR(Y179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</f>
        <v>0</v>
      </c>
      <c r="K512" s="52">
        <f>IFERROR(Y206*1,"0")+IFERROR(Y207*1,"0")+IFERROR(Y211*1,"0")+IFERROR(Y212*1,"0")+IFERROR(Y216*1,"0")+IFERROR(Y217*1,"0")+IFERROR(Y218*1,"0")+IFERROR(Y219*1,"0")+IFERROR(Y220*1,"0")+IFERROR(Y221*1,"0")+IFERROR(Y222*1,"0")+IFERROR(Y223*1,"0")+IFERROR(Y227*1,"0")+IFERROR(Y228*1,"0")+IFERROR(Y229*1,"0")+IFERROR(Y230*1,"0")+IFERROR(Y231*1,"0")+IFERROR(Y232*1,"0")+IFERROR(Y233*1,"0")+IFERROR(Y234*1,"0")+IFERROR(Y235*1,"0")+IFERROR(Y236*1,"0")+IFERROR(Y240*1,"0")+IFERROR(Y241*1,"0")</f>
        <v>40.500000000000007</v>
      </c>
      <c r="L512" s="52">
        <f>IFERROR(Y246*1,"0")+IFERROR(Y247*1,"0")+IFERROR(Y248*1,"0")+IFERROR(Y249*1,"0")+IFERROR(Y250*1,"0")+IFERROR(Y251*1,"0")+IFERROR(Y252*1,"0")+IFERROR(Y256*1,"0")+IFERROR(Y260*1,"0")+IFERROR(Y264*1,"0")+IFERROR(Y265*1,"0")+IFERROR(Y266*1,"0")+IFERROR(Y267*1,"0")+IFERROR(Y268*1,"0")</f>
        <v>0</v>
      </c>
      <c r="M512" s="52">
        <f>IFERROR(Y273*1,"0")+IFERROR(Y274*1,"0")+IFERROR(Y275*1,"0")+IFERROR(Y276*1,"0")+IFERROR(Y277*1,"0")</f>
        <v>0</v>
      </c>
      <c r="N512" s="1"/>
      <c r="O512" s="52">
        <f>IFERROR(Y282*1,"0")+IFERROR(Y283*1,"0")+IFERROR(Y284*1,"0")+IFERROR(Y285*1,"0")</f>
        <v>0</v>
      </c>
      <c r="P512" s="52">
        <f>IFERROR(Y290*1,"0")+IFERROR(Y291*1,"0")+IFERROR(Y292*1,"0")</f>
        <v>0</v>
      </c>
      <c r="Q512" s="52">
        <f>IFERROR(Y297*1,"0")+IFERROR(Y298*1,"0")+IFERROR(Y299*1,"0")+IFERROR(Y300*1,"0")+IFERROR(Y304*1,"0")+IFERROR(Y305*1,"0")</f>
        <v>0</v>
      </c>
      <c r="R512" s="52">
        <f>IFERROR(Y310*1,"0")+IFERROR(Y311*1,"0")+IFERROR(Y312*1,"0")+IFERROR(Y313*1,"0")+IFERROR(Y314*1,"0")+IFERROR(Y315*1,"0")+IFERROR(Y316*1,"0")+IFERROR(Y317*1,"0")+IFERROR(Y321*1,"0")+IFERROR(Y322*1,"0")+IFERROR(Y323*1,"0")+IFERROR(Y324*1,"0")+IFERROR(Y325*1,"0")+IFERROR(Y326*1,"0")+IFERROR(Y327*1,"0")+IFERROR(Y331*1,"0")+IFERROR(Y332*1,"0")+IFERROR(Y333*1,"0")+IFERROR(Y334*1,"0")+IFERROR(Y338*1,"0")+IFERROR(Y339*1,"0")+IFERROR(Y340*1,"0")+IFERROR(Y344*1,"0")+IFERROR(Y345*1,"0")+IFERROR(Y346*1,"0")+IFERROR(Y347*1,"0")+IFERROR(Y351*1,"0")+IFERROR(Y352*1,"0")+IFERROR(Y353*1,"0")</f>
        <v>98.4</v>
      </c>
      <c r="S512" s="52">
        <f>IFERROR(Y358*1,"0")+IFERROR(Y359*1,"0")+IFERROR(Y360*1,"0")</f>
        <v>0</v>
      </c>
      <c r="T512" s="52">
        <f>IFERROR(Y366*1,"0")+IFERROR(Y367*1,"0")+IFERROR(Y368*1,"0")+IFERROR(Y369*1,"0")+IFERROR(Y370*1,"0")+IFERROR(Y371*1,"0")+IFERROR(Y372*1,"0")+IFERROR(Y376*1,"0")+IFERROR(Y377*1,"0")+IFERROR(Y381*1,"0")+IFERROR(Y382*1,"0")+IFERROR(Y386*1,"0")</f>
        <v>405</v>
      </c>
      <c r="U512" s="52">
        <f>IFERROR(Y391*1,"0")+IFERROR(Y392*1,"0")+IFERROR(Y396*1,"0")+IFERROR(Y400*1,"0")+IFERROR(Y401*1,"0")+IFERROR(Y402*1,"0")</f>
        <v>0</v>
      </c>
      <c r="V512" s="52">
        <f>IFERROR(Y408*1,"0")+IFERROR(Y409*1,"0")+IFERROR(Y410*1,"0")+IFERROR(Y411*1,"0")+IFERROR(Y412*1,"0")+IFERROR(Y413*1,"0")+IFERROR(Y414*1,"0")+IFERROR(Y415*1,"0")+IFERROR(Y416*1,"0")+IFERROR(Y420*1,"0")+IFERROR(Y421*1,"0")</f>
        <v>21.6</v>
      </c>
      <c r="W512" s="52">
        <f>IFERROR(Y426*1,"0")+IFERROR(Y430*1,"0")+IFERROR(Y431*1,"0")+IFERROR(Y432*1,"0")</f>
        <v>0</v>
      </c>
      <c r="X512" s="52">
        <f>IFERROR(Y437*1,"0")</f>
        <v>0</v>
      </c>
      <c r="Y512" s="52">
        <f>IFERROR(Y443*1,"0")+IFERROR(Y444*1,"0")+IFERROR(Y445*1,"0")+IFERROR(Y446*1,"0")+IFERROR(Y447*1,"0")+IFERROR(Y448*1,"0")+IFERROR(Y449*1,"0")+IFERROR(Y450*1,"0")+IFERROR(Y451*1,"0")+IFERROR(Y452*1,"0")+IFERROR(Y453*1,"0")+IFERROR(Y457*1,"0")+IFERROR(Y458*1,"0")+IFERROR(Y459*1,"0")+IFERROR(Y463*1,"0")+IFERROR(Y464*1,"0")+IFERROR(Y465*1,"0")+IFERROR(Y466*1,"0")+IFERROR(Y467*1,"0")+IFERROR(Y468*1,"0")+IFERROR(Y469*1,"0")</f>
        <v>316.8</v>
      </c>
      <c r="Z512" s="52">
        <f>IFERROR(Y475*1,"0")+IFERROR(Y476*1,"0")+IFERROR(Y477*1,"0")+IFERROR(Y481*1,"0")+IFERROR(Y485*1,"0")+IFERROR(Y489*1,"0")+IFERROR(Y493*1,"0")+IFERROR(Y494*1,"0")</f>
        <v>120</v>
      </c>
      <c r="AA512" s="52">
        <f>IFERROR(Y499*1,"0")</f>
        <v>0</v>
      </c>
      <c r="AB512" s="60"/>
      <c r="AC512" s="60"/>
      <c r="AF512" s="1"/>
    </row>
  </sheetData>
  <sheetProtection algorithmName="SHA-512" hashValue="4BjGkhtR8XYGRdtI7bUPRZ7fAH1eNhnu2QB5GjN+geDd44P5/WpCfp1RQWlse1AhnLFrW2BcBaTztTn+WWHWkA==" saltValue="uh4SNDL815TRcUKCgKQlV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99">
    <mergeCell ref="U510:U511"/>
    <mergeCell ref="V510:V511"/>
    <mergeCell ref="W510:W511"/>
    <mergeCell ref="X510:X511"/>
    <mergeCell ref="Y510:Y511"/>
    <mergeCell ref="Z510:Z511"/>
    <mergeCell ref="AA510:AA511"/>
    <mergeCell ref="D509:I509"/>
    <mergeCell ref="J509:S509"/>
    <mergeCell ref="T509:U509"/>
    <mergeCell ref="V509:X509"/>
    <mergeCell ref="Z509:AA509"/>
    <mergeCell ref="J510:J511"/>
    <mergeCell ref="K510:K511"/>
    <mergeCell ref="L510:L511"/>
    <mergeCell ref="M510:M511"/>
    <mergeCell ref="O510:O511"/>
    <mergeCell ref="P510:P511"/>
    <mergeCell ref="Q510:Q511"/>
    <mergeCell ref="R510:R511"/>
    <mergeCell ref="S510:S511"/>
    <mergeCell ref="T510:T511"/>
    <mergeCell ref="A510:A511"/>
    <mergeCell ref="B510:B511"/>
    <mergeCell ref="C510:C511"/>
    <mergeCell ref="D510:D511"/>
    <mergeCell ref="E510:E511"/>
    <mergeCell ref="F510:F511"/>
    <mergeCell ref="G510:G511"/>
    <mergeCell ref="H510:H511"/>
    <mergeCell ref="I510:I511"/>
    <mergeCell ref="P500:V500"/>
    <mergeCell ref="A500:O501"/>
    <mergeCell ref="P501:V501"/>
    <mergeCell ref="P502:V502"/>
    <mergeCell ref="A502:O507"/>
    <mergeCell ref="P503:V503"/>
    <mergeCell ref="P504:V504"/>
    <mergeCell ref="P505:V505"/>
    <mergeCell ref="P506:V506"/>
    <mergeCell ref="P507:V507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A488:Z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82:V482"/>
    <mergeCell ref="A482:O483"/>
    <mergeCell ref="P483:V483"/>
    <mergeCell ref="A484:Z484"/>
    <mergeCell ref="D485:E485"/>
    <mergeCell ref="P485:T485"/>
    <mergeCell ref="P486:V486"/>
    <mergeCell ref="A486:O487"/>
    <mergeCell ref="P487:V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A435:Z435"/>
    <mergeCell ref="A436:Z436"/>
    <mergeCell ref="D437:E437"/>
    <mergeCell ref="P437:T437"/>
    <mergeCell ref="P438:V438"/>
    <mergeCell ref="A438:O439"/>
    <mergeCell ref="P439:V439"/>
    <mergeCell ref="A440:Z440"/>
    <mergeCell ref="A441:Z441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P422:V422"/>
    <mergeCell ref="A422:O423"/>
    <mergeCell ref="P423:V423"/>
    <mergeCell ref="A424:Z424"/>
    <mergeCell ref="A425:Z425"/>
    <mergeCell ref="D426:E426"/>
    <mergeCell ref="P426:T426"/>
    <mergeCell ref="P427:V427"/>
    <mergeCell ref="A427:O428"/>
    <mergeCell ref="P428:V428"/>
    <mergeCell ref="D416:E416"/>
    <mergeCell ref="P416:T416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A405:Z405"/>
    <mergeCell ref="A406:Z406"/>
    <mergeCell ref="A407:Z407"/>
    <mergeCell ref="D408:E408"/>
    <mergeCell ref="P408:T408"/>
    <mergeCell ref="D409:E409"/>
    <mergeCell ref="P409:T409"/>
    <mergeCell ref="D410:E410"/>
    <mergeCell ref="P410:T410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P393:V393"/>
    <mergeCell ref="A393:O394"/>
    <mergeCell ref="P394:V394"/>
    <mergeCell ref="A395:Z395"/>
    <mergeCell ref="D396:E396"/>
    <mergeCell ref="P396:T396"/>
    <mergeCell ref="P397:V397"/>
    <mergeCell ref="A397:O398"/>
    <mergeCell ref="P398:V398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A375:Z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35:V335"/>
    <mergeCell ref="A335:O336"/>
    <mergeCell ref="P336:V336"/>
    <mergeCell ref="A337:Z337"/>
    <mergeCell ref="D338:E338"/>
    <mergeCell ref="P338:T338"/>
    <mergeCell ref="D339:E339"/>
    <mergeCell ref="P339:T339"/>
    <mergeCell ref="D340:E340"/>
    <mergeCell ref="P340:T340"/>
    <mergeCell ref="A330:Z330"/>
    <mergeCell ref="D331:E331"/>
    <mergeCell ref="P331:T331"/>
    <mergeCell ref="D332:E332"/>
    <mergeCell ref="P332:T332"/>
    <mergeCell ref="D333:E333"/>
    <mergeCell ref="P333:T333"/>
    <mergeCell ref="D334:E334"/>
    <mergeCell ref="P334:T33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08:Z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P306:V306"/>
    <mergeCell ref="A306:O307"/>
    <mergeCell ref="P307:V307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88:Z288"/>
    <mergeCell ref="A289:Z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77:E277"/>
    <mergeCell ref="P277:T277"/>
    <mergeCell ref="P278:V278"/>
    <mergeCell ref="A278:O279"/>
    <mergeCell ref="P279:V279"/>
    <mergeCell ref="A280:Z280"/>
    <mergeCell ref="A281:Z281"/>
    <mergeCell ref="D282:E282"/>
    <mergeCell ref="P282:T282"/>
    <mergeCell ref="A271:Z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69:V269"/>
    <mergeCell ref="A269:O270"/>
    <mergeCell ref="P270:V270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D252:E252"/>
    <mergeCell ref="P252:T252"/>
    <mergeCell ref="P242:V242"/>
    <mergeCell ref="A242:O243"/>
    <mergeCell ref="P243:V243"/>
    <mergeCell ref="A244:Z244"/>
    <mergeCell ref="A245:Z245"/>
    <mergeCell ref="D246:E246"/>
    <mergeCell ref="P246:T246"/>
    <mergeCell ref="D247:E247"/>
    <mergeCell ref="P247:T247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15:Z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P202:V202"/>
    <mergeCell ref="A202:O203"/>
    <mergeCell ref="P203:V203"/>
    <mergeCell ref="A204:Z204"/>
    <mergeCell ref="A205:Z205"/>
    <mergeCell ref="D206:E206"/>
    <mergeCell ref="P206:T206"/>
    <mergeCell ref="D207:E207"/>
    <mergeCell ref="P207:T207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74:E174"/>
    <mergeCell ref="P174:T174"/>
    <mergeCell ref="P175:V175"/>
    <mergeCell ref="A175:O176"/>
    <mergeCell ref="P176:V176"/>
    <mergeCell ref="A177:Z177"/>
    <mergeCell ref="D178:E178"/>
    <mergeCell ref="P178:T178"/>
    <mergeCell ref="D179:E179"/>
    <mergeCell ref="P179:T179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A173:Z173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A150:Z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A144:Z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A72:Z72"/>
    <mergeCell ref="D73:E73"/>
    <mergeCell ref="P73:T73"/>
    <mergeCell ref="P74:V74"/>
    <mergeCell ref="A74:O75"/>
    <mergeCell ref="P75:V75"/>
    <mergeCell ref="A76:Z76"/>
    <mergeCell ref="D77:E77"/>
    <mergeCell ref="P77:T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A55:Z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D52:E52"/>
    <mergeCell ref="P52:T52"/>
    <mergeCell ref="P53:V53"/>
    <mergeCell ref="A53:O54"/>
    <mergeCell ref="P54:V54"/>
    <mergeCell ref="D43:E43"/>
    <mergeCell ref="P43:T43"/>
    <mergeCell ref="P44:V44"/>
    <mergeCell ref="A44:O45"/>
    <mergeCell ref="P45:V45"/>
    <mergeCell ref="A46:Z46"/>
    <mergeCell ref="A47:Z47"/>
    <mergeCell ref="A48:Z48"/>
    <mergeCell ref="D49:E49"/>
    <mergeCell ref="P49:T49"/>
    <mergeCell ref="A36:Z36"/>
    <mergeCell ref="D37:E37"/>
    <mergeCell ref="P37:T37"/>
    <mergeCell ref="P38:V38"/>
    <mergeCell ref="A38:O39"/>
    <mergeCell ref="P39:V39"/>
    <mergeCell ref="A40:Z40"/>
    <mergeCell ref="A41:Z41"/>
    <mergeCell ref="A42:Z42"/>
    <mergeCell ref="D31:E31"/>
    <mergeCell ref="P31:T31"/>
    <mergeCell ref="D32:E32"/>
    <mergeCell ref="P32:T32"/>
    <mergeCell ref="D33:E33"/>
    <mergeCell ref="P33:T33"/>
    <mergeCell ref="P34:V34"/>
    <mergeCell ref="A34:O35"/>
    <mergeCell ref="P35:V3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781</v>
      </c>
      <c r="H1" s="9"/>
    </row>
    <row r="3" spans="2:8" x14ac:dyDescent="0.2">
      <c r="B3" s="53" t="s">
        <v>782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783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784</v>
      </c>
      <c r="C6" s="53" t="s">
        <v>785</v>
      </c>
      <c r="D6" s="53" t="s">
        <v>786</v>
      </c>
      <c r="E6" s="53" t="s">
        <v>46</v>
      </c>
    </row>
    <row r="7" spans="2:8" x14ac:dyDescent="0.2">
      <c r="B7" s="53" t="s">
        <v>787</v>
      </c>
      <c r="C7" s="53" t="s">
        <v>788</v>
      </c>
      <c r="D7" s="53" t="s">
        <v>789</v>
      </c>
      <c r="E7" s="53" t="s">
        <v>46</v>
      </c>
    </row>
    <row r="9" spans="2:8" x14ac:dyDescent="0.2">
      <c r="B9" s="53" t="s">
        <v>790</v>
      </c>
      <c r="C9" s="53" t="s">
        <v>785</v>
      </c>
      <c r="D9" s="53" t="s">
        <v>46</v>
      </c>
      <c r="E9" s="53" t="s">
        <v>46</v>
      </c>
    </row>
    <row r="11" spans="2:8" x14ac:dyDescent="0.2">
      <c r="B11" s="53" t="s">
        <v>790</v>
      </c>
      <c r="C11" s="53" t="s">
        <v>788</v>
      </c>
      <c r="D11" s="53" t="s">
        <v>46</v>
      </c>
      <c r="E11" s="53" t="s">
        <v>46</v>
      </c>
    </row>
    <row r="13" spans="2:8" x14ac:dyDescent="0.2">
      <c r="B13" s="53" t="s">
        <v>791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792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793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794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795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796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797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798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799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800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801</v>
      </c>
      <c r="C23" s="53" t="s">
        <v>46</v>
      </c>
      <c r="D23" s="53" t="s">
        <v>46</v>
      </c>
      <c r="E23" s="53" t="s">
        <v>46</v>
      </c>
    </row>
  </sheetData>
  <sheetProtection algorithmName="SHA-512" hashValue="zV4AK6Gn3zuKOwYnO4pER46PapmCtsawFyxn1oeWC7E0/r/Fq+aCymKHJagtVK9ocRahDidJaJv/lhZli8EnMA==" saltValue="3m0sBNjjmOjCVQnFqVrYq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1016</vt:i4>
      </vt:variant>
    </vt:vector>
  </HeadingPairs>
  <TitlesOfParts>
    <vt:vector size="101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2026-07-08T10:23:00Z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