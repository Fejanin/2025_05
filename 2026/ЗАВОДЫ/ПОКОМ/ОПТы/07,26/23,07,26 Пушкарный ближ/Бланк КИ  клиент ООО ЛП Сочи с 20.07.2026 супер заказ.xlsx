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60" yWindow="45" windowWidth="21180" windowHeight="1551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/>
  <c r="X540"/>
  <c r="BO539"/>
  <c r="BM539"/>
  <c r="Y539"/>
  <c r="AB552" s="1"/>
  <c r="P539"/>
  <c r="X536"/>
  <c r="X535"/>
  <c r="BO534"/>
  <c r="BN534"/>
  <c r="BM534"/>
  <c r="Y534"/>
  <c r="BP534" s="1"/>
  <c r="P534"/>
  <c r="BO533"/>
  <c r="BM533"/>
  <c r="Y533"/>
  <c r="BP533" s="1"/>
  <c r="P533"/>
  <c r="X531"/>
  <c r="Y530"/>
  <c r="X530"/>
  <c r="BO529"/>
  <c r="BM529"/>
  <c r="Z529"/>
  <c r="Z530" s="1"/>
  <c r="Y529"/>
  <c r="BP529" s="1"/>
  <c r="P529"/>
  <c r="X527"/>
  <c r="X526"/>
  <c r="BO525"/>
  <c r="BN525"/>
  <c r="BM525"/>
  <c r="Y525"/>
  <c r="BP525" s="1"/>
  <c r="P525"/>
  <c r="BO524"/>
  <c r="BM524"/>
  <c r="Y524"/>
  <c r="BN524" s="1"/>
  <c r="P524"/>
  <c r="X522"/>
  <c r="X521"/>
  <c r="BP520"/>
  <c r="BO520"/>
  <c r="BM520"/>
  <c r="Y520"/>
  <c r="Z520" s="1"/>
  <c r="Z521" s="1"/>
  <c r="P520"/>
  <c r="X518"/>
  <c r="X517"/>
  <c r="BO516"/>
  <c r="BM516"/>
  <c r="Y516"/>
  <c r="P516"/>
  <c r="X512"/>
  <c r="X511"/>
  <c r="BO510"/>
  <c r="BM510"/>
  <c r="Y510"/>
  <c r="BN510" s="1"/>
  <c r="P510"/>
  <c r="BO509"/>
  <c r="BM509"/>
  <c r="Y509"/>
  <c r="BP509" s="1"/>
  <c r="P509"/>
  <c r="BO508"/>
  <c r="BM508"/>
  <c r="Y508"/>
  <c r="BN508" s="1"/>
  <c r="P508"/>
  <c r="BO507"/>
  <c r="BM507"/>
  <c r="Y507"/>
  <c r="BN507" s="1"/>
  <c r="P507"/>
  <c r="BO506"/>
  <c r="BM506"/>
  <c r="Z506"/>
  <c r="Y506"/>
  <c r="BP506" s="1"/>
  <c r="P506"/>
  <c r="BO505"/>
  <c r="BM505"/>
  <c r="Y505"/>
  <c r="BN505" s="1"/>
  <c r="P505"/>
  <c r="BO504"/>
  <c r="BM504"/>
  <c r="Y504"/>
  <c r="Y511" s="1"/>
  <c r="P504"/>
  <c r="X502"/>
  <c r="X501"/>
  <c r="BP500"/>
  <c r="BO500"/>
  <c r="BM500"/>
  <c r="Y500"/>
  <c r="BN500" s="1"/>
  <c r="P500"/>
  <c r="BO499"/>
  <c r="BM499"/>
  <c r="Y499"/>
  <c r="Y501" s="1"/>
  <c r="P499"/>
  <c r="BP498"/>
  <c r="BO498"/>
  <c r="BN498"/>
  <c r="BM498"/>
  <c r="Z498"/>
  <c r="Y498"/>
  <c r="P498"/>
  <c r="X496"/>
  <c r="X495"/>
  <c r="BO494"/>
  <c r="BM494"/>
  <c r="Y494"/>
  <c r="BP494" s="1"/>
  <c r="P494"/>
  <c r="BO493"/>
  <c r="BN493"/>
  <c r="BM493"/>
  <c r="Y493"/>
  <c r="BP493" s="1"/>
  <c r="P493"/>
  <c r="BO492"/>
  <c r="BM492"/>
  <c r="Y492"/>
  <c r="BP492" s="1"/>
  <c r="P492"/>
  <c r="BP491"/>
  <c r="BO491"/>
  <c r="BN491"/>
  <c r="BM491"/>
  <c r="Z491"/>
  <c r="Y491"/>
  <c r="P491"/>
  <c r="BP490"/>
  <c r="BO490"/>
  <c r="BM490"/>
  <c r="Y490"/>
  <c r="BN490" s="1"/>
  <c r="P490"/>
  <c r="BO489"/>
  <c r="BM489"/>
  <c r="Y489"/>
  <c r="BP489" s="1"/>
  <c r="P489"/>
  <c r="BP488"/>
  <c r="BO488"/>
  <c r="BN488"/>
  <c r="BM488"/>
  <c r="Z488"/>
  <c r="Y488"/>
  <c r="P488"/>
  <c r="BP487"/>
  <c r="BO487"/>
  <c r="BM487"/>
  <c r="Y487"/>
  <c r="BN487" s="1"/>
  <c r="P487"/>
  <c r="BO486"/>
  <c r="BM486"/>
  <c r="Y486"/>
  <c r="Z552" s="1"/>
  <c r="P486"/>
  <c r="X482"/>
  <c r="X481"/>
  <c r="BO480"/>
  <c r="BM480"/>
  <c r="Y480"/>
  <c r="P480"/>
  <c r="BP479"/>
  <c r="BO479"/>
  <c r="BM479"/>
  <c r="Z479"/>
  <c r="Y479"/>
  <c r="BN479" s="1"/>
  <c r="P479"/>
  <c r="BP478"/>
  <c r="BO478"/>
  <c r="BM478"/>
  <c r="Y478"/>
  <c r="P478"/>
  <c r="X476"/>
  <c r="X475"/>
  <c r="BO474"/>
  <c r="BN474"/>
  <c r="BM474"/>
  <c r="Y474"/>
  <c r="Z474" s="1"/>
  <c r="Z475" s="1"/>
  <c r="P474"/>
  <c r="X471"/>
  <c r="X470"/>
  <c r="BO469"/>
  <c r="BM469"/>
  <c r="Y469"/>
  <c r="BP469" s="1"/>
  <c r="P469"/>
  <c r="BO468"/>
  <c r="BM468"/>
  <c r="Y468"/>
  <c r="Z468" s="1"/>
  <c r="P468"/>
  <c r="X466"/>
  <c r="X465"/>
  <c r="BO464"/>
  <c r="BM464"/>
  <c r="Y464"/>
  <c r="BP464" s="1"/>
  <c r="P464"/>
  <c r="BP463"/>
  <c r="BO463"/>
  <c r="BN463"/>
  <c r="BM463"/>
  <c r="Z463"/>
  <c r="Y463"/>
  <c r="P463"/>
  <c r="BP462"/>
  <c r="BO462"/>
  <c r="BM462"/>
  <c r="Y462"/>
  <c r="BN462" s="1"/>
  <c r="P462"/>
  <c r="BO461"/>
  <c r="BM461"/>
  <c r="Y461"/>
  <c r="BP461" s="1"/>
  <c r="P461"/>
  <c r="BO460"/>
  <c r="BN460"/>
  <c r="BM460"/>
  <c r="Y460"/>
  <c r="BP460" s="1"/>
  <c r="P460"/>
  <c r="BO459"/>
  <c r="BM459"/>
  <c r="Y459"/>
  <c r="P459"/>
  <c r="Y455"/>
  <c r="X455"/>
  <c r="X454"/>
  <c r="BP453"/>
  <c r="BO453"/>
  <c r="BM453"/>
  <c r="Y453"/>
  <c r="BN453" s="1"/>
  <c r="P453"/>
  <c r="BO452"/>
  <c r="BM452"/>
  <c r="Y452"/>
  <c r="Y454" s="1"/>
  <c r="P452"/>
  <c r="BP451"/>
  <c r="BO451"/>
  <c r="BN451"/>
  <c r="BM451"/>
  <c r="Z451"/>
  <c r="Y451"/>
  <c r="P451"/>
  <c r="X449"/>
  <c r="X448"/>
  <c r="BO447"/>
  <c r="BM447"/>
  <c r="Y447"/>
  <c r="Y449" s="1"/>
  <c r="P447"/>
  <c r="X445"/>
  <c r="Y444"/>
  <c r="X444"/>
  <c r="BP443"/>
  <c r="BO443"/>
  <c r="BN443"/>
  <c r="BM443"/>
  <c r="Z443"/>
  <c r="Y443"/>
  <c r="P443"/>
  <c r="BO442"/>
  <c r="BM442"/>
  <c r="Y442"/>
  <c r="P442"/>
  <c r="X439"/>
  <c r="X438"/>
  <c r="BO437"/>
  <c r="BN437"/>
  <c r="BM437"/>
  <c r="Y437"/>
  <c r="Z437" s="1"/>
  <c r="P437"/>
  <c r="BO436"/>
  <c r="BM436"/>
  <c r="Y436"/>
  <c r="Y439" s="1"/>
  <c r="P436"/>
  <c r="X434"/>
  <c r="X433"/>
  <c r="BO432"/>
  <c r="BM432"/>
  <c r="Y432"/>
  <c r="P432"/>
  <c r="BO431"/>
  <c r="BN431"/>
  <c r="BM431"/>
  <c r="Y431"/>
  <c r="BP431" s="1"/>
  <c r="P431"/>
  <c r="BO430"/>
  <c r="BM430"/>
  <c r="Y430"/>
  <c r="Y433" s="1"/>
  <c r="P430"/>
  <c r="X428"/>
  <c r="X427"/>
  <c r="BO426"/>
  <c r="BM426"/>
  <c r="Y426"/>
  <c r="Z426" s="1"/>
  <c r="P426"/>
  <c r="BO425"/>
  <c r="BN425"/>
  <c r="BM425"/>
  <c r="Y425"/>
  <c r="BP425" s="1"/>
  <c r="P425"/>
  <c r="BO424"/>
  <c r="BM424"/>
  <c r="Y424"/>
  <c r="P424"/>
  <c r="X422"/>
  <c r="X421"/>
  <c r="BO420"/>
  <c r="BN420"/>
  <c r="BM420"/>
  <c r="Y420"/>
  <c r="BP420" s="1"/>
  <c r="P420"/>
  <c r="BO419"/>
  <c r="BM419"/>
  <c r="Y419"/>
  <c r="BP419" s="1"/>
  <c r="P419"/>
  <c r="BO418"/>
  <c r="BM418"/>
  <c r="Y418"/>
  <c r="BP418" s="1"/>
  <c r="P418"/>
  <c r="BO417"/>
  <c r="BM417"/>
  <c r="Z417"/>
  <c r="Y417"/>
  <c r="BN417" s="1"/>
  <c r="P417"/>
  <c r="BO416"/>
  <c r="BM416"/>
  <c r="Y416"/>
  <c r="Z416" s="1"/>
  <c r="P416"/>
  <c r="BO415"/>
  <c r="BN415"/>
  <c r="BM415"/>
  <c r="Y415"/>
  <c r="BP415" s="1"/>
  <c r="P415"/>
  <c r="BO414"/>
  <c r="BM414"/>
  <c r="Y414"/>
  <c r="BP414" s="1"/>
  <c r="P414"/>
  <c r="BO413"/>
  <c r="BM413"/>
  <c r="Y413"/>
  <c r="V552" s="1"/>
  <c r="P413"/>
  <c r="X409"/>
  <c r="X408"/>
  <c r="BO407"/>
  <c r="BM407"/>
  <c r="Y407"/>
  <c r="BP407" s="1"/>
  <c r="P407"/>
  <c r="BO406"/>
  <c r="BM406"/>
  <c r="Y406"/>
  <c r="BP406" s="1"/>
  <c r="P406"/>
  <c r="BO405"/>
  <c r="BM405"/>
  <c r="Y405"/>
  <c r="Y409" s="1"/>
  <c r="P405"/>
  <c r="X402"/>
  <c r="X401"/>
  <c r="BP400"/>
  <c r="BO400"/>
  <c r="BM400"/>
  <c r="Z400"/>
  <c r="Y400"/>
  <c r="BN400" s="1"/>
  <c r="P400"/>
  <c r="BO399"/>
  <c r="BM399"/>
  <c r="Y399"/>
  <c r="BP399" s="1"/>
  <c r="P399"/>
  <c r="BO398"/>
  <c r="BM398"/>
  <c r="Y398"/>
  <c r="Z398" s="1"/>
  <c r="P398"/>
  <c r="X396"/>
  <c r="X395"/>
  <c r="BO394"/>
  <c r="BM394"/>
  <c r="Y394"/>
  <c r="BP394" s="1"/>
  <c r="P394"/>
  <c r="BO393"/>
  <c r="BM393"/>
  <c r="Z393"/>
  <c r="Y393"/>
  <c r="BN393" s="1"/>
  <c r="P393"/>
  <c r="BO392"/>
  <c r="BM392"/>
  <c r="Y392"/>
  <c r="Y396" s="1"/>
  <c r="P392"/>
  <c r="X390"/>
  <c r="X389"/>
  <c r="BP388"/>
  <c r="BO388"/>
  <c r="BM388"/>
  <c r="Z388"/>
  <c r="Y388"/>
  <c r="BN388" s="1"/>
  <c r="P388"/>
  <c r="BO387"/>
  <c r="BM387"/>
  <c r="Y387"/>
  <c r="BP387" s="1"/>
  <c r="P387"/>
  <c r="BO386"/>
  <c r="BM386"/>
  <c r="Y386"/>
  <c r="BN386" s="1"/>
  <c r="P386"/>
  <c r="BO385"/>
  <c r="BM385"/>
  <c r="Y385"/>
  <c r="BN385" s="1"/>
  <c r="P385"/>
  <c r="X383"/>
  <c r="X382"/>
  <c r="BO381"/>
  <c r="BN381"/>
  <c r="BM381"/>
  <c r="Y381"/>
  <c r="Z381" s="1"/>
  <c r="P381"/>
  <c r="BO380"/>
  <c r="BN380"/>
  <c r="BM380"/>
  <c r="Y380"/>
  <c r="BP380" s="1"/>
  <c r="P380"/>
  <c r="BO379"/>
  <c r="BM379"/>
  <c r="Y379"/>
  <c r="Y383" s="1"/>
  <c r="P379"/>
  <c r="X377"/>
  <c r="X376"/>
  <c r="BO375"/>
  <c r="BM375"/>
  <c r="Y375"/>
  <c r="BN375" s="1"/>
  <c r="P375"/>
  <c r="BO374"/>
  <c r="BM374"/>
  <c r="Y374"/>
  <c r="BP374" s="1"/>
  <c r="P374"/>
  <c r="BO373"/>
  <c r="BN373"/>
  <c r="BM373"/>
  <c r="Y373"/>
  <c r="BP373" s="1"/>
  <c r="P373"/>
  <c r="BO372"/>
  <c r="BM372"/>
  <c r="Y372"/>
  <c r="BP372" s="1"/>
  <c r="P372"/>
  <c r="X370"/>
  <c r="X369"/>
  <c r="BO368"/>
  <c r="BM368"/>
  <c r="Y368"/>
  <c r="BP368" s="1"/>
  <c r="P368"/>
  <c r="BO367"/>
  <c r="BM367"/>
  <c r="Y367"/>
  <c r="BP367" s="1"/>
  <c r="P367"/>
  <c r="BO366"/>
  <c r="BM366"/>
  <c r="Y366"/>
  <c r="Z366" s="1"/>
  <c r="P366"/>
  <c r="BO365"/>
  <c r="BN365"/>
  <c r="BM365"/>
  <c r="Y365"/>
  <c r="BP365" s="1"/>
  <c r="P365"/>
  <c r="BO364"/>
  <c r="BM364"/>
  <c r="Y364"/>
  <c r="BP364" s="1"/>
  <c r="P364"/>
  <c r="BO363"/>
  <c r="BM363"/>
  <c r="Y363"/>
  <c r="BP363" s="1"/>
  <c r="P363"/>
  <c r="BO362"/>
  <c r="BM362"/>
  <c r="Y362"/>
  <c r="BP362" s="1"/>
  <c r="P362"/>
  <c r="X360"/>
  <c r="X359"/>
  <c r="BO358"/>
  <c r="BM358"/>
  <c r="Y358"/>
  <c r="BN358" s="1"/>
  <c r="P358"/>
  <c r="BO357"/>
  <c r="BM357"/>
  <c r="Z357"/>
  <c r="Y357"/>
  <c r="BP357" s="1"/>
  <c r="P357"/>
  <c r="BO356"/>
  <c r="BM356"/>
  <c r="Y356"/>
  <c r="Z356" s="1"/>
  <c r="P356"/>
  <c r="BO355"/>
  <c r="BM355"/>
  <c r="Y355"/>
  <c r="BN355" s="1"/>
  <c r="P355"/>
  <c r="BO354"/>
  <c r="BM354"/>
  <c r="Y354"/>
  <c r="BP354" s="1"/>
  <c r="P354"/>
  <c r="BO353"/>
  <c r="BM353"/>
  <c r="Y353"/>
  <c r="BP353" s="1"/>
  <c r="P353"/>
  <c r="X350"/>
  <c r="X349"/>
  <c r="BO348"/>
  <c r="BM348"/>
  <c r="Y348"/>
  <c r="BP348" s="1"/>
  <c r="P348"/>
  <c r="BO347"/>
  <c r="BN347"/>
  <c r="BM347"/>
  <c r="Y347"/>
  <c r="BP347" s="1"/>
  <c r="P347"/>
  <c r="BO346"/>
  <c r="BM346"/>
  <c r="Y346"/>
  <c r="Y350" s="1"/>
  <c r="P346"/>
  <c r="X343"/>
  <c r="X342"/>
  <c r="BO341"/>
  <c r="BM341"/>
  <c r="Y341"/>
  <c r="BN341" s="1"/>
  <c r="P341"/>
  <c r="BO340"/>
  <c r="BM340"/>
  <c r="Y340"/>
  <c r="P340"/>
  <c r="X338"/>
  <c r="X337"/>
  <c r="BO336"/>
  <c r="BM336"/>
  <c r="Y336"/>
  <c r="BP336" s="1"/>
  <c r="P336"/>
  <c r="BO335"/>
  <c r="BM335"/>
  <c r="Y335"/>
  <c r="Y337" s="1"/>
  <c r="P335"/>
  <c r="BO334"/>
  <c r="BN334"/>
  <c r="BM334"/>
  <c r="Y334"/>
  <c r="BP334" s="1"/>
  <c r="P334"/>
  <c r="BO333"/>
  <c r="BM333"/>
  <c r="Y333"/>
  <c r="BP333" s="1"/>
  <c r="P333"/>
  <c r="BP332"/>
  <c r="BO332"/>
  <c r="BN332"/>
  <c r="BM332"/>
  <c r="Z332"/>
  <c r="Y332"/>
  <c r="P332"/>
  <c r="Y329"/>
  <c r="X329"/>
  <c r="X328"/>
  <c r="BO327"/>
  <c r="BM327"/>
  <c r="Y327"/>
  <c r="BP327" s="1"/>
  <c r="P327"/>
  <c r="BO326"/>
  <c r="BN326"/>
  <c r="BM326"/>
  <c r="Y326"/>
  <c r="Z326" s="1"/>
  <c r="P326"/>
  <c r="BO325"/>
  <c r="BM325"/>
  <c r="Y325"/>
  <c r="BP325" s="1"/>
  <c r="P325"/>
  <c r="X322"/>
  <c r="X321"/>
  <c r="BO320"/>
  <c r="BM320"/>
  <c r="Y320"/>
  <c r="Z320" s="1"/>
  <c r="P320"/>
  <c r="BO319"/>
  <c r="BM319"/>
  <c r="Y319"/>
  <c r="BN319" s="1"/>
  <c r="P319"/>
  <c r="BO318"/>
  <c r="BM318"/>
  <c r="Y318"/>
  <c r="BP318" s="1"/>
  <c r="P318"/>
  <c r="BO317"/>
  <c r="BM317"/>
  <c r="Y317"/>
  <c r="BP317" s="1"/>
  <c r="P317"/>
  <c r="BO316"/>
  <c r="BM316"/>
  <c r="Y316"/>
  <c r="BP316" s="1"/>
  <c r="P316"/>
  <c r="X313"/>
  <c r="X312"/>
  <c r="BO311"/>
  <c r="BM311"/>
  <c r="Y311"/>
  <c r="BP311" s="1"/>
  <c r="P311"/>
  <c r="BO310"/>
  <c r="BM310"/>
  <c r="Z310"/>
  <c r="Y310"/>
  <c r="BP310" s="1"/>
  <c r="P310"/>
  <c r="BO309"/>
  <c r="BM309"/>
  <c r="Y309"/>
  <c r="Z309" s="1"/>
  <c r="P309"/>
  <c r="X307"/>
  <c r="X306"/>
  <c r="BO305"/>
  <c r="BM305"/>
  <c r="Y305"/>
  <c r="Y307" s="1"/>
  <c r="P305"/>
  <c r="X303"/>
  <c r="X302"/>
  <c r="BO301"/>
  <c r="BN301"/>
  <c r="BM301"/>
  <c r="Y301"/>
  <c r="BP301" s="1"/>
  <c r="P301"/>
  <c r="X299"/>
  <c r="X298"/>
  <c r="BO297"/>
  <c r="BM297"/>
  <c r="Y297"/>
  <c r="Z297" s="1"/>
  <c r="P297"/>
  <c r="BO296"/>
  <c r="BN296"/>
  <c r="BM296"/>
  <c r="Y296"/>
  <c r="BP296" s="1"/>
  <c r="P296"/>
  <c r="BO295"/>
  <c r="BM295"/>
  <c r="Y295"/>
  <c r="BP295" s="1"/>
  <c r="P295"/>
  <c r="BO294"/>
  <c r="BM294"/>
  <c r="Y294"/>
  <c r="BP294" s="1"/>
  <c r="P294"/>
  <c r="BO293"/>
  <c r="BM293"/>
  <c r="Y293"/>
  <c r="BP293" s="1"/>
  <c r="P293"/>
  <c r="BO292"/>
  <c r="BM292"/>
  <c r="Y292"/>
  <c r="Z292" s="1"/>
  <c r="P292"/>
  <c r="BO291"/>
  <c r="BN291"/>
  <c r="BM291"/>
  <c r="Y291"/>
  <c r="BP291" s="1"/>
  <c r="P291"/>
  <c r="X288"/>
  <c r="X287"/>
  <c r="BO286"/>
  <c r="BM286"/>
  <c r="Y286"/>
  <c r="Z286" s="1"/>
  <c r="P286"/>
  <c r="BO285"/>
  <c r="BN285"/>
  <c r="BM285"/>
  <c r="Y285"/>
  <c r="BP285" s="1"/>
  <c r="P285"/>
  <c r="X283"/>
  <c r="X282"/>
  <c r="BO281"/>
  <c r="BM281"/>
  <c r="Z281"/>
  <c r="Y281"/>
  <c r="BN281" s="1"/>
  <c r="P281"/>
  <c r="BO280"/>
  <c r="BM280"/>
  <c r="Y280"/>
  <c r="BP280" s="1"/>
  <c r="P280"/>
  <c r="BO279"/>
  <c r="BM279"/>
  <c r="Y279"/>
  <c r="BP279" s="1"/>
  <c r="P279"/>
  <c r="BO278"/>
  <c r="BN278"/>
  <c r="BM278"/>
  <c r="Y278"/>
  <c r="BP278" s="1"/>
  <c r="P278"/>
  <c r="BO277"/>
  <c r="BM277"/>
  <c r="Z277"/>
  <c r="Y277"/>
  <c r="BP277" s="1"/>
  <c r="P277"/>
  <c r="BO276"/>
  <c r="BM276"/>
  <c r="Y276"/>
  <c r="Z276" s="1"/>
  <c r="P276"/>
  <c r="BO275"/>
  <c r="BM275"/>
  <c r="Y275"/>
  <c r="BN275" s="1"/>
  <c r="P275"/>
  <c r="BO274"/>
  <c r="BM274"/>
  <c r="Y274"/>
  <c r="BP274" s="1"/>
  <c r="P274"/>
  <c r="BO273"/>
  <c r="BM273"/>
  <c r="Y273"/>
  <c r="BP273" s="1"/>
  <c r="P273"/>
  <c r="BO272"/>
  <c r="BM272"/>
  <c r="Y272"/>
  <c r="BP272" s="1"/>
  <c r="P272"/>
  <c r="BO271"/>
  <c r="BN271"/>
  <c r="BM271"/>
  <c r="Y271"/>
  <c r="Z271" s="1"/>
  <c r="P271"/>
  <c r="BO270"/>
  <c r="BN270"/>
  <c r="BM270"/>
  <c r="Y270"/>
  <c r="BP270" s="1"/>
  <c r="P270"/>
  <c r="X268"/>
  <c r="X267"/>
  <c r="BO266"/>
  <c r="BM266"/>
  <c r="Y266"/>
  <c r="Z266" s="1"/>
  <c r="P266"/>
  <c r="BO265"/>
  <c r="BM265"/>
  <c r="Y265"/>
  <c r="BN265" s="1"/>
  <c r="P265"/>
  <c r="BO264"/>
  <c r="BM264"/>
  <c r="Y264"/>
  <c r="BP264" s="1"/>
  <c r="P264"/>
  <c r="BO263"/>
  <c r="BM263"/>
  <c r="Y263"/>
  <c r="BP263" s="1"/>
  <c r="P263"/>
  <c r="BO262"/>
  <c r="BM262"/>
  <c r="Y262"/>
  <c r="BP262" s="1"/>
  <c r="P262"/>
  <c r="BO261"/>
  <c r="BN261"/>
  <c r="BM261"/>
  <c r="Y261"/>
  <c r="Z261" s="1"/>
  <c r="P261"/>
  <c r="BO260"/>
  <c r="BN260"/>
  <c r="BM260"/>
  <c r="Y260"/>
  <c r="BP260" s="1"/>
  <c r="P260"/>
  <c r="BO259"/>
  <c r="BM259"/>
  <c r="Y259"/>
  <c r="P259"/>
  <c r="X257"/>
  <c r="X256"/>
  <c r="BP255"/>
  <c r="BO255"/>
  <c r="BM255"/>
  <c r="Z255"/>
  <c r="Y255"/>
  <c r="BN255" s="1"/>
  <c r="P255"/>
  <c r="BO254"/>
  <c r="BM254"/>
  <c r="Y254"/>
  <c r="BP254" s="1"/>
  <c r="P254"/>
  <c r="X252"/>
  <c r="X251"/>
  <c r="BO250"/>
  <c r="BM250"/>
  <c r="Y250"/>
  <c r="BP250" s="1"/>
  <c r="P250"/>
  <c r="BO249"/>
  <c r="BM249"/>
  <c r="Y249"/>
  <c r="Y252" s="1"/>
  <c r="P249"/>
  <c r="X246"/>
  <c r="X245"/>
  <c r="BO244"/>
  <c r="BM244"/>
  <c r="Z244"/>
  <c r="Z245" s="1"/>
  <c r="Y244"/>
  <c r="Y245" s="1"/>
  <c r="P244"/>
  <c r="X242"/>
  <c r="Y241"/>
  <c r="X241"/>
  <c r="BO240"/>
  <c r="BM240"/>
  <c r="Y240"/>
  <c r="BP240" s="1"/>
  <c r="P240"/>
  <c r="BO239"/>
  <c r="BM239"/>
  <c r="Y239"/>
  <c r="BP239" s="1"/>
  <c r="P239"/>
  <c r="BO238"/>
  <c r="BN238"/>
  <c r="BM238"/>
  <c r="Y238"/>
  <c r="Z238" s="1"/>
  <c r="P238"/>
  <c r="X236"/>
  <c r="X235"/>
  <c r="BP234"/>
  <c r="BO234"/>
  <c r="BN234"/>
  <c r="BM234"/>
  <c r="Z234"/>
  <c r="Y234"/>
  <c r="P234"/>
  <c r="BO233"/>
  <c r="BM233"/>
  <c r="Y233"/>
  <c r="Z233" s="1"/>
  <c r="P233"/>
  <c r="BO232"/>
  <c r="BM232"/>
  <c r="Y232"/>
  <c r="BP232" s="1"/>
  <c r="P232"/>
  <c r="BO231"/>
  <c r="BM231"/>
  <c r="Y231"/>
  <c r="BP231" s="1"/>
  <c r="P231"/>
  <c r="BO230"/>
  <c r="BN230"/>
  <c r="BM230"/>
  <c r="Y230"/>
  <c r="BP230" s="1"/>
  <c r="P230"/>
  <c r="X228"/>
  <c r="X227"/>
  <c r="BO226"/>
  <c r="BM226"/>
  <c r="Y226"/>
  <c r="BP226" s="1"/>
  <c r="P226"/>
  <c r="BP225"/>
  <c r="BO225"/>
  <c r="BN225"/>
  <c r="BM225"/>
  <c r="Z225"/>
  <c r="Y225"/>
  <c r="P225"/>
  <c r="BO224"/>
  <c r="BM224"/>
  <c r="Y224"/>
  <c r="BN224" s="1"/>
  <c r="P224"/>
  <c r="BO223"/>
  <c r="BM223"/>
  <c r="Y223"/>
  <c r="Z223" s="1"/>
  <c r="P223"/>
  <c r="BP222"/>
  <c r="BO222"/>
  <c r="BN222"/>
  <c r="BM222"/>
  <c r="Z222"/>
  <c r="Y222"/>
  <c r="P222"/>
  <c r="BO221"/>
  <c r="BM221"/>
  <c r="Y221"/>
  <c r="BP221" s="1"/>
  <c r="P221"/>
  <c r="BO220"/>
  <c r="BM220"/>
  <c r="Y220"/>
  <c r="BP220" s="1"/>
  <c r="P220"/>
  <c r="BO219"/>
  <c r="BM219"/>
  <c r="Y219"/>
  <c r="BP219" s="1"/>
  <c r="P219"/>
  <c r="BO218"/>
  <c r="BM218"/>
  <c r="Y218"/>
  <c r="Z218" s="1"/>
  <c r="P218"/>
  <c r="BO217"/>
  <c r="BN217"/>
  <c r="BM217"/>
  <c r="Y217"/>
  <c r="Z217" s="1"/>
  <c r="P217"/>
  <c r="BO216"/>
  <c r="BM216"/>
  <c r="Y216"/>
  <c r="P216"/>
  <c r="BP215"/>
  <c r="BO215"/>
  <c r="BM215"/>
  <c r="Z215"/>
  <c r="Y215"/>
  <c r="BN215" s="1"/>
  <c r="P215"/>
  <c r="BO214"/>
  <c r="BM214"/>
  <c r="Y214"/>
  <c r="BP214" s="1"/>
  <c r="P214"/>
  <c r="BP213"/>
  <c r="BO213"/>
  <c r="BN213"/>
  <c r="BM213"/>
  <c r="Z213"/>
  <c r="Y213"/>
  <c r="P213"/>
  <c r="Y211"/>
  <c r="X211"/>
  <c r="X210"/>
  <c r="BO209"/>
  <c r="BM209"/>
  <c r="Y209"/>
  <c r="Y210" s="1"/>
  <c r="P209"/>
  <c r="X206"/>
  <c r="X205"/>
  <c r="BP204"/>
  <c r="BO204"/>
  <c r="BN204"/>
  <c r="BM204"/>
  <c r="Z204"/>
  <c r="Y204"/>
  <c r="P204"/>
  <c r="BP203"/>
  <c r="BO203"/>
  <c r="BM203"/>
  <c r="Z203"/>
  <c r="Y203"/>
  <c r="BN203" s="1"/>
  <c r="P203"/>
  <c r="BO202"/>
  <c r="BM202"/>
  <c r="Y202"/>
  <c r="Z202" s="1"/>
  <c r="P202"/>
  <c r="BP201"/>
  <c r="BO201"/>
  <c r="BM201"/>
  <c r="Z201"/>
  <c r="Y201"/>
  <c r="BN201" s="1"/>
  <c r="P201"/>
  <c r="BO200"/>
  <c r="BM200"/>
  <c r="Y200"/>
  <c r="BP200" s="1"/>
  <c r="P200"/>
  <c r="BO199"/>
  <c r="BN199"/>
  <c r="BM199"/>
  <c r="Y199"/>
  <c r="BP199" s="1"/>
  <c r="P199"/>
  <c r="BO198"/>
  <c r="BM198"/>
  <c r="Y198"/>
  <c r="BP198" s="1"/>
  <c r="P198"/>
  <c r="Y194"/>
  <c r="X194"/>
  <c r="X193"/>
  <c r="BP192"/>
  <c r="BO192"/>
  <c r="BM192"/>
  <c r="Z192"/>
  <c r="Z193" s="1"/>
  <c r="Y192"/>
  <c r="Y193" s="1"/>
  <c r="P192"/>
  <c r="Y190"/>
  <c r="X190"/>
  <c r="X189"/>
  <c r="BP188"/>
  <c r="BO188"/>
  <c r="BM188"/>
  <c r="Z188"/>
  <c r="Y188"/>
  <c r="BN188" s="1"/>
  <c r="P188"/>
  <c r="BO187"/>
  <c r="BM187"/>
  <c r="Y187"/>
  <c r="BN187" s="1"/>
  <c r="P187"/>
  <c r="X185"/>
  <c r="X184"/>
  <c r="BO183"/>
  <c r="BM183"/>
  <c r="Y183"/>
  <c r="Z183" s="1"/>
  <c r="P183"/>
  <c r="BO182"/>
  <c r="BM182"/>
  <c r="Y182"/>
  <c r="BN182" s="1"/>
  <c r="P182"/>
  <c r="BO181"/>
  <c r="BM181"/>
  <c r="Y181"/>
  <c r="P181"/>
  <c r="X179"/>
  <c r="X178"/>
  <c r="BP177"/>
  <c r="BO177"/>
  <c r="BM177"/>
  <c r="Z177"/>
  <c r="Y177"/>
  <c r="BN177" s="1"/>
  <c r="P177"/>
  <c r="BO176"/>
  <c r="BM176"/>
  <c r="Y176"/>
  <c r="BP176" s="1"/>
  <c r="P176"/>
  <c r="BO175"/>
  <c r="BN175"/>
  <c r="BM175"/>
  <c r="Y175"/>
  <c r="BP175" s="1"/>
  <c r="P175"/>
  <c r="BO174"/>
  <c r="BM174"/>
  <c r="Y174"/>
  <c r="BP174" s="1"/>
  <c r="P174"/>
  <c r="BO173"/>
  <c r="BN173"/>
  <c r="BM173"/>
  <c r="Y173"/>
  <c r="Z173" s="1"/>
  <c r="P173"/>
  <c r="BO172"/>
  <c r="BM172"/>
  <c r="Y172"/>
  <c r="BN172" s="1"/>
  <c r="P172"/>
  <c r="BO171"/>
  <c r="BM171"/>
  <c r="Y171"/>
  <c r="BP171" s="1"/>
  <c r="P171"/>
  <c r="BP170"/>
  <c r="BO170"/>
  <c r="BN170"/>
  <c r="BM170"/>
  <c r="Z170"/>
  <c r="Y170"/>
  <c r="P170"/>
  <c r="BO169"/>
  <c r="BM169"/>
  <c r="Z169"/>
  <c r="Y169"/>
  <c r="BP169" s="1"/>
  <c r="P169"/>
  <c r="BO168"/>
  <c r="BM168"/>
  <c r="Y168"/>
  <c r="BN168" s="1"/>
  <c r="P168"/>
  <c r="BO167"/>
  <c r="BM167"/>
  <c r="Y167"/>
  <c r="BN167" s="1"/>
  <c r="P167"/>
  <c r="BO166"/>
  <c r="BM166"/>
  <c r="Z166"/>
  <c r="Y166"/>
  <c r="BP166" s="1"/>
  <c r="P166"/>
  <c r="Y164"/>
  <c r="X164"/>
  <c r="Y163"/>
  <c r="X163"/>
  <c r="BP162"/>
  <c r="BO162"/>
  <c r="BM162"/>
  <c r="Y162"/>
  <c r="BN162" s="1"/>
  <c r="P162"/>
  <c r="X160"/>
  <c r="X159"/>
  <c r="BO158"/>
  <c r="BM158"/>
  <c r="Y158"/>
  <c r="Z158" s="1"/>
  <c r="P158"/>
  <c r="BO157"/>
  <c r="BM157"/>
  <c r="Y157"/>
  <c r="BN157" s="1"/>
  <c r="P157"/>
  <c r="BO156"/>
  <c r="BM156"/>
  <c r="Y156"/>
  <c r="Y160" s="1"/>
  <c r="P156"/>
  <c r="X153"/>
  <c r="X152"/>
  <c r="BO151"/>
  <c r="BM151"/>
  <c r="Y151"/>
  <c r="BP151" s="1"/>
  <c r="P151"/>
  <c r="BO150"/>
  <c r="BM150"/>
  <c r="Y150"/>
  <c r="P150"/>
  <c r="BP149"/>
  <c r="BO149"/>
  <c r="BM149"/>
  <c r="Z149"/>
  <c r="Y149"/>
  <c r="BN149" s="1"/>
  <c r="P149"/>
  <c r="BO148"/>
  <c r="BM148"/>
  <c r="Y148"/>
  <c r="I552" s="1"/>
  <c r="P148"/>
  <c r="X145"/>
  <c r="X144"/>
  <c r="BO143"/>
  <c r="BM143"/>
  <c r="Y143"/>
  <c r="BN143" s="1"/>
  <c r="P143"/>
  <c r="BO142"/>
  <c r="BM142"/>
  <c r="Y142"/>
  <c r="Y144" s="1"/>
  <c r="P142"/>
  <c r="X140"/>
  <c r="Y139"/>
  <c r="X139"/>
  <c r="BO138"/>
  <c r="BM138"/>
  <c r="Y138"/>
  <c r="BN138" s="1"/>
  <c r="P138"/>
  <c r="BO137"/>
  <c r="BM137"/>
  <c r="Y137"/>
  <c r="BP137" s="1"/>
  <c r="P137"/>
  <c r="Y135"/>
  <c r="X135"/>
  <c r="X134"/>
  <c r="BP133"/>
  <c r="BO133"/>
  <c r="BM133"/>
  <c r="Z133"/>
  <c r="Y133"/>
  <c r="BN133" s="1"/>
  <c r="P133"/>
  <c r="BO132"/>
  <c r="BM132"/>
  <c r="Y132"/>
  <c r="H552" s="1"/>
  <c r="P132"/>
  <c r="X129"/>
  <c r="X128"/>
  <c r="BO127"/>
  <c r="BM127"/>
  <c r="Y127"/>
  <c r="Y129" s="1"/>
  <c r="P127"/>
  <c r="X125"/>
  <c r="X124"/>
  <c r="BP123"/>
  <c r="BO123"/>
  <c r="BN123"/>
  <c r="BM123"/>
  <c r="Z123"/>
  <c r="Y123"/>
  <c r="P123"/>
  <c r="BO122"/>
  <c r="BM122"/>
  <c r="Z122"/>
  <c r="Y122"/>
  <c r="BP122" s="1"/>
  <c r="P122"/>
  <c r="BO121"/>
  <c r="BM121"/>
  <c r="Y121"/>
  <c r="BN121" s="1"/>
  <c r="P121"/>
  <c r="BO120"/>
  <c r="BM120"/>
  <c r="Y120"/>
  <c r="BN120" s="1"/>
  <c r="P120"/>
  <c r="X118"/>
  <c r="X117"/>
  <c r="BO116"/>
  <c r="BM116"/>
  <c r="Y116"/>
  <c r="Z116" s="1"/>
  <c r="P116"/>
  <c r="BO115"/>
  <c r="BM115"/>
  <c r="Y115"/>
  <c r="BN115" s="1"/>
  <c r="P115"/>
  <c r="BO114"/>
  <c r="BM114"/>
  <c r="Y114"/>
  <c r="BP114" s="1"/>
  <c r="P114"/>
  <c r="BO113"/>
  <c r="BM113"/>
  <c r="Y113"/>
  <c r="BN113" s="1"/>
  <c r="P113"/>
  <c r="BO112"/>
  <c r="BM112"/>
  <c r="Z112"/>
  <c r="Y112"/>
  <c r="BP112" s="1"/>
  <c r="P112"/>
  <c r="X110"/>
  <c r="X109"/>
  <c r="BO108"/>
  <c r="BN108"/>
  <c r="BM108"/>
  <c r="Y108"/>
  <c r="BP108" s="1"/>
  <c r="P108"/>
  <c r="BO107"/>
  <c r="BM107"/>
  <c r="Y107"/>
  <c r="BP107" s="1"/>
  <c r="P107"/>
  <c r="BO106"/>
  <c r="BN106"/>
  <c r="BM106"/>
  <c r="Y106"/>
  <c r="Z106" s="1"/>
  <c r="P106"/>
  <c r="BO105"/>
  <c r="BM105"/>
  <c r="Y105"/>
  <c r="BN105" s="1"/>
  <c r="P105"/>
  <c r="BO104"/>
  <c r="BM104"/>
  <c r="Y104"/>
  <c r="BP104" s="1"/>
  <c r="P104"/>
  <c r="BP103"/>
  <c r="BO103"/>
  <c r="BN103"/>
  <c r="BM103"/>
  <c r="Z103"/>
  <c r="Y103"/>
  <c r="P103"/>
  <c r="X100"/>
  <c r="X99"/>
  <c r="BO98"/>
  <c r="BM98"/>
  <c r="Y98"/>
  <c r="Z98" s="1"/>
  <c r="P98"/>
  <c r="BO97"/>
  <c r="BN97"/>
  <c r="BM97"/>
  <c r="Y97"/>
  <c r="BP97" s="1"/>
  <c r="P97"/>
  <c r="BO96"/>
  <c r="BM96"/>
  <c r="Y96"/>
  <c r="BP96" s="1"/>
  <c r="P96"/>
  <c r="BO95"/>
  <c r="BN95"/>
  <c r="BM95"/>
  <c r="Y95"/>
  <c r="Z95" s="1"/>
  <c r="P95"/>
  <c r="X93"/>
  <c r="X92"/>
  <c r="BO91"/>
  <c r="BM91"/>
  <c r="Y91"/>
  <c r="BN91" s="1"/>
  <c r="P91"/>
  <c r="BO90"/>
  <c r="BM90"/>
  <c r="Y90"/>
  <c r="Z90" s="1"/>
  <c r="P90"/>
  <c r="BO89"/>
  <c r="BM89"/>
  <c r="Y89"/>
  <c r="BN89" s="1"/>
  <c r="P89"/>
  <c r="BO88"/>
  <c r="BM88"/>
  <c r="Y88"/>
  <c r="F552" s="1"/>
  <c r="P88"/>
  <c r="X85"/>
  <c r="X84"/>
  <c r="BO83"/>
  <c r="BM83"/>
  <c r="Y83"/>
  <c r="BP83" s="1"/>
  <c r="P83"/>
  <c r="BO82"/>
  <c r="BM82"/>
  <c r="Y82"/>
  <c r="Y85" s="1"/>
  <c r="P82"/>
  <c r="Y80"/>
  <c r="X80"/>
  <c r="X79"/>
  <c r="BO78"/>
  <c r="BN78"/>
  <c r="BM78"/>
  <c r="Z78"/>
  <c r="Y78"/>
  <c r="BP78" s="1"/>
  <c r="P78"/>
  <c r="BP77"/>
  <c r="BO77"/>
  <c r="BM77"/>
  <c r="Z77"/>
  <c r="Z79" s="1"/>
  <c r="Y77"/>
  <c r="Y79" s="1"/>
  <c r="P77"/>
  <c r="Y75"/>
  <c r="X75"/>
  <c r="X74"/>
  <c r="BO73"/>
  <c r="BM73"/>
  <c r="Y73"/>
  <c r="BP73" s="1"/>
  <c r="P73"/>
  <c r="BO72"/>
  <c r="BN72"/>
  <c r="BM72"/>
  <c r="Y72"/>
  <c r="Z72" s="1"/>
  <c r="P72"/>
  <c r="BP71"/>
  <c r="BO71"/>
  <c r="BM71"/>
  <c r="Y71"/>
  <c r="BN71" s="1"/>
  <c r="P71"/>
  <c r="BO70"/>
  <c r="BM70"/>
  <c r="Y70"/>
  <c r="P70"/>
  <c r="X68"/>
  <c r="X67"/>
  <c r="BO66"/>
  <c r="BM66"/>
  <c r="Z66"/>
  <c r="Y66"/>
  <c r="BN66" s="1"/>
  <c r="P66"/>
  <c r="BO65"/>
  <c r="BM65"/>
  <c r="Y65"/>
  <c r="Z65" s="1"/>
  <c r="P65"/>
  <c r="BO64"/>
  <c r="BN64"/>
  <c r="BM64"/>
  <c r="Y64"/>
  <c r="BP64" s="1"/>
  <c r="P64"/>
  <c r="BO63"/>
  <c r="BM63"/>
  <c r="Y63"/>
  <c r="BP63" s="1"/>
  <c r="P63"/>
  <c r="BO62"/>
  <c r="BN62"/>
  <c r="BM62"/>
  <c r="Y62"/>
  <c r="Z62" s="1"/>
  <c r="P62"/>
  <c r="BO61"/>
  <c r="BM61"/>
  <c r="Y61"/>
  <c r="BN61" s="1"/>
  <c r="P61"/>
  <c r="BO60"/>
  <c r="BM60"/>
  <c r="Y60"/>
  <c r="BP60" s="1"/>
  <c r="P60"/>
  <c r="BO59"/>
  <c r="BN59"/>
  <c r="BM59"/>
  <c r="Y59"/>
  <c r="P59"/>
  <c r="X56"/>
  <c r="X55"/>
  <c r="BO54"/>
  <c r="BM54"/>
  <c r="Y54"/>
  <c r="BN54" s="1"/>
  <c r="P54"/>
  <c r="BO53"/>
  <c r="BN53"/>
  <c r="BM53"/>
  <c r="Y53"/>
  <c r="BP53" s="1"/>
  <c r="P53"/>
  <c r="BO52"/>
  <c r="BM52"/>
  <c r="Y52"/>
  <c r="BP52" s="1"/>
  <c r="P52"/>
  <c r="BO51"/>
  <c r="BN51"/>
  <c r="BM51"/>
  <c r="Y51"/>
  <c r="Z51" s="1"/>
  <c r="P51"/>
  <c r="X47"/>
  <c r="X46"/>
  <c r="BO45"/>
  <c r="BM45"/>
  <c r="Y45"/>
  <c r="BP45" s="1"/>
  <c r="P45"/>
  <c r="BO44"/>
  <c r="BM44"/>
  <c r="Y44"/>
  <c r="Z44" s="1"/>
  <c r="P44"/>
  <c r="BO43"/>
  <c r="BM43"/>
  <c r="Z43"/>
  <c r="Y43"/>
  <c r="BN43" s="1"/>
  <c r="P43"/>
  <c r="BO42"/>
  <c r="BM42"/>
  <c r="Y42"/>
  <c r="P42"/>
  <c r="BO41"/>
  <c r="BM41"/>
  <c r="Y41"/>
  <c r="BP41" s="1"/>
  <c r="P41"/>
  <c r="X37"/>
  <c r="X36"/>
  <c r="BO35"/>
  <c r="BM35"/>
  <c r="Y35"/>
  <c r="BN35" s="1"/>
  <c r="P35"/>
  <c r="X33"/>
  <c r="X32"/>
  <c r="BO31"/>
  <c r="BM31"/>
  <c r="Z31"/>
  <c r="Y31"/>
  <c r="BP31" s="1"/>
  <c r="P31"/>
  <c r="BP30"/>
  <c r="BO30"/>
  <c r="BM30"/>
  <c r="Z30"/>
  <c r="Y30"/>
  <c r="BN30" s="1"/>
  <c r="P30"/>
  <c r="BO29"/>
  <c r="BM29"/>
  <c r="Y29"/>
  <c r="BN29" s="1"/>
  <c r="P29"/>
  <c r="BO28"/>
  <c r="BM28"/>
  <c r="Y28"/>
  <c r="Z28" s="1"/>
  <c r="P28"/>
  <c r="BO27"/>
  <c r="BM27"/>
  <c r="Y27"/>
  <c r="BN27" s="1"/>
  <c r="P27"/>
  <c r="X25"/>
  <c r="X24"/>
  <c r="BO23"/>
  <c r="BM23"/>
  <c r="Y23"/>
  <c r="P23"/>
  <c r="BO22"/>
  <c r="X544" s="1"/>
  <c r="BM22"/>
  <c r="Y22"/>
  <c r="B552" s="1"/>
  <c r="P22"/>
  <c r="H10"/>
  <c r="A9"/>
  <c r="H9" s="1"/>
  <c r="D7"/>
  <c r="Q6"/>
  <c r="P2"/>
  <c r="Y128" l="1"/>
  <c r="Z22"/>
  <c r="BP22"/>
  <c r="BP29"/>
  <c r="BN31"/>
  <c r="Y47"/>
  <c r="BP43"/>
  <c r="E552"/>
  <c r="Y67"/>
  <c r="Y74"/>
  <c r="BN77"/>
  <c r="Z89"/>
  <c r="BP89"/>
  <c r="G552"/>
  <c r="BN112"/>
  <c r="Z113"/>
  <c r="BP113"/>
  <c r="Z121"/>
  <c r="BP121"/>
  <c r="BP138"/>
  <c r="Y140"/>
  <c r="Y145"/>
  <c r="Z157"/>
  <c r="BP157"/>
  <c r="Z168"/>
  <c r="BP168"/>
  <c r="BP182"/>
  <c r="BN183"/>
  <c r="BP187"/>
  <c r="BN192"/>
  <c r="Y228"/>
  <c r="Z214"/>
  <c r="Y227"/>
  <c r="BP217"/>
  <c r="BN218"/>
  <c r="Z224"/>
  <c r="BP224"/>
  <c r="BN232"/>
  <c r="BN240"/>
  <c r="Z249"/>
  <c r="Y268"/>
  <c r="BN263"/>
  <c r="Z265"/>
  <c r="BP265"/>
  <c r="BN273"/>
  <c r="Z275"/>
  <c r="BP275"/>
  <c r="Z279"/>
  <c r="BP281"/>
  <c r="BN292"/>
  <c r="Y303"/>
  <c r="BN311"/>
  <c r="BN317"/>
  <c r="Z319"/>
  <c r="BP319"/>
  <c r="Z346"/>
  <c r="Z348"/>
  <c r="BN353"/>
  <c r="Z355"/>
  <c r="BP355"/>
  <c r="Z358"/>
  <c r="BP358"/>
  <c r="BN368"/>
  <c r="Z375"/>
  <c r="BP375"/>
  <c r="Z386"/>
  <c r="BP386"/>
  <c r="BP392"/>
  <c r="Z405"/>
  <c r="Z413"/>
  <c r="BP413"/>
  <c r="Z486"/>
  <c r="Z505"/>
  <c r="Z508"/>
  <c r="BP508"/>
  <c r="Y536"/>
  <c r="Y124"/>
  <c r="Y342"/>
  <c r="BP416"/>
  <c r="Y421"/>
  <c r="BP426"/>
  <c r="Y434"/>
  <c r="BP505"/>
  <c r="Y526"/>
  <c r="X543"/>
  <c r="X546"/>
  <c r="Z27"/>
  <c r="BN41"/>
  <c r="Z59"/>
  <c r="BP59"/>
  <c r="BP115"/>
  <c r="BN116"/>
  <c r="BP120"/>
  <c r="BN122"/>
  <c r="Y125"/>
  <c r="Y134"/>
  <c r="BP143"/>
  <c r="Y152"/>
  <c r="BP167"/>
  <c r="BN169"/>
  <c r="Y178"/>
  <c r="Y185"/>
  <c r="Y189"/>
  <c r="BN220"/>
  <c r="BN244"/>
  <c r="Y246"/>
  <c r="Y256"/>
  <c r="BN277"/>
  <c r="Z278"/>
  <c r="Z285"/>
  <c r="BN294"/>
  <c r="Z296"/>
  <c r="R552"/>
  <c r="Z334"/>
  <c r="BN336"/>
  <c r="Y338"/>
  <c r="Y343"/>
  <c r="Z347"/>
  <c r="Z367"/>
  <c r="BP385"/>
  <c r="Y389"/>
  <c r="BN416"/>
  <c r="BP417"/>
  <c r="BN418"/>
  <c r="Z420"/>
  <c r="BN426"/>
  <c r="Z431"/>
  <c r="X552"/>
  <c r="Z461"/>
  <c r="BP474"/>
  <c r="Y481"/>
  <c r="Y482"/>
  <c r="Z493"/>
  <c r="BP507"/>
  <c r="BP510"/>
  <c r="AA552"/>
  <c r="BN520"/>
  <c r="Z525"/>
  <c r="Z533"/>
  <c r="Y179"/>
  <c r="Z287"/>
  <c r="BN22"/>
  <c r="Y25"/>
  <c r="X542"/>
  <c r="BP61"/>
  <c r="BP66"/>
  <c r="Y68"/>
  <c r="BP105"/>
  <c r="Y109"/>
  <c r="BP172"/>
  <c r="BN214"/>
  <c r="Z226"/>
  <c r="Z232"/>
  <c r="Y302"/>
  <c r="Z311"/>
  <c r="Z312" s="1"/>
  <c r="BN325"/>
  <c r="BP341"/>
  <c r="BN363"/>
  <c r="Z365"/>
  <c r="Z368"/>
  <c r="Y376"/>
  <c r="BP381"/>
  <c r="BN392"/>
  <c r="BP393"/>
  <c r="BN406"/>
  <c r="BN413"/>
  <c r="Y428"/>
  <c r="BP430"/>
  <c r="Z436"/>
  <c r="Z438" s="1"/>
  <c r="BP437"/>
  <c r="W552"/>
  <c r="Z460"/>
  <c r="BP524"/>
  <c r="Y531"/>
  <c r="Y535"/>
  <c r="X545"/>
  <c r="Z470"/>
  <c r="BN90"/>
  <c r="BN202"/>
  <c r="Y205"/>
  <c r="BN223"/>
  <c r="BN233"/>
  <c r="Y257"/>
  <c r="BN266"/>
  <c r="BN276"/>
  <c r="BN286"/>
  <c r="BN297"/>
  <c r="BN309"/>
  <c r="Y312"/>
  <c r="BN320"/>
  <c r="BN356"/>
  <c r="Y359"/>
  <c r="BN366"/>
  <c r="Y369"/>
  <c r="Y377"/>
  <c r="BN398"/>
  <c r="Y401"/>
  <c r="Y422"/>
  <c r="Y445"/>
  <c r="BN468"/>
  <c r="J552"/>
  <c r="K552"/>
  <c r="Z176"/>
  <c r="Z200"/>
  <c r="BP202"/>
  <c r="Z221"/>
  <c r="BP223"/>
  <c r="Z231"/>
  <c r="BP233"/>
  <c r="Z254"/>
  <c r="Z256" s="1"/>
  <c r="Z264"/>
  <c r="BP266"/>
  <c r="Z274"/>
  <c r="BP276"/>
  <c r="BP286"/>
  <c r="Z295"/>
  <c r="BP297"/>
  <c r="BP309"/>
  <c r="Z318"/>
  <c r="BP320"/>
  <c r="Z354"/>
  <c r="BP356"/>
  <c r="Z364"/>
  <c r="BP366"/>
  <c r="Z374"/>
  <c r="BP398"/>
  <c r="Z407"/>
  <c r="Z419"/>
  <c r="Z442"/>
  <c r="Z444" s="1"/>
  <c r="BP468"/>
  <c r="Y502"/>
  <c r="Y512"/>
  <c r="L552"/>
  <c r="BN150"/>
  <c r="Z171"/>
  <c r="BP173"/>
  <c r="Z181"/>
  <c r="BP183"/>
  <c r="Y206"/>
  <c r="Z216"/>
  <c r="BP218"/>
  <c r="BN226"/>
  <c r="BP238"/>
  <c r="BN249"/>
  <c r="Z259"/>
  <c r="BP261"/>
  <c r="BP271"/>
  <c r="BN279"/>
  <c r="Y282"/>
  <c r="BP292"/>
  <c r="Y313"/>
  <c r="BP326"/>
  <c r="Z335"/>
  <c r="BN348"/>
  <c r="Y360"/>
  <c r="Y370"/>
  <c r="Z379"/>
  <c r="Y402"/>
  <c r="Z414"/>
  <c r="Z424"/>
  <c r="BN436"/>
  <c r="Z447"/>
  <c r="Z448" s="1"/>
  <c r="BN461"/>
  <c r="BN486"/>
  <c r="Z494"/>
  <c r="BN506"/>
  <c r="M552"/>
  <c r="BN176"/>
  <c r="BN200"/>
  <c r="BN221"/>
  <c r="BN231"/>
  <c r="Y242"/>
  <c r="BN254"/>
  <c r="BN264"/>
  <c r="Y267"/>
  <c r="BN274"/>
  <c r="Y287"/>
  <c r="BN295"/>
  <c r="Y298"/>
  <c r="Z305"/>
  <c r="Z306" s="1"/>
  <c r="BN318"/>
  <c r="Y321"/>
  <c r="Z340"/>
  <c r="BN354"/>
  <c r="BN364"/>
  <c r="BN374"/>
  <c r="Z394"/>
  <c r="BN407"/>
  <c r="BN419"/>
  <c r="BN442"/>
  <c r="Z452"/>
  <c r="Z464"/>
  <c r="Z489"/>
  <c r="Z499"/>
  <c r="Z509"/>
  <c r="O552"/>
  <c r="BP62"/>
  <c r="BP106"/>
  <c r="Z137"/>
  <c r="BN132"/>
  <c r="Z142"/>
  <c r="Z144" s="1"/>
  <c r="BN156"/>
  <c r="Y159"/>
  <c r="BP35"/>
  <c r="Z45"/>
  <c r="BN70"/>
  <c r="BP82"/>
  <c r="BN104"/>
  <c r="Y117"/>
  <c r="BN137"/>
  <c r="Z148"/>
  <c r="BP150"/>
  <c r="BN171"/>
  <c r="BN181"/>
  <c r="Y184"/>
  <c r="BN216"/>
  <c r="BP249"/>
  <c r="BN259"/>
  <c r="BN335"/>
  <c r="BN379"/>
  <c r="Y382"/>
  <c r="Y390"/>
  <c r="Z399"/>
  <c r="Z401" s="1"/>
  <c r="BN414"/>
  <c r="BN424"/>
  <c r="Y427"/>
  <c r="BP436"/>
  <c r="BN447"/>
  <c r="Z459"/>
  <c r="Z465" s="1"/>
  <c r="Z469"/>
  <c r="Y475"/>
  <c r="BP486"/>
  <c r="BN494"/>
  <c r="Z504"/>
  <c r="Z516"/>
  <c r="Z517" s="1"/>
  <c r="Y521"/>
  <c r="P552"/>
  <c r="Z35"/>
  <c r="Z36" s="1"/>
  <c r="Z54"/>
  <c r="BN23"/>
  <c r="BN60"/>
  <c r="Z91"/>
  <c r="BN114"/>
  <c r="F9"/>
  <c r="BN28"/>
  <c r="BP42"/>
  <c r="Z52"/>
  <c r="BP54"/>
  <c r="Z63"/>
  <c r="BP65"/>
  <c r="Z73"/>
  <c r="BP88"/>
  <c r="Z96"/>
  <c r="BP98"/>
  <c r="Z107"/>
  <c r="BP132"/>
  <c r="BN142"/>
  <c r="BP156"/>
  <c r="BN166"/>
  <c r="Z174"/>
  <c r="Z198"/>
  <c r="Z209"/>
  <c r="Z210" s="1"/>
  <c r="Z219"/>
  <c r="Z239"/>
  <c r="Z262"/>
  <c r="Z272"/>
  <c r="Y283"/>
  <c r="Z293"/>
  <c r="BN305"/>
  <c r="Z316"/>
  <c r="Z327"/>
  <c r="BN340"/>
  <c r="Z362"/>
  <c r="Z372"/>
  <c r="BN394"/>
  <c r="BP442"/>
  <c r="BN452"/>
  <c r="BN464"/>
  <c r="BN489"/>
  <c r="BN499"/>
  <c r="BN509"/>
  <c r="Q552"/>
  <c r="BN44"/>
  <c r="BN158"/>
  <c r="Z150"/>
  <c r="Y288"/>
  <c r="Y299"/>
  <c r="BN310"/>
  <c r="Y322"/>
  <c r="Z333"/>
  <c r="BP335"/>
  <c r="BN346"/>
  <c r="Y349"/>
  <c r="BN357"/>
  <c r="BN367"/>
  <c r="BP379"/>
  <c r="Z387"/>
  <c r="BN399"/>
  <c r="BP424"/>
  <c r="Z432"/>
  <c r="BP447"/>
  <c r="BN459"/>
  <c r="BN469"/>
  <c r="Z480"/>
  <c r="Z492"/>
  <c r="BN504"/>
  <c r="BN516"/>
  <c r="Z539"/>
  <c r="Z540" s="1"/>
  <c r="BP27"/>
  <c r="BP181"/>
  <c r="BP216"/>
  <c r="BP259"/>
  <c r="J9"/>
  <c r="BP28"/>
  <c r="BN52"/>
  <c r="Y55"/>
  <c r="BN63"/>
  <c r="BN73"/>
  <c r="Z83"/>
  <c r="BN96"/>
  <c r="Y99"/>
  <c r="BN107"/>
  <c r="Y118"/>
  <c r="Z127"/>
  <c r="Z128" s="1"/>
  <c r="BP142"/>
  <c r="Z151"/>
  <c r="BN174"/>
  <c r="BN198"/>
  <c r="BN209"/>
  <c r="BN219"/>
  <c r="BN239"/>
  <c r="Z250"/>
  <c r="BN262"/>
  <c r="BN272"/>
  <c r="Z280"/>
  <c r="BN293"/>
  <c r="BP305"/>
  <c r="BN316"/>
  <c r="BN327"/>
  <c r="BP340"/>
  <c r="BN362"/>
  <c r="BN372"/>
  <c r="Z392"/>
  <c r="Z395" s="1"/>
  <c r="BN405"/>
  <c r="Y408"/>
  <c r="BP452"/>
  <c r="Z462"/>
  <c r="Y476"/>
  <c r="Z487"/>
  <c r="Z495" s="1"/>
  <c r="BP499"/>
  <c r="Z507"/>
  <c r="Y522"/>
  <c r="BN533"/>
  <c r="S552"/>
  <c r="BP44"/>
  <c r="Z156"/>
  <c r="Z159" s="1"/>
  <c r="BP51"/>
  <c r="BP95"/>
  <c r="Z114"/>
  <c r="Y110"/>
  <c r="BP23"/>
  <c r="Y24"/>
  <c r="BP148"/>
  <c r="BN333"/>
  <c r="BP346"/>
  <c r="BN387"/>
  <c r="BN432"/>
  <c r="Y448"/>
  <c r="BP459"/>
  <c r="BN480"/>
  <c r="BN492"/>
  <c r="Y495"/>
  <c r="BP504"/>
  <c r="BP516"/>
  <c r="Y527"/>
  <c r="BN539"/>
  <c r="T552"/>
  <c r="Y36"/>
  <c r="A10"/>
  <c r="BP91"/>
  <c r="F10"/>
  <c r="Y37"/>
  <c r="Z61"/>
  <c r="Z71"/>
  <c r="BN83"/>
  <c r="Z105"/>
  <c r="Z115"/>
  <c r="BN127"/>
  <c r="Z138"/>
  <c r="BN151"/>
  <c r="Z162"/>
  <c r="Z163" s="1"/>
  <c r="Z172"/>
  <c r="Z182"/>
  <c r="BP209"/>
  <c r="BN250"/>
  <c r="Z260"/>
  <c r="Z270"/>
  <c r="BN280"/>
  <c r="Z291"/>
  <c r="Z298" s="1"/>
  <c r="Z301"/>
  <c r="Z302" s="1"/>
  <c r="Y306"/>
  <c r="Z325"/>
  <c r="Z336"/>
  <c r="Z380"/>
  <c r="Y395"/>
  <c r="BP405"/>
  <c r="Z415"/>
  <c r="Z425"/>
  <c r="Y465"/>
  <c r="U552"/>
  <c r="Z42"/>
  <c r="Z23"/>
  <c r="Z24" s="1"/>
  <c r="BP72"/>
  <c r="BN82"/>
  <c r="Z104"/>
  <c r="Z109" s="1"/>
  <c r="BP116"/>
  <c r="BN88"/>
  <c r="BN98"/>
  <c r="BN45"/>
  <c r="Z29"/>
  <c r="Y46"/>
  <c r="Y56"/>
  <c r="Y92"/>
  <c r="Y100"/>
  <c r="Z120"/>
  <c r="Z124" s="1"/>
  <c r="Z143"/>
  <c r="Z167"/>
  <c r="Z187"/>
  <c r="Z189" s="1"/>
  <c r="Y235"/>
  <c r="BP244"/>
  <c r="Z341"/>
  <c r="Z385"/>
  <c r="Z430"/>
  <c r="Z433" s="1"/>
  <c r="BP432"/>
  <c r="Z453"/>
  <c r="Z454" s="1"/>
  <c r="Y470"/>
  <c r="Z478"/>
  <c r="BP480"/>
  <c r="Z490"/>
  <c r="Z500"/>
  <c r="Z510"/>
  <c r="Y517"/>
  <c r="Z524"/>
  <c r="Z526" s="1"/>
  <c r="BP539"/>
  <c r="C552"/>
  <c r="Z88"/>
  <c r="BP90"/>
  <c r="Z132"/>
  <c r="Z134" s="1"/>
  <c r="BP158"/>
  <c r="Z60"/>
  <c r="Z70"/>
  <c r="Z74" s="1"/>
  <c r="BN42"/>
  <c r="BN65"/>
  <c r="BP70"/>
  <c r="BN148"/>
  <c r="BP127"/>
  <c r="Y328"/>
  <c r="Y496"/>
  <c r="D552"/>
  <c r="Z82"/>
  <c r="Y32"/>
  <c r="Z41"/>
  <c r="Z53"/>
  <c r="Z64"/>
  <c r="Z97"/>
  <c r="Z108"/>
  <c r="Z175"/>
  <c r="Z199"/>
  <c r="Z220"/>
  <c r="Z227" s="1"/>
  <c r="Z230"/>
  <c r="Z235" s="1"/>
  <c r="Z240"/>
  <c r="Z241" s="1"/>
  <c r="Z263"/>
  <c r="Z273"/>
  <c r="Z294"/>
  <c r="Z317"/>
  <c r="Z353"/>
  <c r="Z363"/>
  <c r="Z373"/>
  <c r="Z406"/>
  <c r="Z408" s="1"/>
  <c r="Z418"/>
  <c r="BN430"/>
  <c r="Y466"/>
  <c r="BN478"/>
  <c r="Z534"/>
  <c r="Y540"/>
  <c r="Y84"/>
  <c r="Y93"/>
  <c r="Y236"/>
  <c r="Y251"/>
  <c r="Y438"/>
  <c r="Y471"/>
  <c r="Y518"/>
  <c r="BN529"/>
  <c r="Y552"/>
  <c r="Y541"/>
  <c r="Y33"/>
  <c r="Y153"/>
  <c r="Z369" l="1"/>
  <c r="Z535"/>
  <c r="Z359"/>
  <c r="Z389"/>
  <c r="Z32"/>
  <c r="Z251"/>
  <c r="Y543"/>
  <c r="Z282"/>
  <c r="Y544"/>
  <c r="Y545" s="1"/>
  <c r="Z99"/>
  <c r="Z117"/>
  <c r="Z55"/>
  <c r="Z139"/>
  <c r="Z421"/>
  <c r="Z67"/>
  <c r="Z92"/>
  <c r="Y542"/>
  <c r="Z337"/>
  <c r="Z376"/>
  <c r="Z321"/>
  <c r="Z501"/>
  <c r="Z349"/>
  <c r="Z342"/>
  <c r="Z267"/>
  <c r="Z511"/>
  <c r="Z427"/>
  <c r="Z152"/>
  <c r="Z382"/>
  <c r="Z46"/>
  <c r="Z184"/>
  <c r="Z178"/>
  <c r="Z84"/>
  <c r="Z205"/>
  <c r="Y546"/>
  <c r="Z328"/>
  <c r="Z481"/>
  <c r="Z547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<sst xmlns="http://schemas.openxmlformats.org/spreadsheetml/2006/main" count="4117" uniqueCount="877">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</sst>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52"/>
  <sheetViews>
    <sheetView showGridLines="0" tabSelected="1" topLeftCell="F359" zoomScaleNormal="100" zoomScaleSheetLayoutView="100" workbookViewId="0">
      <selection activeCell="X373" sqref="X373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17630</v>
      </c>
      <c r="Y372" s="55">
        <f>IFERROR(IF(X372="",0,CEILING((X372/$H372),1)*$H372),"")</f>
        <v>17635.8</v>
      </c>
      <c r="Z372" s="41">
        <f>IFERROR(IF(Y372=0,"",ROUNDUP(Y372/H372,0)*0.01898),"")</f>
        <v>42.913780000000003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18733.005128205128</v>
      </c>
      <c r="BN372" s="78">
        <f>IFERROR(Y372*I372/H372,"0")</f>
        <v>18739.168000000001</v>
      </c>
      <c r="BO372" s="78">
        <f>IFERROR(1/J372*(X372/H372),"0")</f>
        <v>35.316506410256409</v>
      </c>
      <c r="BP372" s="78">
        <f>IFERROR(1/J372*(Y372/H372),"0")</f>
        <v>35.328125</v>
      </c>
    </row>
    <row r="373" spans="1:68" ht="27" customHeight="1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2260.2564102564102</v>
      </c>
      <c r="Y376" s="43">
        <f>IFERROR(Y372/H372,"0")+IFERROR(Y373/H373,"0")+IFERROR(Y374/H374,"0")+IFERROR(Y375/H375,"0")</f>
        <v>2261</v>
      </c>
      <c r="Z376" s="43">
        <f>IFERROR(IF(Z372="",0,Z372),"0")+IFERROR(IF(Z373="",0,Z373),"0")+IFERROR(IF(Z374="",0,Z374),"0")+IFERROR(IF(Z375="",0,Z375),"0")</f>
        <v>42.913780000000003</v>
      </c>
      <c r="AA376" s="67"/>
      <c r="AB376" s="67"/>
      <c r="AC376" s="67"/>
    </row>
    <row r="377" spans="1:68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17630</v>
      </c>
      <c r="Y377" s="43">
        <f>IFERROR(SUM(Y372:Y375),"0")</f>
        <v>17635.8</v>
      </c>
      <c r="Z377" s="42"/>
      <c r="AA377" s="67"/>
      <c r="AB377" s="67"/>
      <c r="AC377" s="67"/>
    </row>
    <row r="378" spans="1:68" ht="14.25" customHeight="1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customHeight="1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customHeight="1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customHeight="1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17630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17635.8</v>
      </c>
      <c r="Z542" s="42"/>
      <c r="AA542" s="67"/>
      <c r="AB542" s="67"/>
      <c r="AC542" s="67"/>
    </row>
    <row r="543" spans="1:68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18733.005128205128</v>
      </c>
      <c r="Y543" s="43">
        <f>IFERROR(SUM(BN22:BN539),"0")</f>
        <v>18739.168000000001</v>
      </c>
      <c r="Z543" s="42"/>
      <c r="AA543" s="67"/>
      <c r="AB543" s="67"/>
      <c r="AC543" s="67"/>
    </row>
    <row r="544" spans="1:68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36</v>
      </c>
      <c r="Y544" s="44">
        <f>ROUNDUP(SUM(BP22:BP539),0)</f>
        <v>36</v>
      </c>
      <c r="Z544" s="42"/>
      <c r="AA544" s="67"/>
      <c r="AB544" s="67"/>
      <c r="AC544" s="67"/>
    </row>
    <row r="545" spans="1:3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19633.005128205128</v>
      </c>
      <c r="Y545" s="43">
        <f>GrossWeightTotalR+PalletQtyTotalR*25</f>
        <v>19639.168000000001</v>
      </c>
      <c r="Z545" s="42"/>
      <c r="AA545" s="67"/>
      <c r="AB545" s="67"/>
      <c r="AC545" s="67"/>
    </row>
    <row r="546" spans="1:3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2260.2564102564102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2261</v>
      </c>
      <c r="Z546" s="42"/>
      <c r="AA546" s="67"/>
      <c r="AB546" s="67"/>
      <c r="AC546" s="67"/>
    </row>
    <row r="547" spans="1:32" ht="14.25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42.913780000000003</v>
      </c>
      <c r="AA547" s="67"/>
      <c r="AB547" s="67"/>
      <c r="AC547" s="67"/>
    </row>
    <row r="548" spans="1:32" ht="13.5" thickBot="1"/>
    <row r="549" spans="1:32" ht="27" thickTop="1" thickBot="1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17635.8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851</v>
      </c>
      <c r="H1" s="9"/>
    </row>
    <row r="3" spans="2:8">
      <c r="B3" s="53" t="s">
        <v>852</v>
      </c>
      <c r="C3" s="53" t="s">
        <v>46</v>
      </c>
      <c r="D3" s="53" t="s">
        <v>46</v>
      </c>
      <c r="E3" s="53" t="s">
        <v>46</v>
      </c>
    </row>
    <row r="4" spans="2:8">
      <c r="B4" s="53" t="s">
        <v>853</v>
      </c>
      <c r="C4" s="53" t="s">
        <v>46</v>
      </c>
      <c r="D4" s="53" t="s">
        <v>46</v>
      </c>
      <c r="E4" s="53" t="s">
        <v>46</v>
      </c>
    </row>
    <row r="6" spans="2:8">
      <c r="B6" s="53" t="s">
        <v>854</v>
      </c>
      <c r="C6" s="53" t="s">
        <v>855</v>
      </c>
      <c r="D6" s="53" t="s">
        <v>856</v>
      </c>
      <c r="E6" s="53" t="s">
        <v>46</v>
      </c>
    </row>
    <row r="7" spans="2:8">
      <c r="B7" s="53" t="s">
        <v>857</v>
      </c>
      <c r="C7" s="53" t="s">
        <v>858</v>
      </c>
      <c r="D7" s="53" t="s">
        <v>859</v>
      </c>
      <c r="E7" s="53" t="s">
        <v>46</v>
      </c>
    </row>
    <row r="8" spans="2:8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2026-07-23T09:13:09Z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