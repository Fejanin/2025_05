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8CA5EC35-C0DF-4DDD-9287-C18A710025F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P512" i="2"/>
  <c r="X510" i="2"/>
  <c r="X509" i="2"/>
  <c r="BO508" i="2"/>
  <c r="BM508" i="2"/>
  <c r="Y508" i="2"/>
  <c r="Z508" i="2" s="1"/>
  <c r="Z509" i="2" s="1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BN497" i="2" s="1"/>
  <c r="P497" i="2"/>
  <c r="BO496" i="2"/>
  <c r="BM496" i="2"/>
  <c r="Y496" i="2"/>
  <c r="P496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P478" i="2"/>
  <c r="X474" i="2"/>
  <c r="X473" i="2"/>
  <c r="BO472" i="2"/>
  <c r="BM472" i="2"/>
  <c r="Y472" i="2"/>
  <c r="P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Z461" i="2" s="1"/>
  <c r="P461" i="2"/>
  <c r="BO460" i="2"/>
  <c r="BM460" i="2"/>
  <c r="Y460" i="2"/>
  <c r="BN460" i="2" s="1"/>
  <c r="P460" i="2"/>
  <c r="X458" i="2"/>
  <c r="X457" i="2"/>
  <c r="BO456" i="2"/>
  <c r="BM456" i="2"/>
  <c r="Y456" i="2"/>
  <c r="P456" i="2"/>
  <c r="BO455" i="2"/>
  <c r="BM455" i="2"/>
  <c r="Y455" i="2"/>
  <c r="P455" i="2"/>
  <c r="BO454" i="2"/>
  <c r="BM454" i="2"/>
  <c r="Y454" i="2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Z451" i="2" s="1"/>
  <c r="P451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P435" i="2"/>
  <c r="BO434" i="2"/>
  <c r="BM434" i="2"/>
  <c r="Y434" i="2"/>
  <c r="P434" i="2"/>
  <c r="X431" i="2"/>
  <c r="X430" i="2"/>
  <c r="BO429" i="2"/>
  <c r="BM429" i="2"/>
  <c r="Y429" i="2"/>
  <c r="P429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X422" i="2"/>
  <c r="X421" i="2"/>
  <c r="BO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P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Z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P392" i="2"/>
  <c r="X390" i="2"/>
  <c r="X389" i="2"/>
  <c r="BO388" i="2"/>
  <c r="BM388" i="2"/>
  <c r="Y388" i="2"/>
  <c r="P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BP364" i="2" s="1"/>
  <c r="P364" i="2"/>
  <c r="BO363" i="2"/>
  <c r="BM363" i="2"/>
  <c r="Y363" i="2"/>
  <c r="Z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Y343" i="2" s="1"/>
  <c r="P340" i="2"/>
  <c r="X338" i="2"/>
  <c r="X337" i="2"/>
  <c r="BO336" i="2"/>
  <c r="BM336" i="2"/>
  <c r="Y336" i="2"/>
  <c r="P336" i="2"/>
  <c r="BO335" i="2"/>
  <c r="BM335" i="2"/>
  <c r="Y335" i="2"/>
  <c r="BP335" i="2" s="1"/>
  <c r="P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P293" i="2"/>
  <c r="BO292" i="2"/>
  <c r="BM292" i="2"/>
  <c r="Y292" i="2"/>
  <c r="P292" i="2"/>
  <c r="BO291" i="2"/>
  <c r="BM291" i="2"/>
  <c r="Y291" i="2"/>
  <c r="BP291" i="2" s="1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Y262" i="2"/>
  <c r="P262" i="2"/>
  <c r="BO261" i="2"/>
  <c r="BM261" i="2"/>
  <c r="Y261" i="2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P232" i="2"/>
  <c r="BO231" i="2"/>
  <c r="BM231" i="2"/>
  <c r="Y231" i="2"/>
  <c r="P231" i="2"/>
  <c r="X229" i="2"/>
  <c r="X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X212" i="2"/>
  <c r="X211" i="2"/>
  <c r="BO210" i="2"/>
  <c r="BM210" i="2"/>
  <c r="Y210" i="2"/>
  <c r="Z210" i="2" s="1"/>
  <c r="Z211" i="2" s="1"/>
  <c r="P210" i="2"/>
  <c r="X207" i="2"/>
  <c r="X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BP203" i="2" s="1"/>
  <c r="P203" i="2"/>
  <c r="BO202" i="2"/>
  <c r="BM202" i="2"/>
  <c r="Y202" i="2"/>
  <c r="P202" i="2"/>
  <c r="BO201" i="2"/>
  <c r="BM201" i="2"/>
  <c r="Y201" i="2"/>
  <c r="P201" i="2"/>
  <c r="BO200" i="2"/>
  <c r="BM200" i="2"/>
  <c r="Y200" i="2"/>
  <c r="P200" i="2"/>
  <c r="BO199" i="2"/>
  <c r="BM199" i="2"/>
  <c r="Y199" i="2"/>
  <c r="Z199" i="2" s="1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BP189" i="2" s="1"/>
  <c r="P189" i="2"/>
  <c r="BO188" i="2"/>
  <c r="BM188" i="2"/>
  <c r="Y188" i="2"/>
  <c r="Y191" i="2" s="1"/>
  <c r="P188" i="2"/>
  <c r="X186" i="2"/>
  <c r="X185" i="2"/>
  <c r="BO184" i="2"/>
  <c r="BM184" i="2"/>
  <c r="Y184" i="2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P169" i="2"/>
  <c r="BO168" i="2"/>
  <c r="BM168" i="2"/>
  <c r="Y168" i="2"/>
  <c r="P168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P160" i="2"/>
  <c r="BO159" i="2"/>
  <c r="BM159" i="2"/>
  <c r="Y159" i="2"/>
  <c r="P159" i="2"/>
  <c r="X156" i="2"/>
  <c r="X155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Y155" i="2" s="1"/>
  <c r="P151" i="2"/>
  <c r="X148" i="2"/>
  <c r="X147" i="2"/>
  <c r="BO146" i="2"/>
  <c r="BM146" i="2"/>
  <c r="Y146" i="2"/>
  <c r="P146" i="2"/>
  <c r="BO145" i="2"/>
  <c r="BM145" i="2"/>
  <c r="Y145" i="2"/>
  <c r="BN145" i="2" s="1"/>
  <c r="P145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7" i="2" s="1"/>
  <c r="P135" i="2"/>
  <c r="X132" i="2"/>
  <c r="X131" i="2"/>
  <c r="BO130" i="2"/>
  <c r="BM130" i="2"/>
  <c r="Y130" i="2"/>
  <c r="BN130" i="2" s="1"/>
  <c r="P130" i="2"/>
  <c r="X128" i="2"/>
  <c r="X127" i="2"/>
  <c r="BO126" i="2"/>
  <c r="BM126" i="2"/>
  <c r="Y126" i="2"/>
  <c r="P126" i="2"/>
  <c r="BO125" i="2"/>
  <c r="BM125" i="2"/>
  <c r="Y125" i="2"/>
  <c r="BP125" i="2" s="1"/>
  <c r="P125" i="2"/>
  <c r="BO124" i="2"/>
  <c r="BM124" i="2"/>
  <c r="Y124" i="2"/>
  <c r="P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X111" i="2"/>
  <c r="X110" i="2"/>
  <c r="BO109" i="2"/>
  <c r="BM109" i="2"/>
  <c r="Y109" i="2"/>
  <c r="BN109" i="2" s="1"/>
  <c r="P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Z106" i="2" s="1"/>
  <c r="P106" i="2"/>
  <c r="BO105" i="2"/>
  <c r="BM105" i="2"/>
  <c r="Y105" i="2"/>
  <c r="P105" i="2"/>
  <c r="BO104" i="2"/>
  <c r="BM104" i="2"/>
  <c r="Y104" i="2"/>
  <c r="Z104" i="2" s="1"/>
  <c r="P104" i="2"/>
  <c r="BO103" i="2"/>
  <c r="BM103" i="2"/>
  <c r="Y103" i="2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Z70" i="2" s="1"/>
  <c r="P70" i="2"/>
  <c r="X68" i="2"/>
  <c r="X67" i="2"/>
  <c r="BO66" i="2"/>
  <c r="BM66" i="2"/>
  <c r="Y66" i="2"/>
  <c r="P66" i="2"/>
  <c r="BO65" i="2"/>
  <c r="BM65" i="2"/>
  <c r="Y65" i="2"/>
  <c r="P65" i="2"/>
  <c r="BO64" i="2"/>
  <c r="BM64" i="2"/>
  <c r="Y64" i="2"/>
  <c r="Z64" i="2" s="1"/>
  <c r="P64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BN61" i="2" s="1"/>
  <c r="P61" i="2"/>
  <c r="BO60" i="2"/>
  <c r="BM60" i="2"/>
  <c r="Y60" i="2"/>
  <c r="Z60" i="2" s="1"/>
  <c r="P60" i="2"/>
  <c r="X57" i="2"/>
  <c r="X56" i="2"/>
  <c r="BO55" i="2"/>
  <c r="BM55" i="2"/>
  <c r="Y55" i="2"/>
  <c r="BP55" i="2" s="1"/>
  <c r="P55" i="2"/>
  <c r="BO54" i="2"/>
  <c r="BM54" i="2"/>
  <c r="Y54" i="2"/>
  <c r="P54" i="2"/>
  <c r="BO53" i="2"/>
  <c r="BM53" i="2"/>
  <c r="Y53" i="2"/>
  <c r="Z53" i="2" s="1"/>
  <c r="P53" i="2"/>
  <c r="BO52" i="2"/>
  <c r="BM52" i="2"/>
  <c r="Y52" i="2"/>
  <c r="Y57" i="2" s="1"/>
  <c r="P52" i="2"/>
  <c r="X48" i="2"/>
  <c r="X47" i="2"/>
  <c r="BO46" i="2"/>
  <c r="BM46" i="2"/>
  <c r="Y46" i="2"/>
  <c r="BP46" i="2" s="1"/>
  <c r="P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X38" i="2"/>
  <c r="X37" i="2"/>
  <c r="BO36" i="2"/>
  <c r="BM36" i="2"/>
  <c r="Y36" i="2"/>
  <c r="Z36" i="2" s="1"/>
  <c r="Z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Y396" i="2" l="1"/>
  <c r="BP239" i="2"/>
  <c r="Z460" i="2"/>
  <c r="Z462" i="2" s="1"/>
  <c r="Z82" i="2"/>
  <c r="Z172" i="2"/>
  <c r="BN172" i="2"/>
  <c r="Z265" i="2"/>
  <c r="BN265" i="2"/>
  <c r="Z375" i="2"/>
  <c r="BP500" i="2"/>
  <c r="Y138" i="2"/>
  <c r="Y207" i="2"/>
  <c r="Y427" i="2"/>
  <c r="Y25" i="2"/>
  <c r="Z78" i="2"/>
  <c r="Z136" i="2"/>
  <c r="Y166" i="2"/>
  <c r="Z214" i="2"/>
  <c r="BN214" i="2"/>
  <c r="Z255" i="2"/>
  <c r="BN255" i="2"/>
  <c r="Z333" i="2"/>
  <c r="Z355" i="2"/>
  <c r="BN355" i="2"/>
  <c r="Z387" i="2"/>
  <c r="Y421" i="2"/>
  <c r="Z425" i="2"/>
  <c r="Z479" i="2"/>
  <c r="BP497" i="2"/>
  <c r="BP32" i="2"/>
  <c r="BN55" i="2"/>
  <c r="BN66" i="2"/>
  <c r="Z66" i="2"/>
  <c r="BP89" i="2"/>
  <c r="BN89" i="2"/>
  <c r="Z89" i="2"/>
  <c r="BN108" i="2"/>
  <c r="BN123" i="2"/>
  <c r="BN169" i="2"/>
  <c r="Z169" i="2"/>
  <c r="BN174" i="2"/>
  <c r="BP174" i="2"/>
  <c r="BN184" i="2"/>
  <c r="BP184" i="2"/>
  <c r="Y195" i="2"/>
  <c r="Z193" i="2"/>
  <c r="Z194" i="2" s="1"/>
  <c r="BP204" i="2"/>
  <c r="BN204" i="2"/>
  <c r="Z204" i="2"/>
  <c r="BN219" i="2"/>
  <c r="BP219" i="2"/>
  <c r="BP225" i="2"/>
  <c r="BN225" i="2"/>
  <c r="Z225" i="2"/>
  <c r="BP232" i="2"/>
  <c r="BN232" i="2"/>
  <c r="Z232" i="2"/>
  <c r="BN250" i="2"/>
  <c r="BN260" i="2"/>
  <c r="BN272" i="2"/>
  <c r="BP272" i="2"/>
  <c r="BN278" i="2"/>
  <c r="BN293" i="2"/>
  <c r="BP293" i="2"/>
  <c r="Y303" i="2"/>
  <c r="Y302" i="2"/>
  <c r="BN301" i="2"/>
  <c r="BN325" i="2"/>
  <c r="BN334" i="2"/>
  <c r="Z334" i="2"/>
  <c r="BP347" i="2"/>
  <c r="BN347" i="2"/>
  <c r="Z347" i="2"/>
  <c r="BP367" i="2"/>
  <c r="Z367" i="2"/>
  <c r="BP401" i="2"/>
  <c r="BN401" i="2"/>
  <c r="Z401" i="2"/>
  <c r="BN410" i="2"/>
  <c r="BN452" i="2"/>
  <c r="BP471" i="2"/>
  <c r="BN471" i="2"/>
  <c r="Z471" i="2"/>
  <c r="BP485" i="2"/>
  <c r="BN485" i="2"/>
  <c r="Z485" i="2"/>
  <c r="BN502" i="2"/>
  <c r="Z502" i="2"/>
  <c r="BN517" i="2"/>
  <c r="X538" i="2"/>
  <c r="Z32" i="2"/>
  <c r="Z43" i="2"/>
  <c r="BN43" i="2"/>
  <c r="BN46" i="2"/>
  <c r="Y67" i="2"/>
  <c r="BP66" i="2"/>
  <c r="BN71" i="2"/>
  <c r="BN115" i="2"/>
  <c r="Y131" i="2"/>
  <c r="BP169" i="2"/>
  <c r="BP170" i="2"/>
  <c r="BN170" i="2"/>
  <c r="Z170" i="2"/>
  <c r="BN215" i="2"/>
  <c r="BN240" i="2"/>
  <c r="BN285" i="2"/>
  <c r="BN311" i="2"/>
  <c r="Y337" i="2"/>
  <c r="BP334" i="2"/>
  <c r="BP336" i="2"/>
  <c r="BN336" i="2"/>
  <c r="Z336" i="2"/>
  <c r="BN341" i="2"/>
  <c r="BP341" i="2"/>
  <c r="BN358" i="2"/>
  <c r="BN385" i="2"/>
  <c r="BP385" i="2"/>
  <c r="BN418" i="2"/>
  <c r="Y431" i="2"/>
  <c r="Y430" i="2"/>
  <c r="Z429" i="2"/>
  <c r="Z430" i="2" s="1"/>
  <c r="BP435" i="2"/>
  <c r="Z435" i="2"/>
  <c r="BP454" i="2"/>
  <c r="Z454" i="2"/>
  <c r="BN470" i="2"/>
  <c r="Z470" i="2"/>
  <c r="BN483" i="2"/>
  <c r="Z483" i="2"/>
  <c r="Z512" i="2"/>
  <c r="Z513" i="2" s="1"/>
  <c r="Y513" i="2"/>
  <c r="BN512" i="2"/>
  <c r="BP78" i="2"/>
  <c r="BN118" i="2"/>
  <c r="BN125" i="2"/>
  <c r="BP136" i="2"/>
  <c r="BN175" i="2"/>
  <c r="Y186" i="2"/>
  <c r="BN182" i="2"/>
  <c r="BN189" i="2"/>
  <c r="BN199" i="2"/>
  <c r="BN217" i="2"/>
  <c r="BN220" i="2"/>
  <c r="BN227" i="2"/>
  <c r="BN244" i="2"/>
  <c r="BN275" i="2"/>
  <c r="BN280" i="2"/>
  <c r="BN291" i="2"/>
  <c r="BN294" i="2"/>
  <c r="BN317" i="2"/>
  <c r="BN363" i="2"/>
  <c r="BP375" i="2"/>
  <c r="BN380" i="2"/>
  <c r="BN408" i="2"/>
  <c r="BN413" i="2"/>
  <c r="BN420" i="2"/>
  <c r="BP425" i="2"/>
  <c r="Y447" i="2"/>
  <c r="BN453" i="2"/>
  <c r="BP460" i="2"/>
  <c r="Y474" i="2"/>
  <c r="Y24" i="2"/>
  <c r="Z23" i="2"/>
  <c r="Z31" i="2"/>
  <c r="BP31" i="2"/>
  <c r="BP52" i="2"/>
  <c r="BN53" i="2"/>
  <c r="Y56" i="2"/>
  <c r="Z61" i="2"/>
  <c r="BP61" i="2"/>
  <c r="BN117" i="2"/>
  <c r="BP117" i="2"/>
  <c r="BP124" i="2"/>
  <c r="Z124" i="2"/>
  <c r="BN154" i="2"/>
  <c r="BP154" i="2"/>
  <c r="BN262" i="2"/>
  <c r="BP262" i="2"/>
  <c r="BP340" i="2"/>
  <c r="Y342" i="2"/>
  <c r="Z340" i="2"/>
  <c r="BP412" i="2"/>
  <c r="Z412" i="2"/>
  <c r="Y527" i="2"/>
  <c r="F10" i="2"/>
  <c r="Z22" i="2"/>
  <c r="BP22" i="2"/>
  <c r="BP29" i="2"/>
  <c r="BN36" i="2"/>
  <c r="Y37" i="2"/>
  <c r="Z46" i="2"/>
  <c r="Z55" i="2"/>
  <c r="BP63" i="2"/>
  <c r="BN64" i="2"/>
  <c r="Z71" i="2"/>
  <c r="G544" i="2"/>
  <c r="BN103" i="2"/>
  <c r="BP103" i="2"/>
  <c r="Z103" i="2"/>
  <c r="Y147" i="2"/>
  <c r="BN177" i="2"/>
  <c r="BP177" i="2"/>
  <c r="Z177" i="2"/>
  <c r="BN222" i="2"/>
  <c r="BP222" i="2"/>
  <c r="Z222" i="2"/>
  <c r="BN270" i="2"/>
  <c r="BP270" i="2"/>
  <c r="Z270" i="2"/>
  <c r="Z353" i="2"/>
  <c r="BN353" i="2"/>
  <c r="BN365" i="2"/>
  <c r="BP365" i="2"/>
  <c r="Z365" i="2"/>
  <c r="BN388" i="2"/>
  <c r="BP388" i="2"/>
  <c r="Z388" i="2"/>
  <c r="BP414" i="2"/>
  <c r="Z414" i="2"/>
  <c r="BN455" i="2"/>
  <c r="BP455" i="2"/>
  <c r="BN492" i="2"/>
  <c r="Z492" i="2"/>
  <c r="BP516" i="2"/>
  <c r="Y519" i="2"/>
  <c r="Z516" i="2"/>
  <c r="BP521" i="2"/>
  <c r="Y523" i="2"/>
  <c r="Y522" i="2"/>
  <c r="X535" i="2"/>
  <c r="BP53" i="2"/>
  <c r="BP83" i="2"/>
  <c r="BN83" i="2"/>
  <c r="Z97" i="2"/>
  <c r="BN97" i="2"/>
  <c r="BN105" i="2"/>
  <c r="BP105" i="2"/>
  <c r="Z105" i="2"/>
  <c r="BN146" i="2"/>
  <c r="BP146" i="2"/>
  <c r="Z146" i="2"/>
  <c r="BP159" i="2"/>
  <c r="Y161" i="2"/>
  <c r="Y162" i="2"/>
  <c r="BN160" i="2"/>
  <c r="BP160" i="2"/>
  <c r="Z160" i="2"/>
  <c r="Y229" i="2"/>
  <c r="Z273" i="2"/>
  <c r="BN273" i="2"/>
  <c r="BN296" i="2"/>
  <c r="BP296" i="2"/>
  <c r="Z296" i="2"/>
  <c r="BN319" i="2"/>
  <c r="BP319" i="2"/>
  <c r="Z319" i="2"/>
  <c r="BN368" i="2"/>
  <c r="BP368" i="2"/>
  <c r="Z368" i="2"/>
  <c r="BN445" i="2"/>
  <c r="BP445" i="2"/>
  <c r="Z445" i="2"/>
  <c r="BN480" i="2"/>
  <c r="BP480" i="2"/>
  <c r="BP499" i="2"/>
  <c r="Z499" i="2"/>
  <c r="Y518" i="2"/>
  <c r="BP36" i="2"/>
  <c r="Y38" i="2"/>
  <c r="BP64" i="2"/>
  <c r="BN73" i="2"/>
  <c r="BP73" i="2"/>
  <c r="BN107" i="2"/>
  <c r="BP107" i="2"/>
  <c r="BN201" i="2"/>
  <c r="BP201" i="2"/>
  <c r="Z201" i="2"/>
  <c r="Y228" i="2"/>
  <c r="Z218" i="2"/>
  <c r="Y84" i="2"/>
  <c r="BP108" i="2"/>
  <c r="Y120" i="2"/>
  <c r="BP118" i="2"/>
  <c r="BP130" i="2"/>
  <c r="Y132" i="2"/>
  <c r="BP140" i="2"/>
  <c r="BN141" i="2"/>
  <c r="Y142" i="2"/>
  <c r="Y148" i="2"/>
  <c r="BN151" i="2"/>
  <c r="BP210" i="2"/>
  <c r="Y212" i="2"/>
  <c r="Y252" i="2"/>
  <c r="BP263" i="2"/>
  <c r="BP373" i="2"/>
  <c r="BP466" i="2"/>
  <c r="Y468" i="2"/>
  <c r="BP482" i="2"/>
  <c r="Y503" i="2"/>
  <c r="Y504" i="2"/>
  <c r="BP96" i="2"/>
  <c r="Z113" i="2"/>
  <c r="BP113" i="2"/>
  <c r="Z115" i="2"/>
  <c r="Z123" i="2"/>
  <c r="Z125" i="2"/>
  <c r="Z145" i="2"/>
  <c r="BP145" i="2"/>
  <c r="BP164" i="2"/>
  <c r="Z171" i="2"/>
  <c r="BP175" i="2"/>
  <c r="Z189" i="2"/>
  <c r="BP199" i="2"/>
  <c r="Z217" i="2"/>
  <c r="BP220" i="2"/>
  <c r="BP240" i="2"/>
  <c r="Z249" i="2"/>
  <c r="Y256" i="2"/>
  <c r="Z260" i="2"/>
  <c r="Z279" i="2"/>
  <c r="Z285" i="2"/>
  <c r="BP294" i="2"/>
  <c r="Z301" i="2"/>
  <c r="Z302" i="2" s="1"/>
  <c r="BP301" i="2"/>
  <c r="Z305" i="2"/>
  <c r="Z306" i="2" s="1"/>
  <c r="Y306" i="2"/>
  <c r="Z311" i="2"/>
  <c r="BP317" i="2"/>
  <c r="Z325" i="2"/>
  <c r="Y350" i="2"/>
  <c r="Z348" i="2"/>
  <c r="Z358" i="2"/>
  <c r="BP363" i="2"/>
  <c r="Y376" i="2"/>
  <c r="Z380" i="2"/>
  <c r="Z394" i="2"/>
  <c r="Z400" i="2"/>
  <c r="Z410" i="2"/>
  <c r="Z413" i="2"/>
  <c r="Z420" i="2"/>
  <c r="Y426" i="2"/>
  <c r="X544" i="2"/>
  <c r="Z453" i="2"/>
  <c r="Y463" i="2"/>
  <c r="Z482" i="2"/>
  <c r="Z496" i="2"/>
  <c r="BP502" i="2"/>
  <c r="BP512" i="2"/>
  <c r="Y514" i="2"/>
  <c r="Z517" i="2"/>
  <c r="Y85" i="2"/>
  <c r="H544" i="2"/>
  <c r="BP141" i="2"/>
  <c r="Y143" i="2"/>
  <c r="I544" i="2"/>
  <c r="Z182" i="2"/>
  <c r="BP182" i="2"/>
  <c r="Z205" i="2"/>
  <c r="BN210" i="2"/>
  <c r="Y211" i="2"/>
  <c r="Z215" i="2"/>
  <c r="Z226" i="2"/>
  <c r="Y235" i="2"/>
  <c r="Y236" i="2"/>
  <c r="Z244" i="2"/>
  <c r="Z245" i="2" s="1"/>
  <c r="BP244" i="2"/>
  <c r="Y246" i="2"/>
  <c r="Y251" i="2"/>
  <c r="BN263" i="2"/>
  <c r="Z275" i="2"/>
  <c r="Z278" i="2"/>
  <c r="Z291" i="2"/>
  <c r="BN373" i="2"/>
  <c r="Y416" i="2"/>
  <c r="BP408" i="2"/>
  <c r="BP418" i="2"/>
  <c r="Y446" i="2"/>
  <c r="BP452" i="2"/>
  <c r="BN466" i="2"/>
  <c r="Y467" i="2"/>
  <c r="Y473" i="2"/>
  <c r="Y493" i="2"/>
  <c r="Y494" i="2"/>
  <c r="AA544" i="2"/>
  <c r="BP178" i="2"/>
  <c r="BN178" i="2"/>
  <c r="U544" i="2"/>
  <c r="Y403" i="2"/>
  <c r="BP399" i="2"/>
  <c r="Y402" i="2"/>
  <c r="BN399" i="2"/>
  <c r="BP276" i="2"/>
  <c r="BN276" i="2"/>
  <c r="Y328" i="2"/>
  <c r="BN326" i="2"/>
  <c r="BP326" i="2"/>
  <c r="Q544" i="2"/>
  <c r="Y390" i="2"/>
  <c r="BP386" i="2"/>
  <c r="Y389" i="2"/>
  <c r="BN386" i="2"/>
  <c r="Z386" i="2"/>
  <c r="Y436" i="2"/>
  <c r="W544" i="2"/>
  <c r="BP434" i="2"/>
  <c r="BN434" i="2"/>
  <c r="Y298" i="2"/>
  <c r="BN292" i="2"/>
  <c r="Y299" i="2"/>
  <c r="BP292" i="2"/>
  <c r="O544" i="2"/>
  <c r="Y313" i="2"/>
  <c r="BP309" i="2"/>
  <c r="Y312" i="2"/>
  <c r="BN309" i="2"/>
  <c r="Z326" i="2"/>
  <c r="Z434" i="2"/>
  <c r="Z436" i="2" s="1"/>
  <c r="BN106" i="2"/>
  <c r="BP106" i="2"/>
  <c r="Y283" i="2"/>
  <c r="Z292" i="2"/>
  <c r="Z309" i="2"/>
  <c r="BP356" i="2"/>
  <c r="BN356" i="2"/>
  <c r="BP90" i="2"/>
  <c r="BN90" i="2"/>
  <c r="Z356" i="2"/>
  <c r="BP411" i="2"/>
  <c r="BN411" i="2"/>
  <c r="Z27" i="2"/>
  <c r="BN261" i="2"/>
  <c r="Y267" i="2"/>
  <c r="BP261" i="2"/>
  <c r="BP320" i="2"/>
  <c r="BN320" i="2"/>
  <c r="Z411" i="2"/>
  <c r="BN72" i="2"/>
  <c r="Z261" i="2"/>
  <c r="Y287" i="2"/>
  <c r="Y288" i="2"/>
  <c r="BP286" i="2"/>
  <c r="BN286" i="2"/>
  <c r="Z320" i="2"/>
  <c r="BP366" i="2"/>
  <c r="BN366" i="2"/>
  <c r="Z393" i="2"/>
  <c r="BP486" i="2"/>
  <c r="BN486" i="2"/>
  <c r="Z486" i="2"/>
  <c r="BP223" i="2"/>
  <c r="BN223" i="2"/>
  <c r="Y242" i="2"/>
  <c r="Y241" i="2"/>
  <c r="BP238" i="2"/>
  <c r="BN238" i="2"/>
  <c r="Z286" i="2"/>
  <c r="Z366" i="2"/>
  <c r="BP381" i="2"/>
  <c r="BN381" i="2"/>
  <c r="E544" i="2"/>
  <c r="BP116" i="2"/>
  <c r="BN116" i="2"/>
  <c r="Z223" i="2"/>
  <c r="Z238" i="2"/>
  <c r="Z381" i="2"/>
  <c r="BN393" i="2"/>
  <c r="BP444" i="2"/>
  <c r="BN444" i="2"/>
  <c r="Z444" i="2"/>
  <c r="Y79" i="2"/>
  <c r="BP77" i="2"/>
  <c r="BN77" i="2"/>
  <c r="Z77" i="2"/>
  <c r="Z79" i="2" s="1"/>
  <c r="Y47" i="2"/>
  <c r="Y111" i="2"/>
  <c r="Z116" i="2"/>
  <c r="BN173" i="2"/>
  <c r="BP173" i="2"/>
  <c r="Y190" i="2"/>
  <c r="BP188" i="2"/>
  <c r="BN188" i="2"/>
  <c r="Z188" i="2"/>
  <c r="Z190" i="2" s="1"/>
  <c r="BP30" i="2"/>
  <c r="BN30" i="2"/>
  <c r="Y74" i="2"/>
  <c r="X536" i="2"/>
  <c r="BN44" i="2"/>
  <c r="D544" i="2"/>
  <c r="BP152" i="2"/>
  <c r="Y156" i="2"/>
  <c r="Z173" i="2"/>
  <c r="BN271" i="2"/>
  <c r="Y282" i="2"/>
  <c r="BP271" i="2"/>
  <c r="Z281" i="2"/>
  <c r="Z544" i="2"/>
  <c r="Y488" i="2"/>
  <c r="Y487" i="2"/>
  <c r="BP478" i="2"/>
  <c r="BN478" i="2"/>
  <c r="Z72" i="2"/>
  <c r="Z152" i="2"/>
  <c r="Z271" i="2"/>
  <c r="BP297" i="2"/>
  <c r="BN297" i="2"/>
  <c r="Y329" i="2"/>
  <c r="Z478" i="2"/>
  <c r="Y34" i="2"/>
  <c r="Y33" i="2"/>
  <c r="Z44" i="2"/>
  <c r="BN65" i="2"/>
  <c r="BP65" i="2"/>
  <c r="Z65" i="2"/>
  <c r="Y80" i="2"/>
  <c r="Y128" i="2"/>
  <c r="BP202" i="2"/>
  <c r="BN202" i="2"/>
  <c r="K544" i="2"/>
  <c r="Y268" i="2"/>
  <c r="BN281" i="2"/>
  <c r="Z297" i="2"/>
  <c r="Y437" i="2"/>
  <c r="Z90" i="2"/>
  <c r="BP62" i="2"/>
  <c r="Y68" i="2"/>
  <c r="BN126" i="2"/>
  <c r="BP126" i="2"/>
  <c r="BN152" i="2"/>
  <c r="Z202" i="2"/>
  <c r="BP233" i="2"/>
  <c r="BN233" i="2"/>
  <c r="Y338" i="2"/>
  <c r="BP332" i="2"/>
  <c r="R544" i="2"/>
  <c r="BN332" i="2"/>
  <c r="Z332" i="2"/>
  <c r="Y121" i="2"/>
  <c r="Z126" i="2"/>
  <c r="Y185" i="2"/>
  <c r="BN183" i="2"/>
  <c r="BP183" i="2"/>
  <c r="Z233" i="2"/>
  <c r="BP266" i="2"/>
  <c r="BN266" i="2"/>
  <c r="Y383" i="2"/>
  <c r="BN439" i="2"/>
  <c r="Y441" i="2"/>
  <c r="Y440" i="2"/>
  <c r="BP439" i="2"/>
  <c r="BP456" i="2"/>
  <c r="BN456" i="2"/>
  <c r="Z456" i="2"/>
  <c r="Y48" i="2"/>
  <c r="BN42" i="2"/>
  <c r="C544" i="2"/>
  <c r="BP42" i="2"/>
  <c r="Z42" i="2"/>
  <c r="Z62" i="2"/>
  <c r="Y93" i="2"/>
  <c r="Y75" i="2"/>
  <c r="Y180" i="2"/>
  <c r="Y179" i="2"/>
  <c r="BP168" i="2"/>
  <c r="BN168" i="2"/>
  <c r="Z168" i="2"/>
  <c r="J544" i="2"/>
  <c r="Z183" i="2"/>
  <c r="Z266" i="2"/>
  <c r="Z439" i="2"/>
  <c r="Z440" i="2" s="1"/>
  <c r="X534" i="2"/>
  <c r="BN54" i="2"/>
  <c r="BP54" i="2"/>
  <c r="Z54" i="2"/>
  <c r="BN27" i="2"/>
  <c r="BN62" i="2"/>
  <c r="Y100" i="2"/>
  <c r="BP95" i="2"/>
  <c r="Y99" i="2"/>
  <c r="BN95" i="2"/>
  <c r="BN218" i="2"/>
  <c r="BP218" i="2"/>
  <c r="L544" i="2"/>
  <c r="BP498" i="2"/>
  <c r="BN498" i="2"/>
  <c r="M544" i="2"/>
  <c r="Y257" i="2"/>
  <c r="Y359" i="2"/>
  <c r="Y369" i="2"/>
  <c r="Y377" i="2"/>
  <c r="Y422" i="2"/>
  <c r="Z481" i="2"/>
  <c r="Z491" i="2"/>
  <c r="Z501" i="2"/>
  <c r="Y528" i="2"/>
  <c r="P544" i="2"/>
  <c r="Z88" i="2"/>
  <c r="Z98" i="2"/>
  <c r="Z109" i="2"/>
  <c r="Z119" i="2"/>
  <c r="Z176" i="2"/>
  <c r="Z200" i="2"/>
  <c r="Z221" i="2"/>
  <c r="Z231" i="2"/>
  <c r="Z254" i="2"/>
  <c r="Z256" i="2" s="1"/>
  <c r="Z264" i="2"/>
  <c r="Z274" i="2"/>
  <c r="Z295" i="2"/>
  <c r="Z318" i="2"/>
  <c r="Z354" i="2"/>
  <c r="Z364" i="2"/>
  <c r="Z374" i="2"/>
  <c r="Z409" i="2"/>
  <c r="Z419" i="2"/>
  <c r="BN481" i="2"/>
  <c r="BN491" i="2"/>
  <c r="BN501" i="2"/>
  <c r="Z525" i="2"/>
  <c r="BN193" i="2"/>
  <c r="BN205" i="2"/>
  <c r="Z216" i="2"/>
  <c r="BN226" i="2"/>
  <c r="BN249" i="2"/>
  <c r="Z259" i="2"/>
  <c r="BN279" i="2"/>
  <c r="Z335" i="2"/>
  <c r="BN348" i="2"/>
  <c r="Y360" i="2"/>
  <c r="Y370" i="2"/>
  <c r="Z379" i="2"/>
  <c r="Z382" i="2" s="1"/>
  <c r="BN414" i="2"/>
  <c r="Z424" i="2"/>
  <c r="Z426" i="2" s="1"/>
  <c r="BN451" i="2"/>
  <c r="BN461" i="2"/>
  <c r="Z472" i="2"/>
  <c r="Z484" i="2"/>
  <c r="BN496" i="2"/>
  <c r="BN508" i="2"/>
  <c r="Z531" i="2"/>
  <c r="Z532" i="2" s="1"/>
  <c r="BN364" i="2"/>
  <c r="BN374" i="2"/>
  <c r="BN409" i="2"/>
  <c r="BN419" i="2"/>
  <c r="BN525" i="2"/>
  <c r="S544" i="2"/>
  <c r="BN119" i="2"/>
  <c r="BN231" i="2"/>
  <c r="BN254" i="2"/>
  <c r="Y321" i="2"/>
  <c r="BN354" i="2"/>
  <c r="Z91" i="2"/>
  <c r="Y127" i="2"/>
  <c r="BN171" i="2"/>
  <c r="BN216" i="2"/>
  <c r="BN259" i="2"/>
  <c r="Z277" i="2"/>
  <c r="BN335" i="2"/>
  <c r="BN379" i="2"/>
  <c r="Y382" i="2"/>
  <c r="BN424" i="2"/>
  <c r="BP451" i="2"/>
  <c r="BP461" i="2"/>
  <c r="BN472" i="2"/>
  <c r="BN484" i="2"/>
  <c r="BP496" i="2"/>
  <c r="BP508" i="2"/>
  <c r="BN531" i="2"/>
  <c r="T544" i="2"/>
  <c r="BN98" i="2"/>
  <c r="Z153" i="2"/>
  <c r="BP82" i="2"/>
  <c r="BN114" i="2"/>
  <c r="Z135" i="2"/>
  <c r="Z137" i="2" s="1"/>
  <c r="Z310" i="2"/>
  <c r="Z346" i="2"/>
  <c r="Z357" i="2"/>
  <c r="F9" i="2"/>
  <c r="BN28" i="2"/>
  <c r="Z52" i="2"/>
  <c r="Z63" i="2"/>
  <c r="Z73" i="2"/>
  <c r="BP88" i="2"/>
  <c r="Z96" i="2"/>
  <c r="Z107" i="2"/>
  <c r="BP109" i="2"/>
  <c r="Z117" i="2"/>
  <c r="Z140" i="2"/>
  <c r="Z142" i="2" s="1"/>
  <c r="BN153" i="2"/>
  <c r="Z164" i="2"/>
  <c r="Z165" i="2" s="1"/>
  <c r="Z174" i="2"/>
  <c r="BP176" i="2"/>
  <c r="Z184" i="2"/>
  <c r="BP200" i="2"/>
  <c r="Z219" i="2"/>
  <c r="BP221" i="2"/>
  <c r="BP231" i="2"/>
  <c r="Z239" i="2"/>
  <c r="Z262" i="2"/>
  <c r="BP264" i="2"/>
  <c r="Z272" i="2"/>
  <c r="BP274" i="2"/>
  <c r="Z293" i="2"/>
  <c r="BP295" i="2"/>
  <c r="BN305" i="2"/>
  <c r="Z316" i="2"/>
  <c r="BP318" i="2"/>
  <c r="Z327" i="2"/>
  <c r="BN340" i="2"/>
  <c r="Z362" i="2"/>
  <c r="Z372" i="2"/>
  <c r="BN394" i="2"/>
  <c r="Z407" i="2"/>
  <c r="BN429" i="2"/>
  <c r="BN454" i="2"/>
  <c r="Y457" i="2"/>
  <c r="BN479" i="2"/>
  <c r="BN499" i="2"/>
  <c r="B544" i="2"/>
  <c r="Z45" i="2"/>
  <c r="BN60" i="2"/>
  <c r="Z159" i="2"/>
  <c r="Z234" i="2"/>
  <c r="H9" i="2"/>
  <c r="BN159" i="2"/>
  <c r="Y194" i="2"/>
  <c r="Y206" i="2"/>
  <c r="BN224" i="2"/>
  <c r="BN234" i="2"/>
  <c r="BN277" i="2"/>
  <c r="BN310" i="2"/>
  <c r="Y322" i="2"/>
  <c r="BN346" i="2"/>
  <c r="Y349" i="2"/>
  <c r="BN357" i="2"/>
  <c r="BN367" i="2"/>
  <c r="BP379" i="2"/>
  <c r="BN400" i="2"/>
  <c r="BN412" i="2"/>
  <c r="Y415" i="2"/>
  <c r="BN435" i="2"/>
  <c r="Y462" i="2"/>
  <c r="BP472" i="2"/>
  <c r="Y509" i="2"/>
  <c r="BP531" i="2"/>
  <c r="V544" i="2"/>
  <c r="BN124" i="2"/>
  <c r="BP193" i="2"/>
  <c r="BN45" i="2"/>
  <c r="BP70" i="2"/>
  <c r="BN91" i="2"/>
  <c r="BP104" i="2"/>
  <c r="BP114" i="2"/>
  <c r="BN203" i="2"/>
  <c r="BP259" i="2"/>
  <c r="J9" i="2"/>
  <c r="BP28" i="2"/>
  <c r="BN52" i="2"/>
  <c r="Z83" i="2"/>
  <c r="Y110" i="2"/>
  <c r="Z151" i="2"/>
  <c r="BN164" i="2"/>
  <c r="Z227" i="2"/>
  <c r="Z250" i="2"/>
  <c r="Z280" i="2"/>
  <c r="BP305" i="2"/>
  <c r="BN316" i="2"/>
  <c r="BN327" i="2"/>
  <c r="BN362" i="2"/>
  <c r="BN372" i="2"/>
  <c r="Z392" i="2"/>
  <c r="BN407" i="2"/>
  <c r="BP429" i="2"/>
  <c r="Z497" i="2"/>
  <c r="Z521" i="2"/>
  <c r="Z522" i="2" s="1"/>
  <c r="BN200" i="2"/>
  <c r="BN23" i="2"/>
  <c r="BN70" i="2"/>
  <c r="BN104" i="2"/>
  <c r="Z203" i="2"/>
  <c r="Z224" i="2"/>
  <c r="BP23" i="2"/>
  <c r="BP60" i="2"/>
  <c r="BN135" i="2"/>
  <c r="BP135" i="2"/>
  <c r="BN333" i="2"/>
  <c r="BP346" i="2"/>
  <c r="BN387" i="2"/>
  <c r="Y458" i="2"/>
  <c r="BN516" i="2"/>
  <c r="Z526" i="2"/>
  <c r="Y532" i="2"/>
  <c r="BN392" i="2"/>
  <c r="Y395" i="2"/>
  <c r="BP407" i="2"/>
  <c r="Y510" i="2"/>
  <c r="BN521" i="2"/>
  <c r="F544" i="2"/>
  <c r="Y544" i="2"/>
  <c r="Z29" i="2"/>
  <c r="Y92" i="2"/>
  <c r="Z130" i="2"/>
  <c r="Z131" i="2" s="1"/>
  <c r="Z154" i="2"/>
  <c r="Z341" i="2"/>
  <c r="Z385" i="2"/>
  <c r="Z443" i="2"/>
  <c r="Z455" i="2"/>
  <c r="Z480" i="2"/>
  <c r="Z490" i="2"/>
  <c r="Z500" i="2"/>
  <c r="BN526" i="2"/>
  <c r="BP151" i="2"/>
  <c r="BP392" i="2"/>
  <c r="Y533" i="2"/>
  <c r="BN443" i="2"/>
  <c r="BN490" i="2"/>
  <c r="X537" i="2" l="1"/>
  <c r="Z84" i="2"/>
  <c r="Z457" i="2"/>
  <c r="Z389" i="2"/>
  <c r="Z395" i="2"/>
  <c r="Z298" i="2"/>
  <c r="Z110" i="2"/>
  <c r="Z421" i="2"/>
  <c r="Z402" i="2"/>
  <c r="Z185" i="2"/>
  <c r="Z446" i="2"/>
  <c r="Z342" i="2"/>
  <c r="Z251" i="2"/>
  <c r="Y538" i="2"/>
  <c r="Z161" i="2"/>
  <c r="Z328" i="2"/>
  <c r="Z321" i="2"/>
  <c r="Z99" i="2"/>
  <c r="Z74" i="2"/>
  <c r="Z56" i="2"/>
  <c r="Z349" i="2"/>
  <c r="Z473" i="2"/>
  <c r="Z127" i="2"/>
  <c r="Z287" i="2"/>
  <c r="Z24" i="2"/>
  <c r="Y535" i="2"/>
  <c r="Z155" i="2"/>
  <c r="Z206" i="2"/>
  <c r="Z359" i="2"/>
  <c r="Y534" i="2"/>
  <c r="Z33" i="2"/>
  <c r="Z312" i="2"/>
  <c r="Z518" i="2"/>
  <c r="Y536" i="2"/>
  <c r="Z228" i="2"/>
  <c r="Z120" i="2"/>
  <c r="Z147" i="2"/>
  <c r="Z92" i="2"/>
  <c r="Z67" i="2"/>
  <c r="Z47" i="2"/>
  <c r="Z487" i="2"/>
  <c r="Z493" i="2"/>
  <c r="Z267" i="2"/>
  <c r="Z337" i="2"/>
  <c r="Z282" i="2"/>
  <c r="Z235" i="2"/>
  <c r="Z376" i="2"/>
  <c r="Z503" i="2"/>
  <c r="Z179" i="2"/>
  <c r="Z415" i="2"/>
  <c r="Z527" i="2"/>
  <c r="Z369" i="2"/>
  <c r="Z241" i="2"/>
  <c r="Z539" i="2" l="1"/>
  <c r="Y537" i="2"/>
</calcChain>
</file>

<file path=xl/sharedStrings.xml><?xml version="1.0" encoding="utf-8"?>
<sst xmlns="http://schemas.openxmlformats.org/spreadsheetml/2006/main" count="4047" uniqueCount="860">
  <si>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</si>
  <si>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</si>
  <si>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</si>
  <si>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</si>
  <si>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</si>
  <si>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</si>
  <si>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</si>
  <si>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</si>
  <si>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</si>
  <si>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</si>
  <si>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</si>
  <si>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</si>
  <si>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</si>
  <si>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</si>
  <si>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</si>
  <si>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</si>
  <si>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</si>
  <si>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</si>
  <si>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</si>
  <si>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</si>
  <si>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</si>
  <si>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</si>
  <si>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</si>
  <si>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</si>
  <si>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</si>
  <si>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</si>
  <si>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</si>
  <si>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</si>
  <si>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</si>
  <si>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</si>
  <si>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</si>
  <si>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</si>
  <si>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</si>
  <si>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</si>
  <si>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</si>
  <si>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</si>
  <si>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</si>
  <si>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</si>
  <si>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</si>
  <si>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</si>
  <si>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</si>
  <si>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</si>
  <si>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</si>
  <si>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</si>
  <si>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</si>
  <si>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</si>
  <si>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</si>
  <si>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</si>
  <si>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</si>
  <si>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</si>
  <si>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</si>
  <si>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</si>
  <si>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</si>
  <si>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</si>
  <si>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</si>
  <si>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</si>
  <si>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</si>
  <si>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</si>
  <si>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</si>
  <si>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</si>
  <si>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</si>
  <si>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</si>
  <si>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</si>
  <si>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</si>
  <si>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</si>
  <si>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</si>
  <si>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</si>
  <si>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</si>
  <si>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09.07.2026</t>
  </si>
  <si>
    <t>06.07.2026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</si>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</sst>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4"/>
  <sheetViews>
    <sheetView showGridLines="0" tabSelected="1" topLeftCell="A512" zoomScaleNormal="100" zoomScaleSheetLayoutView="100" workbookViewId="0">
      <selection activeCell="X540" sqref="X5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7" t="s">
        <v>26</v>
      </c>
      <c r="E1" s="957"/>
      <c r="F1" s="957"/>
      <c r="G1" s="14" t="s">
        <v>67</v>
      </c>
      <c r="H1" s="957" t="s">
        <v>47</v>
      </c>
      <c r="I1" s="957"/>
      <c r="J1" s="957"/>
      <c r="K1" s="957"/>
      <c r="L1" s="957"/>
      <c r="M1" s="957"/>
      <c r="N1" s="957"/>
      <c r="O1" s="957"/>
      <c r="P1" s="957"/>
      <c r="Q1" s="957"/>
      <c r="R1" s="958" t="s">
        <v>68</v>
      </c>
      <c r="S1" s="959"/>
      <c r="T1" s="95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0"/>
      <c r="R2" s="960"/>
      <c r="S2" s="960"/>
      <c r="T2" s="960"/>
      <c r="U2" s="960"/>
      <c r="V2" s="960"/>
      <c r="W2" s="96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0"/>
      <c r="Q3" s="960"/>
      <c r="R3" s="960"/>
      <c r="S3" s="960"/>
      <c r="T3" s="960"/>
      <c r="U3" s="960"/>
      <c r="V3" s="960"/>
      <c r="W3" s="96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1"/>
      <c r="E5" s="961"/>
      <c r="F5" s="962" t="s">
        <v>14</v>
      </c>
      <c r="G5" s="962"/>
      <c r="H5" s="961"/>
      <c r="I5" s="961"/>
      <c r="J5" s="961"/>
      <c r="K5" s="961"/>
      <c r="L5" s="961"/>
      <c r="M5" s="961"/>
      <c r="N5" s="72"/>
      <c r="P5" s="27" t="s">
        <v>4</v>
      </c>
      <c r="Q5" s="963">
        <v>46219</v>
      </c>
      <c r="R5" s="963"/>
      <c r="T5" s="964" t="s">
        <v>3</v>
      </c>
      <c r="U5" s="965"/>
      <c r="V5" s="966" t="s">
        <v>836</v>
      </c>
      <c r="W5" s="967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843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Четверг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3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0.41666666666666669</v>
      </c>
      <c r="R8" s="937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5" t="str">
        <f>IF(AND($A$9="Тип доверенности/получателя при получении в адресе перегруза:",$D$9="Разовая доверенность"),"Введите ФИО","")</f>
        <v/>
      </c>
      <c r="I9" s="955"/>
      <c r="J9" s="9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5"/>
      <c r="L9" s="955"/>
      <c r="M9" s="955"/>
      <c r="N9" s="70"/>
      <c r="P9" s="31" t="s">
        <v>15</v>
      </c>
      <c r="Q9" s="956"/>
      <c r="R9" s="956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customHeight="1" x14ac:dyDescent="0.2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customHeight="1" x14ac:dyDescent="0.25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customHeight="1" x14ac:dyDescent="0.25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621">
        <v>4680115887657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89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4301052071</v>
      </c>
      <c r="D32" s="621">
        <v>4680115887619</v>
      </c>
      <c r="E32" s="621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3"/>
      <c r="R32" s="623"/>
      <c r="S32" s="623"/>
      <c r="T32" s="624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628"/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9"/>
      <c r="P34" s="625" t="s">
        <v>40</v>
      </c>
      <c r="Q34" s="626"/>
      <c r="R34" s="626"/>
      <c r="S34" s="626"/>
      <c r="T34" s="626"/>
      <c r="U34" s="626"/>
      <c r="V34" s="627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620" t="s">
        <v>107</v>
      </c>
      <c r="B35" s="620"/>
      <c r="C35" s="620"/>
      <c r="D35" s="620"/>
      <c r="E35" s="620"/>
      <c r="F35" s="620"/>
      <c r="G35" s="620"/>
      <c r="H35" s="620"/>
      <c r="I35" s="620"/>
      <c r="J35" s="620"/>
      <c r="K35" s="620"/>
      <c r="L35" s="620"/>
      <c r="M35" s="620"/>
      <c r="N35" s="620"/>
      <c r="O35" s="620"/>
      <c r="P35" s="620"/>
      <c r="Q35" s="620"/>
      <c r="R35" s="620"/>
      <c r="S35" s="620"/>
      <c r="T35" s="620"/>
      <c r="U35" s="620"/>
      <c r="V35" s="620"/>
      <c r="W35" s="620"/>
      <c r="X35" s="620"/>
      <c r="Y35" s="620"/>
      <c r="Z35" s="620"/>
      <c r="AA35" s="66"/>
      <c r="AB35" s="66"/>
      <c r="AC35" s="80"/>
    </row>
    <row r="36" spans="1:68" ht="27" customHeight="1" x14ac:dyDescent="0.25">
      <c r="A36" s="63" t="s">
        <v>108</v>
      </c>
      <c r="B36" s="63" t="s">
        <v>109</v>
      </c>
      <c r="C36" s="36">
        <v>4301032013</v>
      </c>
      <c r="D36" s="621">
        <v>4607091388503</v>
      </c>
      <c r="E36" s="621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3"/>
      <c r="R36" s="623"/>
      <c r="S36" s="623"/>
      <c r="T36" s="624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9"/>
      <c r="P38" s="625" t="s">
        <v>40</v>
      </c>
      <c r="Q38" s="626"/>
      <c r="R38" s="626"/>
      <c r="S38" s="626"/>
      <c r="T38" s="626"/>
      <c r="U38" s="626"/>
      <c r="V38" s="627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641" t="s">
        <v>45</v>
      </c>
      <c r="B39" s="641"/>
      <c r="C39" s="641"/>
      <c r="D39" s="641"/>
      <c r="E39" s="641"/>
      <c r="F39" s="641"/>
      <c r="G39" s="641"/>
      <c r="H39" s="641"/>
      <c r="I39" s="641"/>
      <c r="J39" s="641"/>
      <c r="K39" s="641"/>
      <c r="L39" s="641"/>
      <c r="M39" s="641"/>
      <c r="N39" s="641"/>
      <c r="O39" s="641"/>
      <c r="P39" s="641"/>
      <c r="Q39" s="641"/>
      <c r="R39" s="641"/>
      <c r="S39" s="641"/>
      <c r="T39" s="641"/>
      <c r="U39" s="641"/>
      <c r="V39" s="641"/>
      <c r="W39" s="641"/>
      <c r="X39" s="641"/>
      <c r="Y39" s="641"/>
      <c r="Z39" s="641"/>
      <c r="AA39" s="54"/>
      <c r="AB39" s="54"/>
      <c r="AC39" s="54"/>
    </row>
    <row r="40" spans="1:68" ht="16.5" customHeight="1" x14ac:dyDescent="0.25">
      <c r="A40" s="636" t="s">
        <v>113</v>
      </c>
      <c r="B40" s="636"/>
      <c r="C40" s="636"/>
      <c r="D40" s="636"/>
      <c r="E40" s="636"/>
      <c r="F40" s="636"/>
      <c r="G40" s="636"/>
      <c r="H40" s="636"/>
      <c r="I40" s="636"/>
      <c r="J40" s="636"/>
      <c r="K40" s="636"/>
      <c r="L40" s="636"/>
      <c r="M40" s="636"/>
      <c r="N40" s="636"/>
      <c r="O40" s="636"/>
      <c r="P40" s="636"/>
      <c r="Q40" s="636"/>
      <c r="R40" s="636"/>
      <c r="S40" s="636"/>
      <c r="T40" s="636"/>
      <c r="U40" s="636"/>
      <c r="V40" s="636"/>
      <c r="W40" s="636"/>
      <c r="X40" s="636"/>
      <c r="Y40" s="636"/>
      <c r="Z40" s="636"/>
      <c r="AA40" s="65"/>
      <c r="AB40" s="65"/>
      <c r="AC40" s="79"/>
    </row>
    <row r="41" spans="1:68" ht="14.25" customHeight="1" x14ac:dyDescent="0.25">
      <c r="A41" s="620" t="s">
        <v>86</v>
      </c>
      <c r="B41" s="620"/>
      <c r="C41" s="620"/>
      <c r="D41" s="620"/>
      <c r="E41" s="620"/>
      <c r="F41" s="620"/>
      <c r="G41" s="620"/>
      <c r="H41" s="620"/>
      <c r="I41" s="620"/>
      <c r="J41" s="620"/>
      <c r="K41" s="620"/>
      <c r="L41" s="620"/>
      <c r="M41" s="620"/>
      <c r="N41" s="620"/>
      <c r="O41" s="620"/>
      <c r="P41" s="620"/>
      <c r="Q41" s="620"/>
      <c r="R41" s="620"/>
      <c r="S41" s="620"/>
      <c r="T41" s="620"/>
      <c r="U41" s="620"/>
      <c r="V41" s="620"/>
      <c r="W41" s="620"/>
      <c r="X41" s="620"/>
      <c r="Y41" s="620"/>
      <c r="Z41" s="620"/>
      <c r="AA41" s="66"/>
      <c r="AB41" s="66"/>
      <c r="AC41" s="80"/>
    </row>
    <row r="42" spans="1:68" ht="27" customHeight="1" x14ac:dyDescent="0.25">
      <c r="A42" s="63" t="s">
        <v>114</v>
      </c>
      <c r="B42" s="63" t="s">
        <v>115</v>
      </c>
      <c r="C42" s="36">
        <v>4301052187</v>
      </c>
      <c r="D42" s="621">
        <v>4680115889354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97</v>
      </c>
      <c r="N42" s="38"/>
      <c r="O42" s="37">
        <v>40</v>
      </c>
      <c r="P42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117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4301052198</v>
      </c>
      <c r="D43" s="621">
        <v>4680115888463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4301052202</v>
      </c>
      <c r="D44" s="621">
        <v>4680115888494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124</v>
      </c>
      <c r="B45" s="63" t="s">
        <v>125</v>
      </c>
      <c r="C45" s="36">
        <v>4301052184</v>
      </c>
      <c r="D45" s="621">
        <v>4680115888272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27" customHeight="1" x14ac:dyDescent="0.25">
      <c r="A46" s="63" t="s">
        <v>127</v>
      </c>
      <c r="B46" s="63" t="s">
        <v>128</v>
      </c>
      <c r="C46" s="36">
        <v>4301052188</v>
      </c>
      <c r="D46" s="621">
        <v>4680115888364</v>
      </c>
      <c r="E46" s="621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91</v>
      </c>
      <c r="L46" s="37" t="s">
        <v>46</v>
      </c>
      <c r="M46" s="38" t="s">
        <v>90</v>
      </c>
      <c r="N46" s="38"/>
      <c r="O46" s="37">
        <v>40</v>
      </c>
      <c r="P46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23"/>
      <c r="R46" s="623"/>
      <c r="S46" s="623"/>
      <c r="T46" s="624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129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IFERROR(X42/H42,"0")+IFERROR(X43/H43,"0")+IFERROR(X44/H44,"0")+IFERROR(X45/H45,"0")+IFERROR(X46/H46,"0")</f>
        <v>0</v>
      </c>
      <c r="Y47" s="43">
        <f>IFERROR(Y42/H42,"0")+IFERROR(Y43/H43,"0")+IFERROR(Y44/H44,"0")+IFERROR(Y45/H45,"0")+IFERROR(Y46/H46,"0")</f>
        <v>0</v>
      </c>
      <c r="Z47" s="43">
        <f>IFERROR(IF(Z42="",0,Z42),"0")+IFERROR(IF(Z43="",0,Z43),"0")+IFERROR(IF(Z44="",0,Z44),"0")+IFERROR(IF(Z45="",0,Z45),"0")+IFERROR(IF(Z46="",0,Z46),"0")</f>
        <v>0</v>
      </c>
      <c r="AA47" s="67"/>
      <c r="AB47" s="67"/>
      <c r="AC47" s="67"/>
    </row>
    <row r="48" spans="1:68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IFERROR(SUM(X42:X46),"0")</f>
        <v>0</v>
      </c>
      <c r="Y48" s="43">
        <f>IFERROR(SUM(Y42:Y46),"0")</f>
        <v>0</v>
      </c>
      <c r="Z48" s="42"/>
      <c r="AA48" s="67"/>
      <c r="AB48" s="67"/>
      <c r="AC48" s="67"/>
    </row>
    <row r="49" spans="1:68" ht="27.75" customHeight="1" x14ac:dyDescent="0.2">
      <c r="A49" s="641" t="s">
        <v>130</v>
      </c>
      <c r="B49" s="641"/>
      <c r="C49" s="641"/>
      <c r="D49" s="641"/>
      <c r="E49" s="641"/>
      <c r="F49" s="641"/>
      <c r="G49" s="641"/>
      <c r="H49" s="641"/>
      <c r="I49" s="641"/>
      <c r="J49" s="641"/>
      <c r="K49" s="641"/>
      <c r="L49" s="641"/>
      <c r="M49" s="641"/>
      <c r="N49" s="641"/>
      <c r="O49" s="641"/>
      <c r="P49" s="641"/>
      <c r="Q49" s="641"/>
      <c r="R49" s="641"/>
      <c r="S49" s="641"/>
      <c r="T49" s="641"/>
      <c r="U49" s="641"/>
      <c r="V49" s="641"/>
      <c r="W49" s="641"/>
      <c r="X49" s="641"/>
      <c r="Y49" s="641"/>
      <c r="Z49" s="641"/>
      <c r="AA49" s="54"/>
      <c r="AB49" s="54"/>
      <c r="AC49" s="54"/>
    </row>
    <row r="50" spans="1:68" ht="16.5" customHeight="1" x14ac:dyDescent="0.25">
      <c r="A50" s="636" t="s">
        <v>131</v>
      </c>
      <c r="B50" s="636"/>
      <c r="C50" s="636"/>
      <c r="D50" s="636"/>
      <c r="E50" s="636"/>
      <c r="F50" s="636"/>
      <c r="G50" s="636"/>
      <c r="H50" s="636"/>
      <c r="I50" s="636"/>
      <c r="J50" s="636"/>
      <c r="K50" s="636"/>
      <c r="L50" s="636"/>
      <c r="M50" s="636"/>
      <c r="N50" s="636"/>
      <c r="O50" s="636"/>
      <c r="P50" s="636"/>
      <c r="Q50" s="636"/>
      <c r="R50" s="636"/>
      <c r="S50" s="636"/>
      <c r="T50" s="636"/>
      <c r="U50" s="636"/>
      <c r="V50" s="636"/>
      <c r="W50" s="636"/>
      <c r="X50" s="636"/>
      <c r="Y50" s="636"/>
      <c r="Z50" s="636"/>
      <c r="AA50" s="65"/>
      <c r="AB50" s="65"/>
      <c r="AC50" s="79"/>
    </row>
    <row r="51" spans="1:68" ht="14.25" customHeight="1" x14ac:dyDescent="0.25">
      <c r="A51" s="620" t="s">
        <v>132</v>
      </c>
      <c r="B51" s="620"/>
      <c r="C51" s="620"/>
      <c r="D51" s="620"/>
      <c r="E51" s="620"/>
      <c r="F51" s="620"/>
      <c r="G51" s="620"/>
      <c r="H51" s="620"/>
      <c r="I51" s="620"/>
      <c r="J51" s="620"/>
      <c r="K51" s="620"/>
      <c r="L51" s="620"/>
      <c r="M51" s="620"/>
      <c r="N51" s="620"/>
      <c r="O51" s="620"/>
      <c r="P51" s="620"/>
      <c r="Q51" s="620"/>
      <c r="R51" s="620"/>
      <c r="S51" s="620"/>
      <c r="T51" s="620"/>
      <c r="U51" s="620"/>
      <c r="V51" s="620"/>
      <c r="W51" s="620"/>
      <c r="X51" s="620"/>
      <c r="Y51" s="620"/>
      <c r="Z51" s="620"/>
      <c r="AA51" s="66"/>
      <c r="AB51" s="66"/>
      <c r="AC51" s="80"/>
    </row>
    <row r="52" spans="1:68" ht="16.5" customHeight="1" x14ac:dyDescent="0.25">
      <c r="A52" s="63" t="s">
        <v>133</v>
      </c>
      <c r="B52" s="63" t="s">
        <v>134</v>
      </c>
      <c r="C52" s="36">
        <v>4301011380</v>
      </c>
      <c r="D52" s="621">
        <v>4607091385670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137</v>
      </c>
      <c r="L52" s="37" t="s">
        <v>46</v>
      </c>
      <c r="M52" s="38" t="s">
        <v>136</v>
      </c>
      <c r="N52" s="38"/>
      <c r="O52" s="37">
        <v>50</v>
      </c>
      <c r="P52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500</v>
      </c>
      <c r="Y52" s="55">
        <f>IFERROR(IF(X52="",0,CEILING((X52/$H52),1)*$H52),"")</f>
        <v>507.6</v>
      </c>
      <c r="Z52" s="41">
        <f>IFERROR(IF(Y52=0,"",ROUNDUP(Y52/H52,0)*0.01898),"")</f>
        <v>0.89205999999999996</v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518.98148148148141</v>
      </c>
      <c r="BN52" s="78">
        <f>IFERROR(Y52*I52/H52,"0")</f>
        <v>526.87</v>
      </c>
      <c r="BO52" s="78">
        <f>IFERROR(1/J52*(X52/H52),"0")</f>
        <v>0.72337962962962954</v>
      </c>
      <c r="BP52" s="78">
        <f>IFERROR(1/J52*(Y52/H52),"0")</f>
        <v>0.734375</v>
      </c>
    </row>
    <row r="53" spans="1:68" ht="27" customHeight="1" x14ac:dyDescent="0.25">
      <c r="A53" s="63" t="s">
        <v>138</v>
      </c>
      <c r="B53" s="63" t="s">
        <v>139</v>
      </c>
      <c r="C53" s="36">
        <v>4301012053</v>
      </c>
      <c r="D53" s="621">
        <v>4680115887725</v>
      </c>
      <c r="E53" s="621"/>
      <c r="F53" s="62">
        <v>0.11</v>
      </c>
      <c r="G53" s="37">
        <v>10</v>
      </c>
      <c r="H53" s="62">
        <v>1.1000000000000001</v>
      </c>
      <c r="I53" s="62">
        <v>1.31</v>
      </c>
      <c r="J53" s="37">
        <v>192</v>
      </c>
      <c r="K53" s="37" t="s">
        <v>141</v>
      </c>
      <c r="L53" s="37" t="s">
        <v>46</v>
      </c>
      <c r="M53" s="38" t="s">
        <v>81</v>
      </c>
      <c r="N53" s="38"/>
      <c r="O53" s="37">
        <v>30</v>
      </c>
      <c r="P53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IFERROR(IF(Y53=0,"",ROUNDUP(Y53/H53,0)*0.00726),"")</f>
        <v/>
      </c>
      <c r="AA53" s="68" t="s">
        <v>46</v>
      </c>
      <c r="AB53" s="69" t="s">
        <v>46</v>
      </c>
      <c r="AC53" s="116" t="s">
        <v>140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142</v>
      </c>
      <c r="B54" s="63" t="s">
        <v>143</v>
      </c>
      <c r="C54" s="36">
        <v>4301011382</v>
      </c>
      <c r="D54" s="621">
        <v>4607091385687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144</v>
      </c>
      <c r="L54" s="37" t="s">
        <v>46</v>
      </c>
      <c r="M54" s="38" t="s">
        <v>90</v>
      </c>
      <c r="N54" s="38"/>
      <c r="O54" s="37">
        <v>50</v>
      </c>
      <c r="P54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135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t="27" customHeight="1" x14ac:dyDescent="0.25">
      <c r="A55" s="63" t="s">
        <v>145</v>
      </c>
      <c r="B55" s="63" t="s">
        <v>146</v>
      </c>
      <c r="C55" s="36">
        <v>4301011565</v>
      </c>
      <c r="D55" s="621">
        <v>4680115882539</v>
      </c>
      <c r="E55" s="621"/>
      <c r="F55" s="62">
        <v>0.37</v>
      </c>
      <c r="G55" s="37">
        <v>10</v>
      </c>
      <c r="H55" s="62">
        <v>3.7</v>
      </c>
      <c r="I55" s="62">
        <v>3.89</v>
      </c>
      <c r="J55" s="37">
        <v>132</v>
      </c>
      <c r="K55" s="37" t="s">
        <v>144</v>
      </c>
      <c r="L55" s="37" t="s">
        <v>46</v>
      </c>
      <c r="M55" s="38" t="s">
        <v>90</v>
      </c>
      <c r="N55" s="38"/>
      <c r="O55" s="37">
        <v>50</v>
      </c>
      <c r="P55" s="88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23"/>
      <c r="R55" s="623"/>
      <c r="S55" s="623"/>
      <c r="T55" s="624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IFERROR(IF(Y55=0,"",ROUNDUP(Y55/H55,0)*0.00902),"")</f>
        <v/>
      </c>
      <c r="AA55" s="68" t="s">
        <v>46</v>
      </c>
      <c r="AB55" s="69" t="s">
        <v>46</v>
      </c>
      <c r="AC55" s="120" t="s">
        <v>135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39</v>
      </c>
      <c r="X56" s="43">
        <f>IFERROR(X52/H52,"0")+IFERROR(X53/H53,"0")+IFERROR(X54/H54,"0")+IFERROR(X55/H55,"0")</f>
        <v>46.296296296296291</v>
      </c>
      <c r="Y56" s="43">
        <f>IFERROR(Y52/H52,"0")+IFERROR(Y53/H53,"0")+IFERROR(Y54/H54,"0")+IFERROR(Y55/H55,"0")</f>
        <v>47</v>
      </c>
      <c r="Z56" s="43">
        <f>IFERROR(IF(Z52="",0,Z52),"0")+IFERROR(IF(Z53="",0,Z53),"0")+IFERROR(IF(Z54="",0,Z54),"0")+IFERROR(IF(Z55="",0,Z55),"0")</f>
        <v>0.89205999999999996</v>
      </c>
      <c r="AA56" s="67"/>
      <c r="AB56" s="67"/>
      <c r="AC56" s="67"/>
    </row>
    <row r="57" spans="1:68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0</v>
      </c>
      <c r="X57" s="43">
        <f>IFERROR(SUM(X52:X55),"0")</f>
        <v>500</v>
      </c>
      <c r="Y57" s="43">
        <f>IFERROR(SUM(Y52:Y55),"0")</f>
        <v>507.6</v>
      </c>
      <c r="Z57" s="42"/>
      <c r="AA57" s="67"/>
      <c r="AB57" s="67"/>
      <c r="AC57" s="67"/>
    </row>
    <row r="58" spans="1:68" ht="16.5" customHeight="1" x14ac:dyDescent="0.25">
      <c r="A58" s="636" t="s">
        <v>147</v>
      </c>
      <c r="B58" s="636"/>
      <c r="C58" s="636"/>
      <c r="D58" s="636"/>
      <c r="E58" s="636"/>
      <c r="F58" s="636"/>
      <c r="G58" s="636"/>
      <c r="H58" s="636"/>
      <c r="I58" s="636"/>
      <c r="J58" s="636"/>
      <c r="K58" s="636"/>
      <c r="L58" s="636"/>
      <c r="M58" s="636"/>
      <c r="N58" s="636"/>
      <c r="O58" s="636"/>
      <c r="P58" s="636"/>
      <c r="Q58" s="636"/>
      <c r="R58" s="636"/>
      <c r="S58" s="636"/>
      <c r="T58" s="636"/>
      <c r="U58" s="636"/>
      <c r="V58" s="636"/>
      <c r="W58" s="636"/>
      <c r="X58" s="636"/>
      <c r="Y58" s="636"/>
      <c r="Z58" s="636"/>
      <c r="AA58" s="65"/>
      <c r="AB58" s="65"/>
      <c r="AC58" s="79"/>
    </row>
    <row r="59" spans="1:68" ht="14.25" customHeight="1" x14ac:dyDescent="0.25">
      <c r="A59" s="620" t="s">
        <v>132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27" customHeight="1" x14ac:dyDescent="0.25">
      <c r="A60" s="63" t="s">
        <v>148</v>
      </c>
      <c r="B60" s="63" t="s">
        <v>149</v>
      </c>
      <c r="C60" s="36">
        <v>4301012030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137</v>
      </c>
      <c r="L60" s="37" t="s">
        <v>46</v>
      </c>
      <c r="M60" s="38" t="s">
        <v>90</v>
      </c>
      <c r="N60" s="38"/>
      <c r="O60" s="37">
        <v>50</v>
      </c>
      <c r="P60" s="8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ref="Y60:Y66" si="6">IFERROR(IF(X60="",0,CEILING((X60/$H60),1)*$H60),"")</f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67</v>
      </c>
      <c r="BM60" s="78">
        <f t="shared" ref="BM60:BM66" si="7">IFERROR(X60*I60/H60,"0")</f>
        <v>0</v>
      </c>
      <c r="BN60" s="78">
        <f t="shared" ref="BN60:BN66" si="8">IFERROR(Y60*I60/H60,"0")</f>
        <v>0</v>
      </c>
      <c r="BO60" s="78">
        <f t="shared" ref="BO60:BO66" si="9">IFERROR(1/J60*(X60/H60),"0")</f>
        <v>0</v>
      </c>
      <c r="BP60" s="78">
        <f t="shared" ref="BP60:BP66" si="10">IFERROR(1/J60*(Y60/H60),"0")</f>
        <v>0</v>
      </c>
    </row>
    <row r="61" spans="1:68" ht="27" customHeight="1" x14ac:dyDescent="0.25">
      <c r="A61" s="63" t="s">
        <v>148</v>
      </c>
      <c r="B61" s="63" t="s">
        <v>151</v>
      </c>
      <c r="C61" s="36">
        <v>4301012161</v>
      </c>
      <c r="D61" s="621">
        <v>4680115885882</v>
      </c>
      <c r="E61" s="621"/>
      <c r="F61" s="62">
        <v>1.4</v>
      </c>
      <c r="G61" s="37">
        <v>8</v>
      </c>
      <c r="H61" s="62">
        <v>11.2</v>
      </c>
      <c r="I61" s="62">
        <v>11.61</v>
      </c>
      <c r="J61" s="37">
        <v>64</v>
      </c>
      <c r="K61" s="37" t="s">
        <v>137</v>
      </c>
      <c r="L61" s="37" t="s">
        <v>46</v>
      </c>
      <c r="M61" s="38" t="s">
        <v>136</v>
      </c>
      <c r="N61" s="38"/>
      <c r="O61" s="37">
        <v>50</v>
      </c>
      <c r="P61" s="87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4301011816</v>
      </c>
      <c r="D62" s="621">
        <v>4680115881426</v>
      </c>
      <c r="E62" s="621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137</v>
      </c>
      <c r="L62" s="37" t="s">
        <v>46</v>
      </c>
      <c r="M62" s="38" t="s">
        <v>136</v>
      </c>
      <c r="N62" s="38"/>
      <c r="O62" s="37">
        <v>50</v>
      </c>
      <c r="P62" s="87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250</v>
      </c>
      <c r="Y62" s="55">
        <f t="shared" si="6"/>
        <v>259.20000000000005</v>
      </c>
      <c r="Z62" s="41">
        <f>IFERROR(IF(Y62=0,"",ROUNDUP(Y62/H62,0)*0.01898),"")</f>
        <v>0.45552000000000004</v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259.4907407407407</v>
      </c>
      <c r="BN62" s="78">
        <f t="shared" si="8"/>
        <v>269.04000000000002</v>
      </c>
      <c r="BO62" s="78">
        <f t="shared" si="9"/>
        <v>0.36168981481481477</v>
      </c>
      <c r="BP62" s="78">
        <f t="shared" si="10"/>
        <v>0.37500000000000006</v>
      </c>
    </row>
    <row r="63" spans="1:68" ht="27" customHeight="1" x14ac:dyDescent="0.25">
      <c r="A63" s="63" t="s">
        <v>156</v>
      </c>
      <c r="B63" s="63" t="s">
        <v>157</v>
      </c>
      <c r="C63" s="36">
        <v>4301011386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144</v>
      </c>
      <c r="L63" s="37" t="s">
        <v>46</v>
      </c>
      <c r="M63" s="38" t="s">
        <v>136</v>
      </c>
      <c r="N63" s="38"/>
      <c r="O63" s="37">
        <v>45</v>
      </c>
      <c r="P63" s="87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23"/>
      <c r="R63" s="623"/>
      <c r="S63" s="623"/>
      <c r="T63" s="62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customHeight="1" x14ac:dyDescent="0.25">
      <c r="A64" s="63" t="s">
        <v>159</v>
      </c>
      <c r="B64" s="63" t="s">
        <v>160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144</v>
      </c>
      <c r="L64" s="37" t="s">
        <v>46</v>
      </c>
      <c r="M64" s="38" t="s">
        <v>136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customHeight="1" x14ac:dyDescent="0.25">
      <c r="A65" s="63" t="s">
        <v>162</v>
      </c>
      <c r="B65" s="63" t="s">
        <v>163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136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37.5" customHeight="1" x14ac:dyDescent="0.25">
      <c r="A66" s="63" t="s">
        <v>164</v>
      </c>
      <c r="B66" s="63" t="s">
        <v>165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144</v>
      </c>
      <c r="L66" s="37" t="s">
        <v>46</v>
      </c>
      <c r="M66" s="38" t="s">
        <v>136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166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IFERROR(X60/H60,"0")+IFERROR(X61/H61,"0")+IFERROR(X62/H62,"0")+IFERROR(X63/H63,"0")+IFERROR(X64/H64,"0")+IFERROR(X65/H65,"0")+IFERROR(X66/H66,"0")</f>
        <v>23.148148148148145</v>
      </c>
      <c r="Y67" s="43">
        <f>IFERROR(Y60/H60,"0")+IFERROR(Y61/H61,"0")+IFERROR(Y62/H62,"0")+IFERROR(Y63/H63,"0")+IFERROR(Y64/H64,"0")+IFERROR(Y65/H65,"0")+IFERROR(Y66/H66,"0")</f>
        <v>24.000000000000004</v>
      </c>
      <c r="Z67" s="43">
        <f>IFERROR(IF(Z60="",0,Z60),"0")+IFERROR(IF(Z61="",0,Z61),"0")+IFERROR(IF(Z62="",0,Z62),"0")+IFERROR(IF(Z63="",0,Z63),"0")+IFERROR(IF(Z64="",0,Z64),"0")+IFERROR(IF(Z65="",0,Z65),"0")+IFERROR(IF(Z66="",0,Z66),"0")</f>
        <v>0.45552000000000004</v>
      </c>
      <c r="AA67" s="67"/>
      <c r="AB67" s="67"/>
      <c r="AC67" s="67"/>
    </row>
    <row r="68" spans="1:68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IFERROR(SUM(X60:X66),"0")</f>
        <v>250</v>
      </c>
      <c r="Y68" s="43">
        <f>IFERROR(SUM(Y60:Y66),"0")</f>
        <v>259.20000000000005</v>
      </c>
      <c r="Z68" s="42"/>
      <c r="AA68" s="67"/>
      <c r="AB68" s="67"/>
      <c r="AC68" s="67"/>
    </row>
    <row r="69" spans="1:68" ht="14.25" customHeight="1" x14ac:dyDescent="0.25">
      <c r="A69" s="620" t="s">
        <v>167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customHeight="1" x14ac:dyDescent="0.25">
      <c r="A70" s="63" t="s">
        <v>168</v>
      </c>
      <c r="B70" s="63" t="s">
        <v>169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137</v>
      </c>
      <c r="L70" s="37" t="s">
        <v>46</v>
      </c>
      <c r="M70" s="38" t="s">
        <v>136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170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171</v>
      </c>
      <c r="B71" s="63" t="s">
        <v>172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170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173</v>
      </c>
      <c r="B72" s="63" t="s">
        <v>174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141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136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customHeight="1" x14ac:dyDescent="0.25">
      <c r="A77" s="63" t="s">
        <v>178</v>
      </c>
      <c r="B77" s="63" t="s">
        <v>179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181</v>
      </c>
      <c r="B78" s="63" t="s">
        <v>182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20" t="s">
        <v>184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customHeight="1" x14ac:dyDescent="0.25">
      <c r="A82" s="63" t="s">
        <v>185</v>
      </c>
      <c r="B82" s="63" t="s">
        <v>186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137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50</v>
      </c>
      <c r="Y82" s="55">
        <f>IFERROR(IF(X82="",0,CEILING((X82/$H82),1)*$H82),"")</f>
        <v>54.6</v>
      </c>
      <c r="Z82" s="41">
        <f>IFERROR(IF(Y82=0,"",ROUNDUP(Y82/H82,0)*0.01898),"")</f>
        <v>0.13286000000000001</v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52.628205128205138</v>
      </c>
      <c r="BN82" s="78">
        <f>IFERROR(Y82*I82/H82,"0")</f>
        <v>57.470000000000013</v>
      </c>
      <c r="BO82" s="78">
        <f>IFERROR(1/J82*(X82/H82),"0")</f>
        <v>0.10016025641025642</v>
      </c>
      <c r="BP82" s="78">
        <f>IFERROR(1/J82*(Y82/H82),"0")</f>
        <v>0.109375</v>
      </c>
    </row>
    <row r="83" spans="1:68" ht="27" customHeight="1" x14ac:dyDescent="0.25">
      <c r="A83" s="63" t="s">
        <v>188</v>
      </c>
      <c r="B83" s="63" t="s">
        <v>189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144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190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6.4102564102564106</v>
      </c>
      <c r="Y84" s="43">
        <f>IFERROR(Y82/H82,"0")+IFERROR(Y83/H83,"0")</f>
        <v>7</v>
      </c>
      <c r="Z84" s="43">
        <f>IFERROR(IF(Z82="",0,Z82),"0")+IFERROR(IF(Z83="",0,Z83),"0")</f>
        <v>0.13286000000000001</v>
      </c>
      <c r="AA84" s="67"/>
      <c r="AB84" s="67"/>
      <c r="AC84" s="67"/>
    </row>
    <row r="85" spans="1:68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50</v>
      </c>
      <c r="Y85" s="43">
        <f>IFERROR(SUM(Y82:Y83),"0")</f>
        <v>54.6</v>
      </c>
      <c r="Z85" s="42"/>
      <c r="AA85" s="67"/>
      <c r="AB85" s="67"/>
      <c r="AC85" s="67"/>
    </row>
    <row r="86" spans="1:68" ht="16.5" customHeight="1" x14ac:dyDescent="0.25">
      <c r="A86" s="636" t="s">
        <v>191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customHeight="1" x14ac:dyDescent="0.25">
      <c r="A87" s="620" t="s">
        <v>132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customHeight="1" x14ac:dyDescent="0.25">
      <c r="A88" s="63" t="s">
        <v>192</v>
      </c>
      <c r="B88" s="63" t="s">
        <v>193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137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200</v>
      </c>
      <c r="Y88" s="55">
        <f>IFERROR(IF(X88="",0,CEILING((X88/$H88),1)*$H88),"")</f>
        <v>205.20000000000002</v>
      </c>
      <c r="Z88" s="41">
        <f>IFERROR(IF(Y88=0,"",ROUNDUP(Y88/H88,0)*0.01898),"")</f>
        <v>0.36062</v>
      </c>
      <c r="AA88" s="68" t="s">
        <v>46</v>
      </c>
      <c r="AB88" s="69" t="s">
        <v>46</v>
      </c>
      <c r="AC88" s="152" t="s">
        <v>194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207.59259259259258</v>
      </c>
      <c r="BN88" s="78">
        <f>IFERROR(Y88*I88/H88,"0")</f>
        <v>212.99</v>
      </c>
      <c r="BO88" s="78">
        <f>IFERROR(1/J88*(X88/H88),"0")</f>
        <v>0.28935185185185186</v>
      </c>
      <c r="BP88" s="78">
        <f>IFERROR(1/J88*(Y88/H88),"0")</f>
        <v>0.296875</v>
      </c>
    </row>
    <row r="89" spans="1:68" ht="27" customHeight="1" x14ac:dyDescent="0.25">
      <c r="A89" s="63" t="s">
        <v>195</v>
      </c>
      <c r="B89" s="63" t="s">
        <v>196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141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197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198</v>
      </c>
      <c r="B90" s="63" t="s">
        <v>199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144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200</v>
      </c>
      <c r="B91" s="63" t="s">
        <v>201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144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18.518518518518519</v>
      </c>
      <c r="Y92" s="43">
        <f>IFERROR(Y88/H88,"0")+IFERROR(Y89/H89,"0")+IFERROR(Y90/H90,"0")+IFERROR(Y91/H91,"0")</f>
        <v>19</v>
      </c>
      <c r="Z92" s="43">
        <f>IFERROR(IF(Z88="",0,Z88),"0")+IFERROR(IF(Z89="",0,Z89),"0")+IFERROR(IF(Z90="",0,Z90),"0")+IFERROR(IF(Z91="",0,Z91),"0")</f>
        <v>0.36062</v>
      </c>
      <c r="AA92" s="67"/>
      <c r="AB92" s="67"/>
      <c r="AC92" s="67"/>
    </row>
    <row r="93" spans="1:68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200</v>
      </c>
      <c r="Y93" s="43">
        <f>IFERROR(SUM(Y88:Y91),"0")</f>
        <v>205.20000000000002</v>
      </c>
      <c r="Z93" s="42"/>
      <c r="AA93" s="67"/>
      <c r="AB93" s="67"/>
      <c r="AC93" s="67"/>
    </row>
    <row r="94" spans="1:68" ht="14.25" customHeight="1" x14ac:dyDescent="0.25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customHeight="1" x14ac:dyDescent="0.25">
      <c r="A95" s="63" t="s">
        <v>202</v>
      </c>
      <c r="B95" s="63" t="s">
        <v>203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137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70</v>
      </c>
      <c r="Y95" s="55">
        <f>IFERROR(IF(X95="",0,CEILING((X95/$H95),1)*$H95),"")</f>
        <v>72.899999999999991</v>
      </c>
      <c r="Z95" s="41">
        <f>IFERROR(IF(Y95=0,"",ROUNDUP(Y95/H95,0)*0.01898),"")</f>
        <v>0.17082</v>
      </c>
      <c r="AA95" s="68" t="s">
        <v>46</v>
      </c>
      <c r="AB95" s="69" t="s">
        <v>46</v>
      </c>
      <c r="AC95" s="160" t="s">
        <v>204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74.269135802469137</v>
      </c>
      <c r="BN95" s="78">
        <f>IFERROR(Y95*I95/H95,"0")</f>
        <v>77.345999999999989</v>
      </c>
      <c r="BO95" s="78">
        <f>IFERROR(1/J95*(X95/H95),"0")</f>
        <v>0.13503086419753088</v>
      </c>
      <c r="BP95" s="78">
        <f>IFERROR(1/J95*(Y95/H95),"0")</f>
        <v>0.140625</v>
      </c>
    </row>
    <row r="96" spans="1:68" ht="27" customHeight="1" x14ac:dyDescent="0.25">
      <c r="A96" s="63" t="s">
        <v>205</v>
      </c>
      <c r="B96" s="63" t="s">
        <v>206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204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207</v>
      </c>
      <c r="B97" s="63" t="s">
        <v>208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204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209</v>
      </c>
      <c r="B98" s="63" t="s">
        <v>210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8.6419753086419764</v>
      </c>
      <c r="Y99" s="43">
        <f>IFERROR(Y95/H95,"0")+IFERROR(Y96/H96,"0")+IFERROR(Y97/H97,"0")+IFERROR(Y98/H98,"0")</f>
        <v>9</v>
      </c>
      <c r="Z99" s="43">
        <f>IFERROR(IF(Z95="",0,Z95),"0")+IFERROR(IF(Z96="",0,Z96),"0")+IFERROR(IF(Z97="",0,Z97),"0")+IFERROR(IF(Z98="",0,Z98),"0")</f>
        <v>0.17082</v>
      </c>
      <c r="AA99" s="67"/>
      <c r="AB99" s="67"/>
      <c r="AC99" s="67"/>
    </row>
    <row r="100" spans="1:68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70</v>
      </c>
      <c r="Y100" s="43">
        <f>IFERROR(SUM(Y95:Y98),"0")</f>
        <v>72.899999999999991</v>
      </c>
      <c r="Z100" s="42"/>
      <c r="AA100" s="67"/>
      <c r="AB100" s="67"/>
      <c r="AC100" s="67"/>
    </row>
    <row r="101" spans="1:68" ht="16.5" customHeight="1" x14ac:dyDescent="0.25">
      <c r="A101" s="636" t="s">
        <v>212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customHeight="1" x14ac:dyDescent="0.25">
      <c r="A102" s="620" t="s">
        <v>132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customHeight="1" x14ac:dyDescent="0.25">
      <c r="A103" s="63" t="s">
        <v>213</v>
      </c>
      <c r="B103" s="63" t="s">
        <v>214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137</v>
      </c>
      <c r="L103" s="37" t="s">
        <v>46</v>
      </c>
      <c r="M103" s="38" t="s">
        <v>136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300</v>
      </c>
      <c r="Y103" s="55">
        <f t="shared" ref="Y103:Y109" si="11">IFERROR(IF(X103="",0,CEILING((X103/$H103),1)*$H103),"")</f>
        <v>302.40000000000003</v>
      </c>
      <c r="Z103" s="41">
        <f>IFERROR(IF(Y103=0,"",ROUNDUP(Y103/H103,0)*0.01898),"")</f>
        <v>0.53144000000000002</v>
      </c>
      <c r="AA103" s="68" t="s">
        <v>46</v>
      </c>
      <c r="AB103" s="69" t="s">
        <v>46</v>
      </c>
      <c r="AC103" s="168" t="s">
        <v>215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9" si="12">IFERROR(X103*I103/H103,"0")</f>
        <v>311.38888888888891</v>
      </c>
      <c r="BN103" s="78">
        <f t="shared" ref="BN103:BN109" si="13">IFERROR(Y103*I103/H103,"0")</f>
        <v>313.88</v>
      </c>
      <c r="BO103" s="78">
        <f t="shared" ref="BO103:BO109" si="14">IFERROR(1/J103*(X103/H103),"0")</f>
        <v>0.43402777777777773</v>
      </c>
      <c r="BP103" s="78">
        <f t="shared" ref="BP103:BP109" si="15">IFERROR(1/J103*(Y103/H103),"0")</f>
        <v>0.4375</v>
      </c>
    </row>
    <row r="104" spans="1:68" ht="27" customHeight="1" x14ac:dyDescent="0.25">
      <c r="A104" s="63" t="s">
        <v>216</v>
      </c>
      <c r="B104" s="63" t="s">
        <v>217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141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218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customHeight="1" x14ac:dyDescent="0.25">
      <c r="A105" s="63" t="s">
        <v>216</v>
      </c>
      <c r="B105" s="63" t="s">
        <v>219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141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218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27" customHeight="1" x14ac:dyDescent="0.25">
      <c r="A106" s="63" t="s">
        <v>220</v>
      </c>
      <c r="B106" s="63" t="s">
        <v>221</v>
      </c>
      <c r="C106" s="36">
        <v>4301012226</v>
      </c>
      <c r="D106" s="621">
        <v>4680115887749</v>
      </c>
      <c r="E106" s="621"/>
      <c r="F106" s="62">
        <v>0.17</v>
      </c>
      <c r="G106" s="37">
        <v>10</v>
      </c>
      <c r="H106" s="62">
        <v>1.7</v>
      </c>
      <c r="I106" s="62">
        <v>1.91</v>
      </c>
      <c r="J106" s="37">
        <v>192</v>
      </c>
      <c r="K106" s="37" t="s">
        <v>141</v>
      </c>
      <c r="L106" s="37" t="s">
        <v>46</v>
      </c>
      <c r="M106" s="38" t="s">
        <v>81</v>
      </c>
      <c r="N106" s="38"/>
      <c r="O106" s="37">
        <v>30</v>
      </c>
      <c r="P106" s="858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customHeight="1" x14ac:dyDescent="0.25">
      <c r="A107" s="63" t="s">
        <v>222</v>
      </c>
      <c r="B107" s="63" t="s">
        <v>223</v>
      </c>
      <c r="C107" s="36">
        <v>4301011417</v>
      </c>
      <c r="D107" s="621">
        <v>4680115880269</v>
      </c>
      <c r="E107" s="621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144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customHeight="1" x14ac:dyDescent="0.25">
      <c r="A108" s="63" t="s">
        <v>224</v>
      </c>
      <c r="B108" s="63" t="s">
        <v>225</v>
      </c>
      <c r="C108" s="36">
        <v>4301011415</v>
      </c>
      <c r="D108" s="621">
        <v>4680115880429</v>
      </c>
      <c r="E108" s="621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144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t="37.5" customHeight="1" x14ac:dyDescent="0.25">
      <c r="A109" s="63" t="s">
        <v>226</v>
      </c>
      <c r="B109" s="63" t="s">
        <v>227</v>
      </c>
      <c r="C109" s="36">
        <v>4301011462</v>
      </c>
      <c r="D109" s="621">
        <v>4680115881457</v>
      </c>
      <c r="E109" s="621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144</v>
      </c>
      <c r="L109" s="37" t="s">
        <v>46</v>
      </c>
      <c r="M109" s="38" t="s">
        <v>90</v>
      </c>
      <c r="N109" s="38"/>
      <c r="O109" s="37">
        <v>50</v>
      </c>
      <c r="P109" s="85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23"/>
      <c r="R109" s="623"/>
      <c r="S109" s="623"/>
      <c r="T109" s="624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215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39</v>
      </c>
      <c r="X110" s="43">
        <f>IFERROR(X103/H103,"0")+IFERROR(X104/H104,"0")+IFERROR(X105/H105,"0")+IFERROR(X106/H106,"0")+IFERROR(X107/H107,"0")+IFERROR(X108/H108,"0")+IFERROR(X109/H109,"0")</f>
        <v>27.777777777777775</v>
      </c>
      <c r="Y110" s="43">
        <f>IFERROR(Y103/H103,"0")+IFERROR(Y104/H104,"0")+IFERROR(Y105/H105,"0")+IFERROR(Y106/H106,"0")+IFERROR(Y107/H107,"0")+IFERROR(Y108/H108,"0")+IFERROR(Y109/H109,"0")</f>
        <v>28</v>
      </c>
      <c r="Z110" s="43">
        <f>IFERROR(IF(Z103="",0,Z103),"0")+IFERROR(IF(Z104="",0,Z104),"0")+IFERROR(IF(Z105="",0,Z105),"0")+IFERROR(IF(Z106="",0,Z106),"0")+IFERROR(IF(Z107="",0,Z107),"0")+IFERROR(IF(Z108="",0,Z108),"0")+IFERROR(IF(Z109="",0,Z109),"0")</f>
        <v>0.53144000000000002</v>
      </c>
      <c r="AA110" s="67"/>
      <c r="AB110" s="67"/>
      <c r="AC110" s="67"/>
    </row>
    <row r="111" spans="1:68" x14ac:dyDescent="0.2">
      <c r="A111" s="628"/>
      <c r="B111" s="628"/>
      <c r="C111" s="628"/>
      <c r="D111" s="628"/>
      <c r="E111" s="628"/>
      <c r="F111" s="628"/>
      <c r="G111" s="628"/>
      <c r="H111" s="628"/>
      <c r="I111" s="628"/>
      <c r="J111" s="628"/>
      <c r="K111" s="628"/>
      <c r="L111" s="628"/>
      <c r="M111" s="628"/>
      <c r="N111" s="628"/>
      <c r="O111" s="629"/>
      <c r="P111" s="625" t="s">
        <v>40</v>
      </c>
      <c r="Q111" s="626"/>
      <c r="R111" s="626"/>
      <c r="S111" s="626"/>
      <c r="T111" s="626"/>
      <c r="U111" s="626"/>
      <c r="V111" s="627"/>
      <c r="W111" s="42" t="s">
        <v>0</v>
      </c>
      <c r="X111" s="43">
        <f>IFERROR(SUM(X103:X109),"0")</f>
        <v>300</v>
      </c>
      <c r="Y111" s="43">
        <f>IFERROR(SUM(Y103:Y109),"0")</f>
        <v>302.40000000000003</v>
      </c>
      <c r="Z111" s="42"/>
      <c r="AA111" s="67"/>
      <c r="AB111" s="67"/>
      <c r="AC111" s="67"/>
    </row>
    <row r="112" spans="1:68" ht="14.25" customHeight="1" x14ac:dyDescent="0.25">
      <c r="A112" s="620" t="s">
        <v>167</v>
      </c>
      <c r="B112" s="620"/>
      <c r="C112" s="620"/>
      <c r="D112" s="620"/>
      <c r="E112" s="620"/>
      <c r="F112" s="620"/>
      <c r="G112" s="620"/>
      <c r="H112" s="620"/>
      <c r="I112" s="620"/>
      <c r="J112" s="620"/>
      <c r="K112" s="620"/>
      <c r="L112" s="620"/>
      <c r="M112" s="620"/>
      <c r="N112" s="620"/>
      <c r="O112" s="620"/>
      <c r="P112" s="620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6"/>
      <c r="AB112" s="66"/>
      <c r="AC112" s="80"/>
    </row>
    <row r="113" spans="1:68" ht="16.5" customHeight="1" x14ac:dyDescent="0.25">
      <c r="A113" s="63" t="s">
        <v>228</v>
      </c>
      <c r="B113" s="63" t="s">
        <v>229</v>
      </c>
      <c r="C113" s="36">
        <v>4301020345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137</v>
      </c>
      <c r="L113" s="37" t="s">
        <v>46</v>
      </c>
      <c r="M113" s="38" t="s">
        <v>136</v>
      </c>
      <c r="N113" s="38"/>
      <c r="O113" s="37">
        <v>55</v>
      </c>
      <c r="P113" s="84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ref="Y113:Y119" si="16">IFERROR(IF(X113="",0,CEILING((X113/$H113),1)*$H113),"")</f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230</v>
      </c>
      <c r="AG113" s="78"/>
      <c r="AJ113" s="84" t="s">
        <v>46</v>
      </c>
      <c r="AK113" s="84">
        <v>0</v>
      </c>
      <c r="BB113" s="183" t="s">
        <v>67</v>
      </c>
      <c r="BM113" s="78">
        <f t="shared" ref="BM113:BM119" si="17">IFERROR(X113*I113/H113,"0")</f>
        <v>0</v>
      </c>
      <c r="BN113" s="78">
        <f t="shared" ref="BN113:BN119" si="18">IFERROR(Y113*I113/H113,"0")</f>
        <v>0</v>
      </c>
      <c r="BO113" s="78">
        <f t="shared" ref="BO113:BO119" si="19">IFERROR(1/J113*(X113/H113),"0")</f>
        <v>0</v>
      </c>
      <c r="BP113" s="78">
        <f t="shared" ref="BP113:BP119" si="20">IFERROR(1/J113*(Y113/H113),"0")</f>
        <v>0</v>
      </c>
    </row>
    <row r="114" spans="1:68" ht="27" customHeight="1" x14ac:dyDescent="0.25">
      <c r="A114" s="63" t="s">
        <v>228</v>
      </c>
      <c r="B114" s="63" t="s">
        <v>231</v>
      </c>
      <c r="C114" s="36">
        <v>4301020391</v>
      </c>
      <c r="D114" s="621">
        <v>4680115881488</v>
      </c>
      <c r="E114" s="621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137</v>
      </c>
      <c r="L114" s="37" t="s">
        <v>46</v>
      </c>
      <c r="M114" s="38" t="s">
        <v>136</v>
      </c>
      <c r="N114" s="38"/>
      <c r="O114" s="37">
        <v>55</v>
      </c>
      <c r="P114" s="84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customHeight="1" x14ac:dyDescent="0.25">
      <c r="A115" s="63" t="s">
        <v>233</v>
      </c>
      <c r="B115" s="63" t="s">
        <v>234</v>
      </c>
      <c r="C115" s="36">
        <v>4301020186</v>
      </c>
      <c r="D115" s="621">
        <v>4680115887664</v>
      </c>
      <c r="E115" s="621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236</v>
      </c>
      <c r="L115" s="37" t="s">
        <v>46</v>
      </c>
      <c r="M115" s="38" t="s">
        <v>81</v>
      </c>
      <c r="N115" s="38"/>
      <c r="O115" s="37">
        <v>30</v>
      </c>
      <c r="P115" s="8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235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customHeight="1" x14ac:dyDescent="0.25">
      <c r="A116" s="63" t="s">
        <v>233</v>
      </c>
      <c r="B116" s="63" t="s">
        <v>237</v>
      </c>
      <c r="C116" s="36">
        <v>4301020430</v>
      </c>
      <c r="D116" s="621">
        <v>4680115887664</v>
      </c>
      <c r="E116" s="621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8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27" customHeight="1" x14ac:dyDescent="0.25">
      <c r="A117" s="63" t="s">
        <v>238</v>
      </c>
      <c r="B117" s="63" t="s">
        <v>239</v>
      </c>
      <c r="C117" s="36">
        <v>4301020393</v>
      </c>
      <c r="D117" s="621">
        <v>4680115882775</v>
      </c>
      <c r="E117" s="621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136</v>
      </c>
      <c r="N117" s="38"/>
      <c r="O117" s="37">
        <v>55</v>
      </c>
      <c r="P117" s="84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16.5" customHeight="1" x14ac:dyDescent="0.25">
      <c r="A118" s="63" t="s">
        <v>240</v>
      </c>
      <c r="B118" s="63" t="s">
        <v>241</v>
      </c>
      <c r="C118" s="36">
        <v>4301020344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136</v>
      </c>
      <c r="N118" s="38"/>
      <c r="O118" s="37">
        <v>55</v>
      </c>
      <c r="P118" s="8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ht="27" customHeight="1" x14ac:dyDescent="0.25">
      <c r="A119" s="63" t="s">
        <v>240</v>
      </c>
      <c r="B119" s="63" t="s">
        <v>242</v>
      </c>
      <c r="C119" s="36">
        <v>4301020392</v>
      </c>
      <c r="D119" s="621">
        <v>4680115880658</v>
      </c>
      <c r="E119" s="621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136</v>
      </c>
      <c r="N119" s="38"/>
      <c r="O119" s="37">
        <v>55</v>
      </c>
      <c r="P119" s="8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23"/>
      <c r="R119" s="623"/>
      <c r="S119" s="623"/>
      <c r="T119" s="624"/>
      <c r="U119" s="39" t="s">
        <v>46</v>
      </c>
      <c r="V119" s="39" t="s">
        <v>46</v>
      </c>
      <c r="W119" s="40" t="s">
        <v>0</v>
      </c>
      <c r="X119" s="58">
        <v>0</v>
      </c>
      <c r="Y119" s="55">
        <f t="shared" si="16"/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 t="shared" si="17"/>
        <v>0</v>
      </c>
      <c r="BN119" s="78">
        <f t="shared" si="18"/>
        <v>0</v>
      </c>
      <c r="BO119" s="78">
        <f t="shared" si="19"/>
        <v>0</v>
      </c>
      <c r="BP119" s="78">
        <f t="shared" si="20"/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IFERROR(X113/H113,"0")+IFERROR(X114/H114,"0")+IFERROR(X115/H115,"0")+IFERROR(X116/H116,"0")+IFERROR(X117/H117,"0")+IFERROR(X118/H118,"0")+IFERROR(X119/H119,"0")</f>
        <v>0</v>
      </c>
      <c r="Y120" s="43">
        <f>IFERROR(Y113/H113,"0")+IFERROR(Y114/H114,"0")+IFERROR(Y115/H115,"0")+IFERROR(Y116/H116,"0")+IFERROR(Y117/H117,"0")+IFERROR(Y118/H118,"0")+IFERROR(Y119/H119,"0")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IFERROR(SUM(X113:X119),"0")</f>
        <v>0</v>
      </c>
      <c r="Y121" s="43">
        <f>IFERROR(SUM(Y113:Y119),"0")</f>
        <v>0</v>
      </c>
      <c r="Z121" s="42"/>
      <c r="AA121" s="67"/>
      <c r="AB121" s="67"/>
      <c r="AC121" s="67"/>
    </row>
    <row r="122" spans="1:68" ht="14.25" customHeight="1" x14ac:dyDescent="0.25">
      <c r="A122" s="620" t="s">
        <v>86</v>
      </c>
      <c r="B122" s="620"/>
      <c r="C122" s="620"/>
      <c r="D122" s="620"/>
      <c r="E122" s="620"/>
      <c r="F122" s="620"/>
      <c r="G122" s="620"/>
      <c r="H122" s="620"/>
      <c r="I122" s="620"/>
      <c r="J122" s="620"/>
      <c r="K122" s="620"/>
      <c r="L122" s="620"/>
      <c r="M122" s="620"/>
      <c r="N122" s="620"/>
      <c r="O122" s="620"/>
      <c r="P122" s="620"/>
      <c r="Q122" s="620"/>
      <c r="R122" s="620"/>
      <c r="S122" s="620"/>
      <c r="T122" s="620"/>
      <c r="U122" s="620"/>
      <c r="V122" s="620"/>
      <c r="W122" s="620"/>
      <c r="X122" s="620"/>
      <c r="Y122" s="620"/>
      <c r="Z122" s="620"/>
      <c r="AA122" s="66"/>
      <c r="AB122" s="66"/>
      <c r="AC122" s="80"/>
    </row>
    <row r="123" spans="1:68" ht="27" customHeight="1" x14ac:dyDescent="0.25">
      <c r="A123" s="63" t="s">
        <v>243</v>
      </c>
      <c r="B123" s="63" t="s">
        <v>244</v>
      </c>
      <c r="C123" s="36">
        <v>4301051724</v>
      </c>
      <c r="D123" s="621">
        <v>4607091385168</v>
      </c>
      <c r="E123" s="621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137</v>
      </c>
      <c r="L123" s="37" t="s">
        <v>46</v>
      </c>
      <c r="M123" s="38" t="s">
        <v>97</v>
      </c>
      <c r="N123" s="38"/>
      <c r="O123" s="37">
        <v>45</v>
      </c>
      <c r="P123" s="84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650</v>
      </c>
      <c r="Y123" s="55">
        <f>IFERROR(IF(X123="",0,CEILING((X123/$H123),1)*$H123),"")</f>
        <v>656.1</v>
      </c>
      <c r="Z123" s="41">
        <f>IFERROR(IF(Y123=0,"",ROUNDUP(Y123/H123,0)*0.01898),"")</f>
        <v>1.53738</v>
      </c>
      <c r="AA123" s="68" t="s">
        <v>46</v>
      </c>
      <c r="AB123" s="69" t="s">
        <v>46</v>
      </c>
      <c r="AC123" s="196" t="s">
        <v>245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689.16049382716051</v>
      </c>
      <c r="BN123" s="78">
        <f>IFERROR(Y123*I123/H123,"0")</f>
        <v>695.62800000000004</v>
      </c>
      <c r="BO123" s="78">
        <f>IFERROR(1/J123*(X123/H123),"0")</f>
        <v>1.253858024691358</v>
      </c>
      <c r="BP123" s="78">
        <f>IFERROR(1/J123*(Y123/H123),"0")</f>
        <v>1.265625</v>
      </c>
    </row>
    <row r="124" spans="1:68" ht="27" customHeight="1" x14ac:dyDescent="0.25">
      <c r="A124" s="63" t="s">
        <v>246</v>
      </c>
      <c r="B124" s="63" t="s">
        <v>247</v>
      </c>
      <c r="C124" s="36">
        <v>4301051730</v>
      </c>
      <c r="D124" s="621">
        <v>4607091383256</v>
      </c>
      <c r="E124" s="621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245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248</v>
      </c>
      <c r="B125" s="63" t="s">
        <v>249</v>
      </c>
      <c r="C125" s="36">
        <v>4301051721</v>
      </c>
      <c r="D125" s="621">
        <v>4607091385748</v>
      </c>
      <c r="E125" s="621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162</v>
      </c>
      <c r="Y125" s="55">
        <f>IFERROR(IF(X125="",0,CEILING((X125/$H125),1)*$H125),"")</f>
        <v>162</v>
      </c>
      <c r="Z125" s="41">
        <f>IFERROR(IF(Y125=0,"",ROUNDUP(Y125/H125,0)*0.00651),"")</f>
        <v>0.3906</v>
      </c>
      <c r="AA125" s="68" t="s">
        <v>46</v>
      </c>
      <c r="AB125" s="69" t="s">
        <v>46</v>
      </c>
      <c r="AC125" s="200" t="s">
        <v>245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177.11999999999998</v>
      </c>
      <c r="BN125" s="78">
        <f>IFERROR(Y125*I125/H125,"0")</f>
        <v>177.11999999999998</v>
      </c>
      <c r="BO125" s="78">
        <f>IFERROR(1/J125*(X125/H125),"0")</f>
        <v>0.32967032967032966</v>
      </c>
      <c r="BP125" s="78">
        <f>IFERROR(1/J125*(Y125/H125),"0")</f>
        <v>0.32967032967032966</v>
      </c>
    </row>
    <row r="126" spans="1:68" ht="16.5" customHeight="1" x14ac:dyDescent="0.25">
      <c r="A126" s="63" t="s">
        <v>250</v>
      </c>
      <c r="B126" s="63" t="s">
        <v>251</v>
      </c>
      <c r="C126" s="36">
        <v>4301051740</v>
      </c>
      <c r="D126" s="621">
        <v>4680115884533</v>
      </c>
      <c r="E126" s="621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4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23"/>
      <c r="R126" s="623"/>
      <c r="S126" s="623"/>
      <c r="T126" s="62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252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39</v>
      </c>
      <c r="X127" s="43">
        <f>IFERROR(X123/H123,"0")+IFERROR(X124/H124,"0")+IFERROR(X125/H125,"0")+IFERROR(X126/H126,"0")</f>
        <v>140.24691358024691</v>
      </c>
      <c r="Y127" s="43">
        <f>IFERROR(Y123/H123,"0")+IFERROR(Y124/H124,"0")+IFERROR(Y125/H125,"0")+IFERROR(Y126/H126,"0")</f>
        <v>141</v>
      </c>
      <c r="Z127" s="43">
        <f>IFERROR(IF(Z123="",0,Z123),"0")+IFERROR(IF(Z124="",0,Z124),"0")+IFERROR(IF(Z125="",0,Z125),"0")+IFERROR(IF(Z126="",0,Z126),"0")</f>
        <v>1.92798</v>
      </c>
      <c r="AA127" s="67"/>
      <c r="AB127" s="67"/>
      <c r="AC127" s="67"/>
    </row>
    <row r="128" spans="1:68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2" t="s">
        <v>0</v>
      </c>
      <c r="X128" s="43">
        <f>IFERROR(SUM(X123:X126),"0")</f>
        <v>812</v>
      </c>
      <c r="Y128" s="43">
        <f>IFERROR(SUM(Y123:Y126),"0")</f>
        <v>818.1</v>
      </c>
      <c r="Z128" s="42"/>
      <c r="AA128" s="67"/>
      <c r="AB128" s="67"/>
      <c r="AC128" s="67"/>
    </row>
    <row r="129" spans="1:68" ht="14.25" customHeight="1" x14ac:dyDescent="0.25">
      <c r="A129" s="620" t="s">
        <v>184</v>
      </c>
      <c r="B129" s="620"/>
      <c r="C129" s="620"/>
      <c r="D129" s="620"/>
      <c r="E129" s="620"/>
      <c r="F129" s="620"/>
      <c r="G129" s="620"/>
      <c r="H129" s="620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  <c r="T129" s="620"/>
      <c r="U129" s="620"/>
      <c r="V129" s="620"/>
      <c r="W129" s="620"/>
      <c r="X129" s="620"/>
      <c r="Y129" s="620"/>
      <c r="Z129" s="620"/>
      <c r="AA129" s="66"/>
      <c r="AB129" s="66"/>
      <c r="AC129" s="80"/>
    </row>
    <row r="130" spans="1:68" ht="16.5" customHeight="1" x14ac:dyDescent="0.25">
      <c r="A130" s="63" t="s">
        <v>253</v>
      </c>
      <c r="B130" s="63" t="s">
        <v>254</v>
      </c>
      <c r="C130" s="36">
        <v>4301060317</v>
      </c>
      <c r="D130" s="621">
        <v>4680115880238</v>
      </c>
      <c r="E130" s="621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40</v>
      </c>
      <c r="P130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23"/>
      <c r="R130" s="623"/>
      <c r="S130" s="623"/>
      <c r="T130" s="62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255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customHeight="1" x14ac:dyDescent="0.25">
      <c r="A133" s="636" t="s">
        <v>256</v>
      </c>
      <c r="B133" s="636"/>
      <c r="C133" s="636"/>
      <c r="D133" s="636"/>
      <c r="E133" s="636"/>
      <c r="F133" s="636"/>
      <c r="G133" s="636"/>
      <c r="H133" s="636"/>
      <c r="I133" s="636"/>
      <c r="J133" s="636"/>
      <c r="K133" s="636"/>
      <c r="L133" s="636"/>
      <c r="M133" s="636"/>
      <c r="N133" s="636"/>
      <c r="O133" s="636"/>
      <c r="P133" s="636"/>
      <c r="Q133" s="636"/>
      <c r="R133" s="636"/>
      <c r="S133" s="636"/>
      <c r="T133" s="636"/>
      <c r="U133" s="636"/>
      <c r="V133" s="636"/>
      <c r="W133" s="636"/>
      <c r="X133" s="636"/>
      <c r="Y133" s="636"/>
      <c r="Z133" s="636"/>
      <c r="AA133" s="65"/>
      <c r="AB133" s="65"/>
      <c r="AC133" s="79"/>
    </row>
    <row r="134" spans="1:68" ht="14.25" customHeight="1" x14ac:dyDescent="0.25">
      <c r="A134" s="620" t="s">
        <v>132</v>
      </c>
      <c r="B134" s="620"/>
      <c r="C134" s="620"/>
      <c r="D134" s="620"/>
      <c r="E134" s="620"/>
      <c r="F134" s="620"/>
      <c r="G134" s="620"/>
      <c r="H134" s="620"/>
      <c r="I134" s="620"/>
      <c r="J134" s="620"/>
      <c r="K134" s="620"/>
      <c r="L134" s="620"/>
      <c r="M134" s="620"/>
      <c r="N134" s="620"/>
      <c r="O134" s="620"/>
      <c r="P134" s="620"/>
      <c r="Q134" s="620"/>
      <c r="R134" s="620"/>
      <c r="S134" s="620"/>
      <c r="T134" s="620"/>
      <c r="U134" s="620"/>
      <c r="V134" s="620"/>
      <c r="W134" s="620"/>
      <c r="X134" s="620"/>
      <c r="Y134" s="620"/>
      <c r="Z134" s="620"/>
      <c r="AA134" s="66"/>
      <c r="AB134" s="66"/>
      <c r="AC134" s="80"/>
    </row>
    <row r="135" spans="1:68" ht="27" customHeight="1" x14ac:dyDescent="0.25">
      <c r="A135" s="63" t="s">
        <v>257</v>
      </c>
      <c r="B135" s="63" t="s">
        <v>258</v>
      </c>
      <c r="C135" s="36">
        <v>4301011562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257</v>
      </c>
      <c r="B136" s="63" t="s">
        <v>260</v>
      </c>
      <c r="C136" s="36">
        <v>4301011564</v>
      </c>
      <c r="D136" s="621">
        <v>4680115882577</v>
      </c>
      <c r="E136" s="621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91</v>
      </c>
      <c r="L136" s="37" t="s">
        <v>46</v>
      </c>
      <c r="M136" s="38" t="s">
        <v>112</v>
      </c>
      <c r="N136" s="38"/>
      <c r="O136" s="37">
        <v>90</v>
      </c>
      <c r="P136" s="83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23"/>
      <c r="R136" s="623"/>
      <c r="S136" s="623"/>
      <c r="T136" s="62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620" t="s">
        <v>77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customHeight="1" x14ac:dyDescent="0.25">
      <c r="A140" s="63" t="s">
        <v>261</v>
      </c>
      <c r="B140" s="63" t="s">
        <v>262</v>
      </c>
      <c r="C140" s="36">
        <v>4301031234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261</v>
      </c>
      <c r="B141" s="63" t="s">
        <v>264</v>
      </c>
      <c r="C141" s="36">
        <v>4301031235</v>
      </c>
      <c r="D141" s="621">
        <v>4680115883444</v>
      </c>
      <c r="E141" s="62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112</v>
      </c>
      <c r="N141" s="38"/>
      <c r="O141" s="37">
        <v>90</v>
      </c>
      <c r="P141" s="83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23"/>
      <c r="R141" s="623"/>
      <c r="S141" s="623"/>
      <c r="T141" s="62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20" t="s">
        <v>86</v>
      </c>
      <c r="B144" s="620"/>
      <c r="C144" s="620"/>
      <c r="D144" s="620"/>
      <c r="E144" s="620"/>
      <c r="F144" s="620"/>
      <c r="G144" s="620"/>
      <c r="H144" s="620"/>
      <c r="I144" s="620"/>
      <c r="J144" s="620"/>
      <c r="K144" s="620"/>
      <c r="L144" s="620"/>
      <c r="M144" s="620"/>
      <c r="N144" s="620"/>
      <c r="O144" s="620"/>
      <c r="P144" s="620"/>
      <c r="Q144" s="620"/>
      <c r="R144" s="620"/>
      <c r="S144" s="620"/>
      <c r="T144" s="620"/>
      <c r="U144" s="620"/>
      <c r="V144" s="620"/>
      <c r="W144" s="620"/>
      <c r="X144" s="620"/>
      <c r="Y144" s="620"/>
      <c r="Z144" s="620"/>
      <c r="AA144" s="66"/>
      <c r="AB144" s="66"/>
      <c r="AC144" s="80"/>
    </row>
    <row r="145" spans="1:68" ht="16.5" customHeight="1" x14ac:dyDescent="0.25">
      <c r="A145" s="63" t="s">
        <v>265</v>
      </c>
      <c r="B145" s="63" t="s">
        <v>266</v>
      </c>
      <c r="C145" s="36">
        <v>4301051476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83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259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265</v>
      </c>
      <c r="B146" s="63" t="s">
        <v>267</v>
      </c>
      <c r="C146" s="36">
        <v>4301051477</v>
      </c>
      <c r="D146" s="621">
        <v>4680115882584</v>
      </c>
      <c r="E146" s="621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91</v>
      </c>
      <c r="L146" s="37" t="s">
        <v>46</v>
      </c>
      <c r="M146" s="38" t="s">
        <v>112</v>
      </c>
      <c r="N146" s="38"/>
      <c r="O146" s="37">
        <v>60</v>
      </c>
      <c r="P146" s="83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23"/>
      <c r="R146" s="623"/>
      <c r="S146" s="623"/>
      <c r="T146" s="62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259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628"/>
      <c r="B148" s="628"/>
      <c r="C148" s="628"/>
      <c r="D148" s="628"/>
      <c r="E148" s="628"/>
      <c r="F148" s="628"/>
      <c r="G148" s="628"/>
      <c r="H148" s="628"/>
      <c r="I148" s="628"/>
      <c r="J148" s="628"/>
      <c r="K148" s="628"/>
      <c r="L148" s="628"/>
      <c r="M148" s="628"/>
      <c r="N148" s="628"/>
      <c r="O148" s="629"/>
      <c r="P148" s="625" t="s">
        <v>40</v>
      </c>
      <c r="Q148" s="626"/>
      <c r="R148" s="626"/>
      <c r="S148" s="626"/>
      <c r="T148" s="626"/>
      <c r="U148" s="626"/>
      <c r="V148" s="627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customHeight="1" x14ac:dyDescent="0.25">
      <c r="A149" s="636" t="s">
        <v>268</v>
      </c>
      <c r="B149" s="636"/>
      <c r="C149" s="636"/>
      <c r="D149" s="636"/>
      <c r="E149" s="636"/>
      <c r="F149" s="636"/>
      <c r="G149" s="636"/>
      <c r="H149" s="636"/>
      <c r="I149" s="636"/>
      <c r="J149" s="636"/>
      <c r="K149" s="636"/>
      <c r="L149" s="636"/>
      <c r="M149" s="636"/>
      <c r="N149" s="636"/>
      <c r="O149" s="636"/>
      <c r="P149" s="636"/>
      <c r="Q149" s="636"/>
      <c r="R149" s="636"/>
      <c r="S149" s="636"/>
      <c r="T149" s="636"/>
      <c r="U149" s="636"/>
      <c r="V149" s="636"/>
      <c r="W149" s="636"/>
      <c r="X149" s="636"/>
      <c r="Y149" s="636"/>
      <c r="Z149" s="636"/>
      <c r="AA149" s="65"/>
      <c r="AB149" s="65"/>
      <c r="AC149" s="79"/>
    </row>
    <row r="150" spans="1:68" ht="14.25" customHeight="1" x14ac:dyDescent="0.25">
      <c r="A150" s="620" t="s">
        <v>86</v>
      </c>
      <c r="B150" s="620"/>
      <c r="C150" s="620"/>
      <c r="D150" s="620"/>
      <c r="E150" s="620"/>
      <c r="F150" s="620"/>
      <c r="G150" s="620"/>
      <c r="H150" s="620"/>
      <c r="I150" s="620"/>
      <c r="J150" s="620"/>
      <c r="K150" s="620"/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6"/>
      <c r="AB150" s="66"/>
      <c r="AC150" s="80"/>
    </row>
    <row r="151" spans="1:68" ht="27" customHeight="1" x14ac:dyDescent="0.25">
      <c r="A151" s="63" t="s">
        <v>269</v>
      </c>
      <c r="B151" s="63" t="s">
        <v>270</v>
      </c>
      <c r="C151" s="36">
        <v>4301052174</v>
      </c>
      <c r="D151" s="621">
        <v>4680115888203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272</v>
      </c>
      <c r="B152" s="63" t="s">
        <v>273</v>
      </c>
      <c r="C152" s="36">
        <v>4301052172</v>
      </c>
      <c r="D152" s="621">
        <v>4680115888180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275</v>
      </c>
      <c r="B153" s="63" t="s">
        <v>276</v>
      </c>
      <c r="C153" s="36">
        <v>4301052173</v>
      </c>
      <c r="D153" s="621">
        <v>4680115888197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278</v>
      </c>
      <c r="B154" s="63" t="s">
        <v>279</v>
      </c>
      <c r="C154" s="36">
        <v>4301052175</v>
      </c>
      <c r="D154" s="621">
        <v>4680115888210</v>
      </c>
      <c r="E154" s="621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3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23"/>
      <c r="R154" s="623"/>
      <c r="S154" s="623"/>
      <c r="T154" s="62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6.5" customHeight="1" x14ac:dyDescent="0.25">
      <c r="A157" s="636" t="s">
        <v>130</v>
      </c>
      <c r="B157" s="636"/>
      <c r="C157" s="636"/>
      <c r="D157" s="636"/>
      <c r="E157" s="636"/>
      <c r="F157" s="636"/>
      <c r="G157" s="636"/>
      <c r="H157" s="636"/>
      <c r="I157" s="636"/>
      <c r="J157" s="636"/>
      <c r="K157" s="636"/>
      <c r="L157" s="636"/>
      <c r="M157" s="636"/>
      <c r="N157" s="636"/>
      <c r="O157" s="636"/>
      <c r="P157" s="636"/>
      <c r="Q157" s="636"/>
      <c r="R157" s="636"/>
      <c r="S157" s="636"/>
      <c r="T157" s="636"/>
      <c r="U157" s="636"/>
      <c r="V157" s="636"/>
      <c r="W157" s="636"/>
      <c r="X157" s="636"/>
      <c r="Y157" s="636"/>
      <c r="Z157" s="636"/>
      <c r="AA157" s="65"/>
      <c r="AB157" s="65"/>
      <c r="AC157" s="79"/>
    </row>
    <row r="158" spans="1:68" ht="14.25" customHeight="1" x14ac:dyDescent="0.25">
      <c r="A158" s="620" t="s">
        <v>132</v>
      </c>
      <c r="B158" s="620"/>
      <c r="C158" s="620"/>
      <c r="D158" s="620"/>
      <c r="E158" s="620"/>
      <c r="F158" s="620"/>
      <c r="G158" s="620"/>
      <c r="H158" s="620"/>
      <c r="I158" s="620"/>
      <c r="J158" s="620"/>
      <c r="K158" s="620"/>
      <c r="L158" s="620"/>
      <c r="M158" s="620"/>
      <c r="N158" s="620"/>
      <c r="O158" s="620"/>
      <c r="P158" s="620"/>
      <c r="Q158" s="620"/>
      <c r="R158" s="620"/>
      <c r="S158" s="620"/>
      <c r="T158" s="620"/>
      <c r="U158" s="620"/>
      <c r="V158" s="620"/>
      <c r="W158" s="620"/>
      <c r="X158" s="620"/>
      <c r="Y158" s="620"/>
      <c r="Z158" s="620"/>
      <c r="AA158" s="66"/>
      <c r="AB158" s="66"/>
      <c r="AC158" s="80"/>
    </row>
    <row r="159" spans="1:68" ht="27" customHeight="1" x14ac:dyDescent="0.25">
      <c r="A159" s="63" t="s">
        <v>281</v>
      </c>
      <c r="B159" s="63" t="s">
        <v>282</v>
      </c>
      <c r="C159" s="36">
        <v>4301012244</v>
      </c>
      <c r="D159" s="621">
        <v>4680115887374</v>
      </c>
      <c r="E159" s="621"/>
      <c r="F159" s="62">
        <v>1.6</v>
      </c>
      <c r="G159" s="37">
        <v>8</v>
      </c>
      <c r="H159" s="62">
        <v>12.8</v>
      </c>
      <c r="I159" s="62">
        <v>13.21</v>
      </c>
      <c r="J159" s="37">
        <v>64</v>
      </c>
      <c r="K159" s="37" t="s">
        <v>137</v>
      </c>
      <c r="L159" s="37" t="s">
        <v>46</v>
      </c>
      <c r="M159" s="38" t="s">
        <v>136</v>
      </c>
      <c r="N159" s="38"/>
      <c r="O159" s="37">
        <v>55</v>
      </c>
      <c r="P159" s="82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IFERROR(IF(Y159=0,"",ROUNDUP(Y159/H159,0)*0.01898),"")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customHeight="1" x14ac:dyDescent="0.25">
      <c r="A160" s="63" t="s">
        <v>284</v>
      </c>
      <c r="B160" s="63" t="s">
        <v>285</v>
      </c>
      <c r="C160" s="36">
        <v>4301011705</v>
      </c>
      <c r="D160" s="621">
        <v>4607091384604</v>
      </c>
      <c r="E160" s="621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144</v>
      </c>
      <c r="L160" s="37" t="s">
        <v>46</v>
      </c>
      <c r="M160" s="38" t="s">
        <v>136</v>
      </c>
      <c r="N160" s="38"/>
      <c r="O160" s="37">
        <v>50</v>
      </c>
      <c r="P160" s="82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3"/>
      <c r="R160" s="623"/>
      <c r="S160" s="623"/>
      <c r="T160" s="624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39</v>
      </c>
      <c r="X161" s="43">
        <f>IFERROR(X159/H159,"0")+IFERROR(X160/H160,"0")</f>
        <v>0</v>
      </c>
      <c r="Y161" s="43">
        <f>IFERROR(Y159/H159,"0")+IFERROR(Y160/H160,"0")</f>
        <v>0</v>
      </c>
      <c r="Z161" s="43">
        <f>IFERROR(IF(Z159="",0,Z159),"0")+IFERROR(IF(Z160="",0,Z160),"0")</f>
        <v>0</v>
      </c>
      <c r="AA161" s="67"/>
      <c r="AB161" s="67"/>
      <c r="AC161" s="67"/>
    </row>
    <row r="162" spans="1:68" x14ac:dyDescent="0.2">
      <c r="A162" s="628"/>
      <c r="B162" s="628"/>
      <c r="C162" s="628"/>
      <c r="D162" s="628"/>
      <c r="E162" s="628"/>
      <c r="F162" s="628"/>
      <c r="G162" s="628"/>
      <c r="H162" s="628"/>
      <c r="I162" s="628"/>
      <c r="J162" s="628"/>
      <c r="K162" s="628"/>
      <c r="L162" s="628"/>
      <c r="M162" s="628"/>
      <c r="N162" s="628"/>
      <c r="O162" s="629"/>
      <c r="P162" s="625" t="s">
        <v>40</v>
      </c>
      <c r="Q162" s="626"/>
      <c r="R162" s="626"/>
      <c r="S162" s="626"/>
      <c r="T162" s="626"/>
      <c r="U162" s="626"/>
      <c r="V162" s="627"/>
      <c r="W162" s="42" t="s">
        <v>0</v>
      </c>
      <c r="X162" s="43">
        <f>IFERROR(SUM(X159:X160),"0")</f>
        <v>0</v>
      </c>
      <c r="Y162" s="43">
        <f>IFERROR(SUM(Y159:Y160),"0")</f>
        <v>0</v>
      </c>
      <c r="Z162" s="42"/>
      <c r="AA162" s="67"/>
      <c r="AB162" s="67"/>
      <c r="AC162" s="67"/>
    </row>
    <row r="163" spans="1:68" ht="14.25" customHeight="1" x14ac:dyDescent="0.25">
      <c r="A163" s="620" t="s">
        <v>167</v>
      </c>
      <c r="B163" s="620"/>
      <c r="C163" s="620"/>
      <c r="D163" s="620"/>
      <c r="E163" s="620"/>
      <c r="F163" s="620"/>
      <c r="G163" s="620"/>
      <c r="H163" s="620"/>
      <c r="I163" s="620"/>
      <c r="J163" s="620"/>
      <c r="K163" s="620"/>
      <c r="L163" s="620"/>
      <c r="M163" s="620"/>
      <c r="N163" s="620"/>
      <c r="O163" s="620"/>
      <c r="P163" s="620"/>
      <c r="Q163" s="620"/>
      <c r="R163" s="620"/>
      <c r="S163" s="620"/>
      <c r="T163" s="620"/>
      <c r="U163" s="620"/>
      <c r="V163" s="620"/>
      <c r="W163" s="620"/>
      <c r="X163" s="620"/>
      <c r="Y163" s="620"/>
      <c r="Z163" s="620"/>
      <c r="AA163" s="66"/>
      <c r="AB163" s="66"/>
      <c r="AC163" s="80"/>
    </row>
    <row r="164" spans="1:68" ht="16.5" customHeight="1" x14ac:dyDescent="0.25">
      <c r="A164" s="63" t="s">
        <v>287</v>
      </c>
      <c r="B164" s="63" t="s">
        <v>288</v>
      </c>
      <c r="C164" s="36">
        <v>4301020410</v>
      </c>
      <c r="D164" s="621">
        <v>4680115887695</v>
      </c>
      <c r="E164" s="621"/>
      <c r="F164" s="62">
        <v>0.12</v>
      </c>
      <c r="G164" s="37">
        <v>6</v>
      </c>
      <c r="H164" s="62">
        <v>0.72</v>
      </c>
      <c r="I164" s="62">
        <v>0.85</v>
      </c>
      <c r="J164" s="37">
        <v>252</v>
      </c>
      <c r="K164" s="37" t="s">
        <v>82</v>
      </c>
      <c r="L164" s="37" t="s">
        <v>46</v>
      </c>
      <c r="M164" s="38" t="s">
        <v>81</v>
      </c>
      <c r="N164" s="38"/>
      <c r="O164" s="37">
        <v>30</v>
      </c>
      <c r="P164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23"/>
      <c r="R164" s="623"/>
      <c r="S164" s="623"/>
      <c r="T164" s="62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IFERROR(IF(Y164=0,"",ROUNDUP(Y164/H164,0)*0.00556),"")</f>
        <v/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x14ac:dyDescent="0.2">
      <c r="A166" s="628"/>
      <c r="B166" s="628"/>
      <c r="C166" s="628"/>
      <c r="D166" s="628"/>
      <c r="E166" s="628"/>
      <c r="F166" s="628"/>
      <c r="G166" s="628"/>
      <c r="H166" s="628"/>
      <c r="I166" s="628"/>
      <c r="J166" s="628"/>
      <c r="K166" s="628"/>
      <c r="L166" s="628"/>
      <c r="M166" s="628"/>
      <c r="N166" s="628"/>
      <c r="O166" s="629"/>
      <c r="P166" s="625" t="s">
        <v>40</v>
      </c>
      <c r="Q166" s="626"/>
      <c r="R166" s="626"/>
      <c r="S166" s="626"/>
      <c r="T166" s="626"/>
      <c r="U166" s="626"/>
      <c r="V166" s="627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4.25" customHeight="1" x14ac:dyDescent="0.25">
      <c r="A167" s="620" t="s">
        <v>77</v>
      </c>
      <c r="B167" s="620"/>
      <c r="C167" s="620"/>
      <c r="D167" s="620"/>
      <c r="E167" s="620"/>
      <c r="F167" s="620"/>
      <c r="G167" s="620"/>
      <c r="H167" s="620"/>
      <c r="I167" s="620"/>
      <c r="J167" s="620"/>
      <c r="K167" s="620"/>
      <c r="L167" s="620"/>
      <c r="M167" s="620"/>
      <c r="N167" s="620"/>
      <c r="O167" s="620"/>
      <c r="P167" s="620"/>
      <c r="Q167" s="620"/>
      <c r="R167" s="620"/>
      <c r="S167" s="620"/>
      <c r="T167" s="620"/>
      <c r="U167" s="620"/>
      <c r="V167" s="620"/>
      <c r="W167" s="620"/>
      <c r="X167" s="620"/>
      <c r="Y167" s="620"/>
      <c r="Z167" s="620"/>
      <c r="AA167" s="66"/>
      <c r="AB167" s="66"/>
      <c r="AC167" s="80"/>
    </row>
    <row r="168" spans="1:68" ht="27" customHeight="1" x14ac:dyDescent="0.25">
      <c r="A168" s="63" t="s">
        <v>290</v>
      </c>
      <c r="B168" s="63" t="s">
        <v>291</v>
      </c>
      <c r="C168" s="36">
        <v>4301031496</v>
      </c>
      <c r="D168" s="621">
        <v>4680115887428</v>
      </c>
      <c r="E168" s="621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144</v>
      </c>
      <c r="L168" s="37" t="s">
        <v>46</v>
      </c>
      <c r="M168" s="38" t="s">
        <v>81</v>
      </c>
      <c r="N168" s="38"/>
      <c r="O168" s="37">
        <v>40</v>
      </c>
      <c r="P168" s="82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ref="Y168:Y178" si="21"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ref="BM168:BM178" si="22">IFERROR(X168*I168/H168,"0")</f>
        <v>0</v>
      </c>
      <c r="BN168" s="78">
        <f t="shared" ref="BN168:BN178" si="23">IFERROR(Y168*I168/H168,"0")</f>
        <v>0</v>
      </c>
      <c r="BO168" s="78">
        <f t="shared" ref="BO168:BO178" si="24">IFERROR(1/J168*(X168/H168),"0")</f>
        <v>0</v>
      </c>
      <c r="BP168" s="78">
        <f t="shared" ref="BP168:BP178" si="25">IFERROR(1/J168*(Y168/H168),"0")</f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4301030963</v>
      </c>
      <c r="D169" s="621">
        <v>4607091382426</v>
      </c>
      <c r="E169" s="621"/>
      <c r="F169" s="62">
        <v>0.9</v>
      </c>
      <c r="G169" s="37">
        <v>10</v>
      </c>
      <c r="H169" s="62">
        <v>9</v>
      </c>
      <c r="I169" s="62">
        <v>9.56</v>
      </c>
      <c r="J169" s="37">
        <v>64</v>
      </c>
      <c r="K169" s="37" t="s">
        <v>137</v>
      </c>
      <c r="L169" s="37" t="s">
        <v>46</v>
      </c>
      <c r="M169" s="38" t="s">
        <v>81</v>
      </c>
      <c r="N169" s="38"/>
      <c r="O169" s="37">
        <v>40</v>
      </c>
      <c r="P169" s="8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IFERROR(IF(Y169=0,"",ROUNDUP(Y169/H169,0)*0.01898),"")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4301031498</v>
      </c>
      <c r="D170" s="621">
        <v>4680115887398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82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4301031497</v>
      </c>
      <c r="D171" s="621">
        <v>4680115887336</v>
      </c>
      <c r="E171" s="621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144</v>
      </c>
      <c r="L171" s="37" t="s">
        <v>46</v>
      </c>
      <c r="M171" s="38" t="s">
        <v>81</v>
      </c>
      <c r="N171" s="38"/>
      <c r="O171" s="37">
        <v>40</v>
      </c>
      <c r="P171" s="82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16.5" customHeight="1" x14ac:dyDescent="0.25">
      <c r="A172" s="63" t="s">
        <v>302</v>
      </c>
      <c r="B172" s="63" t="s">
        <v>303</v>
      </c>
      <c r="C172" s="36">
        <v>4301032049</v>
      </c>
      <c r="D172" s="621">
        <v>4680115887787</v>
      </c>
      <c r="E172" s="621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141</v>
      </c>
      <c r="L172" s="37" t="s">
        <v>46</v>
      </c>
      <c r="M172" s="38" t="s">
        <v>81</v>
      </c>
      <c r="N172" s="38"/>
      <c r="O172" s="37">
        <v>45</v>
      </c>
      <c r="P172" s="82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IFERROR(IF(Y172=0,"",ROUNDUP(Y172/H172,0)*0.00417),"")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4301031448</v>
      </c>
      <c r="D173" s="621">
        <v>4680115887503</v>
      </c>
      <c r="E173" s="621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2" t="s">
        <v>292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307</v>
      </c>
      <c r="B174" s="63" t="s">
        <v>308</v>
      </c>
      <c r="C174" s="36">
        <v>4301031389</v>
      </c>
      <c r="D174" s="621">
        <v>4680115887763</v>
      </c>
      <c r="E174" s="621"/>
      <c r="F174" s="62">
        <v>0.09</v>
      </c>
      <c r="G174" s="37">
        <v>10</v>
      </c>
      <c r="H174" s="62">
        <v>0.9</v>
      </c>
      <c r="I174" s="62">
        <v>1.1100000000000001</v>
      </c>
      <c r="J174" s="37">
        <v>336</v>
      </c>
      <c r="K174" s="37" t="s">
        <v>141</v>
      </c>
      <c r="L174" s="37" t="s">
        <v>46</v>
      </c>
      <c r="M174" s="38" t="s">
        <v>81</v>
      </c>
      <c r="N174" s="38"/>
      <c r="O174" s="37">
        <v>45</v>
      </c>
      <c r="P174" s="81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customHeight="1" x14ac:dyDescent="0.25">
      <c r="A175" s="63" t="s">
        <v>307</v>
      </c>
      <c r="B175" s="63" t="s">
        <v>310</v>
      </c>
      <c r="C175" s="36">
        <v>4301031510</v>
      </c>
      <c r="D175" s="621">
        <v>4680115887763</v>
      </c>
      <c r="E175" s="621"/>
      <c r="F175" s="62">
        <v>0.09</v>
      </c>
      <c r="G175" s="37">
        <v>8</v>
      </c>
      <c r="H175" s="62">
        <v>0.72</v>
      </c>
      <c r="I175" s="62">
        <v>0.90800000000000003</v>
      </c>
      <c r="J175" s="37">
        <v>336</v>
      </c>
      <c r="K175" s="37" t="s">
        <v>141</v>
      </c>
      <c r="L175" s="37" t="s">
        <v>46</v>
      </c>
      <c r="M175" s="38" t="s">
        <v>81</v>
      </c>
      <c r="N175" s="38"/>
      <c r="O175" s="37">
        <v>45</v>
      </c>
      <c r="P175" s="817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309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4301031454</v>
      </c>
      <c r="D176" s="621">
        <v>4680115887480</v>
      </c>
      <c r="E176" s="621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81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298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4301031434</v>
      </c>
      <c r="D177" s="621">
        <v>4680115888067</v>
      </c>
      <c r="E177" s="621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141</v>
      </c>
      <c r="L177" s="37" t="s">
        <v>46</v>
      </c>
      <c r="M177" s="38" t="s">
        <v>81</v>
      </c>
      <c r="N177" s="38"/>
      <c r="O177" s="37">
        <v>45</v>
      </c>
      <c r="P177" s="81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315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customHeight="1" x14ac:dyDescent="0.25">
      <c r="A178" s="63" t="s">
        <v>316</v>
      </c>
      <c r="B178" s="63" t="s">
        <v>317</v>
      </c>
      <c r="C178" s="36">
        <v>4301031451</v>
      </c>
      <c r="D178" s="621">
        <v>4680115887435</v>
      </c>
      <c r="E178" s="621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40</v>
      </c>
      <c r="P178" s="82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23"/>
      <c r="R178" s="623"/>
      <c r="S178" s="623"/>
      <c r="T178" s="62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301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39</v>
      </c>
      <c r="X179" s="43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28"/>
      <c r="B180" s="628"/>
      <c r="C180" s="628"/>
      <c r="D180" s="628"/>
      <c r="E180" s="628"/>
      <c r="F180" s="628"/>
      <c r="G180" s="628"/>
      <c r="H180" s="628"/>
      <c r="I180" s="628"/>
      <c r="J180" s="628"/>
      <c r="K180" s="628"/>
      <c r="L180" s="628"/>
      <c r="M180" s="628"/>
      <c r="N180" s="628"/>
      <c r="O180" s="629"/>
      <c r="P180" s="625" t="s">
        <v>40</v>
      </c>
      <c r="Q180" s="626"/>
      <c r="R180" s="626"/>
      <c r="S180" s="626"/>
      <c r="T180" s="626"/>
      <c r="U180" s="626"/>
      <c r="V180" s="627"/>
      <c r="W180" s="42" t="s">
        <v>0</v>
      </c>
      <c r="X180" s="43">
        <f>IFERROR(SUM(X168:X178),"0")</f>
        <v>0</v>
      </c>
      <c r="Y180" s="43">
        <f>IFERROR(SUM(Y168:Y178),"0")</f>
        <v>0</v>
      </c>
      <c r="Z180" s="42"/>
      <c r="AA180" s="67"/>
      <c r="AB180" s="67"/>
      <c r="AC180" s="67"/>
    </row>
    <row r="181" spans="1:68" ht="14.25" customHeight="1" x14ac:dyDescent="0.25">
      <c r="A181" s="620" t="s">
        <v>86</v>
      </c>
      <c r="B181" s="620"/>
      <c r="C181" s="620"/>
      <c r="D181" s="620"/>
      <c r="E181" s="620"/>
      <c r="F181" s="620"/>
      <c r="G181" s="620"/>
      <c r="H181" s="620"/>
      <c r="I181" s="620"/>
      <c r="J181" s="620"/>
      <c r="K181" s="620"/>
      <c r="L181" s="620"/>
      <c r="M181" s="620"/>
      <c r="N181" s="620"/>
      <c r="O181" s="620"/>
      <c r="P181" s="620"/>
      <c r="Q181" s="620"/>
      <c r="R181" s="620"/>
      <c r="S181" s="620"/>
      <c r="T181" s="620"/>
      <c r="U181" s="620"/>
      <c r="V181" s="620"/>
      <c r="W181" s="620"/>
      <c r="X181" s="620"/>
      <c r="Y181" s="620"/>
      <c r="Z181" s="620"/>
      <c r="AA181" s="66"/>
      <c r="AB181" s="66"/>
      <c r="AC181" s="80"/>
    </row>
    <row r="182" spans="1:68" ht="16.5" customHeight="1" x14ac:dyDescent="0.25">
      <c r="A182" s="63" t="s">
        <v>318</v>
      </c>
      <c r="B182" s="63" t="s">
        <v>319</v>
      </c>
      <c r="C182" s="36">
        <v>4301052193</v>
      </c>
      <c r="D182" s="621">
        <v>4680115888395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customHeight="1" x14ac:dyDescent="0.25">
      <c r="A183" s="63" t="s">
        <v>321</v>
      </c>
      <c r="B183" s="63" t="s">
        <v>322</v>
      </c>
      <c r="C183" s="36">
        <v>4301052191</v>
      </c>
      <c r="D183" s="621">
        <v>4680115888371</v>
      </c>
      <c r="E183" s="621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91</v>
      </c>
      <c r="L183" s="37" t="s">
        <v>46</v>
      </c>
      <c r="M183" s="38" t="s">
        <v>97</v>
      </c>
      <c r="N183" s="38"/>
      <c r="O183" s="37">
        <v>40</v>
      </c>
      <c r="P183" s="81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324</v>
      </c>
      <c r="B184" s="63" t="s">
        <v>325</v>
      </c>
      <c r="C184" s="36">
        <v>4301052064</v>
      </c>
      <c r="D184" s="621">
        <v>4680115887459</v>
      </c>
      <c r="E184" s="621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91</v>
      </c>
      <c r="L184" s="37" t="s">
        <v>46</v>
      </c>
      <c r="M184" s="38" t="s">
        <v>90</v>
      </c>
      <c r="N184" s="38"/>
      <c r="O184" s="37">
        <v>45</v>
      </c>
      <c r="P184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23"/>
      <c r="R184" s="623"/>
      <c r="S184" s="623"/>
      <c r="T184" s="624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20" t="s">
        <v>107</v>
      </c>
      <c r="B187" s="620"/>
      <c r="C187" s="620"/>
      <c r="D187" s="620"/>
      <c r="E187" s="620"/>
      <c r="F187" s="620"/>
      <c r="G187" s="620"/>
      <c r="H187" s="620"/>
      <c r="I187" s="620"/>
      <c r="J187" s="620"/>
      <c r="K187" s="620"/>
      <c r="L187" s="620"/>
      <c r="M187" s="620"/>
      <c r="N187" s="620"/>
      <c r="O187" s="620"/>
      <c r="P187" s="620"/>
      <c r="Q187" s="620"/>
      <c r="R187" s="620"/>
      <c r="S187" s="620"/>
      <c r="T187" s="620"/>
      <c r="U187" s="620"/>
      <c r="V187" s="620"/>
      <c r="W187" s="620"/>
      <c r="X187" s="620"/>
      <c r="Y187" s="620"/>
      <c r="Z187" s="620"/>
      <c r="AA187" s="66"/>
      <c r="AB187" s="66"/>
      <c r="AC187" s="80"/>
    </row>
    <row r="188" spans="1:68" ht="16.5" customHeight="1" x14ac:dyDescent="0.25">
      <c r="A188" s="63" t="s">
        <v>327</v>
      </c>
      <c r="B188" s="63" t="s">
        <v>328</v>
      </c>
      <c r="C188" s="36">
        <v>4301032058</v>
      </c>
      <c r="D188" s="621">
        <v>4680115889026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331</v>
      </c>
      <c r="L188" s="37" t="s">
        <v>46</v>
      </c>
      <c r="M188" s="38" t="s">
        <v>330</v>
      </c>
      <c r="N188" s="38"/>
      <c r="O188" s="37">
        <v>60</v>
      </c>
      <c r="P188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329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332</v>
      </c>
      <c r="B189" s="63" t="s">
        <v>333</v>
      </c>
      <c r="C189" s="36">
        <v>4301032057</v>
      </c>
      <c r="D189" s="621">
        <v>4680115889088</v>
      </c>
      <c r="E189" s="621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331</v>
      </c>
      <c r="L189" s="37" t="s">
        <v>46</v>
      </c>
      <c r="M189" s="38" t="s">
        <v>330</v>
      </c>
      <c r="N189" s="38"/>
      <c r="O189" s="37">
        <v>45</v>
      </c>
      <c r="P189" s="81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23"/>
      <c r="R189" s="623"/>
      <c r="S189" s="623"/>
      <c r="T189" s="62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620" t="s">
        <v>335</v>
      </c>
      <c r="B192" s="620"/>
      <c r="C192" s="620"/>
      <c r="D192" s="620"/>
      <c r="E192" s="620"/>
      <c r="F192" s="620"/>
      <c r="G192" s="620"/>
      <c r="H192" s="620"/>
      <c r="I192" s="620"/>
      <c r="J192" s="620"/>
      <c r="K192" s="620"/>
      <c r="L192" s="620"/>
      <c r="M192" s="620"/>
      <c r="N192" s="620"/>
      <c r="O192" s="620"/>
      <c r="P192" s="620"/>
      <c r="Q192" s="620"/>
      <c r="R192" s="620"/>
      <c r="S192" s="620"/>
      <c r="T192" s="620"/>
      <c r="U192" s="620"/>
      <c r="V192" s="620"/>
      <c r="W192" s="620"/>
      <c r="X192" s="620"/>
      <c r="Y192" s="620"/>
      <c r="Z192" s="620"/>
      <c r="AA192" s="66"/>
      <c r="AB192" s="66"/>
      <c r="AC192" s="80"/>
    </row>
    <row r="193" spans="1:68" ht="27" customHeight="1" x14ac:dyDescent="0.25">
      <c r="A193" s="63" t="s">
        <v>336</v>
      </c>
      <c r="B193" s="63" t="s">
        <v>337</v>
      </c>
      <c r="C193" s="36">
        <v>4301041009</v>
      </c>
      <c r="D193" s="621">
        <v>4680115889033</v>
      </c>
      <c r="E193" s="621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331</v>
      </c>
      <c r="L193" s="37" t="s">
        <v>46</v>
      </c>
      <c r="M193" s="38" t="s">
        <v>330</v>
      </c>
      <c r="N193" s="38"/>
      <c r="O193" s="37">
        <v>60</v>
      </c>
      <c r="P193" s="8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3"/>
      <c r="R193" s="623"/>
      <c r="S193" s="623"/>
      <c r="T193" s="62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338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">
      <c r="A196" s="641" t="s">
        <v>339</v>
      </c>
      <c r="B196" s="641"/>
      <c r="C196" s="641"/>
      <c r="D196" s="641"/>
      <c r="E196" s="641"/>
      <c r="F196" s="641"/>
      <c r="G196" s="641"/>
      <c r="H196" s="641"/>
      <c r="I196" s="641"/>
      <c r="J196" s="641"/>
      <c r="K196" s="641"/>
      <c r="L196" s="641"/>
      <c r="M196" s="641"/>
      <c r="N196" s="641"/>
      <c r="O196" s="641"/>
      <c r="P196" s="641"/>
      <c r="Q196" s="641"/>
      <c r="R196" s="641"/>
      <c r="S196" s="641"/>
      <c r="T196" s="641"/>
      <c r="U196" s="641"/>
      <c r="V196" s="641"/>
      <c r="W196" s="641"/>
      <c r="X196" s="641"/>
      <c r="Y196" s="641"/>
      <c r="Z196" s="641"/>
      <c r="AA196" s="54"/>
      <c r="AB196" s="54"/>
      <c r="AC196" s="54"/>
    </row>
    <row r="197" spans="1:68" ht="16.5" customHeight="1" x14ac:dyDescent="0.25">
      <c r="A197" s="636" t="s">
        <v>340</v>
      </c>
      <c r="B197" s="636"/>
      <c r="C197" s="636"/>
      <c r="D197" s="636"/>
      <c r="E197" s="636"/>
      <c r="F197" s="636"/>
      <c r="G197" s="636"/>
      <c r="H197" s="636"/>
      <c r="I197" s="636"/>
      <c r="J197" s="636"/>
      <c r="K197" s="636"/>
      <c r="L197" s="636"/>
      <c r="M197" s="636"/>
      <c r="N197" s="636"/>
      <c r="O197" s="636"/>
      <c r="P197" s="636"/>
      <c r="Q197" s="636"/>
      <c r="R197" s="636"/>
      <c r="S197" s="636"/>
      <c r="T197" s="636"/>
      <c r="U197" s="636"/>
      <c r="V197" s="636"/>
      <c r="W197" s="636"/>
      <c r="X197" s="636"/>
      <c r="Y197" s="636"/>
      <c r="Z197" s="636"/>
      <c r="AA197" s="65"/>
      <c r="AB197" s="65"/>
      <c r="AC197" s="79"/>
    </row>
    <row r="198" spans="1:68" ht="14.25" customHeight="1" x14ac:dyDescent="0.25">
      <c r="A198" s="620" t="s">
        <v>132</v>
      </c>
      <c r="B198" s="620"/>
      <c r="C198" s="620"/>
      <c r="D198" s="620"/>
      <c r="E198" s="620"/>
      <c r="F198" s="620"/>
      <c r="G198" s="620"/>
      <c r="H198" s="620"/>
      <c r="I198" s="620"/>
      <c r="J198" s="620"/>
      <c r="K198" s="620"/>
      <c r="L198" s="620"/>
      <c r="M198" s="620"/>
      <c r="N198" s="620"/>
      <c r="O198" s="620"/>
      <c r="P198" s="620"/>
      <c r="Q198" s="620"/>
      <c r="R198" s="620"/>
      <c r="S198" s="620"/>
      <c r="T198" s="620"/>
      <c r="U198" s="620"/>
      <c r="V198" s="620"/>
      <c r="W198" s="620"/>
      <c r="X198" s="620"/>
      <c r="Y198" s="620"/>
      <c r="Z198" s="620"/>
      <c r="AA198" s="66"/>
      <c r="AB198" s="66"/>
      <c r="AC198" s="80"/>
    </row>
    <row r="199" spans="1:68" ht="27" customHeight="1" x14ac:dyDescent="0.25">
      <c r="A199" s="63" t="s">
        <v>341</v>
      </c>
      <c r="B199" s="63" t="s">
        <v>342</v>
      </c>
      <c r="C199" s="36">
        <v>4301012340</v>
      </c>
      <c r="D199" s="621">
        <v>4680115888760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137</v>
      </c>
      <c r="L199" s="37" t="s">
        <v>46</v>
      </c>
      <c r="M199" s="38" t="s">
        <v>90</v>
      </c>
      <c r="N199" s="38"/>
      <c r="O199" s="37">
        <v>35</v>
      </c>
      <c r="P199" s="80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6">IFERROR(IF(X199="",0,CEILING((X199/$H199),1)*$H199),"")</f>
        <v>0</v>
      </c>
      <c r="Z199" s="41" t="str">
        <f t="shared" ref="Z199:Z205" si="27">IFERROR(IF(Y199=0,"",ROUNDUP(Y199/H199,0)*0.01898),"")</f>
        <v/>
      </c>
      <c r="AA199" s="68" t="s">
        <v>46</v>
      </c>
      <c r="AB199" s="69" t="s">
        <v>117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8">IFERROR(X199*I199/H199,"0")</f>
        <v>0</v>
      </c>
      <c r="BN199" s="78">
        <f t="shared" ref="BN199:BN205" si="29">IFERROR(Y199*I199/H199,"0")</f>
        <v>0</v>
      </c>
      <c r="BO199" s="78">
        <f t="shared" ref="BO199:BO205" si="30">IFERROR(1/J199*(X199/H199),"0")</f>
        <v>0</v>
      </c>
      <c r="BP199" s="78">
        <f t="shared" ref="BP199:BP205" si="31">IFERROR(1/J199*(Y199/H199),"0")</f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4301012341</v>
      </c>
      <c r="D200" s="621">
        <v>4680115888807</v>
      </c>
      <c r="E200" s="62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137</v>
      </c>
      <c r="L200" s="37" t="s">
        <v>46</v>
      </c>
      <c r="M200" s="38" t="s">
        <v>90</v>
      </c>
      <c r="N200" s="38"/>
      <c r="O200" s="37">
        <v>35</v>
      </c>
      <c r="P200" s="80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6"/>
        <v>0</v>
      </c>
      <c r="Z200" s="41" t="str">
        <f t="shared" si="27"/>
        <v/>
      </c>
      <c r="AA200" s="68" t="s">
        <v>46</v>
      </c>
      <c r="AB200" s="69" t="s">
        <v>117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8"/>
        <v>0</v>
      </c>
      <c r="BN200" s="78">
        <f t="shared" si="29"/>
        <v>0</v>
      </c>
      <c r="BO200" s="78">
        <f t="shared" si="30"/>
        <v>0</v>
      </c>
      <c r="BP200" s="78">
        <f t="shared" si="31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4301012342</v>
      </c>
      <c r="D201" s="621">
        <v>4680115888852</v>
      </c>
      <c r="E201" s="62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137</v>
      </c>
      <c r="L201" s="37" t="s">
        <v>46</v>
      </c>
      <c r="M201" s="38" t="s">
        <v>90</v>
      </c>
      <c r="N201" s="38"/>
      <c r="O201" s="37">
        <v>35</v>
      </c>
      <c r="P201" s="80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6"/>
        <v>0</v>
      </c>
      <c r="Z201" s="41" t="str">
        <f t="shared" si="27"/>
        <v/>
      </c>
      <c r="AA201" s="68" t="s">
        <v>46</v>
      </c>
      <c r="AB201" s="69" t="s">
        <v>117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8"/>
        <v>0</v>
      </c>
      <c r="BN201" s="78">
        <f t="shared" si="29"/>
        <v>0</v>
      </c>
      <c r="BO201" s="78">
        <f t="shared" si="30"/>
        <v>0</v>
      </c>
      <c r="BP201" s="78">
        <f t="shared" si="31"/>
        <v>0</v>
      </c>
    </row>
    <row r="202" spans="1:68" ht="27" customHeight="1" x14ac:dyDescent="0.25">
      <c r="A202" s="63" t="s">
        <v>350</v>
      </c>
      <c r="B202" s="63" t="s">
        <v>351</v>
      </c>
      <c r="C202" s="36">
        <v>4301011223</v>
      </c>
      <c r="D202" s="621">
        <v>4607091383423</v>
      </c>
      <c r="E202" s="621"/>
      <c r="F202" s="62">
        <v>1.35</v>
      </c>
      <c r="G202" s="37">
        <v>8</v>
      </c>
      <c r="H202" s="62">
        <v>10.8</v>
      </c>
      <c r="I202" s="62">
        <v>11.305999999999999</v>
      </c>
      <c r="J202" s="37">
        <v>64</v>
      </c>
      <c r="K202" s="37" t="s">
        <v>137</v>
      </c>
      <c r="L202" s="37" t="s">
        <v>46</v>
      </c>
      <c r="M202" s="38" t="s">
        <v>90</v>
      </c>
      <c r="N202" s="38"/>
      <c r="O202" s="37">
        <v>35</v>
      </c>
      <c r="P202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6"/>
        <v>0</v>
      </c>
      <c r="Z202" s="41" t="str">
        <f t="shared" si="27"/>
        <v/>
      </c>
      <c r="AA202" s="68" t="s">
        <v>46</v>
      </c>
      <c r="AB202" s="69" t="s">
        <v>46</v>
      </c>
      <c r="AC202" s="272" t="s">
        <v>135</v>
      </c>
      <c r="AG202" s="78"/>
      <c r="AJ202" s="84" t="s">
        <v>46</v>
      </c>
      <c r="AK202" s="84">
        <v>0</v>
      </c>
      <c r="BB202" s="273" t="s">
        <v>67</v>
      </c>
      <c r="BM202" s="78">
        <f t="shared" si="28"/>
        <v>0</v>
      </c>
      <c r="BN202" s="78">
        <f t="shared" si="29"/>
        <v>0</v>
      </c>
      <c r="BO202" s="78">
        <f t="shared" si="30"/>
        <v>0</v>
      </c>
      <c r="BP202" s="78">
        <f t="shared" si="31"/>
        <v>0</v>
      </c>
    </row>
    <row r="203" spans="1:68" ht="37.5" customHeight="1" x14ac:dyDescent="0.25">
      <c r="A203" s="63" t="s">
        <v>352</v>
      </c>
      <c r="B203" s="63" t="s">
        <v>353</v>
      </c>
      <c r="C203" s="36">
        <v>4301012370</v>
      </c>
      <c r="D203" s="621">
        <v>4680115886957</v>
      </c>
      <c r="E203" s="621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137</v>
      </c>
      <c r="L203" s="37" t="s">
        <v>46</v>
      </c>
      <c r="M203" s="38" t="s">
        <v>90</v>
      </c>
      <c r="N203" s="38"/>
      <c r="O203" s="37">
        <v>35</v>
      </c>
      <c r="P203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6"/>
        <v>0</v>
      </c>
      <c r="Z203" s="41" t="str">
        <f t="shared" si="27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8"/>
        <v>0</v>
      </c>
      <c r="BN203" s="78">
        <f t="shared" si="29"/>
        <v>0</v>
      </c>
      <c r="BO203" s="78">
        <f t="shared" si="30"/>
        <v>0</v>
      </c>
      <c r="BP203" s="78">
        <f t="shared" si="31"/>
        <v>0</v>
      </c>
    </row>
    <row r="204" spans="1:68" ht="27" customHeight="1" x14ac:dyDescent="0.25">
      <c r="A204" s="63" t="s">
        <v>355</v>
      </c>
      <c r="B204" s="63" t="s">
        <v>356</v>
      </c>
      <c r="C204" s="36">
        <v>4301012098</v>
      </c>
      <c r="D204" s="621">
        <v>4680115885660</v>
      </c>
      <c r="E204" s="621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137</v>
      </c>
      <c r="L204" s="37" t="s">
        <v>46</v>
      </c>
      <c r="M204" s="38" t="s">
        <v>90</v>
      </c>
      <c r="N204" s="38"/>
      <c r="O204" s="37">
        <v>35</v>
      </c>
      <c r="P204" s="80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customHeight="1" x14ac:dyDescent="0.25">
      <c r="A205" s="63" t="s">
        <v>358</v>
      </c>
      <c r="B205" s="63" t="s">
        <v>359</v>
      </c>
      <c r="C205" s="36">
        <v>4301012369</v>
      </c>
      <c r="D205" s="621">
        <v>4680115886773</v>
      </c>
      <c r="E205" s="621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137</v>
      </c>
      <c r="L205" s="37" t="s">
        <v>46</v>
      </c>
      <c r="M205" s="38" t="s">
        <v>90</v>
      </c>
      <c r="N205" s="38"/>
      <c r="O205" s="37">
        <v>35</v>
      </c>
      <c r="P205" s="80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3"/>
      <c r="R205" s="623"/>
      <c r="S205" s="623"/>
      <c r="T205" s="62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360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customHeight="1" x14ac:dyDescent="0.25">
      <c r="A208" s="636" t="s">
        <v>361</v>
      </c>
      <c r="B208" s="636"/>
      <c r="C208" s="636"/>
      <c r="D208" s="636"/>
      <c r="E208" s="636"/>
      <c r="F208" s="636"/>
      <c r="G208" s="636"/>
      <c r="H208" s="636"/>
      <c r="I208" s="636"/>
      <c r="J208" s="636"/>
      <c r="K208" s="636"/>
      <c r="L208" s="636"/>
      <c r="M208" s="636"/>
      <c r="N208" s="636"/>
      <c r="O208" s="636"/>
      <c r="P208" s="636"/>
      <c r="Q208" s="636"/>
      <c r="R208" s="636"/>
      <c r="S208" s="636"/>
      <c r="T208" s="636"/>
      <c r="U208" s="636"/>
      <c r="V208" s="636"/>
      <c r="W208" s="636"/>
      <c r="X208" s="636"/>
      <c r="Y208" s="636"/>
      <c r="Z208" s="636"/>
      <c r="AA208" s="65"/>
      <c r="AB208" s="65"/>
      <c r="AC208" s="79"/>
    </row>
    <row r="209" spans="1:68" ht="14.25" customHeight="1" x14ac:dyDescent="0.25">
      <c r="A209" s="620" t="s">
        <v>167</v>
      </c>
      <c r="B209" s="620"/>
      <c r="C209" s="620"/>
      <c r="D209" s="620"/>
      <c r="E209" s="620"/>
      <c r="F209" s="620"/>
      <c r="G209" s="620"/>
      <c r="H209" s="620"/>
      <c r="I209" s="620"/>
      <c r="J209" s="620"/>
      <c r="K209" s="620"/>
      <c r="L209" s="620"/>
      <c r="M209" s="620"/>
      <c r="N209" s="620"/>
      <c r="O209" s="620"/>
      <c r="P209" s="620"/>
      <c r="Q209" s="620"/>
      <c r="R209" s="620"/>
      <c r="S209" s="620"/>
      <c r="T209" s="620"/>
      <c r="U209" s="620"/>
      <c r="V209" s="620"/>
      <c r="W209" s="620"/>
      <c r="X209" s="620"/>
      <c r="Y209" s="620"/>
      <c r="Z209" s="620"/>
      <c r="AA209" s="66"/>
      <c r="AB209" s="66"/>
      <c r="AC209" s="80"/>
    </row>
    <row r="210" spans="1:68" ht="27" customHeight="1" x14ac:dyDescent="0.25">
      <c r="A210" s="63" t="s">
        <v>362</v>
      </c>
      <c r="B210" s="63" t="s">
        <v>363</v>
      </c>
      <c r="C210" s="36">
        <v>4301020323</v>
      </c>
      <c r="D210" s="621">
        <v>4680115886223</v>
      </c>
      <c r="E210" s="621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3"/>
      <c r="R210" s="623"/>
      <c r="S210" s="623"/>
      <c r="T210" s="624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364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customHeight="1" x14ac:dyDescent="0.25">
      <c r="A213" s="620" t="s">
        <v>77</v>
      </c>
      <c r="B213" s="620"/>
      <c r="C213" s="620"/>
      <c r="D213" s="620"/>
      <c r="E213" s="620"/>
      <c r="F213" s="620"/>
      <c r="G213" s="620"/>
      <c r="H213" s="620"/>
      <c r="I213" s="620"/>
      <c r="J213" s="620"/>
      <c r="K213" s="620"/>
      <c r="L213" s="620"/>
      <c r="M213" s="620"/>
      <c r="N213" s="620"/>
      <c r="O213" s="620"/>
      <c r="P213" s="620"/>
      <c r="Q213" s="620"/>
      <c r="R213" s="620"/>
      <c r="S213" s="620"/>
      <c r="T213" s="620"/>
      <c r="U213" s="620"/>
      <c r="V213" s="620"/>
      <c r="W213" s="620"/>
      <c r="X213" s="620"/>
      <c r="Y213" s="620"/>
      <c r="Z213" s="620"/>
      <c r="AA213" s="66"/>
      <c r="AB213" s="66"/>
      <c r="AC213" s="80"/>
    </row>
    <row r="214" spans="1:68" ht="27" customHeight="1" x14ac:dyDescent="0.25">
      <c r="A214" s="63" t="s">
        <v>365</v>
      </c>
      <c r="B214" s="63" t="s">
        <v>366</v>
      </c>
      <c r="C214" s="36">
        <v>4301031191</v>
      </c>
      <c r="D214" s="621">
        <v>4680115880993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144</v>
      </c>
      <c r="L214" s="37" t="s">
        <v>46</v>
      </c>
      <c r="M214" s="38" t="s">
        <v>81</v>
      </c>
      <c r="N214" s="38"/>
      <c r="O214" s="37">
        <v>40</v>
      </c>
      <c r="P214" s="8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7" si="32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7" si="33">IFERROR(X214*I214/H214,"0")</f>
        <v>0</v>
      </c>
      <c r="BN214" s="78">
        <f t="shared" ref="BN214:BN227" si="34">IFERROR(Y214*I214/H214,"0")</f>
        <v>0</v>
      </c>
      <c r="BO214" s="78">
        <f t="shared" ref="BO214:BO227" si="35">IFERROR(1/J214*(X214/H214),"0")</f>
        <v>0</v>
      </c>
      <c r="BP214" s="78">
        <f t="shared" ref="BP214:BP227" si="36">IFERROR(1/J214*(Y214/H214),"0")</f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4301031204</v>
      </c>
      <c r="D215" s="621">
        <v>4680115881761</v>
      </c>
      <c r="E215" s="621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144</v>
      </c>
      <c r="L215" s="37" t="s">
        <v>46</v>
      </c>
      <c r="M215" s="38" t="s">
        <v>81</v>
      </c>
      <c r="N215" s="38"/>
      <c r="O215" s="37">
        <v>40</v>
      </c>
      <c r="P215" s="8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2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customHeight="1" x14ac:dyDescent="0.25">
      <c r="A216" s="63" t="s">
        <v>371</v>
      </c>
      <c r="B216" s="63" t="s">
        <v>372</v>
      </c>
      <c r="C216" s="36">
        <v>4301031201</v>
      </c>
      <c r="D216" s="621">
        <v>4680115881563</v>
      </c>
      <c r="E216" s="621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144</v>
      </c>
      <c r="L216" s="37" t="s">
        <v>46</v>
      </c>
      <c r="M216" s="38" t="s">
        <v>81</v>
      </c>
      <c r="N216" s="38"/>
      <c r="O216" s="37">
        <v>40</v>
      </c>
      <c r="P216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2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37.5" customHeight="1" x14ac:dyDescent="0.25">
      <c r="A217" s="63" t="s">
        <v>374</v>
      </c>
      <c r="B217" s="63" t="s">
        <v>375</v>
      </c>
      <c r="C217" s="36">
        <v>4301031447</v>
      </c>
      <c r="D217" s="621">
        <v>4680115887565</v>
      </c>
      <c r="E217" s="621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2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376</v>
      </c>
      <c r="AG217" s="78"/>
      <c r="AJ217" s="84" t="s">
        <v>46</v>
      </c>
      <c r="AK217" s="84">
        <v>0</v>
      </c>
      <c r="BB217" s="289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t="27" customHeight="1" x14ac:dyDescent="0.25">
      <c r="A218" s="63" t="s">
        <v>377</v>
      </c>
      <c r="B218" s="63" t="s">
        <v>378</v>
      </c>
      <c r="C218" s="36">
        <v>4301031199</v>
      </c>
      <c r="D218" s="621">
        <v>4680115880986</v>
      </c>
      <c r="E218" s="621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2"/>
        <v>0</v>
      </c>
      <c r="Z218" s="41" t="str">
        <f t="shared" ref="Z218:Z223" si="37">IFERROR(IF(Y218=0,"",ROUNDUP(Y218/H218,0)*0.00502),"")</f>
        <v/>
      </c>
      <c r="AA218" s="68" t="s">
        <v>46</v>
      </c>
      <c r="AB218" s="69" t="s">
        <v>46</v>
      </c>
      <c r="AC218" s="290" t="s">
        <v>367</v>
      </c>
      <c r="AG218" s="78"/>
      <c r="AJ218" s="84" t="s">
        <v>46</v>
      </c>
      <c r="AK218" s="84">
        <v>0</v>
      </c>
      <c r="BB218" s="291" t="s">
        <v>67</v>
      </c>
      <c r="BM218" s="78">
        <f t="shared" si="33"/>
        <v>0</v>
      </c>
      <c r="BN218" s="78">
        <f t="shared" si="34"/>
        <v>0</v>
      </c>
      <c r="BO218" s="78">
        <f t="shared" si="35"/>
        <v>0</v>
      </c>
      <c r="BP218" s="78">
        <f t="shared" si="36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4301031443</v>
      </c>
      <c r="D219" s="621">
        <v>4680115887213</v>
      </c>
      <c r="E219" s="621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 t="shared" si="37"/>
        <v/>
      </c>
      <c r="AA219" s="68" t="s">
        <v>46</v>
      </c>
      <c r="AB219" s="69" t="s">
        <v>46</v>
      </c>
      <c r="AC219" s="292" t="s">
        <v>381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customHeight="1" x14ac:dyDescent="0.25">
      <c r="A220" s="63" t="s">
        <v>382</v>
      </c>
      <c r="B220" s="63" t="s">
        <v>383</v>
      </c>
      <c r="C220" s="36">
        <v>4301031205</v>
      </c>
      <c r="D220" s="621">
        <v>4680115881785</v>
      </c>
      <c r="E220" s="621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 t="shared" si="37"/>
        <v/>
      </c>
      <c r="AA220" s="68" t="s">
        <v>46</v>
      </c>
      <c r="AB220" s="69" t="s">
        <v>46</v>
      </c>
      <c r="AC220" s="294" t="s">
        <v>370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27" customHeight="1" x14ac:dyDescent="0.25">
      <c r="A221" s="63" t="s">
        <v>384</v>
      </c>
      <c r="B221" s="63" t="s">
        <v>385</v>
      </c>
      <c r="C221" s="36">
        <v>4301031499</v>
      </c>
      <c r="D221" s="621">
        <v>4680115888432</v>
      </c>
      <c r="E221" s="621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 t="shared" si="37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4301031427</v>
      </c>
      <c r="D222" s="621">
        <v>4680115888104</v>
      </c>
      <c r="E222" s="621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79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si="37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4301031399</v>
      </c>
      <c r="D223" s="621">
        <v>4680115886537</v>
      </c>
      <c r="E223" s="621"/>
      <c r="F223" s="62">
        <v>0.3</v>
      </c>
      <c r="G223" s="37">
        <v>6</v>
      </c>
      <c r="H223" s="62">
        <v>1.8</v>
      </c>
      <c r="I223" s="62">
        <v>1.93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customHeight="1" x14ac:dyDescent="0.25">
      <c r="A224" s="63" t="s">
        <v>393</v>
      </c>
      <c r="B224" s="63" t="s">
        <v>394</v>
      </c>
      <c r="C224" s="36">
        <v>4301031279</v>
      </c>
      <c r="D224" s="621">
        <v>4680115887596</v>
      </c>
      <c r="E224" s="621"/>
      <c r="F224" s="62">
        <v>0.08</v>
      </c>
      <c r="G224" s="37">
        <v>10</v>
      </c>
      <c r="H224" s="62">
        <v>0.8</v>
      </c>
      <c r="I224" s="62">
        <v>1.01</v>
      </c>
      <c r="J224" s="37">
        <v>336</v>
      </c>
      <c r="K224" s="37" t="s">
        <v>141</v>
      </c>
      <c r="L224" s="37" t="s">
        <v>46</v>
      </c>
      <c r="M224" s="38" t="s">
        <v>81</v>
      </c>
      <c r="N224" s="38"/>
      <c r="O224" s="37">
        <v>45</v>
      </c>
      <c r="P224" s="79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IFERROR(IF(Y224=0,"",ROUNDUP(Y224/H224,0)*0.00417),"")</f>
        <v/>
      </c>
      <c r="AA224" s="68" t="s">
        <v>46</v>
      </c>
      <c r="AB224" s="69" t="s">
        <v>46</v>
      </c>
      <c r="AC224" s="302" t="s">
        <v>395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37.5" customHeight="1" x14ac:dyDescent="0.25">
      <c r="A225" s="63" t="s">
        <v>396</v>
      </c>
      <c r="B225" s="63" t="s">
        <v>397</v>
      </c>
      <c r="C225" s="36">
        <v>4301031202</v>
      </c>
      <c r="D225" s="621">
        <v>4680115881679</v>
      </c>
      <c r="E225" s="621"/>
      <c r="F225" s="62">
        <v>0.35</v>
      </c>
      <c r="G225" s="37">
        <v>6</v>
      </c>
      <c r="H225" s="62">
        <v>2.1</v>
      </c>
      <c r="I225" s="62">
        <v>2.2000000000000002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79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customHeight="1" x14ac:dyDescent="0.25">
      <c r="A226" s="63" t="s">
        <v>398</v>
      </c>
      <c r="B226" s="63" t="s">
        <v>399</v>
      </c>
      <c r="C226" s="36">
        <v>4301031158</v>
      </c>
      <c r="D226" s="621">
        <v>4680115880191</v>
      </c>
      <c r="E226" s="621"/>
      <c r="F226" s="62">
        <v>0.4</v>
      </c>
      <c r="G226" s="37">
        <v>6</v>
      </c>
      <c r="H226" s="62">
        <v>2.4</v>
      </c>
      <c r="I226" s="62">
        <v>2.58</v>
      </c>
      <c r="J226" s="37">
        <v>182</v>
      </c>
      <c r="K226" s="37" t="s">
        <v>91</v>
      </c>
      <c r="L226" s="37" t="s">
        <v>46</v>
      </c>
      <c r="M226" s="38" t="s">
        <v>81</v>
      </c>
      <c r="N226" s="38"/>
      <c r="O226" s="37">
        <v>40</v>
      </c>
      <c r="P226" s="78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>IFERROR(IF(Y226=0,"",ROUNDUP(Y226/H226,0)*0.00651),"")</f>
        <v/>
      </c>
      <c r="AA226" s="68" t="s">
        <v>46</v>
      </c>
      <c r="AB226" s="69" t="s">
        <v>46</v>
      </c>
      <c r="AC226" s="306" t="s">
        <v>373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400</v>
      </c>
      <c r="B227" s="63" t="s">
        <v>401</v>
      </c>
      <c r="C227" s="36">
        <v>4301031245</v>
      </c>
      <c r="D227" s="621">
        <v>4680115883963</v>
      </c>
      <c r="E227" s="621"/>
      <c r="F227" s="62">
        <v>0.28000000000000003</v>
      </c>
      <c r="G227" s="37">
        <v>6</v>
      </c>
      <c r="H227" s="62">
        <v>1.68</v>
      </c>
      <c r="I227" s="62">
        <v>1.78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7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23"/>
      <c r="R227" s="623"/>
      <c r="S227" s="623"/>
      <c r="T227" s="6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8" t="s">
        <v>402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39</v>
      </c>
      <c r="X228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0</v>
      </c>
      <c r="Y228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0</v>
      </c>
      <c r="Z228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</v>
      </c>
      <c r="AA228" s="67"/>
      <c r="AB228" s="67"/>
      <c r="AC228" s="67"/>
    </row>
    <row r="229" spans="1:68" x14ac:dyDescent="0.2">
      <c r="A229" s="628"/>
      <c r="B229" s="628"/>
      <c r="C229" s="628"/>
      <c r="D229" s="628"/>
      <c r="E229" s="628"/>
      <c r="F229" s="628"/>
      <c r="G229" s="628"/>
      <c r="H229" s="628"/>
      <c r="I229" s="628"/>
      <c r="J229" s="628"/>
      <c r="K229" s="628"/>
      <c r="L229" s="628"/>
      <c r="M229" s="628"/>
      <c r="N229" s="628"/>
      <c r="O229" s="629"/>
      <c r="P229" s="625" t="s">
        <v>40</v>
      </c>
      <c r="Q229" s="626"/>
      <c r="R229" s="626"/>
      <c r="S229" s="626"/>
      <c r="T229" s="626"/>
      <c r="U229" s="626"/>
      <c r="V229" s="627"/>
      <c r="W229" s="42" t="s">
        <v>0</v>
      </c>
      <c r="X229" s="43">
        <f>IFERROR(SUM(X214:X227),"0")</f>
        <v>0</v>
      </c>
      <c r="Y229" s="43">
        <f>IFERROR(SUM(Y214:Y227),"0")</f>
        <v>0</v>
      </c>
      <c r="Z229" s="42"/>
      <c r="AA229" s="67"/>
      <c r="AB229" s="67"/>
      <c r="AC229" s="67"/>
    </row>
    <row r="230" spans="1:68" ht="14.25" customHeight="1" x14ac:dyDescent="0.25">
      <c r="A230" s="620" t="s">
        <v>86</v>
      </c>
      <c r="B230" s="620"/>
      <c r="C230" s="620"/>
      <c r="D230" s="620"/>
      <c r="E230" s="620"/>
      <c r="F230" s="620"/>
      <c r="G230" s="620"/>
      <c r="H230" s="620"/>
      <c r="I230" s="620"/>
      <c r="J230" s="620"/>
      <c r="K230" s="620"/>
      <c r="L230" s="620"/>
      <c r="M230" s="620"/>
      <c r="N230" s="620"/>
      <c r="O230" s="620"/>
      <c r="P230" s="620"/>
      <c r="Q230" s="620"/>
      <c r="R230" s="620"/>
      <c r="S230" s="620"/>
      <c r="T230" s="620"/>
      <c r="U230" s="620"/>
      <c r="V230" s="620"/>
      <c r="W230" s="620"/>
      <c r="X230" s="620"/>
      <c r="Y230" s="620"/>
      <c r="Z230" s="620"/>
      <c r="AA230" s="66"/>
      <c r="AB230" s="66"/>
      <c r="AC230" s="80"/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137</v>
      </c>
      <c r="L231" s="37" t="s">
        <v>46</v>
      </c>
      <c r="M231" s="38" t="s">
        <v>97</v>
      </c>
      <c r="N231" s="38"/>
      <c r="O231" s="37">
        <v>35</v>
      </c>
      <c r="P231" s="78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117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137</v>
      </c>
      <c r="L232" s="37" t="s">
        <v>46</v>
      </c>
      <c r="M232" s="38" t="s">
        <v>97</v>
      </c>
      <c r="N232" s="38"/>
      <c r="O232" s="37">
        <v>35</v>
      </c>
      <c r="P232" s="78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117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144</v>
      </c>
      <c r="L233" s="37" t="s">
        <v>46</v>
      </c>
      <c r="M233" s="38" t="s">
        <v>97</v>
      </c>
      <c r="N233" s="38"/>
      <c r="O233" s="37">
        <v>35</v>
      </c>
      <c r="P233" s="78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144</v>
      </c>
      <c r="L234" s="37" t="s">
        <v>46</v>
      </c>
      <c r="M234" s="38" t="s">
        <v>97</v>
      </c>
      <c r="N234" s="38"/>
      <c r="O234" s="37">
        <v>35</v>
      </c>
      <c r="P234" s="78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IFERROR(X231/H231,"0")+IFERROR(X232/H232,"0")+IFERROR(X233/H233,"0")+IFERROR(X234/H234,"0")</f>
        <v>0</v>
      </c>
      <c r="Y235" s="43">
        <f>IFERROR(Y231/H231,"0")+IFERROR(Y232/H232,"0")+IFERROR(Y233/H233,"0")+IFERROR(Y234/H234,"0")</f>
        <v>0</v>
      </c>
      <c r="Z235" s="43">
        <f>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IFERROR(SUM(X231:X234),"0")</f>
        <v>0</v>
      </c>
      <c r="Y236" s="43">
        <f>IFERROR(SUM(Y231:Y234),"0")</f>
        <v>0</v>
      </c>
      <c r="Z236" s="42"/>
      <c r="AA236" s="67"/>
      <c r="AB236" s="67"/>
      <c r="AC236" s="67"/>
    </row>
    <row r="237" spans="1:68" ht="14.25" customHeight="1" x14ac:dyDescent="0.25">
      <c r="A237" s="620" t="s">
        <v>107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331</v>
      </c>
      <c r="L238" s="37" t="s">
        <v>46</v>
      </c>
      <c r="M238" s="38" t="s">
        <v>330</v>
      </c>
      <c r="N238" s="38"/>
      <c r="O238" s="37">
        <v>60</v>
      </c>
      <c r="P238" s="78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331</v>
      </c>
      <c r="L239" s="37" t="s">
        <v>46</v>
      </c>
      <c r="M239" s="38" t="s">
        <v>330</v>
      </c>
      <c r="N239" s="38"/>
      <c r="O239" s="37">
        <v>90</v>
      </c>
      <c r="P239" s="78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331</v>
      </c>
      <c r="L240" s="37" t="s">
        <v>46</v>
      </c>
      <c r="M240" s="38" t="s">
        <v>330</v>
      </c>
      <c r="N240" s="38"/>
      <c r="O240" s="37">
        <v>90</v>
      </c>
      <c r="P240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331</v>
      </c>
      <c r="L244" s="37" t="s">
        <v>46</v>
      </c>
      <c r="M244" s="38" t="s">
        <v>330</v>
      </c>
      <c r="N244" s="38"/>
      <c r="O244" s="37">
        <v>90</v>
      </c>
      <c r="P244" s="7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customHeight="1" x14ac:dyDescent="0.25">
      <c r="A248" s="620" t="s">
        <v>132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137</v>
      </c>
      <c r="L249" s="37" t="s">
        <v>46</v>
      </c>
      <c r="M249" s="38" t="s">
        <v>136</v>
      </c>
      <c r="N249" s="38"/>
      <c r="O249" s="37">
        <v>55</v>
      </c>
      <c r="P249" s="7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136</v>
      </c>
      <c r="N250" s="38"/>
      <c r="O250" s="37">
        <v>55</v>
      </c>
      <c r="P250" s="7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20" t="s">
        <v>167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customHeight="1" x14ac:dyDescent="0.25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137</v>
      </c>
      <c r="L254" s="37" t="s">
        <v>46</v>
      </c>
      <c r="M254" s="38" t="s">
        <v>136</v>
      </c>
      <c r="N254" s="38"/>
      <c r="O254" s="37">
        <v>50</v>
      </c>
      <c r="P254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136</v>
      </c>
      <c r="N255" s="38"/>
      <c r="O255" s="37">
        <v>50</v>
      </c>
      <c r="P255" s="77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144</v>
      </c>
      <c r="L259" s="37" t="s">
        <v>46</v>
      </c>
      <c r="M259" s="38" t="s">
        <v>81</v>
      </c>
      <c r="N259" s="38"/>
      <c r="O259" s="37">
        <v>40</v>
      </c>
      <c r="P259" s="7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70</v>
      </c>
      <c r="Y259" s="55">
        <f t="shared" ref="Y259:Y266" si="38">IFERROR(IF(X259="",0,CEILING((X259/$H259),1)*$H259),"")</f>
        <v>70.2</v>
      </c>
      <c r="Z259" s="41">
        <f>IFERROR(IF(Y259=0,"",ROUNDUP(Y259/H259,0)*0.00902),"")</f>
        <v>0.11726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9">IFERROR(X259*I259/H259,"0")</f>
        <v>72.462962962962962</v>
      </c>
      <c r="BN259" s="78">
        <f t="shared" ref="BN259:BN266" si="40">IFERROR(Y259*I259/H259,"0")</f>
        <v>72.67</v>
      </c>
      <c r="BO259" s="78">
        <f t="shared" ref="BO259:BO266" si="41">IFERROR(1/J259*(X259/H259),"0")</f>
        <v>9.8204264870931535E-2</v>
      </c>
      <c r="BP259" s="78">
        <f t="shared" ref="BP259:BP266" si="42">IFERROR(1/J259*(Y259/H259),"0")</f>
        <v>9.8484848484848481E-2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144</v>
      </c>
      <c r="L260" s="37" t="s">
        <v>46</v>
      </c>
      <c r="M260" s="38" t="s">
        <v>81</v>
      </c>
      <c r="N260" s="38"/>
      <c r="O260" s="37">
        <v>40</v>
      </c>
      <c r="P260" s="7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8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9"/>
        <v>0</v>
      </c>
      <c r="BN260" s="78">
        <f t="shared" si="40"/>
        <v>0</v>
      </c>
      <c r="BO260" s="78">
        <f t="shared" si="41"/>
        <v>0</v>
      </c>
      <c r="BP260" s="78">
        <f t="shared" si="42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144</v>
      </c>
      <c r="L261" s="37" t="s">
        <v>46</v>
      </c>
      <c r="M261" s="38" t="s">
        <v>81</v>
      </c>
      <c r="N261" s="38"/>
      <c r="O261" s="37">
        <v>40</v>
      </c>
      <c r="P261" s="7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70</v>
      </c>
      <c r="Y261" s="55">
        <f t="shared" si="38"/>
        <v>70.2</v>
      </c>
      <c r="Z261" s="41">
        <f>IFERROR(IF(Y261=0,"",ROUNDUP(Y261/H261,0)*0.00902),"")</f>
        <v>0.11726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9"/>
        <v>72.462962962962962</v>
      </c>
      <c r="BN261" s="78">
        <f t="shared" si="40"/>
        <v>72.67</v>
      </c>
      <c r="BO261" s="78">
        <f t="shared" si="41"/>
        <v>9.8204264870931535E-2</v>
      </c>
      <c r="BP261" s="78">
        <f t="shared" si="42"/>
        <v>9.8484848484848481E-2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144</v>
      </c>
      <c r="L262" s="37" t="s">
        <v>46</v>
      </c>
      <c r="M262" s="38" t="s">
        <v>81</v>
      </c>
      <c r="N262" s="38"/>
      <c r="O262" s="37">
        <v>40</v>
      </c>
      <c r="P262" s="7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70</v>
      </c>
      <c r="Y262" s="55">
        <f t="shared" si="38"/>
        <v>70.2</v>
      </c>
      <c r="Z262" s="41">
        <f>IFERROR(IF(Y262=0,"",ROUNDUP(Y262/H262,0)*0.00902),"")</f>
        <v>0.11726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9"/>
        <v>72.462962962962962</v>
      </c>
      <c r="BN262" s="78">
        <f t="shared" si="40"/>
        <v>72.67</v>
      </c>
      <c r="BO262" s="78">
        <f t="shared" si="41"/>
        <v>9.8204264870931535E-2</v>
      </c>
      <c r="BP262" s="78">
        <f t="shared" si="42"/>
        <v>9.8484848484848481E-2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8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9"/>
        <v>0</v>
      </c>
      <c r="BN263" s="78">
        <f t="shared" si="40"/>
        <v>0</v>
      </c>
      <c r="BO263" s="78">
        <f t="shared" si="41"/>
        <v>0</v>
      </c>
      <c r="BP263" s="78">
        <f t="shared" si="42"/>
        <v>0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7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8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9"/>
        <v>0</v>
      </c>
      <c r="BN264" s="78">
        <f t="shared" si="40"/>
        <v>0</v>
      </c>
      <c r="BO264" s="78">
        <f t="shared" si="41"/>
        <v>0</v>
      </c>
      <c r="BP264" s="78">
        <f t="shared" si="42"/>
        <v>0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8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9"/>
        <v>0</v>
      </c>
      <c r="BN265" s="78">
        <f t="shared" si="40"/>
        <v>0</v>
      </c>
      <c r="BO265" s="78">
        <f t="shared" si="41"/>
        <v>0</v>
      </c>
      <c r="BP265" s="78">
        <f t="shared" si="42"/>
        <v>0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8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9"/>
        <v>0</v>
      </c>
      <c r="BN266" s="78">
        <f t="shared" si="40"/>
        <v>0</v>
      </c>
      <c r="BO266" s="78">
        <f t="shared" si="41"/>
        <v>0</v>
      </c>
      <c r="BP266" s="78">
        <f t="shared" si="42"/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38.888888888888886</v>
      </c>
      <c r="Y267" s="43">
        <f>IFERROR(Y259/H259,"0")+IFERROR(Y260/H260,"0")+IFERROR(Y261/H261,"0")+IFERROR(Y262/H262,"0")+IFERROR(Y263/H263,"0")+IFERROR(Y264/H264,"0")+IFERROR(Y265/H265,"0")+IFERROR(Y266/H266,"0")</f>
        <v>39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0.35177999999999998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210</v>
      </c>
      <c r="Y268" s="43">
        <f>IFERROR(SUM(Y259:Y266),"0")</f>
        <v>210.60000000000002</v>
      </c>
      <c r="Z268" s="42"/>
      <c r="AA268" s="67"/>
      <c r="AB268" s="67"/>
      <c r="AC268" s="67"/>
    </row>
    <row r="269" spans="1:68" ht="14.25" customHeight="1" x14ac:dyDescent="0.25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137</v>
      </c>
      <c r="L270" s="37" t="s">
        <v>46</v>
      </c>
      <c r="M270" s="38" t="s">
        <v>90</v>
      </c>
      <c r="N270" s="38"/>
      <c r="O270" s="37">
        <v>40</v>
      </c>
      <c r="P270" s="76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43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44">IFERROR(X270*I270/H270,"0")</f>
        <v>0</v>
      </c>
      <c r="BN270" s="78">
        <f t="shared" ref="BN270:BN281" si="45">IFERROR(Y270*I270/H270,"0")</f>
        <v>0</v>
      </c>
      <c r="BO270" s="78">
        <f t="shared" ref="BO270:BO281" si="46">IFERROR(1/J270*(X270/H270),"0")</f>
        <v>0</v>
      </c>
      <c r="BP270" s="78">
        <f t="shared" ref="BP270:BP281" si="47">IFERROR(1/J270*(Y270/H270),"0")</f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137</v>
      </c>
      <c r="L271" s="37" t="s">
        <v>46</v>
      </c>
      <c r="M271" s="38" t="s">
        <v>90</v>
      </c>
      <c r="N271" s="38"/>
      <c r="O271" s="37">
        <v>40</v>
      </c>
      <c r="P271" s="76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137</v>
      </c>
      <c r="L272" s="37" t="s">
        <v>46</v>
      </c>
      <c r="M272" s="38" t="s">
        <v>90</v>
      </c>
      <c r="N272" s="38"/>
      <c r="O272" s="37">
        <v>45</v>
      </c>
      <c r="P272" s="76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40</v>
      </c>
      <c r="Y272" s="55">
        <f t="shared" si="43"/>
        <v>43.5</v>
      </c>
      <c r="Z272" s="41">
        <f>IFERROR(IF(Y272=0,"",ROUNDUP(Y272/H272,0)*0.01898),"")</f>
        <v>9.4899999999999998E-2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44"/>
        <v>42.271264367816102</v>
      </c>
      <c r="BN272" s="78">
        <f t="shared" si="45"/>
        <v>45.970000000000006</v>
      </c>
      <c r="BO272" s="78">
        <f t="shared" si="46"/>
        <v>7.1839080459770124E-2</v>
      </c>
      <c r="BP272" s="78">
        <f t="shared" si="47"/>
        <v>7.8125E-2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48</v>
      </c>
      <c r="Y273" s="55">
        <f t="shared" si="43"/>
        <v>48</v>
      </c>
      <c r="Z273" s="41">
        <f>IFERROR(IF(Y273=0,"",ROUNDUP(Y273/H273,0)*0.00651),"")</f>
        <v>0.13020000000000001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44"/>
        <v>53.4</v>
      </c>
      <c r="BN273" s="78">
        <f t="shared" si="45"/>
        <v>53.4</v>
      </c>
      <c r="BO273" s="78">
        <f t="shared" si="46"/>
        <v>0.1098901098901099</v>
      </c>
      <c r="BP273" s="78">
        <f t="shared" si="47"/>
        <v>0.1098901098901099</v>
      </c>
    </row>
    <row r="274" spans="1:68" ht="27" customHeight="1" x14ac:dyDescent="0.25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144</v>
      </c>
      <c r="L275" s="37" t="s">
        <v>46</v>
      </c>
      <c r="M275" s="38" t="s">
        <v>90</v>
      </c>
      <c r="N275" s="38"/>
      <c r="O275" s="37">
        <v>45</v>
      </c>
      <c r="P275" s="7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168</v>
      </c>
      <c r="Y276" s="55">
        <f t="shared" si="43"/>
        <v>168</v>
      </c>
      <c r="Z276" s="41">
        <f>IFERROR(IF(Y276=0,"",ROUNDUP(Y276/H276,0)*0.00651),"")</f>
        <v>0.45569999999999999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44"/>
        <v>185.64000000000001</v>
      </c>
      <c r="BN276" s="78">
        <f t="shared" si="45"/>
        <v>185.64000000000001</v>
      </c>
      <c r="BO276" s="78">
        <f t="shared" si="46"/>
        <v>0.38461538461538464</v>
      </c>
      <c r="BP276" s="78">
        <f t="shared" si="47"/>
        <v>0.38461538461538464</v>
      </c>
    </row>
    <row r="277" spans="1:68" ht="27" customHeight="1" x14ac:dyDescent="0.25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137</v>
      </c>
      <c r="L277" s="37" t="s">
        <v>46</v>
      </c>
      <c r="M277" s="38" t="s">
        <v>90</v>
      </c>
      <c r="N277" s="38"/>
      <c r="O277" s="37">
        <v>45</v>
      </c>
      <c r="P277" s="7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5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96</v>
      </c>
      <c r="Y278" s="55">
        <f t="shared" si="43"/>
        <v>96</v>
      </c>
      <c r="Z278" s="41">
        <f>IFERROR(IF(Y278=0,"",ROUNDUP(Y278/H278,0)*0.00651),"")</f>
        <v>0.26040000000000002</v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44"/>
        <v>106.08000000000001</v>
      </c>
      <c r="BN278" s="78">
        <f t="shared" si="45"/>
        <v>106.08000000000001</v>
      </c>
      <c r="BO278" s="78">
        <f t="shared" si="46"/>
        <v>0.2197802197802198</v>
      </c>
      <c r="BP278" s="78">
        <f t="shared" si="47"/>
        <v>0.2197802197802198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60</v>
      </c>
      <c r="Y280" s="55">
        <f t="shared" si="43"/>
        <v>60</v>
      </c>
      <c r="Z280" s="41">
        <f>IFERROR(IF(Y280=0,"",ROUNDUP(Y280/H280,0)*0.00651),"")</f>
        <v>0.16275000000000001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44"/>
        <v>66.45</v>
      </c>
      <c r="BN280" s="78">
        <f t="shared" si="45"/>
        <v>66.45</v>
      </c>
      <c r="BO280" s="78">
        <f t="shared" si="46"/>
        <v>0.13736263736263737</v>
      </c>
      <c r="BP280" s="78">
        <f t="shared" si="47"/>
        <v>0.13736263736263737</v>
      </c>
    </row>
    <row r="281" spans="1:68" ht="27" customHeight="1" x14ac:dyDescent="0.25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159.59770114942529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160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1.10395</v>
      </c>
      <c r="AA282" s="67"/>
      <c r="AB282" s="67"/>
      <c r="AC282" s="67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412</v>
      </c>
      <c r="Y283" s="43">
        <f>IFERROR(SUM(Y270:Y281),"0")</f>
        <v>415.5</v>
      </c>
      <c r="Z283" s="42"/>
      <c r="AA283" s="67"/>
      <c r="AB283" s="67"/>
      <c r="AC283" s="67"/>
    </row>
    <row r="284" spans="1:68" ht="14.25" customHeight="1" x14ac:dyDescent="0.25">
      <c r="A284" s="620" t="s">
        <v>184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customHeight="1" x14ac:dyDescent="0.25">
      <c r="A290" s="620" t="s">
        <v>132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137</v>
      </c>
      <c r="L291" s="37" t="s">
        <v>46</v>
      </c>
      <c r="M291" s="38" t="s">
        <v>136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8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9">IFERROR(X291*I291/H291,"0")</f>
        <v>0</v>
      </c>
      <c r="BN291" s="78">
        <f t="shared" ref="BN291:BN297" si="50">IFERROR(Y291*I291/H291,"0")</f>
        <v>0</v>
      </c>
      <c r="BO291" s="78">
        <f t="shared" ref="BO291:BO297" si="51">IFERROR(1/J291*(X291/H291),"0")</f>
        <v>0</v>
      </c>
      <c r="BP291" s="78">
        <f t="shared" ref="BP291:BP297" si="52">IFERROR(1/J291*(Y291/H291),"0")</f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137</v>
      </c>
      <c r="L292" s="37" t="s">
        <v>46</v>
      </c>
      <c r="M292" s="38" t="s">
        <v>136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137</v>
      </c>
      <c r="L293" s="37" t="s">
        <v>46</v>
      </c>
      <c r="M293" s="38" t="s">
        <v>136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357</v>
      </c>
      <c r="AG293" s="78"/>
      <c r="AJ293" s="84" t="s">
        <v>46</v>
      </c>
      <c r="AK293" s="84">
        <v>0</v>
      </c>
      <c r="BB293" s="383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144</v>
      </c>
      <c r="L294" s="37" t="s">
        <v>46</v>
      </c>
      <c r="M294" s="38" t="s">
        <v>136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t="27" customHeight="1" x14ac:dyDescent="0.25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144</v>
      </c>
      <c r="L295" s="37" t="s">
        <v>46</v>
      </c>
      <c r="M295" s="38" t="s">
        <v>136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8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9"/>
        <v>0</v>
      </c>
      <c r="BN295" s="78">
        <f t="shared" si="50"/>
        <v>0</v>
      </c>
      <c r="BO295" s="78">
        <f t="shared" si="51"/>
        <v>0</v>
      </c>
      <c r="BP295" s="78">
        <f t="shared" si="52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136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8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9"/>
        <v>0</v>
      </c>
      <c r="BN296" s="78">
        <f t="shared" si="50"/>
        <v>0</v>
      </c>
      <c r="BO296" s="78">
        <f t="shared" si="51"/>
        <v>0</v>
      </c>
      <c r="BP296" s="78">
        <f t="shared" si="52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144</v>
      </c>
      <c r="L297" s="37" t="s">
        <v>46</v>
      </c>
      <c r="M297" s="38" t="s">
        <v>136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8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357</v>
      </c>
      <c r="AG297" s="78"/>
      <c r="AJ297" s="84" t="s">
        <v>46</v>
      </c>
      <c r="AK297" s="84">
        <v>0</v>
      </c>
      <c r="BB297" s="391" t="s">
        <v>67</v>
      </c>
      <c r="BM297" s="78">
        <f t="shared" si="49"/>
        <v>0</v>
      </c>
      <c r="BN297" s="78">
        <f t="shared" si="50"/>
        <v>0</v>
      </c>
      <c r="BO297" s="78">
        <f t="shared" si="51"/>
        <v>0</v>
      </c>
      <c r="BP297" s="78">
        <f t="shared" si="52"/>
        <v>0</v>
      </c>
    </row>
    <row r="298" spans="1:68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20" t="s">
        <v>167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customHeight="1" x14ac:dyDescent="0.25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331</v>
      </c>
      <c r="L305" s="37" t="s">
        <v>46</v>
      </c>
      <c r="M305" s="38" t="s">
        <v>330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20" t="s">
        <v>335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customHeight="1" x14ac:dyDescent="0.25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331</v>
      </c>
      <c r="L309" s="37" t="s">
        <v>46</v>
      </c>
      <c r="M309" s="38" t="s">
        <v>330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331</v>
      </c>
      <c r="L310" s="37" t="s">
        <v>46</v>
      </c>
      <c r="M310" s="38" t="s">
        <v>330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331</v>
      </c>
      <c r="L311" s="37" t="s">
        <v>46</v>
      </c>
      <c r="M311" s="38" t="s">
        <v>330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customHeight="1" x14ac:dyDescent="0.25">
      <c r="A315" s="620" t="s">
        <v>132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137</v>
      </c>
      <c r="L316" s="37" t="s">
        <v>46</v>
      </c>
      <c r="M316" s="38" t="s">
        <v>136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137</v>
      </c>
      <c r="L317" s="37" t="s">
        <v>46</v>
      </c>
      <c r="M317" s="38" t="s">
        <v>136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137</v>
      </c>
      <c r="L318" s="37" t="s">
        <v>46</v>
      </c>
      <c r="M318" s="38" t="s">
        <v>136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144</v>
      </c>
      <c r="L319" s="37" t="s">
        <v>46</v>
      </c>
      <c r="M319" s="38" t="s">
        <v>136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144</v>
      </c>
      <c r="L320" s="37" t="s">
        <v>46</v>
      </c>
      <c r="M320" s="38" t="s">
        <v>136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customHeight="1" x14ac:dyDescent="0.25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customHeight="1" x14ac:dyDescent="0.25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customHeight="1" x14ac:dyDescent="0.25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customHeight="1" x14ac:dyDescent="0.25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389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144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144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customHeight="1" x14ac:dyDescent="0.25">
      <c r="A345" s="620" t="s">
        <v>132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137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137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70</v>
      </c>
      <c r="Y347" s="55">
        <f>IFERROR(IF(X347="",0,CEILING((X347/$H347),1)*$H347),"")</f>
        <v>70.2</v>
      </c>
      <c r="Z347" s="41">
        <f>IFERROR(IF(Y347=0,"",ROUNDUP(Y347/H347,0)*0.01898),"")</f>
        <v>0.17082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73.679487179487182</v>
      </c>
      <c r="BN347" s="78">
        <f>IFERROR(Y347*I347/H347,"0")</f>
        <v>73.890000000000015</v>
      </c>
      <c r="BO347" s="78">
        <f>IFERROR(1/J347*(X347/H347),"0")</f>
        <v>0.14022435897435898</v>
      </c>
      <c r="BP347" s="78">
        <f>IFERROR(1/J347*(Y347/H347),"0")</f>
        <v>0.140625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137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8.9743589743589745</v>
      </c>
      <c r="Y349" s="43">
        <f>IFERROR(Y346/H346,"0")+IFERROR(Y347/H347,"0")+IFERROR(Y348/H348,"0")</f>
        <v>9</v>
      </c>
      <c r="Z349" s="43">
        <f>IFERROR(IF(Z346="",0,Z346),"0")+IFERROR(IF(Z347="",0,Z347),"0")+IFERROR(IF(Z348="",0,Z348),"0")</f>
        <v>0.17082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70</v>
      </c>
      <c r="Y350" s="43">
        <f>IFERROR(SUM(Y346:Y348),"0")</f>
        <v>70.2</v>
      </c>
      <c r="Z350" s="42"/>
      <c r="AA350" s="67"/>
      <c r="AB350" s="67"/>
      <c r="AC350" s="67"/>
    </row>
    <row r="351" spans="1:68" ht="16.5" customHeight="1" x14ac:dyDescent="0.25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customHeight="1" x14ac:dyDescent="0.25">
      <c r="A352" s="620" t="s">
        <v>132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137</v>
      </c>
      <c r="L353" s="37" t="s">
        <v>46</v>
      </c>
      <c r="M353" s="38" t="s">
        <v>136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53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54">IFERROR(X353*I353/H353,"0")</f>
        <v>0</v>
      </c>
      <c r="BN353" s="78">
        <f t="shared" ref="BN353:BN358" si="55">IFERROR(Y353*I353/H353,"0")</f>
        <v>0</v>
      </c>
      <c r="BO353" s="78">
        <f t="shared" ref="BO353:BO358" si="56">IFERROR(1/J353*(X353/H353),"0")</f>
        <v>0</v>
      </c>
      <c r="BP353" s="78">
        <f t="shared" ref="BP353:BP358" si="57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137</v>
      </c>
      <c r="L354" s="37" t="s">
        <v>46</v>
      </c>
      <c r="M354" s="38" t="s">
        <v>136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3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4"/>
        <v>0</v>
      </c>
      <c r="BN354" s="78">
        <f t="shared" si="55"/>
        <v>0</v>
      </c>
      <c r="BO354" s="78">
        <f t="shared" si="56"/>
        <v>0</v>
      </c>
      <c r="BP354" s="78">
        <f t="shared" si="57"/>
        <v>0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137</v>
      </c>
      <c r="L355" s="37" t="s">
        <v>46</v>
      </c>
      <c r="M355" s="38" t="s">
        <v>136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3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54"/>
        <v>0</v>
      </c>
      <c r="BN355" s="78">
        <f t="shared" si="55"/>
        <v>0</v>
      </c>
      <c r="BO355" s="78">
        <f t="shared" si="56"/>
        <v>0</v>
      </c>
      <c r="BP355" s="78">
        <f t="shared" si="57"/>
        <v>0</v>
      </c>
    </row>
    <row r="356" spans="1:68" ht="27" customHeight="1" x14ac:dyDescent="0.25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137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3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54"/>
        <v>0</v>
      </c>
      <c r="BN356" s="78">
        <f t="shared" si="55"/>
        <v>0</v>
      </c>
      <c r="BO356" s="78">
        <f t="shared" si="56"/>
        <v>0</v>
      </c>
      <c r="BP356" s="78">
        <f t="shared" si="57"/>
        <v>0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144</v>
      </c>
      <c r="L357" s="37" t="s">
        <v>46</v>
      </c>
      <c r="M357" s="38" t="s">
        <v>136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3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54"/>
        <v>0</v>
      </c>
      <c r="BN357" s="78">
        <f t="shared" si="55"/>
        <v>0</v>
      </c>
      <c r="BO357" s="78">
        <f t="shared" si="56"/>
        <v>0</v>
      </c>
      <c r="BP357" s="78">
        <f t="shared" si="57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144</v>
      </c>
      <c r="L358" s="37" t="s">
        <v>46</v>
      </c>
      <c r="M358" s="38" t="s">
        <v>136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3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54"/>
        <v>0</v>
      </c>
      <c r="BN358" s="78">
        <f t="shared" si="55"/>
        <v>0</v>
      </c>
      <c r="BO358" s="78">
        <f t="shared" si="56"/>
        <v>0</v>
      </c>
      <c r="BP358" s="78">
        <f t="shared" si="57"/>
        <v>0</v>
      </c>
    </row>
    <row r="359" spans="1:68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customHeight="1" x14ac:dyDescent="0.25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144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8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9">IFERROR(X362*I362/H362,"0")</f>
        <v>0</v>
      </c>
      <c r="BN362" s="78">
        <f t="shared" ref="BN362:BN368" si="60">IFERROR(Y362*I362/H362,"0")</f>
        <v>0</v>
      </c>
      <c r="BO362" s="78">
        <f t="shared" ref="BO362:BO368" si="61">IFERROR(1/J362*(X362/H362),"0")</f>
        <v>0</v>
      </c>
      <c r="BP362" s="78">
        <f t="shared" ref="BP362:BP368" si="62">IFERROR(1/J362*(Y362/H362),"0")</f>
        <v>0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144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customHeight="1" x14ac:dyDescent="0.25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144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customHeight="1" x14ac:dyDescent="0.25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144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customHeight="1" x14ac:dyDescent="0.25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137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137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137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customHeight="1" x14ac:dyDescent="0.25">
      <c r="A378" s="620" t="s">
        <v>184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137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137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700</v>
      </c>
      <c r="Y380" s="55">
        <f>IFERROR(IF(X380="",0,CEILING((X380/$H380),1)*$H380),"")</f>
        <v>702</v>
      </c>
      <c r="Z380" s="41">
        <f>IFERROR(IF(Y380=0,"",ROUNDUP(Y380/H380,0)*0.01898),"")</f>
        <v>1.7081999999999999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744.33333333333337</v>
      </c>
      <c r="BN380" s="78">
        <f>IFERROR(Y380*I380/H380,"0")</f>
        <v>746.46</v>
      </c>
      <c r="BO380" s="78">
        <f>IFERROR(1/J380*(X380/H380),"0")</f>
        <v>1.4022435897435899</v>
      </c>
      <c r="BP380" s="78">
        <f>IFERROR(1/J380*(Y380/H380),"0")</f>
        <v>1.40625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137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89.743589743589752</v>
      </c>
      <c r="Y382" s="43">
        <f>IFERROR(Y379/H379,"0")+IFERROR(Y380/H380,"0")+IFERROR(Y381/H381,"0")</f>
        <v>90</v>
      </c>
      <c r="Z382" s="43">
        <f>IFERROR(IF(Z379="",0,Z379),"0")+IFERROR(IF(Z380="",0,Z380),"0")+IFERROR(IF(Z381="",0,Z381),"0")</f>
        <v>1.7081999999999999</v>
      </c>
      <c r="AA382" s="67"/>
      <c r="AB382" s="67"/>
      <c r="AC382" s="67"/>
    </row>
    <row r="383" spans="1:68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700</v>
      </c>
      <c r="Y383" s="43">
        <f>IFERROR(SUM(Y379:Y381),"0")</f>
        <v>702</v>
      </c>
      <c r="Z383" s="42"/>
      <c r="AA383" s="67"/>
      <c r="AB383" s="67"/>
      <c r="AC383" s="67"/>
    </row>
    <row r="384" spans="1:68" ht="14.25" customHeight="1" x14ac:dyDescent="0.25">
      <c r="A384" s="620" t="s">
        <v>107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144</v>
      </c>
      <c r="L385" s="37" t="s">
        <v>46</v>
      </c>
      <c r="M385" s="38" t="s">
        <v>112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144</v>
      </c>
      <c r="L386" s="37" t="s">
        <v>46</v>
      </c>
      <c r="M386" s="38" t="s">
        <v>112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112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112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102</v>
      </c>
      <c r="Y388" s="55">
        <f>IFERROR(IF(X388="",0,CEILING((X388/$H388),1)*$H388),"")</f>
        <v>102</v>
      </c>
      <c r="Z388" s="41">
        <f>IFERROR(IF(Y388=0,"",ROUNDUP(Y388/H388,0)*0.00651),"")</f>
        <v>0.26040000000000002</v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115.2</v>
      </c>
      <c r="BN388" s="78">
        <f>IFERROR(Y388*I388/H388,"0")</f>
        <v>115.2</v>
      </c>
      <c r="BO388" s="78">
        <f>IFERROR(1/J388*(X388/H388),"0")</f>
        <v>0.2197802197802198</v>
      </c>
      <c r="BP388" s="78">
        <f>IFERROR(1/J388*(Y388/H388),"0")</f>
        <v>0.2197802197802198</v>
      </c>
    </row>
    <row r="389" spans="1:68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40</v>
      </c>
      <c r="Y389" s="43">
        <f>IFERROR(Y385/H385,"0")+IFERROR(Y386/H386,"0")+IFERROR(Y387/H387,"0")+IFERROR(Y388/H388,"0")</f>
        <v>40</v>
      </c>
      <c r="Z389" s="43">
        <f>IFERROR(IF(Z385="",0,Z385),"0")+IFERROR(IF(Z386="",0,Z386),"0")+IFERROR(IF(Z387="",0,Z387),"0")+IFERROR(IF(Z388="",0,Z388),"0")</f>
        <v>0.26040000000000002</v>
      </c>
      <c r="AA389" s="67"/>
      <c r="AB389" s="67"/>
      <c r="AC389" s="67"/>
    </row>
    <row r="390" spans="1:68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102</v>
      </c>
      <c r="Y390" s="43">
        <f>IFERROR(SUM(Y385:Y388),"0")</f>
        <v>102</v>
      </c>
      <c r="Z390" s="42"/>
      <c r="AA390" s="67"/>
      <c r="AB390" s="67"/>
      <c r="AC390" s="67"/>
    </row>
    <row r="391" spans="1:68" ht="14.25" customHeight="1" x14ac:dyDescent="0.25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customHeight="1" x14ac:dyDescent="0.25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customHeight="1" x14ac:dyDescent="0.25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137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50</v>
      </c>
      <c r="Y399" s="55">
        <f>IFERROR(IF(X399="",0,CEILING((X399/$H399),1)*$H399),"")</f>
        <v>56.699999999999996</v>
      </c>
      <c r="Z399" s="41">
        <f>IFERROR(IF(Y399=0,"",ROUNDUP(Y399/H399,0)*0.01898),"")</f>
        <v>0.13286000000000001</v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53.049382716049386</v>
      </c>
      <c r="BN399" s="78">
        <f>IFERROR(Y399*I399/H399,"0")</f>
        <v>60.157999999999994</v>
      </c>
      <c r="BO399" s="78">
        <f>IFERROR(1/J399*(X399/H399),"0")</f>
        <v>9.6450617283950615E-2</v>
      </c>
      <c r="BP399" s="78">
        <f>IFERROR(1/J399*(Y399/H399),"0")</f>
        <v>0.109375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84</v>
      </c>
      <c r="Y400" s="55">
        <f>IFERROR(IF(X400="",0,CEILING((X400/$H400),1)*$H400),"")</f>
        <v>84</v>
      </c>
      <c r="Z400" s="41">
        <f>IFERROR(IF(Y400=0,"",ROUNDUP(Y400/H400,0)*0.00651),"")</f>
        <v>0.26040000000000002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94.079999999999984</v>
      </c>
      <c r="BN400" s="78">
        <f>IFERROR(Y400*I400/H400,"0")</f>
        <v>94.079999999999984</v>
      </c>
      <c r="BO400" s="78">
        <f>IFERROR(1/J400*(X400/H400),"0")</f>
        <v>0.2197802197802198</v>
      </c>
      <c r="BP400" s="78">
        <f>IFERROR(1/J400*(Y400/H400),"0")</f>
        <v>0.2197802197802198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52.5</v>
      </c>
      <c r="Y401" s="55">
        <f>IFERROR(IF(X401="",0,CEILING((X401/$H401),1)*$H401),"")</f>
        <v>52.5</v>
      </c>
      <c r="Z401" s="41">
        <f>IFERROR(IF(Y401=0,"",ROUNDUP(Y401/H401,0)*0.00651),"")</f>
        <v>0.16275000000000001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58.499999999999993</v>
      </c>
      <c r="BN401" s="78">
        <f>IFERROR(Y401*I401/H401,"0")</f>
        <v>58.499999999999993</v>
      </c>
      <c r="BO401" s="78">
        <f>IFERROR(1/J401*(X401/H401),"0")</f>
        <v>0.13736263736263737</v>
      </c>
      <c r="BP401" s="78">
        <f>IFERROR(1/J401*(Y401/H401),"0")</f>
        <v>0.13736263736263737</v>
      </c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71.172839506172835</v>
      </c>
      <c r="Y402" s="43">
        <f>IFERROR(Y399/H399,"0")+IFERROR(Y400/H400,"0")+IFERROR(Y401/H401,"0")</f>
        <v>72</v>
      </c>
      <c r="Z402" s="43">
        <f>IFERROR(IF(Z399="",0,Z399),"0")+IFERROR(IF(Z400="",0,Z400),"0")+IFERROR(IF(Z401="",0,Z401),"0")</f>
        <v>0.55601000000000012</v>
      </c>
      <c r="AA402" s="67"/>
      <c r="AB402" s="67"/>
      <c r="AC402" s="67"/>
    </row>
    <row r="403" spans="1:68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186.5</v>
      </c>
      <c r="Y403" s="43">
        <f>IFERROR(SUM(Y399:Y401),"0")</f>
        <v>193.2</v>
      </c>
      <c r="Z403" s="42"/>
      <c r="AA403" s="67"/>
      <c r="AB403" s="67"/>
      <c r="AC403" s="67"/>
    </row>
    <row r="404" spans="1:68" ht="27.75" customHeight="1" x14ac:dyDescent="0.2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customHeight="1" x14ac:dyDescent="0.25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customHeight="1" x14ac:dyDescent="0.25">
      <c r="A406" s="620" t="s">
        <v>132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137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150</v>
      </c>
      <c r="Y407" s="55">
        <f t="shared" ref="Y407:Y414" si="63">IFERROR(IF(X407="",0,CEILING((X407/$H407),1)*$H407),"")</f>
        <v>150</v>
      </c>
      <c r="Z407" s="41">
        <f>IFERROR(IF(Y407=0,"",ROUNDUP(Y407/H407,0)*0.02175),"")</f>
        <v>0.21749999999999997</v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64">IFERROR(X407*I407/H407,"0")</f>
        <v>154.69999999999999</v>
      </c>
      <c r="BN407" s="78">
        <f t="shared" ref="BN407:BN414" si="65">IFERROR(Y407*I407/H407,"0")</f>
        <v>154.69999999999999</v>
      </c>
      <c r="BO407" s="78">
        <f t="shared" ref="BO407:BO414" si="66">IFERROR(1/J407*(X407/H407),"0")</f>
        <v>0.20833333333333331</v>
      </c>
      <c r="BP407" s="78">
        <f t="shared" ref="BP407:BP414" si="67">IFERROR(1/J407*(Y407/H407),"0")</f>
        <v>0.20833333333333331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137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1200</v>
      </c>
      <c r="Y408" s="55">
        <f t="shared" si="63"/>
        <v>1200</v>
      </c>
      <c r="Z408" s="41">
        <f>IFERROR(IF(Y408=0,"",ROUNDUP(Y408/H408,0)*0.02175),"")</f>
        <v>1.7399999999999998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64"/>
        <v>1237.5999999999999</v>
      </c>
      <c r="BN408" s="78">
        <f t="shared" si="65"/>
        <v>1237.5999999999999</v>
      </c>
      <c r="BO408" s="78">
        <f t="shared" si="66"/>
        <v>1.6666666666666665</v>
      </c>
      <c r="BP408" s="78">
        <f t="shared" si="67"/>
        <v>1.6666666666666665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137</v>
      </c>
      <c r="L409" s="37" t="s">
        <v>46</v>
      </c>
      <c r="M409" s="38" t="s">
        <v>136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63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64"/>
        <v>0</v>
      </c>
      <c r="BN409" s="78">
        <f t="shared" si="65"/>
        <v>0</v>
      </c>
      <c r="BO409" s="78">
        <f t="shared" si="66"/>
        <v>0</v>
      </c>
      <c r="BP409" s="78">
        <f t="shared" si="67"/>
        <v>0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137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63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64"/>
        <v>0</v>
      </c>
      <c r="BN410" s="78">
        <f t="shared" si="65"/>
        <v>0</v>
      </c>
      <c r="BO410" s="78">
        <f t="shared" si="66"/>
        <v>0</v>
      </c>
      <c r="BP410" s="78">
        <f t="shared" si="67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137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600</v>
      </c>
      <c r="Y411" s="55">
        <f t="shared" si="63"/>
        <v>600</v>
      </c>
      <c r="Z411" s="41">
        <f>IFERROR(IF(Y411=0,"",ROUNDUP(Y411/H411,0)*0.02175),"")</f>
        <v>0.86999999999999988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64"/>
        <v>618.79999999999995</v>
      </c>
      <c r="BN411" s="78">
        <f t="shared" si="65"/>
        <v>618.79999999999995</v>
      </c>
      <c r="BO411" s="78">
        <f t="shared" si="66"/>
        <v>0.83333333333333326</v>
      </c>
      <c r="BP411" s="78">
        <f t="shared" si="67"/>
        <v>0.83333333333333326</v>
      </c>
    </row>
    <row r="412" spans="1:68" ht="27" customHeight="1" x14ac:dyDescent="0.25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144</v>
      </c>
      <c r="L412" s="37" t="s">
        <v>46</v>
      </c>
      <c r="M412" s="38" t="s">
        <v>136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63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64"/>
        <v>0</v>
      </c>
      <c r="BN412" s="78">
        <f t="shared" si="65"/>
        <v>0</v>
      </c>
      <c r="BO412" s="78">
        <f t="shared" si="66"/>
        <v>0</v>
      </c>
      <c r="BP412" s="78">
        <f t="shared" si="67"/>
        <v>0</v>
      </c>
    </row>
    <row r="413" spans="1:68" ht="27" customHeight="1" x14ac:dyDescent="0.25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144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63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64"/>
        <v>0</v>
      </c>
      <c r="BN413" s="78">
        <f t="shared" si="65"/>
        <v>0</v>
      </c>
      <c r="BO413" s="78">
        <f t="shared" si="66"/>
        <v>0</v>
      </c>
      <c r="BP413" s="78">
        <f t="shared" si="67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144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63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64"/>
        <v>0</v>
      </c>
      <c r="BN414" s="78">
        <f t="shared" si="65"/>
        <v>0</v>
      </c>
      <c r="BO414" s="78">
        <f t="shared" si="66"/>
        <v>0</v>
      </c>
      <c r="BP414" s="78">
        <f t="shared" si="67"/>
        <v>0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130</v>
      </c>
      <c r="Y415" s="43">
        <f>IFERROR(Y407/H407,"0")+IFERROR(Y408/H408,"0")+IFERROR(Y409/H409,"0")+IFERROR(Y410/H410,"0")+IFERROR(Y411/H411,"0")+IFERROR(Y412/H412,"0")+IFERROR(Y413/H413,"0")+IFERROR(Y414/H414,"0")</f>
        <v>130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2.8274999999999997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1950</v>
      </c>
      <c r="Y416" s="43">
        <f>IFERROR(SUM(Y407:Y414),"0")</f>
        <v>1950</v>
      </c>
      <c r="Z416" s="42"/>
      <c r="AA416" s="67"/>
      <c r="AB416" s="67"/>
      <c r="AC416" s="67"/>
    </row>
    <row r="417" spans="1:68" ht="14.25" customHeight="1" x14ac:dyDescent="0.25">
      <c r="A417" s="620" t="s">
        <v>167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137</v>
      </c>
      <c r="L418" s="37" t="s">
        <v>46</v>
      </c>
      <c r="M418" s="38" t="s">
        <v>136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2000</v>
      </c>
      <c r="Y418" s="55">
        <f>IFERROR(IF(X418="",0,CEILING((X418/$H418),1)*$H418),"")</f>
        <v>2010</v>
      </c>
      <c r="Z418" s="41">
        <f>IFERROR(IF(Y418=0,"",ROUNDUP(Y418/H418,0)*0.02175),"")</f>
        <v>2.9144999999999999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2062.6666666666665</v>
      </c>
      <c r="BN418" s="78">
        <f>IFERROR(Y418*I418/H418,"0")</f>
        <v>2072.98</v>
      </c>
      <c r="BO418" s="78">
        <f>IFERROR(1/J418*(X418/H418),"0")</f>
        <v>2.7777777777777777</v>
      </c>
      <c r="BP418" s="78">
        <f>IFERROR(1/J418*(Y418/H418),"0")</f>
        <v>2.7916666666666665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137</v>
      </c>
      <c r="L419" s="37" t="s">
        <v>46</v>
      </c>
      <c r="M419" s="38" t="s">
        <v>136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144</v>
      </c>
      <c r="L420" s="37" t="s">
        <v>46</v>
      </c>
      <c r="M420" s="38" t="s">
        <v>136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133.33333333333334</v>
      </c>
      <c r="Y421" s="43">
        <f>IFERROR(Y418/H418,"0")+IFERROR(Y419/H419,"0")+IFERROR(Y420/H420,"0")</f>
        <v>134</v>
      </c>
      <c r="Z421" s="43">
        <f>IFERROR(IF(Z418="",0,Z418),"0")+IFERROR(IF(Z419="",0,Z419),"0")+IFERROR(IF(Z420="",0,Z420),"0")</f>
        <v>2.9144999999999999</v>
      </c>
      <c r="AA421" s="67"/>
      <c r="AB421" s="67"/>
      <c r="AC421" s="67"/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2000</v>
      </c>
      <c r="Y422" s="43">
        <f>IFERROR(SUM(Y418:Y420),"0")</f>
        <v>2010</v>
      </c>
      <c r="Z422" s="42"/>
      <c r="AA422" s="67"/>
      <c r="AB422" s="67"/>
      <c r="AC422" s="67"/>
    </row>
    <row r="423" spans="1:68" ht="14.25" customHeight="1" x14ac:dyDescent="0.25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137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137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customHeight="1" x14ac:dyDescent="0.25">
      <c r="A428" s="620" t="s">
        <v>184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137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50</v>
      </c>
      <c r="Y429" s="55">
        <f>IFERROR(IF(X429="",0,CEILING((X429/$H429),1)*$H429),"")</f>
        <v>54</v>
      </c>
      <c r="Z429" s="41">
        <f>IFERROR(IF(Y429=0,"",ROUNDUP(Y429/H429,0)*0.01898),"")</f>
        <v>0.11388000000000001</v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52.74444444444444</v>
      </c>
      <c r="BN429" s="78">
        <f>IFERROR(Y429*I429/H429,"0")</f>
        <v>56.963999999999992</v>
      </c>
      <c r="BO429" s="78">
        <f>IFERROR(1/J429*(X429/H429),"0")</f>
        <v>8.6805555555555552E-2</v>
      </c>
      <c r="BP429" s="78">
        <f>IFERROR(1/J429*(Y429/H429),"0")</f>
        <v>9.375E-2</v>
      </c>
    </row>
    <row r="430" spans="1:68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5.5555555555555554</v>
      </c>
      <c r="Y430" s="43">
        <f>IFERROR(Y429/H429,"0")</f>
        <v>6</v>
      </c>
      <c r="Z430" s="43">
        <f>IFERROR(IF(Z429="",0,Z429),"0")</f>
        <v>0.11388000000000001</v>
      </c>
      <c r="AA430" s="67"/>
      <c r="AB430" s="67"/>
      <c r="AC430" s="67"/>
    </row>
    <row r="431" spans="1:68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50</v>
      </c>
      <c r="Y431" s="43">
        <f>IFERROR(SUM(Y429:Y429),"0")</f>
        <v>54</v>
      </c>
      <c r="Z431" s="42"/>
      <c r="AA431" s="67"/>
      <c r="AB431" s="67"/>
      <c r="AC431" s="67"/>
    </row>
    <row r="432" spans="1:68" ht="16.5" customHeight="1" x14ac:dyDescent="0.25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customHeight="1" x14ac:dyDescent="0.25">
      <c r="A433" s="620" t="s">
        <v>132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137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customHeight="1" x14ac:dyDescent="0.25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144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customHeight="1" x14ac:dyDescent="0.25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customHeight="1" x14ac:dyDescent="0.25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144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 x14ac:dyDescent="0.25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137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4500</v>
      </c>
      <c r="Y443" s="55">
        <f>IFERROR(IF(X443="",0,CEILING((X443/$H443),1)*$H443),"")</f>
        <v>4500</v>
      </c>
      <c r="Z443" s="41">
        <f>IFERROR(IF(Y443=0,"",ROUNDUP(Y443/H443,0)*0.01898),"")</f>
        <v>9.49</v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4747</v>
      </c>
      <c r="BN443" s="78">
        <f>IFERROR(Y443*I443/H443,"0")</f>
        <v>4747</v>
      </c>
      <c r="BO443" s="78">
        <f>IFERROR(1/J443*(X443/H443),"0")</f>
        <v>7.8125</v>
      </c>
      <c r="BP443" s="78">
        <f>IFERROR(1/J443*(Y443/H443),"0")</f>
        <v>7.8125</v>
      </c>
    </row>
    <row r="444" spans="1:68" ht="27" customHeight="1" x14ac:dyDescent="0.25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72</v>
      </c>
      <c r="Y444" s="55">
        <f>IFERROR(IF(X444="",0,CEILING((X444/$H444),1)*$H444),"")</f>
        <v>72</v>
      </c>
      <c r="Z444" s="41">
        <f>IFERROR(IF(Y444=0,"",ROUNDUP(Y444/H444,0)*0.00651),"")</f>
        <v>0.1953</v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79.920000000000016</v>
      </c>
      <c r="BN444" s="78">
        <f>IFERROR(Y444*I444/H444,"0")</f>
        <v>79.920000000000016</v>
      </c>
      <c r="BO444" s="78">
        <f>IFERROR(1/J444*(X444/H444),"0")</f>
        <v>0.16483516483516486</v>
      </c>
      <c r="BP444" s="78">
        <f>IFERROR(1/J444*(Y444/H444),"0")</f>
        <v>0.16483516483516486</v>
      </c>
    </row>
    <row r="445" spans="1:68" ht="27" customHeight="1" x14ac:dyDescent="0.25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530</v>
      </c>
      <c r="Y446" s="43">
        <f>IFERROR(Y443/H443,"0")+IFERROR(Y444/H444,"0")+IFERROR(Y445/H445,"0")</f>
        <v>530</v>
      </c>
      <c r="Z446" s="43">
        <f>IFERROR(IF(Z443="",0,Z443),"0")+IFERROR(IF(Z444="",0,Z444),"0")+IFERROR(IF(Z445="",0,Z445),"0")</f>
        <v>9.6852999999999998</v>
      </c>
      <c r="AA446" s="67"/>
      <c r="AB446" s="67"/>
      <c r="AC446" s="67"/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4572</v>
      </c>
      <c r="Y447" s="43">
        <f>IFERROR(SUM(Y443:Y445),"0")</f>
        <v>4572</v>
      </c>
      <c r="Z447" s="42"/>
      <c r="AA447" s="67"/>
      <c r="AB447" s="67"/>
      <c r="AC447" s="67"/>
    </row>
    <row r="448" spans="1:68" ht="27.75" customHeight="1" x14ac:dyDescent="0.2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customHeight="1" x14ac:dyDescent="0.25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customHeight="1" x14ac:dyDescent="0.25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144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50</v>
      </c>
      <c r="Y451" s="55">
        <f t="shared" ref="Y451:Y456" si="68">IFERROR(IF(X451="",0,CEILING((X451/$H451),1)*$H451),"")</f>
        <v>54</v>
      </c>
      <c r="Z451" s="41">
        <f>IFERROR(IF(Y451=0,"",ROUNDUP(Y451/H451,0)*0.00902),"")</f>
        <v>9.0200000000000002E-2</v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9">IFERROR(X451*I451/H451,"0")</f>
        <v>51.759259259259252</v>
      </c>
      <c r="BN451" s="78">
        <f t="shared" ref="BN451:BN456" si="70">IFERROR(Y451*I451/H451,"0")</f>
        <v>55.9</v>
      </c>
      <c r="BO451" s="78">
        <f t="shared" ref="BO451:BO456" si="71">IFERROR(1/J451*(X451/H451),"0")</f>
        <v>7.0145903479236812E-2</v>
      </c>
      <c r="BP451" s="78">
        <f t="shared" ref="BP451:BP456" si="72">IFERROR(1/J451*(Y451/H451),"0")</f>
        <v>7.575757575757576E-2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144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40</v>
      </c>
      <c r="Y452" s="55">
        <f t="shared" si="68"/>
        <v>43.2</v>
      </c>
      <c r="Z452" s="41">
        <f>IFERROR(IF(Y452=0,"",ROUNDUP(Y452/H452,0)*0.00902),"")</f>
        <v>7.2160000000000002E-2</v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9"/>
        <v>41.407407407407405</v>
      </c>
      <c r="BN452" s="78">
        <f t="shared" si="70"/>
        <v>44.72</v>
      </c>
      <c r="BO452" s="78">
        <f t="shared" si="71"/>
        <v>5.6116722783389444E-2</v>
      </c>
      <c r="BP452" s="78">
        <f t="shared" si="72"/>
        <v>6.0606060606060608E-2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8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9"/>
        <v>0</v>
      </c>
      <c r="BN453" s="78">
        <f t="shared" si="70"/>
        <v>0</v>
      </c>
      <c r="BO453" s="78">
        <f t="shared" si="71"/>
        <v>0</v>
      </c>
      <c r="BP453" s="78">
        <f t="shared" si="72"/>
        <v>0</v>
      </c>
    </row>
    <row r="454" spans="1:68" ht="27" customHeight="1" x14ac:dyDescent="0.25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8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9"/>
        <v>0</v>
      </c>
      <c r="BN454" s="78">
        <f t="shared" si="70"/>
        <v>0</v>
      </c>
      <c r="BO454" s="78">
        <f t="shared" si="71"/>
        <v>0</v>
      </c>
      <c r="BP454" s="78">
        <f t="shared" si="72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8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9"/>
        <v>0</v>
      </c>
      <c r="BN455" s="78">
        <f t="shared" si="70"/>
        <v>0</v>
      </c>
      <c r="BO455" s="78">
        <f t="shared" si="71"/>
        <v>0</v>
      </c>
      <c r="BP455" s="78">
        <f t="shared" si="72"/>
        <v>0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8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9"/>
        <v>0</v>
      </c>
      <c r="BN456" s="78">
        <f t="shared" si="70"/>
        <v>0</v>
      </c>
      <c r="BO456" s="78">
        <f t="shared" si="71"/>
        <v>0</v>
      </c>
      <c r="BP456" s="78">
        <f t="shared" si="72"/>
        <v>0</v>
      </c>
    </row>
    <row r="457" spans="1:68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16.666666666666664</v>
      </c>
      <c r="Y457" s="43">
        <f>IFERROR(Y451/H451,"0")+IFERROR(Y452/H452,"0")+IFERROR(Y453/H453,"0")+IFERROR(Y454/H454,"0")+IFERROR(Y455/H455,"0")+IFERROR(Y456/H456,"0")</f>
        <v>18</v>
      </c>
      <c r="Z457" s="43">
        <f>IFERROR(IF(Z451="",0,Z451),"0")+IFERROR(IF(Z452="",0,Z452),"0")+IFERROR(IF(Z453="",0,Z453),"0")+IFERROR(IF(Z454="",0,Z454),"0")+IFERROR(IF(Z455="",0,Z455),"0")+IFERROR(IF(Z456="",0,Z456),"0")</f>
        <v>0.16236</v>
      </c>
      <c r="AA457" s="67"/>
      <c r="AB457" s="67"/>
      <c r="AC457" s="67"/>
    </row>
    <row r="458" spans="1:68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90</v>
      </c>
      <c r="Y458" s="43">
        <f>IFERROR(SUM(Y451:Y456),"0")</f>
        <v>97.2</v>
      </c>
      <c r="Z458" s="42"/>
      <c r="AA458" s="67"/>
      <c r="AB458" s="67"/>
      <c r="AC458" s="67"/>
    </row>
    <row r="459" spans="1:68" ht="14.25" customHeight="1" x14ac:dyDescent="0.25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customHeight="1" x14ac:dyDescent="0.25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144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customHeight="1" x14ac:dyDescent="0.25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customHeight="1" x14ac:dyDescent="0.25">
      <c r="A465" s="620" t="s">
        <v>167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customHeight="1" x14ac:dyDescent="0.25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144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40</v>
      </c>
      <c r="Y470" s="55">
        <f>IFERROR(IF(X470="",0,CEILING((X470/$H470),1)*$H470),"")</f>
        <v>43.2</v>
      </c>
      <c r="Z470" s="41">
        <f>IFERROR(IF(Y470=0,"",ROUNDUP(Y470/H470,0)*0.00902),"")</f>
        <v>7.2160000000000002E-2</v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41.407407407407405</v>
      </c>
      <c r="BN470" s="78">
        <f>IFERROR(Y470*I470/H470,"0")</f>
        <v>44.72</v>
      </c>
      <c r="BO470" s="78">
        <f>IFERROR(1/J470*(X470/H470),"0")</f>
        <v>5.6116722783389444E-2</v>
      </c>
      <c r="BP470" s="78">
        <f>IFERROR(1/J470*(Y470/H470),"0")</f>
        <v>6.0606060606060608E-2</v>
      </c>
    </row>
    <row r="471" spans="1:68" ht="27" customHeight="1" x14ac:dyDescent="0.25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7.4074074074074066</v>
      </c>
      <c r="Y473" s="43">
        <f>IFERROR(Y470/H470,"0")+IFERROR(Y471/H471,"0")+IFERROR(Y472/H472,"0")</f>
        <v>8</v>
      </c>
      <c r="Z473" s="43">
        <f>IFERROR(IF(Z470="",0,Z470),"0")+IFERROR(IF(Z471="",0,Z471),"0")+IFERROR(IF(Z472="",0,Z472),"0")</f>
        <v>7.2160000000000002E-2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40</v>
      </c>
      <c r="Y474" s="43">
        <f>IFERROR(SUM(Y470:Y472),"0")</f>
        <v>43.2</v>
      </c>
      <c r="Z474" s="42"/>
      <c r="AA474" s="67"/>
      <c r="AB474" s="67"/>
      <c r="AC474" s="67"/>
    </row>
    <row r="475" spans="1:68" ht="27.75" customHeight="1" x14ac:dyDescent="0.2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customHeight="1" x14ac:dyDescent="0.25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customHeight="1" x14ac:dyDescent="0.25">
      <c r="A477" s="620" t="s">
        <v>132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137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500</v>
      </c>
      <c r="Y478" s="55">
        <f t="shared" ref="Y478:Y486" si="73">IFERROR(IF(X478="",0,CEILING((X478/$H478),1)*$H478),"")</f>
        <v>501.6</v>
      </c>
      <c r="Z478" s="41">
        <f t="shared" ref="Z478:Z483" si="74">IFERROR(IF(Y478=0,"",ROUNDUP(Y478/H478,0)*0.01196),"")</f>
        <v>1.1362000000000001</v>
      </c>
      <c r="AA478" s="68" t="s">
        <v>46</v>
      </c>
      <c r="AB478" s="69" t="s">
        <v>46</v>
      </c>
      <c r="AC478" s="562" t="s">
        <v>135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75">IFERROR(X478*I478/H478,"0")</f>
        <v>533.14393939393938</v>
      </c>
      <c r="BN478" s="78">
        <f t="shared" ref="BN478:BN486" si="76">IFERROR(Y478*I478/H478,"0")</f>
        <v>534.85</v>
      </c>
      <c r="BO478" s="78">
        <f t="shared" ref="BO478:BO486" si="77">IFERROR(1/J478*(X478/H478),"0")</f>
        <v>0.91054778554778548</v>
      </c>
      <c r="BP478" s="78">
        <f t="shared" ref="BP478:BP486" si="78">IFERROR(1/J478*(Y478/H478),"0")</f>
        <v>0.91346153846153855</v>
      </c>
    </row>
    <row r="479" spans="1:68" ht="27" customHeight="1" x14ac:dyDescent="0.25">
      <c r="A479" s="63" t="s">
        <v>765</v>
      </c>
      <c r="B479" s="63" t="s">
        <v>766</v>
      </c>
      <c r="C479" s="36">
        <v>4301012210</v>
      </c>
      <c r="D479" s="621">
        <v>4607091383522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137</v>
      </c>
      <c r="L479" s="37" t="s">
        <v>46</v>
      </c>
      <c r="M479" s="38" t="s">
        <v>136</v>
      </c>
      <c r="N479" s="38"/>
      <c r="O479" s="37">
        <v>60</v>
      </c>
      <c r="P479" s="65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 t="shared" si="74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75"/>
        <v>0</v>
      </c>
      <c r="BN479" s="78">
        <f t="shared" si="76"/>
        <v>0</v>
      </c>
      <c r="BO479" s="78">
        <f t="shared" si="77"/>
        <v>0</v>
      </c>
      <c r="BP479" s="78">
        <f t="shared" si="78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137</v>
      </c>
      <c r="L480" s="37" t="s">
        <v>46</v>
      </c>
      <c r="M480" s="38" t="s">
        <v>136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300</v>
      </c>
      <c r="Y480" s="55">
        <f t="shared" si="73"/>
        <v>300.96000000000004</v>
      </c>
      <c r="Z480" s="41">
        <f t="shared" si="74"/>
        <v>0.68171999999999999</v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75"/>
        <v>319.88636363636363</v>
      </c>
      <c r="BN480" s="78">
        <f t="shared" si="76"/>
        <v>320.91000000000003</v>
      </c>
      <c r="BO480" s="78">
        <f t="shared" si="77"/>
        <v>0.54632867132867136</v>
      </c>
      <c r="BP480" s="78">
        <f t="shared" si="78"/>
        <v>0.54807692307692313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137</v>
      </c>
      <c r="L481" s="37" t="s">
        <v>46</v>
      </c>
      <c r="M481" s="38" t="s">
        <v>136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1000</v>
      </c>
      <c r="Y481" s="55">
        <f t="shared" si="73"/>
        <v>1003.2</v>
      </c>
      <c r="Z481" s="41">
        <f t="shared" si="74"/>
        <v>2.2724000000000002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75"/>
        <v>1066.2878787878788</v>
      </c>
      <c r="BN481" s="78">
        <f t="shared" si="76"/>
        <v>1069.7</v>
      </c>
      <c r="BO481" s="78">
        <f t="shared" si="77"/>
        <v>1.821095571095571</v>
      </c>
      <c r="BP481" s="78">
        <f t="shared" si="78"/>
        <v>1.8269230769230771</v>
      </c>
    </row>
    <row r="482" spans="1:68" ht="16.5" customHeight="1" x14ac:dyDescent="0.25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137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 t="shared" si="74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75"/>
        <v>0</v>
      </c>
      <c r="BN482" s="78">
        <f t="shared" si="76"/>
        <v>0</v>
      </c>
      <c r="BO482" s="78">
        <f t="shared" si="77"/>
        <v>0</v>
      </c>
      <c r="BP482" s="78">
        <f t="shared" si="78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137</v>
      </c>
      <c r="L483" s="37" t="s">
        <v>46</v>
      </c>
      <c r="M483" s="38" t="s">
        <v>136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1700</v>
      </c>
      <c r="Y483" s="55">
        <f t="shared" si="73"/>
        <v>1700.16</v>
      </c>
      <c r="Z483" s="41">
        <f t="shared" si="74"/>
        <v>3.8511199999999999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75"/>
        <v>1812.6893939393938</v>
      </c>
      <c r="BN483" s="78">
        <f t="shared" si="76"/>
        <v>1812.86</v>
      </c>
      <c r="BO483" s="78">
        <f t="shared" si="77"/>
        <v>3.0958624708624707</v>
      </c>
      <c r="BP483" s="78">
        <f t="shared" si="78"/>
        <v>3.0961538461538463</v>
      </c>
    </row>
    <row r="484" spans="1:68" ht="27" customHeight="1" x14ac:dyDescent="0.25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135</v>
      </c>
      <c r="AG484" s="78"/>
      <c r="AJ484" s="84" t="s">
        <v>46</v>
      </c>
      <c r="AK484" s="84">
        <v>0</v>
      </c>
      <c r="BB484" s="575" t="s">
        <v>67</v>
      </c>
      <c r="BM484" s="78">
        <f t="shared" si="75"/>
        <v>0</v>
      </c>
      <c r="BN484" s="78">
        <f t="shared" si="76"/>
        <v>0</v>
      </c>
      <c r="BO484" s="78">
        <f t="shared" si="77"/>
        <v>0</v>
      </c>
      <c r="BP484" s="78">
        <f t="shared" si="78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144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3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135</v>
      </c>
      <c r="AG485" s="78"/>
      <c r="AJ485" s="84" t="s">
        <v>46</v>
      </c>
      <c r="AK485" s="84">
        <v>0</v>
      </c>
      <c r="BB485" s="577" t="s">
        <v>67</v>
      </c>
      <c r="BM485" s="78">
        <f t="shared" si="75"/>
        <v>0</v>
      </c>
      <c r="BN485" s="78">
        <f t="shared" si="76"/>
        <v>0</v>
      </c>
      <c r="BO485" s="78">
        <f t="shared" si="77"/>
        <v>0</v>
      </c>
      <c r="BP485" s="78">
        <f t="shared" si="78"/>
        <v>0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144</v>
      </c>
      <c r="L486" s="37" t="s">
        <v>46</v>
      </c>
      <c r="M486" s="38" t="s">
        <v>136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3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75"/>
        <v>0</v>
      </c>
      <c r="BN486" s="78">
        <f t="shared" si="76"/>
        <v>0</v>
      </c>
      <c r="BO486" s="78">
        <f t="shared" si="77"/>
        <v>0</v>
      </c>
      <c r="BP486" s="78">
        <f t="shared" si="78"/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662.87878787878776</v>
      </c>
      <c r="Y487" s="43">
        <f>IFERROR(Y478/H478,"0")+IFERROR(Y479/H479,"0")+IFERROR(Y480/H480,"0")+IFERROR(Y481/H481,"0")+IFERROR(Y482/H482,"0")+IFERROR(Y483/H483,"0")+IFERROR(Y484/H484,"0")+IFERROR(Y485/H485,"0")+IFERROR(Y486/H486,"0")</f>
        <v>664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7.9414400000000001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3500</v>
      </c>
      <c r="Y488" s="43">
        <f>IFERROR(SUM(Y478:Y486),"0")</f>
        <v>3505.92</v>
      </c>
      <c r="Z488" s="42"/>
      <c r="AA488" s="67"/>
      <c r="AB488" s="67"/>
      <c r="AC488" s="67"/>
    </row>
    <row r="489" spans="1:68" ht="14.25" customHeight="1" x14ac:dyDescent="0.25">
      <c r="A489" s="620" t="s">
        <v>167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137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customHeight="1" x14ac:dyDescent="0.25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136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144</v>
      </c>
      <c r="L492" s="37" t="s">
        <v>46</v>
      </c>
      <c r="M492" s="38" t="s">
        <v>136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customHeight="1" x14ac:dyDescent="0.25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137</v>
      </c>
      <c r="L496" s="37" t="s">
        <v>46</v>
      </c>
      <c r="M496" s="38" t="s">
        <v>136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400</v>
      </c>
      <c r="Y496" s="55">
        <f t="shared" ref="Y496:Y502" si="79">IFERROR(IF(X496="",0,CEILING((X496/$H496),1)*$H496),"")</f>
        <v>401.28000000000003</v>
      </c>
      <c r="Z496" s="41">
        <f>IFERROR(IF(Y496=0,"",ROUNDUP(Y496/H496,0)*0.01196),"")</f>
        <v>0.90895999999999999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80">IFERROR(X496*I496/H496,"0")</f>
        <v>426.5151515151515</v>
      </c>
      <c r="BN496" s="78">
        <f t="shared" ref="BN496:BN502" si="81">IFERROR(Y496*I496/H496,"0")</f>
        <v>427.88</v>
      </c>
      <c r="BO496" s="78">
        <f t="shared" ref="BO496:BO502" si="82">IFERROR(1/J496*(X496/H496),"0")</f>
        <v>0.72843822843822836</v>
      </c>
      <c r="BP496" s="78">
        <f t="shared" ref="BP496:BP502" si="83">IFERROR(1/J496*(Y496/H496),"0")</f>
        <v>0.73076923076923084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137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500</v>
      </c>
      <c r="Y497" s="55">
        <f t="shared" si="79"/>
        <v>501.6</v>
      </c>
      <c r="Z497" s="41">
        <f>IFERROR(IF(Y497=0,"",ROUNDUP(Y497/H497,0)*0.01196),"")</f>
        <v>1.1362000000000001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80"/>
        <v>533.14393939393938</v>
      </c>
      <c r="BN497" s="78">
        <f t="shared" si="81"/>
        <v>534.85</v>
      </c>
      <c r="BO497" s="78">
        <f t="shared" si="82"/>
        <v>0.91054778554778548</v>
      </c>
      <c r="BP497" s="78">
        <f t="shared" si="83"/>
        <v>0.91346153846153855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137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800</v>
      </c>
      <c r="Y498" s="55">
        <f t="shared" si="79"/>
        <v>802.56000000000006</v>
      </c>
      <c r="Z498" s="41">
        <f>IFERROR(IF(Y498=0,"",ROUNDUP(Y498/H498,0)*0.01196),"")</f>
        <v>1.81792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80"/>
        <v>853.030303030303</v>
      </c>
      <c r="BN498" s="78">
        <f t="shared" si="81"/>
        <v>855.76</v>
      </c>
      <c r="BO498" s="78">
        <f t="shared" si="82"/>
        <v>1.4568764568764567</v>
      </c>
      <c r="BP498" s="78">
        <f t="shared" si="83"/>
        <v>1.4615384615384617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144</v>
      </c>
      <c r="L499" s="37" t="s">
        <v>46</v>
      </c>
      <c r="M499" s="38" t="s">
        <v>136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9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80"/>
        <v>0</v>
      </c>
      <c r="BN499" s="78">
        <f t="shared" si="81"/>
        <v>0</v>
      </c>
      <c r="BO499" s="78">
        <f t="shared" si="82"/>
        <v>0</v>
      </c>
      <c r="BP499" s="78">
        <f t="shared" si="83"/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144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9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144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9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144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9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321.96969696969694</v>
      </c>
      <c r="Y503" s="43">
        <f>IFERROR(Y496/H496,"0")+IFERROR(Y497/H497,"0")+IFERROR(Y498/H498,"0")+IFERROR(Y499/H499,"0")+IFERROR(Y500/H500,"0")+IFERROR(Y501/H501,"0")+IFERROR(Y502/H502,"0")</f>
        <v>323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3.8630800000000001</v>
      </c>
      <c r="AA503" s="67"/>
      <c r="AB503" s="67"/>
      <c r="AC503" s="67"/>
    </row>
    <row r="504" spans="1:68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1700</v>
      </c>
      <c r="Y504" s="43">
        <f>IFERROR(SUM(Y496:Y502),"0")</f>
        <v>1705.44</v>
      </c>
      <c r="Z504" s="42"/>
      <c r="AA504" s="67"/>
      <c r="AB504" s="67"/>
      <c r="AC504" s="67"/>
    </row>
    <row r="505" spans="1:68" ht="27.75" customHeight="1" x14ac:dyDescent="0.2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customHeight="1" x14ac:dyDescent="0.25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customHeight="1" x14ac:dyDescent="0.25">
      <c r="A507" s="620" t="s">
        <v>132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137</v>
      </c>
      <c r="L508" s="37" t="s">
        <v>46</v>
      </c>
      <c r="M508" s="38" t="s">
        <v>136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120</v>
      </c>
      <c r="Y508" s="55">
        <f>IFERROR(IF(X508="",0,CEILING((X508/$H508),1)*$H508),"")</f>
        <v>120</v>
      </c>
      <c r="Z508" s="41">
        <f>IFERROR(IF(Y508=0,"",ROUNDUP(Y508/H508,0)*0.01898),"")</f>
        <v>0.1898</v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124.10000000000001</v>
      </c>
      <c r="BN508" s="78">
        <f>IFERROR(Y508*I508/H508,"0")</f>
        <v>124.10000000000001</v>
      </c>
      <c r="BO508" s="78">
        <f>IFERROR(1/J508*(X508/H508),"0")</f>
        <v>0.15625</v>
      </c>
      <c r="BP508" s="78">
        <f>IFERROR(1/J508*(Y508/H508),"0")</f>
        <v>0.15625</v>
      </c>
    </row>
    <row r="509" spans="1:68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10</v>
      </c>
      <c r="Y509" s="43">
        <f>IFERROR(Y508/H508,"0")</f>
        <v>10</v>
      </c>
      <c r="Z509" s="43">
        <f>IFERROR(IF(Z508="",0,Z508),"0")</f>
        <v>0.1898</v>
      </c>
      <c r="AA509" s="67"/>
      <c r="AB509" s="67"/>
      <c r="AC509" s="67"/>
    </row>
    <row r="510" spans="1:68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120</v>
      </c>
      <c r="Y510" s="43">
        <f>IFERROR(SUM(Y508:Y508),"0")</f>
        <v>120</v>
      </c>
      <c r="Z510" s="42"/>
      <c r="AA510" s="67"/>
      <c r="AB510" s="67"/>
      <c r="AC510" s="67"/>
    </row>
    <row r="511" spans="1:68" ht="14.25" customHeight="1" x14ac:dyDescent="0.25">
      <c r="A511" s="620" t="s">
        <v>167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customHeight="1" x14ac:dyDescent="0.25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137</v>
      </c>
      <c r="L512" s="37" t="s">
        <v>46</v>
      </c>
      <c r="M512" s="38" t="s">
        <v>136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 x14ac:dyDescent="0.25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144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customHeight="1" x14ac:dyDescent="0.25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144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customHeight="1" x14ac:dyDescent="0.25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137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50</v>
      </c>
      <c r="Y521" s="55">
        <f>IFERROR(IF(X521="",0,CEILING((X521/$H521),1)*$H521),"")</f>
        <v>54</v>
      </c>
      <c r="Z521" s="41">
        <f>IFERROR(IF(Y521=0,"",ROUNDUP(Y521/H521,0)*0.01898),"")</f>
        <v>0.11388000000000001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52.74444444444444</v>
      </c>
      <c r="BN521" s="78">
        <f>IFERROR(Y521*I521/H521,"0")</f>
        <v>56.963999999999992</v>
      </c>
      <c r="BO521" s="78">
        <f>IFERROR(1/J521*(X521/H521),"0")</f>
        <v>8.6805555555555552E-2</v>
      </c>
      <c r="BP521" s="78">
        <f>IFERROR(1/J521*(Y521/H521),"0")</f>
        <v>9.375E-2</v>
      </c>
    </row>
    <row r="522" spans="1:68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5.5555555555555554</v>
      </c>
      <c r="Y522" s="43">
        <f>IFERROR(Y521/H521,"0")</f>
        <v>6</v>
      </c>
      <c r="Z522" s="43">
        <f>IFERROR(IF(Z521="",0,Z521),"0")</f>
        <v>0.11388000000000001</v>
      </c>
      <c r="AA522" s="67"/>
      <c r="AB522" s="67"/>
      <c r="AC522" s="67"/>
    </row>
    <row r="523" spans="1:68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50</v>
      </c>
      <c r="Y523" s="43">
        <f>IFERROR(SUM(Y521:Y521),"0")</f>
        <v>54</v>
      </c>
      <c r="Z523" s="42"/>
      <c r="AA523" s="67"/>
      <c r="AB523" s="67"/>
      <c r="AC523" s="67"/>
    </row>
    <row r="524" spans="1:68" ht="14.25" customHeight="1" x14ac:dyDescent="0.25">
      <c r="A524" s="620" t="s">
        <v>184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customHeight="1" x14ac:dyDescent="0.25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137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customHeight="1" x14ac:dyDescent="0.25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137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customHeight="1" x14ac:dyDescent="0.25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customHeight="1" x14ac:dyDescent="0.25">
      <c r="A530" s="620" t="s">
        <v>167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customHeight="1" x14ac:dyDescent="0.25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137</v>
      </c>
      <c r="L531" s="37" t="s">
        <v>46</v>
      </c>
      <c r="M531" s="38" t="s">
        <v>136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34+X38+X48+X57+X68+X75+X80+X85+X93+X100+X111+X121+X128+X132+X138+X143+X148+X156+X162+X166+X180+X186+X191+X195+X207+X212+X229+X236+X242+X246+X252+X257+X268+X283+X288+X299+X303+X307+X313+X322+X329+X338+X343+X350+X360+X370+X377+X383+X390+X396+X403+X416+X422+X427+X431+X437+X441+X447+X458+X463+X468+X474+X488+X494+X504+X510+X514+X519+X523+X528+X533,"0")</f>
        <v>17934.5</v>
      </c>
      <c r="Y534" s="43">
        <f>IFERROR(Y25+Y34+Y38+Y48+Y57+Y68+Y75+Y80+Y85+Y93+Y100+Y111+Y121+Y128+Y132+Y138+Y143+Y148+Y156+Y162+Y166+Y180+Y186+Y191+Y195+Y207+Y212+Y229+Y236+Y242+Y246+Y252+Y257+Y268+Y283+Y288+Y299+Y303+Y307+Y313+Y322+Y329+Y338+Y343+Y350+Y360+Y370+Y377+Y383+Y390+Y396+Y403+Y416+Y422+Y427+Y431+Y437+Y441+Y447+Y458+Y463+Y468+Y474+Y488+Y494+Y504+Y510+Y514+Y519+Y523+Y528+Y533,"0")</f>
        <v>18025.260000000002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18910.250494273711</v>
      </c>
      <c r="Y535" s="43">
        <f>IFERROR(SUM(BN22:BN531),"0")</f>
        <v>19005.359999999993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31</v>
      </c>
      <c r="Y536" s="44">
        <f>ROUNDUP(SUM(BP22:BP531),0)</f>
        <v>31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19685.250494273711</v>
      </c>
      <c r="Y537" s="43">
        <f>GrossWeightTotalR+PalletQtyTotalR*25</f>
        <v>19780.359999999993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33+X37+X47+X56+X67+X74+X79+X84+X92+X99+X110+X120+X127+X131+X137+X142+X147+X155+X161+X165+X179+X185+X190+X194+X206+X211+X228+X235+X241+X245+X251+X256+X267+X282+X287+X298+X302+X306+X312+X321+X328+X337+X342+X349+X359+X369+X376+X382+X389+X395+X402+X415+X421+X426+X430+X436+X440+X446+X457+X462+X467+X473+X487+X493+X503+X509+X513+X518+X522+X527+X532,"0")</f>
        <v>2502.7842676693253</v>
      </c>
      <c r="Y538" s="43">
        <f>IFERROR(Y24+Y33+Y37+Y47+Y56+Y67+Y74+Y79+Y84+Y92+Y99+Y110+Y120+Y127+Y131+Y137+Y142+Y147+Y155+Y161+Y165+Y179+Y185+Y190+Y194+Y206+Y211+Y228+Y235+Y241+Y245+Y251+Y256+Y267+Y282+Y287+Y298+Y302+Y306+Y312+Y321+Y328+Y337+Y342+Y349+Y359+Y369+Y376+Y382+Y389+Y395+Y402+Y415+Y421+Y426+Y430+Y436+Y440+Y446+Y457+Y462+Y467+Y473+Y487+Y493+Y503+Y509+Y513+Y518+Y522+Y527+Y532,"0")</f>
        <v>2514</v>
      </c>
      <c r="Z538" s="42"/>
      <c r="AA538" s="67"/>
      <c r="AB538" s="67"/>
      <c r="AC538" s="67"/>
    </row>
    <row r="539" spans="1:68" ht="14.25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33+Z37+Z47+Z56+Z67+Z74+Z79+Z84+Z92+Z99+Z110+Z120+Z127+Z131+Z137+Z142+Z147+Z155+Z161+Z165+Z179+Z185+Z190+Z194+Z206+Z211+Z228+Z235+Z241+Z245+Z251+Z256+Z267+Z282+Z287+Z298+Z302+Z306+Z312+Z321+Z328+Z337+Z342+Z349+Z359+Z369+Z376+Z382+Z389+Z395+Z402+Z415+Z421+Z426+Z430+Z436+Z440+Z446+Z457+Z462+Z467+Z473+Z487+Z493+Z503+Z509+Z513+Z518+Z522+Z527+Z532,"0")</f>
        <v>36.506360000000001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616" t="s">
        <v>130</v>
      </c>
      <c r="E541" s="616" t="s">
        <v>130</v>
      </c>
      <c r="F541" s="616" t="s">
        <v>130</v>
      </c>
      <c r="G541" s="616" t="s">
        <v>130</v>
      </c>
      <c r="H541" s="616" t="s">
        <v>130</v>
      </c>
      <c r="I541" s="616" t="s">
        <v>130</v>
      </c>
      <c r="J541" s="616" t="s">
        <v>130</v>
      </c>
      <c r="K541" s="616" t="s">
        <v>339</v>
      </c>
      <c r="L541" s="616" t="s">
        <v>339</v>
      </c>
      <c r="M541" s="616" t="s">
        <v>339</v>
      </c>
      <c r="N541" s="617"/>
      <c r="O541" s="616" t="s">
        <v>339</v>
      </c>
      <c r="P541" s="616" t="s">
        <v>339</v>
      </c>
      <c r="Q541" s="616" t="s">
        <v>339</v>
      </c>
      <c r="R541" s="616" t="s">
        <v>339</v>
      </c>
      <c r="S541" s="616" t="s">
        <v>339</v>
      </c>
      <c r="T541" s="616" t="s">
        <v>339</v>
      </c>
      <c r="U541" s="616" t="s">
        <v>339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76</v>
      </c>
      <c r="C542" s="616" t="s">
        <v>113</v>
      </c>
      <c r="D542" s="616" t="s">
        <v>131</v>
      </c>
      <c r="E542" s="616" t="s">
        <v>147</v>
      </c>
      <c r="F542" s="616" t="s">
        <v>191</v>
      </c>
      <c r="G542" s="616" t="s">
        <v>212</v>
      </c>
      <c r="H542" s="616" t="s">
        <v>256</v>
      </c>
      <c r="I542" s="616" t="s">
        <v>268</v>
      </c>
      <c r="J542" s="616" t="s">
        <v>130</v>
      </c>
      <c r="K542" s="616" t="s">
        <v>340</v>
      </c>
      <c r="L542" s="616" t="s">
        <v>361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IFERROR(Y22*1,"0")+IFERROR(Y23*1,"0")+IFERROR(Y27*1,"0")+IFERROR(Y28*1,"0")+IFERROR(Y29*1,"0")+IFERROR(Y30*1,"0")+IFERROR(Y31*1,"0")+IFERROR(Y32*1,"0")+IFERROR(Y36*1,"0")</f>
        <v>0</v>
      </c>
      <c r="C544" s="52">
        <f>IFERROR(Y42*1,"0")+IFERROR(Y43*1,"0")+IFERROR(Y44*1,"0")+IFERROR(Y45*1,"0")+IFERROR(Y46*1,"0")</f>
        <v>0</v>
      </c>
      <c r="D544" s="52">
        <f>IFERROR(Y52*1,"0")+IFERROR(Y53*1,"0")+IFERROR(Y54*1,"0")+IFERROR(Y55*1,"0")</f>
        <v>507.6</v>
      </c>
      <c r="E544" s="52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313.80000000000007</v>
      </c>
      <c r="F544" s="52">
        <f>IFERROR(Y88*1,"0")+IFERROR(Y89*1,"0")+IFERROR(Y90*1,"0")+IFERROR(Y91*1,"0")+IFERROR(Y95*1,"0")+IFERROR(Y96*1,"0")+IFERROR(Y97*1,"0")+IFERROR(Y98*1,"0")</f>
        <v>278.10000000000002</v>
      </c>
      <c r="G544" s="52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1120.5</v>
      </c>
      <c r="H544" s="52">
        <f>IFERROR(Y135*1,"0")+IFERROR(Y136*1,"0")+IFERROR(Y140*1,"0")+IFERROR(Y141*1,"0")+IFERROR(Y145*1,"0")+IFERROR(Y146*1,"0")</f>
        <v>0</v>
      </c>
      <c r="I544" s="52">
        <f>IFERROR(Y151*1,"0")+IFERROR(Y152*1,"0")+IFERROR(Y153*1,"0")+IFERROR(Y154*1,"0")</f>
        <v>0</v>
      </c>
      <c r="J544" s="52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0</v>
      </c>
      <c r="K544" s="52">
        <f>IFERROR(Y199*1,"0")+IFERROR(Y200*1,"0")+IFERROR(Y201*1,"0")+IFERROR(Y202*1,"0")+IFERROR(Y203*1,"0")+IFERROR(Y204*1,"0")+IFERROR(Y205*1,"0")</f>
        <v>0</v>
      </c>
      <c r="L544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626.1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70.2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804</v>
      </c>
      <c r="U544" s="52">
        <f>IFERROR(Y399*1,"0")+IFERROR(Y400*1,"0")+IFERROR(Y401*1,"0")</f>
        <v>193.2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4014</v>
      </c>
      <c r="W544" s="52">
        <f>IFERROR(Y434*1,"0")+IFERROR(Y435*1,"0")+IFERROR(Y439*1,"0")+IFERROR(Y443*1,"0")+IFERROR(Y444*1,"0")+IFERROR(Y445*1,"0")</f>
        <v>4572</v>
      </c>
      <c r="X544" s="52">
        <f>IFERROR(Y451*1,"0")+IFERROR(Y452*1,"0")+IFERROR(Y453*1,"0")+IFERROR(Y454*1,"0")+IFERROR(Y455*1,"0")+IFERROR(Y456*1,"0")+IFERROR(Y460*1,"0")+IFERROR(Y461*1,"0")</f>
        <v>97.2</v>
      </c>
      <c r="Y544" s="52">
        <f>IFERROR(Y466*1,"0")+IFERROR(Y470*1,"0")+IFERROR(Y471*1,"0")+IFERROR(Y472*1,"0")</f>
        <v>43.2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5211.3600000000006</v>
      </c>
      <c r="AA544" s="52">
        <f>IFERROR(Y508*1,"0")+IFERROR(Y512*1,"0")+IFERROR(Y516*1,"0")+IFERROR(Y517*1,"0")+IFERROR(Y521*1,"0")+IFERROR(Y525*1,"0")+IFERROR(Y526*1,"0")</f>
        <v>174</v>
      </c>
      <c r="AB544" s="52">
        <f>IFERROR(Y531*1,"0")</f>
        <v>0</v>
      </c>
      <c r="AC544" s="60"/>
      <c r="AF544" s="1"/>
    </row>
  </sheetData>
  <sheetProtection algorithmName="SHA-512" hashValue="++rH9Sf8DJ2N5tHEVwpARJtc6LViCrWrJC2NYvWZAX0yTwDhZ002YmW9ilC9XNjouj/y6A79x9c3M308aUXPbg==" saltValue="Y8lUpQ3rT+IkQUK6uh9Ft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D46:E46"/>
    <mergeCell ref="P46:T46"/>
    <mergeCell ref="P47:V47"/>
    <mergeCell ref="A47:O48"/>
    <mergeCell ref="P48:V48"/>
    <mergeCell ref="A49:Z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28:V228"/>
    <mergeCell ref="A228:O229"/>
    <mergeCell ref="P229:V229"/>
    <mergeCell ref="A230:Z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Uq6LhkQGLBgXPHS+McNSe3QshXyncuw12J3hz7Fp2GynJhdanXABJtJjgpISPrYdSTvo6rIOPlTbfPGI3aVl+w==" saltValue="Rt7cmqg/iXeiZckmAX+6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2026-07-07T12:01:42Z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