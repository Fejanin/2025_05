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0965E186-DB22-4CEC-8065-0876510355F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Z487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P35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Y505" i="2" l="1"/>
  <c r="Z357" i="2"/>
  <c r="BN357" i="2"/>
  <c r="BP236" i="2"/>
  <c r="Z441" i="2"/>
  <c r="Z106" i="2"/>
  <c r="Z394" i="2"/>
  <c r="BN394" i="2"/>
  <c r="Z65" i="2"/>
  <c r="Z139" i="2"/>
  <c r="Y200" i="2"/>
  <c r="Z345" i="2"/>
  <c r="BN345" i="2"/>
  <c r="Y316" i="2"/>
  <c r="Y534" i="2"/>
  <c r="X550" i="2"/>
  <c r="BP77" i="2"/>
  <c r="Y125" i="2"/>
  <c r="Z147" i="2"/>
  <c r="BN147" i="2"/>
  <c r="BP156" i="2"/>
  <c r="BP234" i="2"/>
  <c r="BP242" i="2"/>
  <c r="BP285" i="2"/>
  <c r="Z367" i="2"/>
  <c r="Z382" i="2"/>
  <c r="BP402" i="2"/>
  <c r="Z469" i="2"/>
  <c r="BP496" i="2"/>
  <c r="BN29" i="2"/>
  <c r="Z29" i="2"/>
  <c r="BN42" i="2"/>
  <c r="BN78" i="2"/>
  <c r="BP78" i="2"/>
  <c r="BP88" i="2"/>
  <c r="BN88" i="2"/>
  <c r="Z88" i="2"/>
  <c r="BN98" i="2"/>
  <c r="Z98" i="2"/>
  <c r="BN142" i="2"/>
  <c r="BN148" i="2"/>
  <c r="BN154" i="2"/>
  <c r="BP166" i="2"/>
  <c r="Y170" i="2"/>
  <c r="BN166" i="2"/>
  <c r="Y204" i="2"/>
  <c r="Y203" i="2"/>
  <c r="BN202" i="2"/>
  <c r="BN231" i="2"/>
  <c r="BN235" i="2"/>
  <c r="BN280" i="2"/>
  <c r="BP280" i="2"/>
  <c r="BN305" i="2"/>
  <c r="BN326" i="2"/>
  <c r="Z326" i="2"/>
  <c r="BN329" i="2"/>
  <c r="Z329" i="2"/>
  <c r="BN351" i="2"/>
  <c r="BN358" i="2"/>
  <c r="BP358" i="2"/>
  <c r="BP29" i="2"/>
  <c r="BN31" i="2"/>
  <c r="Z31" i="2"/>
  <c r="Z35" i="2"/>
  <c r="Z36" i="2" s="1"/>
  <c r="Y36" i="2"/>
  <c r="BN35" i="2"/>
  <c r="Y124" i="2"/>
  <c r="BP121" i="2"/>
  <c r="BN178" i="2"/>
  <c r="Z178" i="2"/>
  <c r="BP181" i="2"/>
  <c r="BN181" i="2"/>
  <c r="Z181" i="2"/>
  <c r="BN198" i="2"/>
  <c r="Z198" i="2"/>
  <c r="BN210" i="2"/>
  <c r="BN244" i="2"/>
  <c r="BN269" i="2"/>
  <c r="BP287" i="2"/>
  <c r="BN287" i="2"/>
  <c r="Z287" i="2"/>
  <c r="BN289" i="2"/>
  <c r="BP289" i="2"/>
  <c r="Y298" i="2"/>
  <c r="Y353" i="2"/>
  <c r="Z350" i="2"/>
  <c r="BP372" i="2"/>
  <c r="BN372" i="2"/>
  <c r="Y418" i="2"/>
  <c r="BN470" i="2"/>
  <c r="Y491" i="2"/>
  <c r="Y411" i="2"/>
  <c r="BN429" i="2"/>
  <c r="BN462" i="2"/>
  <c r="BN519" i="2"/>
  <c r="BN23" i="2"/>
  <c r="BN54" i="2"/>
  <c r="BN82" i="2"/>
  <c r="Y92" i="2"/>
  <c r="BN91" i="2"/>
  <c r="BN96" i="2"/>
  <c r="BN104" i="2"/>
  <c r="BN120" i="2"/>
  <c r="BN179" i="2"/>
  <c r="BN182" i="2"/>
  <c r="BN214" i="2"/>
  <c r="BN226" i="2"/>
  <c r="BN274" i="2"/>
  <c r="BN282" i="2"/>
  <c r="BN288" i="2"/>
  <c r="BN303" i="2"/>
  <c r="BN315" i="2"/>
  <c r="BN321" i="2"/>
  <c r="Z375" i="2"/>
  <c r="Z396" i="2"/>
  <c r="BP409" i="2"/>
  <c r="Z424" i="2"/>
  <c r="BN424" i="2"/>
  <c r="BN452" i="2"/>
  <c r="Y490" i="2"/>
  <c r="BP487" i="2"/>
  <c r="BN488" i="2"/>
  <c r="Z495" i="2"/>
  <c r="BN495" i="2"/>
  <c r="BP495" i="2"/>
  <c r="Z499" i="2"/>
  <c r="BN499" i="2"/>
  <c r="BN500" i="2"/>
  <c r="Z501" i="2"/>
  <c r="BN515" i="2"/>
  <c r="BP529" i="2"/>
  <c r="BN53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Z490" i="2" s="1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228" i="2"/>
  <c r="Z248" i="2"/>
  <c r="Z251" i="2" s="1"/>
  <c r="Y262" i="2"/>
  <c r="Z271" i="2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17" i="2" l="1"/>
  <c r="Z378" i="2"/>
  <c r="Z46" i="2"/>
  <c r="Z109" i="2"/>
  <c r="Z347" i="2"/>
  <c r="Z143" i="2"/>
  <c r="Z391" i="2"/>
  <c r="Z297" i="2"/>
  <c r="Z150" i="2"/>
  <c r="Z99" i="2"/>
  <c r="Z442" i="2"/>
  <c r="Z504" i="2"/>
  <c r="Z447" i="2"/>
  <c r="Z277" i="2"/>
  <c r="Z194" i="2"/>
  <c r="Z520" i="2"/>
  <c r="Z410" i="2"/>
  <c r="Z398" i="2"/>
  <c r="Z368" i="2"/>
  <c r="Z47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<sst xmlns="http://schemas.openxmlformats.org/spreadsheetml/2006/main" count="4219" uniqueCount="908">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</sst>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6" zoomScaleNormal="100" zoomScaleSheetLayoutView="100" workbookViewId="0">
      <selection activeCell="X556" sqref="X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67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68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/>
      <c r="I5" s="641"/>
      <c r="J5" s="641"/>
      <c r="K5" s="641"/>
      <c r="L5" s="641"/>
      <c r="M5" s="641"/>
      <c r="N5" s="72"/>
      <c r="P5" s="27" t="s">
        <v>4</v>
      </c>
      <c r="Q5" s="643">
        <v>46230</v>
      </c>
      <c r="R5" s="643"/>
      <c r="T5" s="644" t="s">
        <v>3</v>
      </c>
      <c r="U5" s="645"/>
      <c r="V5" s="646" t="s">
        <v>868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70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>
        <f>IFERROR(VLOOKUP(DeliveryAddress,Table,3,0),1)</f>
        <v>1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58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0.41666666666666669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71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55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72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73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74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75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61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59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66</v>
      </c>
      <c r="L17" s="682" t="s">
        <v>64</v>
      </c>
      <c r="M17" s="682" t="s">
        <v>2</v>
      </c>
      <c r="N17" s="682" t="s">
        <v>63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56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60</v>
      </c>
      <c r="AB17" s="696" t="s">
        <v>19</v>
      </c>
      <c r="AC17" s="696" t="s">
        <v>65</v>
      </c>
      <c r="AD17" s="698" t="s">
        <v>57</v>
      </c>
      <c r="AE17" s="699"/>
      <c r="AF17" s="700"/>
      <c r="AG17" s="82"/>
      <c r="BD17" s="81" t="s">
        <v>62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customHeight="1" x14ac:dyDescent="0.2">
      <c r="A19" s="704" t="s">
        <v>76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customHeight="1" x14ac:dyDescent="0.25">
      <c r="A20" s="705" t="s">
        <v>76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customHeight="1" x14ac:dyDescent="0.25">
      <c r="A21" s="706" t="s">
        <v>77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6" t="s">
        <v>86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6" t="s">
        <v>104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customHeight="1" x14ac:dyDescent="0.25">
      <c r="A39" s="705" t="s">
        <v>110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customHeight="1" x14ac:dyDescent="0.25">
      <c r="A40" s="706" t="s">
        <v>86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4" t="s">
        <v>126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customHeight="1" x14ac:dyDescent="0.25">
      <c r="A49" s="705" t="s">
        <v>127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customHeight="1" x14ac:dyDescent="0.25">
      <c r="A50" s="706" t="s">
        <v>128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50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51.898148148148145</v>
      </c>
      <c r="BN51" s="78">
        <f>IFERROR(Y51*I51/H51,"0")</f>
        <v>56.05</v>
      </c>
      <c r="BO51" s="78">
        <f>IFERROR(1/J51*(X51/H51),"0")</f>
        <v>7.2337962962962965E-2</v>
      </c>
      <c r="BP51" s="78">
        <f>IFERROR(1/J51*(Y51/H51),"0")</f>
        <v>7.8125E-2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4.6296296296296298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9.4899999999999998E-2</v>
      </c>
      <c r="AA55" s="67"/>
      <c r="AB55" s="67"/>
      <c r="AC55" s="67"/>
    </row>
    <row r="56" spans="1:68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50</v>
      </c>
      <c r="Y56" s="43">
        <f>IFERROR(SUM(Y51:Y54),"0")</f>
        <v>54</v>
      </c>
      <c r="Z56" s="42"/>
      <c r="AA56" s="67"/>
      <c r="AB56" s="67"/>
      <c r="AC56" s="67"/>
    </row>
    <row r="57" spans="1:68" ht="16.5" customHeight="1" x14ac:dyDescent="0.25">
      <c r="A57" s="705" t="s">
        <v>143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customHeight="1" x14ac:dyDescent="0.25">
      <c r="A58" s="706" t="s">
        <v>128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4.6296296296296298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50</v>
      </c>
      <c r="Y68" s="43">
        <f>IFERROR(SUM(Y59:Y66),"0")</f>
        <v>54</v>
      </c>
      <c r="Z68" s="42"/>
      <c r="AA68" s="67"/>
      <c r="AB68" s="67"/>
      <c r="AC68" s="67"/>
    </row>
    <row r="69" spans="1:68" ht="14.25" customHeight="1" x14ac:dyDescent="0.25">
      <c r="A69" s="706" t="s">
        <v>164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6" t="s">
        <v>86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6" t="s">
        <v>181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5" t="s">
        <v>188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customHeight="1" x14ac:dyDescent="0.25">
      <c r="A87" s="706" t="s">
        <v>128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50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51.898148148148145</v>
      </c>
      <c r="BN88" s="78">
        <f>IFERROR(Y88*I88/H88,"0")</f>
        <v>56.05</v>
      </c>
      <c r="BO88" s="78">
        <f>IFERROR(1/J88*(X88/H88),"0")</f>
        <v>7.2337962962962965E-2</v>
      </c>
      <c r="BP88" s="78">
        <f>IFERROR(1/J88*(Y88/H88),"0")</f>
        <v>7.8125E-2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4.6296296296296298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50</v>
      </c>
      <c r="Y93" s="43">
        <f>IFERROR(SUM(Y88:Y91),"0")</f>
        <v>54</v>
      </c>
      <c r="Z93" s="42"/>
      <c r="AA93" s="67"/>
      <c r="AB93" s="67"/>
      <c r="AC93" s="67"/>
    </row>
    <row r="94" spans="1:68" ht="14.25" customHeight="1" x14ac:dyDescent="0.25">
      <c r="A94" s="706" t="s">
        <v>86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5" t="s">
        <v>209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customHeight="1" x14ac:dyDescent="0.25">
      <c r="A102" s="706" t="s">
        <v>128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4.6296296296296298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9.4899999999999998E-2</v>
      </c>
      <c r="AA109" s="67"/>
      <c r="AB109" s="67"/>
      <c r="AC109" s="67"/>
    </row>
    <row r="110" spans="1:68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50</v>
      </c>
      <c r="Y110" s="43">
        <f>IFERROR(SUM(Y103:Y108),"0")</f>
        <v>54</v>
      </c>
      <c r="Z110" s="42"/>
      <c r="AA110" s="67"/>
      <c r="AB110" s="67"/>
      <c r="AC110" s="67"/>
    </row>
    <row r="111" spans="1:68" ht="14.25" customHeight="1" x14ac:dyDescent="0.25">
      <c r="A111" s="706" t="s">
        <v>164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6" t="s">
        <v>86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100</v>
      </c>
      <c r="Y120" s="55">
        <f>IFERROR(IF(X120="",0,CEILING((X120/$H120),1)*$H120),"")</f>
        <v>105.3</v>
      </c>
      <c r="Z120" s="41">
        <f>IFERROR(IF(Y120=0,"",ROUNDUP(Y120/H120,0)*0.01898),"")</f>
        <v>0.24674000000000001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106.0246913580247</v>
      </c>
      <c r="BN120" s="78">
        <f>IFERROR(Y120*I120/H120,"0")</f>
        <v>111.64399999999999</v>
      </c>
      <c r="BO120" s="78">
        <f>IFERROR(1/J120*(X120/H120),"0")</f>
        <v>0.19290123456790123</v>
      </c>
      <c r="BP120" s="78">
        <f>IFERROR(1/J120*(Y120/H120),"0")</f>
        <v>0.203125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54</v>
      </c>
      <c r="Y122" s="55">
        <f>IFERROR(IF(X122="",0,CEILING((X122/$H122),1)*$H122),"")</f>
        <v>54</v>
      </c>
      <c r="Z122" s="41">
        <f>IFERROR(IF(Y122=0,"",ROUNDUP(Y122/H122,0)*0.00651),"")</f>
        <v>0.13020000000000001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59.039999999999992</v>
      </c>
      <c r="BN122" s="78">
        <f>IFERROR(Y122*I122/H122,"0")</f>
        <v>59.039999999999992</v>
      </c>
      <c r="BO122" s="78">
        <f>IFERROR(1/J122*(X122/H122),"0")</f>
        <v>0.1098901098901099</v>
      </c>
      <c r="BP122" s="78">
        <f>IFERROR(1/J122*(Y122/H122),"0")</f>
        <v>0.1098901098901099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32.345679012345677</v>
      </c>
      <c r="Y124" s="43">
        <f>IFERROR(Y120/H120,"0")+IFERROR(Y121/H121,"0")+IFERROR(Y122/H122,"0")+IFERROR(Y123/H123,"0")</f>
        <v>33</v>
      </c>
      <c r="Z124" s="43">
        <f>IFERROR(IF(Z120="",0,Z120),"0")+IFERROR(IF(Z121="",0,Z121),"0")+IFERROR(IF(Z122="",0,Z122),"0")+IFERROR(IF(Z123="",0,Z123),"0")</f>
        <v>0.37694000000000005</v>
      </c>
      <c r="AA124" s="67"/>
      <c r="AB124" s="67"/>
      <c r="AC124" s="67"/>
    </row>
    <row r="125" spans="1:68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154</v>
      </c>
      <c r="Y125" s="43">
        <f>IFERROR(SUM(Y120:Y123),"0")</f>
        <v>159.30000000000001</v>
      </c>
      <c r="Z125" s="42"/>
      <c r="AA125" s="67"/>
      <c r="AB125" s="67"/>
      <c r="AC125" s="67"/>
    </row>
    <row r="126" spans="1:68" ht="14.25" customHeight="1" x14ac:dyDescent="0.25">
      <c r="A126" s="706" t="s">
        <v>181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5" t="s">
        <v>248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customHeight="1" x14ac:dyDescent="0.25">
      <c r="A131" s="706" t="s">
        <v>128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6" t="s">
        <v>77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6" t="s">
        <v>86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5" t="s">
        <v>276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customHeight="1" x14ac:dyDescent="0.25">
      <c r="A153" s="706" t="s">
        <v>86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6" t="s">
        <v>104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5" t="s">
        <v>126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customHeight="1" x14ac:dyDescent="0.25">
      <c r="A165" s="706" t="s">
        <v>128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6" t="s">
        <v>164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2" t="s">
        <v>305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6" t="s">
        <v>77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6" t="s">
        <v>86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6" t="s">
        <v>104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6" t="s">
        <v>354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4" t="s">
        <v>358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customHeight="1" x14ac:dyDescent="0.25">
      <c r="A206" s="705" t="s">
        <v>359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customHeight="1" x14ac:dyDescent="0.25">
      <c r="A207" s="706" t="s">
        <v>128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5" t="s">
        <v>380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customHeight="1" x14ac:dyDescent="0.25">
      <c r="A218" s="706" t="s">
        <v>164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6" t="s">
        <v>77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6" t="s">
        <v>86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6" t="s">
        <v>104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6" t="s">
        <v>444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5" t="s">
        <v>447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customHeight="1" x14ac:dyDescent="0.25">
      <c r="A258" s="706" t="s">
        <v>128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6" t="s">
        <v>164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6" t="s">
        <v>77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6" t="s">
        <v>86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48</v>
      </c>
      <c r="Y288" s="55">
        <f t="shared" si="32"/>
        <v>48</v>
      </c>
      <c r="Z288" s="41">
        <f>IFERROR(IF(Y288=0,"",ROUNDUP(Y288/H288,0)*0.00651),"")</f>
        <v>0.13020000000000001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53.040000000000006</v>
      </c>
      <c r="BN288" s="78">
        <f t="shared" si="34"/>
        <v>53.040000000000006</v>
      </c>
      <c r="BO288" s="78">
        <f t="shared" si="35"/>
        <v>0.1098901098901099</v>
      </c>
      <c r="BP288" s="78">
        <f t="shared" si="36"/>
        <v>0.1098901098901099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0.13020000000000001</v>
      </c>
      <c r="AA292" s="67"/>
      <c r="AB292" s="67"/>
      <c r="AC292" s="67"/>
    </row>
    <row r="293" spans="1:68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48</v>
      </c>
      <c r="Y293" s="43">
        <f>IFERROR(SUM(Y280:Y291),"0")</f>
        <v>48</v>
      </c>
      <c r="Z293" s="42"/>
      <c r="AA293" s="67"/>
      <c r="AB293" s="67"/>
      <c r="AC293" s="67"/>
    </row>
    <row r="294" spans="1:68" ht="14.25" customHeight="1" x14ac:dyDescent="0.25">
      <c r="A294" s="706" t="s">
        <v>181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5" t="s">
        <v>515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customHeight="1" x14ac:dyDescent="0.25">
      <c r="A300" s="706" t="s">
        <v>128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6" t="s">
        <v>164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6" t="s">
        <v>537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6" t="s">
        <v>354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5" t="s">
        <v>548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customHeight="1" x14ac:dyDescent="0.25">
      <c r="A325" s="706" t="s">
        <v>128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5" t="s">
        <v>564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customHeight="1" x14ac:dyDescent="0.25">
      <c r="A334" s="706" t="s">
        <v>86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5" t="s">
        <v>573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customHeight="1" x14ac:dyDescent="0.25">
      <c r="A341" s="706" t="s">
        <v>77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6" t="s">
        <v>86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5" t="s">
        <v>594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customHeight="1" x14ac:dyDescent="0.25">
      <c r="A355" s="706" t="s">
        <v>128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5" t="s">
        <v>603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customHeight="1" x14ac:dyDescent="0.25">
      <c r="A362" s="706" t="s">
        <v>128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706" t="s">
        <v>77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706" t="s">
        <v>86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706" t="s">
        <v>181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706" t="s">
        <v>104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12.75</v>
      </c>
      <c r="Y397" s="55">
        <f>IFERROR(IF(X397="",0,CEILING((X397/$H397),1)*$H397),"")</f>
        <v>12.75</v>
      </c>
      <c r="Z397" s="41">
        <f>IFERROR(IF(Y397=0,"",ROUNDUP(Y397/H397,0)*0.00651),"")</f>
        <v>3.2550000000000003E-2</v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14.4</v>
      </c>
      <c r="BN397" s="78">
        <f>IFERROR(Y397*I397/H397,"0")</f>
        <v>14.4</v>
      </c>
      <c r="BO397" s="78">
        <f>IFERROR(1/J397*(X397/H397),"0")</f>
        <v>2.7472527472527476E-2</v>
      </c>
      <c r="BP397" s="78">
        <f>IFERROR(1/J397*(Y397/H397),"0")</f>
        <v>2.7472527472527476E-2</v>
      </c>
    </row>
    <row r="398" spans="1:68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5</v>
      </c>
      <c r="Y398" s="43">
        <f>IFERROR(Y394/H394,"0")+IFERROR(Y395/H395,"0")+IFERROR(Y396/H396,"0")+IFERROR(Y397/H397,"0")</f>
        <v>5</v>
      </c>
      <c r="Z398" s="43">
        <f>IFERROR(IF(Z394="",0,Z394),"0")+IFERROR(IF(Z395="",0,Z395),"0")+IFERROR(IF(Z396="",0,Z396),"0")+IFERROR(IF(Z397="",0,Z397),"0")</f>
        <v>3.2550000000000003E-2</v>
      </c>
      <c r="AA398" s="67"/>
      <c r="AB398" s="67"/>
      <c r="AC398" s="67"/>
    </row>
    <row r="399" spans="1:68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12.75</v>
      </c>
      <c r="Y399" s="43">
        <f>IFERROR(SUM(Y394:Y397),"0")</f>
        <v>12.75</v>
      </c>
      <c r="Z399" s="42"/>
      <c r="AA399" s="67"/>
      <c r="AB399" s="67"/>
      <c r="AC399" s="67"/>
    </row>
    <row r="400" spans="1:68" ht="14.25" customHeight="1" x14ac:dyDescent="0.25">
      <c r="A400" s="706" t="s">
        <v>666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706" t="s">
        <v>675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705" t="s">
        <v>684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customHeight="1" x14ac:dyDescent="0.25">
      <c r="A413" s="706" t="s">
        <v>86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704" t="s">
        <v>694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customHeight="1" x14ac:dyDescent="0.25">
      <c r="A420" s="705" t="s">
        <v>695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customHeight="1" x14ac:dyDescent="0.25">
      <c r="A421" s="706" t="s">
        <v>128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120</v>
      </c>
      <c r="Y423" s="55">
        <f t="shared" si="47"/>
        <v>120</v>
      </c>
      <c r="Z423" s="41">
        <f>IFERROR(IF(Y423=0,"",ROUNDUP(Y423/H423,0)*0.02175),"")</f>
        <v>0.17399999999999999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123.76</v>
      </c>
      <c r="BN423" s="78">
        <f t="shared" si="49"/>
        <v>123.76</v>
      </c>
      <c r="BO423" s="78">
        <f t="shared" si="50"/>
        <v>0.16666666666666666</v>
      </c>
      <c r="BP423" s="78">
        <f t="shared" si="51"/>
        <v>0.16666666666666666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100</v>
      </c>
      <c r="Y424" s="55">
        <f t="shared" si="47"/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103.13333333333334</v>
      </c>
      <c r="BN424" s="78">
        <f t="shared" si="49"/>
        <v>108.29</v>
      </c>
      <c r="BO424" s="78">
        <f t="shared" si="50"/>
        <v>0.1388888888888889</v>
      </c>
      <c r="BP424" s="78">
        <f t="shared" si="51"/>
        <v>0.14583333333333331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47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154.69999999999999</v>
      </c>
      <c r="BN425" s="78">
        <f t="shared" si="49"/>
        <v>154.69999999999999</v>
      </c>
      <c r="BO425" s="78">
        <f t="shared" si="50"/>
        <v>0.20833333333333331</v>
      </c>
      <c r="BP425" s="78">
        <f t="shared" si="51"/>
        <v>0.20833333333333331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24.666666666666668</v>
      </c>
      <c r="Y430" s="43">
        <f>IFERROR(Y422/H422,"0")+IFERROR(Y423/H423,"0")+IFERROR(Y424/H424,"0")+IFERROR(Y425/H425,"0")+IFERROR(Y426/H426,"0")+IFERROR(Y427/H427,"0")+IFERROR(Y428/H428,"0")+IFERROR(Y429/H429,"0")</f>
        <v>25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0.54374999999999996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370</v>
      </c>
      <c r="Y431" s="43">
        <f>IFERROR(SUM(Y422:Y429),"0")</f>
        <v>375</v>
      </c>
      <c r="Z431" s="42"/>
      <c r="AA431" s="67"/>
      <c r="AB431" s="67"/>
      <c r="AC431" s="67"/>
    </row>
    <row r="432" spans="1:68" ht="14.25" customHeight="1" x14ac:dyDescent="0.25">
      <c r="A432" s="706" t="s">
        <v>164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120</v>
      </c>
      <c r="Y433" s="55">
        <f>IFERROR(IF(X433="",0,CEILING((X433/$H433),1)*$H433),"")</f>
        <v>120</v>
      </c>
      <c r="Z433" s="41">
        <f>IFERROR(IF(Y433=0,"",ROUNDUP(Y433/H433,0)*0.02175),"")</f>
        <v>0.17399999999999999</v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123.76</v>
      </c>
      <c r="BN433" s="78">
        <f>IFERROR(Y433*I433/H433,"0")</f>
        <v>123.76</v>
      </c>
      <c r="BO433" s="78">
        <f>IFERROR(1/J433*(X433/H433),"0")</f>
        <v>0.16666666666666666</v>
      </c>
      <c r="BP433" s="78">
        <f>IFERROR(1/J433*(Y433/H433),"0")</f>
        <v>0.16666666666666666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8</v>
      </c>
      <c r="Y436" s="43">
        <f>IFERROR(Y433/H433,"0")+IFERROR(Y434/H434,"0")+IFERROR(Y435/H435,"0")</f>
        <v>8</v>
      </c>
      <c r="Z436" s="43">
        <f>IFERROR(IF(Z433="",0,Z433),"0")+IFERROR(IF(Z434="",0,Z434),"0")+IFERROR(IF(Z435="",0,Z435),"0")</f>
        <v>0.17399999999999999</v>
      </c>
      <c r="AA436" s="67"/>
      <c r="AB436" s="67"/>
      <c r="AC436" s="67"/>
    </row>
    <row r="437" spans="1:68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120</v>
      </c>
      <c r="Y437" s="43">
        <f>IFERROR(SUM(Y433:Y435),"0")</f>
        <v>120</v>
      </c>
      <c r="Z437" s="42"/>
      <c r="AA437" s="67"/>
      <c r="AB437" s="67"/>
      <c r="AC437" s="67"/>
    </row>
    <row r="438" spans="1:68" ht="14.25" customHeight="1" x14ac:dyDescent="0.25">
      <c r="A438" s="706" t="s">
        <v>86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706" t="s">
        <v>181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705" t="s">
        <v>744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customHeight="1" x14ac:dyDescent="0.25">
      <c r="A450" s="706" t="s">
        <v>128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706" t="s">
        <v>77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706" t="s">
        <v>86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100</v>
      </c>
      <c r="Y460" s="55">
        <f>IFERROR(IF(X460="",0,CEILING((X460/$H460),1)*$H460),"")</f>
        <v>108</v>
      </c>
      <c r="Z460" s="41">
        <f>IFERROR(IF(Y460=0,"",ROUNDUP(Y460/H460,0)*0.01898),"")</f>
        <v>0.22776000000000002</v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105.48888888888888</v>
      </c>
      <c r="BN460" s="78">
        <f>IFERROR(Y460*I460/H460,"0")</f>
        <v>113.92799999999998</v>
      </c>
      <c r="BO460" s="78">
        <f>IFERROR(1/J460*(X460/H460),"0")</f>
        <v>0.1736111111111111</v>
      </c>
      <c r="BP460" s="78">
        <f>IFERROR(1/J460*(Y460/H460),"0")</f>
        <v>0.1875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11.111111111111111</v>
      </c>
      <c r="Y463" s="43">
        <f>IFERROR(Y460/H460,"0")+IFERROR(Y461/H461,"0")+IFERROR(Y462/H462,"0")</f>
        <v>12</v>
      </c>
      <c r="Z463" s="43">
        <f>IFERROR(IF(Z460="",0,Z460),"0")+IFERROR(IF(Z461="",0,Z461),"0")+IFERROR(IF(Z462="",0,Z462),"0")</f>
        <v>0.22776000000000002</v>
      </c>
      <c r="AA463" s="67"/>
      <c r="AB463" s="67"/>
      <c r="AC463" s="67"/>
    </row>
    <row r="464" spans="1:68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100</v>
      </c>
      <c r="Y464" s="43">
        <f>IFERROR(SUM(Y460:Y462),"0")</f>
        <v>108</v>
      </c>
      <c r="Z464" s="42"/>
      <c r="AA464" s="67"/>
      <c r="AB464" s="67"/>
      <c r="AC464" s="67"/>
    </row>
    <row r="465" spans="1:68" ht="27.75" customHeight="1" x14ac:dyDescent="0.2">
      <c r="A465" s="704" t="s">
        <v>760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customHeight="1" x14ac:dyDescent="0.25">
      <c r="A466" s="705" t="s">
        <v>761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customHeight="1" x14ac:dyDescent="0.25">
      <c r="A467" s="706" t="s">
        <v>77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706" t="s">
        <v>86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705" t="s">
        <v>784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customHeight="1" x14ac:dyDescent="0.25">
      <c r="A482" s="706" t="s">
        <v>164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706" t="s">
        <v>77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704" t="s">
        <v>796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customHeight="1" x14ac:dyDescent="0.25">
      <c r="A493" s="705" t="s">
        <v>796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customHeight="1" x14ac:dyDescent="0.25">
      <c r="A494" s="706" t="s">
        <v>128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70</v>
      </c>
      <c r="Y495" s="55">
        <f t="shared" ref="Y495:Y503" si="57">IFERROR(IF(X495="",0,CEILING((X495/$H495),1)*$H495),"")</f>
        <v>73.92</v>
      </c>
      <c r="Z495" s="41">
        <f t="shared" ref="Z495:Z500" si="58">IFERROR(IF(Y495=0,"",ROUNDUP(Y495/H495,0)*0.01196),"")</f>
        <v>0.16744000000000001</v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74.640151515151501</v>
      </c>
      <c r="BN495" s="78">
        <f t="shared" ref="BN495:BN503" si="60">IFERROR(Y495*I495/H495,"0")</f>
        <v>78.819999999999993</v>
      </c>
      <c r="BO495" s="78">
        <f t="shared" ref="BO495:BO503" si="61">IFERROR(1/J495*(X495/H495),"0")</f>
        <v>0.12747668997668998</v>
      </c>
      <c r="BP495" s="78">
        <f t="shared" ref="BP495:BP503" si="62">IFERROR(1/J495*(Y495/H495),"0")</f>
        <v>0.13461538461538464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57"/>
        <v>31.68</v>
      </c>
      <c r="Z497" s="41">
        <f t="shared" si="58"/>
        <v>7.1760000000000004E-2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31.988636363636363</v>
      </c>
      <c r="BN497" s="78">
        <f t="shared" si="60"/>
        <v>33.779999999999994</v>
      </c>
      <c r="BO497" s="78">
        <f t="shared" si="61"/>
        <v>5.4632867132867136E-2</v>
      </c>
      <c r="BP497" s="78">
        <f t="shared" si="62"/>
        <v>5.7692307692307696E-2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70</v>
      </c>
      <c r="Y500" s="55">
        <f t="shared" si="57"/>
        <v>73.92</v>
      </c>
      <c r="Z500" s="41">
        <f t="shared" si="58"/>
        <v>0.16744000000000001</v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74.640151515151501</v>
      </c>
      <c r="BN500" s="78">
        <f t="shared" si="60"/>
        <v>78.819999999999993</v>
      </c>
      <c r="BO500" s="78">
        <f t="shared" si="61"/>
        <v>0.12747668997668998</v>
      </c>
      <c r="BP500" s="78">
        <f t="shared" si="62"/>
        <v>0.13461538461538464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32.196969696969695</v>
      </c>
      <c r="Y504" s="43">
        <f>IFERROR(Y495/H495,"0")+IFERROR(Y496/H496,"0")+IFERROR(Y497/H497,"0")+IFERROR(Y498/H498,"0")+IFERROR(Y499/H499,"0")+IFERROR(Y500/H500,"0")+IFERROR(Y501/H501,"0")+IFERROR(Y502/H502,"0")+IFERROR(Y503/H503,"0")</f>
        <v>34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0.40664</v>
      </c>
      <c r="AA504" s="67"/>
      <c r="AB504" s="67"/>
      <c r="AC504" s="67"/>
    </row>
    <row r="505" spans="1:68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170</v>
      </c>
      <c r="Y505" s="43">
        <f>IFERROR(SUM(Y495:Y503),"0")</f>
        <v>179.51999999999998</v>
      </c>
      <c r="Z505" s="42"/>
      <c r="AA505" s="67"/>
      <c r="AB505" s="67"/>
      <c r="AC505" s="67"/>
    </row>
    <row r="506" spans="1:68" ht="14.25" customHeight="1" x14ac:dyDescent="0.25">
      <c r="A506" s="706" t="s">
        <v>164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70</v>
      </c>
      <c r="Y507" s="55">
        <f>IFERROR(IF(X507="",0,CEILING((X507/$H507),1)*$H507),"")</f>
        <v>73.92</v>
      </c>
      <c r="Z507" s="41">
        <f>IFERROR(IF(Y507=0,"",ROUNDUP(Y507/H507,0)*0.01196),"")</f>
        <v>0.16744000000000001</v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74.640151515151501</v>
      </c>
      <c r="BN507" s="78">
        <f>IFERROR(Y507*I507/H507,"0")</f>
        <v>78.819999999999993</v>
      </c>
      <c r="BO507" s="78">
        <f>IFERROR(1/J507*(X507/H507),"0")</f>
        <v>0.12747668997668998</v>
      </c>
      <c r="BP507" s="78">
        <f>IFERROR(1/J507*(Y507/H507),"0")</f>
        <v>0.13461538461538464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13.257575757575758</v>
      </c>
      <c r="Y510" s="43">
        <f>IFERROR(Y507/H507,"0")+IFERROR(Y508/H508,"0")+IFERROR(Y509/H509,"0")</f>
        <v>14</v>
      </c>
      <c r="Z510" s="43">
        <f>IFERROR(IF(Z507="",0,Z507),"0")+IFERROR(IF(Z508="",0,Z508),"0")+IFERROR(IF(Z509="",0,Z509),"0")</f>
        <v>0.16744000000000001</v>
      </c>
      <c r="AA510" s="67"/>
      <c r="AB510" s="67"/>
      <c r="AC510" s="67"/>
    </row>
    <row r="511" spans="1:68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70</v>
      </c>
      <c r="Y511" s="43">
        <f>IFERROR(SUM(Y507:Y509),"0")</f>
        <v>73.92</v>
      </c>
      <c r="Z511" s="42"/>
      <c r="AA511" s="67"/>
      <c r="AB511" s="67"/>
      <c r="AC511" s="67"/>
    </row>
    <row r="512" spans="1:68" ht="14.25" customHeight="1" x14ac:dyDescent="0.25">
      <c r="A512" s="706" t="s">
        <v>77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ref="Y513:Y519" si="63">IFERROR(IF(X513="",0,CEILING((X513/$H513),1)*$H513),"")</f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53.314393939393938</v>
      </c>
      <c r="BN513" s="78">
        <f t="shared" ref="BN513:BN519" si="65">IFERROR(Y513*I513/H513,"0")</f>
        <v>56.3</v>
      </c>
      <c r="BO513" s="78">
        <f t="shared" ref="BO513:BO519" si="66">IFERROR(1/J513*(X513/H513),"0")</f>
        <v>9.1054778554778545E-2</v>
      </c>
      <c r="BP513" s="78">
        <f t="shared" ref="BP513:BP519" si="67">IFERROR(1/J513*(Y513/H513),"0")</f>
        <v>9.6153846153846159E-2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63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53.314393939393938</v>
      </c>
      <c r="BN514" s="78">
        <f t="shared" si="65"/>
        <v>56.3</v>
      </c>
      <c r="BO514" s="78">
        <f t="shared" si="66"/>
        <v>9.1054778554778545E-2</v>
      </c>
      <c r="BP514" s="78">
        <f t="shared" si="67"/>
        <v>9.6153846153846159E-2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70</v>
      </c>
      <c r="Y515" s="55">
        <f t="shared" si="63"/>
        <v>73.92</v>
      </c>
      <c r="Z515" s="41">
        <f>IFERROR(IF(Y515=0,"",ROUNDUP(Y515/H515,0)*0.01196),"")</f>
        <v>0.16744000000000001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74.640151515151501</v>
      </c>
      <c r="BN515" s="78">
        <f t="shared" si="65"/>
        <v>78.819999999999993</v>
      </c>
      <c r="BO515" s="78">
        <f t="shared" si="66"/>
        <v>0.12747668997668998</v>
      </c>
      <c r="BP515" s="78">
        <f t="shared" si="67"/>
        <v>0.13461538461538464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32.196969696969695</v>
      </c>
      <c r="Y520" s="43">
        <f>IFERROR(Y513/H513,"0")+IFERROR(Y514/H514,"0")+IFERROR(Y515/H515,"0")+IFERROR(Y516/H516,"0")+IFERROR(Y517/H517,"0")+IFERROR(Y518/H518,"0")+IFERROR(Y519/H519,"0")</f>
        <v>34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0.40664</v>
      </c>
      <c r="AA520" s="67"/>
      <c r="AB520" s="67"/>
      <c r="AC520" s="67"/>
    </row>
    <row r="521" spans="1:68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170</v>
      </c>
      <c r="Y521" s="43">
        <f>IFERROR(SUM(Y513:Y519),"0")</f>
        <v>179.52</v>
      </c>
      <c r="Z521" s="42"/>
      <c r="AA521" s="67"/>
      <c r="AB521" s="67"/>
      <c r="AC521" s="67"/>
    </row>
    <row r="522" spans="1:68" ht="27.75" customHeight="1" x14ac:dyDescent="0.2">
      <c r="A522" s="704" t="s">
        <v>843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customHeight="1" x14ac:dyDescent="0.25">
      <c r="A523" s="705" t="s">
        <v>843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customHeight="1" x14ac:dyDescent="0.25">
      <c r="A524" s="706" t="s">
        <v>128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706" t="s">
        <v>164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06" t="s">
        <v>77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06" t="s">
        <v>86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06" t="s">
        <v>181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705" t="s">
        <v>862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customHeight="1" x14ac:dyDescent="0.25">
      <c r="A546" s="706" t="s">
        <v>164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1414.75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1472.01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1488.1175364758697</v>
      </c>
      <c r="Y551" s="43">
        <f>IFERROR(SUM(BN22:BN547),"0")</f>
        <v>1548.4219999999996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3</v>
      </c>
      <c r="Y552" s="44">
        <f>ROUNDUP(SUM(BP22:BP547),0)</f>
        <v>3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1563.1175364758697</v>
      </c>
      <c r="Y553" s="43">
        <f>GrossWeightTotalR+PalletQtyTotalR*25</f>
        <v>1623.4219999999996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197.29349046015713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205</v>
      </c>
      <c r="Z554" s="42"/>
      <c r="AA554" s="67"/>
      <c r="AB554" s="67"/>
      <c r="AC554" s="67"/>
    </row>
    <row r="555" spans="1:68" ht="14.25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2.8455199999999996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996" t="s">
        <v>126</v>
      </c>
      <c r="E557" s="996" t="s">
        <v>126</v>
      </c>
      <c r="F557" s="996" t="s">
        <v>126</v>
      </c>
      <c r="G557" s="996" t="s">
        <v>126</v>
      </c>
      <c r="H557" s="996" t="s">
        <v>126</v>
      </c>
      <c r="I557" s="996" t="s">
        <v>126</v>
      </c>
      <c r="J557" s="996" t="s">
        <v>126</v>
      </c>
      <c r="K557" s="996" t="s">
        <v>358</v>
      </c>
      <c r="L557" s="996" t="s">
        <v>358</v>
      </c>
      <c r="M557" s="996" t="s">
        <v>358</v>
      </c>
      <c r="N557" s="997"/>
      <c r="O557" s="996" t="s">
        <v>358</v>
      </c>
      <c r="P557" s="996" t="s">
        <v>358</v>
      </c>
      <c r="Q557" s="996" t="s">
        <v>358</v>
      </c>
      <c r="R557" s="996" t="s">
        <v>358</v>
      </c>
      <c r="S557" s="996" t="s">
        <v>358</v>
      </c>
      <c r="T557" s="996" t="s">
        <v>358</v>
      </c>
      <c r="U557" s="996" t="s">
        <v>358</v>
      </c>
      <c r="V557" s="996" t="s">
        <v>694</v>
      </c>
      <c r="W557" s="996" t="s">
        <v>694</v>
      </c>
      <c r="X557" s="996" t="s">
        <v>760</v>
      </c>
      <c r="Y557" s="996" t="s">
        <v>760</v>
      </c>
      <c r="Z557" s="85" t="s">
        <v>796</v>
      </c>
      <c r="AA557" s="996" t="s">
        <v>843</v>
      </c>
      <c r="AB557" s="996" t="s">
        <v>843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76</v>
      </c>
      <c r="C558" s="996" t="s">
        <v>110</v>
      </c>
      <c r="D558" s="996" t="s">
        <v>127</v>
      </c>
      <c r="E558" s="996" t="s">
        <v>143</v>
      </c>
      <c r="F558" s="996" t="s">
        <v>188</v>
      </c>
      <c r="G558" s="996" t="s">
        <v>209</v>
      </c>
      <c r="H558" s="996" t="s">
        <v>248</v>
      </c>
      <c r="I558" s="996" t="s">
        <v>276</v>
      </c>
      <c r="J558" s="996" t="s">
        <v>126</v>
      </c>
      <c r="K558" s="996" t="s">
        <v>359</v>
      </c>
      <c r="L558" s="996" t="s">
        <v>380</v>
      </c>
      <c r="M558" s="996" t="s">
        <v>447</v>
      </c>
      <c r="N558" s="1"/>
      <c r="O558" s="996" t="s">
        <v>515</v>
      </c>
      <c r="P558" s="996" t="s">
        <v>548</v>
      </c>
      <c r="Q558" s="996" t="s">
        <v>564</v>
      </c>
      <c r="R558" s="996" t="s">
        <v>573</v>
      </c>
      <c r="S558" s="996" t="s">
        <v>594</v>
      </c>
      <c r="T558" s="996" t="s">
        <v>603</v>
      </c>
      <c r="U558" s="996" t="s">
        <v>684</v>
      </c>
      <c r="V558" s="996" t="s">
        <v>695</v>
      </c>
      <c r="W558" s="996" t="s">
        <v>744</v>
      </c>
      <c r="X558" s="996" t="s">
        <v>761</v>
      </c>
      <c r="Y558" s="996" t="s">
        <v>784</v>
      </c>
      <c r="Z558" s="996" t="s">
        <v>796</v>
      </c>
      <c r="AA558" s="996" t="s">
        <v>843</v>
      </c>
      <c r="AB558" s="996" t="s">
        <v>862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54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</v>
      </c>
      <c r="F560" s="52">
        <f>IFERROR(Y88*1,"0")+IFERROR(Y89*1,"0")+IFERROR(Y90*1,"0")+IFERROR(Y91*1,"0")+IFERROR(Y95*1,"0")+IFERROR(Y96*1,"0")+IFERROR(Y97*1,"0")+IFERROR(Y98*1,"0")</f>
        <v>54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213.3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48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12.75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495</v>
      </c>
      <c r="W560" s="52">
        <f>IFERROR(Y451*1,"0")+IFERROR(Y452*1,"0")+IFERROR(Y456*1,"0")+IFERROR(Y460*1,"0")+IFERROR(Y461*1,"0")+IFERROR(Y462*1,"0")</f>
        <v>108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432.96000000000004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2026-07-24T11:14:03Z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