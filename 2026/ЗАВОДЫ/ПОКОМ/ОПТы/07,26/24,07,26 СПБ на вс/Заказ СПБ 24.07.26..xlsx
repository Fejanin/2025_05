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56635288-2B34-404E-9FCC-3818D1681EA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P427" i="2"/>
  <c r="BO426" i="2"/>
  <c r="BM426" i="2"/>
  <c r="Y426" i="2"/>
  <c r="BN426" i="2" s="1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BP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P90" i="2" l="1"/>
  <c r="Z208" i="2"/>
  <c r="Z269" i="2"/>
  <c r="BN269" i="2"/>
  <c r="Z423" i="2"/>
  <c r="BN423" i="2"/>
  <c r="Z64" i="2"/>
  <c r="BN64" i="2"/>
  <c r="Z181" i="2"/>
  <c r="BP234" i="2"/>
  <c r="Z295" i="2"/>
  <c r="BN295" i="2"/>
  <c r="Z83" i="2"/>
  <c r="Z226" i="2"/>
  <c r="BP244" i="2"/>
  <c r="Z307" i="2"/>
  <c r="BN307" i="2"/>
  <c r="Z311" i="2"/>
  <c r="Z312" i="2" s="1"/>
  <c r="Z342" i="2"/>
  <c r="BN342" i="2"/>
  <c r="Z367" i="2"/>
  <c r="Z415" i="2"/>
  <c r="Z428" i="2"/>
  <c r="Z503" i="2"/>
  <c r="BN503" i="2"/>
  <c r="Z41" i="2"/>
  <c r="BN41" i="2"/>
  <c r="Z53" i="2"/>
  <c r="BN53" i="2"/>
  <c r="Z72" i="2"/>
  <c r="Y85" i="2"/>
  <c r="Z95" i="2"/>
  <c r="Z135" i="2"/>
  <c r="Z166" i="2"/>
  <c r="BN166" i="2"/>
  <c r="Y170" i="2"/>
  <c r="Z178" i="2"/>
  <c r="Z185" i="2"/>
  <c r="BN185" i="2"/>
  <c r="Z198" i="2"/>
  <c r="Z211" i="2"/>
  <c r="BN211" i="2"/>
  <c r="Z225" i="2"/>
  <c r="Z240" i="2"/>
  <c r="Z249" i="2"/>
  <c r="Z273" i="2"/>
  <c r="BN273" i="2"/>
  <c r="Z283" i="2"/>
  <c r="Z304" i="2"/>
  <c r="Z327" i="2"/>
  <c r="Z346" i="2"/>
  <c r="Z366" i="2"/>
  <c r="Z383" i="2"/>
  <c r="BN383" i="2"/>
  <c r="BP426" i="2"/>
  <c r="Z441" i="2"/>
  <c r="Z501" i="2"/>
  <c r="Z538" i="2"/>
  <c r="Z539" i="2" s="1"/>
  <c r="BN30" i="2"/>
  <c r="BN42" i="2"/>
  <c r="BN52" i="2"/>
  <c r="BN54" i="2"/>
  <c r="BN65" i="2"/>
  <c r="BN77" i="2"/>
  <c r="BP98" i="2"/>
  <c r="BN121" i="2"/>
  <c r="BP142" i="2"/>
  <c r="BN142" i="2"/>
  <c r="Z142" i="2"/>
  <c r="BN149" i="2"/>
  <c r="Z149" i="2"/>
  <c r="Y162" i="2"/>
  <c r="Y163" i="2"/>
  <c r="Z161" i="2"/>
  <c r="Z162" i="2" s="1"/>
  <c r="BN184" i="2"/>
  <c r="Z184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BP319" i="2"/>
  <c r="Z319" i="2"/>
  <c r="BP330" i="2"/>
  <c r="Z330" i="2"/>
  <c r="BP344" i="2"/>
  <c r="BN344" i="2"/>
  <c r="Z344" i="2"/>
  <c r="BN364" i="2"/>
  <c r="BP372" i="2"/>
  <c r="Z372" i="2"/>
  <c r="BP377" i="2"/>
  <c r="Z377" i="2"/>
  <c r="BP409" i="2"/>
  <c r="Z409" i="2"/>
  <c r="BN417" i="2"/>
  <c r="BN425" i="2"/>
  <c r="Z425" i="2"/>
  <c r="BN434" i="2"/>
  <c r="Z434" i="2"/>
  <c r="BP469" i="2"/>
  <c r="Z469" i="2"/>
  <c r="BP478" i="2"/>
  <c r="BN478" i="2"/>
  <c r="Z478" i="2"/>
  <c r="Y486" i="2"/>
  <c r="BP484" i="2"/>
  <c r="Y531" i="2"/>
  <c r="X555" i="2"/>
  <c r="Z28" i="2"/>
  <c r="BN29" i="2"/>
  <c r="Y47" i="2"/>
  <c r="D561" i="2"/>
  <c r="Y55" i="2"/>
  <c r="Z62" i="2"/>
  <c r="BP83" i="2"/>
  <c r="Z88" i="2"/>
  <c r="BN88" i="2"/>
  <c r="Y93" i="2"/>
  <c r="Z91" i="2"/>
  <c r="Z98" i="2"/>
  <c r="Z116" i="2"/>
  <c r="BN120" i="2"/>
  <c r="H561" i="2"/>
  <c r="BP132" i="2"/>
  <c r="BN139" i="2"/>
  <c r="Y143" i="2"/>
  <c r="Z139" i="2"/>
  <c r="BN141" i="2"/>
  <c r="Z141" i="2"/>
  <c r="BP16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329" i="2"/>
  <c r="Z329" i="2"/>
  <c r="BN337" i="2"/>
  <c r="Z337" i="2"/>
  <c r="Y370" i="2"/>
  <c r="Z363" i="2"/>
  <c r="BN384" i="2"/>
  <c r="BN391" i="2"/>
  <c r="BP391" i="2"/>
  <c r="Y412" i="2"/>
  <c r="Z408" i="2"/>
  <c r="BN416" i="2"/>
  <c r="Z416" i="2"/>
  <c r="BP427" i="2"/>
  <c r="Z427" i="2"/>
  <c r="BP434" i="2"/>
  <c r="Y437" i="2"/>
  <c r="Y459" i="2"/>
  <c r="Z457" i="2"/>
  <c r="Z458" i="2" s="1"/>
  <c r="BN504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Y331" i="2"/>
  <c r="BP327" i="2"/>
  <c r="BN328" i="2"/>
  <c r="Y369" i="2"/>
  <c r="BP365" i="2"/>
  <c r="BP366" i="2"/>
  <c r="BN375" i="2"/>
  <c r="Y387" i="2"/>
  <c r="BP385" i="2"/>
  <c r="BN396" i="2"/>
  <c r="BP428" i="2"/>
  <c r="BN429" i="2"/>
  <c r="BP441" i="2"/>
  <c r="W561" i="2"/>
  <c r="BN453" i="2"/>
  <c r="BN470" i="2"/>
  <c r="BN479" i="2"/>
  <c r="BN489" i="2"/>
  <c r="BP501" i="2"/>
  <c r="BN515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454" i="2" l="1"/>
  <c r="X554" i="2"/>
  <c r="Z418" i="2"/>
  <c r="Z411" i="2"/>
  <c r="Z143" i="2"/>
  <c r="Z347" i="2"/>
  <c r="Z292" i="2"/>
  <c r="Z431" i="2"/>
  <c r="Z277" i="2"/>
  <c r="Z251" i="2"/>
  <c r="Z369" i="2"/>
  <c r="Z379" i="2"/>
  <c r="Z322" i="2"/>
  <c r="Z437" i="2"/>
  <c r="Z136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<sst xmlns="http://schemas.openxmlformats.org/spreadsheetml/2006/main" count="4201" uniqueCount="895">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</sst>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topLeftCell="A527" zoomScaleNormal="100" zoomScaleSheetLayoutView="100" workbookViewId="0">
      <selection activeCell="P426" sqref="P426:T42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/>
      <c r="I5" s="643"/>
      <c r="J5" s="643"/>
      <c r="K5" s="643"/>
      <c r="L5" s="643"/>
      <c r="M5" s="643"/>
      <c r="N5" s="72"/>
      <c r="P5" s="27" t="s">
        <v>4</v>
      </c>
      <c r="Q5" s="645">
        <v>46233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432</v>
      </c>
      <c r="Y51" s="55">
        <f>IFERROR(IF(X51="",0,CEILING((X51/$H51),1)*$H51),"")</f>
        <v>432</v>
      </c>
      <c r="Z51" s="41">
        <f>IFERROR(IF(Y51=0,"",ROUNDUP(Y51/H51,0)*0.01898),"")</f>
        <v>0.75919999999999999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448.4</v>
      </c>
      <c r="BN51" s="78">
        <f>IFERROR(Y51*I51/H51,"0")</f>
        <v>448.4</v>
      </c>
      <c r="BO51" s="78">
        <f>IFERROR(1/J51*(X51/H51),"0")</f>
        <v>0.625</v>
      </c>
      <c r="BP51" s="78">
        <f>IFERROR(1/J51*(Y51/H51),"0")</f>
        <v>0.625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40</v>
      </c>
      <c r="Y55" s="43">
        <f>IFERROR(Y51/H51,"0")+IFERROR(Y52/H52,"0")+IFERROR(Y53/H53,"0")+IFERROR(Y54/H54,"0")</f>
        <v>40</v>
      </c>
      <c r="Z55" s="43">
        <f>IFERROR(IF(Z51="",0,Z51),"0")+IFERROR(IF(Z52="",0,Z52),"0")+IFERROR(IF(Z53="",0,Z53),"0")+IFERROR(IF(Z54="",0,Z54),"0")</f>
        <v>0.75919999999999999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432</v>
      </c>
      <c r="Y56" s="43">
        <f>IFERROR(SUM(Y51:Y54),"0")</f>
        <v>432</v>
      </c>
      <c r="Z56" s="42"/>
      <c r="AA56" s="67"/>
      <c r="AB56" s="67"/>
      <c r="AC56" s="67"/>
    </row>
    <row r="57" spans="1:68" ht="16.5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336</v>
      </c>
      <c r="Y59" s="55">
        <f t="shared" ref="Y59:Y66" si="0">IFERROR(IF(X59="",0,CEILING((X59/$H59),1)*$H59),"")</f>
        <v>336</v>
      </c>
      <c r="Z59" s="41">
        <f>IFERROR(IF(Y59=0,"",ROUNDUP(Y59/H59,0)*0.01898),"")</f>
        <v>0.56940000000000002</v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348.3</v>
      </c>
      <c r="BN59" s="78">
        <f t="shared" ref="BN59:BN66" si="2">IFERROR(Y59*I59/H59,"0")</f>
        <v>348.3</v>
      </c>
      <c r="BO59" s="78">
        <f t="shared" ref="BO59:BO66" si="3">IFERROR(1/J59*(X59/H59),"0")</f>
        <v>0.46875000000000006</v>
      </c>
      <c r="BP59" s="78">
        <f t="shared" ref="BP59:BP66" si="4">IFERROR(1/J59*(Y59/H59),"0")</f>
        <v>0.46875000000000006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540</v>
      </c>
      <c r="Y61" s="55">
        <f t="shared" si="0"/>
        <v>540</v>
      </c>
      <c r="Z61" s="41">
        <f>IFERROR(IF(Y61=0,"",ROUNDUP(Y61/H61,0)*0.01898),"")</f>
        <v>0.94900000000000007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560.5</v>
      </c>
      <c r="BN61" s="78">
        <f t="shared" si="2"/>
        <v>560.5</v>
      </c>
      <c r="BO61" s="78">
        <f t="shared" si="3"/>
        <v>0.78125</v>
      </c>
      <c r="BP61" s="78">
        <f t="shared" si="4"/>
        <v>0.78125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80</v>
      </c>
      <c r="Y67" s="43">
        <f>IFERROR(Y59/H59,"0")+IFERROR(Y60/H60,"0")+IFERROR(Y61/H61,"0")+IFERROR(Y62/H62,"0")+IFERROR(Y63/H63,"0")+IFERROR(Y64/H64,"0")+IFERROR(Y65/H65,"0")+IFERROR(Y66/H66,"0")</f>
        <v>80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1.5184000000000002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876</v>
      </c>
      <c r="Y68" s="43">
        <f>IFERROR(SUM(Y59:Y66),"0")</f>
        <v>876</v>
      </c>
      <c r="Z68" s="42"/>
      <c r="AA68" s="67"/>
      <c r="AB68" s="67"/>
      <c r="AC68" s="67"/>
    </row>
    <row r="69" spans="1:68" ht="14.25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324</v>
      </c>
      <c r="Y70" s="55">
        <f>IFERROR(IF(X70="",0,CEILING((X70/$H70),1)*$H70),"")</f>
        <v>324</v>
      </c>
      <c r="Z70" s="41">
        <f>IFERROR(IF(Y70=0,"",ROUNDUP(Y70/H70,0)*0.01898),"")</f>
        <v>0.56940000000000002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336.3</v>
      </c>
      <c r="BN70" s="78">
        <f>IFERROR(Y70*I70/H70,"0")</f>
        <v>336.3</v>
      </c>
      <c r="BO70" s="78">
        <f>IFERROR(1/J70*(X70/H70),"0")</f>
        <v>0.46874999999999994</v>
      </c>
      <c r="BP70" s="78">
        <f>IFERROR(1/J70*(Y70/H70),"0")</f>
        <v>0.46874999999999994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29.999999999999996</v>
      </c>
      <c r="Y74" s="43">
        <f>IFERROR(Y70/H70,"0")+IFERROR(Y71/H71,"0")+IFERROR(Y72/H72,"0")+IFERROR(Y73/H73,"0")</f>
        <v>29.999999999999996</v>
      </c>
      <c r="Z74" s="43">
        <f>IFERROR(IF(Z70="",0,Z70),"0")+IFERROR(IF(Z71="",0,Z71),"0")+IFERROR(IF(Z72="",0,Z72),"0")+IFERROR(IF(Z73="",0,Z73),"0")</f>
        <v>0.56940000000000002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324</v>
      </c>
      <c r="Y75" s="43">
        <f>IFERROR(SUM(Y70:Y73),"0")</f>
        <v>324</v>
      </c>
      <c r="Z75" s="42"/>
      <c r="AA75" s="67"/>
      <c r="AB75" s="67"/>
      <c r="AC75" s="67"/>
    </row>
    <row r="76" spans="1:68" ht="14.25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324</v>
      </c>
      <c r="Y88" s="55">
        <f>IFERROR(IF(X88="",0,CEILING((X88/$H88),1)*$H88),"")</f>
        <v>324</v>
      </c>
      <c r="Z88" s="41">
        <f>IFERROR(IF(Y88=0,"",ROUNDUP(Y88/H88,0)*0.01898),"")</f>
        <v>0.56940000000000002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336.3</v>
      </c>
      <c r="BN88" s="78">
        <f>IFERROR(Y88*I88/H88,"0")</f>
        <v>336.3</v>
      </c>
      <c r="BO88" s="78">
        <f>IFERROR(1/J88*(X88/H88),"0")</f>
        <v>0.46874999999999994</v>
      </c>
      <c r="BP88" s="78">
        <f>IFERROR(1/J88*(Y88/H88),"0")</f>
        <v>0.46874999999999994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29.999999999999996</v>
      </c>
      <c r="Y92" s="43">
        <f>IFERROR(Y88/H88,"0")+IFERROR(Y89/H89,"0")+IFERROR(Y90/H90,"0")+IFERROR(Y91/H91,"0")</f>
        <v>29.999999999999996</v>
      </c>
      <c r="Z92" s="43">
        <f>IFERROR(IF(Z88="",0,Z88),"0")+IFERROR(IF(Z89="",0,Z89),"0")+IFERROR(IF(Z90="",0,Z90),"0")+IFERROR(IF(Z91="",0,Z91),"0")</f>
        <v>0.56940000000000002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324</v>
      </c>
      <c r="Y93" s="43">
        <f>IFERROR(SUM(Y88:Y91),"0")</f>
        <v>324</v>
      </c>
      <c r="Z93" s="42"/>
      <c r="AA93" s="67"/>
      <c r="AB93" s="67"/>
      <c r="AC93" s="67"/>
    </row>
    <row r="94" spans="1:68" ht="14.25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405</v>
      </c>
      <c r="Y95" s="55">
        <f>IFERROR(IF(X95="",0,CEILING((X95/$H95),1)*$H95),"")</f>
        <v>405</v>
      </c>
      <c r="Z95" s="41">
        <f>IFERROR(IF(Y95=0,"",ROUNDUP(Y95/H95,0)*0.01898),"")</f>
        <v>0.94900000000000007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429.7</v>
      </c>
      <c r="BN95" s="78">
        <f>IFERROR(Y95*I95/H95,"0")</f>
        <v>429.7</v>
      </c>
      <c r="BO95" s="78">
        <f>IFERROR(1/J95*(X95/H95),"0")</f>
        <v>0.78125</v>
      </c>
      <c r="BP95" s="78">
        <f>IFERROR(1/J95*(Y95/H95),"0")</f>
        <v>0.78125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50</v>
      </c>
      <c r="Y99" s="43">
        <f>IFERROR(Y95/H95,"0")+IFERROR(Y96/H96,"0")+IFERROR(Y97/H97,"0")+IFERROR(Y98/H98,"0")</f>
        <v>50</v>
      </c>
      <c r="Z99" s="43">
        <f>IFERROR(IF(Z95="",0,Z95),"0")+IFERROR(IF(Z96="",0,Z96),"0")+IFERROR(IF(Z97="",0,Z97),"0")+IFERROR(IF(Z98="",0,Z98),"0")</f>
        <v>0.94900000000000007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405</v>
      </c>
      <c r="Y100" s="43">
        <f>IFERROR(SUM(Y95:Y98),"0")</f>
        <v>405</v>
      </c>
      <c r="Z100" s="42"/>
      <c r="AA100" s="67"/>
      <c r="AB100" s="67"/>
      <c r="AC100" s="67"/>
    </row>
    <row r="101" spans="1:68" ht="16.5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108</v>
      </c>
      <c r="Y103" s="55">
        <f t="shared" ref="Y103:Y108" si="5">IFERROR(IF(X103="",0,CEILING((X103/$H103),1)*$H103),"")</f>
        <v>108</v>
      </c>
      <c r="Z103" s="41">
        <f>IFERROR(IF(Y103=0,"",ROUNDUP(Y103/H103,0)*0.01898),"")</f>
        <v>0.1898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112.1</v>
      </c>
      <c r="BN103" s="78">
        <f t="shared" ref="BN103:BN108" si="7">IFERROR(Y103*I103/H103,"0")</f>
        <v>112.1</v>
      </c>
      <c r="BO103" s="78">
        <f t="shared" ref="BO103:BO108" si="8">IFERROR(1/J103*(X103/H103),"0")</f>
        <v>0.15625</v>
      </c>
      <c r="BP103" s="78">
        <f t="shared" ref="BP103:BP108" si="9">IFERROR(1/J103*(Y103/H103),"0")</f>
        <v>0.15625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10</v>
      </c>
      <c r="Y109" s="43">
        <f>IFERROR(Y103/H103,"0")+IFERROR(Y104/H104,"0")+IFERROR(Y105/H105,"0")+IFERROR(Y106/H106,"0")+IFERROR(Y107/H107,"0")+IFERROR(Y108/H108,"0")</f>
        <v>10</v>
      </c>
      <c r="Z109" s="43">
        <f>IFERROR(IF(Z103="",0,Z103),"0")+IFERROR(IF(Z104="",0,Z104),"0")+IFERROR(IF(Z105="",0,Z105),"0")+IFERROR(IF(Z106="",0,Z106),"0")+IFERROR(IF(Z107="",0,Z107),"0")+IFERROR(IF(Z108="",0,Z108),"0")</f>
        <v>0.1898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108</v>
      </c>
      <c r="Y110" s="43">
        <f>IFERROR(SUM(Y103:Y108),"0")</f>
        <v>108</v>
      </c>
      <c r="Z110" s="42"/>
      <c r="AA110" s="67"/>
      <c r="AB110" s="67"/>
      <c r="AC110" s="67"/>
    </row>
    <row r="111" spans="1:68" ht="14.25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486</v>
      </c>
      <c r="Y120" s="55">
        <f>IFERROR(IF(X120="",0,CEILING((X120/$H120),1)*$H120),"")</f>
        <v>486</v>
      </c>
      <c r="Z120" s="41">
        <f>IFERROR(IF(Y120=0,"",ROUNDUP(Y120/H120,0)*0.01898),"")</f>
        <v>1.1388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515.28</v>
      </c>
      <c r="BN120" s="78">
        <f>IFERROR(Y120*I120/H120,"0")</f>
        <v>515.28</v>
      </c>
      <c r="BO120" s="78">
        <f>IFERROR(1/J120*(X120/H120),"0")</f>
        <v>0.9375</v>
      </c>
      <c r="BP120" s="78">
        <f>IFERROR(1/J120*(Y120/H120),"0")</f>
        <v>0.9375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60</v>
      </c>
      <c r="Y124" s="43">
        <f>IFERROR(Y120/H120,"0")+IFERROR(Y121/H121,"0")+IFERROR(Y122/H122,"0")+IFERROR(Y123/H123,"0")</f>
        <v>60</v>
      </c>
      <c r="Z124" s="43">
        <f>IFERROR(IF(Z120="",0,Z120),"0")+IFERROR(IF(Z121="",0,Z121),"0")+IFERROR(IF(Z122="",0,Z122),"0")+IFERROR(IF(Z123="",0,Z123),"0")</f>
        <v>1.1388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486</v>
      </c>
      <c r="Y125" s="43">
        <f>IFERROR(SUM(Y120:Y123),"0")</f>
        <v>486</v>
      </c>
      <c r="Z125" s="42"/>
      <c r="AA125" s="67"/>
      <c r="AB125" s="67"/>
      <c r="AC125" s="67"/>
    </row>
    <row r="126" spans="1:68" ht="14.25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3240</v>
      </c>
      <c r="Y363" s="55">
        <f t="shared" ref="Y363:Y368" si="42">IFERROR(IF(X363="",0,CEILING((X363/$H363),1)*$H363),"")</f>
        <v>3240</v>
      </c>
      <c r="Z363" s="41">
        <f>IFERROR(IF(Y363=0,"",ROUNDUP(Y363/H363,0)*0.01898),"")</f>
        <v>5.694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3363</v>
      </c>
      <c r="BN363" s="78">
        <f t="shared" ref="BN363:BN368" si="44">IFERROR(Y363*I363/H363,"0")</f>
        <v>3363</v>
      </c>
      <c r="BO363" s="78">
        <f t="shared" ref="BO363:BO368" si="45">IFERROR(1/J363*(X363/H363),"0")</f>
        <v>4.6875</v>
      </c>
      <c r="BP363" s="78">
        <f t="shared" ref="BP363:BP368" si="46">IFERROR(1/J363*(Y363/H363),"0")</f>
        <v>4.6875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324</v>
      </c>
      <c r="Y364" s="55">
        <f t="shared" si="42"/>
        <v>324</v>
      </c>
      <c r="Z364" s="41">
        <f>IFERROR(IF(Y364=0,"",ROUNDUP(Y364/H364,0)*0.01898),"")</f>
        <v>0.56940000000000002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336.3</v>
      </c>
      <c r="BN364" s="78">
        <f t="shared" si="44"/>
        <v>336.3</v>
      </c>
      <c r="BO364" s="78">
        <f t="shared" si="45"/>
        <v>0.46874999999999994</v>
      </c>
      <c r="BP364" s="78">
        <f t="shared" si="46"/>
        <v>0.46874999999999994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432</v>
      </c>
      <c r="Y365" s="55">
        <f t="shared" si="42"/>
        <v>432</v>
      </c>
      <c r="Z365" s="41">
        <f>IFERROR(IF(Y365=0,"",ROUNDUP(Y365/H365,0)*0.01898),"")</f>
        <v>0.75919999999999999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448.4</v>
      </c>
      <c r="BN365" s="78">
        <f t="shared" si="44"/>
        <v>448.4</v>
      </c>
      <c r="BO365" s="78">
        <f t="shared" si="45"/>
        <v>0.625</v>
      </c>
      <c r="BP365" s="78">
        <f t="shared" si="46"/>
        <v>0.625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370</v>
      </c>
      <c r="Y369" s="43">
        <f>IFERROR(Y363/H363,"0")+IFERROR(Y364/H364,"0")+IFERROR(Y365/H365,"0")+IFERROR(Y366/H366,"0")+IFERROR(Y367/H367,"0")+IFERROR(Y368/H368,"0")</f>
        <v>370</v>
      </c>
      <c r="Z369" s="43">
        <f>IFERROR(IF(Z363="",0,Z363),"0")+IFERROR(IF(Z364="",0,Z364),"0")+IFERROR(IF(Z365="",0,Z365),"0")+IFERROR(IF(Z366="",0,Z366),"0")+IFERROR(IF(Z367="",0,Z367),"0")+IFERROR(IF(Z368="",0,Z368),"0")</f>
        <v>7.0225999999999997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3996</v>
      </c>
      <c r="Y370" s="43">
        <f>IFERROR(SUM(Y363:Y368),"0")</f>
        <v>3996</v>
      </c>
      <c r="Z370" s="42"/>
      <c r="AA370" s="67"/>
      <c r="AB370" s="67"/>
      <c r="AC370" s="67"/>
    </row>
    <row r="371" spans="1:68" ht="14.25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300</v>
      </c>
      <c r="Y424" s="55">
        <f t="shared" si="52"/>
        <v>300</v>
      </c>
      <c r="Z424" s="41">
        <f>IFERROR(IF(Y424=0,"",ROUNDUP(Y424/H424,0)*0.02175),"")</f>
        <v>0.43499999999999994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309.39999999999998</v>
      </c>
      <c r="BN424" s="78">
        <f t="shared" si="54"/>
        <v>309.39999999999998</v>
      </c>
      <c r="BO424" s="78">
        <f t="shared" si="55"/>
        <v>0.41666666666666663</v>
      </c>
      <c r="BP424" s="78">
        <f t="shared" si="56"/>
        <v>0.41666666666666663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750</v>
      </c>
      <c r="Y425" s="55">
        <f t="shared" si="52"/>
        <v>750</v>
      </c>
      <c r="Z425" s="41">
        <f>IFERROR(IF(Y425=0,"",ROUNDUP(Y425/H425,0)*0.02175),"")</f>
        <v>1.0874999999999999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773.5</v>
      </c>
      <c r="BN425" s="78">
        <f t="shared" si="54"/>
        <v>773.5</v>
      </c>
      <c r="BO425" s="78">
        <f t="shared" si="55"/>
        <v>1.0416666666666665</v>
      </c>
      <c r="BP425" s="78">
        <f t="shared" si="56"/>
        <v>1.0416666666666665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750</v>
      </c>
      <c r="Y427" s="55">
        <f t="shared" si="52"/>
        <v>750</v>
      </c>
      <c r="Z427" s="41">
        <f>IFERROR(IF(Y427=0,"",ROUNDUP(Y427/H427,0)*0.02175),"")</f>
        <v>1.0874999999999999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773.5</v>
      </c>
      <c r="BN427" s="78">
        <f t="shared" si="54"/>
        <v>773.5</v>
      </c>
      <c r="BO427" s="78">
        <f t="shared" si="55"/>
        <v>1.0416666666666665</v>
      </c>
      <c r="BP427" s="78">
        <f t="shared" si="56"/>
        <v>1.0416666666666665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120</v>
      </c>
      <c r="Y431" s="43">
        <f>IFERROR(Y423/H423,"0")+IFERROR(Y424/H424,"0")+IFERROR(Y425/H425,"0")+IFERROR(Y426/H426,"0")+IFERROR(Y427/H427,"0")+IFERROR(Y428/H428,"0")+IFERROR(Y429/H429,"0")+IFERROR(Y430/H430,"0")</f>
        <v>120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2.61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1800</v>
      </c>
      <c r="Y432" s="43">
        <f>IFERROR(SUM(Y423:Y430),"0")</f>
        <v>1800</v>
      </c>
      <c r="Z432" s="42"/>
      <c r="AA432" s="67"/>
      <c r="AB432" s="67"/>
      <c r="AC432" s="67"/>
    </row>
    <row r="433" spans="1:68" ht="14.25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450</v>
      </c>
      <c r="Y434" s="55">
        <f>IFERROR(IF(X434="",0,CEILING((X434/$H434),1)*$H434),"")</f>
        <v>450</v>
      </c>
      <c r="Z434" s="41">
        <f>IFERROR(IF(Y434=0,"",ROUNDUP(Y434/H434,0)*0.02175),"")</f>
        <v>0.65249999999999997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464.1</v>
      </c>
      <c r="BN434" s="78">
        <f>IFERROR(Y434*I434/H434,"0")</f>
        <v>464.1</v>
      </c>
      <c r="BO434" s="78">
        <f>IFERROR(1/J434*(X434/H434),"0")</f>
        <v>0.625</v>
      </c>
      <c r="BP434" s="78">
        <f>IFERROR(1/J434*(Y434/H434),"0")</f>
        <v>0.625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30</v>
      </c>
      <c r="Y437" s="43">
        <f>IFERROR(Y434/H434,"0")+IFERROR(Y435/H435,"0")+IFERROR(Y436/H436,"0")</f>
        <v>30</v>
      </c>
      <c r="Z437" s="43">
        <f>IFERROR(IF(Z434="",0,Z434),"0")+IFERROR(IF(Z435="",0,Z435),"0")+IFERROR(IF(Z436="",0,Z436),"0")</f>
        <v>0.65249999999999997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450</v>
      </c>
      <c r="Y438" s="43">
        <f>IFERROR(SUM(Y434:Y436),"0")</f>
        <v>450</v>
      </c>
      <c r="Z438" s="42"/>
      <c r="AA438" s="67"/>
      <c r="AB438" s="67"/>
      <c r="AC438" s="67"/>
    </row>
    <row r="439" spans="1:68" ht="14.25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26.4</v>
      </c>
      <c r="Y496" s="55">
        <f t="shared" ref="Y496:Y504" si="62">IFERROR(IF(X496="",0,CEILING((X496/$H496),1)*$H496),"")</f>
        <v>26.400000000000002</v>
      </c>
      <c r="Z496" s="41">
        <f t="shared" ref="Z496:Z501" si="63">IFERROR(IF(Y496=0,"",ROUNDUP(Y496/H496,0)*0.01196),"")</f>
        <v>5.9799999999999999E-2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28.149999999999995</v>
      </c>
      <c r="BN496" s="78">
        <f t="shared" ref="BN496:BN504" si="65">IFERROR(Y496*I496/H496,"0")</f>
        <v>28.15</v>
      </c>
      <c r="BO496" s="78">
        <f t="shared" ref="BO496:BO504" si="66">IFERROR(1/J496*(X496/H496),"0")</f>
        <v>4.8076923076923073E-2</v>
      </c>
      <c r="BP496" s="78">
        <f t="shared" ref="BP496:BP504" si="67">IFERROR(1/J496*(Y496/H496),"0")</f>
        <v>4.807692307692308E-2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26.4</v>
      </c>
      <c r="Y501" s="55">
        <f t="shared" si="62"/>
        <v>26.400000000000002</v>
      </c>
      <c r="Z501" s="41">
        <f t="shared" si="63"/>
        <v>5.9799999999999999E-2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28.149999999999995</v>
      </c>
      <c r="BN501" s="78">
        <f t="shared" si="65"/>
        <v>28.15</v>
      </c>
      <c r="BO501" s="78">
        <f t="shared" si="66"/>
        <v>4.8076923076923073E-2</v>
      </c>
      <c r="BP501" s="78">
        <f t="shared" si="67"/>
        <v>4.807692307692308E-2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9.9999999999999982</v>
      </c>
      <c r="Y505" s="43">
        <f>IFERROR(Y496/H496,"0")+IFERROR(Y497/H497,"0")+IFERROR(Y498/H498,"0")+IFERROR(Y499/H499,"0")+IFERROR(Y500/H500,"0")+IFERROR(Y501/H501,"0")+IFERROR(Y502/H502,"0")+IFERROR(Y503/H503,"0")+IFERROR(Y504/H504,"0")</f>
        <v>10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0.1196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52.8</v>
      </c>
      <c r="Y506" s="43">
        <f>IFERROR(SUM(Y496:Y504),"0")</f>
        <v>52.800000000000004</v>
      </c>
      <c r="Z506" s="42"/>
      <c r="AA506" s="67"/>
      <c r="AB506" s="67"/>
      <c r="AC506" s="67"/>
    </row>
    <row r="507" spans="1:68" ht="14.25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26.4</v>
      </c>
      <c r="Y508" s="55">
        <f>IFERROR(IF(X508="",0,CEILING((X508/$H508),1)*$H508),"")</f>
        <v>26.400000000000002</v>
      </c>
      <c r="Z508" s="41">
        <f>IFERROR(IF(Y508=0,"",ROUNDUP(Y508/H508,0)*0.01196),"")</f>
        <v>5.9799999999999999E-2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28.149999999999995</v>
      </c>
      <c r="BN508" s="78">
        <f>IFERROR(Y508*I508/H508,"0")</f>
        <v>28.15</v>
      </c>
      <c r="BO508" s="78">
        <f>IFERROR(1/J508*(X508/H508),"0")</f>
        <v>4.8076923076923073E-2</v>
      </c>
      <c r="BP508" s="78">
        <f>IFERROR(1/J508*(Y508/H508),"0")</f>
        <v>4.807692307692308E-2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4.9999999999999991</v>
      </c>
      <c r="Y511" s="43">
        <f>IFERROR(Y508/H508,"0")+IFERROR(Y509/H509,"0")+IFERROR(Y510/H510,"0")</f>
        <v>5</v>
      </c>
      <c r="Z511" s="43">
        <f>IFERROR(IF(Z508="",0,Z508),"0")+IFERROR(IF(Z509="",0,Z509),"0")+IFERROR(IF(Z510="",0,Z510),"0")</f>
        <v>5.9799999999999999E-2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26.4</v>
      </c>
      <c r="Y512" s="43">
        <f>IFERROR(SUM(Y508:Y510),"0")</f>
        <v>26.400000000000002</v>
      </c>
      <c r="Z512" s="42"/>
      <c r="AA512" s="67"/>
      <c r="AB512" s="67"/>
      <c r="AC512" s="67"/>
    </row>
    <row r="513" spans="1:68" ht="14.25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26.4</v>
      </c>
      <c r="Y515" s="55">
        <f t="shared" si="68"/>
        <v>26.400000000000002</v>
      </c>
      <c r="Z515" s="41">
        <f>IFERROR(IF(Y515=0,"",ROUNDUP(Y515/H515,0)*0.01196),"")</f>
        <v>5.9799999999999999E-2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28.149999999999995</v>
      </c>
      <c r="BN515" s="78">
        <f t="shared" si="70"/>
        <v>28.15</v>
      </c>
      <c r="BO515" s="78">
        <f t="shared" si="71"/>
        <v>4.8076923076923073E-2</v>
      </c>
      <c r="BP515" s="78">
        <f t="shared" si="72"/>
        <v>4.807692307692308E-2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26.4</v>
      </c>
      <c r="Y516" s="55">
        <f t="shared" si="68"/>
        <v>26.400000000000002</v>
      </c>
      <c r="Z516" s="41">
        <f>IFERROR(IF(Y516=0,"",ROUNDUP(Y516/H516,0)*0.01196),"")</f>
        <v>5.9799999999999999E-2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28.149999999999995</v>
      </c>
      <c r="BN516" s="78">
        <f t="shared" si="70"/>
        <v>28.15</v>
      </c>
      <c r="BO516" s="78">
        <f t="shared" si="71"/>
        <v>4.8076923076923073E-2</v>
      </c>
      <c r="BP516" s="78">
        <f t="shared" si="72"/>
        <v>4.807692307692308E-2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9.9999999999999982</v>
      </c>
      <c r="Y521" s="43">
        <f>IFERROR(Y514/H514,"0")+IFERROR(Y515/H515,"0")+IFERROR(Y516/H516,"0")+IFERROR(Y517/H517,"0")+IFERROR(Y518/H518,"0")+IFERROR(Y519/H519,"0")+IFERROR(Y520/H520,"0")</f>
        <v>10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0.1196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52.8</v>
      </c>
      <c r="Y522" s="43">
        <f>IFERROR(SUM(Y514:Y520),"0")</f>
        <v>52.800000000000004</v>
      </c>
      <c r="Z522" s="42"/>
      <c r="AA522" s="67"/>
      <c r="AB522" s="67"/>
      <c r="AC522" s="67"/>
    </row>
    <row r="523" spans="1:68" ht="27.75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9332.9999999999982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9332.9999999999982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9695.8299999999981</v>
      </c>
      <c r="Y552" s="43">
        <f>IFERROR(SUM(BN22:BN548),"0")</f>
        <v>9695.8299999999981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14</v>
      </c>
      <c r="Y553" s="44">
        <f>ROUNDUP(SUM(BP22:BP548),0)</f>
        <v>14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10045.829999999998</v>
      </c>
      <c r="Y554" s="43">
        <f>GrossWeightTotalR+PalletQtyTotalR*25</f>
        <v>10045.829999999998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845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845</v>
      </c>
      <c r="Z555" s="42"/>
      <c r="AA555" s="67"/>
      <c r="AB555" s="67"/>
      <c r="AC555" s="67"/>
    </row>
    <row r="556" spans="1:68" ht="14.25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16.278099999999995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432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1200</v>
      </c>
      <c r="F561" s="52">
        <f>IFERROR(Y88*1,"0")+IFERROR(Y89*1,"0")+IFERROR(Y90*1,"0")+IFERROR(Y91*1,"0")+IFERROR(Y95*1,"0")+IFERROR(Y96*1,"0")+IFERROR(Y97*1,"0")+IFERROR(Y98*1,"0")</f>
        <v>729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594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3996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2250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132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2026-07-24T07:03:09Z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