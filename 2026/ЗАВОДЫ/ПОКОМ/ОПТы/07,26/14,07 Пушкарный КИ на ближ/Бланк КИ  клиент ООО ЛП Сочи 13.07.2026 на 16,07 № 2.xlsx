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codeName="ЭтаКнига" defaultThemeVersion="124226"/>
  <bookViews>
    <workbookView xWindow="2100" yWindow="345" windowWidth="24330" windowHeight="14940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/>
  <c r="X532"/>
  <c r="BO531"/>
  <c r="BM531"/>
  <c r="Y531"/>
  <c r="AB544" s="1"/>
  <c r="P531"/>
  <c r="X528"/>
  <c r="X527"/>
  <c r="BO526"/>
  <c r="BM526"/>
  <c r="Y526"/>
  <c r="BP526" s="1"/>
  <c r="P526"/>
  <c r="BO525"/>
  <c r="BM525"/>
  <c r="Y525"/>
  <c r="BP525" s="1"/>
  <c r="P525"/>
  <c r="X523"/>
  <c r="X522"/>
  <c r="BO521"/>
  <c r="BM521"/>
  <c r="Y521"/>
  <c r="P521"/>
  <c r="X519"/>
  <c r="X518"/>
  <c r="BO517"/>
  <c r="BM517"/>
  <c r="Y517"/>
  <c r="P517"/>
  <c r="BP516"/>
  <c r="BO516"/>
  <c r="BM516"/>
  <c r="Y516"/>
  <c r="BN516" s="1"/>
  <c r="P516"/>
  <c r="X514"/>
  <c r="X513"/>
  <c r="BO512"/>
  <c r="BM512"/>
  <c r="Y512"/>
  <c r="Z512" s="1"/>
  <c r="Z513" s="1"/>
  <c r="P512"/>
  <c r="X510"/>
  <c r="X509"/>
  <c r="BO508"/>
  <c r="BM508"/>
  <c r="Y508"/>
  <c r="P508"/>
  <c r="X504"/>
  <c r="X503"/>
  <c r="BP502"/>
  <c r="BO502"/>
  <c r="BM502"/>
  <c r="Y502"/>
  <c r="BN502" s="1"/>
  <c r="P502"/>
  <c r="BO501"/>
  <c r="BM501"/>
  <c r="Y501"/>
  <c r="BP501" s="1"/>
  <c r="P501"/>
  <c r="BO500"/>
  <c r="BM500"/>
  <c r="Y500"/>
  <c r="P500"/>
  <c r="BO499"/>
  <c r="BN499"/>
  <c r="BM499"/>
  <c r="Y499"/>
  <c r="Z499" s="1"/>
  <c r="P499"/>
  <c r="BO498"/>
  <c r="BM498"/>
  <c r="Y498"/>
  <c r="P498"/>
  <c r="BO497"/>
  <c r="BM497"/>
  <c r="Z497"/>
  <c r="Y497"/>
  <c r="BP497" s="1"/>
  <c r="P497"/>
  <c r="BO496"/>
  <c r="BM496"/>
  <c r="Y496"/>
  <c r="BP496" s="1"/>
  <c r="P496"/>
  <c r="Y494"/>
  <c r="X494"/>
  <c r="X493"/>
  <c r="BP492"/>
  <c r="BO492"/>
  <c r="BM492"/>
  <c r="Y492"/>
  <c r="P492"/>
  <c r="BO491"/>
  <c r="BM491"/>
  <c r="Y491"/>
  <c r="Y493" s="1"/>
  <c r="P491"/>
  <c r="BO490"/>
  <c r="BM490"/>
  <c r="Z490"/>
  <c r="Y490"/>
  <c r="BP490" s="1"/>
  <c r="P490"/>
  <c r="X488"/>
  <c r="X487"/>
  <c r="BO486"/>
  <c r="BM486"/>
  <c r="Y486"/>
  <c r="Z486" s="1"/>
  <c r="P486"/>
  <c r="BO485"/>
  <c r="BN485"/>
  <c r="BM485"/>
  <c r="Y485"/>
  <c r="Z485" s="1"/>
  <c r="P485"/>
  <c r="BO484"/>
  <c r="BM484"/>
  <c r="Y484"/>
  <c r="BP484" s="1"/>
  <c r="P484"/>
  <c r="BO483"/>
  <c r="BN483"/>
  <c r="BM483"/>
  <c r="Y483"/>
  <c r="P483"/>
  <c r="BO482"/>
  <c r="BN482"/>
  <c r="BM482"/>
  <c r="Y482"/>
  <c r="Z482" s="1"/>
  <c r="P482"/>
  <c r="BO481"/>
  <c r="BM481"/>
  <c r="Y481"/>
  <c r="BP481" s="1"/>
  <c r="P481"/>
  <c r="BO480"/>
  <c r="BM480"/>
  <c r="Y480"/>
  <c r="P480"/>
  <c r="BO479"/>
  <c r="BN479"/>
  <c r="BM479"/>
  <c r="Y479"/>
  <c r="Z479" s="1"/>
  <c r="P479"/>
  <c r="BO478"/>
  <c r="BN478"/>
  <c r="BM478"/>
  <c r="Y478"/>
  <c r="P478"/>
  <c r="Y474"/>
  <c r="X474"/>
  <c r="X473"/>
  <c r="BO472"/>
  <c r="BM472"/>
  <c r="Y472"/>
  <c r="BP472" s="1"/>
  <c r="P472"/>
  <c r="BO471"/>
  <c r="BN471"/>
  <c r="BM471"/>
  <c r="Y471"/>
  <c r="P471"/>
  <c r="BO470"/>
  <c r="BN470"/>
  <c r="BM470"/>
  <c r="Y470"/>
  <c r="Z470" s="1"/>
  <c r="P470"/>
  <c r="X468"/>
  <c r="X467"/>
  <c r="BO466"/>
  <c r="BM466"/>
  <c r="Y466"/>
  <c r="Z466" s="1"/>
  <c r="Z467" s="1"/>
  <c r="P466"/>
  <c r="X463"/>
  <c r="X462"/>
  <c r="BO461"/>
  <c r="BM461"/>
  <c r="Y461"/>
  <c r="BP461" s="1"/>
  <c r="P461"/>
  <c r="BO460"/>
  <c r="BM460"/>
  <c r="Z460"/>
  <c r="Y460"/>
  <c r="P460"/>
  <c r="X458"/>
  <c r="X457"/>
  <c r="BO456"/>
  <c r="BM456"/>
  <c r="Y456"/>
  <c r="BP456" s="1"/>
  <c r="P456"/>
  <c r="BO455"/>
  <c r="BM455"/>
  <c r="Y455"/>
  <c r="Z455" s="1"/>
  <c r="P455"/>
  <c r="BO454"/>
  <c r="BN454"/>
  <c r="BM454"/>
  <c r="Y454"/>
  <c r="Z454" s="1"/>
  <c r="P454"/>
  <c r="BO453"/>
  <c r="BM453"/>
  <c r="Y453"/>
  <c r="P453"/>
  <c r="BO452"/>
  <c r="BN452"/>
  <c r="BM452"/>
  <c r="Y452"/>
  <c r="BP452" s="1"/>
  <c r="P452"/>
  <c r="BO451"/>
  <c r="BM451"/>
  <c r="Y451"/>
  <c r="P451"/>
  <c r="Y447"/>
  <c r="X447"/>
  <c r="X446"/>
  <c r="BP445"/>
  <c r="BO445"/>
  <c r="BM445"/>
  <c r="Y445"/>
  <c r="P445"/>
  <c r="BO444"/>
  <c r="BM444"/>
  <c r="Y444"/>
  <c r="Y446" s="1"/>
  <c r="P444"/>
  <c r="BO443"/>
  <c r="BM443"/>
  <c r="Z443"/>
  <c r="Y443"/>
  <c r="BP443" s="1"/>
  <c r="P443"/>
  <c r="X441"/>
  <c r="X440"/>
  <c r="BO439"/>
  <c r="BM439"/>
  <c r="Y439"/>
  <c r="Y441" s="1"/>
  <c r="P439"/>
  <c r="X437"/>
  <c r="Y436"/>
  <c r="X436"/>
  <c r="BO435"/>
  <c r="BN435"/>
  <c r="BM435"/>
  <c r="Y435"/>
  <c r="BP435" s="1"/>
  <c r="P435"/>
  <c r="BP434"/>
  <c r="BO434"/>
  <c r="BM434"/>
  <c r="Z434"/>
  <c r="Y434"/>
  <c r="BN434" s="1"/>
  <c r="P434"/>
  <c r="X431"/>
  <c r="X430"/>
  <c r="BP429"/>
  <c r="BO429"/>
  <c r="BM429"/>
  <c r="Y429"/>
  <c r="P429"/>
  <c r="X427"/>
  <c r="X426"/>
  <c r="BP425"/>
  <c r="BO425"/>
  <c r="BM425"/>
  <c r="Y425"/>
  <c r="P425"/>
  <c r="BO424"/>
  <c r="BM424"/>
  <c r="Y424"/>
  <c r="P424"/>
  <c r="X422"/>
  <c r="X421"/>
  <c r="BO420"/>
  <c r="BM420"/>
  <c r="Y420"/>
  <c r="BN420" s="1"/>
  <c r="P420"/>
  <c r="BO419"/>
  <c r="BM419"/>
  <c r="Z419"/>
  <c r="Y419"/>
  <c r="BP419" s="1"/>
  <c r="P419"/>
  <c r="BO418"/>
  <c r="BM418"/>
  <c r="Y418"/>
  <c r="Z418" s="1"/>
  <c r="P418"/>
  <c r="X416"/>
  <c r="X415"/>
  <c r="BO414"/>
  <c r="BM414"/>
  <c r="Y414"/>
  <c r="BP414" s="1"/>
  <c r="P414"/>
  <c r="BP413"/>
  <c r="BO413"/>
  <c r="BN413"/>
  <c r="BM413"/>
  <c r="Z413"/>
  <c r="Y413"/>
  <c r="P413"/>
  <c r="BP412"/>
  <c r="BO412"/>
  <c r="BM412"/>
  <c r="Z412"/>
  <c r="Y412"/>
  <c r="BN412" s="1"/>
  <c r="P412"/>
  <c r="BO411"/>
  <c r="BM411"/>
  <c r="Y411"/>
  <c r="BN411" s="1"/>
  <c r="P411"/>
  <c r="BO410"/>
  <c r="BM410"/>
  <c r="Z410"/>
  <c r="Y410"/>
  <c r="BN410" s="1"/>
  <c r="P410"/>
  <c r="BO409"/>
  <c r="BM409"/>
  <c r="Y409"/>
  <c r="P409"/>
  <c r="BO408"/>
  <c r="BM408"/>
  <c r="Y408"/>
  <c r="Z408" s="1"/>
  <c r="P408"/>
  <c r="BO407"/>
  <c r="BM407"/>
  <c r="Y407"/>
  <c r="P407"/>
  <c r="X403"/>
  <c r="X402"/>
  <c r="BP401"/>
  <c r="BO401"/>
  <c r="BM401"/>
  <c r="Z401"/>
  <c r="Y401"/>
  <c r="BN401" s="1"/>
  <c r="P401"/>
  <c r="BO400"/>
  <c r="BM400"/>
  <c r="Y400"/>
  <c r="BN400" s="1"/>
  <c r="P400"/>
  <c r="BO399"/>
  <c r="BM399"/>
  <c r="Y399"/>
  <c r="BN399" s="1"/>
  <c r="P399"/>
  <c r="X396"/>
  <c r="X395"/>
  <c r="BP394"/>
  <c r="BO394"/>
  <c r="BM394"/>
  <c r="Y394"/>
  <c r="P394"/>
  <c r="BO393"/>
  <c r="BM393"/>
  <c r="Y393"/>
  <c r="P393"/>
  <c r="BO392"/>
  <c r="BM392"/>
  <c r="Y392"/>
  <c r="BN392" s="1"/>
  <c r="P392"/>
  <c r="X390"/>
  <c r="X389"/>
  <c r="BO388"/>
  <c r="BM388"/>
  <c r="Y388"/>
  <c r="P388"/>
  <c r="BO387"/>
  <c r="BN387"/>
  <c r="BM387"/>
  <c r="Y387"/>
  <c r="Z387" s="1"/>
  <c r="P387"/>
  <c r="BO386"/>
  <c r="BM386"/>
  <c r="Y386"/>
  <c r="P386"/>
  <c r="BO385"/>
  <c r="BN385"/>
  <c r="BM385"/>
  <c r="Y385"/>
  <c r="P385"/>
  <c r="X383"/>
  <c r="X382"/>
  <c r="BO381"/>
  <c r="BM381"/>
  <c r="Y381"/>
  <c r="Z381" s="1"/>
  <c r="P381"/>
  <c r="BO380"/>
  <c r="BM380"/>
  <c r="Y380"/>
  <c r="P380"/>
  <c r="BO379"/>
  <c r="BM379"/>
  <c r="Y379"/>
  <c r="P379"/>
  <c r="X377"/>
  <c r="X376"/>
  <c r="BO375"/>
  <c r="BM375"/>
  <c r="Y375"/>
  <c r="BP375" s="1"/>
  <c r="P375"/>
  <c r="BO374"/>
  <c r="BM374"/>
  <c r="Y374"/>
  <c r="BP374" s="1"/>
  <c r="P374"/>
  <c r="BO373"/>
  <c r="BM373"/>
  <c r="Y373"/>
  <c r="Z373" s="1"/>
  <c r="P373"/>
  <c r="BO372"/>
  <c r="BN372"/>
  <c r="BM372"/>
  <c r="Y372"/>
  <c r="BP372" s="1"/>
  <c r="P372"/>
  <c r="X370"/>
  <c r="X369"/>
  <c r="BO368"/>
  <c r="BN368"/>
  <c r="BM368"/>
  <c r="Y368"/>
  <c r="BP368" s="1"/>
  <c r="P368"/>
  <c r="BP367"/>
  <c r="BO367"/>
  <c r="BM367"/>
  <c r="Z367"/>
  <c r="Y367"/>
  <c r="BN367" s="1"/>
  <c r="P367"/>
  <c r="BO366"/>
  <c r="BM366"/>
  <c r="Y366"/>
  <c r="BN366" s="1"/>
  <c r="P366"/>
  <c r="BO365"/>
  <c r="BM365"/>
  <c r="Z365"/>
  <c r="Y365"/>
  <c r="BN365" s="1"/>
  <c r="P365"/>
  <c r="BO364"/>
  <c r="BM364"/>
  <c r="Y364"/>
  <c r="P364"/>
  <c r="BO363"/>
  <c r="BM363"/>
  <c r="Y363"/>
  <c r="Z363" s="1"/>
  <c r="P363"/>
  <c r="BO362"/>
  <c r="BM362"/>
  <c r="Y362"/>
  <c r="P362"/>
  <c r="X360"/>
  <c r="X359"/>
  <c r="BP358"/>
  <c r="BO358"/>
  <c r="BM358"/>
  <c r="Y358"/>
  <c r="BN358" s="1"/>
  <c r="P358"/>
  <c r="BO357"/>
  <c r="BM357"/>
  <c r="Y357"/>
  <c r="BN357" s="1"/>
  <c r="P357"/>
  <c r="BO356"/>
  <c r="BM356"/>
  <c r="Y356"/>
  <c r="BN356" s="1"/>
  <c r="P356"/>
  <c r="BO355"/>
  <c r="BM355"/>
  <c r="Y355"/>
  <c r="BN355" s="1"/>
  <c r="P355"/>
  <c r="BO354"/>
  <c r="BM354"/>
  <c r="Y354"/>
  <c r="BP354" s="1"/>
  <c r="P354"/>
  <c r="BO353"/>
  <c r="BM353"/>
  <c r="Y353"/>
  <c r="Z353" s="1"/>
  <c r="P353"/>
  <c r="X350"/>
  <c r="X349"/>
  <c r="BO348"/>
  <c r="BM348"/>
  <c r="Y348"/>
  <c r="BP348" s="1"/>
  <c r="P348"/>
  <c r="BO347"/>
  <c r="BM347"/>
  <c r="Y347"/>
  <c r="P347"/>
  <c r="BO346"/>
  <c r="BN346"/>
  <c r="BM346"/>
  <c r="Y346"/>
  <c r="P346"/>
  <c r="Y343"/>
  <c r="X343"/>
  <c r="X342"/>
  <c r="BO341"/>
  <c r="BM341"/>
  <c r="Z341"/>
  <c r="Y341"/>
  <c r="P341"/>
  <c r="BO340"/>
  <c r="BN340"/>
  <c r="BM340"/>
  <c r="Y340"/>
  <c r="Z340" s="1"/>
  <c r="P340"/>
  <c r="X338"/>
  <c r="X337"/>
  <c r="BP336"/>
  <c r="BO336"/>
  <c r="BM336"/>
  <c r="Y336"/>
  <c r="P336"/>
  <c r="BO335"/>
  <c r="BM335"/>
  <c r="Y335"/>
  <c r="BP335" s="1"/>
  <c r="P335"/>
  <c r="BO334"/>
  <c r="BN334"/>
  <c r="BM334"/>
  <c r="Z334"/>
  <c r="Y334"/>
  <c r="BP334" s="1"/>
  <c r="P334"/>
  <c r="BO333"/>
  <c r="BM333"/>
  <c r="Y333"/>
  <c r="P333"/>
  <c r="BO332"/>
  <c r="BM332"/>
  <c r="Y332"/>
  <c r="P332"/>
  <c r="X329"/>
  <c r="X328"/>
  <c r="BO327"/>
  <c r="BM327"/>
  <c r="Y327"/>
  <c r="P327"/>
  <c r="BO326"/>
  <c r="BM326"/>
  <c r="Y326"/>
  <c r="Z326" s="1"/>
  <c r="P326"/>
  <c r="BO325"/>
  <c r="BN325"/>
  <c r="BM325"/>
  <c r="Y325"/>
  <c r="Z325" s="1"/>
  <c r="P325"/>
  <c r="X322"/>
  <c r="X321"/>
  <c r="BO320"/>
  <c r="BM320"/>
  <c r="Y320"/>
  <c r="BP320" s="1"/>
  <c r="P320"/>
  <c r="BO319"/>
  <c r="BM319"/>
  <c r="Y319"/>
  <c r="BP319" s="1"/>
  <c r="P319"/>
  <c r="BO318"/>
  <c r="BM318"/>
  <c r="Y318"/>
  <c r="P318"/>
  <c r="BO317"/>
  <c r="BM317"/>
  <c r="Y317"/>
  <c r="Z317" s="1"/>
  <c r="P317"/>
  <c r="BO316"/>
  <c r="BM316"/>
  <c r="Y316"/>
  <c r="P316"/>
  <c r="X313"/>
  <c r="X312"/>
  <c r="BP311"/>
  <c r="BO311"/>
  <c r="BM311"/>
  <c r="Z311"/>
  <c r="Y311"/>
  <c r="BN311" s="1"/>
  <c r="P311"/>
  <c r="BO310"/>
  <c r="BM310"/>
  <c r="Y310"/>
  <c r="BN310" s="1"/>
  <c r="P310"/>
  <c r="BO309"/>
  <c r="BN309"/>
  <c r="BM309"/>
  <c r="Y309"/>
  <c r="P309"/>
  <c r="X307"/>
  <c r="Y306"/>
  <c r="X306"/>
  <c r="BO305"/>
  <c r="BN305"/>
  <c r="BM305"/>
  <c r="Y305"/>
  <c r="Z305" s="1"/>
  <c r="Z306" s="1"/>
  <c r="P305"/>
  <c r="X303"/>
  <c r="Y302"/>
  <c r="X302"/>
  <c r="BO301"/>
  <c r="BN301"/>
  <c r="BM301"/>
  <c r="Y301"/>
  <c r="Z301" s="1"/>
  <c r="Z302" s="1"/>
  <c r="P301"/>
  <c r="X299"/>
  <c r="X298"/>
  <c r="BO297"/>
  <c r="BM297"/>
  <c r="Y297"/>
  <c r="BN297" s="1"/>
  <c r="P297"/>
  <c r="BO296"/>
  <c r="BM296"/>
  <c r="Y296"/>
  <c r="BP296" s="1"/>
  <c r="P296"/>
  <c r="BO295"/>
  <c r="BM295"/>
  <c r="Z295"/>
  <c r="Y295"/>
  <c r="BP295" s="1"/>
  <c r="P295"/>
  <c r="BO294"/>
  <c r="BM294"/>
  <c r="Y294"/>
  <c r="Z294" s="1"/>
  <c r="P294"/>
  <c r="BO293"/>
  <c r="BN293"/>
  <c r="BM293"/>
  <c r="Y293"/>
  <c r="BP293" s="1"/>
  <c r="P293"/>
  <c r="BO292"/>
  <c r="BM292"/>
  <c r="Y292"/>
  <c r="Z292" s="1"/>
  <c r="P292"/>
  <c r="BP291"/>
  <c r="BO291"/>
  <c r="BM291"/>
  <c r="Y291"/>
  <c r="P291"/>
  <c r="X288"/>
  <c r="X287"/>
  <c r="BO286"/>
  <c r="BM286"/>
  <c r="Y286"/>
  <c r="BN286" s="1"/>
  <c r="P286"/>
  <c r="BO285"/>
  <c r="BM285"/>
  <c r="Y285"/>
  <c r="BP285" s="1"/>
  <c r="P285"/>
  <c r="X283"/>
  <c r="X282"/>
  <c r="BO281"/>
  <c r="BM281"/>
  <c r="Y281"/>
  <c r="P281"/>
  <c r="BP280"/>
  <c r="BO280"/>
  <c r="BN280"/>
  <c r="BM280"/>
  <c r="Z280"/>
  <c r="Y280"/>
  <c r="P280"/>
  <c r="BO279"/>
  <c r="BM279"/>
  <c r="Y279"/>
  <c r="BP279" s="1"/>
  <c r="P279"/>
  <c r="BP278"/>
  <c r="BO278"/>
  <c r="BM278"/>
  <c r="Z278"/>
  <c r="Y278"/>
  <c r="BN278" s="1"/>
  <c r="P278"/>
  <c r="BO277"/>
  <c r="BM277"/>
  <c r="Y277"/>
  <c r="BN277" s="1"/>
  <c r="P277"/>
  <c r="BO276"/>
  <c r="BN276"/>
  <c r="BM276"/>
  <c r="Y276"/>
  <c r="P276"/>
  <c r="BO275"/>
  <c r="BM275"/>
  <c r="Y275"/>
  <c r="BP275" s="1"/>
  <c r="P275"/>
  <c r="BO274"/>
  <c r="BM274"/>
  <c r="Y274"/>
  <c r="BP274" s="1"/>
  <c r="P274"/>
  <c r="BO273"/>
  <c r="BM273"/>
  <c r="Y273"/>
  <c r="Z273" s="1"/>
  <c r="P273"/>
  <c r="BO272"/>
  <c r="BN272"/>
  <c r="BM272"/>
  <c r="Y272"/>
  <c r="BP272" s="1"/>
  <c r="P272"/>
  <c r="BO271"/>
  <c r="BM271"/>
  <c r="Y271"/>
  <c r="BP271" s="1"/>
  <c r="P271"/>
  <c r="BO270"/>
  <c r="BM270"/>
  <c r="Y270"/>
  <c r="P270"/>
  <c r="X268"/>
  <c r="X267"/>
  <c r="BO266"/>
  <c r="BM266"/>
  <c r="Y266"/>
  <c r="BN266" s="1"/>
  <c r="P266"/>
  <c r="BO265"/>
  <c r="BM265"/>
  <c r="Y265"/>
  <c r="BP265" s="1"/>
  <c r="P265"/>
  <c r="BO264"/>
  <c r="BM264"/>
  <c r="Z264"/>
  <c r="Y264"/>
  <c r="BP264" s="1"/>
  <c r="P264"/>
  <c r="BO263"/>
  <c r="BM263"/>
  <c r="Y263"/>
  <c r="Z263" s="1"/>
  <c r="P263"/>
  <c r="BO262"/>
  <c r="BM262"/>
  <c r="Y262"/>
  <c r="BP262" s="1"/>
  <c r="P262"/>
  <c r="BO261"/>
  <c r="BM261"/>
  <c r="Y261"/>
  <c r="Z261" s="1"/>
  <c r="P261"/>
  <c r="BP260"/>
  <c r="BO260"/>
  <c r="BM260"/>
  <c r="Y260"/>
  <c r="P260"/>
  <c r="BO259"/>
  <c r="BM259"/>
  <c r="Y259"/>
  <c r="P259"/>
  <c r="X257"/>
  <c r="X256"/>
  <c r="BO255"/>
  <c r="BM255"/>
  <c r="Y255"/>
  <c r="BP255" s="1"/>
  <c r="P255"/>
  <c r="BO254"/>
  <c r="BM254"/>
  <c r="Y254"/>
  <c r="P254"/>
  <c r="X252"/>
  <c r="Y251"/>
  <c r="X251"/>
  <c r="BO250"/>
  <c r="BN250"/>
  <c r="BM250"/>
  <c r="Y250"/>
  <c r="BP250" s="1"/>
  <c r="P250"/>
  <c r="BO249"/>
  <c r="BM249"/>
  <c r="Y249"/>
  <c r="BP249" s="1"/>
  <c r="P249"/>
  <c r="Y246"/>
  <c r="X246"/>
  <c r="X245"/>
  <c r="BP244"/>
  <c r="BO244"/>
  <c r="BM244"/>
  <c r="Y244"/>
  <c r="P244"/>
  <c r="X242"/>
  <c r="X241"/>
  <c r="BO240"/>
  <c r="BM240"/>
  <c r="Y240"/>
  <c r="Z240" s="1"/>
  <c r="P240"/>
  <c r="BO239"/>
  <c r="BM239"/>
  <c r="Y239"/>
  <c r="P239"/>
  <c r="BO238"/>
  <c r="BM238"/>
  <c r="Y238"/>
  <c r="Z238" s="1"/>
  <c r="P238"/>
  <c r="X236"/>
  <c r="X235"/>
  <c r="BO234"/>
  <c r="BM234"/>
  <c r="Y234"/>
  <c r="BN234" s="1"/>
  <c r="P234"/>
  <c r="BO233"/>
  <c r="BM233"/>
  <c r="Y233"/>
  <c r="P233"/>
  <c r="BO232"/>
  <c r="BM232"/>
  <c r="Y232"/>
  <c r="BP232" s="1"/>
  <c r="P232"/>
  <c r="BO231"/>
  <c r="BM231"/>
  <c r="Z231"/>
  <c r="Y231"/>
  <c r="BN231" s="1"/>
  <c r="P231"/>
  <c r="BO230"/>
  <c r="BM230"/>
  <c r="Y230"/>
  <c r="Z230" s="1"/>
  <c r="P230"/>
  <c r="X228"/>
  <c r="X227"/>
  <c r="BO226"/>
  <c r="BM226"/>
  <c r="Y226"/>
  <c r="BP226" s="1"/>
  <c r="P226"/>
  <c r="BO225"/>
  <c r="BN225"/>
  <c r="BM225"/>
  <c r="Z225"/>
  <c r="Y225"/>
  <c r="BP225" s="1"/>
  <c r="P225"/>
  <c r="BP224"/>
  <c r="BO224"/>
  <c r="BM224"/>
  <c r="Z224"/>
  <c r="Y224"/>
  <c r="BN224" s="1"/>
  <c r="P224"/>
  <c r="BO223"/>
  <c r="BM223"/>
  <c r="Z223"/>
  <c r="Y223"/>
  <c r="BN223" s="1"/>
  <c r="P223"/>
  <c r="BO222"/>
  <c r="BM222"/>
  <c r="Y222"/>
  <c r="BP222" s="1"/>
  <c r="P222"/>
  <c r="BO221"/>
  <c r="BM221"/>
  <c r="Z221"/>
  <c r="Y221"/>
  <c r="BN221" s="1"/>
  <c r="P221"/>
  <c r="BO220"/>
  <c r="BM220"/>
  <c r="Y220"/>
  <c r="Z220" s="1"/>
  <c r="P220"/>
  <c r="BO219"/>
  <c r="BM219"/>
  <c r="Y219"/>
  <c r="P219"/>
  <c r="BO218"/>
  <c r="BM218"/>
  <c r="Y218"/>
  <c r="BP218" s="1"/>
  <c r="P218"/>
  <c r="BO217"/>
  <c r="BN217"/>
  <c r="BM217"/>
  <c r="Y217"/>
  <c r="Z217" s="1"/>
  <c r="P217"/>
  <c r="BO216"/>
  <c r="BM216"/>
  <c r="Y216"/>
  <c r="BP216" s="1"/>
  <c r="P216"/>
  <c r="BO215"/>
  <c r="BM215"/>
  <c r="Y215"/>
  <c r="P215"/>
  <c r="BO214"/>
  <c r="BN214"/>
  <c r="BM214"/>
  <c r="Y214"/>
  <c r="Z214" s="1"/>
  <c r="P214"/>
  <c r="BO213"/>
  <c r="BM213"/>
  <c r="Y213"/>
  <c r="P213"/>
  <c r="X211"/>
  <c r="Y210"/>
  <c r="X210"/>
  <c r="BO209"/>
  <c r="BN209"/>
  <c r="BM209"/>
  <c r="Y209"/>
  <c r="BP209" s="1"/>
  <c r="P209"/>
  <c r="X206"/>
  <c r="X205"/>
  <c r="BO204"/>
  <c r="BN204"/>
  <c r="BM204"/>
  <c r="Y204"/>
  <c r="BP204" s="1"/>
  <c r="P204"/>
  <c r="BP203"/>
  <c r="BO203"/>
  <c r="BM203"/>
  <c r="Z203"/>
  <c r="Y203"/>
  <c r="BN203" s="1"/>
  <c r="P203"/>
  <c r="BO202"/>
  <c r="BM202"/>
  <c r="Y202"/>
  <c r="BN202" s="1"/>
  <c r="P202"/>
  <c r="BO201"/>
  <c r="BM201"/>
  <c r="Y201"/>
  <c r="BP201" s="1"/>
  <c r="P201"/>
  <c r="BO200"/>
  <c r="BM200"/>
  <c r="Y200"/>
  <c r="BN200" s="1"/>
  <c r="P200"/>
  <c r="BO199"/>
  <c r="BM199"/>
  <c r="Y199"/>
  <c r="Z199" s="1"/>
  <c r="P199"/>
  <c r="BO198"/>
  <c r="BM198"/>
  <c r="Y198"/>
  <c r="P198"/>
  <c r="X194"/>
  <c r="X193"/>
  <c r="BO192"/>
  <c r="BM192"/>
  <c r="Y192"/>
  <c r="Z192" s="1"/>
  <c r="Z193" s="1"/>
  <c r="P192"/>
  <c r="X190"/>
  <c r="X189"/>
  <c r="BO188"/>
  <c r="BM188"/>
  <c r="Y188"/>
  <c r="Y190" s="1"/>
  <c r="P188"/>
  <c r="BP187"/>
  <c r="BO187"/>
  <c r="BN187"/>
  <c r="BM187"/>
  <c r="Z187"/>
  <c r="Y187"/>
  <c r="Y189" s="1"/>
  <c r="P187"/>
  <c r="X185"/>
  <c r="X184"/>
  <c r="BO183"/>
  <c r="BM183"/>
  <c r="Y183"/>
  <c r="Z183" s="1"/>
  <c r="P183"/>
  <c r="BO182"/>
  <c r="BN182"/>
  <c r="BM182"/>
  <c r="Y182"/>
  <c r="Z182" s="1"/>
  <c r="P182"/>
  <c r="BO181"/>
  <c r="BM181"/>
  <c r="Y181"/>
  <c r="BP181" s="1"/>
  <c r="P181"/>
  <c r="X179"/>
  <c r="X178"/>
  <c r="BO177"/>
  <c r="BM177"/>
  <c r="Y177"/>
  <c r="BP177" s="1"/>
  <c r="P177"/>
  <c r="BO176"/>
  <c r="BM176"/>
  <c r="Z176"/>
  <c r="Y176"/>
  <c r="BN176" s="1"/>
  <c r="P176"/>
  <c r="BO175"/>
  <c r="BM175"/>
  <c r="Y175"/>
  <c r="Z175" s="1"/>
  <c r="P175"/>
  <c r="BO174"/>
  <c r="BN174"/>
  <c r="BM174"/>
  <c r="Y174"/>
  <c r="BP174" s="1"/>
  <c r="P174"/>
  <c r="BO173"/>
  <c r="BM173"/>
  <c r="Y173"/>
  <c r="Z173" s="1"/>
  <c r="P173"/>
  <c r="BP172"/>
  <c r="BO172"/>
  <c r="BM172"/>
  <c r="Y172"/>
  <c r="P172"/>
  <c r="BO171"/>
  <c r="BM171"/>
  <c r="Y171"/>
  <c r="BP171" s="1"/>
  <c r="P171"/>
  <c r="BO170"/>
  <c r="BM170"/>
  <c r="Y170"/>
  <c r="BP170" s="1"/>
  <c r="P170"/>
  <c r="BP169"/>
  <c r="BO169"/>
  <c r="BM169"/>
  <c r="Y169"/>
  <c r="P169"/>
  <c r="BO168"/>
  <c r="BM168"/>
  <c r="Y168"/>
  <c r="BN168" s="1"/>
  <c r="P168"/>
  <c r="BO167"/>
  <c r="BM167"/>
  <c r="Y167"/>
  <c r="P167"/>
  <c r="X165"/>
  <c r="X164"/>
  <c r="BO163"/>
  <c r="BM163"/>
  <c r="Y163"/>
  <c r="Y165" s="1"/>
  <c r="P163"/>
  <c r="Y161"/>
  <c r="X161"/>
  <c r="X160"/>
  <c r="BP159"/>
  <c r="BO159"/>
  <c r="BM159"/>
  <c r="Z159"/>
  <c r="Y159"/>
  <c r="BN159" s="1"/>
  <c r="P159"/>
  <c r="BO158"/>
  <c r="BM158"/>
  <c r="Z158"/>
  <c r="Z160" s="1"/>
  <c r="Y158"/>
  <c r="P158"/>
  <c r="X155"/>
  <c r="X154"/>
  <c r="BO153"/>
  <c r="BM153"/>
  <c r="Y153"/>
  <c r="P153"/>
  <c r="BO152"/>
  <c r="BM152"/>
  <c r="Y152"/>
  <c r="Y155" s="1"/>
  <c r="P152"/>
  <c r="BO151"/>
  <c r="BN151"/>
  <c r="BM151"/>
  <c r="Y151"/>
  <c r="P151"/>
  <c r="BO150"/>
  <c r="BM150"/>
  <c r="Y150"/>
  <c r="P150"/>
  <c r="X147"/>
  <c r="X146"/>
  <c r="BO145"/>
  <c r="BM145"/>
  <c r="Y145"/>
  <c r="P145"/>
  <c r="BO144"/>
  <c r="BM144"/>
  <c r="Y144"/>
  <c r="P144"/>
  <c r="X142"/>
  <c r="X141"/>
  <c r="BO140"/>
  <c r="BM140"/>
  <c r="Y140"/>
  <c r="P140"/>
  <c r="BO139"/>
  <c r="BM139"/>
  <c r="Y139"/>
  <c r="BP139" s="1"/>
  <c r="P139"/>
  <c r="X137"/>
  <c r="X136"/>
  <c r="BO135"/>
  <c r="BM135"/>
  <c r="Y135"/>
  <c r="BN135" s="1"/>
  <c r="P135"/>
  <c r="BO134"/>
  <c r="BN134"/>
  <c r="BM134"/>
  <c r="Y134"/>
  <c r="P134"/>
  <c r="X131"/>
  <c r="Y130"/>
  <c r="X130"/>
  <c r="BO129"/>
  <c r="BN129"/>
  <c r="BM129"/>
  <c r="Y129"/>
  <c r="Z129" s="1"/>
  <c r="Z130" s="1"/>
  <c r="P129"/>
  <c r="X127"/>
  <c r="X126"/>
  <c r="BO125"/>
  <c r="BN125"/>
  <c r="BM125"/>
  <c r="Y125"/>
  <c r="Z125" s="1"/>
  <c r="P125"/>
  <c r="BO124"/>
  <c r="BM124"/>
  <c r="Y124"/>
  <c r="BP124" s="1"/>
  <c r="P124"/>
  <c r="BO123"/>
  <c r="BM123"/>
  <c r="Y123"/>
  <c r="P123"/>
  <c r="BO122"/>
  <c r="BM122"/>
  <c r="Y122"/>
  <c r="Z122" s="1"/>
  <c r="P122"/>
  <c r="X120"/>
  <c r="X119"/>
  <c r="BO118"/>
  <c r="BM118"/>
  <c r="Y118"/>
  <c r="Z118" s="1"/>
  <c r="P118"/>
  <c r="BO117"/>
  <c r="BN117"/>
  <c r="BM117"/>
  <c r="Y117"/>
  <c r="BP117" s="1"/>
  <c r="P117"/>
  <c r="BO116"/>
  <c r="BM116"/>
  <c r="Y116"/>
  <c r="Z116" s="1"/>
  <c r="P116"/>
  <c r="BP115"/>
  <c r="BO115"/>
  <c r="BM115"/>
  <c r="Y115"/>
  <c r="P115"/>
  <c r="BO114"/>
  <c r="BM114"/>
  <c r="Y114"/>
  <c r="BP114" s="1"/>
  <c r="P114"/>
  <c r="BO113"/>
  <c r="BM113"/>
  <c r="Y113"/>
  <c r="Z113" s="1"/>
  <c r="P113"/>
  <c r="BO112"/>
  <c r="BN112"/>
  <c r="BM112"/>
  <c r="Y112"/>
  <c r="Z112" s="1"/>
  <c r="P112"/>
  <c r="X110"/>
  <c r="X109"/>
  <c r="BO108"/>
  <c r="BM108"/>
  <c r="Y108"/>
  <c r="Z108" s="1"/>
  <c r="P108"/>
  <c r="BO107"/>
  <c r="BN107"/>
  <c r="BM107"/>
  <c r="Y107"/>
  <c r="BP107" s="1"/>
  <c r="P107"/>
  <c r="BO106"/>
  <c r="BM106"/>
  <c r="Y106"/>
  <c r="BP106" s="1"/>
  <c r="P106"/>
  <c r="BO105"/>
  <c r="BM105"/>
  <c r="Y105"/>
  <c r="Z105" s="1"/>
  <c r="P105"/>
  <c r="BO104"/>
  <c r="BM104"/>
  <c r="Y104"/>
  <c r="BP104" s="1"/>
  <c r="P104"/>
  <c r="BO103"/>
  <c r="BN103"/>
  <c r="BM103"/>
  <c r="Z103"/>
  <c r="Y103"/>
  <c r="P103"/>
  <c r="X100"/>
  <c r="X99"/>
  <c r="BO98"/>
  <c r="BM98"/>
  <c r="Z98"/>
  <c r="Y98"/>
  <c r="BN98" s="1"/>
  <c r="P98"/>
  <c r="BO97"/>
  <c r="BM97"/>
  <c r="Y97"/>
  <c r="Z97" s="1"/>
  <c r="P97"/>
  <c r="BO96"/>
  <c r="BN96"/>
  <c r="BM96"/>
  <c r="Y96"/>
  <c r="BP96" s="1"/>
  <c r="P96"/>
  <c r="BO95"/>
  <c r="BM95"/>
  <c r="Y95"/>
  <c r="Y100" s="1"/>
  <c r="P95"/>
  <c r="X93"/>
  <c r="X92"/>
  <c r="BO91"/>
  <c r="BM91"/>
  <c r="Y91"/>
  <c r="BN91" s="1"/>
  <c r="P91"/>
  <c r="BO90"/>
  <c r="BN90"/>
  <c r="BM90"/>
  <c r="Y90"/>
  <c r="BP90" s="1"/>
  <c r="P90"/>
  <c r="BO89"/>
  <c r="BM89"/>
  <c r="Y89"/>
  <c r="BP89" s="1"/>
  <c r="P89"/>
  <c r="BO88"/>
  <c r="BM88"/>
  <c r="Y88"/>
  <c r="Z88" s="1"/>
  <c r="P88"/>
  <c r="X85"/>
  <c r="X84"/>
  <c r="BO83"/>
  <c r="BM83"/>
  <c r="Y83"/>
  <c r="BN83" s="1"/>
  <c r="P83"/>
  <c r="BO82"/>
  <c r="BM82"/>
  <c r="Y82"/>
  <c r="BP82" s="1"/>
  <c r="P82"/>
  <c r="Y80"/>
  <c r="X80"/>
  <c r="X79"/>
  <c r="BO78"/>
  <c r="BN78"/>
  <c r="BM78"/>
  <c r="Y78"/>
  <c r="Z78" s="1"/>
  <c r="P78"/>
  <c r="BO77"/>
  <c r="BM77"/>
  <c r="Y77"/>
  <c r="Y79" s="1"/>
  <c r="P77"/>
  <c r="X75"/>
  <c r="X74"/>
  <c r="BO73"/>
  <c r="BN73"/>
  <c r="BM73"/>
  <c r="Y73"/>
  <c r="BP73" s="1"/>
  <c r="P73"/>
  <c r="BO72"/>
  <c r="BM72"/>
  <c r="Y72"/>
  <c r="Z72" s="1"/>
  <c r="P72"/>
  <c r="BO71"/>
  <c r="BM71"/>
  <c r="Y71"/>
  <c r="Z71" s="1"/>
  <c r="P71"/>
  <c r="BO70"/>
  <c r="BM70"/>
  <c r="Y70"/>
  <c r="BP70" s="1"/>
  <c r="P70"/>
  <c r="X68"/>
  <c r="X67"/>
  <c r="BO66"/>
  <c r="BM66"/>
  <c r="Y66"/>
  <c r="BP66" s="1"/>
  <c r="P66"/>
  <c r="BO65"/>
  <c r="BM65"/>
  <c r="Y65"/>
  <c r="BN65" s="1"/>
  <c r="P65"/>
  <c r="BO64"/>
  <c r="BM64"/>
  <c r="Y64"/>
  <c r="Z64" s="1"/>
  <c r="P64"/>
  <c r="BO63"/>
  <c r="BM63"/>
  <c r="Y63"/>
  <c r="BP63" s="1"/>
  <c r="P63"/>
  <c r="BO62"/>
  <c r="BM62"/>
  <c r="Y62"/>
  <c r="BP62" s="1"/>
  <c r="P62"/>
  <c r="BO61"/>
  <c r="BN61"/>
  <c r="BM61"/>
  <c r="Y61"/>
  <c r="Z61" s="1"/>
  <c r="P61"/>
  <c r="BO60"/>
  <c r="BM60"/>
  <c r="Y60"/>
  <c r="BP60" s="1"/>
  <c r="P60"/>
  <c r="BO59"/>
  <c r="BM59"/>
  <c r="Y59"/>
  <c r="P59"/>
  <c r="X56"/>
  <c r="X55"/>
  <c r="BO54"/>
  <c r="BM54"/>
  <c r="Y54"/>
  <c r="BN54" s="1"/>
  <c r="P54"/>
  <c r="BO53"/>
  <c r="BM53"/>
  <c r="Y53"/>
  <c r="Z53" s="1"/>
  <c r="P53"/>
  <c r="BO52"/>
  <c r="BN52"/>
  <c r="BM52"/>
  <c r="Y52"/>
  <c r="BP52" s="1"/>
  <c r="P52"/>
  <c r="BO51"/>
  <c r="BM51"/>
  <c r="Y51"/>
  <c r="P51"/>
  <c r="X47"/>
  <c r="X46"/>
  <c r="BO45"/>
  <c r="BN45"/>
  <c r="BM45"/>
  <c r="Y45"/>
  <c r="BP45" s="1"/>
  <c r="P45"/>
  <c r="BP44"/>
  <c r="BO44"/>
  <c r="BN44"/>
  <c r="BM44"/>
  <c r="Z44"/>
  <c r="Y44"/>
  <c r="P44"/>
  <c r="BO43"/>
  <c r="BM43"/>
  <c r="Y43"/>
  <c r="BP43" s="1"/>
  <c r="P43"/>
  <c r="BO42"/>
  <c r="BM42"/>
  <c r="Y42"/>
  <c r="BN42" s="1"/>
  <c r="P42"/>
  <c r="BO41"/>
  <c r="BM41"/>
  <c r="Y41"/>
  <c r="Z41" s="1"/>
  <c r="P41"/>
  <c r="X37"/>
  <c r="X36"/>
  <c r="BO35"/>
  <c r="BM35"/>
  <c r="Y35"/>
  <c r="Y37" s="1"/>
  <c r="P35"/>
  <c r="X33"/>
  <c r="X32"/>
  <c r="BO31"/>
  <c r="BN31"/>
  <c r="BM31"/>
  <c r="Y31"/>
  <c r="Z31" s="1"/>
  <c r="P31"/>
  <c r="BO30"/>
  <c r="BM30"/>
  <c r="Y30"/>
  <c r="BN30" s="1"/>
  <c r="P30"/>
  <c r="BP29"/>
  <c r="BO29"/>
  <c r="BN29"/>
  <c r="BM29"/>
  <c r="Z29"/>
  <c r="Y29"/>
  <c r="P29"/>
  <c r="BO28"/>
  <c r="BM28"/>
  <c r="Y28"/>
  <c r="Z28" s="1"/>
  <c r="P28"/>
  <c r="BO27"/>
  <c r="BM27"/>
  <c r="Y27"/>
  <c r="Y32" s="1"/>
  <c r="P27"/>
  <c r="X25"/>
  <c r="X24"/>
  <c r="BO23"/>
  <c r="BM23"/>
  <c r="Y23"/>
  <c r="BP23" s="1"/>
  <c r="P23"/>
  <c r="BO22"/>
  <c r="BM22"/>
  <c r="Y22"/>
  <c r="Y24" s="1"/>
  <c r="P22"/>
  <c r="H10"/>
  <c r="A9"/>
  <c r="F10" s="1"/>
  <c r="D7"/>
  <c r="Q6"/>
  <c r="P2"/>
  <c r="BN122" l="1"/>
  <c r="BN262"/>
  <c r="Y126"/>
  <c r="BN170"/>
  <c r="Y383"/>
  <c r="BN497"/>
  <c r="Z355"/>
  <c r="BN320"/>
  <c r="Z358"/>
  <c r="E544"/>
  <c r="X536"/>
  <c r="Y74"/>
  <c r="J9"/>
  <c r="A10"/>
  <c r="BP54"/>
  <c r="Y93"/>
  <c r="Y178"/>
  <c r="BP167"/>
  <c r="Z167"/>
  <c r="BP192"/>
  <c r="BP233"/>
  <c r="Z233"/>
  <c r="Z270"/>
  <c r="BN270"/>
  <c r="Y350"/>
  <c r="BP347"/>
  <c r="Z347"/>
  <c r="Z380"/>
  <c r="BN380"/>
  <c r="BP480"/>
  <c r="Z480"/>
  <c r="X538"/>
  <c r="BP28"/>
  <c r="Y33"/>
  <c r="BP42"/>
  <c r="BP65"/>
  <c r="BP71"/>
  <c r="Z83"/>
  <c r="BP83"/>
  <c r="Y85"/>
  <c r="Z91"/>
  <c r="BP91"/>
  <c r="BP105"/>
  <c r="Z115"/>
  <c r="BN115"/>
  <c r="Z135"/>
  <c r="BP140"/>
  <c r="BN140"/>
  <c r="Y141"/>
  <c r="Z169"/>
  <c r="BN169"/>
  <c r="Z202"/>
  <c r="BP234"/>
  <c r="BP239"/>
  <c r="BN239"/>
  <c r="Y268"/>
  <c r="Z260"/>
  <c r="BN260"/>
  <c r="Z266"/>
  <c r="Z277"/>
  <c r="BP286"/>
  <c r="Z291"/>
  <c r="BN291"/>
  <c r="Z310"/>
  <c r="BP357"/>
  <c r="Z366"/>
  <c r="Z374"/>
  <c r="BN375"/>
  <c r="Z375"/>
  <c r="BP388"/>
  <c r="Z388"/>
  <c r="Y396"/>
  <c r="BN393"/>
  <c r="Z394"/>
  <c r="BN394"/>
  <c r="BP400"/>
  <c r="Z411"/>
  <c r="Z429"/>
  <c r="Z430" s="1"/>
  <c r="Y430"/>
  <c r="BN429"/>
  <c r="Y503"/>
  <c r="BN498"/>
  <c r="BP521"/>
  <c r="BN521"/>
  <c r="Z525"/>
  <c r="BP113"/>
  <c r="BN113"/>
  <c r="BP135"/>
  <c r="Y146"/>
  <c r="Y147"/>
  <c r="BP198"/>
  <c r="BN198"/>
  <c r="BP215"/>
  <c r="Z215"/>
  <c r="BP266"/>
  <c r="BP277"/>
  <c r="BP332"/>
  <c r="Y337"/>
  <c r="BP366"/>
  <c r="X535"/>
  <c r="X534"/>
  <c r="BP31"/>
  <c r="Z42"/>
  <c r="BP61"/>
  <c r="BN63"/>
  <c r="Z65"/>
  <c r="Z90"/>
  <c r="BP112"/>
  <c r="BP123"/>
  <c r="BN123"/>
  <c r="BN167"/>
  <c r="BN215"/>
  <c r="BP219"/>
  <c r="BN219"/>
  <c r="BN233"/>
  <c r="Z234"/>
  <c r="Z286"/>
  <c r="BP316"/>
  <c r="BN316"/>
  <c r="BP318"/>
  <c r="Z318"/>
  <c r="BP327"/>
  <c r="BN327"/>
  <c r="BN347"/>
  <c r="Z357"/>
  <c r="Z400"/>
  <c r="BP420"/>
  <c r="BP424"/>
  <c r="Y426"/>
  <c r="Z425"/>
  <c r="BN425"/>
  <c r="Z445"/>
  <c r="BN445"/>
  <c r="Y473"/>
  <c r="Z471"/>
  <c r="BN480"/>
  <c r="BP483"/>
  <c r="Z483"/>
  <c r="BP500"/>
  <c r="BN500"/>
  <c r="AA544"/>
  <c r="Z521"/>
  <c r="Z522" s="1"/>
  <c r="Z145"/>
  <c r="BN145"/>
  <c r="Z153"/>
  <c r="BN153"/>
  <c r="Y194"/>
  <c r="BN192"/>
  <c r="BP202"/>
  <c r="BP297"/>
  <c r="Z297"/>
  <c r="BP310"/>
  <c r="Z333"/>
  <c r="BN333"/>
  <c r="BP356"/>
  <c r="Z356"/>
  <c r="BP392"/>
  <c r="Z392"/>
  <c r="U544"/>
  <c r="BP399"/>
  <c r="Z399"/>
  <c r="Z402" s="1"/>
  <c r="BP411"/>
  <c r="BP455"/>
  <c r="BN455"/>
  <c r="Z22"/>
  <c r="Z54"/>
  <c r="Z59"/>
  <c r="BN22"/>
  <c r="Y25"/>
  <c r="BN28"/>
  <c r="Z45"/>
  <c r="Y56"/>
  <c r="BN59"/>
  <c r="BN71"/>
  <c r="BP78"/>
  <c r="Y84"/>
  <c r="F544"/>
  <c r="BP88"/>
  <c r="BP98"/>
  <c r="G544"/>
  <c r="BN105"/>
  <c r="Z123"/>
  <c r="H544"/>
  <c r="Y136"/>
  <c r="Y137"/>
  <c r="BP134"/>
  <c r="Z134"/>
  <c r="BP145"/>
  <c r="I544"/>
  <c r="BP151"/>
  <c r="Z151"/>
  <c r="BP153"/>
  <c r="J544"/>
  <c r="BN158"/>
  <c r="Y160"/>
  <c r="BP158"/>
  <c r="Z172"/>
  <c r="BN172"/>
  <c r="BP223"/>
  <c r="Z244"/>
  <c r="Z245" s="1"/>
  <c r="Y245"/>
  <c r="BN244"/>
  <c r="BP254"/>
  <c r="Z254"/>
  <c r="BP270"/>
  <c r="Z274"/>
  <c r="BP276"/>
  <c r="Z276"/>
  <c r="BP281"/>
  <c r="BN281"/>
  <c r="Y313"/>
  <c r="BP309"/>
  <c r="Z309"/>
  <c r="Z312" s="1"/>
  <c r="BP333"/>
  <c r="Z336"/>
  <c r="BN336"/>
  <c r="BP341"/>
  <c r="BN341"/>
  <c r="BP362"/>
  <c r="BN362"/>
  <c r="BP364"/>
  <c r="Z364"/>
  <c r="BP380"/>
  <c r="BP385"/>
  <c r="Z385"/>
  <c r="BN388"/>
  <c r="Y416"/>
  <c r="BN407"/>
  <c r="BP409"/>
  <c r="Z409"/>
  <c r="Z420"/>
  <c r="Y431"/>
  <c r="Y458"/>
  <c r="BN453"/>
  <c r="Y463"/>
  <c r="BN460"/>
  <c r="BP460"/>
  <c r="Z492"/>
  <c r="BN492"/>
  <c r="Z500"/>
  <c r="BP122"/>
  <c r="BP125"/>
  <c r="BP200"/>
  <c r="BP221"/>
  <c r="BP301"/>
  <c r="Y328"/>
  <c r="Z342"/>
  <c r="BP340"/>
  <c r="Y342"/>
  <c r="S544"/>
  <c r="BP365"/>
  <c r="BP410"/>
  <c r="BN443"/>
  <c r="X544"/>
  <c r="BP454"/>
  <c r="Z544"/>
  <c r="BN490"/>
  <c r="BP499"/>
  <c r="Y519"/>
  <c r="BP129"/>
  <c r="Y131"/>
  <c r="Z170"/>
  <c r="BP176"/>
  <c r="BP182"/>
  <c r="Z200"/>
  <c r="Z204"/>
  <c r="Y228"/>
  <c r="BP214"/>
  <c r="BP217"/>
  <c r="BP231"/>
  <c r="Z250"/>
  <c r="Y252"/>
  <c r="BP305"/>
  <c r="Y307"/>
  <c r="Y312"/>
  <c r="Z320"/>
  <c r="BP325"/>
  <c r="Z346"/>
  <c r="BP346"/>
  <c r="Z354"/>
  <c r="BP355"/>
  <c r="Z368"/>
  <c r="Y390"/>
  <c r="BP387"/>
  <c r="Y402"/>
  <c r="Z421"/>
  <c r="W544"/>
  <c r="Z435"/>
  <c r="Z436" s="1"/>
  <c r="Y437"/>
  <c r="Z452"/>
  <c r="BP470"/>
  <c r="BP479"/>
  <c r="BP482"/>
  <c r="BP485"/>
  <c r="Z462"/>
  <c r="Z473"/>
  <c r="Z395"/>
  <c r="Y47"/>
  <c r="Z517"/>
  <c r="Y522"/>
  <c r="Y236"/>
  <c r="Z27"/>
  <c r="BN41"/>
  <c r="BN53"/>
  <c r="BN64"/>
  <c r="Y67"/>
  <c r="Y75"/>
  <c r="BN97"/>
  <c r="BN108"/>
  <c r="BN118"/>
  <c r="Y142"/>
  <c r="Z152"/>
  <c r="BN175"/>
  <c r="BN199"/>
  <c r="Y211"/>
  <c r="BN220"/>
  <c r="BN230"/>
  <c r="BN240"/>
  <c r="Y256"/>
  <c r="BN263"/>
  <c r="BN273"/>
  <c r="Z281"/>
  <c r="BN294"/>
  <c r="BN317"/>
  <c r="Y329"/>
  <c r="BN353"/>
  <c r="BN363"/>
  <c r="BN373"/>
  <c r="Y376"/>
  <c r="Z393"/>
  <c r="BN408"/>
  <c r="BN418"/>
  <c r="Y421"/>
  <c r="Z453"/>
  <c r="BN466"/>
  <c r="Z478"/>
  <c r="Z498"/>
  <c r="BN512"/>
  <c r="Y527"/>
  <c r="K544"/>
  <c r="Y504"/>
  <c r="BN517"/>
  <c r="L544"/>
  <c r="BP512"/>
  <c r="Y523"/>
  <c r="M544"/>
  <c r="Z139"/>
  <c r="BP220"/>
  <c r="Z77"/>
  <c r="Z79" s="1"/>
  <c r="Z168"/>
  <c r="Z188"/>
  <c r="Z189" s="1"/>
  <c r="Y193"/>
  <c r="Y205"/>
  <c r="Y257"/>
  <c r="Z332"/>
  <c r="Y359"/>
  <c r="Y369"/>
  <c r="Y377"/>
  <c r="Z386"/>
  <c r="Y422"/>
  <c r="Z444"/>
  <c r="Z446" s="1"/>
  <c r="Z456"/>
  <c r="BP471"/>
  <c r="Z481"/>
  <c r="Z491"/>
  <c r="Z493" s="1"/>
  <c r="Z501"/>
  <c r="BP517"/>
  <c r="Y528"/>
  <c r="O544"/>
  <c r="Z51"/>
  <c r="BP108"/>
  <c r="Z163"/>
  <c r="Z164" s="1"/>
  <c r="BP273"/>
  <c r="BP408"/>
  <c r="BP466"/>
  <c r="BP22"/>
  <c r="Z30"/>
  <c r="BP59"/>
  <c r="Y68"/>
  <c r="BP103"/>
  <c r="Z144"/>
  <c r="Z146" s="1"/>
  <c r="Y179"/>
  <c r="Z213"/>
  <c r="BP27"/>
  <c r="Z35"/>
  <c r="Z36" s="1"/>
  <c r="BN51"/>
  <c r="BN62"/>
  <c r="BN72"/>
  <c r="Z82"/>
  <c r="Z84" s="1"/>
  <c r="BN95"/>
  <c r="BN106"/>
  <c r="Y109"/>
  <c r="BN116"/>
  <c r="Y119"/>
  <c r="Y127"/>
  <c r="BN139"/>
  <c r="Z150"/>
  <c r="BP152"/>
  <c r="BN163"/>
  <c r="BN173"/>
  <c r="BN183"/>
  <c r="BN218"/>
  <c r="Z226"/>
  <c r="BN238"/>
  <c r="Y241"/>
  <c r="Z249"/>
  <c r="BN261"/>
  <c r="BN271"/>
  <c r="Z279"/>
  <c r="BN292"/>
  <c r="Y303"/>
  <c r="BN326"/>
  <c r="Y338"/>
  <c r="Z348"/>
  <c r="BN381"/>
  <c r="BP393"/>
  <c r="Z414"/>
  <c r="Y427"/>
  <c r="BN439"/>
  <c r="Z451"/>
  <c r="Z457" s="1"/>
  <c r="BP453"/>
  <c r="Z461"/>
  <c r="Y467"/>
  <c r="BP478"/>
  <c r="BN486"/>
  <c r="Z496"/>
  <c r="BP498"/>
  <c r="Z508"/>
  <c r="Z509" s="1"/>
  <c r="Y513"/>
  <c r="P544"/>
  <c r="Z62"/>
  <c r="Z106"/>
  <c r="Z218"/>
  <c r="Z271"/>
  <c r="BP418"/>
  <c r="Z439"/>
  <c r="Z440" s="1"/>
  <c r="BN144"/>
  <c r="BN332"/>
  <c r="BN386"/>
  <c r="Y389"/>
  <c r="BN444"/>
  <c r="BN456"/>
  <c r="BN481"/>
  <c r="BN491"/>
  <c r="BN501"/>
  <c r="Y518"/>
  <c r="Q544"/>
  <c r="BN27"/>
  <c r="BP53"/>
  <c r="BP64"/>
  <c r="BP118"/>
  <c r="BN152"/>
  <c r="Z23"/>
  <c r="Z24" s="1"/>
  <c r="BN35"/>
  <c r="BP51"/>
  <c r="Z60"/>
  <c r="Z70"/>
  <c r="BP72"/>
  <c r="BN82"/>
  <c r="BP95"/>
  <c r="Z104"/>
  <c r="Z114"/>
  <c r="Z119" s="1"/>
  <c r="BP116"/>
  <c r="Z124"/>
  <c r="Z126" s="1"/>
  <c r="BN150"/>
  <c r="BP163"/>
  <c r="Z171"/>
  <c r="BP173"/>
  <c r="Z181"/>
  <c r="Z184" s="1"/>
  <c r="BP183"/>
  <c r="Y206"/>
  <c r="Z216"/>
  <c r="BN226"/>
  <c r="BP238"/>
  <c r="BN249"/>
  <c r="Z259"/>
  <c r="BP261"/>
  <c r="BN279"/>
  <c r="Y282"/>
  <c r="BP292"/>
  <c r="BP326"/>
  <c r="Z335"/>
  <c r="BN348"/>
  <c r="Y360"/>
  <c r="Y370"/>
  <c r="Z379"/>
  <c r="Z382" s="1"/>
  <c r="BP381"/>
  <c r="Y403"/>
  <c r="BN414"/>
  <c r="Z424"/>
  <c r="BP439"/>
  <c r="BN451"/>
  <c r="BN461"/>
  <c r="Z472"/>
  <c r="Z484"/>
  <c r="BP486"/>
  <c r="BN496"/>
  <c r="BN508"/>
  <c r="Z531"/>
  <c r="Z532" s="1"/>
  <c r="R544"/>
  <c r="BP175"/>
  <c r="BP30"/>
  <c r="BP77"/>
  <c r="BN88"/>
  <c r="Y110"/>
  <c r="Y120"/>
  <c r="BP144"/>
  <c r="BP168"/>
  <c r="BP188"/>
  <c r="BP213"/>
  <c r="Y242"/>
  <c r="BN254"/>
  <c r="BN264"/>
  <c r="Y267"/>
  <c r="BN274"/>
  <c r="Y287"/>
  <c r="BN295"/>
  <c r="Y298"/>
  <c r="BN318"/>
  <c r="Y321"/>
  <c r="BN354"/>
  <c r="BN364"/>
  <c r="BN374"/>
  <c r="BP386"/>
  <c r="BN409"/>
  <c r="BN419"/>
  <c r="BP444"/>
  <c r="Y468"/>
  <c r="BP491"/>
  <c r="Y514"/>
  <c r="BN525"/>
  <c r="BP363"/>
  <c r="BN77"/>
  <c r="BN188"/>
  <c r="BN213"/>
  <c r="BN60"/>
  <c r="BN104"/>
  <c r="BN114"/>
  <c r="BN124"/>
  <c r="BP150"/>
  <c r="Y164"/>
  <c r="BN171"/>
  <c r="BN181"/>
  <c r="Y184"/>
  <c r="BN216"/>
  <c r="BN259"/>
  <c r="BN335"/>
  <c r="BN379"/>
  <c r="Y382"/>
  <c r="BN424"/>
  <c r="Y440"/>
  <c r="BP451"/>
  <c r="BN472"/>
  <c r="BN484"/>
  <c r="Y487"/>
  <c r="BP508"/>
  <c r="BN531"/>
  <c r="T544"/>
  <c r="BN23"/>
  <c r="F9"/>
  <c r="Z52"/>
  <c r="Z63"/>
  <c r="Z73"/>
  <c r="Z96"/>
  <c r="Z107"/>
  <c r="Z117"/>
  <c r="Z140"/>
  <c r="Z174"/>
  <c r="Z198"/>
  <c r="Z205" s="1"/>
  <c r="Z209"/>
  <c r="Z210" s="1"/>
  <c r="Z219"/>
  <c r="Z239"/>
  <c r="Z241" s="1"/>
  <c r="Z262"/>
  <c r="Z272"/>
  <c r="Y283"/>
  <c r="Z293"/>
  <c r="Z316"/>
  <c r="Z321" s="1"/>
  <c r="Z327"/>
  <c r="Z328" s="1"/>
  <c r="Z362"/>
  <c r="Z372"/>
  <c r="Z376" s="1"/>
  <c r="Z407"/>
  <c r="Z415" s="1"/>
  <c r="Y457"/>
  <c r="B544"/>
  <c r="BP97"/>
  <c r="BP294"/>
  <c r="BP317"/>
  <c r="BP353"/>
  <c r="BP35"/>
  <c r="BN70"/>
  <c r="H9"/>
  <c r="Y36"/>
  <c r="Y227"/>
  <c r="BP259"/>
  <c r="Y288"/>
  <c r="Y299"/>
  <c r="Y322"/>
  <c r="Y349"/>
  <c r="BP379"/>
  <c r="Y415"/>
  <c r="Y462"/>
  <c r="Z502"/>
  <c r="Y509"/>
  <c r="Z516"/>
  <c r="Z518" s="1"/>
  <c r="BP531"/>
  <c r="C544"/>
  <c r="V544"/>
  <c r="BP199"/>
  <c r="BP240"/>
  <c r="BP373"/>
  <c r="Y55"/>
  <c r="Y99"/>
  <c r="Y185"/>
  <c r="Y488"/>
  <c r="D544"/>
  <c r="BP41"/>
  <c r="Z95"/>
  <c r="Z43"/>
  <c r="Z46" s="1"/>
  <c r="Z66"/>
  <c r="Z89"/>
  <c r="Z201"/>
  <c r="Z222"/>
  <c r="Z232"/>
  <c r="Z255"/>
  <c r="Z265"/>
  <c r="Z275"/>
  <c r="Z285"/>
  <c r="Z296"/>
  <c r="Z319"/>
  <c r="Z526"/>
  <c r="Z527" s="1"/>
  <c r="Y532"/>
  <c r="BP263"/>
  <c r="Z177"/>
  <c r="Y154"/>
  <c r="Y395"/>
  <c r="BP407"/>
  <c r="Y510"/>
  <c r="Y544"/>
  <c r="BP230"/>
  <c r="BN43"/>
  <c r="Y46"/>
  <c r="BN66"/>
  <c r="BN89"/>
  <c r="Y92"/>
  <c r="BN177"/>
  <c r="BN201"/>
  <c r="BN222"/>
  <c r="BN232"/>
  <c r="Y235"/>
  <c r="BN255"/>
  <c r="BN265"/>
  <c r="BN275"/>
  <c r="BN285"/>
  <c r="BN296"/>
  <c r="BN319"/>
  <c r="BN526"/>
  <c r="Y533"/>
  <c r="X537" l="1"/>
  <c r="Z359"/>
  <c r="Z74"/>
  <c r="Y535"/>
  <c r="Z298"/>
  <c r="Z109"/>
  <c r="Z92"/>
  <c r="Z369"/>
  <c r="Y534"/>
  <c r="Z389"/>
  <c r="Z141"/>
  <c r="Z136"/>
  <c r="Z256"/>
  <c r="Y538"/>
  <c r="Z287"/>
  <c r="Z235"/>
  <c r="Z426"/>
  <c r="Z282"/>
  <c r="Z349"/>
  <c r="Z251"/>
  <c r="Z227"/>
  <c r="Z154"/>
  <c r="Y536"/>
  <c r="Z99"/>
  <c r="Z32"/>
  <c r="Z337"/>
  <c r="Z67"/>
  <c r="Z503"/>
  <c r="Z487"/>
  <c r="Z55"/>
  <c r="Z267"/>
  <c r="Z178"/>
  <c r="Y537" l="1"/>
  <c r="Z539"/>
</calcChain>
</file>

<file path=xl/sharedStrings.xml><?xml version="1.0" encoding="utf-8"?>
<sst xmlns="http://schemas.openxmlformats.org/spreadsheetml/2006/main" count="4047" uniqueCount="860">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</sst>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BP544"/>
  <sheetViews>
    <sheetView showGridLines="0" tabSelected="1" topLeftCell="F524" zoomScaleNormal="100" zoomScaleSheetLayoutView="100" workbookViewId="0">
      <selection activeCell="X419" sqref="X419"/>
    </sheetView>
  </sheetViews>
  <sheetFormatPr defaultColWidth="9.140625" defaultRowHeight="12.75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>
      <c r="A5" s="620" t="s">
        <v>8</v>
      </c>
      <c r="B5" s="620"/>
      <c r="C5" s="620"/>
      <c r="D5" s="621"/>
      <c r="E5" s="621"/>
      <c r="F5" s="622" t="s">
        <v>14</v>
      </c>
      <c r="G5" s="622"/>
      <c r="H5" s="621"/>
      <c r="I5" s="621"/>
      <c r="J5" s="621"/>
      <c r="K5" s="621"/>
      <c r="L5" s="621"/>
      <c r="M5" s="621"/>
      <c r="N5" s="72"/>
      <c r="P5" s="27" t="s">
        <v>4</v>
      </c>
      <c r="Q5" s="623">
        <v>46219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Четверг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0.41666666666666669</v>
      </c>
      <c r="R8" s="644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>
      <c r="A9" s="6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646" t="s">
        <v>46</v>
      </c>
      <c r="E9" s="647"/>
      <c r="F9" s="6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8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70"/>
      <c r="P9" s="31" t="s">
        <v>15</v>
      </c>
      <c r="Q9" s="649"/>
      <c r="R9" s="649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>
      <c r="A10" s="6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646"/>
      <c r="E10" s="647"/>
      <c r="F10" s="6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650" t="str">
        <f>IFERROR(VLOOKUP($D$10,Proxy,2,FALSE),"")</f>
        <v/>
      </c>
      <c r="I10" s="650"/>
      <c r="J10" s="650"/>
      <c r="K10" s="650"/>
      <c r="L10" s="650"/>
      <c r="M10" s="650"/>
      <c r="N10" s="71"/>
      <c r="P10" s="31" t="s">
        <v>32</v>
      </c>
      <c r="Q10" s="651"/>
      <c r="R10" s="651"/>
      <c r="U10" s="29" t="s">
        <v>12</v>
      </c>
      <c r="V10" s="652" t="s">
        <v>71</v>
      </c>
      <c r="W10" s="65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4"/>
      <c r="R11" s="654"/>
      <c r="U11" s="29" t="s">
        <v>28</v>
      </c>
      <c r="V11" s="655" t="s">
        <v>55</v>
      </c>
      <c r="W11" s="65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>
      <c r="A12" s="656" t="s">
        <v>72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6"/>
      <c r="N12" s="76"/>
      <c r="P12" s="27" t="s">
        <v>30</v>
      </c>
      <c r="Q12" s="643"/>
      <c r="R12" s="643"/>
      <c r="S12" s="28"/>
      <c r="T12"/>
      <c r="U12" s="29" t="s">
        <v>46</v>
      </c>
      <c r="V12" s="657"/>
      <c r="W12" s="657"/>
      <c r="X12"/>
      <c r="AB12" s="59"/>
      <c r="AC12" s="59"/>
      <c r="AD12" s="59"/>
      <c r="AE12" s="59"/>
    </row>
    <row r="13" spans="1:32" s="17" customFormat="1" ht="23.25" customHeight="1">
      <c r="A13" s="656" t="s">
        <v>73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76"/>
      <c r="O13" s="31"/>
      <c r="P13" s="31" t="s">
        <v>31</v>
      </c>
      <c r="Q13" s="655"/>
      <c r="R13" s="65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>
      <c r="A14" s="656" t="s">
        <v>74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>
      <c r="A15" s="658" t="s">
        <v>75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8"/>
      <c r="N15" s="77"/>
      <c r="O15"/>
      <c r="P15" s="659" t="s">
        <v>61</v>
      </c>
      <c r="Q15" s="659"/>
      <c r="R15" s="659"/>
      <c r="S15" s="659"/>
      <c r="T15" s="6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0"/>
      <c r="Q16" s="660"/>
      <c r="R16" s="660"/>
      <c r="S16" s="660"/>
      <c r="T16" s="6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>
      <c r="A17" s="663" t="s">
        <v>59</v>
      </c>
      <c r="B17" s="663" t="s">
        <v>49</v>
      </c>
      <c r="C17" s="665" t="s">
        <v>48</v>
      </c>
      <c r="D17" s="667" t="s">
        <v>50</v>
      </c>
      <c r="E17" s="668"/>
      <c r="F17" s="663" t="s">
        <v>21</v>
      </c>
      <c r="G17" s="663" t="s">
        <v>24</v>
      </c>
      <c r="H17" s="663" t="s">
        <v>22</v>
      </c>
      <c r="I17" s="663" t="s">
        <v>23</v>
      </c>
      <c r="J17" s="663" t="s">
        <v>16</v>
      </c>
      <c r="K17" s="663" t="s">
        <v>66</v>
      </c>
      <c r="L17" s="663" t="s">
        <v>64</v>
      </c>
      <c r="M17" s="663" t="s">
        <v>2</v>
      </c>
      <c r="N17" s="663" t="s">
        <v>63</v>
      </c>
      <c r="O17" s="663" t="s">
        <v>25</v>
      </c>
      <c r="P17" s="667" t="s">
        <v>17</v>
      </c>
      <c r="Q17" s="671"/>
      <c r="R17" s="671"/>
      <c r="S17" s="671"/>
      <c r="T17" s="668"/>
      <c r="U17" s="661" t="s">
        <v>56</v>
      </c>
      <c r="V17" s="662"/>
      <c r="W17" s="663" t="s">
        <v>6</v>
      </c>
      <c r="X17" s="663" t="s">
        <v>41</v>
      </c>
      <c r="Y17" s="673" t="s">
        <v>54</v>
      </c>
      <c r="Z17" s="675" t="s">
        <v>18</v>
      </c>
      <c r="AA17" s="677" t="s">
        <v>60</v>
      </c>
      <c r="AB17" s="677" t="s">
        <v>19</v>
      </c>
      <c r="AC17" s="677" t="s">
        <v>65</v>
      </c>
      <c r="AD17" s="679" t="s">
        <v>57</v>
      </c>
      <c r="AE17" s="680"/>
      <c r="AF17" s="681"/>
      <c r="AG17" s="82"/>
      <c r="BD17" s="81" t="s">
        <v>62</v>
      </c>
    </row>
    <row r="18" spans="1:68" ht="14.25" customHeight="1">
      <c r="A18" s="664"/>
      <c r="B18" s="664"/>
      <c r="C18" s="666"/>
      <c r="D18" s="669"/>
      <c r="E18" s="670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69"/>
      <c r="Q18" s="672"/>
      <c r="R18" s="672"/>
      <c r="S18" s="672"/>
      <c r="T18" s="670"/>
      <c r="U18" s="83" t="s">
        <v>44</v>
      </c>
      <c r="V18" s="83" t="s">
        <v>43</v>
      </c>
      <c r="W18" s="664"/>
      <c r="X18" s="664"/>
      <c r="Y18" s="674"/>
      <c r="Z18" s="676"/>
      <c r="AA18" s="678"/>
      <c r="AB18" s="678"/>
      <c r="AC18" s="678"/>
      <c r="AD18" s="682"/>
      <c r="AE18" s="683"/>
      <c r="AF18" s="684"/>
      <c r="AG18" s="82"/>
      <c r="BD18" s="81"/>
    </row>
    <row r="19" spans="1:68" ht="27.75" customHeight="1">
      <c r="A19" s="685" t="s">
        <v>76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 s="685"/>
      <c r="P19" s="685"/>
      <c r="Q19" s="685"/>
      <c r="R19" s="685"/>
      <c r="S19" s="685"/>
      <c r="T19" s="685"/>
      <c r="U19" s="685"/>
      <c r="V19" s="685"/>
      <c r="W19" s="685"/>
      <c r="X19" s="685"/>
      <c r="Y19" s="685"/>
      <c r="Z19" s="685"/>
      <c r="AA19" s="54"/>
      <c r="AB19" s="54"/>
      <c r="AC19" s="54"/>
    </row>
    <row r="20" spans="1:68" ht="16.5" customHeight="1">
      <c r="A20" s="686" t="s">
        <v>76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5"/>
      <c r="AB20" s="65"/>
      <c r="AC20" s="79"/>
    </row>
    <row r="21" spans="1:68" ht="14.25" customHeight="1">
      <c r="A21" s="687" t="s">
        <v>77</v>
      </c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7"/>
      <c r="V21" s="687"/>
      <c r="W21" s="687"/>
      <c r="X21" s="687"/>
      <c r="Y21" s="687"/>
      <c r="Z21" s="687"/>
      <c r="AA21" s="66"/>
      <c r="AB21" s="66"/>
      <c r="AC21" s="80"/>
    </row>
    <row r="22" spans="1:68" ht="27" customHeight="1">
      <c r="A22" s="63" t="s">
        <v>78</v>
      </c>
      <c r="B22" s="63" t="s">
        <v>79</v>
      </c>
      <c r="C22" s="36">
        <v>4301031278</v>
      </c>
      <c r="D22" s="688">
        <v>4680115886643</v>
      </c>
      <c r="E22" s="688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0"/>
      <c r="R22" s="690"/>
      <c r="S22" s="690"/>
      <c r="T22" s="69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>
      <c r="A23" s="63" t="s">
        <v>83</v>
      </c>
      <c r="B23" s="63" t="s">
        <v>84</v>
      </c>
      <c r="C23" s="36">
        <v>4301031508</v>
      </c>
      <c r="D23" s="688">
        <v>4680115889071</v>
      </c>
      <c r="E23" s="688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0"/>
      <c r="R23" s="690"/>
      <c r="S23" s="690"/>
      <c r="T23" s="691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>
      <c r="A24" s="696"/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7"/>
      <c r="P24" s="693" t="s">
        <v>40</v>
      </c>
      <c r="Q24" s="694"/>
      <c r="R24" s="694"/>
      <c r="S24" s="694"/>
      <c r="T24" s="694"/>
      <c r="U24" s="694"/>
      <c r="V24" s="69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>
      <c r="A25" s="696"/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7"/>
      <c r="P25" s="693" t="s">
        <v>40</v>
      </c>
      <c r="Q25" s="694"/>
      <c r="R25" s="694"/>
      <c r="S25" s="694"/>
      <c r="T25" s="694"/>
      <c r="U25" s="694"/>
      <c r="V25" s="69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>
      <c r="A26" s="687" t="s">
        <v>86</v>
      </c>
      <c r="B26" s="687"/>
      <c r="C26" s="687"/>
      <c r="D26" s="687"/>
      <c r="E26" s="687"/>
      <c r="F26" s="687"/>
      <c r="G26" s="687"/>
      <c r="H26" s="687"/>
      <c r="I26" s="687"/>
      <c r="J26" s="687"/>
      <c r="K26" s="687"/>
      <c r="L26" s="687"/>
      <c r="M26" s="687"/>
      <c r="N26" s="687"/>
      <c r="O26" s="687"/>
      <c r="P26" s="687"/>
      <c r="Q26" s="687"/>
      <c r="R26" s="687"/>
      <c r="S26" s="687"/>
      <c r="T26" s="687"/>
      <c r="U26" s="687"/>
      <c r="V26" s="687"/>
      <c r="W26" s="687"/>
      <c r="X26" s="687"/>
      <c r="Y26" s="687"/>
      <c r="Z26" s="687"/>
      <c r="AA26" s="66"/>
      <c r="AB26" s="66"/>
      <c r="AC26" s="80"/>
    </row>
    <row r="27" spans="1:68" ht="27" customHeight="1">
      <c r="A27" s="63" t="s">
        <v>87</v>
      </c>
      <c r="B27" s="63" t="s">
        <v>88</v>
      </c>
      <c r="C27" s="36">
        <v>4301051866</v>
      </c>
      <c r="D27" s="688">
        <v>4680115885912</v>
      </c>
      <c r="E27" s="68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0"/>
      <c r="R27" s="690"/>
      <c r="S27" s="690"/>
      <c r="T27" s="69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>
      <c r="A28" s="63" t="s">
        <v>92</v>
      </c>
      <c r="B28" s="63" t="s">
        <v>93</v>
      </c>
      <c r="C28" s="36">
        <v>4301051776</v>
      </c>
      <c r="D28" s="688">
        <v>4607091388237</v>
      </c>
      <c r="E28" s="68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0"/>
      <c r="R28" s="690"/>
      <c r="S28" s="690"/>
      <c r="T28" s="69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>
      <c r="A29" s="63" t="s">
        <v>94</v>
      </c>
      <c r="B29" s="63" t="s">
        <v>95</v>
      </c>
      <c r="C29" s="36">
        <v>4301052063</v>
      </c>
      <c r="D29" s="688">
        <v>4680115887350</v>
      </c>
      <c r="E29" s="68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0"/>
      <c r="R29" s="690"/>
      <c r="S29" s="690"/>
      <c r="T29" s="69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>
      <c r="A30" s="63" t="s">
        <v>98</v>
      </c>
      <c r="B30" s="63" t="s">
        <v>99</v>
      </c>
      <c r="C30" s="36">
        <v>4301051863</v>
      </c>
      <c r="D30" s="688">
        <v>4680115885905</v>
      </c>
      <c r="E30" s="68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0"/>
      <c r="R30" s="690"/>
      <c r="S30" s="690"/>
      <c r="T30" s="69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>
      <c r="A31" s="63" t="s">
        <v>101</v>
      </c>
      <c r="B31" s="63" t="s">
        <v>102</v>
      </c>
      <c r="C31" s="36">
        <v>4301052071</v>
      </c>
      <c r="D31" s="688">
        <v>4680115887619</v>
      </c>
      <c r="E31" s="688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0"/>
      <c r="R31" s="690"/>
      <c r="S31" s="690"/>
      <c r="T31" s="691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>
      <c r="A32" s="696"/>
      <c r="B32" s="696"/>
      <c r="C32" s="696"/>
      <c r="D32" s="696"/>
      <c r="E32" s="696"/>
      <c r="F32" s="696"/>
      <c r="G32" s="696"/>
      <c r="H32" s="696"/>
      <c r="I32" s="696"/>
      <c r="J32" s="696"/>
      <c r="K32" s="696"/>
      <c r="L32" s="696"/>
      <c r="M32" s="696"/>
      <c r="N32" s="696"/>
      <c r="O32" s="697"/>
      <c r="P32" s="693" t="s">
        <v>40</v>
      </c>
      <c r="Q32" s="694"/>
      <c r="R32" s="694"/>
      <c r="S32" s="694"/>
      <c r="T32" s="694"/>
      <c r="U32" s="694"/>
      <c r="V32" s="69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>
      <c r="A33" s="696"/>
      <c r="B33" s="696"/>
      <c r="C33" s="696"/>
      <c r="D33" s="696"/>
      <c r="E33" s="696"/>
      <c r="F33" s="696"/>
      <c r="G33" s="696"/>
      <c r="H33" s="696"/>
      <c r="I33" s="696"/>
      <c r="J33" s="696"/>
      <c r="K33" s="696"/>
      <c r="L33" s="696"/>
      <c r="M33" s="696"/>
      <c r="N33" s="696"/>
      <c r="O33" s="697"/>
      <c r="P33" s="693" t="s">
        <v>40</v>
      </c>
      <c r="Q33" s="694"/>
      <c r="R33" s="694"/>
      <c r="S33" s="694"/>
      <c r="T33" s="694"/>
      <c r="U33" s="694"/>
      <c r="V33" s="69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>
      <c r="A34" s="687" t="s">
        <v>104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66"/>
      <c r="AB34" s="66"/>
      <c r="AC34" s="80"/>
    </row>
    <row r="35" spans="1:68" ht="27" customHeight="1">
      <c r="A35" s="63" t="s">
        <v>105</v>
      </c>
      <c r="B35" s="63" t="s">
        <v>106</v>
      </c>
      <c r="C35" s="36">
        <v>4301032013</v>
      </c>
      <c r="D35" s="688">
        <v>4607091388503</v>
      </c>
      <c r="E35" s="688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0"/>
      <c r="R35" s="690"/>
      <c r="S35" s="690"/>
      <c r="T35" s="69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>
      <c r="A36" s="696"/>
      <c r="B36" s="696"/>
      <c r="C36" s="696"/>
      <c r="D36" s="696"/>
      <c r="E36" s="696"/>
      <c r="F36" s="696"/>
      <c r="G36" s="696"/>
      <c r="H36" s="696"/>
      <c r="I36" s="696"/>
      <c r="J36" s="696"/>
      <c r="K36" s="696"/>
      <c r="L36" s="696"/>
      <c r="M36" s="696"/>
      <c r="N36" s="696"/>
      <c r="O36" s="697"/>
      <c r="P36" s="693" t="s">
        <v>40</v>
      </c>
      <c r="Q36" s="694"/>
      <c r="R36" s="694"/>
      <c r="S36" s="694"/>
      <c r="T36" s="694"/>
      <c r="U36" s="694"/>
      <c r="V36" s="695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>
      <c r="A37" s="696"/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7"/>
      <c r="P37" s="693" t="s">
        <v>40</v>
      </c>
      <c r="Q37" s="694"/>
      <c r="R37" s="694"/>
      <c r="S37" s="694"/>
      <c r="T37" s="694"/>
      <c r="U37" s="694"/>
      <c r="V37" s="695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>
      <c r="A38" s="685" t="s">
        <v>45</v>
      </c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5"/>
      <c r="P38" s="685"/>
      <c r="Q38" s="685"/>
      <c r="R38" s="685"/>
      <c r="S38" s="685"/>
      <c r="T38" s="685"/>
      <c r="U38" s="685"/>
      <c r="V38" s="685"/>
      <c r="W38" s="685"/>
      <c r="X38" s="685"/>
      <c r="Y38" s="685"/>
      <c r="Z38" s="685"/>
      <c r="AA38" s="54"/>
      <c r="AB38" s="54"/>
      <c r="AC38" s="54"/>
    </row>
    <row r="39" spans="1:68" ht="16.5" customHeight="1">
      <c r="A39" s="686" t="s">
        <v>110</v>
      </c>
      <c r="B39" s="686"/>
      <c r="C39" s="686"/>
      <c r="D39" s="686"/>
      <c r="E39" s="686"/>
      <c r="F39" s="686"/>
      <c r="G39" s="686"/>
      <c r="H39" s="686"/>
      <c r="I39" s="686"/>
      <c r="J39" s="686"/>
      <c r="K39" s="686"/>
      <c r="L39" s="686"/>
      <c r="M39" s="686"/>
      <c r="N39" s="686"/>
      <c r="O39" s="686"/>
      <c r="P39" s="686"/>
      <c r="Q39" s="686"/>
      <c r="R39" s="686"/>
      <c r="S39" s="686"/>
      <c r="T39" s="686"/>
      <c r="U39" s="686"/>
      <c r="V39" s="686"/>
      <c r="W39" s="686"/>
      <c r="X39" s="686"/>
      <c r="Y39" s="686"/>
      <c r="Z39" s="686"/>
      <c r="AA39" s="65"/>
      <c r="AB39" s="65"/>
      <c r="AC39" s="79"/>
    </row>
    <row r="40" spans="1:68" ht="14.25" customHeight="1">
      <c r="A40" s="687" t="s">
        <v>86</v>
      </c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  <c r="AA40" s="66"/>
      <c r="AB40" s="66"/>
      <c r="AC40" s="80"/>
    </row>
    <row r="41" spans="1:68" ht="27" customHeight="1">
      <c r="A41" s="63" t="s">
        <v>111</v>
      </c>
      <c r="B41" s="63" t="s">
        <v>112</v>
      </c>
      <c r="C41" s="36">
        <v>4301052187</v>
      </c>
      <c r="D41" s="688">
        <v>4680115889354</v>
      </c>
      <c r="E41" s="68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0"/>
      <c r="R41" s="690"/>
      <c r="S41" s="690"/>
      <c r="T41" s="69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>
      <c r="A42" s="63" t="s">
        <v>115</v>
      </c>
      <c r="B42" s="63" t="s">
        <v>116</v>
      </c>
      <c r="C42" s="36">
        <v>4301052198</v>
      </c>
      <c r="D42" s="688">
        <v>4680115888463</v>
      </c>
      <c r="E42" s="68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0"/>
      <c r="R42" s="690"/>
      <c r="S42" s="690"/>
      <c r="T42" s="69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>
      <c r="A43" s="63" t="s">
        <v>118</v>
      </c>
      <c r="B43" s="63" t="s">
        <v>119</v>
      </c>
      <c r="C43" s="36">
        <v>4301052202</v>
      </c>
      <c r="D43" s="688">
        <v>4680115888494</v>
      </c>
      <c r="E43" s="688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0"/>
      <c r="R43" s="690"/>
      <c r="S43" s="690"/>
      <c r="T43" s="69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>
      <c r="A44" s="63" t="s">
        <v>121</v>
      </c>
      <c r="B44" s="63" t="s">
        <v>122</v>
      </c>
      <c r="C44" s="36">
        <v>4301052184</v>
      </c>
      <c r="D44" s="688">
        <v>4680115888272</v>
      </c>
      <c r="E44" s="68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0"/>
      <c r="R44" s="690"/>
      <c r="S44" s="690"/>
      <c r="T44" s="69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>
      <c r="A45" s="63" t="s">
        <v>124</v>
      </c>
      <c r="B45" s="63" t="s">
        <v>125</v>
      </c>
      <c r="C45" s="36">
        <v>4301052188</v>
      </c>
      <c r="D45" s="688">
        <v>4680115888364</v>
      </c>
      <c r="E45" s="68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0"/>
      <c r="R45" s="690"/>
      <c r="S45" s="690"/>
      <c r="T45" s="69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>
      <c r="A46" s="696"/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696"/>
      <c r="O46" s="697"/>
      <c r="P46" s="693" t="s">
        <v>40</v>
      </c>
      <c r="Q46" s="694"/>
      <c r="R46" s="694"/>
      <c r="S46" s="694"/>
      <c r="T46" s="694"/>
      <c r="U46" s="694"/>
      <c r="V46" s="695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>
      <c r="A47" s="696"/>
      <c r="B47" s="696"/>
      <c r="C47" s="696"/>
      <c r="D47" s="696"/>
      <c r="E47" s="696"/>
      <c r="F47" s="696"/>
      <c r="G47" s="696"/>
      <c r="H47" s="696"/>
      <c r="I47" s="696"/>
      <c r="J47" s="696"/>
      <c r="K47" s="696"/>
      <c r="L47" s="696"/>
      <c r="M47" s="696"/>
      <c r="N47" s="696"/>
      <c r="O47" s="697"/>
      <c r="P47" s="693" t="s">
        <v>40</v>
      </c>
      <c r="Q47" s="694"/>
      <c r="R47" s="694"/>
      <c r="S47" s="694"/>
      <c r="T47" s="694"/>
      <c r="U47" s="694"/>
      <c r="V47" s="695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>
      <c r="A48" s="685" t="s">
        <v>127</v>
      </c>
      <c r="B48" s="685"/>
      <c r="C48" s="685"/>
      <c r="D48" s="685"/>
      <c r="E48" s="685"/>
      <c r="F48" s="685"/>
      <c r="G48" s="685"/>
      <c r="H48" s="685"/>
      <c r="I48" s="685"/>
      <c r="J48" s="685"/>
      <c r="K48" s="685"/>
      <c r="L48" s="685"/>
      <c r="M48" s="685"/>
      <c r="N48" s="685"/>
      <c r="O48" s="685"/>
      <c r="P48" s="685"/>
      <c r="Q48" s="685"/>
      <c r="R48" s="685"/>
      <c r="S48" s="685"/>
      <c r="T48" s="685"/>
      <c r="U48" s="685"/>
      <c r="V48" s="685"/>
      <c r="W48" s="685"/>
      <c r="X48" s="685"/>
      <c r="Y48" s="685"/>
      <c r="Z48" s="685"/>
      <c r="AA48" s="54"/>
      <c r="AB48" s="54"/>
      <c r="AC48" s="54"/>
    </row>
    <row r="49" spans="1:68" ht="16.5" customHeight="1">
      <c r="A49" s="686" t="s">
        <v>128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6"/>
      <c r="N49" s="686"/>
      <c r="O49" s="686"/>
      <c r="P49" s="686"/>
      <c r="Q49" s="686"/>
      <c r="R49" s="686"/>
      <c r="S49" s="686"/>
      <c r="T49" s="686"/>
      <c r="U49" s="686"/>
      <c r="V49" s="686"/>
      <c r="W49" s="686"/>
      <c r="X49" s="686"/>
      <c r="Y49" s="686"/>
      <c r="Z49" s="686"/>
      <c r="AA49" s="65"/>
      <c r="AB49" s="65"/>
      <c r="AC49" s="79"/>
    </row>
    <row r="50" spans="1:68" ht="14.25" customHeight="1">
      <c r="A50" s="687" t="s">
        <v>129</v>
      </c>
      <c r="B50" s="687"/>
      <c r="C50" s="687"/>
      <c r="D50" s="687"/>
      <c r="E50" s="687"/>
      <c r="F50" s="687"/>
      <c r="G50" s="687"/>
      <c r="H50" s="687"/>
      <c r="I50" s="687"/>
      <c r="J50" s="687"/>
      <c r="K50" s="687"/>
      <c r="L50" s="687"/>
      <c r="M50" s="687"/>
      <c r="N50" s="687"/>
      <c r="O50" s="687"/>
      <c r="P50" s="687"/>
      <c r="Q50" s="687"/>
      <c r="R50" s="687"/>
      <c r="S50" s="687"/>
      <c r="T50" s="687"/>
      <c r="U50" s="687"/>
      <c r="V50" s="687"/>
      <c r="W50" s="687"/>
      <c r="X50" s="687"/>
      <c r="Y50" s="687"/>
      <c r="Z50" s="687"/>
      <c r="AA50" s="66"/>
      <c r="AB50" s="66"/>
      <c r="AC50" s="80"/>
    </row>
    <row r="51" spans="1:68" ht="16.5" customHeight="1">
      <c r="A51" s="63" t="s">
        <v>130</v>
      </c>
      <c r="B51" s="63" t="s">
        <v>131</v>
      </c>
      <c r="C51" s="36">
        <v>4301011380</v>
      </c>
      <c r="D51" s="688">
        <v>4607091385670</v>
      </c>
      <c r="E51" s="68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0"/>
      <c r="R51" s="690"/>
      <c r="S51" s="690"/>
      <c r="T51" s="691"/>
      <c r="U51" s="39" t="s">
        <v>46</v>
      </c>
      <c r="V51" s="39" t="s">
        <v>46</v>
      </c>
      <c r="W51" s="40" t="s">
        <v>0</v>
      </c>
      <c r="X51" s="58">
        <v>670</v>
      </c>
      <c r="Y51" s="55">
        <f>IFERROR(IF(X51="",0,CEILING((X51/$H51),1)*$H51),"")</f>
        <v>680.40000000000009</v>
      </c>
      <c r="Z51" s="41">
        <f>IFERROR(IF(Y51=0,"",ROUNDUP(Y51/H51,0)*0.01898),"")</f>
        <v>1.19574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695.43518518518522</v>
      </c>
      <c r="BN51" s="78">
        <f>IFERROR(Y51*I51/H51,"0")</f>
        <v>706.23000000000013</v>
      </c>
      <c r="BO51" s="78">
        <f>IFERROR(1/J51*(X51/H51),"0")</f>
        <v>0.96932870370370361</v>
      </c>
      <c r="BP51" s="78">
        <f>IFERROR(1/J51*(Y51/H51),"0")</f>
        <v>0.98437500000000011</v>
      </c>
    </row>
    <row r="52" spans="1:68" ht="27" customHeight="1">
      <c r="A52" s="63" t="s">
        <v>135</v>
      </c>
      <c r="B52" s="63" t="s">
        <v>136</v>
      </c>
      <c r="C52" s="36">
        <v>4301012053</v>
      </c>
      <c r="D52" s="688">
        <v>4680115887725</v>
      </c>
      <c r="E52" s="68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0"/>
      <c r="R52" s="690"/>
      <c r="S52" s="690"/>
      <c r="T52" s="69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>
      <c r="A53" s="63" t="s">
        <v>139</v>
      </c>
      <c r="B53" s="63" t="s">
        <v>140</v>
      </c>
      <c r="C53" s="36">
        <v>4301011382</v>
      </c>
      <c r="D53" s="688">
        <v>4607091385687</v>
      </c>
      <c r="E53" s="68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0"/>
      <c r="R53" s="690"/>
      <c r="S53" s="690"/>
      <c r="T53" s="691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>
      <c r="A54" s="63" t="s">
        <v>142</v>
      </c>
      <c r="B54" s="63" t="s">
        <v>143</v>
      </c>
      <c r="C54" s="36">
        <v>4301011565</v>
      </c>
      <c r="D54" s="688">
        <v>4680115882539</v>
      </c>
      <c r="E54" s="68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0"/>
      <c r="R54" s="690"/>
      <c r="S54" s="690"/>
      <c r="T54" s="69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>
      <c r="A55" s="696"/>
      <c r="B55" s="696"/>
      <c r="C55" s="696"/>
      <c r="D55" s="696"/>
      <c r="E55" s="696"/>
      <c r="F55" s="696"/>
      <c r="G55" s="696"/>
      <c r="H55" s="696"/>
      <c r="I55" s="696"/>
      <c r="J55" s="696"/>
      <c r="K55" s="696"/>
      <c r="L55" s="696"/>
      <c r="M55" s="696"/>
      <c r="N55" s="696"/>
      <c r="O55" s="697"/>
      <c r="P55" s="693" t="s">
        <v>40</v>
      </c>
      <c r="Q55" s="694"/>
      <c r="R55" s="694"/>
      <c r="S55" s="694"/>
      <c r="T55" s="694"/>
      <c r="U55" s="694"/>
      <c r="V55" s="695"/>
      <c r="W55" s="42" t="s">
        <v>39</v>
      </c>
      <c r="X55" s="43">
        <f>IFERROR(X51/H51,"0")+IFERROR(X52/H52,"0")+IFERROR(X53/H53,"0")+IFERROR(X54/H54,"0")</f>
        <v>62.037037037037031</v>
      </c>
      <c r="Y55" s="43">
        <f>IFERROR(Y51/H51,"0")+IFERROR(Y52/H52,"0")+IFERROR(Y53/H53,"0")+IFERROR(Y54/H54,"0")</f>
        <v>63.000000000000007</v>
      </c>
      <c r="Z55" s="43">
        <f>IFERROR(IF(Z51="",0,Z51),"0")+IFERROR(IF(Z52="",0,Z52),"0")+IFERROR(IF(Z53="",0,Z53),"0")+IFERROR(IF(Z54="",0,Z54),"0")</f>
        <v>1.19574</v>
      </c>
      <c r="AA55" s="67"/>
      <c r="AB55" s="67"/>
      <c r="AC55" s="67"/>
    </row>
    <row r="56" spans="1:68">
      <c r="A56" s="696"/>
      <c r="B56" s="696"/>
      <c r="C56" s="696"/>
      <c r="D56" s="696"/>
      <c r="E56" s="696"/>
      <c r="F56" s="696"/>
      <c r="G56" s="696"/>
      <c r="H56" s="696"/>
      <c r="I56" s="696"/>
      <c r="J56" s="696"/>
      <c r="K56" s="696"/>
      <c r="L56" s="696"/>
      <c r="M56" s="696"/>
      <c r="N56" s="696"/>
      <c r="O56" s="697"/>
      <c r="P56" s="693" t="s">
        <v>40</v>
      </c>
      <c r="Q56" s="694"/>
      <c r="R56" s="694"/>
      <c r="S56" s="694"/>
      <c r="T56" s="694"/>
      <c r="U56" s="694"/>
      <c r="V56" s="695"/>
      <c r="W56" s="42" t="s">
        <v>0</v>
      </c>
      <c r="X56" s="43">
        <f>IFERROR(SUM(X51:X54),"0")</f>
        <v>670</v>
      </c>
      <c r="Y56" s="43">
        <f>IFERROR(SUM(Y51:Y54),"0")</f>
        <v>680.40000000000009</v>
      </c>
      <c r="Z56" s="42"/>
      <c r="AA56" s="67"/>
      <c r="AB56" s="67"/>
      <c r="AC56" s="67"/>
    </row>
    <row r="57" spans="1:68" ht="16.5" customHeight="1">
      <c r="A57" s="686" t="s">
        <v>144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86"/>
      <c r="W57" s="686"/>
      <c r="X57" s="686"/>
      <c r="Y57" s="686"/>
      <c r="Z57" s="686"/>
      <c r="AA57" s="65"/>
      <c r="AB57" s="65"/>
      <c r="AC57" s="79"/>
    </row>
    <row r="58" spans="1:68" ht="14.25" customHeight="1">
      <c r="A58" s="687" t="s">
        <v>129</v>
      </c>
      <c r="B58" s="687"/>
      <c r="C58" s="687"/>
      <c r="D58" s="687"/>
      <c r="E58" s="687"/>
      <c r="F58" s="687"/>
      <c r="G58" s="687"/>
      <c r="H58" s="687"/>
      <c r="I58" s="687"/>
      <c r="J58" s="687"/>
      <c r="K58" s="687"/>
      <c r="L58" s="687"/>
      <c r="M58" s="687"/>
      <c r="N58" s="687"/>
      <c r="O58" s="687"/>
      <c r="P58" s="687"/>
      <c r="Q58" s="687"/>
      <c r="R58" s="687"/>
      <c r="S58" s="687"/>
      <c r="T58" s="687"/>
      <c r="U58" s="687"/>
      <c r="V58" s="687"/>
      <c r="W58" s="687"/>
      <c r="X58" s="687"/>
      <c r="Y58" s="687"/>
      <c r="Z58" s="687"/>
      <c r="AA58" s="66"/>
      <c r="AB58" s="66"/>
      <c r="AC58" s="80"/>
    </row>
    <row r="59" spans="1:68" ht="27" customHeight="1">
      <c r="A59" s="63" t="s">
        <v>145</v>
      </c>
      <c r="B59" s="63" t="s">
        <v>146</v>
      </c>
      <c r="C59" s="36">
        <v>4301012030</v>
      </c>
      <c r="D59" s="688">
        <v>4680115885882</v>
      </c>
      <c r="E59" s="68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0"/>
      <c r="R59" s="690"/>
      <c r="S59" s="690"/>
      <c r="T59" s="69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>
      <c r="A60" s="63" t="s">
        <v>145</v>
      </c>
      <c r="B60" s="63" t="s">
        <v>148</v>
      </c>
      <c r="C60" s="36">
        <v>4301012161</v>
      </c>
      <c r="D60" s="688">
        <v>4680115885882</v>
      </c>
      <c r="E60" s="688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0"/>
      <c r="R60" s="690"/>
      <c r="S60" s="690"/>
      <c r="T60" s="69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>
      <c r="A61" s="63" t="s">
        <v>150</v>
      </c>
      <c r="B61" s="63" t="s">
        <v>151</v>
      </c>
      <c r="C61" s="36">
        <v>4301011816</v>
      </c>
      <c r="D61" s="688">
        <v>4680115881426</v>
      </c>
      <c r="E61" s="68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0"/>
      <c r="R61" s="690"/>
      <c r="S61" s="690"/>
      <c r="T61" s="691"/>
      <c r="U61" s="39" t="s">
        <v>46</v>
      </c>
      <c r="V61" s="39" t="s">
        <v>46</v>
      </c>
      <c r="W61" s="40" t="s">
        <v>0</v>
      </c>
      <c r="X61" s="58">
        <v>1800</v>
      </c>
      <c r="Y61" s="55">
        <f t="shared" si="0"/>
        <v>1803.6000000000001</v>
      </c>
      <c r="Z61" s="41">
        <f>IFERROR(IF(Y61=0,"",ROUNDUP(Y61/H61,0)*0.01898),"")</f>
        <v>3.1696599999999999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1868.3333333333333</v>
      </c>
      <c r="BN61" s="78">
        <f t="shared" si="2"/>
        <v>1872.0700000000002</v>
      </c>
      <c r="BO61" s="78">
        <f t="shared" si="3"/>
        <v>2.6041666666666665</v>
      </c>
      <c r="BP61" s="78">
        <f t="shared" si="4"/>
        <v>2.609375</v>
      </c>
    </row>
    <row r="62" spans="1:68" ht="27" customHeight="1">
      <c r="A62" s="63" t="s">
        <v>153</v>
      </c>
      <c r="B62" s="63" t="s">
        <v>154</v>
      </c>
      <c r="C62" s="36">
        <v>4301011386</v>
      </c>
      <c r="D62" s="688">
        <v>4680115880283</v>
      </c>
      <c r="E62" s="68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0"/>
      <c r="R62" s="690"/>
      <c r="S62" s="690"/>
      <c r="T62" s="69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>
      <c r="A63" s="63" t="s">
        <v>153</v>
      </c>
      <c r="B63" s="63" t="s">
        <v>157</v>
      </c>
      <c r="C63" s="36">
        <v>4301012259</v>
      </c>
      <c r="D63" s="688">
        <v>4680115880283</v>
      </c>
      <c r="E63" s="688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0"/>
      <c r="R63" s="690"/>
      <c r="S63" s="690"/>
      <c r="T63" s="691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>
      <c r="A64" s="63" t="s">
        <v>158</v>
      </c>
      <c r="B64" s="63" t="s">
        <v>159</v>
      </c>
      <c r="C64" s="36">
        <v>4301011806</v>
      </c>
      <c r="D64" s="688">
        <v>4680115881525</v>
      </c>
      <c r="E64" s="68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0"/>
      <c r="R64" s="690"/>
      <c r="S64" s="690"/>
      <c r="T64" s="69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>
      <c r="A65" s="63" t="s">
        <v>161</v>
      </c>
      <c r="B65" s="63" t="s">
        <v>162</v>
      </c>
      <c r="C65" s="36">
        <v>4301012165</v>
      </c>
      <c r="D65" s="688">
        <v>4680115885899</v>
      </c>
      <c r="E65" s="68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0"/>
      <c r="R65" s="690"/>
      <c r="S65" s="690"/>
      <c r="T65" s="69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>
      <c r="A66" s="63" t="s">
        <v>163</v>
      </c>
      <c r="B66" s="63" t="s">
        <v>164</v>
      </c>
      <c r="C66" s="36">
        <v>4301011801</v>
      </c>
      <c r="D66" s="688">
        <v>4680115881419</v>
      </c>
      <c r="E66" s="68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2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0"/>
      <c r="R66" s="690"/>
      <c r="S66" s="690"/>
      <c r="T66" s="691"/>
      <c r="U66" s="39" t="s">
        <v>46</v>
      </c>
      <c r="V66" s="39" t="s">
        <v>46</v>
      </c>
      <c r="W66" s="40" t="s">
        <v>0</v>
      </c>
      <c r="X66" s="58">
        <v>810</v>
      </c>
      <c r="Y66" s="55">
        <f t="shared" si="0"/>
        <v>810</v>
      </c>
      <c r="Z66" s="41">
        <f>IFERROR(IF(Y66=0,"",ROUNDUP(Y66/H66,0)*0.00902),"")</f>
        <v>1.6236000000000002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844.2</v>
      </c>
      <c r="BN66" s="78">
        <f t="shared" si="2"/>
        <v>844.2</v>
      </c>
      <c r="BO66" s="78">
        <f t="shared" si="3"/>
        <v>1.3636363636363638</v>
      </c>
      <c r="BP66" s="78">
        <f t="shared" si="4"/>
        <v>1.3636363636363638</v>
      </c>
    </row>
    <row r="67" spans="1:68">
      <c r="A67" s="696"/>
      <c r="B67" s="696"/>
      <c r="C67" s="696"/>
      <c r="D67" s="696"/>
      <c r="E67" s="696"/>
      <c r="F67" s="696"/>
      <c r="G67" s="696"/>
      <c r="H67" s="696"/>
      <c r="I67" s="696"/>
      <c r="J67" s="696"/>
      <c r="K67" s="696"/>
      <c r="L67" s="696"/>
      <c r="M67" s="696"/>
      <c r="N67" s="696"/>
      <c r="O67" s="697"/>
      <c r="P67" s="693" t="s">
        <v>40</v>
      </c>
      <c r="Q67" s="694"/>
      <c r="R67" s="694"/>
      <c r="S67" s="694"/>
      <c r="T67" s="694"/>
      <c r="U67" s="694"/>
      <c r="V67" s="695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346.66666666666663</v>
      </c>
      <c r="Y67" s="43">
        <f>IFERROR(Y59/H59,"0")+IFERROR(Y60/H60,"0")+IFERROR(Y61/H61,"0")+IFERROR(Y62/H62,"0")+IFERROR(Y63/H63,"0")+IFERROR(Y64/H64,"0")+IFERROR(Y65/H65,"0")+IFERROR(Y66/H66,"0")</f>
        <v>347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4.7932600000000001</v>
      </c>
      <c r="AA67" s="67"/>
      <c r="AB67" s="67"/>
      <c r="AC67" s="67"/>
    </row>
    <row r="68" spans="1:68">
      <c r="A68" s="696"/>
      <c r="B68" s="696"/>
      <c r="C68" s="696"/>
      <c r="D68" s="696"/>
      <c r="E68" s="696"/>
      <c r="F68" s="696"/>
      <c r="G68" s="696"/>
      <c r="H68" s="696"/>
      <c r="I68" s="696"/>
      <c r="J68" s="696"/>
      <c r="K68" s="696"/>
      <c r="L68" s="696"/>
      <c r="M68" s="696"/>
      <c r="N68" s="696"/>
      <c r="O68" s="697"/>
      <c r="P68" s="693" t="s">
        <v>40</v>
      </c>
      <c r="Q68" s="694"/>
      <c r="R68" s="694"/>
      <c r="S68" s="694"/>
      <c r="T68" s="694"/>
      <c r="U68" s="694"/>
      <c r="V68" s="695"/>
      <c r="W68" s="42" t="s">
        <v>0</v>
      </c>
      <c r="X68" s="43">
        <f>IFERROR(SUM(X59:X66),"0")</f>
        <v>2610</v>
      </c>
      <c r="Y68" s="43">
        <f>IFERROR(SUM(Y59:Y66),"0")</f>
        <v>2613.6000000000004</v>
      </c>
      <c r="Z68" s="42"/>
      <c r="AA68" s="67"/>
      <c r="AB68" s="67"/>
      <c r="AC68" s="67"/>
    </row>
    <row r="69" spans="1:68" ht="14.25" customHeight="1">
      <c r="A69" s="687" t="s">
        <v>166</v>
      </c>
      <c r="B69" s="687"/>
      <c r="C69" s="687"/>
      <c r="D69" s="687"/>
      <c r="E69" s="687"/>
      <c r="F69" s="687"/>
      <c r="G69" s="687"/>
      <c r="H69" s="687"/>
      <c r="I69" s="687"/>
      <c r="J69" s="687"/>
      <c r="K69" s="687"/>
      <c r="L69" s="687"/>
      <c r="M69" s="687"/>
      <c r="N69" s="687"/>
      <c r="O69" s="687"/>
      <c r="P69" s="687"/>
      <c r="Q69" s="687"/>
      <c r="R69" s="687"/>
      <c r="S69" s="687"/>
      <c r="T69" s="687"/>
      <c r="U69" s="687"/>
      <c r="V69" s="687"/>
      <c r="W69" s="687"/>
      <c r="X69" s="687"/>
      <c r="Y69" s="687"/>
      <c r="Z69" s="687"/>
      <c r="AA69" s="66"/>
      <c r="AB69" s="66"/>
      <c r="AC69" s="80"/>
    </row>
    <row r="70" spans="1:68" ht="16.5" customHeight="1">
      <c r="A70" s="63" t="s">
        <v>167</v>
      </c>
      <c r="B70" s="63" t="s">
        <v>168</v>
      </c>
      <c r="C70" s="36">
        <v>4301020298</v>
      </c>
      <c r="D70" s="688">
        <v>4680115881440</v>
      </c>
      <c r="E70" s="68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0"/>
      <c r="R70" s="690"/>
      <c r="S70" s="690"/>
      <c r="T70" s="691"/>
      <c r="U70" s="39" t="s">
        <v>46</v>
      </c>
      <c r="V70" s="39" t="s">
        <v>46</v>
      </c>
      <c r="W70" s="40" t="s">
        <v>0</v>
      </c>
      <c r="X70" s="58">
        <v>2100</v>
      </c>
      <c r="Y70" s="55">
        <f>IFERROR(IF(X70="",0,CEILING((X70/$H70),1)*$H70),"")</f>
        <v>2106</v>
      </c>
      <c r="Z70" s="41">
        <f>IFERROR(IF(Y70=0,"",ROUNDUP(Y70/H70,0)*0.01898),"")</f>
        <v>3.7011000000000003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2179.7222222222222</v>
      </c>
      <c r="BN70" s="78">
        <f>IFERROR(Y70*I70/H70,"0")</f>
        <v>2185.9499999999998</v>
      </c>
      <c r="BO70" s="78">
        <f>IFERROR(1/J70*(X70/H70),"0")</f>
        <v>3.0381944444444442</v>
      </c>
      <c r="BP70" s="78">
        <f>IFERROR(1/J70*(Y70/H70),"0")</f>
        <v>3.046875</v>
      </c>
    </row>
    <row r="71" spans="1:68" ht="16.5" customHeight="1">
      <c r="A71" s="63" t="s">
        <v>170</v>
      </c>
      <c r="B71" s="63" t="s">
        <v>171</v>
      </c>
      <c r="C71" s="36">
        <v>4301020358</v>
      </c>
      <c r="D71" s="688">
        <v>4680115885950</v>
      </c>
      <c r="E71" s="68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0"/>
      <c r="R71" s="690"/>
      <c r="S71" s="690"/>
      <c r="T71" s="69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>
      <c r="A72" s="63" t="s">
        <v>172</v>
      </c>
      <c r="B72" s="63" t="s">
        <v>173</v>
      </c>
      <c r="C72" s="36">
        <v>4301020371</v>
      </c>
      <c r="D72" s="688">
        <v>4680115887688</v>
      </c>
      <c r="E72" s="68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0"/>
      <c r="R72" s="690"/>
      <c r="S72" s="690"/>
      <c r="T72" s="69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>
      <c r="A73" s="63" t="s">
        <v>175</v>
      </c>
      <c r="B73" s="63" t="s">
        <v>176</v>
      </c>
      <c r="C73" s="36">
        <v>4301020296</v>
      </c>
      <c r="D73" s="688">
        <v>4680115881433</v>
      </c>
      <c r="E73" s="68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0"/>
      <c r="R73" s="690"/>
      <c r="S73" s="690"/>
      <c r="T73" s="691"/>
      <c r="U73" s="39" t="s">
        <v>46</v>
      </c>
      <c r="V73" s="39" t="s">
        <v>46</v>
      </c>
      <c r="W73" s="40" t="s">
        <v>0</v>
      </c>
      <c r="X73" s="58">
        <v>491</v>
      </c>
      <c r="Y73" s="55">
        <f>IFERROR(IF(X73="",0,CEILING((X73/$H73),1)*$H73),"")</f>
        <v>491.40000000000003</v>
      </c>
      <c r="Z73" s="41">
        <f>IFERROR(IF(Y73=0,"",ROUNDUP(Y73/H73,0)*0.00651),"")</f>
        <v>1.18482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523.73333333333323</v>
      </c>
      <c r="BN73" s="78">
        <f>IFERROR(Y73*I73/H73,"0")</f>
        <v>524.16</v>
      </c>
      <c r="BO73" s="78">
        <f>IFERROR(1/J73*(X73/H73),"0")</f>
        <v>0.99918599918599926</v>
      </c>
      <c r="BP73" s="78">
        <f>IFERROR(1/J73*(Y73/H73),"0")</f>
        <v>1</v>
      </c>
    </row>
    <row r="74" spans="1:68">
      <c r="A74" s="696"/>
      <c r="B74" s="696"/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696"/>
      <c r="O74" s="697"/>
      <c r="P74" s="693" t="s">
        <v>40</v>
      </c>
      <c r="Q74" s="694"/>
      <c r="R74" s="694"/>
      <c r="S74" s="694"/>
      <c r="T74" s="694"/>
      <c r="U74" s="694"/>
      <c r="V74" s="695"/>
      <c r="W74" s="42" t="s">
        <v>39</v>
      </c>
      <c r="X74" s="43">
        <f>IFERROR(X70/H70,"0")+IFERROR(X71/H71,"0")+IFERROR(X72/H72,"0")+IFERROR(X73/H73,"0")</f>
        <v>376.2962962962963</v>
      </c>
      <c r="Y74" s="43">
        <f>IFERROR(Y70/H70,"0")+IFERROR(Y71/H71,"0")+IFERROR(Y72/H72,"0")+IFERROR(Y73/H73,"0")</f>
        <v>377</v>
      </c>
      <c r="Z74" s="43">
        <f>IFERROR(IF(Z70="",0,Z70),"0")+IFERROR(IF(Z71="",0,Z71),"0")+IFERROR(IF(Z72="",0,Z72),"0")+IFERROR(IF(Z73="",0,Z73),"0")</f>
        <v>4.8859200000000005</v>
      </c>
      <c r="AA74" s="67"/>
      <c r="AB74" s="67"/>
      <c r="AC74" s="67"/>
    </row>
    <row r="75" spans="1:68">
      <c r="A75" s="696"/>
      <c r="B75" s="696"/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696"/>
      <c r="O75" s="697"/>
      <c r="P75" s="693" t="s">
        <v>40</v>
      </c>
      <c r="Q75" s="694"/>
      <c r="R75" s="694"/>
      <c r="S75" s="694"/>
      <c r="T75" s="694"/>
      <c r="U75" s="694"/>
      <c r="V75" s="695"/>
      <c r="W75" s="42" t="s">
        <v>0</v>
      </c>
      <c r="X75" s="43">
        <f>IFERROR(SUM(X70:X73),"0")</f>
        <v>2591</v>
      </c>
      <c r="Y75" s="43">
        <f>IFERROR(SUM(Y70:Y73),"0")</f>
        <v>2597.4</v>
      </c>
      <c r="Z75" s="42"/>
      <c r="AA75" s="67"/>
      <c r="AB75" s="67"/>
      <c r="AC75" s="67"/>
    </row>
    <row r="76" spans="1:68" ht="14.25" customHeight="1">
      <c r="A76" s="687" t="s">
        <v>86</v>
      </c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7"/>
      <c r="X76" s="687"/>
      <c r="Y76" s="687"/>
      <c r="Z76" s="687"/>
      <c r="AA76" s="66"/>
      <c r="AB76" s="66"/>
      <c r="AC76" s="80"/>
    </row>
    <row r="77" spans="1:68" ht="16.5" customHeight="1">
      <c r="A77" s="63" t="s">
        <v>177</v>
      </c>
      <c r="B77" s="63" t="s">
        <v>178</v>
      </c>
      <c r="C77" s="36">
        <v>4301051837</v>
      </c>
      <c r="D77" s="688">
        <v>4680115884311</v>
      </c>
      <c r="E77" s="68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0"/>
      <c r="R77" s="690"/>
      <c r="S77" s="690"/>
      <c r="T77" s="69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>
      <c r="A78" s="63" t="s">
        <v>180</v>
      </c>
      <c r="B78" s="63" t="s">
        <v>181</v>
      </c>
      <c r="C78" s="36">
        <v>4301051929</v>
      </c>
      <c r="D78" s="688">
        <v>4680115884403</v>
      </c>
      <c r="E78" s="68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0"/>
      <c r="R78" s="690"/>
      <c r="S78" s="690"/>
      <c r="T78" s="69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>
      <c r="A79" s="696"/>
      <c r="B79" s="696"/>
      <c r="C79" s="696"/>
      <c r="D79" s="696"/>
      <c r="E79" s="696"/>
      <c r="F79" s="696"/>
      <c r="G79" s="696"/>
      <c r="H79" s="696"/>
      <c r="I79" s="696"/>
      <c r="J79" s="696"/>
      <c r="K79" s="696"/>
      <c r="L79" s="696"/>
      <c r="M79" s="696"/>
      <c r="N79" s="696"/>
      <c r="O79" s="697"/>
      <c r="P79" s="693" t="s">
        <v>40</v>
      </c>
      <c r="Q79" s="694"/>
      <c r="R79" s="694"/>
      <c r="S79" s="694"/>
      <c r="T79" s="694"/>
      <c r="U79" s="694"/>
      <c r="V79" s="695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>
      <c r="A80" s="696"/>
      <c r="B80" s="696"/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696"/>
      <c r="N80" s="696"/>
      <c r="O80" s="697"/>
      <c r="P80" s="693" t="s">
        <v>40</v>
      </c>
      <c r="Q80" s="694"/>
      <c r="R80" s="694"/>
      <c r="S80" s="694"/>
      <c r="T80" s="694"/>
      <c r="U80" s="694"/>
      <c r="V80" s="695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>
      <c r="A81" s="687" t="s">
        <v>183</v>
      </c>
      <c r="B81" s="687"/>
      <c r="C81" s="687"/>
      <c r="D81" s="687"/>
      <c r="E81" s="687"/>
      <c r="F81" s="687"/>
      <c r="G81" s="687"/>
      <c r="H81" s="687"/>
      <c r="I81" s="687"/>
      <c r="J81" s="687"/>
      <c r="K81" s="687"/>
      <c r="L81" s="687"/>
      <c r="M81" s="687"/>
      <c r="N81" s="687"/>
      <c r="O81" s="687"/>
      <c r="P81" s="687"/>
      <c r="Q81" s="687"/>
      <c r="R81" s="687"/>
      <c r="S81" s="687"/>
      <c r="T81" s="687"/>
      <c r="U81" s="687"/>
      <c r="V81" s="687"/>
      <c r="W81" s="687"/>
      <c r="X81" s="687"/>
      <c r="Y81" s="687"/>
      <c r="Z81" s="687"/>
      <c r="AA81" s="66"/>
      <c r="AB81" s="66"/>
      <c r="AC81" s="80"/>
    </row>
    <row r="82" spans="1:68" ht="27" customHeight="1">
      <c r="A82" s="63" t="s">
        <v>184</v>
      </c>
      <c r="B82" s="63" t="s">
        <v>185</v>
      </c>
      <c r="C82" s="36">
        <v>4301060455</v>
      </c>
      <c r="D82" s="688">
        <v>4680115881532</v>
      </c>
      <c r="E82" s="68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0"/>
      <c r="R82" s="690"/>
      <c r="S82" s="690"/>
      <c r="T82" s="69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>
      <c r="A83" s="63" t="s">
        <v>187</v>
      </c>
      <c r="B83" s="63" t="s">
        <v>188</v>
      </c>
      <c r="C83" s="36">
        <v>4301060351</v>
      </c>
      <c r="D83" s="688">
        <v>4680115881464</v>
      </c>
      <c r="E83" s="688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0"/>
      <c r="R83" s="690"/>
      <c r="S83" s="690"/>
      <c r="T83" s="69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>
      <c r="A84" s="696"/>
      <c r="B84" s="696"/>
      <c r="C84" s="696"/>
      <c r="D84" s="696"/>
      <c r="E84" s="696"/>
      <c r="F84" s="696"/>
      <c r="G84" s="696"/>
      <c r="H84" s="696"/>
      <c r="I84" s="696"/>
      <c r="J84" s="696"/>
      <c r="K84" s="696"/>
      <c r="L84" s="696"/>
      <c r="M84" s="696"/>
      <c r="N84" s="696"/>
      <c r="O84" s="697"/>
      <c r="P84" s="693" t="s">
        <v>40</v>
      </c>
      <c r="Q84" s="694"/>
      <c r="R84" s="694"/>
      <c r="S84" s="694"/>
      <c r="T84" s="694"/>
      <c r="U84" s="694"/>
      <c r="V84" s="695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>
      <c r="A85" s="696"/>
      <c r="B85" s="696"/>
      <c r="C85" s="696"/>
      <c r="D85" s="696"/>
      <c r="E85" s="696"/>
      <c r="F85" s="696"/>
      <c r="G85" s="696"/>
      <c r="H85" s="696"/>
      <c r="I85" s="696"/>
      <c r="J85" s="696"/>
      <c r="K85" s="696"/>
      <c r="L85" s="696"/>
      <c r="M85" s="696"/>
      <c r="N85" s="696"/>
      <c r="O85" s="697"/>
      <c r="P85" s="693" t="s">
        <v>40</v>
      </c>
      <c r="Q85" s="694"/>
      <c r="R85" s="694"/>
      <c r="S85" s="694"/>
      <c r="T85" s="694"/>
      <c r="U85" s="694"/>
      <c r="V85" s="695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>
      <c r="A86" s="686" t="s">
        <v>190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6"/>
      <c r="N86" s="686"/>
      <c r="O86" s="686"/>
      <c r="P86" s="686"/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5"/>
      <c r="AB86" s="65"/>
      <c r="AC86" s="79"/>
    </row>
    <row r="87" spans="1:68" ht="14.25" customHeight="1">
      <c r="A87" s="687" t="s">
        <v>129</v>
      </c>
      <c r="B87" s="687"/>
      <c r="C87" s="687"/>
      <c r="D87" s="687"/>
      <c r="E87" s="687"/>
      <c r="F87" s="687"/>
      <c r="G87" s="687"/>
      <c r="H87" s="687"/>
      <c r="I87" s="687"/>
      <c r="J87" s="687"/>
      <c r="K87" s="687"/>
      <c r="L87" s="687"/>
      <c r="M87" s="687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  <c r="AA87" s="66"/>
      <c r="AB87" s="66"/>
      <c r="AC87" s="80"/>
    </row>
    <row r="88" spans="1:68" ht="27" customHeight="1">
      <c r="A88" s="63" t="s">
        <v>191</v>
      </c>
      <c r="B88" s="63" t="s">
        <v>192</v>
      </c>
      <c r="C88" s="36">
        <v>4301011468</v>
      </c>
      <c r="D88" s="688">
        <v>4680115881327</v>
      </c>
      <c r="E88" s="688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0"/>
      <c r="R88" s="690"/>
      <c r="S88" s="690"/>
      <c r="T88" s="691"/>
      <c r="U88" s="39" t="s">
        <v>46</v>
      </c>
      <c r="V88" s="39" t="s">
        <v>46</v>
      </c>
      <c r="W88" s="40" t="s">
        <v>0</v>
      </c>
      <c r="X88" s="58">
        <v>370</v>
      </c>
      <c r="Y88" s="55">
        <f>IFERROR(IF(X88="",0,CEILING((X88/$H88),1)*$H88),"")</f>
        <v>378</v>
      </c>
      <c r="Z88" s="41">
        <f>IFERROR(IF(Y88=0,"",ROUNDUP(Y88/H88,0)*0.01898),"")</f>
        <v>0.6643</v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384.04629629629636</v>
      </c>
      <c r="BN88" s="78">
        <f>IFERROR(Y88*I88/H88,"0")</f>
        <v>392.34999999999997</v>
      </c>
      <c r="BO88" s="78">
        <f>IFERROR(1/J88*(X88/H88),"0")</f>
        <v>0.53530092592592593</v>
      </c>
      <c r="BP88" s="78">
        <f>IFERROR(1/J88*(Y88/H88),"0")</f>
        <v>0.546875</v>
      </c>
    </row>
    <row r="89" spans="1:68" ht="27" customHeight="1">
      <c r="A89" s="63" t="s">
        <v>194</v>
      </c>
      <c r="B89" s="63" t="s">
        <v>195</v>
      </c>
      <c r="C89" s="36">
        <v>4301011261</v>
      </c>
      <c r="D89" s="688">
        <v>4680115887732</v>
      </c>
      <c r="E89" s="688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3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0"/>
      <c r="R89" s="690"/>
      <c r="S89" s="690"/>
      <c r="T89" s="691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>
      <c r="A90" s="63" t="s">
        <v>197</v>
      </c>
      <c r="B90" s="63" t="s">
        <v>198</v>
      </c>
      <c r="C90" s="36">
        <v>4301011476</v>
      </c>
      <c r="D90" s="688">
        <v>4680115881518</v>
      </c>
      <c r="E90" s="688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0"/>
      <c r="R90" s="690"/>
      <c r="S90" s="690"/>
      <c r="T90" s="691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>
      <c r="A91" s="63" t="s">
        <v>199</v>
      </c>
      <c r="B91" s="63" t="s">
        <v>200</v>
      </c>
      <c r="C91" s="36">
        <v>4301011443</v>
      </c>
      <c r="D91" s="688">
        <v>4680115881303</v>
      </c>
      <c r="E91" s="688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0"/>
      <c r="R91" s="690"/>
      <c r="S91" s="690"/>
      <c r="T91" s="691"/>
      <c r="U91" s="39" t="s">
        <v>46</v>
      </c>
      <c r="V91" s="39" t="s">
        <v>46</v>
      </c>
      <c r="W91" s="40" t="s">
        <v>0</v>
      </c>
      <c r="X91" s="58">
        <v>90</v>
      </c>
      <c r="Y91" s="55">
        <f>IFERROR(IF(X91="",0,CEILING((X91/$H91),1)*$H91),"")</f>
        <v>90</v>
      </c>
      <c r="Z91" s="41">
        <f>IFERROR(IF(Y91=0,"",ROUNDUP(Y91/H91,0)*0.00902),"")</f>
        <v>0.1804</v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93.800000000000011</v>
      </c>
      <c r="BN91" s="78">
        <f>IFERROR(Y91*I91/H91,"0")</f>
        <v>93.800000000000011</v>
      </c>
      <c r="BO91" s="78">
        <f>IFERROR(1/J91*(X91/H91),"0")</f>
        <v>0.15151515151515152</v>
      </c>
      <c r="BP91" s="78">
        <f>IFERROR(1/J91*(Y91/H91),"0")</f>
        <v>0.15151515151515152</v>
      </c>
    </row>
    <row r="92" spans="1:68">
      <c r="A92" s="696"/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7"/>
      <c r="P92" s="693" t="s">
        <v>40</v>
      </c>
      <c r="Q92" s="694"/>
      <c r="R92" s="694"/>
      <c r="S92" s="694"/>
      <c r="T92" s="694"/>
      <c r="U92" s="694"/>
      <c r="V92" s="695"/>
      <c r="W92" s="42" t="s">
        <v>39</v>
      </c>
      <c r="X92" s="43">
        <f>IFERROR(X88/H88,"0")+IFERROR(X89/H89,"0")+IFERROR(X90/H90,"0")+IFERROR(X91/H91,"0")</f>
        <v>54.25925925925926</v>
      </c>
      <c r="Y92" s="43">
        <f>IFERROR(Y88/H88,"0")+IFERROR(Y89/H89,"0")+IFERROR(Y90/H90,"0")+IFERROR(Y91/H91,"0")</f>
        <v>55</v>
      </c>
      <c r="Z92" s="43">
        <f>IFERROR(IF(Z88="",0,Z88),"0")+IFERROR(IF(Z89="",0,Z89),"0")+IFERROR(IF(Z90="",0,Z90),"0")+IFERROR(IF(Z91="",0,Z91),"0")</f>
        <v>0.84470000000000001</v>
      </c>
      <c r="AA92" s="67"/>
      <c r="AB92" s="67"/>
      <c r="AC92" s="67"/>
    </row>
    <row r="93" spans="1:68">
      <c r="A93" s="696"/>
      <c r="B93" s="696"/>
      <c r="C93" s="696"/>
      <c r="D93" s="696"/>
      <c r="E93" s="696"/>
      <c r="F93" s="696"/>
      <c r="G93" s="696"/>
      <c r="H93" s="696"/>
      <c r="I93" s="696"/>
      <c r="J93" s="696"/>
      <c r="K93" s="696"/>
      <c r="L93" s="696"/>
      <c r="M93" s="696"/>
      <c r="N93" s="696"/>
      <c r="O93" s="697"/>
      <c r="P93" s="693" t="s">
        <v>40</v>
      </c>
      <c r="Q93" s="694"/>
      <c r="R93" s="694"/>
      <c r="S93" s="694"/>
      <c r="T93" s="694"/>
      <c r="U93" s="694"/>
      <c r="V93" s="695"/>
      <c r="W93" s="42" t="s">
        <v>0</v>
      </c>
      <c r="X93" s="43">
        <f>IFERROR(SUM(X88:X91),"0")</f>
        <v>460</v>
      </c>
      <c r="Y93" s="43">
        <f>IFERROR(SUM(Y88:Y91),"0")</f>
        <v>468</v>
      </c>
      <c r="Z93" s="42"/>
      <c r="AA93" s="67"/>
      <c r="AB93" s="67"/>
      <c r="AC93" s="67"/>
    </row>
    <row r="94" spans="1:68" ht="14.25" customHeight="1">
      <c r="A94" s="687" t="s">
        <v>86</v>
      </c>
      <c r="B94" s="687"/>
      <c r="C94" s="687"/>
      <c r="D94" s="687"/>
      <c r="E94" s="687"/>
      <c r="F94" s="687"/>
      <c r="G94" s="687"/>
      <c r="H94" s="687"/>
      <c r="I94" s="687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  <c r="AA94" s="66"/>
      <c r="AB94" s="66"/>
      <c r="AC94" s="80"/>
    </row>
    <row r="95" spans="1:68" ht="27" customHeight="1">
      <c r="A95" s="63" t="s">
        <v>201</v>
      </c>
      <c r="B95" s="63" t="s">
        <v>202</v>
      </c>
      <c r="C95" s="36">
        <v>4301051712</v>
      </c>
      <c r="D95" s="688">
        <v>4607091386967</v>
      </c>
      <c r="E95" s="688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0"/>
      <c r="R95" s="690"/>
      <c r="S95" s="690"/>
      <c r="T95" s="691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>
      <c r="A96" s="63" t="s">
        <v>204</v>
      </c>
      <c r="B96" s="63" t="s">
        <v>205</v>
      </c>
      <c r="C96" s="36">
        <v>4301051788</v>
      </c>
      <c r="D96" s="688">
        <v>4680115884953</v>
      </c>
      <c r="E96" s="688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0"/>
      <c r="R96" s="690"/>
      <c r="S96" s="690"/>
      <c r="T96" s="691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>
      <c r="A97" s="63" t="s">
        <v>206</v>
      </c>
      <c r="B97" s="63" t="s">
        <v>207</v>
      </c>
      <c r="C97" s="36">
        <v>4301051718</v>
      </c>
      <c r="D97" s="688">
        <v>4607091385731</v>
      </c>
      <c r="E97" s="688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0"/>
      <c r="R97" s="690"/>
      <c r="S97" s="690"/>
      <c r="T97" s="691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>
      <c r="A98" s="63" t="s">
        <v>208</v>
      </c>
      <c r="B98" s="63" t="s">
        <v>209</v>
      </c>
      <c r="C98" s="36">
        <v>4301052092</v>
      </c>
      <c r="D98" s="688">
        <v>4680115880894</v>
      </c>
      <c r="E98" s="688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0"/>
      <c r="R98" s="690"/>
      <c r="S98" s="690"/>
      <c r="T98" s="69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>
      <c r="A99" s="696"/>
      <c r="B99" s="696"/>
      <c r="C99" s="696"/>
      <c r="D99" s="696"/>
      <c r="E99" s="696"/>
      <c r="F99" s="696"/>
      <c r="G99" s="696"/>
      <c r="H99" s="696"/>
      <c r="I99" s="696"/>
      <c r="J99" s="696"/>
      <c r="K99" s="696"/>
      <c r="L99" s="696"/>
      <c r="M99" s="696"/>
      <c r="N99" s="696"/>
      <c r="O99" s="697"/>
      <c r="P99" s="693" t="s">
        <v>40</v>
      </c>
      <c r="Q99" s="694"/>
      <c r="R99" s="694"/>
      <c r="S99" s="694"/>
      <c r="T99" s="694"/>
      <c r="U99" s="694"/>
      <c r="V99" s="695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>
      <c r="A100" s="696"/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7"/>
      <c r="P100" s="693" t="s">
        <v>40</v>
      </c>
      <c r="Q100" s="694"/>
      <c r="R100" s="694"/>
      <c r="S100" s="694"/>
      <c r="T100" s="694"/>
      <c r="U100" s="694"/>
      <c r="V100" s="695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>
      <c r="A101" s="686" t="s">
        <v>211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6"/>
      <c r="N101" s="686"/>
      <c r="O101" s="686"/>
      <c r="P101" s="686"/>
      <c r="Q101" s="686"/>
      <c r="R101" s="686"/>
      <c r="S101" s="686"/>
      <c r="T101" s="686"/>
      <c r="U101" s="686"/>
      <c r="V101" s="686"/>
      <c r="W101" s="686"/>
      <c r="X101" s="686"/>
      <c r="Y101" s="686"/>
      <c r="Z101" s="686"/>
      <c r="AA101" s="65"/>
      <c r="AB101" s="65"/>
      <c r="AC101" s="79"/>
    </row>
    <row r="102" spans="1:68" ht="14.25" customHeight="1">
      <c r="A102" s="687" t="s">
        <v>129</v>
      </c>
      <c r="B102" s="687"/>
      <c r="C102" s="687"/>
      <c r="D102" s="687"/>
      <c r="E102" s="687"/>
      <c r="F102" s="687"/>
      <c r="G102" s="687"/>
      <c r="H102" s="687"/>
      <c r="I102" s="687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  <c r="AA102" s="66"/>
      <c r="AB102" s="66"/>
      <c r="AC102" s="80"/>
    </row>
    <row r="103" spans="1:68" ht="37.5" customHeight="1">
      <c r="A103" s="63" t="s">
        <v>212</v>
      </c>
      <c r="B103" s="63" t="s">
        <v>213</v>
      </c>
      <c r="C103" s="36">
        <v>4301011514</v>
      </c>
      <c r="D103" s="688">
        <v>4680115882133</v>
      </c>
      <c r="E103" s="688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0"/>
      <c r="R103" s="690"/>
      <c r="S103" s="690"/>
      <c r="T103" s="691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>
      <c r="A104" s="63" t="s">
        <v>215</v>
      </c>
      <c r="B104" s="63" t="s">
        <v>216</v>
      </c>
      <c r="C104" s="36">
        <v>4301012051</v>
      </c>
      <c r="D104" s="688">
        <v>4680115887718</v>
      </c>
      <c r="E104" s="688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0"/>
      <c r="R104" s="690"/>
      <c r="S104" s="690"/>
      <c r="T104" s="691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>
      <c r="A105" s="63" t="s">
        <v>215</v>
      </c>
      <c r="B105" s="63" t="s">
        <v>218</v>
      </c>
      <c r="C105" s="36">
        <v>4301012334</v>
      </c>
      <c r="D105" s="688">
        <v>4680115887718</v>
      </c>
      <c r="E105" s="688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0"/>
      <c r="R105" s="690"/>
      <c r="S105" s="690"/>
      <c r="T105" s="691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>
      <c r="A106" s="63" t="s">
        <v>219</v>
      </c>
      <c r="B106" s="63" t="s">
        <v>220</v>
      </c>
      <c r="C106" s="36">
        <v>4301011417</v>
      </c>
      <c r="D106" s="688">
        <v>4680115880269</v>
      </c>
      <c r="E106" s="688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0"/>
      <c r="R106" s="690"/>
      <c r="S106" s="690"/>
      <c r="T106" s="69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>
      <c r="A107" s="63" t="s">
        <v>221</v>
      </c>
      <c r="B107" s="63" t="s">
        <v>222</v>
      </c>
      <c r="C107" s="36">
        <v>4301011415</v>
      </c>
      <c r="D107" s="688">
        <v>4680115880429</v>
      </c>
      <c r="E107" s="688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0"/>
      <c r="R107" s="690"/>
      <c r="S107" s="690"/>
      <c r="T107" s="69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>
      <c r="A108" s="63" t="s">
        <v>223</v>
      </c>
      <c r="B108" s="63" t="s">
        <v>224</v>
      </c>
      <c r="C108" s="36">
        <v>4301011462</v>
      </c>
      <c r="D108" s="688">
        <v>4680115881457</v>
      </c>
      <c r="E108" s="688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0"/>
      <c r="R108" s="690"/>
      <c r="S108" s="690"/>
      <c r="T108" s="69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>
      <c r="A109" s="696"/>
      <c r="B109" s="696"/>
      <c r="C109" s="696"/>
      <c r="D109" s="696"/>
      <c r="E109" s="696"/>
      <c r="F109" s="696"/>
      <c r="G109" s="696"/>
      <c r="H109" s="696"/>
      <c r="I109" s="696"/>
      <c r="J109" s="696"/>
      <c r="K109" s="696"/>
      <c r="L109" s="696"/>
      <c r="M109" s="696"/>
      <c r="N109" s="696"/>
      <c r="O109" s="697"/>
      <c r="P109" s="693" t="s">
        <v>40</v>
      </c>
      <c r="Q109" s="694"/>
      <c r="R109" s="694"/>
      <c r="S109" s="694"/>
      <c r="T109" s="694"/>
      <c r="U109" s="694"/>
      <c r="V109" s="695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>
      <c r="A110" s="696"/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7"/>
      <c r="P110" s="693" t="s">
        <v>40</v>
      </c>
      <c r="Q110" s="694"/>
      <c r="R110" s="694"/>
      <c r="S110" s="694"/>
      <c r="T110" s="694"/>
      <c r="U110" s="694"/>
      <c r="V110" s="695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>
      <c r="A111" s="687" t="s">
        <v>166</v>
      </c>
      <c r="B111" s="687"/>
      <c r="C111" s="687"/>
      <c r="D111" s="687"/>
      <c r="E111" s="687"/>
      <c r="F111" s="687"/>
      <c r="G111" s="687"/>
      <c r="H111" s="687"/>
      <c r="I111" s="687"/>
      <c r="J111" s="687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  <c r="AA111" s="66"/>
      <c r="AB111" s="66"/>
      <c r="AC111" s="80"/>
    </row>
    <row r="112" spans="1:68" ht="16.5" customHeight="1">
      <c r="A112" s="63" t="s">
        <v>225</v>
      </c>
      <c r="B112" s="63" t="s">
        <v>226</v>
      </c>
      <c r="C112" s="36">
        <v>4301020345</v>
      </c>
      <c r="D112" s="688">
        <v>4680115881488</v>
      </c>
      <c r="E112" s="688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90"/>
      <c r="R112" s="690"/>
      <c r="S112" s="690"/>
      <c r="T112" s="69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customHeight="1">
      <c r="A113" s="63" t="s">
        <v>225</v>
      </c>
      <c r="B113" s="63" t="s">
        <v>228</v>
      </c>
      <c r="C113" s="36">
        <v>4301020391</v>
      </c>
      <c r="D113" s="688">
        <v>4680115881488</v>
      </c>
      <c r="E113" s="688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90"/>
      <c r="R113" s="690"/>
      <c r="S113" s="690"/>
      <c r="T113" s="691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>
      <c r="A114" s="63" t="s">
        <v>230</v>
      </c>
      <c r="B114" s="63" t="s">
        <v>231</v>
      </c>
      <c r="C114" s="36">
        <v>4301020186</v>
      </c>
      <c r="D114" s="688">
        <v>4680115887664</v>
      </c>
      <c r="E114" s="688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0"/>
      <c r="R114" s="690"/>
      <c r="S114" s="690"/>
      <c r="T114" s="691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customHeight="1">
      <c r="A115" s="63" t="s">
        <v>230</v>
      </c>
      <c r="B115" s="63" t="s">
        <v>234</v>
      </c>
      <c r="C115" s="36">
        <v>4301020430</v>
      </c>
      <c r="D115" s="688">
        <v>4680115887664</v>
      </c>
      <c r="E115" s="688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90"/>
      <c r="R115" s="690"/>
      <c r="S115" s="690"/>
      <c r="T115" s="691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customHeight="1">
      <c r="A116" s="63" t="s">
        <v>235</v>
      </c>
      <c r="B116" s="63" t="s">
        <v>236</v>
      </c>
      <c r="C116" s="36">
        <v>4301020393</v>
      </c>
      <c r="D116" s="688">
        <v>4680115882775</v>
      </c>
      <c r="E116" s="688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90"/>
      <c r="R116" s="690"/>
      <c r="S116" s="690"/>
      <c r="T116" s="691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customHeight="1">
      <c r="A117" s="63" t="s">
        <v>237</v>
      </c>
      <c r="B117" s="63" t="s">
        <v>238</v>
      </c>
      <c r="C117" s="36">
        <v>4301020344</v>
      </c>
      <c r="D117" s="688">
        <v>4680115880658</v>
      </c>
      <c r="E117" s="688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90"/>
      <c r="R117" s="690"/>
      <c r="S117" s="690"/>
      <c r="T117" s="691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customHeight="1">
      <c r="A118" s="63" t="s">
        <v>237</v>
      </c>
      <c r="B118" s="63" t="s">
        <v>239</v>
      </c>
      <c r="C118" s="36">
        <v>4301020392</v>
      </c>
      <c r="D118" s="688">
        <v>4680115880658</v>
      </c>
      <c r="E118" s="688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90"/>
      <c r="R118" s="690"/>
      <c r="S118" s="690"/>
      <c r="T118" s="691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>
      <c r="A119" s="696"/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7"/>
      <c r="P119" s="693" t="s">
        <v>40</v>
      </c>
      <c r="Q119" s="694"/>
      <c r="R119" s="694"/>
      <c r="S119" s="694"/>
      <c r="T119" s="694"/>
      <c r="U119" s="694"/>
      <c r="V119" s="695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>
      <c r="A120" s="696"/>
      <c r="B120" s="696"/>
      <c r="C120" s="696"/>
      <c r="D120" s="696"/>
      <c r="E120" s="696"/>
      <c r="F120" s="696"/>
      <c r="G120" s="696"/>
      <c r="H120" s="696"/>
      <c r="I120" s="696"/>
      <c r="J120" s="696"/>
      <c r="K120" s="696"/>
      <c r="L120" s="696"/>
      <c r="M120" s="696"/>
      <c r="N120" s="696"/>
      <c r="O120" s="697"/>
      <c r="P120" s="693" t="s">
        <v>40</v>
      </c>
      <c r="Q120" s="694"/>
      <c r="R120" s="694"/>
      <c r="S120" s="694"/>
      <c r="T120" s="694"/>
      <c r="U120" s="694"/>
      <c r="V120" s="695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customHeight="1">
      <c r="A121" s="687" t="s">
        <v>86</v>
      </c>
      <c r="B121" s="687"/>
      <c r="C121" s="687"/>
      <c r="D121" s="687"/>
      <c r="E121" s="687"/>
      <c r="F121" s="687"/>
      <c r="G121" s="687"/>
      <c r="H121" s="687"/>
      <c r="I121" s="687"/>
      <c r="J121" s="687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  <c r="AA121" s="66"/>
      <c r="AB121" s="66"/>
      <c r="AC121" s="80"/>
    </row>
    <row r="122" spans="1:68" ht="27" customHeight="1">
      <c r="A122" s="63" t="s">
        <v>240</v>
      </c>
      <c r="B122" s="63" t="s">
        <v>241</v>
      </c>
      <c r="C122" s="36">
        <v>4301051724</v>
      </c>
      <c r="D122" s="688">
        <v>4607091385168</v>
      </c>
      <c r="E122" s="688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90"/>
      <c r="R122" s="690"/>
      <c r="S122" s="690"/>
      <c r="T122" s="691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>
      <c r="A123" s="63" t="s">
        <v>243</v>
      </c>
      <c r="B123" s="63" t="s">
        <v>244</v>
      </c>
      <c r="C123" s="36">
        <v>4301051730</v>
      </c>
      <c r="D123" s="688">
        <v>4607091383256</v>
      </c>
      <c r="E123" s="688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90"/>
      <c r="R123" s="690"/>
      <c r="S123" s="690"/>
      <c r="T123" s="691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>
      <c r="A124" s="63" t="s">
        <v>245</v>
      </c>
      <c r="B124" s="63" t="s">
        <v>246</v>
      </c>
      <c r="C124" s="36">
        <v>4301051721</v>
      </c>
      <c r="D124" s="688">
        <v>4607091385748</v>
      </c>
      <c r="E124" s="688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90"/>
      <c r="R124" s="690"/>
      <c r="S124" s="690"/>
      <c r="T124" s="69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>
      <c r="A125" s="63" t="s">
        <v>247</v>
      </c>
      <c r="B125" s="63" t="s">
        <v>248</v>
      </c>
      <c r="C125" s="36">
        <v>4301051740</v>
      </c>
      <c r="D125" s="688">
        <v>4680115884533</v>
      </c>
      <c r="E125" s="688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90"/>
      <c r="R125" s="690"/>
      <c r="S125" s="690"/>
      <c r="T125" s="69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>
      <c r="A126" s="696"/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7"/>
      <c r="P126" s="693" t="s">
        <v>40</v>
      </c>
      <c r="Q126" s="694"/>
      <c r="R126" s="694"/>
      <c r="S126" s="694"/>
      <c r="T126" s="694"/>
      <c r="U126" s="694"/>
      <c r="V126" s="695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>
      <c r="A127" s="696"/>
      <c r="B127" s="696"/>
      <c r="C127" s="696"/>
      <c r="D127" s="696"/>
      <c r="E127" s="696"/>
      <c r="F127" s="696"/>
      <c r="G127" s="696"/>
      <c r="H127" s="696"/>
      <c r="I127" s="696"/>
      <c r="J127" s="696"/>
      <c r="K127" s="696"/>
      <c r="L127" s="696"/>
      <c r="M127" s="696"/>
      <c r="N127" s="696"/>
      <c r="O127" s="697"/>
      <c r="P127" s="693" t="s">
        <v>40</v>
      </c>
      <c r="Q127" s="694"/>
      <c r="R127" s="694"/>
      <c r="S127" s="694"/>
      <c r="T127" s="694"/>
      <c r="U127" s="694"/>
      <c r="V127" s="695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>
      <c r="A128" s="687" t="s">
        <v>183</v>
      </c>
      <c r="B128" s="687"/>
      <c r="C128" s="687"/>
      <c r="D128" s="687"/>
      <c r="E128" s="687"/>
      <c r="F128" s="687"/>
      <c r="G128" s="687"/>
      <c r="H128" s="687"/>
      <c r="I128" s="687"/>
      <c r="J128" s="687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  <c r="AA128" s="66"/>
      <c r="AB128" s="66"/>
      <c r="AC128" s="80"/>
    </row>
    <row r="129" spans="1:68" ht="16.5" customHeight="1">
      <c r="A129" s="63" t="s">
        <v>250</v>
      </c>
      <c r="B129" s="63" t="s">
        <v>251</v>
      </c>
      <c r="C129" s="36">
        <v>4301060317</v>
      </c>
      <c r="D129" s="688">
        <v>4680115880238</v>
      </c>
      <c r="E129" s="688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90"/>
      <c r="R129" s="690"/>
      <c r="S129" s="690"/>
      <c r="T129" s="691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>
      <c r="A130" s="696"/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7"/>
      <c r="P130" s="693" t="s">
        <v>40</v>
      </c>
      <c r="Q130" s="694"/>
      <c r="R130" s="694"/>
      <c r="S130" s="694"/>
      <c r="T130" s="694"/>
      <c r="U130" s="694"/>
      <c r="V130" s="695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>
      <c r="A131" s="696"/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7"/>
      <c r="P131" s="693" t="s">
        <v>40</v>
      </c>
      <c r="Q131" s="694"/>
      <c r="R131" s="694"/>
      <c r="S131" s="694"/>
      <c r="T131" s="694"/>
      <c r="U131" s="694"/>
      <c r="V131" s="695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>
      <c r="A132" s="686" t="s">
        <v>253</v>
      </c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86"/>
      <c r="P132" s="686"/>
      <c r="Q132" s="686"/>
      <c r="R132" s="686"/>
      <c r="S132" s="686"/>
      <c r="T132" s="686"/>
      <c r="U132" s="686"/>
      <c r="V132" s="686"/>
      <c r="W132" s="686"/>
      <c r="X132" s="686"/>
      <c r="Y132" s="686"/>
      <c r="Z132" s="686"/>
      <c r="AA132" s="65"/>
      <c r="AB132" s="65"/>
      <c r="AC132" s="79"/>
    </row>
    <row r="133" spans="1:68" ht="14.25" customHeight="1">
      <c r="A133" s="687" t="s">
        <v>129</v>
      </c>
      <c r="B133" s="687"/>
      <c r="C133" s="687"/>
      <c r="D133" s="687"/>
      <c r="E133" s="687"/>
      <c r="F133" s="687"/>
      <c r="G133" s="687"/>
      <c r="H133" s="687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  <c r="AA133" s="66"/>
      <c r="AB133" s="66"/>
      <c r="AC133" s="80"/>
    </row>
    <row r="134" spans="1:68" ht="27" customHeight="1">
      <c r="A134" s="63" t="s">
        <v>254</v>
      </c>
      <c r="B134" s="63" t="s">
        <v>255</v>
      </c>
      <c r="C134" s="36">
        <v>4301011562</v>
      </c>
      <c r="D134" s="688">
        <v>4680115882577</v>
      </c>
      <c r="E134" s="688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90"/>
      <c r="R134" s="690"/>
      <c r="S134" s="690"/>
      <c r="T134" s="691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>
      <c r="A135" s="63" t="s">
        <v>254</v>
      </c>
      <c r="B135" s="63" t="s">
        <v>257</v>
      </c>
      <c r="C135" s="36">
        <v>4301011564</v>
      </c>
      <c r="D135" s="688">
        <v>4680115882577</v>
      </c>
      <c r="E135" s="688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90"/>
      <c r="R135" s="690"/>
      <c r="S135" s="690"/>
      <c r="T135" s="691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>
      <c r="A136" s="696"/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7"/>
      <c r="P136" s="693" t="s">
        <v>40</v>
      </c>
      <c r="Q136" s="694"/>
      <c r="R136" s="694"/>
      <c r="S136" s="694"/>
      <c r="T136" s="694"/>
      <c r="U136" s="694"/>
      <c r="V136" s="69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>
      <c r="A137" s="696"/>
      <c r="B137" s="696"/>
      <c r="C137" s="696"/>
      <c r="D137" s="696"/>
      <c r="E137" s="696"/>
      <c r="F137" s="696"/>
      <c r="G137" s="696"/>
      <c r="H137" s="696"/>
      <c r="I137" s="696"/>
      <c r="J137" s="696"/>
      <c r="K137" s="696"/>
      <c r="L137" s="696"/>
      <c r="M137" s="696"/>
      <c r="N137" s="696"/>
      <c r="O137" s="697"/>
      <c r="P137" s="693" t="s">
        <v>40</v>
      </c>
      <c r="Q137" s="694"/>
      <c r="R137" s="694"/>
      <c r="S137" s="694"/>
      <c r="T137" s="694"/>
      <c r="U137" s="694"/>
      <c r="V137" s="69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>
      <c r="A138" s="687" t="s">
        <v>77</v>
      </c>
      <c r="B138" s="687"/>
      <c r="C138" s="687"/>
      <c r="D138" s="687"/>
      <c r="E138" s="687"/>
      <c r="F138" s="687"/>
      <c r="G138" s="687"/>
      <c r="H138" s="687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  <c r="AA138" s="66"/>
      <c r="AB138" s="66"/>
      <c r="AC138" s="80"/>
    </row>
    <row r="139" spans="1:68" ht="27" customHeight="1">
      <c r="A139" s="63" t="s">
        <v>258</v>
      </c>
      <c r="B139" s="63" t="s">
        <v>259</v>
      </c>
      <c r="C139" s="36">
        <v>4301031234</v>
      </c>
      <c r="D139" s="688">
        <v>4680115883444</v>
      </c>
      <c r="E139" s="688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90"/>
      <c r="R139" s="690"/>
      <c r="S139" s="690"/>
      <c r="T139" s="691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>
      <c r="A140" s="63" t="s">
        <v>258</v>
      </c>
      <c r="B140" s="63" t="s">
        <v>261</v>
      </c>
      <c r="C140" s="36">
        <v>4301031235</v>
      </c>
      <c r="D140" s="688">
        <v>4680115883444</v>
      </c>
      <c r="E140" s="688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90"/>
      <c r="R140" s="690"/>
      <c r="S140" s="690"/>
      <c r="T140" s="691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>
      <c r="A141" s="696"/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7"/>
      <c r="P141" s="693" t="s">
        <v>40</v>
      </c>
      <c r="Q141" s="694"/>
      <c r="R141" s="694"/>
      <c r="S141" s="694"/>
      <c r="T141" s="694"/>
      <c r="U141" s="694"/>
      <c r="V141" s="695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>
      <c r="A142" s="696"/>
      <c r="B142" s="696"/>
      <c r="C142" s="696"/>
      <c r="D142" s="696"/>
      <c r="E142" s="696"/>
      <c r="F142" s="696"/>
      <c r="G142" s="696"/>
      <c r="H142" s="696"/>
      <c r="I142" s="696"/>
      <c r="J142" s="696"/>
      <c r="K142" s="696"/>
      <c r="L142" s="696"/>
      <c r="M142" s="696"/>
      <c r="N142" s="696"/>
      <c r="O142" s="697"/>
      <c r="P142" s="693" t="s">
        <v>40</v>
      </c>
      <c r="Q142" s="694"/>
      <c r="R142" s="694"/>
      <c r="S142" s="694"/>
      <c r="T142" s="694"/>
      <c r="U142" s="694"/>
      <c r="V142" s="695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>
      <c r="A143" s="687" t="s">
        <v>86</v>
      </c>
      <c r="B143" s="687"/>
      <c r="C143" s="687"/>
      <c r="D143" s="687"/>
      <c r="E143" s="687"/>
      <c r="F143" s="687"/>
      <c r="G143" s="687"/>
      <c r="H143" s="687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  <c r="AA143" s="66"/>
      <c r="AB143" s="66"/>
      <c r="AC143" s="80"/>
    </row>
    <row r="144" spans="1:68" ht="16.5" customHeight="1">
      <c r="A144" s="63" t="s">
        <v>262</v>
      </c>
      <c r="B144" s="63" t="s">
        <v>263</v>
      </c>
      <c r="C144" s="36">
        <v>4301051476</v>
      </c>
      <c r="D144" s="688">
        <v>4680115882584</v>
      </c>
      <c r="E144" s="688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90"/>
      <c r="R144" s="690"/>
      <c r="S144" s="690"/>
      <c r="T144" s="691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>
      <c r="A145" s="63" t="s">
        <v>262</v>
      </c>
      <c r="B145" s="63" t="s">
        <v>264</v>
      </c>
      <c r="C145" s="36">
        <v>4301051477</v>
      </c>
      <c r="D145" s="688">
        <v>4680115882584</v>
      </c>
      <c r="E145" s="688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90"/>
      <c r="R145" s="690"/>
      <c r="S145" s="690"/>
      <c r="T145" s="691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>
      <c r="A146" s="696"/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7"/>
      <c r="P146" s="693" t="s">
        <v>40</v>
      </c>
      <c r="Q146" s="694"/>
      <c r="R146" s="694"/>
      <c r="S146" s="694"/>
      <c r="T146" s="694"/>
      <c r="U146" s="694"/>
      <c r="V146" s="695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>
      <c r="A147" s="696"/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7"/>
      <c r="P147" s="693" t="s">
        <v>40</v>
      </c>
      <c r="Q147" s="694"/>
      <c r="R147" s="694"/>
      <c r="S147" s="694"/>
      <c r="T147" s="694"/>
      <c r="U147" s="694"/>
      <c r="V147" s="695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>
      <c r="A148" s="686" t="s">
        <v>265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86"/>
      <c r="P148" s="686"/>
      <c r="Q148" s="686"/>
      <c r="R148" s="686"/>
      <c r="S148" s="686"/>
      <c r="T148" s="686"/>
      <c r="U148" s="686"/>
      <c r="V148" s="686"/>
      <c r="W148" s="686"/>
      <c r="X148" s="686"/>
      <c r="Y148" s="686"/>
      <c r="Z148" s="686"/>
      <c r="AA148" s="65"/>
      <c r="AB148" s="65"/>
      <c r="AC148" s="79"/>
    </row>
    <row r="149" spans="1:68" ht="14.25" customHeight="1">
      <c r="A149" s="687" t="s">
        <v>86</v>
      </c>
      <c r="B149" s="687"/>
      <c r="C149" s="687"/>
      <c r="D149" s="687"/>
      <c r="E149" s="687"/>
      <c r="F149" s="687"/>
      <c r="G149" s="687"/>
      <c r="H149" s="687"/>
      <c r="I149" s="687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  <c r="AA149" s="66"/>
      <c r="AB149" s="66"/>
      <c r="AC149" s="80"/>
    </row>
    <row r="150" spans="1:68" ht="27" customHeight="1">
      <c r="A150" s="63" t="s">
        <v>266</v>
      </c>
      <c r="B150" s="63" t="s">
        <v>267</v>
      </c>
      <c r="C150" s="36">
        <v>4301052174</v>
      </c>
      <c r="D150" s="688">
        <v>4680115888203</v>
      </c>
      <c r="E150" s="688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90"/>
      <c r="R150" s="690"/>
      <c r="S150" s="690"/>
      <c r="T150" s="691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>
      <c r="A151" s="63" t="s">
        <v>269</v>
      </c>
      <c r="B151" s="63" t="s">
        <v>270</v>
      </c>
      <c r="C151" s="36">
        <v>4301052172</v>
      </c>
      <c r="D151" s="688">
        <v>4680115888180</v>
      </c>
      <c r="E151" s="688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90"/>
      <c r="R151" s="690"/>
      <c r="S151" s="690"/>
      <c r="T151" s="691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>
      <c r="A152" s="63" t="s">
        <v>272</v>
      </c>
      <c r="B152" s="63" t="s">
        <v>273</v>
      </c>
      <c r="C152" s="36">
        <v>4301052173</v>
      </c>
      <c r="D152" s="688">
        <v>4680115888197</v>
      </c>
      <c r="E152" s="688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90"/>
      <c r="R152" s="690"/>
      <c r="S152" s="690"/>
      <c r="T152" s="69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>
      <c r="A153" s="63" t="s">
        <v>275</v>
      </c>
      <c r="B153" s="63" t="s">
        <v>276</v>
      </c>
      <c r="C153" s="36">
        <v>4301052175</v>
      </c>
      <c r="D153" s="688">
        <v>4680115888210</v>
      </c>
      <c r="E153" s="688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90"/>
      <c r="R153" s="690"/>
      <c r="S153" s="690"/>
      <c r="T153" s="69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>
      <c r="A154" s="696"/>
      <c r="B154" s="696"/>
      <c r="C154" s="696"/>
      <c r="D154" s="696"/>
      <c r="E154" s="696"/>
      <c r="F154" s="696"/>
      <c r="G154" s="696"/>
      <c r="H154" s="696"/>
      <c r="I154" s="696"/>
      <c r="J154" s="696"/>
      <c r="K154" s="696"/>
      <c r="L154" s="696"/>
      <c r="M154" s="696"/>
      <c r="N154" s="696"/>
      <c r="O154" s="697"/>
      <c r="P154" s="693" t="s">
        <v>40</v>
      </c>
      <c r="Q154" s="694"/>
      <c r="R154" s="694"/>
      <c r="S154" s="694"/>
      <c r="T154" s="694"/>
      <c r="U154" s="694"/>
      <c r="V154" s="695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>
      <c r="A155" s="696"/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7"/>
      <c r="P155" s="693" t="s">
        <v>40</v>
      </c>
      <c r="Q155" s="694"/>
      <c r="R155" s="694"/>
      <c r="S155" s="694"/>
      <c r="T155" s="694"/>
      <c r="U155" s="694"/>
      <c r="V155" s="695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>
      <c r="A156" s="686" t="s">
        <v>127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6"/>
      <c r="N156" s="686"/>
      <c r="O156" s="686"/>
      <c r="P156" s="686"/>
      <c r="Q156" s="686"/>
      <c r="R156" s="686"/>
      <c r="S156" s="686"/>
      <c r="T156" s="686"/>
      <c r="U156" s="686"/>
      <c r="V156" s="686"/>
      <c r="W156" s="686"/>
      <c r="X156" s="686"/>
      <c r="Y156" s="686"/>
      <c r="Z156" s="686"/>
      <c r="AA156" s="65"/>
      <c r="AB156" s="65"/>
      <c r="AC156" s="79"/>
    </row>
    <row r="157" spans="1:68" ht="14.25" customHeight="1">
      <c r="A157" s="687" t="s">
        <v>129</v>
      </c>
      <c r="B157" s="687"/>
      <c r="C157" s="687"/>
      <c r="D157" s="687"/>
      <c r="E157" s="687"/>
      <c r="F157" s="687"/>
      <c r="G157" s="687"/>
      <c r="H157" s="687"/>
      <c r="I157" s="687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  <c r="AA157" s="66"/>
      <c r="AB157" s="66"/>
      <c r="AC157" s="80"/>
    </row>
    <row r="158" spans="1:68" ht="27" customHeight="1">
      <c r="A158" s="63" t="s">
        <v>278</v>
      </c>
      <c r="B158" s="63" t="s">
        <v>279</v>
      </c>
      <c r="C158" s="36">
        <v>4301012244</v>
      </c>
      <c r="D158" s="688">
        <v>4680115887374</v>
      </c>
      <c r="E158" s="688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90"/>
      <c r="R158" s="690"/>
      <c r="S158" s="690"/>
      <c r="T158" s="691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>
      <c r="A159" s="63" t="s">
        <v>281</v>
      </c>
      <c r="B159" s="63" t="s">
        <v>282</v>
      </c>
      <c r="C159" s="36">
        <v>4301011705</v>
      </c>
      <c r="D159" s="688">
        <v>4607091384604</v>
      </c>
      <c r="E159" s="688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90"/>
      <c r="R159" s="690"/>
      <c r="S159" s="690"/>
      <c r="T159" s="69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>
      <c r="A160" s="696"/>
      <c r="B160" s="696"/>
      <c r="C160" s="696"/>
      <c r="D160" s="696"/>
      <c r="E160" s="696"/>
      <c r="F160" s="696"/>
      <c r="G160" s="696"/>
      <c r="H160" s="696"/>
      <c r="I160" s="696"/>
      <c r="J160" s="696"/>
      <c r="K160" s="696"/>
      <c r="L160" s="696"/>
      <c r="M160" s="696"/>
      <c r="N160" s="696"/>
      <c r="O160" s="697"/>
      <c r="P160" s="693" t="s">
        <v>40</v>
      </c>
      <c r="Q160" s="694"/>
      <c r="R160" s="694"/>
      <c r="S160" s="694"/>
      <c r="T160" s="694"/>
      <c r="U160" s="694"/>
      <c r="V160" s="695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>
      <c r="A161" s="696"/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7"/>
      <c r="P161" s="693" t="s">
        <v>40</v>
      </c>
      <c r="Q161" s="694"/>
      <c r="R161" s="694"/>
      <c r="S161" s="694"/>
      <c r="T161" s="694"/>
      <c r="U161" s="694"/>
      <c r="V161" s="695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>
      <c r="A162" s="687" t="s">
        <v>166</v>
      </c>
      <c r="B162" s="687"/>
      <c r="C162" s="687"/>
      <c r="D162" s="687"/>
      <c r="E162" s="687"/>
      <c r="F162" s="687"/>
      <c r="G162" s="687"/>
      <c r="H162" s="687"/>
      <c r="I162" s="687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  <c r="AA162" s="66"/>
      <c r="AB162" s="66"/>
      <c r="AC162" s="80"/>
    </row>
    <row r="163" spans="1:68" ht="16.5" customHeight="1">
      <c r="A163" s="63" t="s">
        <v>284</v>
      </c>
      <c r="B163" s="63" t="s">
        <v>285</v>
      </c>
      <c r="C163" s="36">
        <v>4301020410</v>
      </c>
      <c r="D163" s="688">
        <v>4680115887695</v>
      </c>
      <c r="E163" s="688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90"/>
      <c r="R163" s="690"/>
      <c r="S163" s="690"/>
      <c r="T163" s="691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>
      <c r="A164" s="696"/>
      <c r="B164" s="696"/>
      <c r="C164" s="696"/>
      <c r="D164" s="696"/>
      <c r="E164" s="696"/>
      <c r="F164" s="696"/>
      <c r="G164" s="696"/>
      <c r="H164" s="696"/>
      <c r="I164" s="696"/>
      <c r="J164" s="696"/>
      <c r="K164" s="696"/>
      <c r="L164" s="696"/>
      <c r="M164" s="696"/>
      <c r="N164" s="696"/>
      <c r="O164" s="697"/>
      <c r="P164" s="693" t="s">
        <v>40</v>
      </c>
      <c r="Q164" s="694"/>
      <c r="R164" s="694"/>
      <c r="S164" s="694"/>
      <c r="T164" s="694"/>
      <c r="U164" s="694"/>
      <c r="V164" s="695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>
      <c r="A165" s="696"/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7"/>
      <c r="P165" s="693" t="s">
        <v>40</v>
      </c>
      <c r="Q165" s="694"/>
      <c r="R165" s="694"/>
      <c r="S165" s="694"/>
      <c r="T165" s="694"/>
      <c r="U165" s="694"/>
      <c r="V165" s="695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>
      <c r="A166" s="687" t="s">
        <v>77</v>
      </c>
      <c r="B166" s="687"/>
      <c r="C166" s="687"/>
      <c r="D166" s="687"/>
      <c r="E166" s="687"/>
      <c r="F166" s="687"/>
      <c r="G166" s="687"/>
      <c r="H166" s="687"/>
      <c r="I166" s="687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  <c r="AA166" s="66"/>
      <c r="AB166" s="66"/>
      <c r="AC166" s="80"/>
    </row>
    <row r="167" spans="1:68" ht="27" customHeight="1">
      <c r="A167" s="63" t="s">
        <v>287</v>
      </c>
      <c r="B167" s="63" t="s">
        <v>288</v>
      </c>
      <c r="C167" s="36">
        <v>4301031496</v>
      </c>
      <c r="D167" s="688">
        <v>4680115887428</v>
      </c>
      <c r="E167" s="688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90"/>
      <c r="R167" s="690"/>
      <c r="S167" s="690"/>
      <c r="T167" s="691"/>
      <c r="U167" s="39" t="s">
        <v>46</v>
      </c>
      <c r="V167" s="39" t="s">
        <v>46</v>
      </c>
      <c r="W167" s="40" t="s">
        <v>0</v>
      </c>
      <c r="X167" s="58">
        <v>30</v>
      </c>
      <c r="Y167" s="55">
        <f t="shared" ref="Y167:Y177" si="15">IFERROR(IF(X167="",0,CEILING((X167/$H167),1)*$H167),"")</f>
        <v>31.5</v>
      </c>
      <c r="Z167" s="41">
        <f>IFERROR(IF(Y167=0,"",ROUNDUP(Y167/H167,0)*0.00902),"")</f>
        <v>8.1180000000000002E-2</v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31.62857142857143</v>
      </c>
      <c r="BN167" s="78">
        <f t="shared" ref="BN167:BN177" si="17">IFERROR(Y167*I167/H167,"0")</f>
        <v>33.21</v>
      </c>
      <c r="BO167" s="78">
        <f t="shared" ref="BO167:BO177" si="18">IFERROR(1/J167*(X167/H167),"0")</f>
        <v>6.4935064935064929E-2</v>
      </c>
      <c r="BP167" s="78">
        <f t="shared" ref="BP167:BP177" si="19">IFERROR(1/J167*(Y167/H167),"0")</f>
        <v>6.8181818181818177E-2</v>
      </c>
    </row>
    <row r="168" spans="1:68" ht="27" customHeight="1">
      <c r="A168" s="63" t="s">
        <v>290</v>
      </c>
      <c r="B168" s="63" t="s">
        <v>291</v>
      </c>
      <c r="C168" s="36">
        <v>4301030963</v>
      </c>
      <c r="D168" s="688">
        <v>4607091382426</v>
      </c>
      <c r="E168" s="688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90"/>
      <c r="R168" s="690"/>
      <c r="S168" s="690"/>
      <c r="T168" s="691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customHeight="1">
      <c r="A169" s="63" t="s">
        <v>293</v>
      </c>
      <c r="B169" s="63" t="s">
        <v>294</v>
      </c>
      <c r="C169" s="36">
        <v>4301031498</v>
      </c>
      <c r="D169" s="688">
        <v>4680115887398</v>
      </c>
      <c r="E169" s="688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0"/>
      <c r="R169" s="690"/>
      <c r="S169" s="690"/>
      <c r="T169" s="691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customHeight="1">
      <c r="A170" s="63" t="s">
        <v>296</v>
      </c>
      <c r="B170" s="63" t="s">
        <v>297</v>
      </c>
      <c r="C170" s="36">
        <v>4301031497</v>
      </c>
      <c r="D170" s="688">
        <v>4680115887336</v>
      </c>
      <c r="E170" s="688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0"/>
      <c r="R170" s="690"/>
      <c r="S170" s="690"/>
      <c r="T170" s="691"/>
      <c r="U170" s="39" t="s">
        <v>46</v>
      </c>
      <c r="V170" s="39" t="s">
        <v>46</v>
      </c>
      <c r="W170" s="40" t="s">
        <v>0</v>
      </c>
      <c r="X170" s="58">
        <v>100</v>
      </c>
      <c r="Y170" s="55">
        <f t="shared" si="15"/>
        <v>101.5</v>
      </c>
      <c r="Z170" s="41">
        <f>IFERROR(IF(Y170=0,"",ROUNDUP(Y170/H170,0)*0.00902),"")</f>
        <v>0.26158000000000003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105.42857142857143</v>
      </c>
      <c r="BN170" s="78">
        <f t="shared" si="17"/>
        <v>107.00999999999999</v>
      </c>
      <c r="BO170" s="78">
        <f t="shared" si="18"/>
        <v>0.21645021645021648</v>
      </c>
      <c r="BP170" s="78">
        <f t="shared" si="19"/>
        <v>0.2196969696969697</v>
      </c>
    </row>
    <row r="171" spans="1:68" ht="16.5" customHeight="1">
      <c r="A171" s="63" t="s">
        <v>299</v>
      </c>
      <c r="B171" s="63" t="s">
        <v>300</v>
      </c>
      <c r="C171" s="36">
        <v>4301032049</v>
      </c>
      <c r="D171" s="688">
        <v>4680115887787</v>
      </c>
      <c r="E171" s="688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0"/>
      <c r="R171" s="690"/>
      <c r="S171" s="690"/>
      <c r="T171" s="691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>
      <c r="A172" s="63" t="s">
        <v>302</v>
      </c>
      <c r="B172" s="63" t="s">
        <v>303</v>
      </c>
      <c r="C172" s="36">
        <v>4301031448</v>
      </c>
      <c r="D172" s="688">
        <v>4680115887503</v>
      </c>
      <c r="E172" s="688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0"/>
      <c r="R172" s="690"/>
      <c r="S172" s="690"/>
      <c r="T172" s="691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>
      <c r="A173" s="63" t="s">
        <v>304</v>
      </c>
      <c r="B173" s="63" t="s">
        <v>305</v>
      </c>
      <c r="C173" s="36">
        <v>4301031389</v>
      </c>
      <c r="D173" s="688">
        <v>4680115887763</v>
      </c>
      <c r="E173" s="688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0"/>
      <c r="R173" s="690"/>
      <c r="S173" s="690"/>
      <c r="T173" s="691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>
      <c r="A174" s="63" t="s">
        <v>304</v>
      </c>
      <c r="B174" s="63" t="s">
        <v>307</v>
      </c>
      <c r="C174" s="36">
        <v>4301031510</v>
      </c>
      <c r="D174" s="688">
        <v>4680115887763</v>
      </c>
      <c r="E174" s="688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0"/>
      <c r="R174" s="690"/>
      <c r="S174" s="690"/>
      <c r="T174" s="691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>
      <c r="A175" s="63" t="s">
        <v>308</v>
      </c>
      <c r="B175" s="63" t="s">
        <v>309</v>
      </c>
      <c r="C175" s="36">
        <v>4301031454</v>
      </c>
      <c r="D175" s="688">
        <v>4680115887480</v>
      </c>
      <c r="E175" s="688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0"/>
      <c r="R175" s="690"/>
      <c r="S175" s="690"/>
      <c r="T175" s="691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>
      <c r="A176" s="63" t="s">
        <v>310</v>
      </c>
      <c r="B176" s="63" t="s">
        <v>311</v>
      </c>
      <c r="C176" s="36">
        <v>4301031434</v>
      </c>
      <c r="D176" s="688">
        <v>4680115888067</v>
      </c>
      <c r="E176" s="688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0"/>
      <c r="R176" s="690"/>
      <c r="S176" s="690"/>
      <c r="T176" s="69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>
      <c r="A177" s="63" t="s">
        <v>313</v>
      </c>
      <c r="B177" s="63" t="s">
        <v>314</v>
      </c>
      <c r="C177" s="36">
        <v>4301031451</v>
      </c>
      <c r="D177" s="688">
        <v>4680115887435</v>
      </c>
      <c r="E177" s="688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0"/>
      <c r="R177" s="690"/>
      <c r="S177" s="690"/>
      <c r="T177" s="69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>
      <c r="A178" s="696"/>
      <c r="B178" s="696"/>
      <c r="C178" s="696"/>
      <c r="D178" s="696"/>
      <c r="E178" s="696"/>
      <c r="F178" s="696"/>
      <c r="G178" s="696"/>
      <c r="H178" s="696"/>
      <c r="I178" s="696"/>
      <c r="J178" s="696"/>
      <c r="K178" s="696"/>
      <c r="L178" s="696"/>
      <c r="M178" s="696"/>
      <c r="N178" s="696"/>
      <c r="O178" s="697"/>
      <c r="P178" s="693" t="s">
        <v>40</v>
      </c>
      <c r="Q178" s="694"/>
      <c r="R178" s="694"/>
      <c r="S178" s="694"/>
      <c r="T178" s="694"/>
      <c r="U178" s="694"/>
      <c r="V178" s="695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37.142857142857146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38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0.34276000000000006</v>
      </c>
      <c r="AA178" s="67"/>
      <c r="AB178" s="67"/>
      <c r="AC178" s="67"/>
    </row>
    <row r="179" spans="1:68">
      <c r="A179" s="696"/>
      <c r="B179" s="696"/>
      <c r="C179" s="696"/>
      <c r="D179" s="696"/>
      <c r="E179" s="696"/>
      <c r="F179" s="696"/>
      <c r="G179" s="696"/>
      <c r="H179" s="696"/>
      <c r="I179" s="696"/>
      <c r="J179" s="696"/>
      <c r="K179" s="696"/>
      <c r="L179" s="696"/>
      <c r="M179" s="696"/>
      <c r="N179" s="696"/>
      <c r="O179" s="697"/>
      <c r="P179" s="693" t="s">
        <v>40</v>
      </c>
      <c r="Q179" s="694"/>
      <c r="R179" s="694"/>
      <c r="S179" s="694"/>
      <c r="T179" s="694"/>
      <c r="U179" s="694"/>
      <c r="V179" s="695"/>
      <c r="W179" s="42" t="s">
        <v>0</v>
      </c>
      <c r="X179" s="43">
        <f>IFERROR(SUM(X167:X177),"0")</f>
        <v>130</v>
      </c>
      <c r="Y179" s="43">
        <f>IFERROR(SUM(Y167:Y177),"0")</f>
        <v>133</v>
      </c>
      <c r="Z179" s="42"/>
      <c r="AA179" s="67"/>
      <c r="AB179" s="67"/>
      <c r="AC179" s="67"/>
    </row>
    <row r="180" spans="1:68" ht="14.25" customHeight="1">
      <c r="A180" s="687" t="s">
        <v>86</v>
      </c>
      <c r="B180" s="687"/>
      <c r="C180" s="687"/>
      <c r="D180" s="687"/>
      <c r="E180" s="687"/>
      <c r="F180" s="687"/>
      <c r="G180" s="687"/>
      <c r="H180" s="687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  <c r="AA180" s="66"/>
      <c r="AB180" s="66"/>
      <c r="AC180" s="80"/>
    </row>
    <row r="181" spans="1:68" ht="16.5" customHeight="1">
      <c r="A181" s="63" t="s">
        <v>315</v>
      </c>
      <c r="B181" s="63" t="s">
        <v>316</v>
      </c>
      <c r="C181" s="36">
        <v>4301052193</v>
      </c>
      <c r="D181" s="688">
        <v>4680115888395</v>
      </c>
      <c r="E181" s="688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0"/>
      <c r="R181" s="690"/>
      <c r="S181" s="690"/>
      <c r="T181" s="691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>
      <c r="A182" s="63" t="s">
        <v>318</v>
      </c>
      <c r="B182" s="63" t="s">
        <v>319</v>
      </c>
      <c r="C182" s="36">
        <v>4301052191</v>
      </c>
      <c r="D182" s="688">
        <v>4680115888371</v>
      </c>
      <c r="E182" s="688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0"/>
      <c r="R182" s="690"/>
      <c r="S182" s="690"/>
      <c r="T182" s="691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>
      <c r="A183" s="63" t="s">
        <v>321</v>
      </c>
      <c r="B183" s="63" t="s">
        <v>322</v>
      </c>
      <c r="C183" s="36">
        <v>4301052064</v>
      </c>
      <c r="D183" s="688">
        <v>4680115887459</v>
      </c>
      <c r="E183" s="688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0"/>
      <c r="R183" s="690"/>
      <c r="S183" s="690"/>
      <c r="T183" s="691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>
      <c r="A184" s="696"/>
      <c r="B184" s="696"/>
      <c r="C184" s="696"/>
      <c r="D184" s="696"/>
      <c r="E184" s="696"/>
      <c r="F184" s="696"/>
      <c r="G184" s="696"/>
      <c r="H184" s="696"/>
      <c r="I184" s="696"/>
      <c r="J184" s="696"/>
      <c r="K184" s="696"/>
      <c r="L184" s="696"/>
      <c r="M184" s="696"/>
      <c r="N184" s="696"/>
      <c r="O184" s="697"/>
      <c r="P184" s="693" t="s">
        <v>40</v>
      </c>
      <c r="Q184" s="694"/>
      <c r="R184" s="694"/>
      <c r="S184" s="694"/>
      <c r="T184" s="694"/>
      <c r="U184" s="694"/>
      <c r="V184" s="695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>
      <c r="A185" s="696"/>
      <c r="B185" s="696"/>
      <c r="C185" s="696"/>
      <c r="D185" s="696"/>
      <c r="E185" s="696"/>
      <c r="F185" s="696"/>
      <c r="G185" s="696"/>
      <c r="H185" s="696"/>
      <c r="I185" s="696"/>
      <c r="J185" s="696"/>
      <c r="K185" s="696"/>
      <c r="L185" s="696"/>
      <c r="M185" s="696"/>
      <c r="N185" s="696"/>
      <c r="O185" s="697"/>
      <c r="P185" s="693" t="s">
        <v>40</v>
      </c>
      <c r="Q185" s="694"/>
      <c r="R185" s="694"/>
      <c r="S185" s="694"/>
      <c r="T185" s="694"/>
      <c r="U185" s="694"/>
      <c r="V185" s="695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>
      <c r="A186" s="687" t="s">
        <v>104</v>
      </c>
      <c r="B186" s="687"/>
      <c r="C186" s="687"/>
      <c r="D186" s="687"/>
      <c r="E186" s="687"/>
      <c r="F186" s="687"/>
      <c r="G186" s="687"/>
      <c r="H186" s="687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  <c r="AA186" s="66"/>
      <c r="AB186" s="66"/>
      <c r="AC186" s="80"/>
    </row>
    <row r="187" spans="1:68" ht="16.5" customHeight="1">
      <c r="A187" s="63" t="s">
        <v>324</v>
      </c>
      <c r="B187" s="63" t="s">
        <v>325</v>
      </c>
      <c r="C187" s="36">
        <v>4301032058</v>
      </c>
      <c r="D187" s="688">
        <v>4680115889026</v>
      </c>
      <c r="E187" s="688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0"/>
      <c r="R187" s="690"/>
      <c r="S187" s="690"/>
      <c r="T187" s="691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>
      <c r="A188" s="63" t="s">
        <v>329</v>
      </c>
      <c r="B188" s="63" t="s">
        <v>330</v>
      </c>
      <c r="C188" s="36">
        <v>4301032057</v>
      </c>
      <c r="D188" s="688">
        <v>4680115889088</v>
      </c>
      <c r="E188" s="688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0"/>
      <c r="R188" s="690"/>
      <c r="S188" s="690"/>
      <c r="T188" s="691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>
      <c r="A189" s="696"/>
      <c r="B189" s="696"/>
      <c r="C189" s="696"/>
      <c r="D189" s="696"/>
      <c r="E189" s="696"/>
      <c r="F189" s="696"/>
      <c r="G189" s="696"/>
      <c r="H189" s="696"/>
      <c r="I189" s="696"/>
      <c r="J189" s="696"/>
      <c r="K189" s="696"/>
      <c r="L189" s="696"/>
      <c r="M189" s="696"/>
      <c r="N189" s="696"/>
      <c r="O189" s="697"/>
      <c r="P189" s="693" t="s">
        <v>40</v>
      </c>
      <c r="Q189" s="694"/>
      <c r="R189" s="694"/>
      <c r="S189" s="694"/>
      <c r="T189" s="694"/>
      <c r="U189" s="694"/>
      <c r="V189" s="695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>
      <c r="A190" s="696"/>
      <c r="B190" s="696"/>
      <c r="C190" s="696"/>
      <c r="D190" s="696"/>
      <c r="E190" s="696"/>
      <c r="F190" s="696"/>
      <c r="G190" s="696"/>
      <c r="H190" s="696"/>
      <c r="I190" s="696"/>
      <c r="J190" s="696"/>
      <c r="K190" s="696"/>
      <c r="L190" s="696"/>
      <c r="M190" s="696"/>
      <c r="N190" s="696"/>
      <c r="O190" s="697"/>
      <c r="P190" s="693" t="s">
        <v>40</v>
      </c>
      <c r="Q190" s="694"/>
      <c r="R190" s="694"/>
      <c r="S190" s="694"/>
      <c r="T190" s="694"/>
      <c r="U190" s="694"/>
      <c r="V190" s="695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>
      <c r="A191" s="687" t="s">
        <v>332</v>
      </c>
      <c r="B191" s="687"/>
      <c r="C191" s="687"/>
      <c r="D191" s="687"/>
      <c r="E191" s="687"/>
      <c r="F191" s="687"/>
      <c r="G191" s="687"/>
      <c r="H191" s="687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  <c r="AA191" s="66"/>
      <c r="AB191" s="66"/>
      <c r="AC191" s="80"/>
    </row>
    <row r="192" spans="1:68" ht="27" customHeight="1">
      <c r="A192" s="63" t="s">
        <v>333</v>
      </c>
      <c r="B192" s="63" t="s">
        <v>334</v>
      </c>
      <c r="C192" s="36">
        <v>4301041009</v>
      </c>
      <c r="D192" s="688">
        <v>4680115889033</v>
      </c>
      <c r="E192" s="688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0"/>
      <c r="R192" s="690"/>
      <c r="S192" s="690"/>
      <c r="T192" s="691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>
      <c r="A193" s="696"/>
      <c r="B193" s="696"/>
      <c r="C193" s="696"/>
      <c r="D193" s="696"/>
      <c r="E193" s="696"/>
      <c r="F193" s="696"/>
      <c r="G193" s="696"/>
      <c r="H193" s="696"/>
      <c r="I193" s="696"/>
      <c r="J193" s="696"/>
      <c r="K193" s="696"/>
      <c r="L193" s="696"/>
      <c r="M193" s="696"/>
      <c r="N193" s="696"/>
      <c r="O193" s="697"/>
      <c r="P193" s="693" t="s">
        <v>40</v>
      </c>
      <c r="Q193" s="694"/>
      <c r="R193" s="694"/>
      <c r="S193" s="694"/>
      <c r="T193" s="694"/>
      <c r="U193" s="694"/>
      <c r="V193" s="695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>
      <c r="A194" s="696"/>
      <c r="B194" s="696"/>
      <c r="C194" s="696"/>
      <c r="D194" s="696"/>
      <c r="E194" s="696"/>
      <c r="F194" s="696"/>
      <c r="G194" s="696"/>
      <c r="H194" s="696"/>
      <c r="I194" s="696"/>
      <c r="J194" s="696"/>
      <c r="K194" s="696"/>
      <c r="L194" s="696"/>
      <c r="M194" s="696"/>
      <c r="N194" s="696"/>
      <c r="O194" s="697"/>
      <c r="P194" s="693" t="s">
        <v>40</v>
      </c>
      <c r="Q194" s="694"/>
      <c r="R194" s="694"/>
      <c r="S194" s="694"/>
      <c r="T194" s="694"/>
      <c r="U194" s="694"/>
      <c r="V194" s="695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>
      <c r="A195" s="685" t="s">
        <v>336</v>
      </c>
      <c r="B195" s="685"/>
      <c r="C195" s="685"/>
      <c r="D195" s="685"/>
      <c r="E195" s="685"/>
      <c r="F195" s="685"/>
      <c r="G195" s="685"/>
      <c r="H195" s="685"/>
      <c r="I195" s="685"/>
      <c r="J195" s="685"/>
      <c r="K195" s="685"/>
      <c r="L195" s="685"/>
      <c r="M195" s="685"/>
      <c r="N195" s="685"/>
      <c r="O195" s="685"/>
      <c r="P195" s="685"/>
      <c r="Q195" s="685"/>
      <c r="R195" s="685"/>
      <c r="S195" s="685"/>
      <c r="T195" s="685"/>
      <c r="U195" s="685"/>
      <c r="V195" s="685"/>
      <c r="W195" s="685"/>
      <c r="X195" s="685"/>
      <c r="Y195" s="685"/>
      <c r="Z195" s="685"/>
      <c r="AA195" s="54"/>
      <c r="AB195" s="54"/>
      <c r="AC195" s="54"/>
    </row>
    <row r="196" spans="1:68" ht="16.5" customHeight="1">
      <c r="A196" s="686" t="s">
        <v>337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6"/>
      <c r="N196" s="686"/>
      <c r="O196" s="686"/>
      <c r="P196" s="686"/>
      <c r="Q196" s="686"/>
      <c r="R196" s="686"/>
      <c r="S196" s="686"/>
      <c r="T196" s="686"/>
      <c r="U196" s="686"/>
      <c r="V196" s="686"/>
      <c r="W196" s="686"/>
      <c r="X196" s="686"/>
      <c r="Y196" s="686"/>
      <c r="Z196" s="686"/>
      <c r="AA196" s="65"/>
      <c r="AB196" s="65"/>
      <c r="AC196" s="79"/>
    </row>
    <row r="197" spans="1:68" ht="14.25" customHeight="1">
      <c r="A197" s="687" t="s">
        <v>129</v>
      </c>
      <c r="B197" s="687"/>
      <c r="C197" s="687"/>
      <c r="D197" s="687"/>
      <c r="E197" s="687"/>
      <c r="F197" s="687"/>
      <c r="G197" s="687"/>
      <c r="H197" s="687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  <c r="AA197" s="66"/>
      <c r="AB197" s="66"/>
      <c r="AC197" s="80"/>
    </row>
    <row r="198" spans="1:68" ht="27" customHeight="1">
      <c r="A198" s="63" t="s">
        <v>338</v>
      </c>
      <c r="B198" s="63" t="s">
        <v>339</v>
      </c>
      <c r="C198" s="36">
        <v>4301012340</v>
      </c>
      <c r="D198" s="688">
        <v>4680115888760</v>
      </c>
      <c r="E198" s="688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90"/>
      <c r="R198" s="690"/>
      <c r="S198" s="690"/>
      <c r="T198" s="691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customHeight="1">
      <c r="A199" s="63" t="s">
        <v>341</v>
      </c>
      <c r="B199" s="63" t="s">
        <v>342</v>
      </c>
      <c r="C199" s="36">
        <v>4301012341</v>
      </c>
      <c r="D199" s="688">
        <v>4680115888807</v>
      </c>
      <c r="E199" s="688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90"/>
      <c r="R199" s="690"/>
      <c r="S199" s="690"/>
      <c r="T199" s="691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customHeight="1">
      <c r="A200" s="63" t="s">
        <v>344</v>
      </c>
      <c r="B200" s="63" t="s">
        <v>345</v>
      </c>
      <c r="C200" s="36">
        <v>4301012342</v>
      </c>
      <c r="D200" s="688">
        <v>4680115888852</v>
      </c>
      <c r="E200" s="688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90"/>
      <c r="R200" s="690"/>
      <c r="S200" s="690"/>
      <c r="T200" s="691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>
      <c r="A201" s="63" t="s">
        <v>347</v>
      </c>
      <c r="B201" s="63" t="s">
        <v>348</v>
      </c>
      <c r="C201" s="36">
        <v>4301011223</v>
      </c>
      <c r="D201" s="688">
        <v>4607091383423</v>
      </c>
      <c r="E201" s="688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90"/>
      <c r="R201" s="690"/>
      <c r="S201" s="690"/>
      <c r="T201" s="691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customHeight="1">
      <c r="A202" s="63" t="s">
        <v>349</v>
      </c>
      <c r="B202" s="63" t="s">
        <v>350</v>
      </c>
      <c r="C202" s="36">
        <v>4301012370</v>
      </c>
      <c r="D202" s="688">
        <v>4680115886957</v>
      </c>
      <c r="E202" s="688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0"/>
      <c r="R202" s="690"/>
      <c r="S202" s="690"/>
      <c r="T202" s="691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customHeight="1">
      <c r="A203" s="63" t="s">
        <v>352</v>
      </c>
      <c r="B203" s="63" t="s">
        <v>353</v>
      </c>
      <c r="C203" s="36">
        <v>4301012098</v>
      </c>
      <c r="D203" s="688">
        <v>4680115885660</v>
      </c>
      <c r="E203" s="688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0"/>
      <c r="R203" s="690"/>
      <c r="S203" s="690"/>
      <c r="T203" s="691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>
      <c r="A204" s="63" t="s">
        <v>355</v>
      </c>
      <c r="B204" s="63" t="s">
        <v>356</v>
      </c>
      <c r="C204" s="36">
        <v>4301012369</v>
      </c>
      <c r="D204" s="688">
        <v>4680115886773</v>
      </c>
      <c r="E204" s="688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0"/>
      <c r="R204" s="690"/>
      <c r="S204" s="690"/>
      <c r="T204" s="691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>
      <c r="A205" s="696"/>
      <c r="B205" s="696"/>
      <c r="C205" s="696"/>
      <c r="D205" s="696"/>
      <c r="E205" s="696"/>
      <c r="F205" s="696"/>
      <c r="G205" s="696"/>
      <c r="H205" s="696"/>
      <c r="I205" s="696"/>
      <c r="J205" s="696"/>
      <c r="K205" s="696"/>
      <c r="L205" s="696"/>
      <c r="M205" s="696"/>
      <c r="N205" s="696"/>
      <c r="O205" s="697"/>
      <c r="P205" s="693" t="s">
        <v>40</v>
      </c>
      <c r="Q205" s="694"/>
      <c r="R205" s="694"/>
      <c r="S205" s="694"/>
      <c r="T205" s="694"/>
      <c r="U205" s="694"/>
      <c r="V205" s="695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>
      <c r="A206" s="696"/>
      <c r="B206" s="696"/>
      <c r="C206" s="696"/>
      <c r="D206" s="696"/>
      <c r="E206" s="696"/>
      <c r="F206" s="696"/>
      <c r="G206" s="696"/>
      <c r="H206" s="696"/>
      <c r="I206" s="696"/>
      <c r="J206" s="696"/>
      <c r="K206" s="696"/>
      <c r="L206" s="696"/>
      <c r="M206" s="696"/>
      <c r="N206" s="696"/>
      <c r="O206" s="697"/>
      <c r="P206" s="693" t="s">
        <v>40</v>
      </c>
      <c r="Q206" s="694"/>
      <c r="R206" s="694"/>
      <c r="S206" s="694"/>
      <c r="T206" s="694"/>
      <c r="U206" s="694"/>
      <c r="V206" s="695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>
      <c r="A207" s="686" t="s">
        <v>358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6"/>
      <c r="M207" s="686"/>
      <c r="N207" s="686"/>
      <c r="O207" s="686"/>
      <c r="P207" s="686"/>
      <c r="Q207" s="686"/>
      <c r="R207" s="686"/>
      <c r="S207" s="686"/>
      <c r="T207" s="686"/>
      <c r="U207" s="686"/>
      <c r="V207" s="686"/>
      <c r="W207" s="686"/>
      <c r="X207" s="686"/>
      <c r="Y207" s="686"/>
      <c r="Z207" s="686"/>
      <c r="AA207" s="65"/>
      <c r="AB207" s="65"/>
      <c r="AC207" s="79"/>
    </row>
    <row r="208" spans="1:68" ht="14.25" customHeight="1">
      <c r="A208" s="687" t="s">
        <v>166</v>
      </c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  <c r="AA208" s="66"/>
      <c r="AB208" s="66"/>
      <c r="AC208" s="80"/>
    </row>
    <row r="209" spans="1:68" ht="27" customHeight="1">
      <c r="A209" s="63" t="s">
        <v>359</v>
      </c>
      <c r="B209" s="63" t="s">
        <v>360</v>
      </c>
      <c r="C209" s="36">
        <v>4301020323</v>
      </c>
      <c r="D209" s="688">
        <v>4680115886223</v>
      </c>
      <c r="E209" s="688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0"/>
      <c r="R209" s="690"/>
      <c r="S209" s="690"/>
      <c r="T209" s="691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>
      <c r="A210" s="696"/>
      <c r="B210" s="696"/>
      <c r="C210" s="696"/>
      <c r="D210" s="696"/>
      <c r="E210" s="696"/>
      <c r="F210" s="696"/>
      <c r="G210" s="696"/>
      <c r="H210" s="696"/>
      <c r="I210" s="696"/>
      <c r="J210" s="696"/>
      <c r="K210" s="696"/>
      <c r="L210" s="696"/>
      <c r="M210" s="696"/>
      <c r="N210" s="696"/>
      <c r="O210" s="697"/>
      <c r="P210" s="693" t="s">
        <v>40</v>
      </c>
      <c r="Q210" s="694"/>
      <c r="R210" s="694"/>
      <c r="S210" s="694"/>
      <c r="T210" s="694"/>
      <c r="U210" s="694"/>
      <c r="V210" s="695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>
      <c r="A211" s="696"/>
      <c r="B211" s="696"/>
      <c r="C211" s="696"/>
      <c r="D211" s="696"/>
      <c r="E211" s="696"/>
      <c r="F211" s="696"/>
      <c r="G211" s="696"/>
      <c r="H211" s="696"/>
      <c r="I211" s="696"/>
      <c r="J211" s="696"/>
      <c r="K211" s="696"/>
      <c r="L211" s="696"/>
      <c r="M211" s="696"/>
      <c r="N211" s="696"/>
      <c r="O211" s="697"/>
      <c r="P211" s="693" t="s">
        <v>40</v>
      </c>
      <c r="Q211" s="694"/>
      <c r="R211" s="694"/>
      <c r="S211" s="694"/>
      <c r="T211" s="694"/>
      <c r="U211" s="694"/>
      <c r="V211" s="695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>
      <c r="A212" s="687" t="s">
        <v>77</v>
      </c>
      <c r="B212" s="687"/>
      <c r="C212" s="687"/>
      <c r="D212" s="687"/>
      <c r="E212" s="687"/>
      <c r="F212" s="687"/>
      <c r="G212" s="687"/>
      <c r="H212" s="687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  <c r="AA212" s="66"/>
      <c r="AB212" s="66"/>
      <c r="AC212" s="80"/>
    </row>
    <row r="213" spans="1:68" ht="27" customHeight="1">
      <c r="A213" s="63" t="s">
        <v>362</v>
      </c>
      <c r="B213" s="63" t="s">
        <v>363</v>
      </c>
      <c r="C213" s="36">
        <v>4301031191</v>
      </c>
      <c r="D213" s="688">
        <v>4680115880993</v>
      </c>
      <c r="E213" s="688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0"/>
      <c r="R213" s="690"/>
      <c r="S213" s="690"/>
      <c r="T213" s="691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customHeight="1">
      <c r="A214" s="63" t="s">
        <v>365</v>
      </c>
      <c r="B214" s="63" t="s">
        <v>366</v>
      </c>
      <c r="C214" s="36">
        <v>4301031204</v>
      </c>
      <c r="D214" s="688">
        <v>4680115881761</v>
      </c>
      <c r="E214" s="688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0"/>
      <c r="R214" s="690"/>
      <c r="S214" s="690"/>
      <c r="T214" s="691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>
      <c r="A215" s="63" t="s">
        <v>368</v>
      </c>
      <c r="B215" s="63" t="s">
        <v>369</v>
      </c>
      <c r="C215" s="36">
        <v>4301031201</v>
      </c>
      <c r="D215" s="688">
        <v>4680115881563</v>
      </c>
      <c r="E215" s="688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0"/>
      <c r="R215" s="690"/>
      <c r="S215" s="690"/>
      <c r="T215" s="691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customHeight="1">
      <c r="A216" s="63" t="s">
        <v>371</v>
      </c>
      <c r="B216" s="63" t="s">
        <v>372</v>
      </c>
      <c r="C216" s="36">
        <v>4301031447</v>
      </c>
      <c r="D216" s="688">
        <v>4680115887565</v>
      </c>
      <c r="E216" s="688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0"/>
      <c r="R216" s="690"/>
      <c r="S216" s="690"/>
      <c r="T216" s="691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>
      <c r="A217" s="63" t="s">
        <v>374</v>
      </c>
      <c r="B217" s="63" t="s">
        <v>375</v>
      </c>
      <c r="C217" s="36">
        <v>4301031199</v>
      </c>
      <c r="D217" s="688">
        <v>4680115880986</v>
      </c>
      <c r="E217" s="688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0"/>
      <c r="R217" s="690"/>
      <c r="S217" s="690"/>
      <c r="T217" s="691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>
      <c r="A218" s="63" t="s">
        <v>376</v>
      </c>
      <c r="B218" s="63" t="s">
        <v>377</v>
      </c>
      <c r="C218" s="36">
        <v>4301031443</v>
      </c>
      <c r="D218" s="688">
        <v>4680115887213</v>
      </c>
      <c r="E218" s="688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0"/>
      <c r="R218" s="690"/>
      <c r="S218" s="690"/>
      <c r="T218" s="691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>
      <c r="A219" s="63" t="s">
        <v>379</v>
      </c>
      <c r="B219" s="63" t="s">
        <v>380</v>
      </c>
      <c r="C219" s="36">
        <v>4301031205</v>
      </c>
      <c r="D219" s="688">
        <v>4680115881785</v>
      </c>
      <c r="E219" s="688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0"/>
      <c r="R219" s="690"/>
      <c r="S219" s="690"/>
      <c r="T219" s="691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>
      <c r="A220" s="63" t="s">
        <v>381</v>
      </c>
      <c r="B220" s="63" t="s">
        <v>382</v>
      </c>
      <c r="C220" s="36">
        <v>4301031499</v>
      </c>
      <c r="D220" s="688">
        <v>4680115888432</v>
      </c>
      <c r="E220" s="688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0"/>
      <c r="R220" s="690"/>
      <c r="S220" s="690"/>
      <c r="T220" s="69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>
      <c r="A221" s="63" t="s">
        <v>384</v>
      </c>
      <c r="B221" s="63" t="s">
        <v>385</v>
      </c>
      <c r="C221" s="36">
        <v>4301031427</v>
      </c>
      <c r="D221" s="688">
        <v>4680115888104</v>
      </c>
      <c r="E221" s="688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0"/>
      <c r="R221" s="690"/>
      <c r="S221" s="690"/>
      <c r="T221" s="69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>
      <c r="A222" s="63" t="s">
        <v>387</v>
      </c>
      <c r="B222" s="63" t="s">
        <v>388</v>
      </c>
      <c r="C222" s="36">
        <v>4301031399</v>
      </c>
      <c r="D222" s="688">
        <v>4680115886537</v>
      </c>
      <c r="E222" s="688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0"/>
      <c r="R222" s="690"/>
      <c r="S222" s="690"/>
      <c r="T222" s="69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>
      <c r="A223" s="63" t="s">
        <v>390</v>
      </c>
      <c r="B223" s="63" t="s">
        <v>391</v>
      </c>
      <c r="C223" s="36">
        <v>4301031279</v>
      </c>
      <c r="D223" s="688">
        <v>4680115887596</v>
      </c>
      <c r="E223" s="688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0"/>
      <c r="R223" s="690"/>
      <c r="S223" s="690"/>
      <c r="T223" s="69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>
      <c r="A224" s="63" t="s">
        <v>393</v>
      </c>
      <c r="B224" s="63" t="s">
        <v>394</v>
      </c>
      <c r="C224" s="36">
        <v>4301031202</v>
      </c>
      <c r="D224" s="688">
        <v>4680115881679</v>
      </c>
      <c r="E224" s="688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0"/>
      <c r="R224" s="690"/>
      <c r="S224" s="690"/>
      <c r="T224" s="69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>
      <c r="A225" s="63" t="s">
        <v>395</v>
      </c>
      <c r="B225" s="63" t="s">
        <v>396</v>
      </c>
      <c r="C225" s="36">
        <v>4301031158</v>
      </c>
      <c r="D225" s="688">
        <v>4680115880191</v>
      </c>
      <c r="E225" s="688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0"/>
      <c r="R225" s="690"/>
      <c r="S225" s="690"/>
      <c r="T225" s="69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>
      <c r="A226" s="63" t="s">
        <v>397</v>
      </c>
      <c r="B226" s="63" t="s">
        <v>398</v>
      </c>
      <c r="C226" s="36">
        <v>4301031245</v>
      </c>
      <c r="D226" s="688">
        <v>4680115883963</v>
      </c>
      <c r="E226" s="688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0"/>
      <c r="R226" s="690"/>
      <c r="S226" s="690"/>
      <c r="T226" s="69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>
      <c r="A227" s="696"/>
      <c r="B227" s="696"/>
      <c r="C227" s="696"/>
      <c r="D227" s="696"/>
      <c r="E227" s="696"/>
      <c r="F227" s="696"/>
      <c r="G227" s="696"/>
      <c r="H227" s="696"/>
      <c r="I227" s="696"/>
      <c r="J227" s="696"/>
      <c r="K227" s="696"/>
      <c r="L227" s="696"/>
      <c r="M227" s="696"/>
      <c r="N227" s="696"/>
      <c r="O227" s="697"/>
      <c r="P227" s="693" t="s">
        <v>40</v>
      </c>
      <c r="Q227" s="694"/>
      <c r="R227" s="694"/>
      <c r="S227" s="694"/>
      <c r="T227" s="694"/>
      <c r="U227" s="694"/>
      <c r="V227" s="695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>
      <c r="A228" s="696"/>
      <c r="B228" s="696"/>
      <c r="C228" s="696"/>
      <c r="D228" s="696"/>
      <c r="E228" s="696"/>
      <c r="F228" s="696"/>
      <c r="G228" s="696"/>
      <c r="H228" s="696"/>
      <c r="I228" s="696"/>
      <c r="J228" s="696"/>
      <c r="K228" s="696"/>
      <c r="L228" s="696"/>
      <c r="M228" s="696"/>
      <c r="N228" s="696"/>
      <c r="O228" s="697"/>
      <c r="P228" s="693" t="s">
        <v>40</v>
      </c>
      <c r="Q228" s="694"/>
      <c r="R228" s="694"/>
      <c r="S228" s="694"/>
      <c r="T228" s="694"/>
      <c r="U228" s="694"/>
      <c r="V228" s="695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>
      <c r="A229" s="687" t="s">
        <v>86</v>
      </c>
      <c r="B229" s="687"/>
      <c r="C229" s="687"/>
      <c r="D229" s="687"/>
      <c r="E229" s="687"/>
      <c r="F229" s="687"/>
      <c r="G229" s="687"/>
      <c r="H229" s="687"/>
      <c r="I229" s="687"/>
      <c r="J229" s="687"/>
      <c r="K229" s="687"/>
      <c r="L229" s="687"/>
      <c r="M229" s="687"/>
      <c r="N229" s="687"/>
      <c r="O229" s="687"/>
      <c r="P229" s="687"/>
      <c r="Q229" s="687"/>
      <c r="R229" s="687"/>
      <c r="S229" s="687"/>
      <c r="T229" s="687"/>
      <c r="U229" s="687"/>
      <c r="V229" s="687"/>
      <c r="W229" s="687"/>
      <c r="X229" s="687"/>
      <c r="Y229" s="687"/>
      <c r="Z229" s="687"/>
      <c r="AA229" s="66"/>
      <c r="AB229" s="66"/>
      <c r="AC229" s="80"/>
    </row>
    <row r="230" spans="1:68" ht="27" customHeight="1">
      <c r="A230" s="63" t="s">
        <v>400</v>
      </c>
      <c r="B230" s="63" t="s">
        <v>401</v>
      </c>
      <c r="C230" s="36">
        <v>4301052178</v>
      </c>
      <c r="D230" s="688">
        <v>4680115888975</v>
      </c>
      <c r="E230" s="688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0"/>
      <c r="R230" s="690"/>
      <c r="S230" s="690"/>
      <c r="T230" s="691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>
      <c r="A231" s="63" t="s">
        <v>403</v>
      </c>
      <c r="B231" s="63" t="s">
        <v>404</v>
      </c>
      <c r="C231" s="36">
        <v>4301052209</v>
      </c>
      <c r="D231" s="688">
        <v>4680115888692</v>
      </c>
      <c r="E231" s="688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0"/>
      <c r="R231" s="690"/>
      <c r="S231" s="690"/>
      <c r="T231" s="691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>
      <c r="A232" s="63" t="s">
        <v>406</v>
      </c>
      <c r="B232" s="63" t="s">
        <v>407</v>
      </c>
      <c r="C232" s="36">
        <v>4301052213</v>
      </c>
      <c r="D232" s="688">
        <v>4680115888722</v>
      </c>
      <c r="E232" s="688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0"/>
      <c r="R232" s="690"/>
      <c r="S232" s="690"/>
      <c r="T232" s="691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>
      <c r="A233" s="63" t="s">
        <v>409</v>
      </c>
      <c r="B233" s="63" t="s">
        <v>410</v>
      </c>
      <c r="C233" s="36">
        <v>4301052177</v>
      </c>
      <c r="D233" s="688">
        <v>4680115888951</v>
      </c>
      <c r="E233" s="688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0"/>
      <c r="R233" s="690"/>
      <c r="S233" s="690"/>
      <c r="T233" s="691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>
      <c r="A234" s="63" t="s">
        <v>412</v>
      </c>
      <c r="B234" s="63" t="s">
        <v>413</v>
      </c>
      <c r="C234" s="36">
        <v>4301052176</v>
      </c>
      <c r="D234" s="688">
        <v>4680115888982</v>
      </c>
      <c r="E234" s="688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0"/>
      <c r="R234" s="690"/>
      <c r="S234" s="690"/>
      <c r="T234" s="691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>
      <c r="A235" s="696"/>
      <c r="B235" s="696"/>
      <c r="C235" s="696"/>
      <c r="D235" s="696"/>
      <c r="E235" s="696"/>
      <c r="F235" s="696"/>
      <c r="G235" s="696"/>
      <c r="H235" s="696"/>
      <c r="I235" s="696"/>
      <c r="J235" s="696"/>
      <c r="K235" s="696"/>
      <c r="L235" s="696"/>
      <c r="M235" s="696"/>
      <c r="N235" s="696"/>
      <c r="O235" s="697"/>
      <c r="P235" s="693" t="s">
        <v>40</v>
      </c>
      <c r="Q235" s="694"/>
      <c r="R235" s="694"/>
      <c r="S235" s="694"/>
      <c r="T235" s="694"/>
      <c r="U235" s="694"/>
      <c r="V235" s="69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>
      <c r="A236" s="696"/>
      <c r="B236" s="696"/>
      <c r="C236" s="696"/>
      <c r="D236" s="696"/>
      <c r="E236" s="696"/>
      <c r="F236" s="696"/>
      <c r="G236" s="696"/>
      <c r="H236" s="696"/>
      <c r="I236" s="696"/>
      <c r="J236" s="696"/>
      <c r="K236" s="696"/>
      <c r="L236" s="696"/>
      <c r="M236" s="696"/>
      <c r="N236" s="696"/>
      <c r="O236" s="697"/>
      <c r="P236" s="693" t="s">
        <v>40</v>
      </c>
      <c r="Q236" s="694"/>
      <c r="R236" s="694"/>
      <c r="S236" s="694"/>
      <c r="T236" s="694"/>
      <c r="U236" s="694"/>
      <c r="V236" s="69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>
      <c r="A237" s="687" t="s">
        <v>104</v>
      </c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7"/>
      <c r="P237" s="687"/>
      <c r="Q237" s="687"/>
      <c r="R237" s="687"/>
      <c r="S237" s="687"/>
      <c r="T237" s="687"/>
      <c r="U237" s="687"/>
      <c r="V237" s="687"/>
      <c r="W237" s="687"/>
      <c r="X237" s="687"/>
      <c r="Y237" s="687"/>
      <c r="Z237" s="687"/>
      <c r="AA237" s="66"/>
      <c r="AB237" s="66"/>
      <c r="AC237" s="80"/>
    </row>
    <row r="238" spans="1:68" ht="27" customHeight="1">
      <c r="A238" s="63" t="s">
        <v>414</v>
      </c>
      <c r="B238" s="63" t="s">
        <v>415</v>
      </c>
      <c r="C238" s="36">
        <v>4301032053</v>
      </c>
      <c r="D238" s="688">
        <v>4680115886780</v>
      </c>
      <c r="E238" s="688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0"/>
      <c r="R238" s="690"/>
      <c r="S238" s="690"/>
      <c r="T238" s="69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>
      <c r="A239" s="63" t="s">
        <v>417</v>
      </c>
      <c r="B239" s="63" t="s">
        <v>418</v>
      </c>
      <c r="C239" s="36">
        <v>4301032051</v>
      </c>
      <c r="D239" s="688">
        <v>4680115886742</v>
      </c>
      <c r="E239" s="688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0"/>
      <c r="R239" s="690"/>
      <c r="S239" s="690"/>
      <c r="T239" s="69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>
      <c r="A240" s="63" t="s">
        <v>420</v>
      </c>
      <c r="B240" s="63" t="s">
        <v>421</v>
      </c>
      <c r="C240" s="36">
        <v>4301032052</v>
      </c>
      <c r="D240" s="688">
        <v>4680115886766</v>
      </c>
      <c r="E240" s="688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0"/>
      <c r="R240" s="690"/>
      <c r="S240" s="690"/>
      <c r="T240" s="69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>
      <c r="A241" s="696"/>
      <c r="B241" s="696"/>
      <c r="C241" s="696"/>
      <c r="D241" s="696"/>
      <c r="E241" s="696"/>
      <c r="F241" s="696"/>
      <c r="G241" s="696"/>
      <c r="H241" s="696"/>
      <c r="I241" s="696"/>
      <c r="J241" s="696"/>
      <c r="K241" s="696"/>
      <c r="L241" s="696"/>
      <c r="M241" s="696"/>
      <c r="N241" s="696"/>
      <c r="O241" s="697"/>
      <c r="P241" s="693" t="s">
        <v>40</v>
      </c>
      <c r="Q241" s="694"/>
      <c r="R241" s="694"/>
      <c r="S241" s="694"/>
      <c r="T241" s="694"/>
      <c r="U241" s="694"/>
      <c r="V241" s="69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>
      <c r="A242" s="696"/>
      <c r="B242" s="696"/>
      <c r="C242" s="696"/>
      <c r="D242" s="696"/>
      <c r="E242" s="696"/>
      <c r="F242" s="696"/>
      <c r="G242" s="696"/>
      <c r="H242" s="696"/>
      <c r="I242" s="696"/>
      <c r="J242" s="696"/>
      <c r="K242" s="696"/>
      <c r="L242" s="696"/>
      <c r="M242" s="696"/>
      <c r="N242" s="696"/>
      <c r="O242" s="697"/>
      <c r="P242" s="693" t="s">
        <v>40</v>
      </c>
      <c r="Q242" s="694"/>
      <c r="R242" s="694"/>
      <c r="S242" s="694"/>
      <c r="T242" s="694"/>
      <c r="U242" s="694"/>
      <c r="V242" s="69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>
      <c r="A243" s="687" t="s">
        <v>422</v>
      </c>
      <c r="B243" s="687"/>
      <c r="C243" s="687"/>
      <c r="D243" s="687"/>
      <c r="E243" s="687"/>
      <c r="F243" s="687"/>
      <c r="G243" s="687"/>
      <c r="H243" s="687"/>
      <c r="I243" s="687"/>
      <c r="J243" s="687"/>
      <c r="K243" s="687"/>
      <c r="L243" s="687"/>
      <c r="M243" s="687"/>
      <c r="N243" s="687"/>
      <c r="O243" s="687"/>
      <c r="P243" s="687"/>
      <c r="Q243" s="687"/>
      <c r="R243" s="687"/>
      <c r="S243" s="687"/>
      <c r="T243" s="687"/>
      <c r="U243" s="687"/>
      <c r="V243" s="687"/>
      <c r="W243" s="687"/>
      <c r="X243" s="687"/>
      <c r="Y243" s="687"/>
      <c r="Z243" s="687"/>
      <c r="AA243" s="66"/>
      <c r="AB243" s="66"/>
      <c r="AC243" s="80"/>
    </row>
    <row r="244" spans="1:68" ht="27" customHeight="1">
      <c r="A244" s="63" t="s">
        <v>423</v>
      </c>
      <c r="B244" s="63" t="s">
        <v>424</v>
      </c>
      <c r="C244" s="36">
        <v>4301170013</v>
      </c>
      <c r="D244" s="688">
        <v>4680115886797</v>
      </c>
      <c r="E244" s="68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0"/>
      <c r="R244" s="690"/>
      <c r="S244" s="690"/>
      <c r="T244" s="69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>
      <c r="A245" s="696"/>
      <c r="B245" s="696"/>
      <c r="C245" s="696"/>
      <c r="D245" s="696"/>
      <c r="E245" s="696"/>
      <c r="F245" s="696"/>
      <c r="G245" s="696"/>
      <c r="H245" s="696"/>
      <c r="I245" s="696"/>
      <c r="J245" s="696"/>
      <c r="K245" s="696"/>
      <c r="L245" s="696"/>
      <c r="M245" s="696"/>
      <c r="N245" s="696"/>
      <c r="O245" s="697"/>
      <c r="P245" s="693" t="s">
        <v>40</v>
      </c>
      <c r="Q245" s="694"/>
      <c r="R245" s="694"/>
      <c r="S245" s="694"/>
      <c r="T245" s="694"/>
      <c r="U245" s="694"/>
      <c r="V245" s="69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>
      <c r="A246" s="696"/>
      <c r="B246" s="696"/>
      <c r="C246" s="696"/>
      <c r="D246" s="696"/>
      <c r="E246" s="696"/>
      <c r="F246" s="696"/>
      <c r="G246" s="696"/>
      <c r="H246" s="696"/>
      <c r="I246" s="696"/>
      <c r="J246" s="696"/>
      <c r="K246" s="696"/>
      <c r="L246" s="696"/>
      <c r="M246" s="696"/>
      <c r="N246" s="696"/>
      <c r="O246" s="697"/>
      <c r="P246" s="693" t="s">
        <v>40</v>
      </c>
      <c r="Q246" s="694"/>
      <c r="R246" s="694"/>
      <c r="S246" s="694"/>
      <c r="T246" s="694"/>
      <c r="U246" s="694"/>
      <c r="V246" s="69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>
      <c r="A247" s="686" t="s">
        <v>425</v>
      </c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6"/>
      <c r="N247" s="686"/>
      <c r="O247" s="686"/>
      <c r="P247" s="686"/>
      <c r="Q247" s="686"/>
      <c r="R247" s="686"/>
      <c r="S247" s="686"/>
      <c r="T247" s="686"/>
      <c r="U247" s="686"/>
      <c r="V247" s="686"/>
      <c r="W247" s="686"/>
      <c r="X247" s="686"/>
      <c r="Y247" s="686"/>
      <c r="Z247" s="686"/>
      <c r="AA247" s="65"/>
      <c r="AB247" s="65"/>
      <c r="AC247" s="79"/>
    </row>
    <row r="248" spans="1:68" ht="14.25" customHeight="1">
      <c r="A248" s="687" t="s">
        <v>129</v>
      </c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7"/>
      <c r="P248" s="687"/>
      <c r="Q248" s="687"/>
      <c r="R248" s="687"/>
      <c r="S248" s="687"/>
      <c r="T248" s="687"/>
      <c r="U248" s="687"/>
      <c r="V248" s="687"/>
      <c r="W248" s="687"/>
      <c r="X248" s="687"/>
      <c r="Y248" s="687"/>
      <c r="Z248" s="687"/>
      <c r="AA248" s="66"/>
      <c r="AB248" s="66"/>
      <c r="AC248" s="80"/>
    </row>
    <row r="249" spans="1:68" ht="27" customHeight="1">
      <c r="A249" s="63" t="s">
        <v>426</v>
      </c>
      <c r="B249" s="63" t="s">
        <v>427</v>
      </c>
      <c r="C249" s="36">
        <v>4301011450</v>
      </c>
      <c r="D249" s="688">
        <v>4680115881402</v>
      </c>
      <c r="E249" s="688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0"/>
      <c r="R249" s="690"/>
      <c r="S249" s="690"/>
      <c r="T249" s="691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>
      <c r="A250" s="63" t="s">
        <v>429</v>
      </c>
      <c r="B250" s="63" t="s">
        <v>430</v>
      </c>
      <c r="C250" s="36">
        <v>4301011768</v>
      </c>
      <c r="D250" s="688">
        <v>4680115881396</v>
      </c>
      <c r="E250" s="688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0"/>
      <c r="R250" s="690"/>
      <c r="S250" s="690"/>
      <c r="T250" s="69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>
      <c r="A251" s="696"/>
      <c r="B251" s="696"/>
      <c r="C251" s="696"/>
      <c r="D251" s="696"/>
      <c r="E251" s="696"/>
      <c r="F251" s="696"/>
      <c r="G251" s="696"/>
      <c r="H251" s="696"/>
      <c r="I251" s="696"/>
      <c r="J251" s="696"/>
      <c r="K251" s="696"/>
      <c r="L251" s="696"/>
      <c r="M251" s="696"/>
      <c r="N251" s="696"/>
      <c r="O251" s="697"/>
      <c r="P251" s="693" t="s">
        <v>40</v>
      </c>
      <c r="Q251" s="694"/>
      <c r="R251" s="694"/>
      <c r="S251" s="694"/>
      <c r="T251" s="694"/>
      <c r="U251" s="694"/>
      <c r="V251" s="695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>
      <c r="A252" s="696"/>
      <c r="B252" s="696"/>
      <c r="C252" s="696"/>
      <c r="D252" s="696"/>
      <c r="E252" s="696"/>
      <c r="F252" s="696"/>
      <c r="G252" s="696"/>
      <c r="H252" s="696"/>
      <c r="I252" s="696"/>
      <c r="J252" s="696"/>
      <c r="K252" s="696"/>
      <c r="L252" s="696"/>
      <c r="M252" s="696"/>
      <c r="N252" s="696"/>
      <c r="O252" s="697"/>
      <c r="P252" s="693" t="s">
        <v>40</v>
      </c>
      <c r="Q252" s="694"/>
      <c r="R252" s="694"/>
      <c r="S252" s="694"/>
      <c r="T252" s="694"/>
      <c r="U252" s="694"/>
      <c r="V252" s="695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>
      <c r="A253" s="687" t="s">
        <v>166</v>
      </c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7"/>
      <c r="P253" s="687"/>
      <c r="Q253" s="687"/>
      <c r="R253" s="687"/>
      <c r="S253" s="687"/>
      <c r="T253" s="687"/>
      <c r="U253" s="687"/>
      <c r="V253" s="687"/>
      <c r="W253" s="687"/>
      <c r="X253" s="687"/>
      <c r="Y253" s="687"/>
      <c r="Z253" s="687"/>
      <c r="AA253" s="66"/>
      <c r="AB253" s="66"/>
      <c r="AC253" s="80"/>
    </row>
    <row r="254" spans="1:68" ht="16.5" customHeight="1">
      <c r="A254" s="63" t="s">
        <v>431</v>
      </c>
      <c r="B254" s="63" t="s">
        <v>432</v>
      </c>
      <c r="C254" s="36">
        <v>4301020261</v>
      </c>
      <c r="D254" s="688">
        <v>4680115882935</v>
      </c>
      <c r="E254" s="688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0"/>
      <c r="R254" s="690"/>
      <c r="S254" s="690"/>
      <c r="T254" s="691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>
      <c r="A255" s="63" t="s">
        <v>434</v>
      </c>
      <c r="B255" s="63" t="s">
        <v>435</v>
      </c>
      <c r="C255" s="36">
        <v>4301020220</v>
      </c>
      <c r="D255" s="688">
        <v>4680115880764</v>
      </c>
      <c r="E255" s="688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0"/>
      <c r="R255" s="690"/>
      <c r="S255" s="690"/>
      <c r="T255" s="69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>
      <c r="A256" s="696"/>
      <c r="B256" s="696"/>
      <c r="C256" s="696"/>
      <c r="D256" s="696"/>
      <c r="E256" s="696"/>
      <c r="F256" s="696"/>
      <c r="G256" s="696"/>
      <c r="H256" s="696"/>
      <c r="I256" s="696"/>
      <c r="J256" s="696"/>
      <c r="K256" s="696"/>
      <c r="L256" s="696"/>
      <c r="M256" s="696"/>
      <c r="N256" s="696"/>
      <c r="O256" s="697"/>
      <c r="P256" s="693" t="s">
        <v>40</v>
      </c>
      <c r="Q256" s="694"/>
      <c r="R256" s="694"/>
      <c r="S256" s="694"/>
      <c r="T256" s="694"/>
      <c r="U256" s="694"/>
      <c r="V256" s="695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>
      <c r="A257" s="696"/>
      <c r="B257" s="696"/>
      <c r="C257" s="696"/>
      <c r="D257" s="696"/>
      <c r="E257" s="696"/>
      <c r="F257" s="696"/>
      <c r="G257" s="696"/>
      <c r="H257" s="696"/>
      <c r="I257" s="696"/>
      <c r="J257" s="696"/>
      <c r="K257" s="696"/>
      <c r="L257" s="696"/>
      <c r="M257" s="696"/>
      <c r="N257" s="696"/>
      <c r="O257" s="697"/>
      <c r="P257" s="693" t="s">
        <v>40</v>
      </c>
      <c r="Q257" s="694"/>
      <c r="R257" s="694"/>
      <c r="S257" s="694"/>
      <c r="T257" s="694"/>
      <c r="U257" s="694"/>
      <c r="V257" s="695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>
      <c r="A258" s="687" t="s">
        <v>77</v>
      </c>
      <c r="B258" s="687"/>
      <c r="C258" s="687"/>
      <c r="D258" s="687"/>
      <c r="E258" s="687"/>
      <c r="F258" s="687"/>
      <c r="G258" s="687"/>
      <c r="H258" s="687"/>
      <c r="I258" s="687"/>
      <c r="J258" s="687"/>
      <c r="K258" s="687"/>
      <c r="L258" s="687"/>
      <c r="M258" s="687"/>
      <c r="N258" s="687"/>
      <c r="O258" s="687"/>
      <c r="P258" s="687"/>
      <c r="Q258" s="687"/>
      <c r="R258" s="687"/>
      <c r="S258" s="687"/>
      <c r="T258" s="687"/>
      <c r="U258" s="687"/>
      <c r="V258" s="687"/>
      <c r="W258" s="687"/>
      <c r="X258" s="687"/>
      <c r="Y258" s="687"/>
      <c r="Z258" s="687"/>
      <c r="AA258" s="66"/>
      <c r="AB258" s="66"/>
      <c r="AC258" s="80"/>
    </row>
    <row r="259" spans="1:68" ht="27" customHeight="1">
      <c r="A259" s="63" t="s">
        <v>436</v>
      </c>
      <c r="B259" s="63" t="s">
        <v>437</v>
      </c>
      <c r="C259" s="36">
        <v>4301031224</v>
      </c>
      <c r="D259" s="688">
        <v>4680115882683</v>
      </c>
      <c r="E259" s="688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0"/>
      <c r="R259" s="690"/>
      <c r="S259" s="690"/>
      <c r="T259" s="691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2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0</v>
      </c>
      <c r="BN259" s="78">
        <f t="shared" ref="BN259:BN266" si="34">IFERROR(Y259*I259/H259,"0")</f>
        <v>0</v>
      </c>
      <c r="BO259" s="78">
        <f t="shared" ref="BO259:BO266" si="35">IFERROR(1/J259*(X259/H259),"0")</f>
        <v>0</v>
      </c>
      <c r="BP259" s="78">
        <f t="shared" ref="BP259:BP266" si="36">IFERROR(1/J259*(Y259/H259),"0")</f>
        <v>0</v>
      </c>
    </row>
    <row r="260" spans="1:68" ht="27" customHeight="1">
      <c r="A260" s="63" t="s">
        <v>439</v>
      </c>
      <c r="B260" s="63" t="s">
        <v>440</v>
      </c>
      <c r="C260" s="36">
        <v>4301031230</v>
      </c>
      <c r="D260" s="688">
        <v>4680115882690</v>
      </c>
      <c r="E260" s="688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0"/>
      <c r="R260" s="690"/>
      <c r="S260" s="690"/>
      <c r="T260" s="691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>
      <c r="A261" s="63" t="s">
        <v>442</v>
      </c>
      <c r="B261" s="63" t="s">
        <v>443</v>
      </c>
      <c r="C261" s="36">
        <v>4301031220</v>
      </c>
      <c r="D261" s="688">
        <v>4680115882669</v>
      </c>
      <c r="E261" s="688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0"/>
      <c r="R261" s="690"/>
      <c r="S261" s="690"/>
      <c r="T261" s="691"/>
      <c r="U261" s="39" t="s">
        <v>46</v>
      </c>
      <c r="V261" s="39" t="s">
        <v>46</v>
      </c>
      <c r="W261" s="40" t="s">
        <v>0</v>
      </c>
      <c r="X261" s="58">
        <v>100</v>
      </c>
      <c r="Y261" s="55">
        <f t="shared" si="32"/>
        <v>102.60000000000001</v>
      </c>
      <c r="Z261" s="41">
        <f>IFERROR(IF(Y261=0,"",ROUNDUP(Y261/H261,0)*0.00902),"")</f>
        <v>0.17138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103.5185185185185</v>
      </c>
      <c r="BN261" s="78">
        <f t="shared" si="34"/>
        <v>106.21</v>
      </c>
      <c r="BO261" s="78">
        <f t="shared" si="35"/>
        <v>0.14029180695847362</v>
      </c>
      <c r="BP261" s="78">
        <f t="shared" si="36"/>
        <v>0.14393939393939395</v>
      </c>
    </row>
    <row r="262" spans="1:68" ht="27" customHeight="1">
      <c r="A262" s="63" t="s">
        <v>445</v>
      </c>
      <c r="B262" s="63" t="s">
        <v>446</v>
      </c>
      <c r="C262" s="36">
        <v>4301031221</v>
      </c>
      <c r="D262" s="688">
        <v>4680115882676</v>
      </c>
      <c r="E262" s="688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0"/>
      <c r="R262" s="690"/>
      <c r="S262" s="690"/>
      <c r="T262" s="691"/>
      <c r="U262" s="39" t="s">
        <v>46</v>
      </c>
      <c r="V262" s="39" t="s">
        <v>46</v>
      </c>
      <c r="W262" s="40" t="s">
        <v>0</v>
      </c>
      <c r="X262" s="58">
        <v>100</v>
      </c>
      <c r="Y262" s="55">
        <f t="shared" si="32"/>
        <v>102.60000000000001</v>
      </c>
      <c r="Z262" s="41">
        <f>IFERROR(IF(Y262=0,"",ROUNDUP(Y262/H262,0)*0.00902),"")</f>
        <v>0.17138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103.5185185185185</v>
      </c>
      <c r="BN262" s="78">
        <f t="shared" si="34"/>
        <v>106.21</v>
      </c>
      <c r="BO262" s="78">
        <f t="shared" si="35"/>
        <v>0.14029180695847362</v>
      </c>
      <c r="BP262" s="78">
        <f t="shared" si="36"/>
        <v>0.14393939393939395</v>
      </c>
    </row>
    <row r="263" spans="1:68" ht="27" customHeight="1">
      <c r="A263" s="63" t="s">
        <v>448</v>
      </c>
      <c r="B263" s="63" t="s">
        <v>449</v>
      </c>
      <c r="C263" s="36">
        <v>4301031223</v>
      </c>
      <c r="D263" s="688">
        <v>4680115884014</v>
      </c>
      <c r="E263" s="688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0"/>
      <c r="R263" s="690"/>
      <c r="S263" s="690"/>
      <c r="T263" s="691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customHeight="1">
      <c r="A264" s="63" t="s">
        <v>450</v>
      </c>
      <c r="B264" s="63" t="s">
        <v>451</v>
      </c>
      <c r="C264" s="36">
        <v>4301031222</v>
      </c>
      <c r="D264" s="688">
        <v>4680115884007</v>
      </c>
      <c r="E264" s="688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0"/>
      <c r="R264" s="690"/>
      <c r="S264" s="690"/>
      <c r="T264" s="691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customHeight="1">
      <c r="A265" s="63" t="s">
        <v>452</v>
      </c>
      <c r="B265" s="63" t="s">
        <v>453</v>
      </c>
      <c r="C265" s="36">
        <v>4301031229</v>
      </c>
      <c r="D265" s="688">
        <v>4680115884038</v>
      </c>
      <c r="E265" s="688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0"/>
      <c r="R265" s="690"/>
      <c r="S265" s="690"/>
      <c r="T265" s="69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customHeight="1">
      <c r="A266" s="63" t="s">
        <v>454</v>
      </c>
      <c r="B266" s="63" t="s">
        <v>455</v>
      </c>
      <c r="C266" s="36">
        <v>4301031225</v>
      </c>
      <c r="D266" s="688">
        <v>4680115884021</v>
      </c>
      <c r="E266" s="688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0"/>
      <c r="R266" s="690"/>
      <c r="S266" s="690"/>
      <c r="T266" s="69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>
      <c r="A267" s="696"/>
      <c r="B267" s="696"/>
      <c r="C267" s="696"/>
      <c r="D267" s="696"/>
      <c r="E267" s="696"/>
      <c r="F267" s="696"/>
      <c r="G267" s="696"/>
      <c r="H267" s="696"/>
      <c r="I267" s="696"/>
      <c r="J267" s="696"/>
      <c r="K267" s="696"/>
      <c r="L267" s="696"/>
      <c r="M267" s="696"/>
      <c r="N267" s="696"/>
      <c r="O267" s="697"/>
      <c r="P267" s="693" t="s">
        <v>40</v>
      </c>
      <c r="Q267" s="694"/>
      <c r="R267" s="694"/>
      <c r="S267" s="694"/>
      <c r="T267" s="694"/>
      <c r="U267" s="694"/>
      <c r="V267" s="695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37.037037037037038</v>
      </c>
      <c r="Y267" s="43">
        <f>IFERROR(Y259/H259,"0")+IFERROR(Y260/H260,"0")+IFERROR(Y261/H261,"0")+IFERROR(Y262/H262,"0")+IFERROR(Y263/H263,"0")+IFERROR(Y264/H264,"0")+IFERROR(Y265/H265,"0")+IFERROR(Y266/H266,"0")</f>
        <v>38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0.34276000000000001</v>
      </c>
      <c r="AA267" s="67"/>
      <c r="AB267" s="67"/>
      <c r="AC267" s="67"/>
    </row>
    <row r="268" spans="1:68">
      <c r="A268" s="696"/>
      <c r="B268" s="696"/>
      <c r="C268" s="696"/>
      <c r="D268" s="696"/>
      <c r="E268" s="696"/>
      <c r="F268" s="696"/>
      <c r="G268" s="696"/>
      <c r="H268" s="696"/>
      <c r="I268" s="696"/>
      <c r="J268" s="696"/>
      <c r="K268" s="696"/>
      <c r="L268" s="696"/>
      <c r="M268" s="696"/>
      <c r="N268" s="696"/>
      <c r="O268" s="697"/>
      <c r="P268" s="693" t="s">
        <v>40</v>
      </c>
      <c r="Q268" s="694"/>
      <c r="R268" s="694"/>
      <c r="S268" s="694"/>
      <c r="T268" s="694"/>
      <c r="U268" s="694"/>
      <c r="V268" s="695"/>
      <c r="W268" s="42" t="s">
        <v>0</v>
      </c>
      <c r="X268" s="43">
        <f>IFERROR(SUM(X259:X266),"0")</f>
        <v>200</v>
      </c>
      <c r="Y268" s="43">
        <f>IFERROR(SUM(Y259:Y266),"0")</f>
        <v>205.20000000000002</v>
      </c>
      <c r="Z268" s="42"/>
      <c r="AA268" s="67"/>
      <c r="AB268" s="67"/>
      <c r="AC268" s="67"/>
    </row>
    <row r="269" spans="1:68" ht="14.25" customHeight="1">
      <c r="A269" s="687" t="s">
        <v>86</v>
      </c>
      <c r="B269" s="687"/>
      <c r="C269" s="687"/>
      <c r="D269" s="687"/>
      <c r="E269" s="687"/>
      <c r="F269" s="687"/>
      <c r="G269" s="687"/>
      <c r="H269" s="687"/>
      <c r="I269" s="687"/>
      <c r="J269" s="687"/>
      <c r="K269" s="687"/>
      <c r="L269" s="687"/>
      <c r="M269" s="687"/>
      <c r="N269" s="687"/>
      <c r="O269" s="687"/>
      <c r="P269" s="687"/>
      <c r="Q269" s="687"/>
      <c r="R269" s="687"/>
      <c r="S269" s="687"/>
      <c r="T269" s="687"/>
      <c r="U269" s="687"/>
      <c r="V269" s="687"/>
      <c r="W269" s="687"/>
      <c r="X269" s="687"/>
      <c r="Y269" s="687"/>
      <c r="Z269" s="687"/>
      <c r="AA269" s="66"/>
      <c r="AB269" s="66"/>
      <c r="AC269" s="80"/>
    </row>
    <row r="270" spans="1:68" ht="27" customHeight="1">
      <c r="A270" s="63" t="s">
        <v>456</v>
      </c>
      <c r="B270" s="63" t="s">
        <v>457</v>
      </c>
      <c r="C270" s="36">
        <v>4301051408</v>
      </c>
      <c r="D270" s="688">
        <v>4680115881594</v>
      </c>
      <c r="E270" s="688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0"/>
      <c r="R270" s="690"/>
      <c r="S270" s="690"/>
      <c r="T270" s="69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customHeight="1">
      <c r="A271" s="63" t="s">
        <v>459</v>
      </c>
      <c r="B271" s="63" t="s">
        <v>460</v>
      </c>
      <c r="C271" s="36">
        <v>4301051411</v>
      </c>
      <c r="D271" s="688">
        <v>4680115881617</v>
      </c>
      <c r="E271" s="688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0"/>
      <c r="R271" s="690"/>
      <c r="S271" s="690"/>
      <c r="T271" s="69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>
      <c r="A272" s="63" t="s">
        <v>462</v>
      </c>
      <c r="B272" s="63" t="s">
        <v>463</v>
      </c>
      <c r="C272" s="36">
        <v>4301051656</v>
      </c>
      <c r="D272" s="688">
        <v>4680115880573</v>
      </c>
      <c r="E272" s="688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0"/>
      <c r="R272" s="690"/>
      <c r="S272" s="690"/>
      <c r="T272" s="69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>
      <c r="A273" s="63" t="s">
        <v>465</v>
      </c>
      <c r="B273" s="63" t="s">
        <v>466</v>
      </c>
      <c r="C273" s="36">
        <v>4301051407</v>
      </c>
      <c r="D273" s="688">
        <v>4680115882195</v>
      </c>
      <c r="E273" s="688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0"/>
      <c r="R273" s="690"/>
      <c r="S273" s="690"/>
      <c r="T273" s="691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customHeight="1">
      <c r="A274" s="63" t="s">
        <v>467</v>
      </c>
      <c r="B274" s="63" t="s">
        <v>468</v>
      </c>
      <c r="C274" s="36">
        <v>4301051752</v>
      </c>
      <c r="D274" s="688">
        <v>4680115882607</v>
      </c>
      <c r="E274" s="688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0"/>
      <c r="R274" s="690"/>
      <c r="S274" s="690"/>
      <c r="T274" s="691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>
      <c r="A275" s="63" t="s">
        <v>469</v>
      </c>
      <c r="B275" s="63" t="s">
        <v>470</v>
      </c>
      <c r="C275" s="36">
        <v>4301052143</v>
      </c>
      <c r="D275" s="688">
        <v>4680115882607</v>
      </c>
      <c r="E275" s="688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0"/>
      <c r="R275" s="690"/>
      <c r="S275" s="690"/>
      <c r="T275" s="691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>
      <c r="A276" s="63" t="s">
        <v>472</v>
      </c>
      <c r="B276" s="63" t="s">
        <v>473</v>
      </c>
      <c r="C276" s="36">
        <v>4301051666</v>
      </c>
      <c r="D276" s="688">
        <v>4680115880092</v>
      </c>
      <c r="E276" s="688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0"/>
      <c r="R276" s="690"/>
      <c r="S276" s="690"/>
      <c r="T276" s="691"/>
      <c r="U276" s="39" t="s">
        <v>46</v>
      </c>
      <c r="V276" s="39" t="s">
        <v>46</v>
      </c>
      <c r="W276" s="40" t="s">
        <v>0</v>
      </c>
      <c r="X276" s="58">
        <v>4</v>
      </c>
      <c r="Y276" s="55">
        <f t="shared" si="37"/>
        <v>4.8</v>
      </c>
      <c r="Z276" s="41">
        <f>IFERROR(IF(Y276=0,"",ROUNDUP(Y276/H276,0)*0.00651),"")</f>
        <v>1.302E-2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4.4200000000000008</v>
      </c>
      <c r="BN276" s="78">
        <f t="shared" si="39"/>
        <v>5.3040000000000003</v>
      </c>
      <c r="BO276" s="78">
        <f t="shared" si="40"/>
        <v>9.1575091575091579E-3</v>
      </c>
      <c r="BP276" s="78">
        <f t="shared" si="41"/>
        <v>1.098901098901099E-2</v>
      </c>
    </row>
    <row r="277" spans="1:68" ht="27" customHeight="1">
      <c r="A277" s="63" t="s">
        <v>474</v>
      </c>
      <c r="B277" s="63" t="s">
        <v>475</v>
      </c>
      <c r="C277" s="36">
        <v>4301052214</v>
      </c>
      <c r="D277" s="688">
        <v>4680115889064</v>
      </c>
      <c r="E277" s="688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0"/>
      <c r="R277" s="690"/>
      <c r="S277" s="690"/>
      <c r="T277" s="69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customHeight="1">
      <c r="A278" s="63" t="s">
        <v>476</v>
      </c>
      <c r="B278" s="63" t="s">
        <v>477</v>
      </c>
      <c r="C278" s="36">
        <v>4301051668</v>
      </c>
      <c r="D278" s="688">
        <v>4680115880221</v>
      </c>
      <c r="E278" s="688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0"/>
      <c r="R278" s="690"/>
      <c r="S278" s="690"/>
      <c r="T278" s="69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>
      <c r="A279" s="63" t="s">
        <v>478</v>
      </c>
      <c r="B279" s="63" t="s">
        <v>479</v>
      </c>
      <c r="C279" s="36">
        <v>4301051945</v>
      </c>
      <c r="D279" s="688">
        <v>4680115880504</v>
      </c>
      <c r="E279" s="68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0"/>
      <c r="R279" s="690"/>
      <c r="S279" s="690"/>
      <c r="T279" s="691"/>
      <c r="U279" s="39" t="s">
        <v>46</v>
      </c>
      <c r="V279" s="39" t="s">
        <v>46</v>
      </c>
      <c r="W279" s="40" t="s">
        <v>0</v>
      </c>
      <c r="X279" s="58">
        <v>4</v>
      </c>
      <c r="Y279" s="55">
        <f t="shared" si="37"/>
        <v>4.8</v>
      </c>
      <c r="Z279" s="41">
        <f>IFERROR(IF(Y279=0,"",ROUNDUP(Y279/H279,0)*0.00651),"")</f>
        <v>1.302E-2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4.4200000000000008</v>
      </c>
      <c r="BN279" s="78">
        <f t="shared" si="39"/>
        <v>5.3040000000000003</v>
      </c>
      <c r="BO279" s="78">
        <f t="shared" si="40"/>
        <v>9.1575091575091579E-3</v>
      </c>
      <c r="BP279" s="78">
        <f t="shared" si="41"/>
        <v>1.098901098901099E-2</v>
      </c>
    </row>
    <row r="280" spans="1:68" ht="27" customHeight="1">
      <c r="A280" s="63" t="s">
        <v>481</v>
      </c>
      <c r="B280" s="63" t="s">
        <v>482</v>
      </c>
      <c r="C280" s="36">
        <v>4301051410</v>
      </c>
      <c r="D280" s="688">
        <v>4680115882164</v>
      </c>
      <c r="E280" s="688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0"/>
      <c r="R280" s="690"/>
      <c r="S280" s="690"/>
      <c r="T280" s="691"/>
      <c r="U280" s="39" t="s">
        <v>46</v>
      </c>
      <c r="V280" s="39" t="s">
        <v>46</v>
      </c>
      <c r="W280" s="40" t="s">
        <v>0</v>
      </c>
      <c r="X280" s="58">
        <v>4</v>
      </c>
      <c r="Y280" s="55">
        <f t="shared" si="37"/>
        <v>4.8</v>
      </c>
      <c r="Z280" s="41">
        <f>IFERROR(IF(Y280=0,"",ROUNDUP(Y280/H280,0)*0.00651),"")</f>
        <v>1.302E-2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4.43</v>
      </c>
      <c r="BN280" s="78">
        <f t="shared" si="39"/>
        <v>5.3159999999999998</v>
      </c>
      <c r="BO280" s="78">
        <f t="shared" si="40"/>
        <v>9.1575091575091579E-3</v>
      </c>
      <c r="BP280" s="78">
        <f t="shared" si="41"/>
        <v>1.098901098901099E-2</v>
      </c>
    </row>
    <row r="281" spans="1:68" ht="27" customHeight="1">
      <c r="A281" s="63" t="s">
        <v>484</v>
      </c>
      <c r="B281" s="63" t="s">
        <v>485</v>
      </c>
      <c r="C281" s="36">
        <v>4301052180</v>
      </c>
      <c r="D281" s="688">
        <v>4680115888340</v>
      </c>
      <c r="E281" s="688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0"/>
      <c r="R281" s="690"/>
      <c r="S281" s="690"/>
      <c r="T281" s="69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>
      <c r="A282" s="696"/>
      <c r="B282" s="696"/>
      <c r="C282" s="696"/>
      <c r="D282" s="696"/>
      <c r="E282" s="696"/>
      <c r="F282" s="696"/>
      <c r="G282" s="696"/>
      <c r="H282" s="696"/>
      <c r="I282" s="696"/>
      <c r="J282" s="696"/>
      <c r="K282" s="696"/>
      <c r="L282" s="696"/>
      <c r="M282" s="696"/>
      <c r="N282" s="696"/>
      <c r="O282" s="697"/>
      <c r="P282" s="693" t="s">
        <v>40</v>
      </c>
      <c r="Q282" s="694"/>
      <c r="R282" s="694"/>
      <c r="S282" s="694"/>
      <c r="T282" s="694"/>
      <c r="U282" s="694"/>
      <c r="V282" s="695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5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6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3.9059999999999997E-2</v>
      </c>
      <c r="AA282" s="67"/>
      <c r="AB282" s="67"/>
      <c r="AC282" s="67"/>
    </row>
    <row r="283" spans="1:68">
      <c r="A283" s="696"/>
      <c r="B283" s="696"/>
      <c r="C283" s="696"/>
      <c r="D283" s="696"/>
      <c r="E283" s="696"/>
      <c r="F283" s="696"/>
      <c r="G283" s="696"/>
      <c r="H283" s="696"/>
      <c r="I283" s="696"/>
      <c r="J283" s="696"/>
      <c r="K283" s="696"/>
      <c r="L283" s="696"/>
      <c r="M283" s="696"/>
      <c r="N283" s="696"/>
      <c r="O283" s="697"/>
      <c r="P283" s="693" t="s">
        <v>40</v>
      </c>
      <c r="Q283" s="694"/>
      <c r="R283" s="694"/>
      <c r="S283" s="694"/>
      <c r="T283" s="694"/>
      <c r="U283" s="694"/>
      <c r="V283" s="695"/>
      <c r="W283" s="42" t="s">
        <v>0</v>
      </c>
      <c r="X283" s="43">
        <f>IFERROR(SUM(X270:X281),"0")</f>
        <v>12</v>
      </c>
      <c r="Y283" s="43">
        <f>IFERROR(SUM(Y270:Y281),"0")</f>
        <v>14.399999999999999</v>
      </c>
      <c r="Z283" s="42"/>
      <c r="AA283" s="67"/>
      <c r="AB283" s="67"/>
      <c r="AC283" s="67"/>
    </row>
    <row r="284" spans="1:68" ht="14.25" customHeight="1">
      <c r="A284" s="687" t="s">
        <v>183</v>
      </c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7"/>
      <c r="P284" s="687"/>
      <c r="Q284" s="687"/>
      <c r="R284" s="687"/>
      <c r="S284" s="687"/>
      <c r="T284" s="687"/>
      <c r="U284" s="687"/>
      <c r="V284" s="687"/>
      <c r="W284" s="687"/>
      <c r="X284" s="687"/>
      <c r="Y284" s="687"/>
      <c r="Z284" s="687"/>
      <c r="AA284" s="66"/>
      <c r="AB284" s="66"/>
      <c r="AC284" s="80"/>
    </row>
    <row r="285" spans="1:68" ht="27" customHeight="1">
      <c r="A285" s="63" t="s">
        <v>487</v>
      </c>
      <c r="B285" s="63" t="s">
        <v>488</v>
      </c>
      <c r="C285" s="36">
        <v>4301060463</v>
      </c>
      <c r="D285" s="688">
        <v>4680115880818</v>
      </c>
      <c r="E285" s="68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0"/>
      <c r="R285" s="690"/>
      <c r="S285" s="690"/>
      <c r="T285" s="691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>
      <c r="A286" s="63" t="s">
        <v>490</v>
      </c>
      <c r="B286" s="63" t="s">
        <v>491</v>
      </c>
      <c r="C286" s="36">
        <v>4301060389</v>
      </c>
      <c r="D286" s="688">
        <v>4680115880801</v>
      </c>
      <c r="E286" s="688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0"/>
      <c r="R286" s="690"/>
      <c r="S286" s="690"/>
      <c r="T286" s="691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>
      <c r="A287" s="696"/>
      <c r="B287" s="696"/>
      <c r="C287" s="696"/>
      <c r="D287" s="696"/>
      <c r="E287" s="696"/>
      <c r="F287" s="696"/>
      <c r="G287" s="696"/>
      <c r="H287" s="696"/>
      <c r="I287" s="696"/>
      <c r="J287" s="696"/>
      <c r="K287" s="696"/>
      <c r="L287" s="696"/>
      <c r="M287" s="696"/>
      <c r="N287" s="696"/>
      <c r="O287" s="697"/>
      <c r="P287" s="693" t="s">
        <v>40</v>
      </c>
      <c r="Q287" s="694"/>
      <c r="R287" s="694"/>
      <c r="S287" s="694"/>
      <c r="T287" s="694"/>
      <c r="U287" s="694"/>
      <c r="V287" s="695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>
      <c r="A288" s="696"/>
      <c r="B288" s="696"/>
      <c r="C288" s="696"/>
      <c r="D288" s="696"/>
      <c r="E288" s="696"/>
      <c r="F288" s="696"/>
      <c r="G288" s="696"/>
      <c r="H288" s="696"/>
      <c r="I288" s="696"/>
      <c r="J288" s="696"/>
      <c r="K288" s="696"/>
      <c r="L288" s="696"/>
      <c r="M288" s="696"/>
      <c r="N288" s="696"/>
      <c r="O288" s="697"/>
      <c r="P288" s="693" t="s">
        <v>40</v>
      </c>
      <c r="Q288" s="694"/>
      <c r="R288" s="694"/>
      <c r="S288" s="694"/>
      <c r="T288" s="694"/>
      <c r="U288" s="694"/>
      <c r="V288" s="695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>
      <c r="A289" s="686" t="s">
        <v>493</v>
      </c>
      <c r="B289" s="686"/>
      <c r="C289" s="686"/>
      <c r="D289" s="686"/>
      <c r="E289" s="686"/>
      <c r="F289" s="686"/>
      <c r="G289" s="686"/>
      <c r="H289" s="686"/>
      <c r="I289" s="686"/>
      <c r="J289" s="686"/>
      <c r="K289" s="686"/>
      <c r="L289" s="686"/>
      <c r="M289" s="686"/>
      <c r="N289" s="686"/>
      <c r="O289" s="686"/>
      <c r="P289" s="686"/>
      <c r="Q289" s="686"/>
      <c r="R289" s="686"/>
      <c r="S289" s="686"/>
      <c r="T289" s="686"/>
      <c r="U289" s="686"/>
      <c r="V289" s="686"/>
      <c r="W289" s="686"/>
      <c r="X289" s="686"/>
      <c r="Y289" s="686"/>
      <c r="Z289" s="686"/>
      <c r="AA289" s="65"/>
      <c r="AB289" s="65"/>
      <c r="AC289" s="79"/>
    </row>
    <row r="290" spans="1:68" ht="14.25" customHeight="1">
      <c r="A290" s="687" t="s">
        <v>129</v>
      </c>
      <c r="B290" s="687"/>
      <c r="C290" s="687"/>
      <c r="D290" s="687"/>
      <c r="E290" s="687"/>
      <c r="F290" s="687"/>
      <c r="G290" s="687"/>
      <c r="H290" s="687"/>
      <c r="I290" s="687"/>
      <c r="J290" s="687"/>
      <c r="K290" s="687"/>
      <c r="L290" s="687"/>
      <c r="M290" s="687"/>
      <c r="N290" s="687"/>
      <c r="O290" s="687"/>
      <c r="P290" s="687"/>
      <c r="Q290" s="687"/>
      <c r="R290" s="687"/>
      <c r="S290" s="687"/>
      <c r="T290" s="687"/>
      <c r="U290" s="687"/>
      <c r="V290" s="687"/>
      <c r="W290" s="687"/>
      <c r="X290" s="687"/>
      <c r="Y290" s="687"/>
      <c r="Z290" s="687"/>
      <c r="AA290" s="66"/>
      <c r="AB290" s="66"/>
      <c r="AC290" s="80"/>
    </row>
    <row r="291" spans="1:68" ht="27" customHeight="1">
      <c r="A291" s="63" t="s">
        <v>494</v>
      </c>
      <c r="B291" s="63" t="s">
        <v>495</v>
      </c>
      <c r="C291" s="36">
        <v>4301011826</v>
      </c>
      <c r="D291" s="688">
        <v>4680115884137</v>
      </c>
      <c r="E291" s="688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0"/>
      <c r="R291" s="690"/>
      <c r="S291" s="690"/>
      <c r="T291" s="691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customHeight="1">
      <c r="A292" s="63" t="s">
        <v>497</v>
      </c>
      <c r="B292" s="63" t="s">
        <v>498</v>
      </c>
      <c r="C292" s="36">
        <v>4301011724</v>
      </c>
      <c r="D292" s="688">
        <v>4680115884236</v>
      </c>
      <c r="E292" s="688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0"/>
      <c r="R292" s="690"/>
      <c r="S292" s="690"/>
      <c r="T292" s="691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>
      <c r="A293" s="63" t="s">
        <v>500</v>
      </c>
      <c r="B293" s="63" t="s">
        <v>501</v>
      </c>
      <c r="C293" s="36">
        <v>4301011721</v>
      </c>
      <c r="D293" s="688">
        <v>4680115884175</v>
      </c>
      <c r="E293" s="688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0"/>
      <c r="R293" s="690"/>
      <c r="S293" s="690"/>
      <c r="T293" s="691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customHeight="1">
      <c r="A294" s="63" t="s">
        <v>502</v>
      </c>
      <c r="B294" s="63" t="s">
        <v>503</v>
      </c>
      <c r="C294" s="36">
        <v>4301011824</v>
      </c>
      <c r="D294" s="688">
        <v>4680115884144</v>
      </c>
      <c r="E294" s="688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0"/>
      <c r="R294" s="690"/>
      <c r="S294" s="690"/>
      <c r="T294" s="691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customHeight="1">
      <c r="A295" s="63" t="s">
        <v>504</v>
      </c>
      <c r="B295" s="63" t="s">
        <v>505</v>
      </c>
      <c r="C295" s="36">
        <v>4301012149</v>
      </c>
      <c r="D295" s="688">
        <v>4680115886551</v>
      </c>
      <c r="E295" s="688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0"/>
      <c r="R295" s="690"/>
      <c r="S295" s="690"/>
      <c r="T295" s="691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customHeight="1">
      <c r="A296" s="63" t="s">
        <v>507</v>
      </c>
      <c r="B296" s="63" t="s">
        <v>508</v>
      </c>
      <c r="C296" s="36">
        <v>4301012228</v>
      </c>
      <c r="D296" s="688">
        <v>4680115887282</v>
      </c>
      <c r="E296" s="688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0"/>
      <c r="R296" s="690"/>
      <c r="S296" s="690"/>
      <c r="T296" s="691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>
      <c r="A297" s="63" t="s">
        <v>510</v>
      </c>
      <c r="B297" s="63" t="s">
        <v>511</v>
      </c>
      <c r="C297" s="36">
        <v>4301011722</v>
      </c>
      <c r="D297" s="688">
        <v>4680115884205</v>
      </c>
      <c r="E297" s="688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0"/>
      <c r="R297" s="690"/>
      <c r="S297" s="690"/>
      <c r="T297" s="69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>
      <c r="A298" s="696"/>
      <c r="B298" s="696"/>
      <c r="C298" s="696"/>
      <c r="D298" s="696"/>
      <c r="E298" s="696"/>
      <c r="F298" s="696"/>
      <c r="G298" s="696"/>
      <c r="H298" s="696"/>
      <c r="I298" s="696"/>
      <c r="J298" s="696"/>
      <c r="K298" s="696"/>
      <c r="L298" s="696"/>
      <c r="M298" s="696"/>
      <c r="N298" s="696"/>
      <c r="O298" s="697"/>
      <c r="P298" s="693" t="s">
        <v>40</v>
      </c>
      <c r="Q298" s="694"/>
      <c r="R298" s="694"/>
      <c r="S298" s="694"/>
      <c r="T298" s="694"/>
      <c r="U298" s="694"/>
      <c r="V298" s="695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>
      <c r="A299" s="696"/>
      <c r="B299" s="696"/>
      <c r="C299" s="696"/>
      <c r="D299" s="696"/>
      <c r="E299" s="696"/>
      <c r="F299" s="696"/>
      <c r="G299" s="696"/>
      <c r="H299" s="696"/>
      <c r="I299" s="696"/>
      <c r="J299" s="696"/>
      <c r="K299" s="696"/>
      <c r="L299" s="696"/>
      <c r="M299" s="696"/>
      <c r="N299" s="696"/>
      <c r="O299" s="697"/>
      <c r="P299" s="693" t="s">
        <v>40</v>
      </c>
      <c r="Q299" s="694"/>
      <c r="R299" s="694"/>
      <c r="S299" s="694"/>
      <c r="T299" s="694"/>
      <c r="U299" s="694"/>
      <c r="V299" s="695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>
      <c r="A300" s="687" t="s">
        <v>166</v>
      </c>
      <c r="B300" s="687"/>
      <c r="C300" s="687"/>
      <c r="D300" s="687"/>
      <c r="E300" s="687"/>
      <c r="F300" s="687"/>
      <c r="G300" s="687"/>
      <c r="H300" s="687"/>
      <c r="I300" s="687"/>
      <c r="J300" s="687"/>
      <c r="K300" s="687"/>
      <c r="L300" s="687"/>
      <c r="M300" s="687"/>
      <c r="N300" s="687"/>
      <c r="O300" s="687"/>
      <c r="P300" s="687"/>
      <c r="Q300" s="687"/>
      <c r="R300" s="687"/>
      <c r="S300" s="687"/>
      <c r="T300" s="687"/>
      <c r="U300" s="687"/>
      <c r="V300" s="687"/>
      <c r="W300" s="687"/>
      <c r="X300" s="687"/>
      <c r="Y300" s="687"/>
      <c r="Z300" s="687"/>
      <c r="AA300" s="66"/>
      <c r="AB300" s="66"/>
      <c r="AC300" s="80"/>
    </row>
    <row r="301" spans="1:68" ht="27" customHeight="1">
      <c r="A301" s="63" t="s">
        <v>512</v>
      </c>
      <c r="B301" s="63" t="s">
        <v>513</v>
      </c>
      <c r="C301" s="36">
        <v>4301020377</v>
      </c>
      <c r="D301" s="688">
        <v>4680115885981</v>
      </c>
      <c r="E301" s="688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0"/>
      <c r="R301" s="690"/>
      <c r="S301" s="690"/>
      <c r="T301" s="691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>
      <c r="A302" s="696"/>
      <c r="B302" s="696"/>
      <c r="C302" s="696"/>
      <c r="D302" s="696"/>
      <c r="E302" s="696"/>
      <c r="F302" s="696"/>
      <c r="G302" s="696"/>
      <c r="H302" s="696"/>
      <c r="I302" s="696"/>
      <c r="J302" s="696"/>
      <c r="K302" s="696"/>
      <c r="L302" s="696"/>
      <c r="M302" s="696"/>
      <c r="N302" s="696"/>
      <c r="O302" s="697"/>
      <c r="P302" s="693" t="s">
        <v>40</v>
      </c>
      <c r="Q302" s="694"/>
      <c r="R302" s="694"/>
      <c r="S302" s="694"/>
      <c r="T302" s="694"/>
      <c r="U302" s="694"/>
      <c r="V302" s="695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>
      <c r="A303" s="696"/>
      <c r="B303" s="696"/>
      <c r="C303" s="696"/>
      <c r="D303" s="696"/>
      <c r="E303" s="696"/>
      <c r="F303" s="696"/>
      <c r="G303" s="696"/>
      <c r="H303" s="696"/>
      <c r="I303" s="696"/>
      <c r="J303" s="696"/>
      <c r="K303" s="696"/>
      <c r="L303" s="696"/>
      <c r="M303" s="696"/>
      <c r="N303" s="696"/>
      <c r="O303" s="697"/>
      <c r="P303" s="693" t="s">
        <v>40</v>
      </c>
      <c r="Q303" s="694"/>
      <c r="R303" s="694"/>
      <c r="S303" s="694"/>
      <c r="T303" s="694"/>
      <c r="U303" s="694"/>
      <c r="V303" s="695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>
      <c r="A304" s="687" t="s">
        <v>515</v>
      </c>
      <c r="B304" s="687"/>
      <c r="C304" s="687"/>
      <c r="D304" s="687"/>
      <c r="E304" s="687"/>
      <c r="F304" s="687"/>
      <c r="G304" s="687"/>
      <c r="H304" s="687"/>
      <c r="I304" s="687"/>
      <c r="J304" s="687"/>
      <c r="K304" s="687"/>
      <c r="L304" s="687"/>
      <c r="M304" s="687"/>
      <c r="N304" s="687"/>
      <c r="O304" s="687"/>
      <c r="P304" s="687"/>
      <c r="Q304" s="687"/>
      <c r="R304" s="687"/>
      <c r="S304" s="687"/>
      <c r="T304" s="687"/>
      <c r="U304" s="687"/>
      <c r="V304" s="687"/>
      <c r="W304" s="687"/>
      <c r="X304" s="687"/>
      <c r="Y304" s="687"/>
      <c r="Z304" s="687"/>
      <c r="AA304" s="66"/>
      <c r="AB304" s="66"/>
      <c r="AC304" s="80"/>
    </row>
    <row r="305" spans="1:68" ht="27" customHeight="1">
      <c r="A305" s="63" t="s">
        <v>516</v>
      </c>
      <c r="B305" s="63" t="s">
        <v>517</v>
      </c>
      <c r="C305" s="36">
        <v>4301040362</v>
      </c>
      <c r="D305" s="688">
        <v>4680115886803</v>
      </c>
      <c r="E305" s="688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0"/>
      <c r="R305" s="690"/>
      <c r="S305" s="690"/>
      <c r="T305" s="691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>
      <c r="A306" s="696"/>
      <c r="B306" s="696"/>
      <c r="C306" s="696"/>
      <c r="D306" s="696"/>
      <c r="E306" s="696"/>
      <c r="F306" s="696"/>
      <c r="G306" s="696"/>
      <c r="H306" s="696"/>
      <c r="I306" s="696"/>
      <c r="J306" s="696"/>
      <c r="K306" s="696"/>
      <c r="L306" s="696"/>
      <c r="M306" s="696"/>
      <c r="N306" s="696"/>
      <c r="O306" s="697"/>
      <c r="P306" s="693" t="s">
        <v>40</v>
      </c>
      <c r="Q306" s="694"/>
      <c r="R306" s="694"/>
      <c r="S306" s="694"/>
      <c r="T306" s="694"/>
      <c r="U306" s="694"/>
      <c r="V306" s="695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>
      <c r="A307" s="696"/>
      <c r="B307" s="696"/>
      <c r="C307" s="696"/>
      <c r="D307" s="696"/>
      <c r="E307" s="696"/>
      <c r="F307" s="696"/>
      <c r="G307" s="696"/>
      <c r="H307" s="696"/>
      <c r="I307" s="696"/>
      <c r="J307" s="696"/>
      <c r="K307" s="696"/>
      <c r="L307" s="696"/>
      <c r="M307" s="696"/>
      <c r="N307" s="696"/>
      <c r="O307" s="697"/>
      <c r="P307" s="693" t="s">
        <v>40</v>
      </c>
      <c r="Q307" s="694"/>
      <c r="R307" s="694"/>
      <c r="S307" s="694"/>
      <c r="T307" s="694"/>
      <c r="U307" s="694"/>
      <c r="V307" s="695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>
      <c r="A308" s="687" t="s">
        <v>332</v>
      </c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7"/>
      <c r="P308" s="687"/>
      <c r="Q308" s="687"/>
      <c r="R308" s="687"/>
      <c r="S308" s="687"/>
      <c r="T308" s="687"/>
      <c r="U308" s="687"/>
      <c r="V308" s="687"/>
      <c r="W308" s="687"/>
      <c r="X308" s="687"/>
      <c r="Y308" s="687"/>
      <c r="Z308" s="687"/>
      <c r="AA308" s="66"/>
      <c r="AB308" s="66"/>
      <c r="AC308" s="80"/>
    </row>
    <row r="309" spans="1:68" ht="27" customHeight="1">
      <c r="A309" s="63" t="s">
        <v>519</v>
      </c>
      <c r="B309" s="63" t="s">
        <v>520</v>
      </c>
      <c r="C309" s="36">
        <v>4301041004</v>
      </c>
      <c r="D309" s="688">
        <v>4680115886704</v>
      </c>
      <c r="E309" s="688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0"/>
      <c r="R309" s="690"/>
      <c r="S309" s="690"/>
      <c r="T309" s="691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>
      <c r="A310" s="63" t="s">
        <v>522</v>
      </c>
      <c r="B310" s="63" t="s">
        <v>523</v>
      </c>
      <c r="C310" s="36">
        <v>4301041008</v>
      </c>
      <c r="D310" s="688">
        <v>4680115886681</v>
      </c>
      <c r="E310" s="688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0"/>
      <c r="R310" s="690"/>
      <c r="S310" s="690"/>
      <c r="T310" s="691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>
      <c r="A311" s="63" t="s">
        <v>524</v>
      </c>
      <c r="B311" s="63" t="s">
        <v>525</v>
      </c>
      <c r="C311" s="36">
        <v>4301041007</v>
      </c>
      <c r="D311" s="688">
        <v>4680115886735</v>
      </c>
      <c r="E311" s="688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0"/>
      <c r="R311" s="690"/>
      <c r="S311" s="690"/>
      <c r="T311" s="69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>
      <c r="A312" s="696"/>
      <c r="B312" s="696"/>
      <c r="C312" s="696"/>
      <c r="D312" s="696"/>
      <c r="E312" s="696"/>
      <c r="F312" s="696"/>
      <c r="G312" s="696"/>
      <c r="H312" s="696"/>
      <c r="I312" s="696"/>
      <c r="J312" s="696"/>
      <c r="K312" s="696"/>
      <c r="L312" s="696"/>
      <c r="M312" s="696"/>
      <c r="N312" s="696"/>
      <c r="O312" s="697"/>
      <c r="P312" s="693" t="s">
        <v>40</v>
      </c>
      <c r="Q312" s="694"/>
      <c r="R312" s="694"/>
      <c r="S312" s="694"/>
      <c r="T312" s="694"/>
      <c r="U312" s="694"/>
      <c r="V312" s="695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>
      <c r="A313" s="696"/>
      <c r="B313" s="696"/>
      <c r="C313" s="696"/>
      <c r="D313" s="696"/>
      <c r="E313" s="696"/>
      <c r="F313" s="696"/>
      <c r="G313" s="696"/>
      <c r="H313" s="696"/>
      <c r="I313" s="696"/>
      <c r="J313" s="696"/>
      <c r="K313" s="696"/>
      <c r="L313" s="696"/>
      <c r="M313" s="696"/>
      <c r="N313" s="696"/>
      <c r="O313" s="697"/>
      <c r="P313" s="693" t="s">
        <v>40</v>
      </c>
      <c r="Q313" s="694"/>
      <c r="R313" s="694"/>
      <c r="S313" s="694"/>
      <c r="T313" s="694"/>
      <c r="U313" s="694"/>
      <c r="V313" s="695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>
      <c r="A314" s="686" t="s">
        <v>526</v>
      </c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6"/>
      <c r="N314" s="686"/>
      <c r="O314" s="686"/>
      <c r="P314" s="686"/>
      <c r="Q314" s="686"/>
      <c r="R314" s="686"/>
      <c r="S314" s="686"/>
      <c r="T314" s="686"/>
      <c r="U314" s="686"/>
      <c r="V314" s="686"/>
      <c r="W314" s="686"/>
      <c r="X314" s="686"/>
      <c r="Y314" s="686"/>
      <c r="Z314" s="686"/>
      <c r="AA314" s="65"/>
      <c r="AB314" s="65"/>
      <c r="AC314" s="79"/>
    </row>
    <row r="315" spans="1:68" ht="14.25" customHeight="1">
      <c r="A315" s="687" t="s">
        <v>129</v>
      </c>
      <c r="B315" s="687"/>
      <c r="C315" s="687"/>
      <c r="D315" s="687"/>
      <c r="E315" s="687"/>
      <c r="F315" s="687"/>
      <c r="G315" s="687"/>
      <c r="H315" s="687"/>
      <c r="I315" s="687"/>
      <c r="J315" s="687"/>
      <c r="K315" s="687"/>
      <c r="L315" s="687"/>
      <c r="M315" s="687"/>
      <c r="N315" s="687"/>
      <c r="O315" s="687"/>
      <c r="P315" s="687"/>
      <c r="Q315" s="687"/>
      <c r="R315" s="687"/>
      <c r="S315" s="687"/>
      <c r="T315" s="687"/>
      <c r="U315" s="687"/>
      <c r="V315" s="687"/>
      <c r="W315" s="687"/>
      <c r="X315" s="687"/>
      <c r="Y315" s="687"/>
      <c r="Z315" s="687"/>
      <c r="AA315" s="66"/>
      <c r="AB315" s="66"/>
      <c r="AC315" s="80"/>
    </row>
    <row r="316" spans="1:68" ht="27" customHeight="1">
      <c r="A316" s="63" t="s">
        <v>527</v>
      </c>
      <c r="B316" s="63" t="s">
        <v>528</v>
      </c>
      <c r="C316" s="36">
        <v>4301011855</v>
      </c>
      <c r="D316" s="688">
        <v>4680115885837</v>
      </c>
      <c r="E316" s="688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0"/>
      <c r="R316" s="690"/>
      <c r="S316" s="690"/>
      <c r="T316" s="691"/>
      <c r="U316" s="39" t="s">
        <v>46</v>
      </c>
      <c r="V316" s="39" t="s">
        <v>46</v>
      </c>
      <c r="W316" s="40" t="s">
        <v>0</v>
      </c>
      <c r="X316" s="58">
        <v>100</v>
      </c>
      <c r="Y316" s="55">
        <f>IFERROR(IF(X316="",0,CEILING((X316/$H316),1)*$H316),"")</f>
        <v>108</v>
      </c>
      <c r="Z316" s="41">
        <f>IFERROR(IF(Y316=0,"",ROUNDUP(Y316/H316,0)*0.01898),"")</f>
        <v>0.1898</v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103.79629629629629</v>
      </c>
      <c r="BN316" s="78">
        <f>IFERROR(Y316*I316/H316,"0")</f>
        <v>112.1</v>
      </c>
      <c r="BO316" s="78">
        <f>IFERROR(1/J316*(X316/H316),"0")</f>
        <v>0.14467592592592593</v>
      </c>
      <c r="BP316" s="78">
        <f>IFERROR(1/J316*(Y316/H316),"0")</f>
        <v>0.15625</v>
      </c>
    </row>
    <row r="317" spans="1:68" ht="37.5" customHeight="1">
      <c r="A317" s="63" t="s">
        <v>530</v>
      </c>
      <c r="B317" s="63" t="s">
        <v>531</v>
      </c>
      <c r="C317" s="36">
        <v>4301012234</v>
      </c>
      <c r="D317" s="688">
        <v>4680115887237</v>
      </c>
      <c r="E317" s="688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0"/>
      <c r="R317" s="690"/>
      <c r="S317" s="690"/>
      <c r="T317" s="69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>
      <c r="A318" s="63" t="s">
        <v>533</v>
      </c>
      <c r="B318" s="63" t="s">
        <v>534</v>
      </c>
      <c r="C318" s="36">
        <v>4301011850</v>
      </c>
      <c r="D318" s="688">
        <v>4680115885806</v>
      </c>
      <c r="E318" s="688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0"/>
      <c r="R318" s="690"/>
      <c r="S318" s="690"/>
      <c r="T318" s="69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>
      <c r="A319" s="63" t="s">
        <v>536</v>
      </c>
      <c r="B319" s="63" t="s">
        <v>537</v>
      </c>
      <c r="C319" s="36">
        <v>4301011852</v>
      </c>
      <c r="D319" s="688">
        <v>4680115885844</v>
      </c>
      <c r="E319" s="688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0"/>
      <c r="R319" s="690"/>
      <c r="S319" s="690"/>
      <c r="T319" s="691"/>
      <c r="U319" s="39" t="s">
        <v>46</v>
      </c>
      <c r="V319" s="39" t="s">
        <v>46</v>
      </c>
      <c r="W319" s="40" t="s">
        <v>0</v>
      </c>
      <c r="X319" s="58">
        <v>40</v>
      </c>
      <c r="Y319" s="55">
        <f>IFERROR(IF(X319="",0,CEILING((X319/$H319),1)*$H319),"")</f>
        <v>40</v>
      </c>
      <c r="Z319" s="41">
        <f>IFERROR(IF(Y319=0,"",ROUNDUP(Y319/H319,0)*0.00902),"")</f>
        <v>9.0200000000000002E-2</v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41.900000000000006</v>
      </c>
      <c r="BN319" s="78">
        <f>IFERROR(Y319*I319/H319,"0")</f>
        <v>41.900000000000006</v>
      </c>
      <c r="BO319" s="78">
        <f>IFERROR(1/J319*(X319/H319),"0")</f>
        <v>7.575757575757576E-2</v>
      </c>
      <c r="BP319" s="78">
        <f>IFERROR(1/J319*(Y319/H319),"0")</f>
        <v>7.575757575757576E-2</v>
      </c>
    </row>
    <row r="320" spans="1:68" ht="37.5" customHeight="1">
      <c r="A320" s="63" t="s">
        <v>539</v>
      </c>
      <c r="B320" s="63" t="s">
        <v>540</v>
      </c>
      <c r="C320" s="36">
        <v>4301011851</v>
      </c>
      <c r="D320" s="688">
        <v>4680115885820</v>
      </c>
      <c r="E320" s="688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0"/>
      <c r="R320" s="690"/>
      <c r="S320" s="690"/>
      <c r="T320" s="691"/>
      <c r="U320" s="39" t="s">
        <v>46</v>
      </c>
      <c r="V320" s="39" t="s">
        <v>46</v>
      </c>
      <c r="W320" s="40" t="s">
        <v>0</v>
      </c>
      <c r="X320" s="58">
        <v>80</v>
      </c>
      <c r="Y320" s="55">
        <f>IFERROR(IF(X320="",0,CEILING((X320/$H320),1)*$H320),"")</f>
        <v>80</v>
      </c>
      <c r="Z320" s="41">
        <f>IFERROR(IF(Y320=0,"",ROUNDUP(Y320/H320,0)*0.00902),"")</f>
        <v>0.1804</v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83.800000000000011</v>
      </c>
      <c r="BN320" s="78">
        <f>IFERROR(Y320*I320/H320,"0")</f>
        <v>83.800000000000011</v>
      </c>
      <c r="BO320" s="78">
        <f>IFERROR(1/J320*(X320/H320),"0")</f>
        <v>0.15151515151515152</v>
      </c>
      <c r="BP320" s="78">
        <f>IFERROR(1/J320*(Y320/H320),"0")</f>
        <v>0.15151515151515152</v>
      </c>
    </row>
    <row r="321" spans="1:68">
      <c r="A321" s="696"/>
      <c r="B321" s="696"/>
      <c r="C321" s="696"/>
      <c r="D321" s="696"/>
      <c r="E321" s="696"/>
      <c r="F321" s="696"/>
      <c r="G321" s="696"/>
      <c r="H321" s="696"/>
      <c r="I321" s="696"/>
      <c r="J321" s="696"/>
      <c r="K321" s="696"/>
      <c r="L321" s="696"/>
      <c r="M321" s="696"/>
      <c r="N321" s="696"/>
      <c r="O321" s="697"/>
      <c r="P321" s="693" t="s">
        <v>40</v>
      </c>
      <c r="Q321" s="694"/>
      <c r="R321" s="694"/>
      <c r="S321" s="694"/>
      <c r="T321" s="694"/>
      <c r="U321" s="694"/>
      <c r="V321" s="695"/>
      <c r="W321" s="42" t="s">
        <v>39</v>
      </c>
      <c r="X321" s="43">
        <f>IFERROR(X316/H316,"0")+IFERROR(X317/H317,"0")+IFERROR(X318/H318,"0")+IFERROR(X319/H319,"0")+IFERROR(X320/H320,"0")</f>
        <v>39.25925925925926</v>
      </c>
      <c r="Y321" s="43">
        <f>IFERROR(Y316/H316,"0")+IFERROR(Y317/H317,"0")+IFERROR(Y318/H318,"0")+IFERROR(Y319/H319,"0")+IFERROR(Y320/H320,"0")</f>
        <v>40</v>
      </c>
      <c r="Z321" s="43">
        <f>IFERROR(IF(Z316="",0,Z316),"0")+IFERROR(IF(Z317="",0,Z317),"0")+IFERROR(IF(Z318="",0,Z318),"0")+IFERROR(IF(Z319="",0,Z319),"0")+IFERROR(IF(Z320="",0,Z320),"0")</f>
        <v>0.46040000000000003</v>
      </c>
      <c r="AA321" s="67"/>
      <c r="AB321" s="67"/>
      <c r="AC321" s="67"/>
    </row>
    <row r="322" spans="1:68">
      <c r="A322" s="696"/>
      <c r="B322" s="696"/>
      <c r="C322" s="696"/>
      <c r="D322" s="696"/>
      <c r="E322" s="696"/>
      <c r="F322" s="696"/>
      <c r="G322" s="696"/>
      <c r="H322" s="696"/>
      <c r="I322" s="696"/>
      <c r="J322" s="696"/>
      <c r="K322" s="696"/>
      <c r="L322" s="696"/>
      <c r="M322" s="696"/>
      <c r="N322" s="696"/>
      <c r="O322" s="697"/>
      <c r="P322" s="693" t="s">
        <v>40</v>
      </c>
      <c r="Q322" s="694"/>
      <c r="R322" s="694"/>
      <c r="S322" s="694"/>
      <c r="T322" s="694"/>
      <c r="U322" s="694"/>
      <c r="V322" s="695"/>
      <c r="W322" s="42" t="s">
        <v>0</v>
      </c>
      <c r="X322" s="43">
        <f>IFERROR(SUM(X316:X320),"0")</f>
        <v>220</v>
      </c>
      <c r="Y322" s="43">
        <f>IFERROR(SUM(Y316:Y320),"0")</f>
        <v>228</v>
      </c>
      <c r="Z322" s="42"/>
      <c r="AA322" s="67"/>
      <c r="AB322" s="67"/>
      <c r="AC322" s="67"/>
    </row>
    <row r="323" spans="1:68" ht="16.5" customHeight="1">
      <c r="A323" s="686" t="s">
        <v>542</v>
      </c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6"/>
      <c r="N323" s="686"/>
      <c r="O323" s="686"/>
      <c r="P323" s="686"/>
      <c r="Q323" s="686"/>
      <c r="R323" s="686"/>
      <c r="S323" s="686"/>
      <c r="T323" s="686"/>
      <c r="U323" s="686"/>
      <c r="V323" s="686"/>
      <c r="W323" s="686"/>
      <c r="X323" s="686"/>
      <c r="Y323" s="686"/>
      <c r="Z323" s="686"/>
      <c r="AA323" s="65"/>
      <c r="AB323" s="65"/>
      <c r="AC323" s="79"/>
    </row>
    <row r="324" spans="1:68" ht="14.25" customHeight="1">
      <c r="A324" s="687" t="s">
        <v>86</v>
      </c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7"/>
      <c r="P324" s="687"/>
      <c r="Q324" s="687"/>
      <c r="R324" s="687"/>
      <c r="S324" s="687"/>
      <c r="T324" s="687"/>
      <c r="U324" s="687"/>
      <c r="V324" s="687"/>
      <c r="W324" s="687"/>
      <c r="X324" s="687"/>
      <c r="Y324" s="687"/>
      <c r="Z324" s="687"/>
      <c r="AA324" s="66"/>
      <c r="AB324" s="66"/>
      <c r="AC324" s="80"/>
    </row>
    <row r="325" spans="1:68" ht="27" customHeight="1">
      <c r="A325" s="63" t="s">
        <v>543</v>
      </c>
      <c r="B325" s="63" t="s">
        <v>544</v>
      </c>
      <c r="C325" s="36">
        <v>4301051893</v>
      </c>
      <c r="D325" s="688">
        <v>4680115886186</v>
      </c>
      <c r="E325" s="688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0"/>
      <c r="R325" s="690"/>
      <c r="S325" s="690"/>
      <c r="T325" s="691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>
      <c r="A326" s="63" t="s">
        <v>546</v>
      </c>
      <c r="B326" s="63" t="s">
        <v>547</v>
      </c>
      <c r="C326" s="36">
        <v>4301051795</v>
      </c>
      <c r="D326" s="688">
        <v>4680115881228</v>
      </c>
      <c r="E326" s="688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0"/>
      <c r="R326" s="690"/>
      <c r="S326" s="690"/>
      <c r="T326" s="691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>
      <c r="A327" s="63" t="s">
        <v>549</v>
      </c>
      <c r="B327" s="63" t="s">
        <v>550</v>
      </c>
      <c r="C327" s="36">
        <v>4301051388</v>
      </c>
      <c r="D327" s="688">
        <v>4680115881211</v>
      </c>
      <c r="E327" s="688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0"/>
      <c r="R327" s="690"/>
      <c r="S327" s="690"/>
      <c r="T327" s="691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>
      <c r="A328" s="696"/>
      <c r="B328" s="696"/>
      <c r="C328" s="696"/>
      <c r="D328" s="696"/>
      <c r="E328" s="696"/>
      <c r="F328" s="696"/>
      <c r="G328" s="696"/>
      <c r="H328" s="696"/>
      <c r="I328" s="696"/>
      <c r="J328" s="696"/>
      <c r="K328" s="696"/>
      <c r="L328" s="696"/>
      <c r="M328" s="696"/>
      <c r="N328" s="696"/>
      <c r="O328" s="697"/>
      <c r="P328" s="693" t="s">
        <v>40</v>
      </c>
      <c r="Q328" s="694"/>
      <c r="R328" s="694"/>
      <c r="S328" s="694"/>
      <c r="T328" s="694"/>
      <c r="U328" s="694"/>
      <c r="V328" s="695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>
      <c r="A329" s="696"/>
      <c r="B329" s="696"/>
      <c r="C329" s="696"/>
      <c r="D329" s="696"/>
      <c r="E329" s="696"/>
      <c r="F329" s="696"/>
      <c r="G329" s="696"/>
      <c r="H329" s="696"/>
      <c r="I329" s="696"/>
      <c r="J329" s="696"/>
      <c r="K329" s="696"/>
      <c r="L329" s="696"/>
      <c r="M329" s="696"/>
      <c r="N329" s="696"/>
      <c r="O329" s="697"/>
      <c r="P329" s="693" t="s">
        <v>40</v>
      </c>
      <c r="Q329" s="694"/>
      <c r="R329" s="694"/>
      <c r="S329" s="694"/>
      <c r="T329" s="694"/>
      <c r="U329" s="694"/>
      <c r="V329" s="695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>
      <c r="A330" s="686" t="s">
        <v>551</v>
      </c>
      <c r="B330" s="686"/>
      <c r="C330" s="686"/>
      <c r="D330" s="686"/>
      <c r="E330" s="686"/>
      <c r="F330" s="686"/>
      <c r="G330" s="686"/>
      <c r="H330" s="686"/>
      <c r="I330" s="686"/>
      <c r="J330" s="686"/>
      <c r="K330" s="686"/>
      <c r="L330" s="686"/>
      <c r="M330" s="686"/>
      <c r="N330" s="686"/>
      <c r="O330" s="686"/>
      <c r="P330" s="686"/>
      <c r="Q330" s="686"/>
      <c r="R330" s="686"/>
      <c r="S330" s="686"/>
      <c r="T330" s="686"/>
      <c r="U330" s="686"/>
      <c r="V330" s="686"/>
      <c r="W330" s="686"/>
      <c r="X330" s="686"/>
      <c r="Y330" s="686"/>
      <c r="Z330" s="686"/>
      <c r="AA330" s="65"/>
      <c r="AB330" s="65"/>
      <c r="AC330" s="79"/>
    </row>
    <row r="331" spans="1:68" ht="14.25" customHeight="1">
      <c r="A331" s="687" t="s">
        <v>77</v>
      </c>
      <c r="B331" s="687"/>
      <c r="C331" s="687"/>
      <c r="D331" s="687"/>
      <c r="E331" s="687"/>
      <c r="F331" s="687"/>
      <c r="G331" s="687"/>
      <c r="H331" s="687"/>
      <c r="I331" s="687"/>
      <c r="J331" s="687"/>
      <c r="K331" s="687"/>
      <c r="L331" s="687"/>
      <c r="M331" s="687"/>
      <c r="N331" s="687"/>
      <c r="O331" s="687"/>
      <c r="P331" s="687"/>
      <c r="Q331" s="687"/>
      <c r="R331" s="687"/>
      <c r="S331" s="687"/>
      <c r="T331" s="687"/>
      <c r="U331" s="687"/>
      <c r="V331" s="687"/>
      <c r="W331" s="687"/>
      <c r="X331" s="687"/>
      <c r="Y331" s="687"/>
      <c r="Z331" s="687"/>
      <c r="AA331" s="66"/>
      <c r="AB331" s="66"/>
      <c r="AC331" s="80"/>
    </row>
    <row r="332" spans="1:68" ht="27" customHeight="1">
      <c r="A332" s="63" t="s">
        <v>552</v>
      </c>
      <c r="B332" s="63" t="s">
        <v>553</v>
      </c>
      <c r="C332" s="36">
        <v>4301031445</v>
      </c>
      <c r="D332" s="688">
        <v>4680115888319</v>
      </c>
      <c r="E332" s="688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0"/>
      <c r="R332" s="690"/>
      <c r="S332" s="690"/>
      <c r="T332" s="691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>
      <c r="A333" s="63" t="s">
        <v>554</v>
      </c>
      <c r="B333" s="63" t="s">
        <v>555</v>
      </c>
      <c r="C333" s="36">
        <v>4301031502</v>
      </c>
      <c r="D333" s="688">
        <v>4680115884700</v>
      </c>
      <c r="E333" s="688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0"/>
      <c r="R333" s="690"/>
      <c r="S333" s="690"/>
      <c r="T333" s="691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>
      <c r="A334" s="63" t="s">
        <v>557</v>
      </c>
      <c r="B334" s="63" t="s">
        <v>558</v>
      </c>
      <c r="C334" s="36">
        <v>4301031307</v>
      </c>
      <c r="D334" s="688">
        <v>4680115880344</v>
      </c>
      <c r="E334" s="688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0"/>
      <c r="R334" s="690"/>
      <c r="S334" s="690"/>
      <c r="T334" s="69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>
      <c r="A335" s="63" t="s">
        <v>560</v>
      </c>
      <c r="B335" s="63" t="s">
        <v>561</v>
      </c>
      <c r="C335" s="36">
        <v>4301031501</v>
      </c>
      <c r="D335" s="688">
        <v>4680115886919</v>
      </c>
      <c r="E335" s="688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0"/>
      <c r="R335" s="690"/>
      <c r="S335" s="690"/>
      <c r="T335" s="69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>
      <c r="A336" s="63" t="s">
        <v>563</v>
      </c>
      <c r="B336" s="63" t="s">
        <v>564</v>
      </c>
      <c r="C336" s="36">
        <v>4301031246</v>
      </c>
      <c r="D336" s="688">
        <v>4680115883970</v>
      </c>
      <c r="E336" s="688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0"/>
      <c r="R336" s="690"/>
      <c r="S336" s="690"/>
      <c r="T336" s="69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>
      <c r="A337" s="696"/>
      <c r="B337" s="696"/>
      <c r="C337" s="696"/>
      <c r="D337" s="696"/>
      <c r="E337" s="696"/>
      <c r="F337" s="696"/>
      <c r="G337" s="696"/>
      <c r="H337" s="696"/>
      <c r="I337" s="696"/>
      <c r="J337" s="696"/>
      <c r="K337" s="696"/>
      <c r="L337" s="696"/>
      <c r="M337" s="696"/>
      <c r="N337" s="696"/>
      <c r="O337" s="697"/>
      <c r="P337" s="693" t="s">
        <v>40</v>
      </c>
      <c r="Q337" s="694"/>
      <c r="R337" s="694"/>
      <c r="S337" s="694"/>
      <c r="T337" s="694"/>
      <c r="U337" s="694"/>
      <c r="V337" s="695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>
      <c r="A338" s="696"/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7"/>
      <c r="P338" s="693" t="s">
        <v>40</v>
      </c>
      <c r="Q338" s="694"/>
      <c r="R338" s="694"/>
      <c r="S338" s="694"/>
      <c r="T338" s="694"/>
      <c r="U338" s="694"/>
      <c r="V338" s="695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>
      <c r="A339" s="687" t="s">
        <v>86</v>
      </c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7"/>
      <c r="P339" s="687"/>
      <c r="Q339" s="687"/>
      <c r="R339" s="687"/>
      <c r="S339" s="687"/>
      <c r="T339" s="687"/>
      <c r="U339" s="687"/>
      <c r="V339" s="687"/>
      <c r="W339" s="687"/>
      <c r="X339" s="687"/>
      <c r="Y339" s="687"/>
      <c r="Z339" s="687"/>
      <c r="AA339" s="66"/>
      <c r="AB339" s="66"/>
      <c r="AC339" s="80"/>
    </row>
    <row r="340" spans="1:68" ht="27" customHeight="1">
      <c r="A340" s="63" t="s">
        <v>566</v>
      </c>
      <c r="B340" s="63" t="s">
        <v>567</v>
      </c>
      <c r="C340" s="36">
        <v>4301051782</v>
      </c>
      <c r="D340" s="688">
        <v>4680115884618</v>
      </c>
      <c r="E340" s="688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0"/>
      <c r="R340" s="690"/>
      <c r="S340" s="690"/>
      <c r="T340" s="691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>
      <c r="A341" s="63" t="s">
        <v>569</v>
      </c>
      <c r="B341" s="63" t="s">
        <v>570</v>
      </c>
      <c r="C341" s="36">
        <v>4301052057</v>
      </c>
      <c r="D341" s="688">
        <v>4680115887114</v>
      </c>
      <c r="E341" s="688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0"/>
      <c r="R341" s="690"/>
      <c r="S341" s="690"/>
      <c r="T341" s="69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>
      <c r="A342" s="696"/>
      <c r="B342" s="696"/>
      <c r="C342" s="696"/>
      <c r="D342" s="696"/>
      <c r="E342" s="696"/>
      <c r="F342" s="696"/>
      <c r="G342" s="696"/>
      <c r="H342" s="696"/>
      <c r="I342" s="696"/>
      <c r="J342" s="696"/>
      <c r="K342" s="696"/>
      <c r="L342" s="696"/>
      <c r="M342" s="696"/>
      <c r="N342" s="696"/>
      <c r="O342" s="697"/>
      <c r="P342" s="693" t="s">
        <v>40</v>
      </c>
      <c r="Q342" s="694"/>
      <c r="R342" s="694"/>
      <c r="S342" s="694"/>
      <c r="T342" s="694"/>
      <c r="U342" s="694"/>
      <c r="V342" s="695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>
      <c r="A343" s="696"/>
      <c r="B343" s="696"/>
      <c r="C343" s="696"/>
      <c r="D343" s="696"/>
      <c r="E343" s="696"/>
      <c r="F343" s="696"/>
      <c r="G343" s="696"/>
      <c r="H343" s="696"/>
      <c r="I343" s="696"/>
      <c r="J343" s="696"/>
      <c r="K343" s="696"/>
      <c r="L343" s="696"/>
      <c r="M343" s="696"/>
      <c r="N343" s="696"/>
      <c r="O343" s="697"/>
      <c r="P343" s="693" t="s">
        <v>40</v>
      </c>
      <c r="Q343" s="694"/>
      <c r="R343" s="694"/>
      <c r="S343" s="694"/>
      <c r="T343" s="694"/>
      <c r="U343" s="694"/>
      <c r="V343" s="695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>
      <c r="A344" s="686" t="s">
        <v>572</v>
      </c>
      <c r="B344" s="686"/>
      <c r="C344" s="686"/>
      <c r="D344" s="686"/>
      <c r="E344" s="686"/>
      <c r="F344" s="686"/>
      <c r="G344" s="686"/>
      <c r="H344" s="686"/>
      <c r="I344" s="686"/>
      <c r="J344" s="686"/>
      <c r="K344" s="686"/>
      <c r="L344" s="686"/>
      <c r="M344" s="686"/>
      <c r="N344" s="686"/>
      <c r="O344" s="686"/>
      <c r="P344" s="686"/>
      <c r="Q344" s="686"/>
      <c r="R344" s="686"/>
      <c r="S344" s="686"/>
      <c r="T344" s="686"/>
      <c r="U344" s="686"/>
      <c r="V344" s="686"/>
      <c r="W344" s="686"/>
      <c r="X344" s="686"/>
      <c r="Y344" s="686"/>
      <c r="Z344" s="686"/>
      <c r="AA344" s="65"/>
      <c r="AB344" s="65"/>
      <c r="AC344" s="79"/>
    </row>
    <row r="345" spans="1:68" ht="14.25" customHeight="1">
      <c r="A345" s="687" t="s">
        <v>129</v>
      </c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7"/>
      <c r="P345" s="687"/>
      <c r="Q345" s="687"/>
      <c r="R345" s="687"/>
      <c r="S345" s="687"/>
      <c r="T345" s="687"/>
      <c r="U345" s="687"/>
      <c r="V345" s="687"/>
      <c r="W345" s="687"/>
      <c r="X345" s="687"/>
      <c r="Y345" s="687"/>
      <c r="Z345" s="687"/>
      <c r="AA345" s="66"/>
      <c r="AB345" s="66"/>
      <c r="AC345" s="80"/>
    </row>
    <row r="346" spans="1:68" ht="27" customHeight="1">
      <c r="A346" s="63" t="s">
        <v>573</v>
      </c>
      <c r="B346" s="63" t="s">
        <v>574</v>
      </c>
      <c r="C346" s="36">
        <v>4301012324</v>
      </c>
      <c r="D346" s="688">
        <v>4680115887947</v>
      </c>
      <c r="E346" s="688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0"/>
      <c r="R346" s="690"/>
      <c r="S346" s="690"/>
      <c r="T346" s="691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>
      <c r="A347" s="63" t="s">
        <v>575</v>
      </c>
      <c r="B347" s="63" t="s">
        <v>576</v>
      </c>
      <c r="C347" s="36">
        <v>4301012325</v>
      </c>
      <c r="D347" s="688">
        <v>4680115887978</v>
      </c>
      <c r="E347" s="688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7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0"/>
      <c r="R347" s="690"/>
      <c r="S347" s="690"/>
      <c r="T347" s="691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>
      <c r="A348" s="63" t="s">
        <v>578</v>
      </c>
      <c r="B348" s="63" t="s">
        <v>579</v>
      </c>
      <c r="C348" s="36">
        <v>4301012327</v>
      </c>
      <c r="D348" s="688">
        <v>4680115887992</v>
      </c>
      <c r="E348" s="688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0"/>
      <c r="R348" s="690"/>
      <c r="S348" s="690"/>
      <c r="T348" s="69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>
      <c r="A349" s="696"/>
      <c r="B349" s="696"/>
      <c r="C349" s="696"/>
      <c r="D349" s="696"/>
      <c r="E349" s="696"/>
      <c r="F349" s="696"/>
      <c r="G349" s="696"/>
      <c r="H349" s="696"/>
      <c r="I349" s="696"/>
      <c r="J349" s="696"/>
      <c r="K349" s="696"/>
      <c r="L349" s="696"/>
      <c r="M349" s="696"/>
      <c r="N349" s="696"/>
      <c r="O349" s="697"/>
      <c r="P349" s="693" t="s">
        <v>40</v>
      </c>
      <c r="Q349" s="694"/>
      <c r="R349" s="694"/>
      <c r="S349" s="694"/>
      <c r="T349" s="694"/>
      <c r="U349" s="694"/>
      <c r="V349" s="695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>
      <c r="A350" s="696"/>
      <c r="B350" s="696"/>
      <c r="C350" s="696"/>
      <c r="D350" s="696"/>
      <c r="E350" s="696"/>
      <c r="F350" s="696"/>
      <c r="G350" s="696"/>
      <c r="H350" s="696"/>
      <c r="I350" s="696"/>
      <c r="J350" s="696"/>
      <c r="K350" s="696"/>
      <c r="L350" s="696"/>
      <c r="M350" s="696"/>
      <c r="N350" s="696"/>
      <c r="O350" s="697"/>
      <c r="P350" s="693" t="s">
        <v>40</v>
      </c>
      <c r="Q350" s="694"/>
      <c r="R350" s="694"/>
      <c r="S350" s="694"/>
      <c r="T350" s="694"/>
      <c r="U350" s="694"/>
      <c r="V350" s="695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>
      <c r="A351" s="686" t="s">
        <v>581</v>
      </c>
      <c r="B351" s="686"/>
      <c r="C351" s="686"/>
      <c r="D351" s="686"/>
      <c r="E351" s="686"/>
      <c r="F351" s="686"/>
      <c r="G351" s="686"/>
      <c r="H351" s="686"/>
      <c r="I351" s="686"/>
      <c r="J351" s="686"/>
      <c r="K351" s="686"/>
      <c r="L351" s="686"/>
      <c r="M351" s="686"/>
      <c r="N351" s="686"/>
      <c r="O351" s="686"/>
      <c r="P351" s="686"/>
      <c r="Q351" s="686"/>
      <c r="R351" s="686"/>
      <c r="S351" s="686"/>
      <c r="T351" s="686"/>
      <c r="U351" s="686"/>
      <c r="V351" s="686"/>
      <c r="W351" s="686"/>
      <c r="X351" s="686"/>
      <c r="Y351" s="686"/>
      <c r="Z351" s="686"/>
      <c r="AA351" s="65"/>
      <c r="AB351" s="65"/>
      <c r="AC351" s="79"/>
    </row>
    <row r="352" spans="1:68" ht="14.25" customHeight="1">
      <c r="A352" s="687" t="s">
        <v>129</v>
      </c>
      <c r="B352" s="687"/>
      <c r="C352" s="687"/>
      <c r="D352" s="687"/>
      <c r="E352" s="687"/>
      <c r="F352" s="687"/>
      <c r="G352" s="687"/>
      <c r="H352" s="687"/>
      <c r="I352" s="687"/>
      <c r="J352" s="687"/>
      <c r="K352" s="687"/>
      <c r="L352" s="687"/>
      <c r="M352" s="687"/>
      <c r="N352" s="687"/>
      <c r="O352" s="687"/>
      <c r="P352" s="687"/>
      <c r="Q352" s="687"/>
      <c r="R352" s="687"/>
      <c r="S352" s="687"/>
      <c r="T352" s="687"/>
      <c r="U352" s="687"/>
      <c r="V352" s="687"/>
      <c r="W352" s="687"/>
      <c r="X352" s="687"/>
      <c r="Y352" s="687"/>
      <c r="Z352" s="687"/>
      <c r="AA352" s="66"/>
      <c r="AB352" s="66"/>
      <c r="AC352" s="80"/>
    </row>
    <row r="353" spans="1:68" ht="27" customHeight="1">
      <c r="A353" s="63" t="s">
        <v>582</v>
      </c>
      <c r="B353" s="63" t="s">
        <v>583</v>
      </c>
      <c r="C353" s="36">
        <v>4301012126</v>
      </c>
      <c r="D353" s="688">
        <v>4607091386004</v>
      </c>
      <c r="E353" s="688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0"/>
      <c r="R353" s="690"/>
      <c r="S353" s="690"/>
      <c r="T353" s="691"/>
      <c r="U353" s="39" t="s">
        <v>46</v>
      </c>
      <c r="V353" s="39" t="s">
        <v>46</v>
      </c>
      <c r="W353" s="40" t="s">
        <v>0</v>
      </c>
      <c r="X353" s="58">
        <v>900</v>
      </c>
      <c r="Y353" s="55">
        <f t="shared" ref="Y353:Y358" si="47">IFERROR(IF(X353="",0,CEILING((X353/$H353),1)*$H353),"")</f>
        <v>907.2</v>
      </c>
      <c r="Z353" s="41">
        <f>IFERROR(IF(Y353=0,"",ROUNDUP(Y353/H353,0)*0.01898),"")</f>
        <v>1.59432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934.16666666666663</v>
      </c>
      <c r="BN353" s="78">
        <f t="shared" ref="BN353:BN358" si="49">IFERROR(Y353*I353/H353,"0")</f>
        <v>941.6400000000001</v>
      </c>
      <c r="BO353" s="78">
        <f t="shared" ref="BO353:BO358" si="50">IFERROR(1/J353*(X353/H353),"0")</f>
        <v>1.3020833333333333</v>
      </c>
      <c r="BP353" s="78">
        <f t="shared" ref="BP353:BP358" si="51">IFERROR(1/J353*(Y353/H353),"0")</f>
        <v>1.3125</v>
      </c>
    </row>
    <row r="354" spans="1:68" ht="27" customHeight="1">
      <c r="A354" s="63" t="s">
        <v>585</v>
      </c>
      <c r="B354" s="63" t="s">
        <v>586</v>
      </c>
      <c r="C354" s="36">
        <v>4301012235</v>
      </c>
      <c r="D354" s="688">
        <v>4680115887190</v>
      </c>
      <c r="E354" s="688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0"/>
      <c r="R354" s="690"/>
      <c r="S354" s="690"/>
      <c r="T354" s="691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customHeight="1">
      <c r="A355" s="63" t="s">
        <v>588</v>
      </c>
      <c r="B355" s="63" t="s">
        <v>589</v>
      </c>
      <c r="C355" s="36">
        <v>4301012233</v>
      </c>
      <c r="D355" s="688">
        <v>4680115887138</v>
      </c>
      <c r="E355" s="688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0"/>
      <c r="R355" s="690"/>
      <c r="S355" s="690"/>
      <c r="T355" s="691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customHeight="1">
      <c r="A356" s="63" t="s">
        <v>591</v>
      </c>
      <c r="B356" s="63" t="s">
        <v>592</v>
      </c>
      <c r="C356" s="36">
        <v>4301012016</v>
      </c>
      <c r="D356" s="688">
        <v>4680115885554</v>
      </c>
      <c r="E356" s="688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0"/>
      <c r="R356" s="690"/>
      <c r="S356" s="690"/>
      <c r="T356" s="691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customHeight="1">
      <c r="A357" s="63" t="s">
        <v>594</v>
      </c>
      <c r="B357" s="63" t="s">
        <v>595</v>
      </c>
      <c r="C357" s="36">
        <v>4301012236</v>
      </c>
      <c r="D357" s="688">
        <v>4680115887220</v>
      </c>
      <c r="E357" s="688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0"/>
      <c r="R357" s="690"/>
      <c r="S357" s="690"/>
      <c r="T357" s="691"/>
      <c r="U357" s="39" t="s">
        <v>46</v>
      </c>
      <c r="V357" s="39" t="s">
        <v>46</v>
      </c>
      <c r="W357" s="40" t="s">
        <v>0</v>
      </c>
      <c r="X357" s="58">
        <v>80</v>
      </c>
      <c r="Y357" s="55">
        <f t="shared" si="47"/>
        <v>80</v>
      </c>
      <c r="Z357" s="41">
        <f>IFERROR(IF(Y357=0,"",ROUNDUP(Y357/H357,0)*0.00902),"")</f>
        <v>0.1804</v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83.800000000000011</v>
      </c>
      <c r="BN357" s="78">
        <f t="shared" si="49"/>
        <v>83.800000000000011</v>
      </c>
      <c r="BO357" s="78">
        <f t="shared" si="50"/>
        <v>0.15151515151515152</v>
      </c>
      <c r="BP357" s="78">
        <f t="shared" si="51"/>
        <v>0.15151515151515152</v>
      </c>
    </row>
    <row r="358" spans="1:68" ht="27" customHeight="1">
      <c r="A358" s="63" t="s">
        <v>596</v>
      </c>
      <c r="B358" s="63" t="s">
        <v>597</v>
      </c>
      <c r="C358" s="36">
        <v>4301011859</v>
      </c>
      <c r="D358" s="688">
        <v>4680115885608</v>
      </c>
      <c r="E358" s="688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0"/>
      <c r="R358" s="690"/>
      <c r="S358" s="690"/>
      <c r="T358" s="691"/>
      <c r="U358" s="39" t="s">
        <v>46</v>
      </c>
      <c r="V358" s="39" t="s">
        <v>46</v>
      </c>
      <c r="W358" s="40" t="s">
        <v>0</v>
      </c>
      <c r="X358" s="58">
        <v>240</v>
      </c>
      <c r="Y358" s="55">
        <f t="shared" si="47"/>
        <v>240</v>
      </c>
      <c r="Z358" s="41">
        <f>IFERROR(IF(Y358=0,"",ROUNDUP(Y358/H358,0)*0.00902),"")</f>
        <v>0.54120000000000001</v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251.40000000000003</v>
      </c>
      <c r="BN358" s="78">
        <f t="shared" si="49"/>
        <v>251.40000000000003</v>
      </c>
      <c r="BO358" s="78">
        <f t="shared" si="50"/>
        <v>0.45454545454545459</v>
      </c>
      <c r="BP358" s="78">
        <f t="shared" si="51"/>
        <v>0.45454545454545459</v>
      </c>
    </row>
    <row r="359" spans="1:68">
      <c r="A359" s="696"/>
      <c r="B359" s="696"/>
      <c r="C359" s="696"/>
      <c r="D359" s="696"/>
      <c r="E359" s="696"/>
      <c r="F359" s="696"/>
      <c r="G359" s="696"/>
      <c r="H359" s="696"/>
      <c r="I359" s="696"/>
      <c r="J359" s="696"/>
      <c r="K359" s="696"/>
      <c r="L359" s="696"/>
      <c r="M359" s="696"/>
      <c r="N359" s="696"/>
      <c r="O359" s="697"/>
      <c r="P359" s="693" t="s">
        <v>40</v>
      </c>
      <c r="Q359" s="694"/>
      <c r="R359" s="694"/>
      <c r="S359" s="694"/>
      <c r="T359" s="694"/>
      <c r="U359" s="694"/>
      <c r="V359" s="695"/>
      <c r="W359" s="42" t="s">
        <v>39</v>
      </c>
      <c r="X359" s="43">
        <f>IFERROR(X353/H353,"0")+IFERROR(X354/H354,"0")+IFERROR(X355/H355,"0")+IFERROR(X356/H356,"0")+IFERROR(X357/H357,"0")+IFERROR(X358/H358,"0")</f>
        <v>163.33333333333331</v>
      </c>
      <c r="Y359" s="43">
        <f>IFERROR(Y353/H353,"0")+IFERROR(Y354/H354,"0")+IFERROR(Y355/H355,"0")+IFERROR(Y356/H356,"0")+IFERROR(Y357/H357,"0")+IFERROR(Y358/H358,"0")</f>
        <v>164</v>
      </c>
      <c r="Z359" s="43">
        <f>IFERROR(IF(Z353="",0,Z353),"0")+IFERROR(IF(Z354="",0,Z354),"0")+IFERROR(IF(Z355="",0,Z355),"0")+IFERROR(IF(Z356="",0,Z356),"0")+IFERROR(IF(Z357="",0,Z357),"0")+IFERROR(IF(Z358="",0,Z358),"0")</f>
        <v>2.3159199999999998</v>
      </c>
      <c r="AA359" s="67"/>
      <c r="AB359" s="67"/>
      <c r="AC359" s="67"/>
    </row>
    <row r="360" spans="1:68">
      <c r="A360" s="696"/>
      <c r="B360" s="696"/>
      <c r="C360" s="696"/>
      <c r="D360" s="696"/>
      <c r="E360" s="696"/>
      <c r="F360" s="696"/>
      <c r="G360" s="696"/>
      <c r="H360" s="696"/>
      <c r="I360" s="696"/>
      <c r="J360" s="696"/>
      <c r="K360" s="696"/>
      <c r="L360" s="696"/>
      <c r="M360" s="696"/>
      <c r="N360" s="696"/>
      <c r="O360" s="697"/>
      <c r="P360" s="693" t="s">
        <v>40</v>
      </c>
      <c r="Q360" s="694"/>
      <c r="R360" s="694"/>
      <c r="S360" s="694"/>
      <c r="T360" s="694"/>
      <c r="U360" s="694"/>
      <c r="V360" s="695"/>
      <c r="W360" s="42" t="s">
        <v>0</v>
      </c>
      <c r="X360" s="43">
        <f>IFERROR(SUM(X353:X358),"0")</f>
        <v>1220</v>
      </c>
      <c r="Y360" s="43">
        <f>IFERROR(SUM(Y353:Y358),"0")</f>
        <v>1227.2</v>
      </c>
      <c r="Z360" s="42"/>
      <c r="AA360" s="67"/>
      <c r="AB360" s="67"/>
      <c r="AC360" s="67"/>
    </row>
    <row r="361" spans="1:68" ht="14.25" customHeight="1">
      <c r="A361" s="687" t="s">
        <v>77</v>
      </c>
      <c r="B361" s="687"/>
      <c r="C361" s="687"/>
      <c r="D361" s="687"/>
      <c r="E361" s="687"/>
      <c r="F361" s="687"/>
      <c r="G361" s="687"/>
      <c r="H361" s="687"/>
      <c r="I361" s="687"/>
      <c r="J361" s="687"/>
      <c r="K361" s="687"/>
      <c r="L361" s="687"/>
      <c r="M361" s="687"/>
      <c r="N361" s="687"/>
      <c r="O361" s="687"/>
      <c r="P361" s="687"/>
      <c r="Q361" s="687"/>
      <c r="R361" s="687"/>
      <c r="S361" s="687"/>
      <c r="T361" s="687"/>
      <c r="U361" s="687"/>
      <c r="V361" s="687"/>
      <c r="W361" s="687"/>
      <c r="X361" s="687"/>
      <c r="Y361" s="687"/>
      <c r="Z361" s="687"/>
      <c r="AA361" s="66"/>
      <c r="AB361" s="66"/>
      <c r="AC361" s="80"/>
    </row>
    <row r="362" spans="1:68" ht="27" customHeight="1">
      <c r="A362" s="63" t="s">
        <v>599</v>
      </c>
      <c r="B362" s="63" t="s">
        <v>600</v>
      </c>
      <c r="C362" s="36">
        <v>4301030878</v>
      </c>
      <c r="D362" s="688">
        <v>4607091387193</v>
      </c>
      <c r="E362" s="688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0"/>
      <c r="R362" s="690"/>
      <c r="S362" s="690"/>
      <c r="T362" s="691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customHeight="1">
      <c r="A363" s="63" t="s">
        <v>602</v>
      </c>
      <c r="B363" s="63" t="s">
        <v>603</v>
      </c>
      <c r="C363" s="36">
        <v>4301031153</v>
      </c>
      <c r="D363" s="688">
        <v>4607091387230</v>
      </c>
      <c r="E363" s="688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0"/>
      <c r="R363" s="690"/>
      <c r="S363" s="690"/>
      <c r="T363" s="691"/>
      <c r="U363" s="39" t="s">
        <v>46</v>
      </c>
      <c r="V363" s="39" t="s">
        <v>46</v>
      </c>
      <c r="W363" s="40" t="s">
        <v>0</v>
      </c>
      <c r="X363" s="58">
        <v>350</v>
      </c>
      <c r="Y363" s="55">
        <f t="shared" si="52"/>
        <v>352.8</v>
      </c>
      <c r="Z363" s="41">
        <f>IFERROR(IF(Y363=0,"",ROUNDUP(Y363/H363,0)*0.00902),"")</f>
        <v>0.75768000000000002</v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370.83333333333331</v>
      </c>
      <c r="BN363" s="78">
        <f t="shared" si="54"/>
        <v>373.8</v>
      </c>
      <c r="BO363" s="78">
        <f t="shared" si="55"/>
        <v>0.63131313131313127</v>
      </c>
      <c r="BP363" s="78">
        <f t="shared" si="56"/>
        <v>0.63636363636363635</v>
      </c>
    </row>
    <row r="364" spans="1:68" ht="27" customHeight="1">
      <c r="A364" s="63" t="s">
        <v>605</v>
      </c>
      <c r="B364" s="63" t="s">
        <v>606</v>
      </c>
      <c r="C364" s="36">
        <v>4301031154</v>
      </c>
      <c r="D364" s="688">
        <v>4607091387292</v>
      </c>
      <c r="E364" s="688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0"/>
      <c r="R364" s="690"/>
      <c r="S364" s="690"/>
      <c r="T364" s="691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customHeight="1">
      <c r="A365" s="63" t="s">
        <v>608</v>
      </c>
      <c r="B365" s="63" t="s">
        <v>609</v>
      </c>
      <c r="C365" s="36">
        <v>4301031152</v>
      </c>
      <c r="D365" s="688">
        <v>4607091387285</v>
      </c>
      <c r="E365" s="688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0"/>
      <c r="R365" s="690"/>
      <c r="S365" s="690"/>
      <c r="T365" s="691"/>
      <c r="U365" s="39" t="s">
        <v>46</v>
      </c>
      <c r="V365" s="39" t="s">
        <v>46</v>
      </c>
      <c r="W365" s="40" t="s">
        <v>0</v>
      </c>
      <c r="X365" s="58">
        <v>35</v>
      </c>
      <c r="Y365" s="55">
        <f t="shared" si="52"/>
        <v>35.700000000000003</v>
      </c>
      <c r="Z365" s="41">
        <f>IFERROR(IF(Y365=0,"",ROUNDUP(Y365/H365,0)*0.00502),"")</f>
        <v>8.5339999999999999E-2</v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37.166666666666664</v>
      </c>
      <c r="BN365" s="78">
        <f t="shared" si="54"/>
        <v>37.910000000000004</v>
      </c>
      <c r="BO365" s="78">
        <f t="shared" si="55"/>
        <v>7.1225071225071226E-2</v>
      </c>
      <c r="BP365" s="78">
        <f t="shared" si="56"/>
        <v>7.2649572649572655E-2</v>
      </c>
    </row>
    <row r="366" spans="1:68" ht="27" customHeight="1">
      <c r="A366" s="63" t="s">
        <v>610</v>
      </c>
      <c r="B366" s="63" t="s">
        <v>611</v>
      </c>
      <c r="C366" s="36">
        <v>4301031305</v>
      </c>
      <c r="D366" s="688">
        <v>4607091389845</v>
      </c>
      <c r="E366" s="688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0"/>
      <c r="R366" s="690"/>
      <c r="S366" s="690"/>
      <c r="T366" s="691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customHeight="1">
      <c r="A367" s="63" t="s">
        <v>613</v>
      </c>
      <c r="B367" s="63" t="s">
        <v>614</v>
      </c>
      <c r="C367" s="36">
        <v>4301031460</v>
      </c>
      <c r="D367" s="688">
        <v>4680115887442</v>
      </c>
      <c r="E367" s="688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0"/>
      <c r="R367" s="690"/>
      <c r="S367" s="690"/>
      <c r="T367" s="691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>
      <c r="A368" s="63" t="s">
        <v>615</v>
      </c>
      <c r="B368" s="63" t="s">
        <v>616</v>
      </c>
      <c r="C368" s="36">
        <v>4301031066</v>
      </c>
      <c r="D368" s="688">
        <v>4607091383836</v>
      </c>
      <c r="E368" s="688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0"/>
      <c r="R368" s="690"/>
      <c r="S368" s="690"/>
      <c r="T368" s="691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>
      <c r="A369" s="696"/>
      <c r="B369" s="696"/>
      <c r="C369" s="696"/>
      <c r="D369" s="696"/>
      <c r="E369" s="696"/>
      <c r="F369" s="696"/>
      <c r="G369" s="696"/>
      <c r="H369" s="696"/>
      <c r="I369" s="696"/>
      <c r="J369" s="696"/>
      <c r="K369" s="696"/>
      <c r="L369" s="696"/>
      <c r="M369" s="696"/>
      <c r="N369" s="696"/>
      <c r="O369" s="697"/>
      <c r="P369" s="693" t="s">
        <v>40</v>
      </c>
      <c r="Q369" s="694"/>
      <c r="R369" s="694"/>
      <c r="S369" s="694"/>
      <c r="T369" s="694"/>
      <c r="U369" s="694"/>
      <c r="V369" s="695"/>
      <c r="W369" s="42" t="s">
        <v>39</v>
      </c>
      <c r="X369" s="43">
        <f>IFERROR(X362/H362,"0")+IFERROR(X363/H363,"0")+IFERROR(X364/H364,"0")+IFERROR(X365/H365,"0")+IFERROR(X366/H366,"0")+IFERROR(X367/H367,"0")+IFERROR(X368/H368,"0")</f>
        <v>100</v>
      </c>
      <c r="Y369" s="43">
        <f>IFERROR(Y362/H362,"0")+IFERROR(Y363/H363,"0")+IFERROR(Y364/H364,"0")+IFERROR(Y365/H365,"0")+IFERROR(Y366/H366,"0")+IFERROR(Y367/H367,"0")+IFERROR(Y368/H368,"0")</f>
        <v>101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0.84301999999999999</v>
      </c>
      <c r="AA369" s="67"/>
      <c r="AB369" s="67"/>
      <c r="AC369" s="67"/>
    </row>
    <row r="370" spans="1:68">
      <c r="A370" s="696"/>
      <c r="B370" s="696"/>
      <c r="C370" s="696"/>
      <c r="D370" s="696"/>
      <c r="E370" s="696"/>
      <c r="F370" s="696"/>
      <c r="G370" s="696"/>
      <c r="H370" s="696"/>
      <c r="I370" s="696"/>
      <c r="J370" s="696"/>
      <c r="K370" s="696"/>
      <c r="L370" s="696"/>
      <c r="M370" s="696"/>
      <c r="N370" s="696"/>
      <c r="O370" s="697"/>
      <c r="P370" s="693" t="s">
        <v>40</v>
      </c>
      <c r="Q370" s="694"/>
      <c r="R370" s="694"/>
      <c r="S370" s="694"/>
      <c r="T370" s="694"/>
      <c r="U370" s="694"/>
      <c r="V370" s="695"/>
      <c r="W370" s="42" t="s">
        <v>0</v>
      </c>
      <c r="X370" s="43">
        <f>IFERROR(SUM(X362:X368),"0")</f>
        <v>385</v>
      </c>
      <c r="Y370" s="43">
        <f>IFERROR(SUM(Y362:Y368),"0")</f>
        <v>388.5</v>
      </c>
      <c r="Z370" s="42"/>
      <c r="AA370" s="67"/>
      <c r="AB370" s="67"/>
      <c r="AC370" s="67"/>
    </row>
    <row r="371" spans="1:68" ht="14.25" customHeight="1">
      <c r="A371" s="687" t="s">
        <v>86</v>
      </c>
      <c r="B371" s="687"/>
      <c r="C371" s="687"/>
      <c r="D371" s="687"/>
      <c r="E371" s="687"/>
      <c r="F371" s="687"/>
      <c r="G371" s="687"/>
      <c r="H371" s="687"/>
      <c r="I371" s="687"/>
      <c r="J371" s="687"/>
      <c r="K371" s="687"/>
      <c r="L371" s="687"/>
      <c r="M371" s="687"/>
      <c r="N371" s="687"/>
      <c r="O371" s="687"/>
      <c r="P371" s="687"/>
      <c r="Q371" s="687"/>
      <c r="R371" s="687"/>
      <c r="S371" s="687"/>
      <c r="T371" s="687"/>
      <c r="U371" s="687"/>
      <c r="V371" s="687"/>
      <c r="W371" s="687"/>
      <c r="X371" s="687"/>
      <c r="Y371" s="687"/>
      <c r="Z371" s="687"/>
      <c r="AA371" s="66"/>
      <c r="AB371" s="66"/>
      <c r="AC371" s="80"/>
    </row>
    <row r="372" spans="1:68" ht="27" customHeight="1">
      <c r="A372" s="63" t="s">
        <v>618</v>
      </c>
      <c r="B372" s="63" t="s">
        <v>619</v>
      </c>
      <c r="C372" s="36">
        <v>4301051100</v>
      </c>
      <c r="D372" s="688">
        <v>4607091387766</v>
      </c>
      <c r="E372" s="688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0"/>
      <c r="R372" s="690"/>
      <c r="S372" s="690"/>
      <c r="T372" s="691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>
      <c r="A373" s="63" t="s">
        <v>621</v>
      </c>
      <c r="B373" s="63" t="s">
        <v>622</v>
      </c>
      <c r="C373" s="36">
        <v>4301051818</v>
      </c>
      <c r="D373" s="688">
        <v>4607091387957</v>
      </c>
      <c r="E373" s="688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0"/>
      <c r="R373" s="690"/>
      <c r="S373" s="690"/>
      <c r="T373" s="691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>
      <c r="A374" s="63" t="s">
        <v>624</v>
      </c>
      <c r="B374" s="63" t="s">
        <v>625</v>
      </c>
      <c r="C374" s="36">
        <v>4301051819</v>
      </c>
      <c r="D374" s="688">
        <v>4607091387964</v>
      </c>
      <c r="E374" s="688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0"/>
      <c r="R374" s="690"/>
      <c r="S374" s="690"/>
      <c r="T374" s="691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>
      <c r="A375" s="63" t="s">
        <v>627</v>
      </c>
      <c r="B375" s="63" t="s">
        <v>628</v>
      </c>
      <c r="C375" s="36">
        <v>4301051734</v>
      </c>
      <c r="D375" s="688">
        <v>4680115884588</v>
      </c>
      <c r="E375" s="688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0"/>
      <c r="R375" s="690"/>
      <c r="S375" s="690"/>
      <c r="T375" s="691"/>
      <c r="U375" s="39" t="s">
        <v>46</v>
      </c>
      <c r="V375" s="39" t="s">
        <v>46</v>
      </c>
      <c r="W375" s="40" t="s">
        <v>0</v>
      </c>
      <c r="X375" s="58">
        <v>30</v>
      </c>
      <c r="Y375" s="55">
        <f>IFERROR(IF(X375="",0,CEILING((X375/$H375),1)*$H375),"")</f>
        <v>30</v>
      </c>
      <c r="Z375" s="41">
        <f>IFERROR(IF(Y375=0,"",ROUNDUP(Y375/H375,0)*0.00651),"")</f>
        <v>6.5100000000000005E-2</v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32.46</v>
      </c>
      <c r="BN375" s="78">
        <f>IFERROR(Y375*I375/H375,"0")</f>
        <v>32.46</v>
      </c>
      <c r="BO375" s="78">
        <f>IFERROR(1/J375*(X375/H375),"0")</f>
        <v>5.4945054945054951E-2</v>
      </c>
      <c r="BP375" s="78">
        <f>IFERROR(1/J375*(Y375/H375),"0")</f>
        <v>5.4945054945054951E-2</v>
      </c>
    </row>
    <row r="376" spans="1:68">
      <c r="A376" s="696"/>
      <c r="B376" s="696"/>
      <c r="C376" s="696"/>
      <c r="D376" s="696"/>
      <c r="E376" s="696"/>
      <c r="F376" s="696"/>
      <c r="G376" s="696"/>
      <c r="H376" s="696"/>
      <c r="I376" s="696"/>
      <c r="J376" s="696"/>
      <c r="K376" s="696"/>
      <c r="L376" s="696"/>
      <c r="M376" s="696"/>
      <c r="N376" s="696"/>
      <c r="O376" s="697"/>
      <c r="P376" s="693" t="s">
        <v>40</v>
      </c>
      <c r="Q376" s="694"/>
      <c r="R376" s="694"/>
      <c r="S376" s="694"/>
      <c r="T376" s="694"/>
      <c r="U376" s="694"/>
      <c r="V376" s="695"/>
      <c r="W376" s="42" t="s">
        <v>39</v>
      </c>
      <c r="X376" s="43">
        <f>IFERROR(X372/H372,"0")+IFERROR(X373/H373,"0")+IFERROR(X374/H374,"0")+IFERROR(X375/H375,"0")</f>
        <v>10</v>
      </c>
      <c r="Y376" s="43">
        <f>IFERROR(Y372/H372,"0")+IFERROR(Y373/H373,"0")+IFERROR(Y374/H374,"0")+IFERROR(Y375/H375,"0")</f>
        <v>10</v>
      </c>
      <c r="Z376" s="43">
        <f>IFERROR(IF(Z372="",0,Z372),"0")+IFERROR(IF(Z373="",0,Z373),"0")+IFERROR(IF(Z374="",0,Z374),"0")+IFERROR(IF(Z375="",0,Z375),"0")</f>
        <v>6.5100000000000005E-2</v>
      </c>
      <c r="AA376" s="67"/>
      <c r="AB376" s="67"/>
      <c r="AC376" s="67"/>
    </row>
    <row r="377" spans="1:68">
      <c r="A377" s="696"/>
      <c r="B377" s="696"/>
      <c r="C377" s="696"/>
      <c r="D377" s="696"/>
      <c r="E377" s="696"/>
      <c r="F377" s="696"/>
      <c r="G377" s="696"/>
      <c r="H377" s="696"/>
      <c r="I377" s="696"/>
      <c r="J377" s="696"/>
      <c r="K377" s="696"/>
      <c r="L377" s="696"/>
      <c r="M377" s="696"/>
      <c r="N377" s="696"/>
      <c r="O377" s="697"/>
      <c r="P377" s="693" t="s">
        <v>40</v>
      </c>
      <c r="Q377" s="694"/>
      <c r="R377" s="694"/>
      <c r="S377" s="694"/>
      <c r="T377" s="694"/>
      <c r="U377" s="694"/>
      <c r="V377" s="695"/>
      <c r="W377" s="42" t="s">
        <v>0</v>
      </c>
      <c r="X377" s="43">
        <f>IFERROR(SUM(X372:X375),"0")</f>
        <v>30</v>
      </c>
      <c r="Y377" s="43">
        <f>IFERROR(SUM(Y372:Y375),"0")</f>
        <v>30</v>
      </c>
      <c r="Z377" s="42"/>
      <c r="AA377" s="67"/>
      <c r="AB377" s="67"/>
      <c r="AC377" s="67"/>
    </row>
    <row r="378" spans="1:68" ht="14.25" customHeight="1">
      <c r="A378" s="687" t="s">
        <v>183</v>
      </c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7"/>
      <c r="P378" s="687"/>
      <c r="Q378" s="687"/>
      <c r="R378" s="687"/>
      <c r="S378" s="687"/>
      <c r="T378" s="687"/>
      <c r="U378" s="687"/>
      <c r="V378" s="687"/>
      <c r="W378" s="687"/>
      <c r="X378" s="687"/>
      <c r="Y378" s="687"/>
      <c r="Z378" s="687"/>
      <c r="AA378" s="66"/>
      <c r="AB378" s="66"/>
      <c r="AC378" s="80"/>
    </row>
    <row r="379" spans="1:68" ht="27" customHeight="1">
      <c r="A379" s="63" t="s">
        <v>629</v>
      </c>
      <c r="B379" s="63" t="s">
        <v>630</v>
      </c>
      <c r="C379" s="36">
        <v>4301060387</v>
      </c>
      <c r="D379" s="688">
        <v>4607091380880</v>
      </c>
      <c r="E379" s="688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0"/>
      <c r="R379" s="690"/>
      <c r="S379" s="690"/>
      <c r="T379" s="691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>
      <c r="A380" s="63" t="s">
        <v>632</v>
      </c>
      <c r="B380" s="63" t="s">
        <v>633</v>
      </c>
      <c r="C380" s="36">
        <v>4301060406</v>
      </c>
      <c r="D380" s="688">
        <v>4607091384482</v>
      </c>
      <c r="E380" s="688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0"/>
      <c r="R380" s="690"/>
      <c r="S380" s="690"/>
      <c r="T380" s="691"/>
      <c r="U380" s="39" t="s">
        <v>46</v>
      </c>
      <c r="V380" s="39" t="s">
        <v>46</v>
      </c>
      <c r="W380" s="40" t="s">
        <v>0</v>
      </c>
      <c r="X380" s="58">
        <v>800</v>
      </c>
      <c r="Y380" s="55">
        <f>IFERROR(IF(X380="",0,CEILING((X380/$H380),1)*$H380),"")</f>
        <v>803.4</v>
      </c>
      <c r="Z380" s="41">
        <f>IFERROR(IF(Y380=0,"",ROUNDUP(Y380/H380,0)*0.01898),"")</f>
        <v>1.9549400000000001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850.66666666666674</v>
      </c>
      <c r="BN380" s="78">
        <f>IFERROR(Y380*I380/H380,"0")</f>
        <v>854.28200000000015</v>
      </c>
      <c r="BO380" s="78">
        <f>IFERROR(1/J380*(X380/H380),"0")</f>
        <v>1.6025641025641026</v>
      </c>
      <c r="BP380" s="78">
        <f>IFERROR(1/J380*(Y380/H380),"0")</f>
        <v>1.609375</v>
      </c>
    </row>
    <row r="381" spans="1:68" ht="16.5" customHeight="1">
      <c r="A381" s="63" t="s">
        <v>635</v>
      </c>
      <c r="B381" s="63" t="s">
        <v>636</v>
      </c>
      <c r="C381" s="36">
        <v>4301060484</v>
      </c>
      <c r="D381" s="688">
        <v>4607091380897</v>
      </c>
      <c r="E381" s="688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0"/>
      <c r="R381" s="690"/>
      <c r="S381" s="690"/>
      <c r="T381" s="691"/>
      <c r="U381" s="39" t="s">
        <v>46</v>
      </c>
      <c r="V381" s="39" t="s">
        <v>46</v>
      </c>
      <c r="W381" s="40" t="s">
        <v>0</v>
      </c>
      <c r="X381" s="58">
        <v>200</v>
      </c>
      <c r="Y381" s="55">
        <f>IFERROR(IF(X381="",0,CEILING((X381/$H381),1)*$H381),"")</f>
        <v>201.60000000000002</v>
      </c>
      <c r="Z381" s="41">
        <f>IFERROR(IF(Y381=0,"",ROUNDUP(Y381/H381,0)*0.01898),"")</f>
        <v>0.45552000000000004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211.76190476190476</v>
      </c>
      <c r="BN381" s="78">
        <f>IFERROR(Y381*I381/H381,"0")</f>
        <v>213.45600000000002</v>
      </c>
      <c r="BO381" s="78">
        <f>IFERROR(1/J381*(X381/H381),"0")</f>
        <v>0.37202380952380953</v>
      </c>
      <c r="BP381" s="78">
        <f>IFERROR(1/J381*(Y381/H381),"0")</f>
        <v>0.375</v>
      </c>
    </row>
    <row r="382" spans="1:68">
      <c r="A382" s="696"/>
      <c r="B382" s="696"/>
      <c r="C382" s="696"/>
      <c r="D382" s="696"/>
      <c r="E382" s="696"/>
      <c r="F382" s="696"/>
      <c r="G382" s="696"/>
      <c r="H382" s="696"/>
      <c r="I382" s="696"/>
      <c r="J382" s="696"/>
      <c r="K382" s="696"/>
      <c r="L382" s="696"/>
      <c r="M382" s="696"/>
      <c r="N382" s="696"/>
      <c r="O382" s="697"/>
      <c r="P382" s="693" t="s">
        <v>40</v>
      </c>
      <c r="Q382" s="694"/>
      <c r="R382" s="694"/>
      <c r="S382" s="694"/>
      <c r="T382" s="694"/>
      <c r="U382" s="694"/>
      <c r="V382" s="695"/>
      <c r="W382" s="42" t="s">
        <v>39</v>
      </c>
      <c r="X382" s="43">
        <f>IFERROR(X379/H379,"0")+IFERROR(X380/H380,"0")+IFERROR(X381/H381,"0")</f>
        <v>126.37362637362638</v>
      </c>
      <c r="Y382" s="43">
        <f>IFERROR(Y379/H379,"0")+IFERROR(Y380/H380,"0")+IFERROR(Y381/H381,"0")</f>
        <v>127</v>
      </c>
      <c r="Z382" s="43">
        <f>IFERROR(IF(Z379="",0,Z379),"0")+IFERROR(IF(Z380="",0,Z380),"0")+IFERROR(IF(Z381="",0,Z381),"0")</f>
        <v>2.41046</v>
      </c>
      <c r="AA382" s="67"/>
      <c r="AB382" s="67"/>
      <c r="AC382" s="67"/>
    </row>
    <row r="383" spans="1:68">
      <c r="A383" s="696"/>
      <c r="B383" s="696"/>
      <c r="C383" s="696"/>
      <c r="D383" s="696"/>
      <c r="E383" s="696"/>
      <c r="F383" s="696"/>
      <c r="G383" s="696"/>
      <c r="H383" s="696"/>
      <c r="I383" s="696"/>
      <c r="J383" s="696"/>
      <c r="K383" s="696"/>
      <c r="L383" s="696"/>
      <c r="M383" s="696"/>
      <c r="N383" s="696"/>
      <c r="O383" s="697"/>
      <c r="P383" s="693" t="s">
        <v>40</v>
      </c>
      <c r="Q383" s="694"/>
      <c r="R383" s="694"/>
      <c r="S383" s="694"/>
      <c r="T383" s="694"/>
      <c r="U383" s="694"/>
      <c r="V383" s="695"/>
      <c r="W383" s="42" t="s">
        <v>0</v>
      </c>
      <c r="X383" s="43">
        <f>IFERROR(SUM(X379:X381),"0")</f>
        <v>1000</v>
      </c>
      <c r="Y383" s="43">
        <f>IFERROR(SUM(Y379:Y381),"0")</f>
        <v>1005</v>
      </c>
      <c r="Z383" s="42"/>
      <c r="AA383" s="67"/>
      <c r="AB383" s="67"/>
      <c r="AC383" s="67"/>
    </row>
    <row r="384" spans="1:68" ht="14.25" customHeight="1">
      <c r="A384" s="687" t="s">
        <v>104</v>
      </c>
      <c r="B384" s="687"/>
      <c r="C384" s="687"/>
      <c r="D384" s="687"/>
      <c r="E384" s="687"/>
      <c r="F384" s="687"/>
      <c r="G384" s="687"/>
      <c r="H384" s="687"/>
      <c r="I384" s="687"/>
      <c r="J384" s="687"/>
      <c r="K384" s="687"/>
      <c r="L384" s="687"/>
      <c r="M384" s="687"/>
      <c r="N384" s="687"/>
      <c r="O384" s="687"/>
      <c r="P384" s="687"/>
      <c r="Q384" s="687"/>
      <c r="R384" s="687"/>
      <c r="S384" s="687"/>
      <c r="T384" s="687"/>
      <c r="U384" s="687"/>
      <c r="V384" s="687"/>
      <c r="W384" s="687"/>
      <c r="X384" s="687"/>
      <c r="Y384" s="687"/>
      <c r="Z384" s="687"/>
      <c r="AA384" s="66"/>
      <c r="AB384" s="66"/>
      <c r="AC384" s="80"/>
    </row>
    <row r="385" spans="1:68" ht="27" customHeight="1">
      <c r="A385" s="63" t="s">
        <v>638</v>
      </c>
      <c r="B385" s="63" t="s">
        <v>639</v>
      </c>
      <c r="C385" s="36">
        <v>4301030235</v>
      </c>
      <c r="D385" s="688">
        <v>4607091388381</v>
      </c>
      <c r="E385" s="688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0"/>
      <c r="R385" s="690"/>
      <c r="S385" s="690"/>
      <c r="T385" s="691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>
      <c r="A386" s="63" t="s">
        <v>641</v>
      </c>
      <c r="B386" s="63" t="s">
        <v>642</v>
      </c>
      <c r="C386" s="36">
        <v>4301030232</v>
      </c>
      <c r="D386" s="688">
        <v>4607091388374</v>
      </c>
      <c r="E386" s="688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0"/>
      <c r="R386" s="690"/>
      <c r="S386" s="690"/>
      <c r="T386" s="691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>
      <c r="A387" s="63" t="s">
        <v>643</v>
      </c>
      <c r="B387" s="63" t="s">
        <v>644</v>
      </c>
      <c r="C387" s="36">
        <v>4301032015</v>
      </c>
      <c r="D387" s="688">
        <v>4607091383102</v>
      </c>
      <c r="E387" s="688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0"/>
      <c r="R387" s="690"/>
      <c r="S387" s="690"/>
      <c r="T387" s="691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>
      <c r="A388" s="63" t="s">
        <v>645</v>
      </c>
      <c r="B388" s="63" t="s">
        <v>646</v>
      </c>
      <c r="C388" s="36">
        <v>4301030233</v>
      </c>
      <c r="D388" s="688">
        <v>4607091388404</v>
      </c>
      <c r="E388" s="688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0"/>
      <c r="R388" s="690"/>
      <c r="S388" s="690"/>
      <c r="T388" s="691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>
      <c r="A389" s="696"/>
      <c r="B389" s="696"/>
      <c r="C389" s="696"/>
      <c r="D389" s="696"/>
      <c r="E389" s="696"/>
      <c r="F389" s="696"/>
      <c r="G389" s="696"/>
      <c r="H389" s="696"/>
      <c r="I389" s="696"/>
      <c r="J389" s="696"/>
      <c r="K389" s="696"/>
      <c r="L389" s="696"/>
      <c r="M389" s="696"/>
      <c r="N389" s="696"/>
      <c r="O389" s="697"/>
      <c r="P389" s="693" t="s">
        <v>40</v>
      </c>
      <c r="Q389" s="694"/>
      <c r="R389" s="694"/>
      <c r="S389" s="694"/>
      <c r="T389" s="694"/>
      <c r="U389" s="694"/>
      <c r="V389" s="695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>
      <c r="A390" s="696"/>
      <c r="B390" s="696"/>
      <c r="C390" s="696"/>
      <c r="D390" s="696"/>
      <c r="E390" s="696"/>
      <c r="F390" s="696"/>
      <c r="G390" s="696"/>
      <c r="H390" s="696"/>
      <c r="I390" s="696"/>
      <c r="J390" s="696"/>
      <c r="K390" s="696"/>
      <c r="L390" s="696"/>
      <c r="M390" s="696"/>
      <c r="N390" s="696"/>
      <c r="O390" s="697"/>
      <c r="P390" s="693" t="s">
        <v>40</v>
      </c>
      <c r="Q390" s="694"/>
      <c r="R390" s="694"/>
      <c r="S390" s="694"/>
      <c r="T390" s="694"/>
      <c r="U390" s="694"/>
      <c r="V390" s="695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>
      <c r="A391" s="687" t="s">
        <v>647</v>
      </c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7"/>
      <c r="P391" s="687"/>
      <c r="Q391" s="687"/>
      <c r="R391" s="687"/>
      <c r="S391" s="687"/>
      <c r="T391" s="687"/>
      <c r="U391" s="687"/>
      <c r="V391" s="687"/>
      <c r="W391" s="687"/>
      <c r="X391" s="687"/>
      <c r="Y391" s="687"/>
      <c r="Z391" s="687"/>
      <c r="AA391" s="66"/>
      <c r="AB391" s="66"/>
      <c r="AC391" s="80"/>
    </row>
    <row r="392" spans="1:68" ht="16.5" customHeight="1">
      <c r="A392" s="63" t="s">
        <v>648</v>
      </c>
      <c r="B392" s="63" t="s">
        <v>649</v>
      </c>
      <c r="C392" s="36">
        <v>4301180007</v>
      </c>
      <c r="D392" s="688">
        <v>4680115881808</v>
      </c>
      <c r="E392" s="688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0"/>
      <c r="R392" s="690"/>
      <c r="S392" s="690"/>
      <c r="T392" s="69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>
      <c r="A393" s="63" t="s">
        <v>652</v>
      </c>
      <c r="B393" s="63" t="s">
        <v>653</v>
      </c>
      <c r="C393" s="36">
        <v>4301180006</v>
      </c>
      <c r="D393" s="688">
        <v>4680115881822</v>
      </c>
      <c r="E393" s="688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0"/>
      <c r="R393" s="690"/>
      <c r="S393" s="690"/>
      <c r="T393" s="69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>
      <c r="A394" s="63" t="s">
        <v>654</v>
      </c>
      <c r="B394" s="63" t="s">
        <v>655</v>
      </c>
      <c r="C394" s="36">
        <v>4301180001</v>
      </c>
      <c r="D394" s="688">
        <v>4680115880016</v>
      </c>
      <c r="E394" s="688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0"/>
      <c r="R394" s="690"/>
      <c r="S394" s="690"/>
      <c r="T394" s="69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>
      <c r="A395" s="696"/>
      <c r="B395" s="696"/>
      <c r="C395" s="696"/>
      <c r="D395" s="696"/>
      <c r="E395" s="696"/>
      <c r="F395" s="696"/>
      <c r="G395" s="696"/>
      <c r="H395" s="696"/>
      <c r="I395" s="696"/>
      <c r="J395" s="696"/>
      <c r="K395" s="696"/>
      <c r="L395" s="696"/>
      <c r="M395" s="696"/>
      <c r="N395" s="696"/>
      <c r="O395" s="697"/>
      <c r="P395" s="693" t="s">
        <v>40</v>
      </c>
      <c r="Q395" s="694"/>
      <c r="R395" s="694"/>
      <c r="S395" s="694"/>
      <c r="T395" s="694"/>
      <c r="U395" s="694"/>
      <c r="V395" s="695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>
      <c r="A396" s="696"/>
      <c r="B396" s="696"/>
      <c r="C396" s="696"/>
      <c r="D396" s="696"/>
      <c r="E396" s="696"/>
      <c r="F396" s="696"/>
      <c r="G396" s="696"/>
      <c r="H396" s="696"/>
      <c r="I396" s="696"/>
      <c r="J396" s="696"/>
      <c r="K396" s="696"/>
      <c r="L396" s="696"/>
      <c r="M396" s="696"/>
      <c r="N396" s="696"/>
      <c r="O396" s="697"/>
      <c r="P396" s="693" t="s">
        <v>40</v>
      </c>
      <c r="Q396" s="694"/>
      <c r="R396" s="694"/>
      <c r="S396" s="694"/>
      <c r="T396" s="694"/>
      <c r="U396" s="694"/>
      <c r="V396" s="695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>
      <c r="A397" s="686" t="s">
        <v>656</v>
      </c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  <c r="L397" s="686"/>
      <c r="M397" s="686"/>
      <c r="N397" s="686"/>
      <c r="O397" s="686"/>
      <c r="P397" s="686"/>
      <c r="Q397" s="686"/>
      <c r="R397" s="686"/>
      <c r="S397" s="686"/>
      <c r="T397" s="686"/>
      <c r="U397" s="686"/>
      <c r="V397" s="686"/>
      <c r="W397" s="686"/>
      <c r="X397" s="686"/>
      <c r="Y397" s="686"/>
      <c r="Z397" s="686"/>
      <c r="AA397" s="65"/>
      <c r="AB397" s="65"/>
      <c r="AC397" s="79"/>
    </row>
    <row r="398" spans="1:68" ht="14.25" customHeight="1">
      <c r="A398" s="687" t="s">
        <v>86</v>
      </c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7"/>
      <c r="P398" s="687"/>
      <c r="Q398" s="687"/>
      <c r="R398" s="687"/>
      <c r="S398" s="687"/>
      <c r="T398" s="687"/>
      <c r="U398" s="687"/>
      <c r="V398" s="687"/>
      <c r="W398" s="687"/>
      <c r="X398" s="687"/>
      <c r="Y398" s="687"/>
      <c r="Z398" s="687"/>
      <c r="AA398" s="66"/>
      <c r="AB398" s="66"/>
      <c r="AC398" s="80"/>
    </row>
    <row r="399" spans="1:68" ht="27" customHeight="1">
      <c r="A399" s="63" t="s">
        <v>657</v>
      </c>
      <c r="B399" s="63" t="s">
        <v>658</v>
      </c>
      <c r="C399" s="36">
        <v>4301051489</v>
      </c>
      <c r="D399" s="688">
        <v>4607091387919</v>
      </c>
      <c r="E399" s="688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90"/>
      <c r="R399" s="690"/>
      <c r="S399" s="690"/>
      <c r="T399" s="691"/>
      <c r="U399" s="39" t="s">
        <v>46</v>
      </c>
      <c r="V399" s="39" t="s">
        <v>46</v>
      </c>
      <c r="W399" s="40" t="s">
        <v>0</v>
      </c>
      <c r="X399" s="58">
        <v>250</v>
      </c>
      <c r="Y399" s="55">
        <f>IFERROR(IF(X399="",0,CEILING((X399/$H399),1)*$H399),"")</f>
        <v>251.1</v>
      </c>
      <c r="Z399" s="41">
        <f>IFERROR(IF(Y399=0,"",ROUNDUP(Y399/H399,0)*0.01898),"")</f>
        <v>0.58838000000000001</v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265.24691358024694</v>
      </c>
      <c r="BN399" s="78">
        <f>IFERROR(Y399*I399/H399,"0")</f>
        <v>266.41399999999999</v>
      </c>
      <c r="BO399" s="78">
        <f>IFERROR(1/J399*(X399/H399),"0")</f>
        <v>0.48225308641975312</v>
      </c>
      <c r="BP399" s="78">
        <f>IFERROR(1/J399*(Y399/H399),"0")</f>
        <v>0.484375</v>
      </c>
    </row>
    <row r="400" spans="1:68" ht="27" customHeight="1">
      <c r="A400" s="63" t="s">
        <v>660</v>
      </c>
      <c r="B400" s="63" t="s">
        <v>661</v>
      </c>
      <c r="C400" s="36">
        <v>4301051461</v>
      </c>
      <c r="D400" s="688">
        <v>4680115883604</v>
      </c>
      <c r="E400" s="688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9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90"/>
      <c r="R400" s="690"/>
      <c r="S400" s="690"/>
      <c r="T400" s="691"/>
      <c r="U400" s="39" t="s">
        <v>46</v>
      </c>
      <c r="V400" s="39" t="s">
        <v>46</v>
      </c>
      <c r="W400" s="40" t="s">
        <v>0</v>
      </c>
      <c r="X400" s="58">
        <v>87</v>
      </c>
      <c r="Y400" s="55">
        <f>IFERROR(IF(X400="",0,CEILING((X400/$H400),1)*$H400),"")</f>
        <v>88.2</v>
      </c>
      <c r="Z400" s="41">
        <f>IFERROR(IF(Y400=0,"",ROUNDUP(Y400/H400,0)*0.00651),"")</f>
        <v>0.27342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97.44</v>
      </c>
      <c r="BN400" s="78">
        <f>IFERROR(Y400*I400/H400,"0")</f>
        <v>98.783999999999992</v>
      </c>
      <c r="BO400" s="78">
        <f>IFERROR(1/J400*(X400/H400),"0")</f>
        <v>0.22762951334379905</v>
      </c>
      <c r="BP400" s="78">
        <f>IFERROR(1/J400*(Y400/H400),"0")</f>
        <v>0.23076923076923078</v>
      </c>
    </row>
    <row r="401" spans="1:68" ht="27" customHeight="1">
      <c r="A401" s="63" t="s">
        <v>663</v>
      </c>
      <c r="B401" s="63" t="s">
        <v>664</v>
      </c>
      <c r="C401" s="36">
        <v>4301051864</v>
      </c>
      <c r="D401" s="688">
        <v>4680115883567</v>
      </c>
      <c r="E401" s="688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90"/>
      <c r="R401" s="690"/>
      <c r="S401" s="690"/>
      <c r="T401" s="691"/>
      <c r="U401" s="39" t="s">
        <v>46</v>
      </c>
      <c r="V401" s="39" t="s">
        <v>46</v>
      </c>
      <c r="W401" s="40" t="s">
        <v>0</v>
      </c>
      <c r="X401" s="58">
        <v>35</v>
      </c>
      <c r="Y401" s="55">
        <f>IFERROR(IF(X401="",0,CEILING((X401/$H401),1)*$H401),"")</f>
        <v>35.700000000000003</v>
      </c>
      <c r="Z401" s="41">
        <f>IFERROR(IF(Y401=0,"",ROUNDUP(Y401/H401,0)*0.00651),"")</f>
        <v>0.11067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38.999999999999993</v>
      </c>
      <c r="BN401" s="78">
        <f>IFERROR(Y401*I401/H401,"0")</f>
        <v>39.779999999999994</v>
      </c>
      <c r="BO401" s="78">
        <f>IFERROR(1/J401*(X401/H401),"0")</f>
        <v>9.1575091575091569E-2</v>
      </c>
      <c r="BP401" s="78">
        <f>IFERROR(1/J401*(Y401/H401),"0")</f>
        <v>9.3406593406593408E-2</v>
      </c>
    </row>
    <row r="402" spans="1:68">
      <c r="A402" s="696"/>
      <c r="B402" s="696"/>
      <c r="C402" s="696"/>
      <c r="D402" s="696"/>
      <c r="E402" s="696"/>
      <c r="F402" s="696"/>
      <c r="G402" s="696"/>
      <c r="H402" s="696"/>
      <c r="I402" s="696"/>
      <c r="J402" s="696"/>
      <c r="K402" s="696"/>
      <c r="L402" s="696"/>
      <c r="M402" s="696"/>
      <c r="N402" s="696"/>
      <c r="O402" s="697"/>
      <c r="P402" s="693" t="s">
        <v>40</v>
      </c>
      <c r="Q402" s="694"/>
      <c r="R402" s="694"/>
      <c r="S402" s="694"/>
      <c r="T402" s="694"/>
      <c r="U402" s="694"/>
      <c r="V402" s="695"/>
      <c r="W402" s="42" t="s">
        <v>39</v>
      </c>
      <c r="X402" s="43">
        <f>IFERROR(X399/H399,"0")+IFERROR(X400/H400,"0")+IFERROR(X401/H401,"0")</f>
        <v>88.959435626102277</v>
      </c>
      <c r="Y402" s="43">
        <f>IFERROR(Y399/H399,"0")+IFERROR(Y400/H400,"0")+IFERROR(Y401/H401,"0")</f>
        <v>90</v>
      </c>
      <c r="Z402" s="43">
        <f>IFERROR(IF(Z399="",0,Z399),"0")+IFERROR(IF(Z400="",0,Z400),"0")+IFERROR(IF(Z401="",0,Z401),"0")</f>
        <v>0.97247000000000006</v>
      </c>
      <c r="AA402" s="67"/>
      <c r="AB402" s="67"/>
      <c r="AC402" s="67"/>
    </row>
    <row r="403" spans="1:68">
      <c r="A403" s="696"/>
      <c r="B403" s="696"/>
      <c r="C403" s="696"/>
      <c r="D403" s="696"/>
      <c r="E403" s="696"/>
      <c r="F403" s="696"/>
      <c r="G403" s="696"/>
      <c r="H403" s="696"/>
      <c r="I403" s="696"/>
      <c r="J403" s="696"/>
      <c r="K403" s="696"/>
      <c r="L403" s="696"/>
      <c r="M403" s="696"/>
      <c r="N403" s="696"/>
      <c r="O403" s="697"/>
      <c r="P403" s="693" t="s">
        <v>40</v>
      </c>
      <c r="Q403" s="694"/>
      <c r="R403" s="694"/>
      <c r="S403" s="694"/>
      <c r="T403" s="694"/>
      <c r="U403" s="694"/>
      <c r="V403" s="695"/>
      <c r="W403" s="42" t="s">
        <v>0</v>
      </c>
      <c r="X403" s="43">
        <f>IFERROR(SUM(X399:X401),"0")</f>
        <v>372</v>
      </c>
      <c r="Y403" s="43">
        <f>IFERROR(SUM(Y399:Y401),"0")</f>
        <v>375</v>
      </c>
      <c r="Z403" s="42"/>
      <c r="AA403" s="67"/>
      <c r="AB403" s="67"/>
      <c r="AC403" s="67"/>
    </row>
    <row r="404" spans="1:68" ht="27.75" customHeight="1">
      <c r="A404" s="685" t="s">
        <v>666</v>
      </c>
      <c r="B404" s="685"/>
      <c r="C404" s="685"/>
      <c r="D404" s="685"/>
      <c r="E404" s="685"/>
      <c r="F404" s="685"/>
      <c r="G404" s="685"/>
      <c r="H404" s="685"/>
      <c r="I404" s="685"/>
      <c r="J404" s="685"/>
      <c r="K404" s="685"/>
      <c r="L404" s="685"/>
      <c r="M404" s="685"/>
      <c r="N404" s="685"/>
      <c r="O404" s="685"/>
      <c r="P404" s="685"/>
      <c r="Q404" s="685"/>
      <c r="R404" s="685"/>
      <c r="S404" s="685"/>
      <c r="T404" s="685"/>
      <c r="U404" s="685"/>
      <c r="V404" s="685"/>
      <c r="W404" s="685"/>
      <c r="X404" s="685"/>
      <c r="Y404" s="685"/>
      <c r="Z404" s="685"/>
      <c r="AA404" s="54"/>
      <c r="AB404" s="54"/>
      <c r="AC404" s="54"/>
    </row>
    <row r="405" spans="1:68" ht="16.5" customHeight="1">
      <c r="A405" s="686" t="s">
        <v>667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6"/>
      <c r="N405" s="686"/>
      <c r="O405" s="686"/>
      <c r="P405" s="686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5"/>
      <c r="AB405" s="65"/>
      <c r="AC405" s="79"/>
    </row>
    <row r="406" spans="1:68" ht="14.25" customHeight="1">
      <c r="A406" s="687" t="s">
        <v>129</v>
      </c>
      <c r="B406" s="687"/>
      <c r="C406" s="687"/>
      <c r="D406" s="687"/>
      <c r="E406" s="687"/>
      <c r="F406" s="687"/>
      <c r="G406" s="687"/>
      <c r="H406" s="687"/>
      <c r="I406" s="687"/>
      <c r="J406" s="687"/>
      <c r="K406" s="687"/>
      <c r="L406" s="687"/>
      <c r="M406" s="687"/>
      <c r="N406" s="687"/>
      <c r="O406" s="687"/>
      <c r="P406" s="687"/>
      <c r="Q406" s="687"/>
      <c r="R406" s="687"/>
      <c r="S406" s="687"/>
      <c r="T406" s="687"/>
      <c r="U406" s="687"/>
      <c r="V406" s="687"/>
      <c r="W406" s="687"/>
      <c r="X406" s="687"/>
      <c r="Y406" s="687"/>
      <c r="Z406" s="687"/>
      <c r="AA406" s="66"/>
      <c r="AB406" s="66"/>
      <c r="AC406" s="80"/>
    </row>
    <row r="407" spans="1:68" ht="27" customHeight="1">
      <c r="A407" s="63" t="s">
        <v>668</v>
      </c>
      <c r="B407" s="63" t="s">
        <v>669</v>
      </c>
      <c r="C407" s="36">
        <v>4301012332</v>
      </c>
      <c r="D407" s="688">
        <v>4680115888401</v>
      </c>
      <c r="E407" s="688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90"/>
      <c r="R407" s="690"/>
      <c r="S407" s="690"/>
      <c r="T407" s="691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>
      <c r="A408" s="63" t="s">
        <v>671</v>
      </c>
      <c r="B408" s="63" t="s">
        <v>672</v>
      </c>
      <c r="C408" s="36">
        <v>4301011869</v>
      </c>
      <c r="D408" s="688">
        <v>4680115884847</v>
      </c>
      <c r="E408" s="688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90"/>
      <c r="R408" s="690"/>
      <c r="S408" s="690"/>
      <c r="T408" s="691"/>
      <c r="U408" s="39" t="s">
        <v>46</v>
      </c>
      <c r="V408" s="39" t="s">
        <v>46</v>
      </c>
      <c r="W408" s="40" t="s">
        <v>0</v>
      </c>
      <c r="X408" s="58">
        <v>720</v>
      </c>
      <c r="Y408" s="55">
        <f t="shared" si="57"/>
        <v>720</v>
      </c>
      <c r="Z408" s="41">
        <f>IFERROR(IF(Y408=0,"",ROUNDUP(Y408/H408,0)*0.02175),"")</f>
        <v>1.044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742.56</v>
      </c>
      <c r="BN408" s="78">
        <f t="shared" si="59"/>
        <v>742.56</v>
      </c>
      <c r="BO408" s="78">
        <f t="shared" si="60"/>
        <v>1</v>
      </c>
      <c r="BP408" s="78">
        <f t="shared" si="61"/>
        <v>1</v>
      </c>
    </row>
    <row r="409" spans="1:68" ht="27" customHeight="1">
      <c r="A409" s="63" t="s">
        <v>674</v>
      </c>
      <c r="B409" s="63" t="s">
        <v>675</v>
      </c>
      <c r="C409" s="36">
        <v>4301012083</v>
      </c>
      <c r="D409" s="688">
        <v>4680115884854</v>
      </c>
      <c r="E409" s="688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90"/>
      <c r="R409" s="690"/>
      <c r="S409" s="690"/>
      <c r="T409" s="691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27" customHeight="1">
      <c r="A410" s="63" t="s">
        <v>677</v>
      </c>
      <c r="B410" s="63" t="s">
        <v>678</v>
      </c>
      <c r="C410" s="36">
        <v>4301011867</v>
      </c>
      <c r="D410" s="688">
        <v>4680115884830</v>
      </c>
      <c r="E410" s="688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90"/>
      <c r="R410" s="690"/>
      <c r="S410" s="690"/>
      <c r="T410" s="691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>
      <c r="A411" s="63" t="s">
        <v>680</v>
      </c>
      <c r="B411" s="63" t="s">
        <v>681</v>
      </c>
      <c r="C411" s="36">
        <v>4301012356</v>
      </c>
      <c r="D411" s="688">
        <v>4680115889231</v>
      </c>
      <c r="E411" s="688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90"/>
      <c r="R411" s="690"/>
      <c r="S411" s="690"/>
      <c r="T411" s="691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7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0</v>
      </c>
      <c r="BN411" s="78">
        <f t="shared" si="59"/>
        <v>0</v>
      </c>
      <c r="BO411" s="78">
        <f t="shared" si="60"/>
        <v>0</v>
      </c>
      <c r="BP411" s="78">
        <f t="shared" si="61"/>
        <v>0</v>
      </c>
    </row>
    <row r="412" spans="1:68" ht="27" customHeight="1">
      <c r="A412" s="63" t="s">
        <v>683</v>
      </c>
      <c r="B412" s="63" t="s">
        <v>684</v>
      </c>
      <c r="C412" s="36">
        <v>4301011433</v>
      </c>
      <c r="D412" s="688">
        <v>4680115882638</v>
      </c>
      <c r="E412" s="688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90"/>
      <c r="R412" s="690"/>
      <c r="S412" s="690"/>
      <c r="T412" s="691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customHeight="1">
      <c r="A413" s="63" t="s">
        <v>686</v>
      </c>
      <c r="B413" s="63" t="s">
        <v>687</v>
      </c>
      <c r="C413" s="36">
        <v>4301011952</v>
      </c>
      <c r="D413" s="688">
        <v>4680115884922</v>
      </c>
      <c r="E413" s="688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90"/>
      <c r="R413" s="690"/>
      <c r="S413" s="690"/>
      <c r="T413" s="691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>
      <c r="A414" s="63" t="s">
        <v>689</v>
      </c>
      <c r="B414" s="63" t="s">
        <v>690</v>
      </c>
      <c r="C414" s="36">
        <v>4301011868</v>
      </c>
      <c r="D414" s="688">
        <v>4680115884861</v>
      </c>
      <c r="E414" s="688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90"/>
      <c r="R414" s="690"/>
      <c r="S414" s="690"/>
      <c r="T414" s="691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>
      <c r="A415" s="696"/>
      <c r="B415" s="696"/>
      <c r="C415" s="696"/>
      <c r="D415" s="696"/>
      <c r="E415" s="696"/>
      <c r="F415" s="696"/>
      <c r="G415" s="696"/>
      <c r="H415" s="696"/>
      <c r="I415" s="696"/>
      <c r="J415" s="696"/>
      <c r="K415" s="696"/>
      <c r="L415" s="696"/>
      <c r="M415" s="696"/>
      <c r="N415" s="696"/>
      <c r="O415" s="697"/>
      <c r="P415" s="693" t="s">
        <v>40</v>
      </c>
      <c r="Q415" s="694"/>
      <c r="R415" s="694"/>
      <c r="S415" s="694"/>
      <c r="T415" s="694"/>
      <c r="U415" s="694"/>
      <c r="V415" s="695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48</v>
      </c>
      <c r="Y415" s="43">
        <f>IFERROR(Y407/H407,"0")+IFERROR(Y408/H408,"0")+IFERROR(Y409/H409,"0")+IFERROR(Y410/H410,"0")+IFERROR(Y411/H411,"0")+IFERROR(Y412/H412,"0")+IFERROR(Y413/H413,"0")+IFERROR(Y414/H414,"0")</f>
        <v>48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1.044</v>
      </c>
      <c r="AA415" s="67"/>
      <c r="AB415" s="67"/>
      <c r="AC415" s="67"/>
    </row>
    <row r="416" spans="1:68">
      <c r="A416" s="696"/>
      <c r="B416" s="696"/>
      <c r="C416" s="696"/>
      <c r="D416" s="696"/>
      <c r="E416" s="696"/>
      <c r="F416" s="696"/>
      <c r="G416" s="696"/>
      <c r="H416" s="696"/>
      <c r="I416" s="696"/>
      <c r="J416" s="696"/>
      <c r="K416" s="696"/>
      <c r="L416" s="696"/>
      <c r="M416" s="696"/>
      <c r="N416" s="696"/>
      <c r="O416" s="697"/>
      <c r="P416" s="693" t="s">
        <v>40</v>
      </c>
      <c r="Q416" s="694"/>
      <c r="R416" s="694"/>
      <c r="S416" s="694"/>
      <c r="T416" s="694"/>
      <c r="U416" s="694"/>
      <c r="V416" s="695"/>
      <c r="W416" s="42" t="s">
        <v>0</v>
      </c>
      <c r="X416" s="43">
        <f>IFERROR(SUM(X407:X414),"0")</f>
        <v>720</v>
      </c>
      <c r="Y416" s="43">
        <f>IFERROR(SUM(Y407:Y414),"0")</f>
        <v>720</v>
      </c>
      <c r="Z416" s="42"/>
      <c r="AA416" s="67"/>
      <c r="AB416" s="67"/>
      <c r="AC416" s="67"/>
    </row>
    <row r="417" spans="1:68" ht="14.25" customHeight="1">
      <c r="A417" s="687" t="s">
        <v>166</v>
      </c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7"/>
      <c r="P417" s="687"/>
      <c r="Q417" s="687"/>
      <c r="R417" s="687"/>
      <c r="S417" s="687"/>
      <c r="T417" s="687"/>
      <c r="U417" s="687"/>
      <c r="V417" s="687"/>
      <c r="W417" s="687"/>
      <c r="X417" s="687"/>
      <c r="Y417" s="687"/>
      <c r="Z417" s="687"/>
      <c r="AA417" s="66"/>
      <c r="AB417" s="66"/>
      <c r="AC417" s="80"/>
    </row>
    <row r="418" spans="1:68" ht="27" customHeight="1">
      <c r="A418" s="63" t="s">
        <v>692</v>
      </c>
      <c r="B418" s="63" t="s">
        <v>693</v>
      </c>
      <c r="C418" s="36">
        <v>4301020178</v>
      </c>
      <c r="D418" s="688">
        <v>4607091383980</v>
      </c>
      <c r="E418" s="688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90"/>
      <c r="R418" s="690"/>
      <c r="S418" s="690"/>
      <c r="T418" s="691"/>
      <c r="U418" s="39" t="s">
        <v>46</v>
      </c>
      <c r="V418" s="39" t="s">
        <v>46</v>
      </c>
      <c r="W418" s="40" t="s">
        <v>0</v>
      </c>
      <c r="X418" s="58">
        <v>3200</v>
      </c>
      <c r="Y418" s="55">
        <f>IFERROR(IF(X418="",0,CEILING((X418/$H418),1)*$H418),"")</f>
        <v>3210</v>
      </c>
      <c r="Z418" s="41">
        <f>IFERROR(IF(Y418=0,"",ROUNDUP(Y418/H418,0)*0.02175),"")</f>
        <v>4.6544999999999996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3300.2666666666669</v>
      </c>
      <c r="BN418" s="78">
        <f>IFERROR(Y418*I418/H418,"0")</f>
        <v>3310.5800000000004</v>
      </c>
      <c r="BO418" s="78">
        <f>IFERROR(1/J418*(X418/H418),"0")</f>
        <v>4.4444444444444446</v>
      </c>
      <c r="BP418" s="78">
        <f>IFERROR(1/J418*(Y418/H418),"0")</f>
        <v>4.458333333333333</v>
      </c>
    </row>
    <row r="419" spans="1:68" ht="27" customHeight="1">
      <c r="A419" s="63" t="s">
        <v>695</v>
      </c>
      <c r="B419" s="63" t="s">
        <v>696</v>
      </c>
      <c r="C419" s="36">
        <v>4301020355</v>
      </c>
      <c r="D419" s="688">
        <v>4680115888425</v>
      </c>
      <c r="E419" s="688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90"/>
      <c r="R419" s="690"/>
      <c r="S419" s="690"/>
      <c r="T419" s="69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>
      <c r="A420" s="63" t="s">
        <v>698</v>
      </c>
      <c r="B420" s="63" t="s">
        <v>699</v>
      </c>
      <c r="C420" s="36">
        <v>4301020179</v>
      </c>
      <c r="D420" s="688">
        <v>4607091384178</v>
      </c>
      <c r="E420" s="688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90"/>
      <c r="R420" s="690"/>
      <c r="S420" s="690"/>
      <c r="T420" s="691"/>
      <c r="U420" s="39" t="s">
        <v>46</v>
      </c>
      <c r="V420" s="39" t="s">
        <v>46</v>
      </c>
      <c r="W420" s="40" t="s">
        <v>0</v>
      </c>
      <c r="X420" s="58">
        <v>40</v>
      </c>
      <c r="Y420" s="55">
        <f>IFERROR(IF(X420="",0,CEILING((X420/$H420),1)*$H420),"")</f>
        <v>40</v>
      </c>
      <c r="Z420" s="41">
        <f>IFERROR(IF(Y420=0,"",ROUNDUP(Y420/H420,0)*0.00902),"")</f>
        <v>9.0200000000000002E-2</v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41.900000000000006</v>
      </c>
      <c r="BN420" s="78">
        <f>IFERROR(Y420*I420/H420,"0")</f>
        <v>41.900000000000006</v>
      </c>
      <c r="BO420" s="78">
        <f>IFERROR(1/J420*(X420/H420),"0")</f>
        <v>7.575757575757576E-2</v>
      </c>
      <c r="BP420" s="78">
        <f>IFERROR(1/J420*(Y420/H420),"0")</f>
        <v>7.575757575757576E-2</v>
      </c>
    </row>
    <row r="421" spans="1:68">
      <c r="A421" s="696"/>
      <c r="B421" s="696"/>
      <c r="C421" s="696"/>
      <c r="D421" s="696"/>
      <c r="E421" s="696"/>
      <c r="F421" s="696"/>
      <c r="G421" s="696"/>
      <c r="H421" s="696"/>
      <c r="I421" s="696"/>
      <c r="J421" s="696"/>
      <c r="K421" s="696"/>
      <c r="L421" s="696"/>
      <c r="M421" s="696"/>
      <c r="N421" s="696"/>
      <c r="O421" s="697"/>
      <c r="P421" s="693" t="s">
        <v>40</v>
      </c>
      <c r="Q421" s="694"/>
      <c r="R421" s="694"/>
      <c r="S421" s="694"/>
      <c r="T421" s="694"/>
      <c r="U421" s="694"/>
      <c r="V421" s="695"/>
      <c r="W421" s="42" t="s">
        <v>39</v>
      </c>
      <c r="X421" s="43">
        <f>IFERROR(X418/H418,"0")+IFERROR(X419/H419,"0")+IFERROR(X420/H420,"0")</f>
        <v>223.33333333333334</v>
      </c>
      <c r="Y421" s="43">
        <f>IFERROR(Y418/H418,"0")+IFERROR(Y419/H419,"0")+IFERROR(Y420/H420,"0")</f>
        <v>224</v>
      </c>
      <c r="Z421" s="43">
        <f>IFERROR(IF(Z418="",0,Z418),"0")+IFERROR(IF(Z419="",0,Z419),"0")+IFERROR(IF(Z420="",0,Z420),"0")</f>
        <v>4.7446999999999999</v>
      </c>
      <c r="AA421" s="67"/>
      <c r="AB421" s="67"/>
      <c r="AC421" s="67"/>
    </row>
    <row r="422" spans="1:68">
      <c r="A422" s="696"/>
      <c r="B422" s="696"/>
      <c r="C422" s="696"/>
      <c r="D422" s="696"/>
      <c r="E422" s="696"/>
      <c r="F422" s="696"/>
      <c r="G422" s="696"/>
      <c r="H422" s="696"/>
      <c r="I422" s="696"/>
      <c r="J422" s="696"/>
      <c r="K422" s="696"/>
      <c r="L422" s="696"/>
      <c r="M422" s="696"/>
      <c r="N422" s="696"/>
      <c r="O422" s="697"/>
      <c r="P422" s="693" t="s">
        <v>40</v>
      </c>
      <c r="Q422" s="694"/>
      <c r="R422" s="694"/>
      <c r="S422" s="694"/>
      <c r="T422" s="694"/>
      <c r="U422" s="694"/>
      <c r="V422" s="695"/>
      <c r="W422" s="42" t="s">
        <v>0</v>
      </c>
      <c r="X422" s="43">
        <f>IFERROR(SUM(X418:X420),"0")</f>
        <v>3240</v>
      </c>
      <c r="Y422" s="43">
        <f>IFERROR(SUM(Y418:Y420),"0")</f>
        <v>3250</v>
      </c>
      <c r="Z422" s="42"/>
      <c r="AA422" s="67"/>
      <c r="AB422" s="67"/>
      <c r="AC422" s="67"/>
    </row>
    <row r="423" spans="1:68" ht="14.25" customHeight="1">
      <c r="A423" s="687" t="s">
        <v>86</v>
      </c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7"/>
      <c r="P423" s="687"/>
      <c r="Q423" s="687"/>
      <c r="R423" s="687"/>
      <c r="S423" s="687"/>
      <c r="T423" s="687"/>
      <c r="U423" s="687"/>
      <c r="V423" s="687"/>
      <c r="W423" s="687"/>
      <c r="X423" s="687"/>
      <c r="Y423" s="687"/>
      <c r="Z423" s="687"/>
      <c r="AA423" s="66"/>
      <c r="AB423" s="66"/>
      <c r="AC423" s="80"/>
    </row>
    <row r="424" spans="1:68" ht="27" customHeight="1">
      <c r="A424" s="63" t="s">
        <v>701</v>
      </c>
      <c r="B424" s="63" t="s">
        <v>702</v>
      </c>
      <c r="C424" s="36">
        <v>4301051903</v>
      </c>
      <c r="D424" s="688">
        <v>4607091383928</v>
      </c>
      <c r="E424" s="688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90"/>
      <c r="R424" s="690"/>
      <c r="S424" s="690"/>
      <c r="T424" s="691"/>
      <c r="U424" s="39" t="s">
        <v>46</v>
      </c>
      <c r="V424" s="39" t="s">
        <v>46</v>
      </c>
      <c r="W424" s="40" t="s">
        <v>0</v>
      </c>
      <c r="X424" s="58">
        <v>500</v>
      </c>
      <c r="Y424" s="55">
        <f>IFERROR(IF(X424="",0,CEILING((X424/$H424),1)*$H424),"")</f>
        <v>504</v>
      </c>
      <c r="Z424" s="41">
        <f>IFERROR(IF(Y424=0,"",ROUNDUP(Y424/H424,0)*0.01898),"")</f>
        <v>1.06288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527.77777777777783</v>
      </c>
      <c r="BN424" s="78">
        <f>IFERROR(Y424*I424/H424,"0")</f>
        <v>532</v>
      </c>
      <c r="BO424" s="78">
        <f>IFERROR(1/J424*(X424/H424),"0")</f>
        <v>0.86805555555555558</v>
      </c>
      <c r="BP424" s="78">
        <f>IFERROR(1/J424*(Y424/H424),"0")</f>
        <v>0.875</v>
      </c>
    </row>
    <row r="425" spans="1:68" ht="27" customHeight="1">
      <c r="A425" s="63" t="s">
        <v>704</v>
      </c>
      <c r="B425" s="63" t="s">
        <v>705</v>
      </c>
      <c r="C425" s="36">
        <v>4301051897</v>
      </c>
      <c r="D425" s="688">
        <v>4607091384260</v>
      </c>
      <c r="E425" s="688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90"/>
      <c r="R425" s="690"/>
      <c r="S425" s="690"/>
      <c r="T425" s="69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>
      <c r="A426" s="696"/>
      <c r="B426" s="696"/>
      <c r="C426" s="696"/>
      <c r="D426" s="696"/>
      <c r="E426" s="696"/>
      <c r="F426" s="696"/>
      <c r="G426" s="696"/>
      <c r="H426" s="696"/>
      <c r="I426" s="696"/>
      <c r="J426" s="696"/>
      <c r="K426" s="696"/>
      <c r="L426" s="696"/>
      <c r="M426" s="696"/>
      <c r="N426" s="696"/>
      <c r="O426" s="697"/>
      <c r="P426" s="693" t="s">
        <v>40</v>
      </c>
      <c r="Q426" s="694"/>
      <c r="R426" s="694"/>
      <c r="S426" s="694"/>
      <c r="T426" s="694"/>
      <c r="U426" s="694"/>
      <c r="V426" s="695"/>
      <c r="W426" s="42" t="s">
        <v>39</v>
      </c>
      <c r="X426" s="43">
        <f>IFERROR(X424/H424,"0")+IFERROR(X425/H425,"0")</f>
        <v>55.555555555555557</v>
      </c>
      <c r="Y426" s="43">
        <f>IFERROR(Y424/H424,"0")+IFERROR(Y425/H425,"0")</f>
        <v>56</v>
      </c>
      <c r="Z426" s="43">
        <f>IFERROR(IF(Z424="",0,Z424),"0")+IFERROR(IF(Z425="",0,Z425),"0")</f>
        <v>1.06288</v>
      </c>
      <c r="AA426" s="67"/>
      <c r="AB426" s="67"/>
      <c r="AC426" s="67"/>
    </row>
    <row r="427" spans="1:68">
      <c r="A427" s="696"/>
      <c r="B427" s="696"/>
      <c r="C427" s="696"/>
      <c r="D427" s="696"/>
      <c r="E427" s="696"/>
      <c r="F427" s="696"/>
      <c r="G427" s="696"/>
      <c r="H427" s="696"/>
      <c r="I427" s="696"/>
      <c r="J427" s="696"/>
      <c r="K427" s="696"/>
      <c r="L427" s="696"/>
      <c r="M427" s="696"/>
      <c r="N427" s="696"/>
      <c r="O427" s="697"/>
      <c r="P427" s="693" t="s">
        <v>40</v>
      </c>
      <c r="Q427" s="694"/>
      <c r="R427" s="694"/>
      <c r="S427" s="694"/>
      <c r="T427" s="694"/>
      <c r="U427" s="694"/>
      <c r="V427" s="695"/>
      <c r="W427" s="42" t="s">
        <v>0</v>
      </c>
      <c r="X427" s="43">
        <f>IFERROR(SUM(X424:X425),"0")</f>
        <v>500</v>
      </c>
      <c r="Y427" s="43">
        <f>IFERROR(SUM(Y424:Y425),"0")</f>
        <v>504</v>
      </c>
      <c r="Z427" s="42"/>
      <c r="AA427" s="67"/>
      <c r="AB427" s="67"/>
      <c r="AC427" s="67"/>
    </row>
    <row r="428" spans="1:68" ht="14.25" customHeight="1">
      <c r="A428" s="687" t="s">
        <v>183</v>
      </c>
      <c r="B428" s="687"/>
      <c r="C428" s="687"/>
      <c r="D428" s="687"/>
      <c r="E428" s="687"/>
      <c r="F428" s="687"/>
      <c r="G428" s="687"/>
      <c r="H428" s="687"/>
      <c r="I428" s="687"/>
      <c r="J428" s="687"/>
      <c r="K428" s="687"/>
      <c r="L428" s="687"/>
      <c r="M428" s="687"/>
      <c r="N428" s="687"/>
      <c r="O428" s="687"/>
      <c r="P428" s="687"/>
      <c r="Q428" s="687"/>
      <c r="R428" s="687"/>
      <c r="S428" s="687"/>
      <c r="T428" s="687"/>
      <c r="U428" s="687"/>
      <c r="V428" s="687"/>
      <c r="W428" s="687"/>
      <c r="X428" s="687"/>
      <c r="Y428" s="687"/>
      <c r="Z428" s="687"/>
      <c r="AA428" s="66"/>
      <c r="AB428" s="66"/>
      <c r="AC428" s="80"/>
    </row>
    <row r="429" spans="1:68" ht="16.5" customHeight="1">
      <c r="A429" s="63" t="s">
        <v>707</v>
      </c>
      <c r="B429" s="63" t="s">
        <v>708</v>
      </c>
      <c r="C429" s="36">
        <v>4301060524</v>
      </c>
      <c r="D429" s="688">
        <v>4607091384673</v>
      </c>
      <c r="E429" s="688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90"/>
      <c r="R429" s="690"/>
      <c r="S429" s="690"/>
      <c r="T429" s="691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>
      <c r="A430" s="696"/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7"/>
      <c r="P430" s="693" t="s">
        <v>40</v>
      </c>
      <c r="Q430" s="694"/>
      <c r="R430" s="694"/>
      <c r="S430" s="694"/>
      <c r="T430" s="694"/>
      <c r="U430" s="694"/>
      <c r="V430" s="695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>
      <c r="A431" s="696"/>
      <c r="B431" s="696"/>
      <c r="C431" s="696"/>
      <c r="D431" s="696"/>
      <c r="E431" s="696"/>
      <c r="F431" s="696"/>
      <c r="G431" s="696"/>
      <c r="H431" s="696"/>
      <c r="I431" s="696"/>
      <c r="J431" s="696"/>
      <c r="K431" s="696"/>
      <c r="L431" s="696"/>
      <c r="M431" s="696"/>
      <c r="N431" s="696"/>
      <c r="O431" s="697"/>
      <c r="P431" s="693" t="s">
        <v>40</v>
      </c>
      <c r="Q431" s="694"/>
      <c r="R431" s="694"/>
      <c r="S431" s="694"/>
      <c r="T431" s="694"/>
      <c r="U431" s="694"/>
      <c r="V431" s="695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customHeight="1">
      <c r="A432" s="686" t="s">
        <v>710</v>
      </c>
      <c r="B432" s="686"/>
      <c r="C432" s="686"/>
      <c r="D432" s="686"/>
      <c r="E432" s="686"/>
      <c r="F432" s="686"/>
      <c r="G432" s="686"/>
      <c r="H432" s="686"/>
      <c r="I432" s="686"/>
      <c r="J432" s="686"/>
      <c r="K432" s="686"/>
      <c r="L432" s="686"/>
      <c r="M432" s="686"/>
      <c r="N432" s="686"/>
      <c r="O432" s="686"/>
      <c r="P432" s="686"/>
      <c r="Q432" s="686"/>
      <c r="R432" s="686"/>
      <c r="S432" s="686"/>
      <c r="T432" s="686"/>
      <c r="U432" s="686"/>
      <c r="V432" s="686"/>
      <c r="W432" s="686"/>
      <c r="X432" s="686"/>
      <c r="Y432" s="686"/>
      <c r="Z432" s="686"/>
      <c r="AA432" s="65"/>
      <c r="AB432" s="65"/>
      <c r="AC432" s="79"/>
    </row>
    <row r="433" spans="1:68" ht="14.25" customHeight="1">
      <c r="A433" s="687" t="s">
        <v>129</v>
      </c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7"/>
      <c r="P433" s="687"/>
      <c r="Q433" s="687"/>
      <c r="R433" s="687"/>
      <c r="S433" s="687"/>
      <c r="T433" s="687"/>
      <c r="U433" s="687"/>
      <c r="V433" s="687"/>
      <c r="W433" s="687"/>
      <c r="X433" s="687"/>
      <c r="Y433" s="687"/>
      <c r="Z433" s="687"/>
      <c r="AA433" s="66"/>
      <c r="AB433" s="66"/>
      <c r="AC433" s="80"/>
    </row>
    <row r="434" spans="1:68" ht="27" customHeight="1">
      <c r="A434" s="63" t="s">
        <v>711</v>
      </c>
      <c r="B434" s="63" t="s">
        <v>712</v>
      </c>
      <c r="C434" s="36">
        <v>4301011875</v>
      </c>
      <c r="D434" s="688">
        <v>4680115884885</v>
      </c>
      <c r="E434" s="688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90"/>
      <c r="R434" s="690"/>
      <c r="S434" s="690"/>
      <c r="T434" s="691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>
      <c r="A435" s="63" t="s">
        <v>714</v>
      </c>
      <c r="B435" s="63" t="s">
        <v>715</v>
      </c>
      <c r="C435" s="36">
        <v>4301011871</v>
      </c>
      <c r="D435" s="688">
        <v>4680115884908</v>
      </c>
      <c r="E435" s="688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90"/>
      <c r="R435" s="690"/>
      <c r="S435" s="690"/>
      <c r="T435" s="691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>
      <c r="A436" s="696"/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7"/>
      <c r="P436" s="693" t="s">
        <v>40</v>
      </c>
      <c r="Q436" s="694"/>
      <c r="R436" s="694"/>
      <c r="S436" s="694"/>
      <c r="T436" s="694"/>
      <c r="U436" s="694"/>
      <c r="V436" s="695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>
      <c r="A437" s="696"/>
      <c r="B437" s="696"/>
      <c r="C437" s="696"/>
      <c r="D437" s="696"/>
      <c r="E437" s="696"/>
      <c r="F437" s="696"/>
      <c r="G437" s="696"/>
      <c r="H437" s="696"/>
      <c r="I437" s="696"/>
      <c r="J437" s="696"/>
      <c r="K437" s="696"/>
      <c r="L437" s="696"/>
      <c r="M437" s="696"/>
      <c r="N437" s="696"/>
      <c r="O437" s="697"/>
      <c r="P437" s="693" t="s">
        <v>40</v>
      </c>
      <c r="Q437" s="694"/>
      <c r="R437" s="694"/>
      <c r="S437" s="694"/>
      <c r="T437" s="694"/>
      <c r="U437" s="694"/>
      <c r="V437" s="695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>
      <c r="A438" s="687" t="s">
        <v>77</v>
      </c>
      <c r="B438" s="687"/>
      <c r="C438" s="687"/>
      <c r="D438" s="687"/>
      <c r="E438" s="687"/>
      <c r="F438" s="687"/>
      <c r="G438" s="687"/>
      <c r="H438" s="687"/>
      <c r="I438" s="687"/>
      <c r="J438" s="687"/>
      <c r="K438" s="687"/>
      <c r="L438" s="687"/>
      <c r="M438" s="687"/>
      <c r="N438" s="687"/>
      <c r="O438" s="687"/>
      <c r="P438" s="687"/>
      <c r="Q438" s="687"/>
      <c r="R438" s="687"/>
      <c r="S438" s="687"/>
      <c r="T438" s="687"/>
      <c r="U438" s="687"/>
      <c r="V438" s="687"/>
      <c r="W438" s="687"/>
      <c r="X438" s="687"/>
      <c r="Y438" s="687"/>
      <c r="Z438" s="687"/>
      <c r="AA438" s="66"/>
      <c r="AB438" s="66"/>
      <c r="AC438" s="80"/>
    </row>
    <row r="439" spans="1:68" ht="27" customHeight="1">
      <c r="A439" s="63" t="s">
        <v>716</v>
      </c>
      <c r="B439" s="63" t="s">
        <v>717</v>
      </c>
      <c r="C439" s="36">
        <v>4301031457</v>
      </c>
      <c r="D439" s="688">
        <v>4607091384802</v>
      </c>
      <c r="E439" s="688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90"/>
      <c r="R439" s="690"/>
      <c r="S439" s="690"/>
      <c r="T439" s="691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>
      <c r="A440" s="696"/>
      <c r="B440" s="696"/>
      <c r="C440" s="696"/>
      <c r="D440" s="696"/>
      <c r="E440" s="696"/>
      <c r="F440" s="696"/>
      <c r="G440" s="696"/>
      <c r="H440" s="696"/>
      <c r="I440" s="696"/>
      <c r="J440" s="696"/>
      <c r="K440" s="696"/>
      <c r="L440" s="696"/>
      <c r="M440" s="696"/>
      <c r="N440" s="696"/>
      <c r="O440" s="697"/>
      <c r="P440" s="693" t="s">
        <v>40</v>
      </c>
      <c r="Q440" s="694"/>
      <c r="R440" s="694"/>
      <c r="S440" s="694"/>
      <c r="T440" s="694"/>
      <c r="U440" s="694"/>
      <c r="V440" s="695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>
      <c r="A441" s="696"/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7"/>
      <c r="P441" s="693" t="s">
        <v>40</v>
      </c>
      <c r="Q441" s="694"/>
      <c r="R441" s="694"/>
      <c r="S441" s="694"/>
      <c r="T441" s="694"/>
      <c r="U441" s="694"/>
      <c r="V441" s="695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>
      <c r="A442" s="687" t="s">
        <v>86</v>
      </c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7"/>
      <c r="P442" s="687"/>
      <c r="Q442" s="687"/>
      <c r="R442" s="687"/>
      <c r="S442" s="687"/>
      <c r="T442" s="687"/>
      <c r="U442" s="687"/>
      <c r="V442" s="687"/>
      <c r="W442" s="687"/>
      <c r="X442" s="687"/>
      <c r="Y442" s="687"/>
      <c r="Z442" s="687"/>
      <c r="AA442" s="66"/>
      <c r="AB442" s="66"/>
      <c r="AC442" s="80"/>
    </row>
    <row r="443" spans="1:68" ht="27" customHeight="1">
      <c r="A443" s="63" t="s">
        <v>719</v>
      </c>
      <c r="B443" s="63" t="s">
        <v>720</v>
      </c>
      <c r="C443" s="36">
        <v>4301051899</v>
      </c>
      <c r="D443" s="688">
        <v>4607091384246</v>
      </c>
      <c r="E443" s="688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90"/>
      <c r="R443" s="690"/>
      <c r="S443" s="690"/>
      <c r="T443" s="691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>
      <c r="A444" s="63" t="s">
        <v>722</v>
      </c>
      <c r="B444" s="63" t="s">
        <v>723</v>
      </c>
      <c r="C444" s="36">
        <v>4301051660</v>
      </c>
      <c r="D444" s="688">
        <v>4607091384253</v>
      </c>
      <c r="E444" s="688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90"/>
      <c r="R444" s="690"/>
      <c r="S444" s="690"/>
      <c r="T444" s="691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>
      <c r="A445" s="63" t="s">
        <v>722</v>
      </c>
      <c r="B445" s="63" t="s">
        <v>724</v>
      </c>
      <c r="C445" s="36">
        <v>4301052069</v>
      </c>
      <c r="D445" s="688">
        <v>4607091384253</v>
      </c>
      <c r="E445" s="688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90"/>
      <c r="R445" s="690"/>
      <c r="S445" s="690"/>
      <c r="T445" s="691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>
      <c r="A446" s="696"/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7"/>
      <c r="P446" s="693" t="s">
        <v>40</v>
      </c>
      <c r="Q446" s="694"/>
      <c r="R446" s="694"/>
      <c r="S446" s="694"/>
      <c r="T446" s="694"/>
      <c r="U446" s="694"/>
      <c r="V446" s="695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>
      <c r="A447" s="696"/>
      <c r="B447" s="696"/>
      <c r="C447" s="696"/>
      <c r="D447" s="696"/>
      <c r="E447" s="696"/>
      <c r="F447" s="696"/>
      <c r="G447" s="696"/>
      <c r="H447" s="696"/>
      <c r="I447" s="696"/>
      <c r="J447" s="696"/>
      <c r="K447" s="696"/>
      <c r="L447" s="696"/>
      <c r="M447" s="696"/>
      <c r="N447" s="696"/>
      <c r="O447" s="697"/>
      <c r="P447" s="693" t="s">
        <v>40</v>
      </c>
      <c r="Q447" s="694"/>
      <c r="R447" s="694"/>
      <c r="S447" s="694"/>
      <c r="T447" s="694"/>
      <c r="U447" s="694"/>
      <c r="V447" s="695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customHeight="1">
      <c r="A448" s="685" t="s">
        <v>726</v>
      </c>
      <c r="B448" s="685"/>
      <c r="C448" s="685"/>
      <c r="D448" s="685"/>
      <c r="E448" s="685"/>
      <c r="F448" s="685"/>
      <c r="G448" s="685"/>
      <c r="H448" s="685"/>
      <c r="I448" s="685"/>
      <c r="J448" s="685"/>
      <c r="K448" s="685"/>
      <c r="L448" s="685"/>
      <c r="M448" s="685"/>
      <c r="N448" s="685"/>
      <c r="O448" s="685"/>
      <c r="P448" s="685"/>
      <c r="Q448" s="685"/>
      <c r="R448" s="685"/>
      <c r="S448" s="685"/>
      <c r="T448" s="685"/>
      <c r="U448" s="685"/>
      <c r="V448" s="685"/>
      <c r="W448" s="685"/>
      <c r="X448" s="685"/>
      <c r="Y448" s="685"/>
      <c r="Z448" s="685"/>
      <c r="AA448" s="54"/>
      <c r="AB448" s="54"/>
      <c r="AC448" s="54"/>
    </row>
    <row r="449" spans="1:68" ht="16.5" customHeight="1">
      <c r="A449" s="686" t="s">
        <v>727</v>
      </c>
      <c r="B449" s="686"/>
      <c r="C449" s="686"/>
      <c r="D449" s="686"/>
      <c r="E449" s="686"/>
      <c r="F449" s="686"/>
      <c r="G449" s="686"/>
      <c r="H449" s="686"/>
      <c r="I449" s="686"/>
      <c r="J449" s="686"/>
      <c r="K449" s="686"/>
      <c r="L449" s="686"/>
      <c r="M449" s="686"/>
      <c r="N449" s="686"/>
      <c r="O449" s="686"/>
      <c r="P449" s="686"/>
      <c r="Q449" s="686"/>
      <c r="R449" s="686"/>
      <c r="S449" s="686"/>
      <c r="T449" s="686"/>
      <c r="U449" s="686"/>
      <c r="V449" s="686"/>
      <c r="W449" s="686"/>
      <c r="X449" s="686"/>
      <c r="Y449" s="686"/>
      <c r="Z449" s="686"/>
      <c r="AA449" s="65"/>
      <c r="AB449" s="65"/>
      <c r="AC449" s="79"/>
    </row>
    <row r="450" spans="1:68" ht="14.25" customHeight="1">
      <c r="A450" s="687" t="s">
        <v>77</v>
      </c>
      <c r="B450" s="687"/>
      <c r="C450" s="687"/>
      <c r="D450" s="687"/>
      <c r="E450" s="687"/>
      <c r="F450" s="687"/>
      <c r="G450" s="687"/>
      <c r="H450" s="687"/>
      <c r="I450" s="687"/>
      <c r="J450" s="687"/>
      <c r="K450" s="687"/>
      <c r="L450" s="687"/>
      <c r="M450" s="687"/>
      <c r="N450" s="687"/>
      <c r="O450" s="687"/>
      <c r="P450" s="687"/>
      <c r="Q450" s="687"/>
      <c r="R450" s="687"/>
      <c r="S450" s="687"/>
      <c r="T450" s="687"/>
      <c r="U450" s="687"/>
      <c r="V450" s="687"/>
      <c r="W450" s="687"/>
      <c r="X450" s="687"/>
      <c r="Y450" s="687"/>
      <c r="Z450" s="687"/>
      <c r="AA450" s="66"/>
      <c r="AB450" s="66"/>
      <c r="AC450" s="80"/>
    </row>
    <row r="451" spans="1:68" ht="27" customHeight="1">
      <c r="A451" s="63" t="s">
        <v>728</v>
      </c>
      <c r="B451" s="63" t="s">
        <v>729</v>
      </c>
      <c r="C451" s="36">
        <v>4301031405</v>
      </c>
      <c r="D451" s="688">
        <v>4680115886100</v>
      </c>
      <c r="E451" s="688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90"/>
      <c r="R451" s="690"/>
      <c r="S451" s="690"/>
      <c r="T451" s="691"/>
      <c r="U451" s="39" t="s">
        <v>46</v>
      </c>
      <c r="V451" s="39" t="s">
        <v>46</v>
      </c>
      <c r="W451" s="40" t="s">
        <v>0</v>
      </c>
      <c r="X451" s="58">
        <v>50</v>
      </c>
      <c r="Y451" s="55">
        <f t="shared" ref="Y451:Y456" si="62">IFERROR(IF(X451="",0,CEILING((X451/$H451),1)*$H451),"")</f>
        <v>54</v>
      </c>
      <c r="Z451" s="41">
        <f>IFERROR(IF(Y451=0,"",ROUNDUP(Y451/H451,0)*0.00902),"")</f>
        <v>9.0200000000000002E-2</v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51.759259259259252</v>
      </c>
      <c r="BN451" s="78">
        <f t="shared" ref="BN451:BN456" si="64">IFERROR(Y451*I451/H451,"0")</f>
        <v>55.9</v>
      </c>
      <c r="BO451" s="78">
        <f t="shared" ref="BO451:BO456" si="65">IFERROR(1/J451*(X451/H451),"0")</f>
        <v>7.0145903479236812E-2</v>
      </c>
      <c r="BP451" s="78">
        <f t="shared" ref="BP451:BP456" si="66">IFERROR(1/J451*(Y451/H451),"0")</f>
        <v>7.575757575757576E-2</v>
      </c>
    </row>
    <row r="452" spans="1:68" ht="27" customHeight="1">
      <c r="A452" s="63" t="s">
        <v>731</v>
      </c>
      <c r="B452" s="63" t="s">
        <v>732</v>
      </c>
      <c r="C452" s="36">
        <v>4301031402</v>
      </c>
      <c r="D452" s="688">
        <v>4680115886124</v>
      </c>
      <c r="E452" s="688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90"/>
      <c r="R452" s="690"/>
      <c r="S452" s="690"/>
      <c r="T452" s="691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customHeight="1">
      <c r="A453" s="63" t="s">
        <v>734</v>
      </c>
      <c r="B453" s="63" t="s">
        <v>735</v>
      </c>
      <c r="C453" s="36">
        <v>4301031362</v>
      </c>
      <c r="D453" s="688">
        <v>4607091384338</v>
      </c>
      <c r="E453" s="688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90"/>
      <c r="R453" s="690"/>
      <c r="S453" s="690"/>
      <c r="T453" s="691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customHeight="1">
      <c r="A454" s="63" t="s">
        <v>736</v>
      </c>
      <c r="B454" s="63" t="s">
        <v>737</v>
      </c>
      <c r="C454" s="36">
        <v>4301031364</v>
      </c>
      <c r="D454" s="688">
        <v>4680115883161</v>
      </c>
      <c r="E454" s="688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90"/>
      <c r="R454" s="690"/>
      <c r="S454" s="690"/>
      <c r="T454" s="691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>
      <c r="A455" s="63" t="s">
        <v>739</v>
      </c>
      <c r="B455" s="63" t="s">
        <v>740</v>
      </c>
      <c r="C455" s="36">
        <v>4301031358</v>
      </c>
      <c r="D455" s="688">
        <v>4607091389531</v>
      </c>
      <c r="E455" s="688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90"/>
      <c r="R455" s="690"/>
      <c r="S455" s="690"/>
      <c r="T455" s="691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customHeight="1">
      <c r="A456" s="63" t="s">
        <v>742</v>
      </c>
      <c r="B456" s="63" t="s">
        <v>743</v>
      </c>
      <c r="C456" s="36">
        <v>4301031360</v>
      </c>
      <c r="D456" s="688">
        <v>4607091384345</v>
      </c>
      <c r="E456" s="688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90"/>
      <c r="R456" s="690"/>
      <c r="S456" s="690"/>
      <c r="T456" s="691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>
      <c r="A457" s="696"/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7"/>
      <c r="P457" s="693" t="s">
        <v>40</v>
      </c>
      <c r="Q457" s="694"/>
      <c r="R457" s="694"/>
      <c r="S457" s="694"/>
      <c r="T457" s="694"/>
      <c r="U457" s="694"/>
      <c r="V457" s="695"/>
      <c r="W457" s="42" t="s">
        <v>39</v>
      </c>
      <c r="X457" s="43">
        <f>IFERROR(X451/H451,"0")+IFERROR(X452/H452,"0")+IFERROR(X453/H453,"0")+IFERROR(X454/H454,"0")+IFERROR(X455/H455,"0")+IFERROR(X456/H456,"0")</f>
        <v>9.2592592592592595</v>
      </c>
      <c r="Y457" s="43">
        <f>IFERROR(Y451/H451,"0")+IFERROR(Y452/H452,"0")+IFERROR(Y453/H453,"0")+IFERROR(Y454/H454,"0")+IFERROR(Y455/H455,"0")+IFERROR(Y456/H456,"0")</f>
        <v>10</v>
      </c>
      <c r="Z457" s="43">
        <f>IFERROR(IF(Z451="",0,Z451),"0")+IFERROR(IF(Z452="",0,Z452),"0")+IFERROR(IF(Z453="",0,Z453),"0")+IFERROR(IF(Z454="",0,Z454),"0")+IFERROR(IF(Z455="",0,Z455),"0")+IFERROR(IF(Z456="",0,Z456),"0")</f>
        <v>9.0200000000000002E-2</v>
      </c>
      <c r="AA457" s="67"/>
      <c r="AB457" s="67"/>
      <c r="AC457" s="67"/>
    </row>
    <row r="458" spans="1:68">
      <c r="A458" s="696"/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7"/>
      <c r="P458" s="693" t="s">
        <v>40</v>
      </c>
      <c r="Q458" s="694"/>
      <c r="R458" s="694"/>
      <c r="S458" s="694"/>
      <c r="T458" s="694"/>
      <c r="U458" s="694"/>
      <c r="V458" s="695"/>
      <c r="W458" s="42" t="s">
        <v>0</v>
      </c>
      <c r="X458" s="43">
        <f>IFERROR(SUM(X451:X456),"0")</f>
        <v>50</v>
      </c>
      <c r="Y458" s="43">
        <f>IFERROR(SUM(Y451:Y456),"0")</f>
        <v>54</v>
      </c>
      <c r="Z458" s="42"/>
      <c r="AA458" s="67"/>
      <c r="AB458" s="67"/>
      <c r="AC458" s="67"/>
    </row>
    <row r="459" spans="1:68" ht="14.25" customHeight="1">
      <c r="A459" s="687" t="s">
        <v>86</v>
      </c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7"/>
      <c r="P459" s="687"/>
      <c r="Q459" s="687"/>
      <c r="R459" s="687"/>
      <c r="S459" s="687"/>
      <c r="T459" s="687"/>
      <c r="U459" s="687"/>
      <c r="V459" s="687"/>
      <c r="W459" s="687"/>
      <c r="X459" s="687"/>
      <c r="Y459" s="687"/>
      <c r="Z459" s="687"/>
      <c r="AA459" s="66"/>
      <c r="AB459" s="66"/>
      <c r="AC459" s="80"/>
    </row>
    <row r="460" spans="1:68" ht="27" customHeight="1">
      <c r="A460" s="63" t="s">
        <v>744</v>
      </c>
      <c r="B460" s="63" t="s">
        <v>745</v>
      </c>
      <c r="C460" s="36">
        <v>4301051284</v>
      </c>
      <c r="D460" s="688">
        <v>4607091384352</v>
      </c>
      <c r="E460" s="688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90"/>
      <c r="R460" s="690"/>
      <c r="S460" s="690"/>
      <c r="T460" s="691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>
      <c r="A461" s="63" t="s">
        <v>747</v>
      </c>
      <c r="B461" s="63" t="s">
        <v>748</v>
      </c>
      <c r="C461" s="36">
        <v>4301051431</v>
      </c>
      <c r="D461" s="688">
        <v>4607091389654</v>
      </c>
      <c r="E461" s="688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90"/>
      <c r="R461" s="690"/>
      <c r="S461" s="690"/>
      <c r="T461" s="691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>
      <c r="A462" s="696"/>
      <c r="B462" s="696"/>
      <c r="C462" s="696"/>
      <c r="D462" s="696"/>
      <c r="E462" s="696"/>
      <c r="F462" s="696"/>
      <c r="G462" s="696"/>
      <c r="H462" s="696"/>
      <c r="I462" s="696"/>
      <c r="J462" s="696"/>
      <c r="K462" s="696"/>
      <c r="L462" s="696"/>
      <c r="M462" s="696"/>
      <c r="N462" s="696"/>
      <c r="O462" s="697"/>
      <c r="P462" s="693" t="s">
        <v>40</v>
      </c>
      <c r="Q462" s="694"/>
      <c r="R462" s="694"/>
      <c r="S462" s="694"/>
      <c r="T462" s="694"/>
      <c r="U462" s="694"/>
      <c r="V462" s="69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>
      <c r="A463" s="696"/>
      <c r="B463" s="696"/>
      <c r="C463" s="696"/>
      <c r="D463" s="696"/>
      <c r="E463" s="696"/>
      <c r="F463" s="696"/>
      <c r="G463" s="696"/>
      <c r="H463" s="696"/>
      <c r="I463" s="696"/>
      <c r="J463" s="696"/>
      <c r="K463" s="696"/>
      <c r="L463" s="696"/>
      <c r="M463" s="696"/>
      <c r="N463" s="696"/>
      <c r="O463" s="697"/>
      <c r="P463" s="693" t="s">
        <v>40</v>
      </c>
      <c r="Q463" s="694"/>
      <c r="R463" s="694"/>
      <c r="S463" s="694"/>
      <c r="T463" s="694"/>
      <c r="U463" s="694"/>
      <c r="V463" s="69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>
      <c r="A464" s="686" t="s">
        <v>750</v>
      </c>
      <c r="B464" s="686"/>
      <c r="C464" s="686"/>
      <c r="D464" s="686"/>
      <c r="E464" s="686"/>
      <c r="F464" s="686"/>
      <c r="G464" s="686"/>
      <c r="H464" s="686"/>
      <c r="I464" s="686"/>
      <c r="J464" s="686"/>
      <c r="K464" s="686"/>
      <c r="L464" s="686"/>
      <c r="M464" s="686"/>
      <c r="N464" s="686"/>
      <c r="O464" s="686"/>
      <c r="P464" s="686"/>
      <c r="Q464" s="686"/>
      <c r="R464" s="686"/>
      <c r="S464" s="686"/>
      <c r="T464" s="686"/>
      <c r="U464" s="686"/>
      <c r="V464" s="686"/>
      <c r="W464" s="686"/>
      <c r="X464" s="686"/>
      <c r="Y464" s="686"/>
      <c r="Z464" s="686"/>
      <c r="AA464" s="65"/>
      <c r="AB464" s="65"/>
      <c r="AC464" s="79"/>
    </row>
    <row r="465" spans="1:68" ht="14.25" customHeight="1">
      <c r="A465" s="687" t="s">
        <v>166</v>
      </c>
      <c r="B465" s="687"/>
      <c r="C465" s="687"/>
      <c r="D465" s="687"/>
      <c r="E465" s="687"/>
      <c r="F465" s="687"/>
      <c r="G465" s="687"/>
      <c r="H465" s="687"/>
      <c r="I465" s="687"/>
      <c r="J465" s="687"/>
      <c r="K465" s="687"/>
      <c r="L465" s="687"/>
      <c r="M465" s="687"/>
      <c r="N465" s="687"/>
      <c r="O465" s="687"/>
      <c r="P465" s="687"/>
      <c r="Q465" s="687"/>
      <c r="R465" s="687"/>
      <c r="S465" s="687"/>
      <c r="T465" s="687"/>
      <c r="U465" s="687"/>
      <c r="V465" s="687"/>
      <c r="W465" s="687"/>
      <c r="X465" s="687"/>
      <c r="Y465" s="687"/>
      <c r="Z465" s="687"/>
      <c r="AA465" s="66"/>
      <c r="AB465" s="66"/>
      <c r="AC465" s="80"/>
    </row>
    <row r="466" spans="1:68" ht="27" customHeight="1">
      <c r="A466" s="63" t="s">
        <v>751</v>
      </c>
      <c r="B466" s="63" t="s">
        <v>752</v>
      </c>
      <c r="C466" s="36">
        <v>4301020416</v>
      </c>
      <c r="D466" s="688">
        <v>4680115885240</v>
      </c>
      <c r="E466" s="688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90"/>
      <c r="R466" s="690"/>
      <c r="S466" s="690"/>
      <c r="T466" s="691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>
      <c r="A467" s="696"/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7"/>
      <c r="P467" s="693" t="s">
        <v>40</v>
      </c>
      <c r="Q467" s="694"/>
      <c r="R467" s="694"/>
      <c r="S467" s="694"/>
      <c r="T467" s="694"/>
      <c r="U467" s="694"/>
      <c r="V467" s="695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>
      <c r="A468" s="696"/>
      <c r="B468" s="696"/>
      <c r="C468" s="696"/>
      <c r="D468" s="696"/>
      <c r="E468" s="696"/>
      <c r="F468" s="696"/>
      <c r="G468" s="696"/>
      <c r="H468" s="696"/>
      <c r="I468" s="696"/>
      <c r="J468" s="696"/>
      <c r="K468" s="696"/>
      <c r="L468" s="696"/>
      <c r="M468" s="696"/>
      <c r="N468" s="696"/>
      <c r="O468" s="697"/>
      <c r="P468" s="693" t="s">
        <v>40</v>
      </c>
      <c r="Q468" s="694"/>
      <c r="R468" s="694"/>
      <c r="S468" s="694"/>
      <c r="T468" s="694"/>
      <c r="U468" s="694"/>
      <c r="V468" s="695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>
      <c r="A469" s="687" t="s">
        <v>77</v>
      </c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7"/>
      <c r="P469" s="687"/>
      <c r="Q469" s="687"/>
      <c r="R469" s="687"/>
      <c r="S469" s="687"/>
      <c r="T469" s="687"/>
      <c r="U469" s="687"/>
      <c r="V469" s="687"/>
      <c r="W469" s="687"/>
      <c r="X469" s="687"/>
      <c r="Y469" s="687"/>
      <c r="Z469" s="687"/>
      <c r="AA469" s="66"/>
      <c r="AB469" s="66"/>
      <c r="AC469" s="80"/>
    </row>
    <row r="470" spans="1:68" ht="27" customHeight="1">
      <c r="A470" s="63" t="s">
        <v>754</v>
      </c>
      <c r="B470" s="63" t="s">
        <v>755</v>
      </c>
      <c r="C470" s="36">
        <v>4301031407</v>
      </c>
      <c r="D470" s="688">
        <v>4680115886094</v>
      </c>
      <c r="E470" s="688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90"/>
      <c r="R470" s="690"/>
      <c r="S470" s="690"/>
      <c r="T470" s="691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>
      <c r="A471" s="63" t="s">
        <v>757</v>
      </c>
      <c r="B471" s="63" t="s">
        <v>758</v>
      </c>
      <c r="C471" s="36">
        <v>4301031373</v>
      </c>
      <c r="D471" s="688">
        <v>4680115880771</v>
      </c>
      <c r="E471" s="688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90"/>
      <c r="R471" s="690"/>
      <c r="S471" s="690"/>
      <c r="T471" s="691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>
      <c r="A472" s="63" t="s">
        <v>760</v>
      </c>
      <c r="B472" s="63" t="s">
        <v>761</v>
      </c>
      <c r="C472" s="36">
        <v>4301031359</v>
      </c>
      <c r="D472" s="688">
        <v>4607091389500</v>
      </c>
      <c r="E472" s="688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90"/>
      <c r="R472" s="690"/>
      <c r="S472" s="690"/>
      <c r="T472" s="691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>
      <c r="A473" s="696"/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7"/>
      <c r="P473" s="693" t="s">
        <v>40</v>
      </c>
      <c r="Q473" s="694"/>
      <c r="R473" s="694"/>
      <c r="S473" s="694"/>
      <c r="T473" s="694"/>
      <c r="U473" s="694"/>
      <c r="V473" s="695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>
      <c r="A474" s="696"/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7"/>
      <c r="P474" s="693" t="s">
        <v>40</v>
      </c>
      <c r="Q474" s="694"/>
      <c r="R474" s="694"/>
      <c r="S474" s="694"/>
      <c r="T474" s="694"/>
      <c r="U474" s="694"/>
      <c r="V474" s="695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>
      <c r="A475" s="685" t="s">
        <v>762</v>
      </c>
      <c r="B475" s="685"/>
      <c r="C475" s="685"/>
      <c r="D475" s="685"/>
      <c r="E475" s="685"/>
      <c r="F475" s="685"/>
      <c r="G475" s="685"/>
      <c r="H475" s="685"/>
      <c r="I475" s="685"/>
      <c r="J475" s="685"/>
      <c r="K475" s="685"/>
      <c r="L475" s="685"/>
      <c r="M475" s="685"/>
      <c r="N475" s="685"/>
      <c r="O475" s="685"/>
      <c r="P475" s="685"/>
      <c r="Q475" s="685"/>
      <c r="R475" s="685"/>
      <c r="S475" s="685"/>
      <c r="T475" s="685"/>
      <c r="U475" s="685"/>
      <c r="V475" s="685"/>
      <c r="W475" s="685"/>
      <c r="X475" s="685"/>
      <c r="Y475" s="685"/>
      <c r="Z475" s="685"/>
      <c r="AA475" s="54"/>
      <c r="AB475" s="54"/>
      <c r="AC475" s="54"/>
    </row>
    <row r="476" spans="1:68" ht="16.5" customHeight="1">
      <c r="A476" s="686" t="s">
        <v>762</v>
      </c>
      <c r="B476" s="686"/>
      <c r="C476" s="686"/>
      <c r="D476" s="686"/>
      <c r="E476" s="686"/>
      <c r="F476" s="686"/>
      <c r="G476" s="686"/>
      <c r="H476" s="686"/>
      <c r="I476" s="686"/>
      <c r="J476" s="686"/>
      <c r="K476" s="686"/>
      <c r="L476" s="686"/>
      <c r="M476" s="686"/>
      <c r="N476" s="686"/>
      <c r="O476" s="686"/>
      <c r="P476" s="686"/>
      <c r="Q476" s="686"/>
      <c r="R476" s="686"/>
      <c r="S476" s="686"/>
      <c r="T476" s="686"/>
      <c r="U476" s="686"/>
      <c r="V476" s="686"/>
      <c r="W476" s="686"/>
      <c r="X476" s="686"/>
      <c r="Y476" s="686"/>
      <c r="Z476" s="686"/>
      <c r="AA476" s="65"/>
      <c r="AB476" s="65"/>
      <c r="AC476" s="79"/>
    </row>
    <row r="477" spans="1:68" ht="14.25" customHeight="1">
      <c r="A477" s="687" t="s">
        <v>129</v>
      </c>
      <c r="B477" s="687"/>
      <c r="C477" s="687"/>
      <c r="D477" s="687"/>
      <c r="E477" s="687"/>
      <c r="F477" s="687"/>
      <c r="G477" s="687"/>
      <c r="H477" s="687"/>
      <c r="I477" s="687"/>
      <c r="J477" s="687"/>
      <c r="K477" s="687"/>
      <c r="L477" s="687"/>
      <c r="M477" s="687"/>
      <c r="N477" s="687"/>
      <c r="O477" s="687"/>
      <c r="P477" s="687"/>
      <c r="Q477" s="687"/>
      <c r="R477" s="687"/>
      <c r="S477" s="687"/>
      <c r="T477" s="687"/>
      <c r="U477" s="687"/>
      <c r="V477" s="687"/>
      <c r="W477" s="687"/>
      <c r="X477" s="687"/>
      <c r="Y477" s="687"/>
      <c r="Z477" s="687"/>
      <c r="AA477" s="66"/>
      <c r="AB477" s="66"/>
      <c r="AC477" s="80"/>
    </row>
    <row r="478" spans="1:68" ht="27" customHeight="1">
      <c r="A478" s="63" t="s">
        <v>763</v>
      </c>
      <c r="B478" s="63" t="s">
        <v>764</v>
      </c>
      <c r="C478" s="36">
        <v>4301011769</v>
      </c>
      <c r="D478" s="688">
        <v>4607091389067</v>
      </c>
      <c r="E478" s="688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90"/>
      <c r="R478" s="690"/>
      <c r="S478" s="690"/>
      <c r="T478" s="691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customHeight="1">
      <c r="A479" s="63" t="s">
        <v>765</v>
      </c>
      <c r="B479" s="63" t="s">
        <v>766</v>
      </c>
      <c r="C479" s="36">
        <v>4301012380</v>
      </c>
      <c r="D479" s="688">
        <v>4680115889576</v>
      </c>
      <c r="E479" s="688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90"/>
      <c r="R479" s="690"/>
      <c r="S479" s="690"/>
      <c r="T479" s="691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>
      <c r="A480" s="63" t="s">
        <v>768</v>
      </c>
      <c r="B480" s="63" t="s">
        <v>769</v>
      </c>
      <c r="C480" s="36">
        <v>4301011961</v>
      </c>
      <c r="D480" s="688">
        <v>4680115885271</v>
      </c>
      <c r="E480" s="688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90"/>
      <c r="R480" s="690"/>
      <c r="S480" s="690"/>
      <c r="T480" s="691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>
      <c r="A481" s="63" t="s">
        <v>771</v>
      </c>
      <c r="B481" s="63" t="s">
        <v>772</v>
      </c>
      <c r="C481" s="36">
        <v>4301011369</v>
      </c>
      <c r="D481" s="688">
        <v>4680115885226</v>
      </c>
      <c r="E481" s="688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90"/>
      <c r="R481" s="690"/>
      <c r="S481" s="690"/>
      <c r="T481" s="691"/>
      <c r="U481" s="39" t="s">
        <v>46</v>
      </c>
      <c r="V481" s="39" t="s">
        <v>46</v>
      </c>
      <c r="W481" s="40" t="s">
        <v>0</v>
      </c>
      <c r="X481" s="58">
        <v>1100</v>
      </c>
      <c r="Y481" s="55">
        <f t="shared" si="67"/>
        <v>1103.52</v>
      </c>
      <c r="Z481" s="41">
        <f t="shared" si="68"/>
        <v>2.4996399999999999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1172.9166666666665</v>
      </c>
      <c r="BN481" s="78">
        <f t="shared" si="70"/>
        <v>1176.6699999999998</v>
      </c>
      <c r="BO481" s="78">
        <f t="shared" si="71"/>
        <v>2.0032051282051282</v>
      </c>
      <c r="BP481" s="78">
        <f t="shared" si="72"/>
        <v>2.0096153846153846</v>
      </c>
    </row>
    <row r="482" spans="1:68" ht="16.5" customHeight="1">
      <c r="A482" s="63" t="s">
        <v>774</v>
      </c>
      <c r="B482" s="63" t="s">
        <v>775</v>
      </c>
      <c r="C482" s="36">
        <v>4301011797</v>
      </c>
      <c r="D482" s="688">
        <v>4680115884502</v>
      </c>
      <c r="E482" s="688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90"/>
      <c r="R482" s="690"/>
      <c r="S482" s="690"/>
      <c r="T482" s="691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>
      <c r="A483" s="63" t="s">
        <v>777</v>
      </c>
      <c r="B483" s="63" t="s">
        <v>778</v>
      </c>
      <c r="C483" s="36">
        <v>4301011771</v>
      </c>
      <c r="D483" s="688">
        <v>4607091389104</v>
      </c>
      <c r="E483" s="688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90"/>
      <c r="R483" s="690"/>
      <c r="S483" s="690"/>
      <c r="T483" s="691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 t="shared" si="68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0</v>
      </c>
      <c r="BN483" s="78">
        <f t="shared" si="70"/>
        <v>0</v>
      </c>
      <c r="BO483" s="78">
        <f t="shared" si="71"/>
        <v>0</v>
      </c>
      <c r="BP483" s="78">
        <f t="shared" si="72"/>
        <v>0</v>
      </c>
    </row>
    <row r="484" spans="1:68" ht="27" customHeight="1">
      <c r="A484" s="63" t="s">
        <v>780</v>
      </c>
      <c r="B484" s="63" t="s">
        <v>781</v>
      </c>
      <c r="C484" s="36">
        <v>4301012125</v>
      </c>
      <c r="D484" s="688">
        <v>4680115886391</v>
      </c>
      <c r="E484" s="688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90"/>
      <c r="R484" s="690"/>
      <c r="S484" s="690"/>
      <c r="T484" s="691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>
      <c r="A485" s="63" t="s">
        <v>782</v>
      </c>
      <c r="B485" s="63" t="s">
        <v>783</v>
      </c>
      <c r="C485" s="36">
        <v>4301012048</v>
      </c>
      <c r="D485" s="688">
        <v>4680115880603</v>
      </c>
      <c r="E485" s="688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90"/>
      <c r="R485" s="690"/>
      <c r="S485" s="690"/>
      <c r="T485" s="69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customHeight="1">
      <c r="A486" s="63" t="s">
        <v>784</v>
      </c>
      <c r="B486" s="63" t="s">
        <v>785</v>
      </c>
      <c r="C486" s="36">
        <v>4301012034</v>
      </c>
      <c r="D486" s="688">
        <v>4607091389982</v>
      </c>
      <c r="E486" s="688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90"/>
      <c r="R486" s="690"/>
      <c r="S486" s="690"/>
      <c r="T486" s="69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>
      <c r="A487" s="696"/>
      <c r="B487" s="696"/>
      <c r="C487" s="696"/>
      <c r="D487" s="696"/>
      <c r="E487" s="696"/>
      <c r="F487" s="696"/>
      <c r="G487" s="696"/>
      <c r="H487" s="696"/>
      <c r="I487" s="696"/>
      <c r="J487" s="696"/>
      <c r="K487" s="696"/>
      <c r="L487" s="696"/>
      <c r="M487" s="696"/>
      <c r="N487" s="696"/>
      <c r="O487" s="697"/>
      <c r="P487" s="693" t="s">
        <v>40</v>
      </c>
      <c r="Q487" s="694"/>
      <c r="R487" s="694"/>
      <c r="S487" s="694"/>
      <c r="T487" s="694"/>
      <c r="U487" s="694"/>
      <c r="V487" s="695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208.33333333333331</v>
      </c>
      <c r="Y487" s="43">
        <f>IFERROR(Y478/H478,"0")+IFERROR(Y479/H479,"0")+IFERROR(Y480/H480,"0")+IFERROR(Y481/H481,"0")+IFERROR(Y482/H482,"0")+IFERROR(Y483/H483,"0")+IFERROR(Y484/H484,"0")+IFERROR(Y485/H485,"0")+IFERROR(Y486/H486,"0")</f>
        <v>209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2.4996399999999999</v>
      </c>
      <c r="AA487" s="67"/>
      <c r="AB487" s="67"/>
      <c r="AC487" s="67"/>
    </row>
    <row r="488" spans="1:68">
      <c r="A488" s="696"/>
      <c r="B488" s="696"/>
      <c r="C488" s="696"/>
      <c r="D488" s="696"/>
      <c r="E488" s="696"/>
      <c r="F488" s="696"/>
      <c r="G488" s="696"/>
      <c r="H488" s="696"/>
      <c r="I488" s="696"/>
      <c r="J488" s="696"/>
      <c r="K488" s="696"/>
      <c r="L488" s="696"/>
      <c r="M488" s="696"/>
      <c r="N488" s="696"/>
      <c r="O488" s="697"/>
      <c r="P488" s="693" t="s">
        <v>40</v>
      </c>
      <c r="Q488" s="694"/>
      <c r="R488" s="694"/>
      <c r="S488" s="694"/>
      <c r="T488" s="694"/>
      <c r="U488" s="694"/>
      <c r="V488" s="695"/>
      <c r="W488" s="42" t="s">
        <v>0</v>
      </c>
      <c r="X488" s="43">
        <f>IFERROR(SUM(X478:X486),"0")</f>
        <v>1100</v>
      </c>
      <c r="Y488" s="43">
        <f>IFERROR(SUM(Y478:Y486),"0")</f>
        <v>1103.52</v>
      </c>
      <c r="Z488" s="42"/>
      <c r="AA488" s="67"/>
      <c r="AB488" s="67"/>
      <c r="AC488" s="67"/>
    </row>
    <row r="489" spans="1:68" ht="14.25" customHeight="1">
      <c r="A489" s="687" t="s">
        <v>166</v>
      </c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7"/>
      <c r="P489" s="687"/>
      <c r="Q489" s="687"/>
      <c r="R489" s="687"/>
      <c r="S489" s="687"/>
      <c r="T489" s="687"/>
      <c r="U489" s="687"/>
      <c r="V489" s="687"/>
      <c r="W489" s="687"/>
      <c r="X489" s="687"/>
      <c r="Y489" s="687"/>
      <c r="Z489" s="687"/>
      <c r="AA489" s="66"/>
      <c r="AB489" s="66"/>
      <c r="AC489" s="80"/>
    </row>
    <row r="490" spans="1:68" ht="16.5" customHeight="1">
      <c r="A490" s="63" t="s">
        <v>786</v>
      </c>
      <c r="B490" s="63" t="s">
        <v>787</v>
      </c>
      <c r="C490" s="36">
        <v>4301020334</v>
      </c>
      <c r="D490" s="688">
        <v>4607091388930</v>
      </c>
      <c r="E490" s="688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90"/>
      <c r="R490" s="690"/>
      <c r="S490" s="690"/>
      <c r="T490" s="691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customHeight="1">
      <c r="A491" s="63" t="s">
        <v>789</v>
      </c>
      <c r="B491" s="63" t="s">
        <v>790</v>
      </c>
      <c r="C491" s="36">
        <v>4301020374</v>
      </c>
      <c r="D491" s="688">
        <v>4680115886407</v>
      </c>
      <c r="E491" s="688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90"/>
      <c r="R491" s="690"/>
      <c r="S491" s="690"/>
      <c r="T491" s="691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>
      <c r="A492" s="63" t="s">
        <v>791</v>
      </c>
      <c r="B492" s="63" t="s">
        <v>792</v>
      </c>
      <c r="C492" s="36">
        <v>4301020385</v>
      </c>
      <c r="D492" s="688">
        <v>4680115880054</v>
      </c>
      <c r="E492" s="688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90"/>
      <c r="R492" s="690"/>
      <c r="S492" s="690"/>
      <c r="T492" s="691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>
      <c r="A493" s="696"/>
      <c r="B493" s="696"/>
      <c r="C493" s="696"/>
      <c r="D493" s="696"/>
      <c r="E493" s="696"/>
      <c r="F493" s="696"/>
      <c r="G493" s="696"/>
      <c r="H493" s="696"/>
      <c r="I493" s="696"/>
      <c r="J493" s="696"/>
      <c r="K493" s="696"/>
      <c r="L493" s="696"/>
      <c r="M493" s="696"/>
      <c r="N493" s="696"/>
      <c r="O493" s="697"/>
      <c r="P493" s="693" t="s">
        <v>40</v>
      </c>
      <c r="Q493" s="694"/>
      <c r="R493" s="694"/>
      <c r="S493" s="694"/>
      <c r="T493" s="694"/>
      <c r="U493" s="694"/>
      <c r="V493" s="695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>
      <c r="A494" s="696"/>
      <c r="B494" s="696"/>
      <c r="C494" s="696"/>
      <c r="D494" s="696"/>
      <c r="E494" s="696"/>
      <c r="F494" s="696"/>
      <c r="G494" s="696"/>
      <c r="H494" s="696"/>
      <c r="I494" s="696"/>
      <c r="J494" s="696"/>
      <c r="K494" s="696"/>
      <c r="L494" s="696"/>
      <c r="M494" s="696"/>
      <c r="N494" s="696"/>
      <c r="O494" s="697"/>
      <c r="P494" s="693" t="s">
        <v>40</v>
      </c>
      <c r="Q494" s="694"/>
      <c r="R494" s="694"/>
      <c r="S494" s="694"/>
      <c r="T494" s="694"/>
      <c r="U494" s="694"/>
      <c r="V494" s="695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customHeight="1">
      <c r="A495" s="687" t="s">
        <v>77</v>
      </c>
      <c r="B495" s="687"/>
      <c r="C495" s="687"/>
      <c r="D495" s="687"/>
      <c r="E495" s="687"/>
      <c r="F495" s="687"/>
      <c r="G495" s="687"/>
      <c r="H495" s="687"/>
      <c r="I495" s="687"/>
      <c r="J495" s="687"/>
      <c r="K495" s="687"/>
      <c r="L495" s="687"/>
      <c r="M495" s="687"/>
      <c r="N495" s="687"/>
      <c r="O495" s="687"/>
      <c r="P495" s="687"/>
      <c r="Q495" s="687"/>
      <c r="R495" s="687"/>
      <c r="S495" s="687"/>
      <c r="T495" s="687"/>
      <c r="U495" s="687"/>
      <c r="V495" s="687"/>
      <c r="W495" s="687"/>
      <c r="X495" s="687"/>
      <c r="Y495" s="687"/>
      <c r="Z495" s="687"/>
      <c r="AA495" s="66"/>
      <c r="AB495" s="66"/>
      <c r="AC495" s="80"/>
    </row>
    <row r="496" spans="1:68" ht="27" customHeight="1">
      <c r="A496" s="63" t="s">
        <v>793</v>
      </c>
      <c r="B496" s="63" t="s">
        <v>794</v>
      </c>
      <c r="C496" s="36">
        <v>4301031349</v>
      </c>
      <c r="D496" s="688">
        <v>4680115883116</v>
      </c>
      <c r="E496" s="688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90"/>
      <c r="R496" s="690"/>
      <c r="S496" s="690"/>
      <c r="T496" s="691"/>
      <c r="U496" s="39" t="s">
        <v>46</v>
      </c>
      <c r="V496" s="39" t="s">
        <v>46</v>
      </c>
      <c r="W496" s="40" t="s">
        <v>0</v>
      </c>
      <c r="X496" s="58">
        <v>200</v>
      </c>
      <c r="Y496" s="55">
        <f t="shared" ref="Y496:Y502" si="73">IFERROR(IF(X496="",0,CEILING((X496/$H496),1)*$H496),"")</f>
        <v>200.64000000000001</v>
      </c>
      <c r="Z496" s="41">
        <f>IFERROR(IF(Y496=0,"",ROUNDUP(Y496/H496,0)*0.01196),"")</f>
        <v>0.45448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213.25757575757575</v>
      </c>
      <c r="BN496" s="78">
        <f t="shared" ref="BN496:BN502" si="75">IFERROR(Y496*I496/H496,"0")</f>
        <v>213.94</v>
      </c>
      <c r="BO496" s="78">
        <f t="shared" ref="BO496:BO502" si="76">IFERROR(1/J496*(X496/H496),"0")</f>
        <v>0.36421911421911418</v>
      </c>
      <c r="BP496" s="78">
        <f t="shared" ref="BP496:BP502" si="77">IFERROR(1/J496*(Y496/H496),"0")</f>
        <v>0.36538461538461542</v>
      </c>
    </row>
    <row r="497" spans="1:68" ht="27" customHeight="1">
      <c r="A497" s="63" t="s">
        <v>796</v>
      </c>
      <c r="B497" s="63" t="s">
        <v>797</v>
      </c>
      <c r="C497" s="36">
        <v>4301031350</v>
      </c>
      <c r="D497" s="688">
        <v>4680115883093</v>
      </c>
      <c r="E497" s="688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90"/>
      <c r="R497" s="690"/>
      <c r="S497" s="690"/>
      <c r="T497" s="691"/>
      <c r="U497" s="39" t="s">
        <v>46</v>
      </c>
      <c r="V497" s="39" t="s">
        <v>46</v>
      </c>
      <c r="W497" s="40" t="s">
        <v>0</v>
      </c>
      <c r="X497" s="58">
        <v>150</v>
      </c>
      <c r="Y497" s="55">
        <f t="shared" si="73"/>
        <v>153.12</v>
      </c>
      <c r="Z497" s="41">
        <f>IFERROR(IF(Y497=0,"",ROUNDUP(Y497/H497,0)*0.01196),"")</f>
        <v>0.34683999999999998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159.94318181818181</v>
      </c>
      <c r="BN497" s="78">
        <f t="shared" si="75"/>
        <v>163.26999999999998</v>
      </c>
      <c r="BO497" s="78">
        <f t="shared" si="76"/>
        <v>0.27316433566433568</v>
      </c>
      <c r="BP497" s="78">
        <f t="shared" si="77"/>
        <v>0.27884615384615385</v>
      </c>
    </row>
    <row r="498" spans="1:68" ht="27" customHeight="1">
      <c r="A498" s="63" t="s">
        <v>799</v>
      </c>
      <c r="B498" s="63" t="s">
        <v>800</v>
      </c>
      <c r="C498" s="36">
        <v>4301031353</v>
      </c>
      <c r="D498" s="688">
        <v>4680115883109</v>
      </c>
      <c r="E498" s="688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90"/>
      <c r="R498" s="690"/>
      <c r="S498" s="690"/>
      <c r="T498" s="691"/>
      <c r="U498" s="39" t="s">
        <v>46</v>
      </c>
      <c r="V498" s="39" t="s">
        <v>46</v>
      </c>
      <c r="W498" s="40" t="s">
        <v>0</v>
      </c>
      <c r="X498" s="58">
        <v>100</v>
      </c>
      <c r="Y498" s="55">
        <f t="shared" si="73"/>
        <v>100.32000000000001</v>
      </c>
      <c r="Z498" s="41">
        <f>IFERROR(IF(Y498=0,"",ROUNDUP(Y498/H498,0)*0.01196),"")</f>
        <v>0.22724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106.62878787878788</v>
      </c>
      <c r="BN498" s="78">
        <f t="shared" si="75"/>
        <v>106.97</v>
      </c>
      <c r="BO498" s="78">
        <f t="shared" si="76"/>
        <v>0.18210955710955709</v>
      </c>
      <c r="BP498" s="78">
        <f t="shared" si="77"/>
        <v>0.18269230769230771</v>
      </c>
    </row>
    <row r="499" spans="1:68" ht="27" customHeight="1">
      <c r="A499" s="63" t="s">
        <v>802</v>
      </c>
      <c r="B499" s="63" t="s">
        <v>803</v>
      </c>
      <c r="C499" s="36">
        <v>4301031419</v>
      </c>
      <c r="D499" s="688">
        <v>4680115882072</v>
      </c>
      <c r="E499" s="688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90"/>
      <c r="R499" s="690"/>
      <c r="S499" s="690"/>
      <c r="T499" s="691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customHeight="1">
      <c r="A500" s="63" t="s">
        <v>804</v>
      </c>
      <c r="B500" s="63" t="s">
        <v>805</v>
      </c>
      <c r="C500" s="36">
        <v>4301031352</v>
      </c>
      <c r="D500" s="688">
        <v>4680115882102</v>
      </c>
      <c r="E500" s="688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5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90"/>
      <c r="R500" s="690"/>
      <c r="S500" s="690"/>
      <c r="T500" s="691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customHeight="1">
      <c r="A501" s="63" t="s">
        <v>804</v>
      </c>
      <c r="B501" s="63" t="s">
        <v>806</v>
      </c>
      <c r="C501" s="36">
        <v>4301031418</v>
      </c>
      <c r="D501" s="688">
        <v>4680115882102</v>
      </c>
      <c r="E501" s="688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90"/>
      <c r="R501" s="690"/>
      <c r="S501" s="690"/>
      <c r="T501" s="691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customHeight="1">
      <c r="A502" s="63" t="s">
        <v>807</v>
      </c>
      <c r="B502" s="63" t="s">
        <v>808</v>
      </c>
      <c r="C502" s="36">
        <v>4301031417</v>
      </c>
      <c r="D502" s="688">
        <v>4680115882096</v>
      </c>
      <c r="E502" s="688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90"/>
      <c r="R502" s="690"/>
      <c r="S502" s="690"/>
      <c r="T502" s="691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>
      <c r="A503" s="696"/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7"/>
      <c r="P503" s="693" t="s">
        <v>40</v>
      </c>
      <c r="Q503" s="694"/>
      <c r="R503" s="694"/>
      <c r="S503" s="694"/>
      <c r="T503" s="694"/>
      <c r="U503" s="694"/>
      <c r="V503" s="695"/>
      <c r="W503" s="42" t="s">
        <v>39</v>
      </c>
      <c r="X503" s="43">
        <f>IFERROR(X496/H496,"0")+IFERROR(X497/H497,"0")+IFERROR(X498/H498,"0")+IFERROR(X499/H499,"0")+IFERROR(X500/H500,"0")+IFERROR(X501/H501,"0")+IFERROR(X502/H502,"0")</f>
        <v>85.22727272727272</v>
      </c>
      <c r="Y503" s="43">
        <f>IFERROR(Y496/H496,"0")+IFERROR(Y497/H497,"0")+IFERROR(Y498/H498,"0")+IFERROR(Y499/H499,"0")+IFERROR(Y500/H500,"0")+IFERROR(Y501/H501,"0")+IFERROR(Y502/H502,"0")</f>
        <v>86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1.0285600000000001</v>
      </c>
      <c r="AA503" s="67"/>
      <c r="AB503" s="67"/>
      <c r="AC503" s="67"/>
    </row>
    <row r="504" spans="1:68">
      <c r="A504" s="696"/>
      <c r="B504" s="696"/>
      <c r="C504" s="696"/>
      <c r="D504" s="696"/>
      <c r="E504" s="696"/>
      <c r="F504" s="696"/>
      <c r="G504" s="696"/>
      <c r="H504" s="696"/>
      <c r="I504" s="696"/>
      <c r="J504" s="696"/>
      <c r="K504" s="696"/>
      <c r="L504" s="696"/>
      <c r="M504" s="696"/>
      <c r="N504" s="696"/>
      <c r="O504" s="697"/>
      <c r="P504" s="693" t="s">
        <v>40</v>
      </c>
      <c r="Q504" s="694"/>
      <c r="R504" s="694"/>
      <c r="S504" s="694"/>
      <c r="T504" s="694"/>
      <c r="U504" s="694"/>
      <c r="V504" s="695"/>
      <c r="W504" s="42" t="s">
        <v>0</v>
      </c>
      <c r="X504" s="43">
        <f>IFERROR(SUM(X496:X502),"0")</f>
        <v>450</v>
      </c>
      <c r="Y504" s="43">
        <f>IFERROR(SUM(Y496:Y502),"0")</f>
        <v>454.08</v>
      </c>
      <c r="Z504" s="42"/>
      <c r="AA504" s="67"/>
      <c r="AB504" s="67"/>
      <c r="AC504" s="67"/>
    </row>
    <row r="505" spans="1:68" ht="27.75" customHeight="1">
      <c r="A505" s="685" t="s">
        <v>809</v>
      </c>
      <c r="B505" s="685"/>
      <c r="C505" s="685"/>
      <c r="D505" s="685"/>
      <c r="E505" s="685"/>
      <c r="F505" s="685"/>
      <c r="G505" s="685"/>
      <c r="H505" s="685"/>
      <c r="I505" s="685"/>
      <c r="J505" s="685"/>
      <c r="K505" s="685"/>
      <c r="L505" s="685"/>
      <c r="M505" s="685"/>
      <c r="N505" s="685"/>
      <c r="O505" s="685"/>
      <c r="P505" s="685"/>
      <c r="Q505" s="685"/>
      <c r="R505" s="685"/>
      <c r="S505" s="685"/>
      <c r="T505" s="685"/>
      <c r="U505" s="685"/>
      <c r="V505" s="685"/>
      <c r="W505" s="685"/>
      <c r="X505" s="685"/>
      <c r="Y505" s="685"/>
      <c r="Z505" s="685"/>
      <c r="AA505" s="54"/>
      <c r="AB505" s="54"/>
      <c r="AC505" s="54"/>
    </row>
    <row r="506" spans="1:68" ht="16.5" customHeight="1">
      <c r="A506" s="686" t="s">
        <v>809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65"/>
      <c r="AB506" s="65"/>
      <c r="AC506" s="79"/>
    </row>
    <row r="507" spans="1:68" ht="14.25" customHeight="1">
      <c r="A507" s="687" t="s">
        <v>129</v>
      </c>
      <c r="B507" s="687"/>
      <c r="C507" s="687"/>
      <c r="D507" s="687"/>
      <c r="E507" s="687"/>
      <c r="F507" s="687"/>
      <c r="G507" s="687"/>
      <c r="H507" s="687"/>
      <c r="I507" s="687"/>
      <c r="J507" s="687"/>
      <c r="K507" s="687"/>
      <c r="L507" s="687"/>
      <c r="M507" s="687"/>
      <c r="N507" s="687"/>
      <c r="O507" s="687"/>
      <c r="P507" s="687"/>
      <c r="Q507" s="687"/>
      <c r="R507" s="687"/>
      <c r="S507" s="687"/>
      <c r="T507" s="687"/>
      <c r="U507" s="687"/>
      <c r="V507" s="687"/>
      <c r="W507" s="687"/>
      <c r="X507" s="687"/>
      <c r="Y507" s="687"/>
      <c r="Z507" s="687"/>
      <c r="AA507" s="66"/>
      <c r="AB507" s="66"/>
      <c r="AC507" s="80"/>
    </row>
    <row r="508" spans="1:68" ht="27" customHeight="1">
      <c r="A508" s="63" t="s">
        <v>810</v>
      </c>
      <c r="B508" s="63" t="s">
        <v>811</v>
      </c>
      <c r="C508" s="36">
        <v>4301011584</v>
      </c>
      <c r="D508" s="688">
        <v>4640242180564</v>
      </c>
      <c r="E508" s="688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90"/>
      <c r="R508" s="690"/>
      <c r="S508" s="690"/>
      <c r="T508" s="691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>
      <c r="A509" s="696"/>
      <c r="B509" s="696"/>
      <c r="C509" s="696"/>
      <c r="D509" s="696"/>
      <c r="E509" s="696"/>
      <c r="F509" s="696"/>
      <c r="G509" s="696"/>
      <c r="H509" s="696"/>
      <c r="I509" s="696"/>
      <c r="J509" s="696"/>
      <c r="K509" s="696"/>
      <c r="L509" s="696"/>
      <c r="M509" s="696"/>
      <c r="N509" s="696"/>
      <c r="O509" s="697"/>
      <c r="P509" s="693" t="s">
        <v>40</v>
      </c>
      <c r="Q509" s="694"/>
      <c r="R509" s="694"/>
      <c r="S509" s="694"/>
      <c r="T509" s="694"/>
      <c r="U509" s="694"/>
      <c r="V509" s="695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>
      <c r="A510" s="696"/>
      <c r="B510" s="696"/>
      <c r="C510" s="696"/>
      <c r="D510" s="696"/>
      <c r="E510" s="696"/>
      <c r="F510" s="696"/>
      <c r="G510" s="696"/>
      <c r="H510" s="696"/>
      <c r="I510" s="696"/>
      <c r="J510" s="696"/>
      <c r="K510" s="696"/>
      <c r="L510" s="696"/>
      <c r="M510" s="696"/>
      <c r="N510" s="696"/>
      <c r="O510" s="697"/>
      <c r="P510" s="693" t="s">
        <v>40</v>
      </c>
      <c r="Q510" s="694"/>
      <c r="R510" s="694"/>
      <c r="S510" s="694"/>
      <c r="T510" s="694"/>
      <c r="U510" s="694"/>
      <c r="V510" s="695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>
      <c r="A511" s="687" t="s">
        <v>166</v>
      </c>
      <c r="B511" s="687"/>
      <c r="C511" s="687"/>
      <c r="D511" s="687"/>
      <c r="E511" s="687"/>
      <c r="F511" s="687"/>
      <c r="G511" s="687"/>
      <c r="H511" s="687"/>
      <c r="I511" s="687"/>
      <c r="J511" s="687"/>
      <c r="K511" s="687"/>
      <c r="L511" s="687"/>
      <c r="M511" s="687"/>
      <c r="N511" s="687"/>
      <c r="O511" s="687"/>
      <c r="P511" s="687"/>
      <c r="Q511" s="687"/>
      <c r="R511" s="687"/>
      <c r="S511" s="687"/>
      <c r="T511" s="687"/>
      <c r="U511" s="687"/>
      <c r="V511" s="687"/>
      <c r="W511" s="687"/>
      <c r="X511" s="687"/>
      <c r="Y511" s="687"/>
      <c r="Z511" s="687"/>
      <c r="AA511" s="66"/>
      <c r="AB511" s="66"/>
      <c r="AC511" s="80"/>
    </row>
    <row r="512" spans="1:68" ht="27" customHeight="1">
      <c r="A512" s="63" t="s">
        <v>813</v>
      </c>
      <c r="B512" s="63" t="s">
        <v>814</v>
      </c>
      <c r="C512" s="36">
        <v>4301020400</v>
      </c>
      <c r="D512" s="688">
        <v>4640242180519</v>
      </c>
      <c r="E512" s="688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90"/>
      <c r="R512" s="690"/>
      <c r="S512" s="690"/>
      <c r="T512" s="691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>
      <c r="A513" s="696"/>
      <c r="B513" s="696"/>
      <c r="C513" s="696"/>
      <c r="D513" s="696"/>
      <c r="E513" s="696"/>
      <c r="F513" s="696"/>
      <c r="G513" s="696"/>
      <c r="H513" s="696"/>
      <c r="I513" s="696"/>
      <c r="J513" s="696"/>
      <c r="K513" s="696"/>
      <c r="L513" s="696"/>
      <c r="M513" s="696"/>
      <c r="N513" s="696"/>
      <c r="O513" s="697"/>
      <c r="P513" s="693" t="s">
        <v>40</v>
      </c>
      <c r="Q513" s="694"/>
      <c r="R513" s="694"/>
      <c r="S513" s="694"/>
      <c r="T513" s="694"/>
      <c r="U513" s="694"/>
      <c r="V513" s="695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>
      <c r="A514" s="696"/>
      <c r="B514" s="696"/>
      <c r="C514" s="696"/>
      <c r="D514" s="696"/>
      <c r="E514" s="696"/>
      <c r="F514" s="696"/>
      <c r="G514" s="696"/>
      <c r="H514" s="696"/>
      <c r="I514" s="696"/>
      <c r="J514" s="696"/>
      <c r="K514" s="696"/>
      <c r="L514" s="696"/>
      <c r="M514" s="696"/>
      <c r="N514" s="696"/>
      <c r="O514" s="697"/>
      <c r="P514" s="693" t="s">
        <v>40</v>
      </c>
      <c r="Q514" s="694"/>
      <c r="R514" s="694"/>
      <c r="S514" s="694"/>
      <c r="T514" s="694"/>
      <c r="U514" s="694"/>
      <c r="V514" s="695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>
      <c r="A515" s="687" t="s">
        <v>77</v>
      </c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7"/>
      <c r="P515" s="687"/>
      <c r="Q515" s="687"/>
      <c r="R515" s="687"/>
      <c r="S515" s="687"/>
      <c r="T515" s="687"/>
      <c r="U515" s="687"/>
      <c r="V515" s="687"/>
      <c r="W515" s="687"/>
      <c r="X515" s="687"/>
      <c r="Y515" s="687"/>
      <c r="Z515" s="687"/>
      <c r="AA515" s="66"/>
      <c r="AB515" s="66"/>
      <c r="AC515" s="80"/>
    </row>
    <row r="516" spans="1:68" ht="27" customHeight="1">
      <c r="A516" s="63" t="s">
        <v>816</v>
      </c>
      <c r="B516" s="63" t="s">
        <v>817</v>
      </c>
      <c r="C516" s="36">
        <v>4301031467</v>
      </c>
      <c r="D516" s="688">
        <v>4640242180595</v>
      </c>
      <c r="E516" s="688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90"/>
      <c r="R516" s="690"/>
      <c r="S516" s="690"/>
      <c r="T516" s="691"/>
      <c r="U516" s="39" t="s">
        <v>46</v>
      </c>
      <c r="V516" s="39" t="s">
        <v>46</v>
      </c>
      <c r="W516" s="40" t="s">
        <v>0</v>
      </c>
      <c r="X516" s="58">
        <v>2100</v>
      </c>
      <c r="Y516" s="55">
        <f>IFERROR(IF(X516="",0,CEILING((X516/$H516),1)*$H516),"")</f>
        <v>2102.4</v>
      </c>
      <c r="Z516" s="41">
        <f>IFERROR(IF(Y516=0,"",ROUNDUP(Y516/H516,0)*0.00902),"")</f>
        <v>3.9507600000000003</v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2209.375</v>
      </c>
      <c r="BN516" s="78">
        <f>IFERROR(Y516*I516/H516,"0")</f>
        <v>2211.9</v>
      </c>
      <c r="BO516" s="78">
        <f>IFERROR(1/J516*(X516/H516),"0")</f>
        <v>3.3143939393939394</v>
      </c>
      <c r="BP516" s="78">
        <f>IFERROR(1/J516*(Y516/H516),"0")</f>
        <v>3.3181818181818188</v>
      </c>
    </row>
    <row r="517" spans="1:68" ht="27" customHeight="1">
      <c r="A517" s="63" t="s">
        <v>816</v>
      </c>
      <c r="B517" s="63" t="s">
        <v>819</v>
      </c>
      <c r="C517" s="36">
        <v>4301031500</v>
      </c>
      <c r="D517" s="688">
        <v>4640242180595</v>
      </c>
      <c r="E517" s="688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90"/>
      <c r="R517" s="690"/>
      <c r="S517" s="690"/>
      <c r="T517" s="691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>
      <c r="A518" s="696"/>
      <c r="B518" s="696"/>
      <c r="C518" s="696"/>
      <c r="D518" s="696"/>
      <c r="E518" s="696"/>
      <c r="F518" s="696"/>
      <c r="G518" s="696"/>
      <c r="H518" s="696"/>
      <c r="I518" s="696"/>
      <c r="J518" s="696"/>
      <c r="K518" s="696"/>
      <c r="L518" s="696"/>
      <c r="M518" s="696"/>
      <c r="N518" s="696"/>
      <c r="O518" s="697"/>
      <c r="P518" s="693" t="s">
        <v>40</v>
      </c>
      <c r="Q518" s="694"/>
      <c r="R518" s="694"/>
      <c r="S518" s="694"/>
      <c r="T518" s="694"/>
      <c r="U518" s="694"/>
      <c r="V518" s="695"/>
      <c r="W518" s="42" t="s">
        <v>39</v>
      </c>
      <c r="X518" s="43">
        <f>IFERROR(X516/H516,"0")+IFERROR(X517/H517,"0")</f>
        <v>437.5</v>
      </c>
      <c r="Y518" s="43">
        <f>IFERROR(Y516/H516,"0")+IFERROR(Y517/H517,"0")</f>
        <v>438.00000000000006</v>
      </c>
      <c r="Z518" s="43">
        <f>IFERROR(IF(Z516="",0,Z516),"0")+IFERROR(IF(Z517="",0,Z517),"0")</f>
        <v>3.9507600000000003</v>
      </c>
      <c r="AA518" s="67"/>
      <c r="AB518" s="67"/>
      <c r="AC518" s="67"/>
    </row>
    <row r="519" spans="1:68">
      <c r="A519" s="696"/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7"/>
      <c r="P519" s="693" t="s">
        <v>40</v>
      </c>
      <c r="Q519" s="694"/>
      <c r="R519" s="694"/>
      <c r="S519" s="694"/>
      <c r="T519" s="694"/>
      <c r="U519" s="694"/>
      <c r="V519" s="695"/>
      <c r="W519" s="42" t="s">
        <v>0</v>
      </c>
      <c r="X519" s="43">
        <f>IFERROR(SUM(X516:X517),"0")</f>
        <v>2100</v>
      </c>
      <c r="Y519" s="43">
        <f>IFERROR(SUM(Y516:Y517),"0")</f>
        <v>2102.4</v>
      </c>
      <c r="Z519" s="42"/>
      <c r="AA519" s="67"/>
      <c r="AB519" s="67"/>
      <c r="AC519" s="67"/>
    </row>
    <row r="520" spans="1:68" ht="14.25" customHeight="1">
      <c r="A520" s="687" t="s">
        <v>86</v>
      </c>
      <c r="B520" s="687"/>
      <c r="C520" s="687"/>
      <c r="D520" s="687"/>
      <c r="E520" s="687"/>
      <c r="F520" s="687"/>
      <c r="G520" s="687"/>
      <c r="H520" s="687"/>
      <c r="I520" s="687"/>
      <c r="J520" s="687"/>
      <c r="K520" s="687"/>
      <c r="L520" s="687"/>
      <c r="M520" s="687"/>
      <c r="N520" s="687"/>
      <c r="O520" s="687"/>
      <c r="P520" s="687"/>
      <c r="Q520" s="687"/>
      <c r="R520" s="687"/>
      <c r="S520" s="687"/>
      <c r="T520" s="687"/>
      <c r="U520" s="687"/>
      <c r="V520" s="687"/>
      <c r="W520" s="687"/>
      <c r="X520" s="687"/>
      <c r="Y520" s="687"/>
      <c r="Z520" s="687"/>
      <c r="AA520" s="66"/>
      <c r="AB520" s="66"/>
      <c r="AC520" s="80"/>
    </row>
    <row r="521" spans="1:68" ht="27" customHeight="1">
      <c r="A521" s="63" t="s">
        <v>821</v>
      </c>
      <c r="B521" s="63" t="s">
        <v>822</v>
      </c>
      <c r="C521" s="36">
        <v>4301052043</v>
      </c>
      <c r="D521" s="688">
        <v>4640242180533</v>
      </c>
      <c r="E521" s="688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90"/>
      <c r="R521" s="690"/>
      <c r="S521" s="690"/>
      <c r="T521" s="691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>
      <c r="A522" s="696"/>
      <c r="B522" s="696"/>
      <c r="C522" s="696"/>
      <c r="D522" s="696"/>
      <c r="E522" s="696"/>
      <c r="F522" s="696"/>
      <c r="G522" s="696"/>
      <c r="H522" s="696"/>
      <c r="I522" s="696"/>
      <c r="J522" s="696"/>
      <c r="K522" s="696"/>
      <c r="L522" s="696"/>
      <c r="M522" s="696"/>
      <c r="N522" s="696"/>
      <c r="O522" s="697"/>
      <c r="P522" s="693" t="s">
        <v>40</v>
      </c>
      <c r="Q522" s="694"/>
      <c r="R522" s="694"/>
      <c r="S522" s="694"/>
      <c r="T522" s="694"/>
      <c r="U522" s="694"/>
      <c r="V522" s="695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>
      <c r="A523" s="696"/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7"/>
      <c r="P523" s="693" t="s">
        <v>40</v>
      </c>
      <c r="Q523" s="694"/>
      <c r="R523" s="694"/>
      <c r="S523" s="694"/>
      <c r="T523" s="694"/>
      <c r="U523" s="694"/>
      <c r="V523" s="695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>
      <c r="A524" s="687" t="s">
        <v>183</v>
      </c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7"/>
      <c r="P524" s="687"/>
      <c r="Q524" s="687"/>
      <c r="R524" s="687"/>
      <c r="S524" s="687"/>
      <c r="T524" s="687"/>
      <c r="U524" s="687"/>
      <c r="V524" s="687"/>
      <c r="W524" s="687"/>
      <c r="X524" s="687"/>
      <c r="Y524" s="687"/>
      <c r="Z524" s="687"/>
      <c r="AA524" s="66"/>
      <c r="AB524" s="66"/>
      <c r="AC524" s="80"/>
    </row>
    <row r="525" spans="1:68" ht="27" customHeight="1">
      <c r="A525" s="63" t="s">
        <v>824</v>
      </c>
      <c r="B525" s="63" t="s">
        <v>825</v>
      </c>
      <c r="C525" s="36">
        <v>4301060535</v>
      </c>
      <c r="D525" s="688">
        <v>4640242180120</v>
      </c>
      <c r="E525" s="688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90"/>
      <c r="R525" s="690"/>
      <c r="S525" s="690"/>
      <c r="T525" s="691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>
      <c r="A526" s="63" t="s">
        <v>827</v>
      </c>
      <c r="B526" s="63" t="s">
        <v>828</v>
      </c>
      <c r="C526" s="36">
        <v>4301060536</v>
      </c>
      <c r="D526" s="688">
        <v>4640242180137</v>
      </c>
      <c r="E526" s="688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90"/>
      <c r="R526" s="690"/>
      <c r="S526" s="690"/>
      <c r="T526" s="691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>
      <c r="A527" s="696"/>
      <c r="B527" s="696"/>
      <c r="C527" s="696"/>
      <c r="D527" s="696"/>
      <c r="E527" s="696"/>
      <c r="F527" s="696"/>
      <c r="G527" s="696"/>
      <c r="H527" s="696"/>
      <c r="I527" s="696"/>
      <c r="J527" s="696"/>
      <c r="K527" s="696"/>
      <c r="L527" s="696"/>
      <c r="M527" s="696"/>
      <c r="N527" s="696"/>
      <c r="O527" s="697"/>
      <c r="P527" s="693" t="s">
        <v>40</v>
      </c>
      <c r="Q527" s="694"/>
      <c r="R527" s="694"/>
      <c r="S527" s="694"/>
      <c r="T527" s="694"/>
      <c r="U527" s="694"/>
      <c r="V527" s="695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>
      <c r="A528" s="696"/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7"/>
      <c r="P528" s="693" t="s">
        <v>40</v>
      </c>
      <c r="Q528" s="694"/>
      <c r="R528" s="694"/>
      <c r="S528" s="694"/>
      <c r="T528" s="694"/>
      <c r="U528" s="694"/>
      <c r="V528" s="695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>
      <c r="A529" s="686" t="s">
        <v>830</v>
      </c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6"/>
      <c r="N529" s="686"/>
      <c r="O529" s="686"/>
      <c r="P529" s="686"/>
      <c r="Q529" s="686"/>
      <c r="R529" s="686"/>
      <c r="S529" s="686"/>
      <c r="T529" s="686"/>
      <c r="U529" s="686"/>
      <c r="V529" s="686"/>
      <c r="W529" s="686"/>
      <c r="X529" s="686"/>
      <c r="Y529" s="686"/>
      <c r="Z529" s="686"/>
      <c r="AA529" s="65"/>
      <c r="AB529" s="65"/>
      <c r="AC529" s="79"/>
    </row>
    <row r="530" spans="1:68" ht="14.25" customHeight="1">
      <c r="A530" s="687" t="s">
        <v>166</v>
      </c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687"/>
      <c r="P530" s="687"/>
      <c r="Q530" s="687"/>
      <c r="R530" s="687"/>
      <c r="S530" s="687"/>
      <c r="T530" s="687"/>
      <c r="U530" s="687"/>
      <c r="V530" s="687"/>
      <c r="W530" s="687"/>
      <c r="X530" s="687"/>
      <c r="Y530" s="687"/>
      <c r="Z530" s="687"/>
      <c r="AA530" s="66"/>
      <c r="AB530" s="66"/>
      <c r="AC530" s="80"/>
    </row>
    <row r="531" spans="1:68" ht="27" customHeight="1">
      <c r="A531" s="63" t="s">
        <v>831</v>
      </c>
      <c r="B531" s="63" t="s">
        <v>832</v>
      </c>
      <c r="C531" s="36">
        <v>4301020428</v>
      </c>
      <c r="D531" s="688">
        <v>4640242180090</v>
      </c>
      <c r="E531" s="688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6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90"/>
      <c r="R531" s="690"/>
      <c r="S531" s="690"/>
      <c r="T531" s="691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>
      <c r="A532" s="696"/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7"/>
      <c r="P532" s="693" t="s">
        <v>40</v>
      </c>
      <c r="Q532" s="694"/>
      <c r="R532" s="694"/>
      <c r="S532" s="694"/>
      <c r="T532" s="694"/>
      <c r="U532" s="694"/>
      <c r="V532" s="695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>
      <c r="A533" s="696"/>
      <c r="B533" s="696"/>
      <c r="C533" s="696"/>
      <c r="D533" s="696"/>
      <c r="E533" s="696"/>
      <c r="F533" s="696"/>
      <c r="G533" s="696"/>
      <c r="H533" s="696"/>
      <c r="I533" s="696"/>
      <c r="J533" s="696"/>
      <c r="K533" s="696"/>
      <c r="L533" s="696"/>
      <c r="M533" s="696"/>
      <c r="N533" s="696"/>
      <c r="O533" s="697"/>
      <c r="P533" s="693" t="s">
        <v>40</v>
      </c>
      <c r="Q533" s="694"/>
      <c r="R533" s="694"/>
      <c r="S533" s="694"/>
      <c r="T533" s="694"/>
      <c r="U533" s="694"/>
      <c r="V533" s="695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>
      <c r="A534" s="696"/>
      <c r="B534" s="696"/>
      <c r="C534" s="696"/>
      <c r="D534" s="696"/>
      <c r="E534" s="696"/>
      <c r="F534" s="696"/>
      <c r="G534" s="696"/>
      <c r="H534" s="696"/>
      <c r="I534" s="696"/>
      <c r="J534" s="696"/>
      <c r="K534" s="696"/>
      <c r="L534" s="696"/>
      <c r="M534" s="696"/>
      <c r="N534" s="696"/>
      <c r="O534" s="964"/>
      <c r="P534" s="961" t="s">
        <v>33</v>
      </c>
      <c r="Q534" s="962"/>
      <c r="R534" s="962"/>
      <c r="S534" s="962"/>
      <c r="T534" s="962"/>
      <c r="U534" s="962"/>
      <c r="V534" s="963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18060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18153.7</v>
      </c>
      <c r="Z534" s="42"/>
      <c r="AA534" s="67"/>
      <c r="AB534" s="67"/>
      <c r="AC534" s="67"/>
    </row>
    <row r="535" spans="1:68">
      <c r="A535" s="696"/>
      <c r="B535" s="696"/>
      <c r="C535" s="696"/>
      <c r="D535" s="696"/>
      <c r="E535" s="696"/>
      <c r="F535" s="696"/>
      <c r="G535" s="696"/>
      <c r="H535" s="696"/>
      <c r="I535" s="696"/>
      <c r="J535" s="696"/>
      <c r="K535" s="696"/>
      <c r="L535" s="696"/>
      <c r="M535" s="696"/>
      <c r="N535" s="696"/>
      <c r="O535" s="964"/>
      <c r="P535" s="961" t="s">
        <v>34</v>
      </c>
      <c r="Q535" s="962"/>
      <c r="R535" s="962"/>
      <c r="S535" s="962"/>
      <c r="T535" s="962"/>
      <c r="U535" s="962"/>
      <c r="V535" s="963"/>
      <c r="W535" s="42" t="s">
        <v>0</v>
      </c>
      <c r="X535" s="43">
        <f>IFERROR(SUM(BM22:BM531),"0")</f>
        <v>18876.45791406124</v>
      </c>
      <c r="Y535" s="43">
        <f>IFERROR(SUM(BN22:BN531),"0")</f>
        <v>18974.54</v>
      </c>
      <c r="Z535" s="42"/>
      <c r="AA535" s="67"/>
      <c r="AB535" s="67"/>
      <c r="AC535" s="67"/>
    </row>
    <row r="536" spans="1:68">
      <c r="A536" s="696"/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964"/>
      <c r="P536" s="961" t="s">
        <v>35</v>
      </c>
      <c r="Q536" s="962"/>
      <c r="R536" s="962"/>
      <c r="S536" s="962"/>
      <c r="T536" s="962"/>
      <c r="U536" s="962"/>
      <c r="V536" s="963"/>
      <c r="W536" s="42" t="s">
        <v>20</v>
      </c>
      <c r="X536" s="44">
        <f>ROUNDUP(SUM(BO22:BO531),0)</f>
        <v>29</v>
      </c>
      <c r="Y536" s="44">
        <f>ROUNDUP(SUM(BP22:BP531),0)</f>
        <v>29</v>
      </c>
      <c r="Z536" s="42"/>
      <c r="AA536" s="67"/>
      <c r="AB536" s="67"/>
      <c r="AC536" s="67"/>
    </row>
    <row r="537" spans="1:68">
      <c r="A537" s="696"/>
      <c r="B537" s="696"/>
      <c r="C537" s="696"/>
      <c r="D537" s="696"/>
      <c r="E537" s="696"/>
      <c r="F537" s="696"/>
      <c r="G537" s="696"/>
      <c r="H537" s="696"/>
      <c r="I537" s="696"/>
      <c r="J537" s="696"/>
      <c r="K537" s="696"/>
      <c r="L537" s="696"/>
      <c r="M537" s="696"/>
      <c r="N537" s="696"/>
      <c r="O537" s="964"/>
      <c r="P537" s="961" t="s">
        <v>36</v>
      </c>
      <c r="Q537" s="962"/>
      <c r="R537" s="962"/>
      <c r="S537" s="962"/>
      <c r="T537" s="962"/>
      <c r="U537" s="962"/>
      <c r="V537" s="963"/>
      <c r="W537" s="42" t="s">
        <v>0</v>
      </c>
      <c r="X537" s="43">
        <f>GrossWeightTotal+PalletQtyTotal*25</f>
        <v>19601.45791406124</v>
      </c>
      <c r="Y537" s="43">
        <f>GrossWeightTotalR+PalletQtyTotalR*25</f>
        <v>19699.54</v>
      </c>
      <c r="Z537" s="42"/>
      <c r="AA537" s="67"/>
      <c r="AB537" s="67"/>
      <c r="AC537" s="67"/>
    </row>
    <row r="538" spans="1:68">
      <c r="A538" s="696"/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964"/>
      <c r="P538" s="961" t="s">
        <v>37</v>
      </c>
      <c r="Q538" s="962"/>
      <c r="R538" s="962"/>
      <c r="S538" s="962"/>
      <c r="T538" s="962"/>
      <c r="U538" s="962"/>
      <c r="V538" s="963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2513.573562240229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2527</v>
      </c>
      <c r="Z538" s="42"/>
      <c r="AA538" s="67"/>
      <c r="AB538" s="67"/>
      <c r="AC538" s="67"/>
    </row>
    <row r="539" spans="1:68" ht="14.25">
      <c r="A539" s="696"/>
      <c r="B539" s="696"/>
      <c r="C539" s="696"/>
      <c r="D539" s="696"/>
      <c r="E539" s="696"/>
      <c r="F539" s="696"/>
      <c r="G539" s="696"/>
      <c r="H539" s="696"/>
      <c r="I539" s="696"/>
      <c r="J539" s="696"/>
      <c r="K539" s="696"/>
      <c r="L539" s="696"/>
      <c r="M539" s="696"/>
      <c r="N539" s="696"/>
      <c r="O539" s="964"/>
      <c r="P539" s="961" t="s">
        <v>38</v>
      </c>
      <c r="Q539" s="962"/>
      <c r="R539" s="962"/>
      <c r="S539" s="962"/>
      <c r="T539" s="962"/>
      <c r="U539" s="962"/>
      <c r="V539" s="963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33.932310000000001</v>
      </c>
      <c r="AA539" s="67"/>
      <c r="AB539" s="67"/>
      <c r="AC539" s="67"/>
    </row>
    <row r="540" spans="1:68" ht="13.5" thickBot="1"/>
    <row r="541" spans="1:68" ht="27" thickTop="1" thickBot="1">
      <c r="A541" s="46" t="s">
        <v>9</v>
      </c>
      <c r="B541" s="85" t="s">
        <v>76</v>
      </c>
      <c r="C541" s="85" t="s">
        <v>45</v>
      </c>
      <c r="D541" s="967" t="s">
        <v>127</v>
      </c>
      <c r="E541" s="967" t="s">
        <v>127</v>
      </c>
      <c r="F541" s="967" t="s">
        <v>127</v>
      </c>
      <c r="G541" s="967" t="s">
        <v>127</v>
      </c>
      <c r="H541" s="967" t="s">
        <v>127</v>
      </c>
      <c r="I541" s="967" t="s">
        <v>127</v>
      </c>
      <c r="J541" s="967" t="s">
        <v>127</v>
      </c>
      <c r="K541" s="967" t="s">
        <v>336</v>
      </c>
      <c r="L541" s="967" t="s">
        <v>336</v>
      </c>
      <c r="M541" s="967" t="s">
        <v>336</v>
      </c>
      <c r="N541" s="968"/>
      <c r="O541" s="967" t="s">
        <v>336</v>
      </c>
      <c r="P541" s="967" t="s">
        <v>336</v>
      </c>
      <c r="Q541" s="967" t="s">
        <v>336</v>
      </c>
      <c r="R541" s="967" t="s">
        <v>336</v>
      </c>
      <c r="S541" s="967" t="s">
        <v>336</v>
      </c>
      <c r="T541" s="967" t="s">
        <v>336</v>
      </c>
      <c r="U541" s="967" t="s">
        <v>336</v>
      </c>
      <c r="V541" s="967" t="s">
        <v>666</v>
      </c>
      <c r="W541" s="967" t="s">
        <v>666</v>
      </c>
      <c r="X541" s="967" t="s">
        <v>726</v>
      </c>
      <c r="Y541" s="967" t="s">
        <v>726</v>
      </c>
      <c r="Z541" s="85" t="s">
        <v>762</v>
      </c>
      <c r="AA541" s="967" t="s">
        <v>809</v>
      </c>
      <c r="AB541" s="967" t="s">
        <v>809</v>
      </c>
      <c r="AC541" s="60"/>
      <c r="AF541" s="1"/>
    </row>
    <row r="542" spans="1:68" ht="14.25" customHeight="1" thickTop="1">
      <c r="A542" s="965" t="s">
        <v>10</v>
      </c>
      <c r="B542" s="967" t="s">
        <v>76</v>
      </c>
      <c r="C542" s="967" t="s">
        <v>110</v>
      </c>
      <c r="D542" s="967" t="s">
        <v>128</v>
      </c>
      <c r="E542" s="967" t="s">
        <v>144</v>
      </c>
      <c r="F542" s="967" t="s">
        <v>190</v>
      </c>
      <c r="G542" s="967" t="s">
        <v>211</v>
      </c>
      <c r="H542" s="967" t="s">
        <v>253</v>
      </c>
      <c r="I542" s="967" t="s">
        <v>265</v>
      </c>
      <c r="J542" s="967" t="s">
        <v>127</v>
      </c>
      <c r="K542" s="967" t="s">
        <v>337</v>
      </c>
      <c r="L542" s="967" t="s">
        <v>358</v>
      </c>
      <c r="M542" s="967" t="s">
        <v>425</v>
      </c>
      <c r="N542" s="1"/>
      <c r="O542" s="967" t="s">
        <v>493</v>
      </c>
      <c r="P542" s="967" t="s">
        <v>526</v>
      </c>
      <c r="Q542" s="967" t="s">
        <v>542</v>
      </c>
      <c r="R542" s="967" t="s">
        <v>551</v>
      </c>
      <c r="S542" s="967" t="s">
        <v>572</v>
      </c>
      <c r="T542" s="967" t="s">
        <v>581</v>
      </c>
      <c r="U542" s="967" t="s">
        <v>656</v>
      </c>
      <c r="V542" s="967" t="s">
        <v>667</v>
      </c>
      <c r="W542" s="967" t="s">
        <v>710</v>
      </c>
      <c r="X542" s="967" t="s">
        <v>727</v>
      </c>
      <c r="Y542" s="967" t="s">
        <v>750</v>
      </c>
      <c r="Z542" s="967" t="s">
        <v>762</v>
      </c>
      <c r="AA542" s="967" t="s">
        <v>809</v>
      </c>
      <c r="AB542" s="967" t="s">
        <v>830</v>
      </c>
      <c r="AC542" s="60"/>
      <c r="AF542" s="1"/>
    </row>
    <row r="543" spans="1:68" ht="13.5" thickBot="1">
      <c r="A543" s="966"/>
      <c r="B543" s="967"/>
      <c r="C543" s="967"/>
      <c r="D543" s="967"/>
      <c r="E543" s="967"/>
      <c r="F543" s="967"/>
      <c r="G543" s="967"/>
      <c r="H543" s="967"/>
      <c r="I543" s="967"/>
      <c r="J543" s="967"/>
      <c r="K543" s="967"/>
      <c r="L543" s="967"/>
      <c r="M543" s="967"/>
      <c r="N543" s="1"/>
      <c r="O543" s="967"/>
      <c r="P543" s="967"/>
      <c r="Q543" s="967"/>
      <c r="R543" s="967"/>
      <c r="S543" s="967"/>
      <c r="T543" s="967"/>
      <c r="U543" s="967"/>
      <c r="V543" s="967"/>
      <c r="W543" s="967"/>
      <c r="X543" s="967"/>
      <c r="Y543" s="967"/>
      <c r="Z543" s="967"/>
      <c r="AA543" s="967"/>
      <c r="AB543" s="967"/>
      <c r="AC543" s="60"/>
      <c r="AF543" s="1"/>
    </row>
    <row r="544" spans="1:68" ht="18" thickTop="1" thickBot="1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680.40000000000009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5211</v>
      </c>
      <c r="F544" s="52">
        <f>IFERROR(Y88*1,"0")+IFERROR(Y89*1,"0")+IFERROR(Y90*1,"0")+IFERROR(Y91*1,"0")+IFERROR(Y95*1,"0")+IFERROR(Y96*1,"0")+IFERROR(Y97*1,"0")+IFERROR(Y98*1,"0")</f>
        <v>468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133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219.60000000000005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228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2650.7</v>
      </c>
      <c r="U544" s="52">
        <f>IFERROR(Y399*1,"0")+IFERROR(Y400*1,"0")+IFERROR(Y401*1,"0")</f>
        <v>375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4474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54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1557.6000000000001</v>
      </c>
      <c r="AA544" s="52">
        <f>IFERROR(Y508*1,"0")+IFERROR(Y512*1,"0")+IFERROR(Y516*1,"0")+IFERROR(Y517*1,"0")+IFERROR(Y521*1,"0")+IFERROR(Y525*1,"0")+IFERROR(Y526*1,"0")</f>
        <v>2102.4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H26"/>
  <sheetViews>
    <sheetView workbookViewId="0">
      <selection activeCell="B16" sqref="B16"/>
    </sheetView>
  </sheetViews>
  <sheetFormatPr defaultColWidth="8.85546875" defaultRowHeight="12.75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>
      <c r="G1" t="s">
        <v>834</v>
      </c>
      <c r="H1" s="9"/>
    </row>
    <row r="3" spans="2:8">
      <c r="B3" s="53" t="s">
        <v>835</v>
      </c>
      <c r="C3" s="53" t="s">
        <v>46</v>
      </c>
      <c r="D3" s="53" t="s">
        <v>46</v>
      </c>
      <c r="E3" s="53" t="s">
        <v>46</v>
      </c>
    </row>
    <row r="4" spans="2:8">
      <c r="B4" s="53" t="s">
        <v>836</v>
      </c>
      <c r="C4" s="53" t="s">
        <v>46</v>
      </c>
      <c r="D4" s="53" t="s">
        <v>46</v>
      </c>
      <c r="E4" s="53" t="s">
        <v>46</v>
      </c>
    </row>
    <row r="6" spans="2:8">
      <c r="B6" s="53" t="s">
        <v>837</v>
      </c>
      <c r="C6" s="53" t="s">
        <v>838</v>
      </c>
      <c r="D6" s="53" t="s">
        <v>839</v>
      </c>
      <c r="E6" s="53" t="s">
        <v>46</v>
      </c>
    </row>
    <row r="7" spans="2:8">
      <c r="B7" s="53" t="s">
        <v>840</v>
      </c>
      <c r="C7" s="53" t="s">
        <v>841</v>
      </c>
      <c r="D7" s="53" t="s">
        <v>842</v>
      </c>
      <c r="E7" s="53" t="s">
        <v>46</v>
      </c>
    </row>
    <row r="8" spans="2:8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1106</vt:i4>
      </vt:variant>
    </vt:vector>
  </HeadingPairs>
  <TitlesOfParts>
    <vt:vector size="110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2021-11-12T12:13:19Z</dcterms:created>
  <dcterms:modified xsi:type="dcterms:W3CDTF">2026-07-14T08:46:16Z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