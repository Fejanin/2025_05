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6F3E373D-9C89-442A-B583-814740483C0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Y189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365" i="2" l="1"/>
  <c r="Z29" i="2"/>
  <c r="BN29" i="2"/>
  <c r="Z203" i="2"/>
  <c r="Z311" i="2"/>
  <c r="Z103" i="2"/>
  <c r="BP244" i="2"/>
  <c r="Z412" i="2"/>
  <c r="Z490" i="2"/>
  <c r="Y493" i="2"/>
  <c r="Y155" i="2"/>
  <c r="Y251" i="2"/>
  <c r="Z44" i="2"/>
  <c r="BN44" i="2"/>
  <c r="E544" i="2"/>
  <c r="Y74" i="2"/>
  <c r="Z159" i="2"/>
  <c r="Z160" i="2" s="1"/>
  <c r="Z223" i="2"/>
  <c r="Z264" i="2"/>
  <c r="Z295" i="2"/>
  <c r="Z334" i="2"/>
  <c r="BN334" i="2"/>
  <c r="Z358" i="2"/>
  <c r="Z413" i="2"/>
  <c r="BN413" i="2"/>
  <c r="Z434" i="2"/>
  <c r="Y436" i="2"/>
  <c r="Z443" i="2"/>
  <c r="Y446" i="2"/>
  <c r="Y474" i="2"/>
  <c r="BP502" i="2"/>
  <c r="BN31" i="2"/>
  <c r="BN45" i="2"/>
  <c r="BN61" i="2"/>
  <c r="BN90" i="2"/>
  <c r="BN112" i="2"/>
  <c r="BN117" i="2"/>
  <c r="BN125" i="2"/>
  <c r="BN129" i="2"/>
  <c r="Y161" i="2"/>
  <c r="BN209" i="2"/>
  <c r="BN214" i="2"/>
  <c r="BP224" i="2"/>
  <c r="BN262" i="2"/>
  <c r="BN272" i="2"/>
  <c r="BP278" i="2"/>
  <c r="BN293" i="2"/>
  <c r="BN301" i="2"/>
  <c r="BN305" i="2"/>
  <c r="BN325" i="2"/>
  <c r="BN340" i="2"/>
  <c r="BP367" i="2"/>
  <c r="BN368" i="2"/>
  <c r="BN387" i="2"/>
  <c r="BP401" i="2"/>
  <c r="Y447" i="2"/>
  <c r="BN452" i="2"/>
  <c r="BN471" i="2"/>
  <c r="BN482" i="2"/>
  <c r="BN485" i="2"/>
  <c r="Y494" i="2"/>
  <c r="BN499" i="2"/>
  <c r="X536" i="2"/>
  <c r="Y32" i="2"/>
  <c r="BN52" i="2"/>
  <c r="BN73" i="2"/>
  <c r="BN78" i="2"/>
  <c r="Y80" i="2"/>
  <c r="Y100" i="2"/>
  <c r="BN96" i="2"/>
  <c r="Z98" i="2"/>
  <c r="BN107" i="2"/>
  <c r="BN122" i="2"/>
  <c r="Y126" i="2"/>
  <c r="Y130" i="2"/>
  <c r="BP159" i="2"/>
  <c r="BN170" i="2"/>
  <c r="BN174" i="2"/>
  <c r="Z176" i="2"/>
  <c r="BN182" i="2"/>
  <c r="Z187" i="2"/>
  <c r="BN187" i="2"/>
  <c r="BP187" i="2"/>
  <c r="Y190" i="2"/>
  <c r="BP203" i="2"/>
  <c r="BN204" i="2"/>
  <c r="Y210" i="2"/>
  <c r="BN217" i="2"/>
  <c r="Z221" i="2"/>
  <c r="Z224" i="2"/>
  <c r="Z225" i="2"/>
  <c r="BN225" i="2"/>
  <c r="Z231" i="2"/>
  <c r="BN250" i="2"/>
  <c r="Z278" i="2"/>
  <c r="Z280" i="2"/>
  <c r="BN280" i="2"/>
  <c r="Y302" i="2"/>
  <c r="Y306" i="2"/>
  <c r="BP311" i="2"/>
  <c r="BN320" i="2"/>
  <c r="Y343" i="2"/>
  <c r="Z355" i="2"/>
  <c r="BP358" i="2"/>
  <c r="Z367" i="2"/>
  <c r="BN372" i="2"/>
  <c r="Z401" i="2"/>
  <c r="Z410" i="2"/>
  <c r="BP412" i="2"/>
  <c r="Z419" i="2"/>
  <c r="BP434" i="2"/>
  <c r="BN435" i="2"/>
  <c r="BN454" i="2"/>
  <c r="BN470" i="2"/>
  <c r="BN479" i="2"/>
  <c r="Z497" i="2"/>
  <c r="BN497" i="2"/>
  <c r="BP51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Z395" i="2" s="1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84" i="2" l="1"/>
  <c r="Z446" i="2"/>
  <c r="Z436" i="2"/>
  <c r="Z421" i="2"/>
  <c r="Z312" i="2"/>
  <c r="Z402" i="2"/>
  <c r="Z473" i="2"/>
  <c r="Z527" i="2"/>
  <c r="Z46" i="2"/>
  <c r="Z415" i="2"/>
  <c r="Z321" i="2"/>
  <c r="Z205" i="2"/>
  <c r="Z24" i="2"/>
  <c r="Z146" i="2"/>
  <c r="Z493" i="2"/>
  <c r="Z189" i="2"/>
  <c r="Z457" i="2"/>
  <c r="Z74" i="2"/>
  <c r="Z376" i="2"/>
  <c r="Z119" i="2"/>
  <c r="Z359" i="2"/>
  <c r="X537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<sst xmlns="http://schemas.openxmlformats.org/spreadsheetml/2006/main" count="4047" uniqueCount="860">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</sst>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110.46</v>
      </c>
      <c r="Y28" s="55">
        <f>IFERROR(IF(X28="",0,CEILING((X28/$H28),1)*$H28),"")</f>
        <v>110.88</v>
      </c>
      <c r="Z28" s="41">
        <f>IFERROR(IF(Y28=0,"",ROUNDUP(Y28/H28,0)*0.00651),"")</f>
        <v>0.28644000000000003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121.24299999999999</v>
      </c>
      <c r="BN28" s="78">
        <f>IFERROR(Y28*I28/H28,"0")</f>
        <v>121.70399999999999</v>
      </c>
      <c r="BO28" s="78">
        <f>IFERROR(1/J28*(X28/H28),"0")</f>
        <v>0.24084249084249085</v>
      </c>
      <c r="BP28" s="78">
        <f>IFERROR(1/J28*(Y28/H28),"0")</f>
        <v>0.24175824175824179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43.833333333333329</v>
      </c>
      <c r="Y32" s="43">
        <f>IFERROR(Y27/H27,"0")+IFERROR(Y28/H28,"0")+IFERROR(Y29/H29,"0")+IFERROR(Y30/H30,"0")+IFERROR(Y31/H31,"0")</f>
        <v>44</v>
      </c>
      <c r="Z32" s="43">
        <f>IFERROR(IF(Z27="",0,Z27),"0")+IFERROR(IF(Z28="",0,Z28),"0")+IFERROR(IF(Z29="",0,Z29),"0")+IFERROR(IF(Z30="",0,Z30),"0")+IFERROR(IF(Z31="",0,Z31),"0")</f>
        <v>0.28644000000000003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110.46</v>
      </c>
      <c r="Y33" s="43">
        <f>IFERROR(SUM(Y27:Y31),"0")</f>
        <v>110.88</v>
      </c>
      <c r="Z33" s="42"/>
      <c r="AA33" s="67"/>
      <c r="AB33" s="67"/>
      <c r="AC33" s="67"/>
    </row>
    <row r="34" spans="1:68" ht="14.25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122</v>
      </c>
      <c r="Y53" s="55">
        <f>IFERROR(IF(X53="",0,CEILING((X53/$H53),1)*$H53),"")</f>
        <v>124</v>
      </c>
      <c r="Z53" s="41">
        <f>IFERROR(IF(Y53=0,"",ROUNDUP(Y53/H53,0)*0.00902),"")</f>
        <v>0.27961999999999998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127.79500000000002</v>
      </c>
      <c r="BN53" s="78">
        <f>IFERROR(Y53*I53/H53,"0")</f>
        <v>129.89000000000001</v>
      </c>
      <c r="BO53" s="78">
        <f>IFERROR(1/J53*(X53/H53),"0")</f>
        <v>0.23106060606060608</v>
      </c>
      <c r="BP53" s="78">
        <f>IFERROR(1/J53*(Y53/H53),"0")</f>
        <v>0.23484848484848486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30.5</v>
      </c>
      <c r="Y55" s="43">
        <f>IFERROR(Y51/H51,"0")+IFERROR(Y52/H52,"0")+IFERROR(Y53/H53,"0")+IFERROR(Y54/H54,"0")</f>
        <v>31</v>
      </c>
      <c r="Z55" s="43">
        <f>IFERROR(IF(Z51="",0,Z51),"0")+IFERROR(IF(Z52="",0,Z52),"0")+IFERROR(IF(Z53="",0,Z53),"0")+IFERROR(IF(Z54="",0,Z54),"0")</f>
        <v>0.27961999999999998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122</v>
      </c>
      <c r="Y56" s="43">
        <f>IFERROR(SUM(Y51:Y54),"0")</f>
        <v>124</v>
      </c>
      <c r="Z56" s="42"/>
      <c r="AA56" s="67"/>
      <c r="AB56" s="67"/>
      <c r="AC56" s="67"/>
    </row>
    <row r="57" spans="1:68" ht="16.5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99</v>
      </c>
      <c r="Y73" s="55">
        <f>IFERROR(IF(X73="",0,CEILING((X73/$H73),1)*$H73),"")</f>
        <v>99.9</v>
      </c>
      <c r="Z73" s="41">
        <f>IFERROR(IF(Y73=0,"",ROUNDUP(Y73/H73,0)*0.00651),"")</f>
        <v>0.24087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105.6</v>
      </c>
      <c r="BN73" s="78">
        <f>IFERROR(Y73*I73/H73,"0")</f>
        <v>106.55999999999999</v>
      </c>
      <c r="BO73" s="78">
        <f>IFERROR(1/J73*(X73/H73),"0")</f>
        <v>0.20146520146520147</v>
      </c>
      <c r="BP73" s="78">
        <f>IFERROR(1/J73*(Y73/H73),"0")</f>
        <v>0.20329670329670332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36.666666666666664</v>
      </c>
      <c r="Y74" s="43">
        <f>IFERROR(Y70/H70,"0")+IFERROR(Y71/H71,"0")+IFERROR(Y72/H72,"0")+IFERROR(Y73/H73,"0")</f>
        <v>37</v>
      </c>
      <c r="Z74" s="43">
        <f>IFERROR(IF(Z70="",0,Z70),"0")+IFERROR(IF(Z71="",0,Z71),"0")+IFERROR(IF(Z72="",0,Z72),"0")+IFERROR(IF(Z73="",0,Z73),"0")</f>
        <v>0.24087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99</v>
      </c>
      <c r="Y75" s="43">
        <f>IFERROR(SUM(Y70:Y73),"0")</f>
        <v>99.9</v>
      </c>
      <c r="Z75" s="42"/>
      <c r="AA75" s="67"/>
      <c r="AB75" s="67"/>
      <c r="AC75" s="67"/>
    </row>
    <row r="76" spans="1:68" ht="14.25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55.2</v>
      </c>
      <c r="Y77" s="55">
        <f>IFERROR(IF(X77="",0,CEILING((X77/$H77),1)*$H77),"")</f>
        <v>55.800000000000004</v>
      </c>
      <c r="Z77" s="41">
        <f>IFERROR(IF(Y77=0,"",ROUNDUP(Y77/H77,0)*0.00651),"")</f>
        <v>0.20181000000000002</v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62.744</v>
      </c>
      <c r="BN77" s="78">
        <f>IFERROR(Y77*I77/H77,"0")</f>
        <v>63.425999999999995</v>
      </c>
      <c r="BO77" s="78">
        <f>IFERROR(1/J77*(X77/H77),"0")</f>
        <v>0.16849816849816851</v>
      </c>
      <c r="BP77" s="78">
        <f>IFERROR(1/J77*(Y77/H77),"0")</f>
        <v>0.17032967032967034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39</v>
      </c>
      <c r="Y78" s="55">
        <f>IFERROR(IF(X78="",0,CEILING((X78/$H78),1)*$H78),"")</f>
        <v>39.6</v>
      </c>
      <c r="Z78" s="41">
        <f>IFERROR(IF(Y78=0,"",ROUNDUP(Y78/H78,0)*0.00651),"")</f>
        <v>0.14322000000000001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42.9</v>
      </c>
      <c r="BN78" s="78">
        <f>IFERROR(Y78*I78/H78,"0")</f>
        <v>43.56</v>
      </c>
      <c r="BO78" s="78">
        <f>IFERROR(1/J78*(X78/H78),"0")</f>
        <v>0.11904761904761907</v>
      </c>
      <c r="BP78" s="78">
        <f>IFERROR(1/J78*(Y78/H78),"0")</f>
        <v>0.12087912087912089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52.333333333333336</v>
      </c>
      <c r="Y79" s="43">
        <f>IFERROR(Y77/H77,"0")+IFERROR(Y78/H78,"0")</f>
        <v>53</v>
      </c>
      <c r="Z79" s="43">
        <f>IFERROR(IF(Z77="",0,Z77),"0")+IFERROR(IF(Z78="",0,Z78),"0")</f>
        <v>0.34503000000000006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94.2</v>
      </c>
      <c r="Y80" s="43">
        <f>IFERROR(SUM(Y77:Y78),"0")</f>
        <v>95.4</v>
      </c>
      <c r="Z80" s="42"/>
      <c r="AA80" s="67"/>
      <c r="AB80" s="67"/>
      <c r="AC80" s="67"/>
    </row>
    <row r="81" spans="1:68" ht="14.25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58</v>
      </c>
      <c r="Y83" s="55">
        <f>IFERROR(IF(X83="",0,CEILING((X83/$H83),1)*$H83),"")</f>
        <v>60</v>
      </c>
      <c r="Z83" s="41">
        <f>IFERROR(IF(Y83=0,"",ROUNDUP(Y83/H83,0)*0.00902),"")</f>
        <v>0.22550000000000001</v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62.591666666666669</v>
      </c>
      <c r="BN83" s="78">
        <f>IFERROR(Y83*I83/H83,"0")</f>
        <v>64.75</v>
      </c>
      <c r="BO83" s="78">
        <f>IFERROR(1/J83*(X83/H83),"0")</f>
        <v>0.18308080808080809</v>
      </c>
      <c r="BP83" s="78">
        <f>IFERROR(1/J83*(Y83/H83),"0")</f>
        <v>0.18939393939393939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24.166666666666668</v>
      </c>
      <c r="Y84" s="43">
        <f>IFERROR(Y82/H82,"0")+IFERROR(Y83/H83,"0")</f>
        <v>25</v>
      </c>
      <c r="Z84" s="43">
        <f>IFERROR(IF(Z82="",0,Z82),"0")+IFERROR(IF(Z83="",0,Z83),"0")</f>
        <v>0.22550000000000001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58</v>
      </c>
      <c r="Y85" s="43">
        <f>IFERROR(SUM(Y82:Y83),"0")</f>
        <v>60</v>
      </c>
      <c r="Z85" s="42"/>
      <c r="AA85" s="67"/>
      <c r="AB85" s="67"/>
      <c r="AC85" s="67"/>
    </row>
    <row r="86" spans="1:68" ht="16.5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25.5</v>
      </c>
      <c r="Y89" s="55">
        <f>IFERROR(IF(X89="",0,CEILING((X89/$H89),1)*$H89),"")</f>
        <v>25.5</v>
      </c>
      <c r="Z89" s="41">
        <f>IFERROR(IF(Y89=0,"",ROUNDUP(Y89/H89,0)*0.00726),"")</f>
        <v>0.1089</v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27</v>
      </c>
      <c r="BN89" s="78">
        <f>IFERROR(Y89*I89/H89,"0")</f>
        <v>27</v>
      </c>
      <c r="BO89" s="78">
        <f>IFERROR(1/J89*(X89/H89),"0")</f>
        <v>7.8125E-2</v>
      </c>
      <c r="BP89" s="78">
        <f>IFERROR(1/J89*(Y89/H89),"0")</f>
        <v>7.8125E-2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15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0.1089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25.5</v>
      </c>
      <c r="Y93" s="43">
        <f>IFERROR(SUM(Y88:Y91),"0")</f>
        <v>25.5</v>
      </c>
      <c r="Z93" s="42"/>
      <c r="AA93" s="67"/>
      <c r="AB93" s="67"/>
      <c r="AC93" s="67"/>
    </row>
    <row r="94" spans="1:68" ht="14.25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171</v>
      </c>
      <c r="Y97" s="55">
        <f>IFERROR(IF(X97="",0,CEILING((X97/$H97),1)*$H97),"")</f>
        <v>172.8</v>
      </c>
      <c r="Z97" s="41">
        <f>IFERROR(IF(Y97=0,"",ROUNDUP(Y97/H97,0)*0.00651),"")</f>
        <v>0.41664000000000001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186.95999999999998</v>
      </c>
      <c r="BN97" s="78">
        <f>IFERROR(Y97*I97/H97,"0")</f>
        <v>188.928</v>
      </c>
      <c r="BO97" s="78">
        <f>IFERROR(1/J97*(X97/H97),"0")</f>
        <v>0.34798534798534797</v>
      </c>
      <c r="BP97" s="78">
        <f>IFERROR(1/J97*(Y97/H97),"0")</f>
        <v>0.35164835164835168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63.333333333333329</v>
      </c>
      <c r="Y99" s="43">
        <f>IFERROR(Y95/H95,"0")+IFERROR(Y96/H96,"0")+IFERROR(Y97/H97,"0")+IFERROR(Y98/H98,"0")</f>
        <v>64</v>
      </c>
      <c r="Z99" s="43">
        <f>IFERROR(IF(Z95="",0,Z95),"0")+IFERROR(IF(Z96="",0,Z96),"0")+IFERROR(IF(Z97="",0,Z97),"0")+IFERROR(IF(Z98="",0,Z98),"0")</f>
        <v>0.41664000000000001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171</v>
      </c>
      <c r="Y100" s="43">
        <f>IFERROR(SUM(Y95:Y98),"0")</f>
        <v>172.8</v>
      </c>
      <c r="Z100" s="42"/>
      <c r="AA100" s="67"/>
      <c r="AB100" s="67"/>
      <c r="AC100" s="67"/>
    </row>
    <row r="101" spans="1:68" ht="16.5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19.8</v>
      </c>
      <c r="Y104" s="55">
        <f t="shared" si="5"/>
        <v>19.8</v>
      </c>
      <c r="Z104" s="41">
        <f>IFERROR(IF(Y104=0,"",ROUNDUP(Y104/H104,0)*0.00726),"")</f>
        <v>0.13067999999999999</v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23.580000000000002</v>
      </c>
      <c r="BN104" s="78">
        <f t="shared" si="7"/>
        <v>23.580000000000002</v>
      </c>
      <c r="BO104" s="78">
        <f t="shared" si="8"/>
        <v>9.375E-2</v>
      </c>
      <c r="BP104" s="78">
        <f t="shared" si="9"/>
        <v>9.375E-2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18</v>
      </c>
      <c r="Y109" s="43">
        <f>IFERROR(Y103/H103,"0")+IFERROR(Y104/H104,"0")+IFERROR(Y105/H105,"0")+IFERROR(Y106/H106,"0")+IFERROR(Y107/H107,"0")+IFERROR(Y108/H108,"0")</f>
        <v>18</v>
      </c>
      <c r="Z109" s="43">
        <f>IFERROR(IF(Z103="",0,Z103),"0")+IFERROR(IF(Z104="",0,Z104),"0")+IFERROR(IF(Z105="",0,Z105),"0")+IFERROR(IF(Z106="",0,Z106),"0")+IFERROR(IF(Z107="",0,Z107),"0")+IFERROR(IF(Z108="",0,Z108),"0")</f>
        <v>0.13067999999999999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19.8</v>
      </c>
      <c r="Y110" s="43">
        <f>IFERROR(SUM(Y103:Y108),"0")</f>
        <v>19.8</v>
      </c>
      <c r="Z110" s="42"/>
      <c r="AA110" s="67"/>
      <c r="AB110" s="67"/>
      <c r="AC110" s="67"/>
    </row>
    <row r="111" spans="1:68" ht="14.25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17</v>
      </c>
      <c r="Y114" s="55">
        <f t="shared" si="10"/>
        <v>17</v>
      </c>
      <c r="Z114" s="41">
        <f>IFERROR(IF(Y114=0,"",ROUNDUP(Y114/H114,0)*0.00358),"")</f>
        <v>6.0859999999999997E-2</v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20.57</v>
      </c>
      <c r="BN114" s="78">
        <f t="shared" si="12"/>
        <v>20.57</v>
      </c>
      <c r="BO114" s="78">
        <f t="shared" si="13"/>
        <v>4.336734693877551E-2</v>
      </c>
      <c r="BP114" s="78">
        <f t="shared" si="14"/>
        <v>4.336734693877551E-2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17</v>
      </c>
      <c r="Y119" s="43">
        <f>IFERROR(Y112/H112,"0")+IFERROR(Y113/H113,"0")+IFERROR(Y114/H114,"0")+IFERROR(Y115/H115,"0")+IFERROR(Y116/H116,"0")+IFERROR(Y117/H117,"0")+IFERROR(Y118/H118,"0")</f>
        <v>17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6.0859999999999997E-2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17</v>
      </c>
      <c r="Y120" s="43">
        <f>IFERROR(SUM(Y112:Y118),"0")</f>
        <v>17</v>
      </c>
      <c r="Z120" s="42"/>
      <c r="AA120" s="67"/>
      <c r="AB120" s="67"/>
      <c r="AC120" s="67"/>
    </row>
    <row r="121" spans="1:68" ht="14.25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84</v>
      </c>
      <c r="Y125" s="55">
        <f>IFERROR(IF(X125="",0,CEILING((X125/$H125),1)*$H125),"")</f>
        <v>84.600000000000009</v>
      </c>
      <c r="Z125" s="41">
        <f>IFERROR(IF(Y125=0,"",ROUNDUP(Y125/H125,0)*0.00651),"")</f>
        <v>0.30597000000000002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92.399999999999991</v>
      </c>
      <c r="BN125" s="78">
        <f>IFERROR(Y125*I125/H125,"0")</f>
        <v>93.06</v>
      </c>
      <c r="BO125" s="78">
        <f>IFERROR(1/J125*(X125/H125),"0")</f>
        <v>0.25641025641025644</v>
      </c>
      <c r="BP125" s="78">
        <f>IFERROR(1/J125*(Y125/H125),"0")</f>
        <v>0.25824175824175832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46.666666666666664</v>
      </c>
      <c r="Y126" s="43">
        <f>IFERROR(Y122/H122,"0")+IFERROR(Y123/H123,"0")+IFERROR(Y124/H124,"0")+IFERROR(Y125/H125,"0")</f>
        <v>47.000000000000007</v>
      </c>
      <c r="Z126" s="43">
        <f>IFERROR(IF(Z122="",0,Z122),"0")+IFERROR(IF(Z123="",0,Z123),"0")+IFERROR(IF(Z124="",0,Z124),"0")+IFERROR(IF(Z125="",0,Z125),"0")</f>
        <v>0.30597000000000002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84</v>
      </c>
      <c r="Y127" s="43">
        <f>IFERROR(SUM(Y122:Y125),"0")</f>
        <v>84.600000000000009</v>
      </c>
      <c r="Z127" s="42"/>
      <c r="AA127" s="67"/>
      <c r="AB127" s="67"/>
      <c r="AC127" s="67"/>
    </row>
    <row r="128" spans="1:68" ht="14.25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19.2</v>
      </c>
      <c r="Y216" s="55">
        <f t="shared" si="26"/>
        <v>19.200000000000003</v>
      </c>
      <c r="Z216" s="41">
        <f>IFERROR(IF(Y216=0,"",ROUNDUP(Y216/H216,0)*0.00556),"")</f>
        <v>0.13344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22.32</v>
      </c>
      <c r="BN216" s="78">
        <f t="shared" si="28"/>
        <v>22.320000000000004</v>
      </c>
      <c r="BO216" s="78">
        <f t="shared" si="29"/>
        <v>9.5238095238095219E-2</v>
      </c>
      <c r="BP216" s="78">
        <f t="shared" si="30"/>
        <v>9.5238095238095247E-2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16</v>
      </c>
      <c r="Y223" s="55">
        <f t="shared" si="26"/>
        <v>16</v>
      </c>
      <c r="Z223" s="41">
        <f>IFERROR(IF(Y223=0,"",ROUNDUP(Y223/H223,0)*0.00417),"")</f>
        <v>8.3400000000000002E-2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20.2</v>
      </c>
      <c r="BN223" s="78">
        <f t="shared" si="28"/>
        <v>20.2</v>
      </c>
      <c r="BO223" s="78">
        <f t="shared" si="29"/>
        <v>5.9523809523809521E-2</v>
      </c>
      <c r="BP223" s="78">
        <f t="shared" si="30"/>
        <v>5.9523809523809521E-2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44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44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0.21684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35.200000000000003</v>
      </c>
      <c r="Y228" s="43">
        <f>IFERROR(SUM(Y213:Y226),"0")</f>
        <v>35.200000000000003</v>
      </c>
      <c r="Z228" s="42"/>
      <c r="AA228" s="67"/>
      <c r="AB228" s="67"/>
      <c r="AC228" s="67"/>
    </row>
    <row r="229" spans="1:68" ht="14.25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147.6</v>
      </c>
      <c r="Y276" s="55">
        <f t="shared" si="37"/>
        <v>148.79999999999998</v>
      </c>
      <c r="Z276" s="41">
        <f>IFERROR(IF(Y276=0,"",ROUNDUP(Y276/H276,0)*0.00651),"")</f>
        <v>0.40362000000000003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163.09800000000001</v>
      </c>
      <c r="BN276" s="78">
        <f t="shared" si="39"/>
        <v>164.42400000000001</v>
      </c>
      <c r="BO276" s="78">
        <f t="shared" si="40"/>
        <v>0.33791208791208793</v>
      </c>
      <c r="BP276" s="78">
        <f t="shared" si="41"/>
        <v>0.34065934065934067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116</v>
      </c>
      <c r="Y278" s="55">
        <f t="shared" si="37"/>
        <v>117.6</v>
      </c>
      <c r="Z278" s="41">
        <f>IFERROR(IF(Y278=0,"",ROUNDUP(Y278/H278,0)*0.00651),"")</f>
        <v>0.31899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128.18</v>
      </c>
      <c r="BN278" s="78">
        <f t="shared" si="39"/>
        <v>129.94800000000001</v>
      </c>
      <c r="BO278" s="78">
        <f t="shared" si="40"/>
        <v>0.26556776556776562</v>
      </c>
      <c r="BP278" s="78">
        <f t="shared" si="41"/>
        <v>0.26923076923076927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109.83333333333334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111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0.72260999999999997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263.60000000000002</v>
      </c>
      <c r="Y283" s="43">
        <f>IFERROR(SUM(Y270:Y281),"0")</f>
        <v>266.39999999999998</v>
      </c>
      <c r="Z283" s="42"/>
      <c r="AA283" s="67"/>
      <c r="AB283" s="67"/>
      <c r="AC283" s="67"/>
    </row>
    <row r="284" spans="1:68" ht="14.25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133.6</v>
      </c>
      <c r="Y294" s="55">
        <f t="shared" si="42"/>
        <v>136</v>
      </c>
      <c r="Z294" s="41">
        <f>IFERROR(IF(Y294=0,"",ROUNDUP(Y294/H294,0)*0.00902),"")</f>
        <v>0.30668000000000001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139.946</v>
      </c>
      <c r="BN294" s="78">
        <f t="shared" si="44"/>
        <v>142.46</v>
      </c>
      <c r="BO294" s="78">
        <f t="shared" si="45"/>
        <v>0.25303030303030305</v>
      </c>
      <c r="BP294" s="78">
        <f t="shared" si="46"/>
        <v>0.25757575757575757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106.8</v>
      </c>
      <c r="Y297" s="55">
        <f t="shared" si="42"/>
        <v>108</v>
      </c>
      <c r="Z297" s="41">
        <f>IFERROR(IF(Y297=0,"",ROUNDUP(Y297/H297,0)*0.00902),"")</f>
        <v>0.24354000000000001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111.873</v>
      </c>
      <c r="BN297" s="78">
        <f t="shared" si="44"/>
        <v>113.13000000000001</v>
      </c>
      <c r="BO297" s="78">
        <f t="shared" si="45"/>
        <v>0.20227272727272727</v>
      </c>
      <c r="BP297" s="78">
        <f t="shared" si="46"/>
        <v>0.20454545454545456</v>
      </c>
    </row>
    <row r="298" spans="1:68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60.099999999999994</v>
      </c>
      <c r="Y298" s="43">
        <f>IFERROR(Y291/H291,"0")+IFERROR(Y292/H292,"0")+IFERROR(Y293/H293,"0")+IFERROR(Y294/H294,"0")+IFERROR(Y295/H295,"0")+IFERROR(Y296/H296,"0")+IFERROR(Y297/H297,"0")</f>
        <v>61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0.55022000000000004</v>
      </c>
      <c r="AA298" s="67"/>
      <c r="AB298" s="67"/>
      <c r="AC298" s="67"/>
    </row>
    <row r="299" spans="1:68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240.39999999999998</v>
      </c>
      <c r="Y299" s="43">
        <f>IFERROR(SUM(Y291:Y297),"0")</f>
        <v>244</v>
      </c>
      <c r="Z299" s="42"/>
      <c r="AA299" s="67"/>
      <c r="AB299" s="67"/>
      <c r="AC299" s="67"/>
    </row>
    <row r="300" spans="1:68" ht="14.25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89.6</v>
      </c>
      <c r="Y326" s="55">
        <f>IFERROR(IF(X326="",0,CEILING((X326/$H326),1)*$H326),"")</f>
        <v>91.2</v>
      </c>
      <c r="Z326" s="41">
        <f>IFERROR(IF(Y326=0,"",ROUNDUP(Y326/H326,0)*0.00651),"")</f>
        <v>0.24738000000000002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99.00800000000001</v>
      </c>
      <c r="BN326" s="78">
        <f>IFERROR(Y326*I326/H326,"0")</f>
        <v>100.77600000000001</v>
      </c>
      <c r="BO326" s="78">
        <f>IFERROR(1/J326*(X326/H326),"0")</f>
        <v>0.20512820512820515</v>
      </c>
      <c r="BP326" s="78">
        <f>IFERROR(1/J326*(Y326/H326),"0")</f>
        <v>0.2087912087912088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142.4</v>
      </c>
      <c r="Y327" s="55">
        <f>IFERROR(IF(X327="",0,CEILING((X327/$H327),1)*$H327),"")</f>
        <v>144</v>
      </c>
      <c r="Z327" s="41">
        <f>IFERROR(IF(Y327=0,"",ROUNDUP(Y327/H327,0)*0.00651),"")</f>
        <v>0.3906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153.08000000000004</v>
      </c>
      <c r="BN327" s="78">
        <f>IFERROR(Y327*I327/H327,"0")</f>
        <v>154.80000000000001</v>
      </c>
      <c r="BO327" s="78">
        <f>IFERROR(1/J327*(X327/H327),"0")</f>
        <v>0.32600732600732607</v>
      </c>
      <c r="BP327" s="78">
        <f>IFERROR(1/J327*(Y327/H327),"0")</f>
        <v>0.32967032967032972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96.666666666666671</v>
      </c>
      <c r="Y328" s="43">
        <f>IFERROR(Y325/H325,"0")+IFERROR(Y326/H326,"0")+IFERROR(Y327/H327,"0")</f>
        <v>98</v>
      </c>
      <c r="Z328" s="43">
        <f>IFERROR(IF(Z325="",0,Z325),"0")+IFERROR(IF(Z326="",0,Z326),"0")+IFERROR(IF(Z327="",0,Z327),"0")</f>
        <v>0.63797999999999999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232</v>
      </c>
      <c r="Y329" s="43">
        <f>IFERROR(SUM(Y325:Y327),"0")</f>
        <v>235.2</v>
      </c>
      <c r="Z329" s="42"/>
      <c r="AA329" s="67"/>
      <c r="AB329" s="67"/>
      <c r="AC329" s="67"/>
    </row>
    <row r="330" spans="1:68" ht="16.5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126</v>
      </c>
      <c r="Y340" s="55">
        <f>IFERROR(IF(X340="",0,CEILING((X340/$H340),1)*$H340),"")</f>
        <v>126</v>
      </c>
      <c r="Z340" s="41">
        <f>IFERROR(IF(Y340=0,"",ROUNDUP(Y340/H340,0)*0.00902),"")</f>
        <v>0.31569999999999998</v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132.65</v>
      </c>
      <c r="BN340" s="78">
        <f>IFERROR(Y340*I340/H340,"0")</f>
        <v>132.65</v>
      </c>
      <c r="BO340" s="78">
        <f>IFERROR(1/J340*(X340/H340),"0")</f>
        <v>0.26515151515151514</v>
      </c>
      <c r="BP340" s="78">
        <f>IFERROR(1/J340*(Y340/H340),"0")</f>
        <v>0.26515151515151514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35</v>
      </c>
      <c r="Y342" s="43">
        <f>IFERROR(Y340/H340,"0")+IFERROR(Y341/H341,"0")</f>
        <v>35</v>
      </c>
      <c r="Z342" s="43">
        <f>IFERROR(IF(Z340="",0,Z340),"0")+IFERROR(IF(Z341="",0,Z341),"0")</f>
        <v>0.31569999999999998</v>
      </c>
      <c r="AA342" s="67"/>
      <c r="AB342" s="67"/>
      <c r="AC342" s="67"/>
    </row>
    <row r="343" spans="1:68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126</v>
      </c>
      <c r="Y343" s="43">
        <f>IFERROR(SUM(Y340:Y341),"0")</f>
        <v>126</v>
      </c>
      <c r="Z343" s="42"/>
      <c r="AA343" s="67"/>
      <c r="AB343" s="67"/>
      <c r="AC343" s="67"/>
    </row>
    <row r="344" spans="1:68" ht="16.5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80</v>
      </c>
      <c r="Y358" s="55">
        <f t="shared" si="47"/>
        <v>80</v>
      </c>
      <c r="Z358" s="41">
        <f>IFERROR(IF(Y358=0,"",ROUNDUP(Y358/H358,0)*0.00902),"")</f>
        <v>0.1804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83.800000000000011</v>
      </c>
      <c r="BN358" s="78">
        <f t="shared" si="49"/>
        <v>83.800000000000011</v>
      </c>
      <c r="BO358" s="78">
        <f t="shared" si="50"/>
        <v>0.15151515151515152</v>
      </c>
      <c r="BP358" s="78">
        <f t="shared" si="51"/>
        <v>0.15151515151515152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20</v>
      </c>
      <c r="Y359" s="43">
        <f>IFERROR(Y353/H353,"0")+IFERROR(Y354/H354,"0")+IFERROR(Y355/H355,"0")+IFERROR(Y356/H356,"0")+IFERROR(Y357/H357,"0")+IFERROR(Y358/H358,"0")</f>
        <v>20</v>
      </c>
      <c r="Z359" s="43">
        <f>IFERROR(IF(Z353="",0,Z353),"0")+IFERROR(IF(Z354="",0,Z354),"0")+IFERROR(IF(Z355="",0,Z355),"0")+IFERROR(IF(Z356="",0,Z356),"0")+IFERROR(IF(Z357="",0,Z357),"0")+IFERROR(IF(Z358="",0,Z358),"0")</f>
        <v>0.1804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80</v>
      </c>
      <c r="Y360" s="43">
        <f>IFERROR(SUM(Y353:Y358),"0")</f>
        <v>80</v>
      </c>
      <c r="Z360" s="42"/>
      <c r="AA360" s="67"/>
      <c r="AB360" s="67"/>
      <c r="AC360" s="67"/>
    </row>
    <row r="361" spans="1:68" ht="14.25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91</v>
      </c>
      <c r="Y366" s="55">
        <f t="shared" si="52"/>
        <v>92.4</v>
      </c>
      <c r="Z366" s="41">
        <f>IFERROR(IF(Y366=0,"",ROUNDUP(Y366/H366,0)*0.00502),"")</f>
        <v>0.22088000000000002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95.333333333333343</v>
      </c>
      <c r="BN366" s="78">
        <f t="shared" si="54"/>
        <v>96.800000000000011</v>
      </c>
      <c r="BO366" s="78">
        <f t="shared" si="55"/>
        <v>0.18518518518518517</v>
      </c>
      <c r="BP366" s="78">
        <f t="shared" si="56"/>
        <v>0.18803418803418806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72</v>
      </c>
      <c r="Y368" s="55">
        <f t="shared" si="52"/>
        <v>72</v>
      </c>
      <c r="Z368" s="41">
        <f>IFERROR(IF(Y368=0,"",ROUNDUP(Y368/H368,0)*0.00651),"")</f>
        <v>0.26040000000000002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81.11999999999999</v>
      </c>
      <c r="BN368" s="78">
        <f t="shared" si="54"/>
        <v>81.11999999999999</v>
      </c>
      <c r="BO368" s="78">
        <f t="shared" si="55"/>
        <v>0.2197802197802198</v>
      </c>
      <c r="BP368" s="78">
        <f t="shared" si="56"/>
        <v>0.2197802197802198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83.333333333333329</v>
      </c>
      <c r="Y369" s="43">
        <f>IFERROR(Y362/H362,"0")+IFERROR(Y363/H363,"0")+IFERROR(Y364/H364,"0")+IFERROR(Y365/H365,"0")+IFERROR(Y366/H366,"0")+IFERROR(Y367/H367,"0")+IFERROR(Y368/H368,"0")</f>
        <v>84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0.48128000000000004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163</v>
      </c>
      <c r="Y370" s="43">
        <f>IFERROR(SUM(Y362:Y368),"0")</f>
        <v>164.4</v>
      </c>
      <c r="Z370" s="42"/>
      <c r="AA370" s="67"/>
      <c r="AB370" s="67"/>
      <c r="AC370" s="67"/>
    </row>
    <row r="371" spans="1:68" ht="14.25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20.74</v>
      </c>
      <c r="Y387" s="55">
        <f>IFERROR(IF(X387="",0,CEILING((X387/$H387),1)*$H387),"")</f>
        <v>22.95</v>
      </c>
      <c r="Z387" s="41">
        <f>IFERROR(IF(Y387=0,"",ROUNDUP(Y387/H387,0)*0.00651),"")</f>
        <v>5.8590000000000003E-2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24.033999999999999</v>
      </c>
      <c r="BN387" s="78">
        <f>IFERROR(Y387*I387/H387,"0")</f>
        <v>26.595000000000002</v>
      </c>
      <c r="BO387" s="78">
        <f>IFERROR(1/J387*(X387/H387),"0")</f>
        <v>4.4688644688644689E-2</v>
      </c>
      <c r="BP387" s="78">
        <f>IFERROR(1/J387*(Y387/H387),"0")</f>
        <v>4.9450549450549455E-2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25.5</v>
      </c>
      <c r="Y388" s="55">
        <f>IFERROR(IF(X388="",0,CEILING((X388/$H388),1)*$H388),"")</f>
        <v>25.5</v>
      </c>
      <c r="Z388" s="41">
        <f>IFERROR(IF(Y388=0,"",ROUNDUP(Y388/H388,0)*0.00651),"")</f>
        <v>6.5100000000000005E-2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28.8</v>
      </c>
      <c r="BN388" s="78">
        <f>IFERROR(Y388*I388/H388,"0")</f>
        <v>28.8</v>
      </c>
      <c r="BO388" s="78">
        <f>IFERROR(1/J388*(X388/H388),"0")</f>
        <v>5.4945054945054951E-2</v>
      </c>
      <c r="BP388" s="78">
        <f>IFERROR(1/J388*(Y388/H388),"0")</f>
        <v>5.4945054945054951E-2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18.133333333333333</v>
      </c>
      <c r="Y389" s="43">
        <f>IFERROR(Y385/H385,"0")+IFERROR(Y386/H386,"0")+IFERROR(Y387/H387,"0")+IFERROR(Y388/H388,"0")</f>
        <v>19</v>
      </c>
      <c r="Z389" s="43">
        <f>IFERROR(IF(Z385="",0,Z385),"0")+IFERROR(IF(Z386="",0,Z386),"0")+IFERROR(IF(Z387="",0,Z387),"0")+IFERROR(IF(Z388="",0,Z388),"0")</f>
        <v>0.12369000000000001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46.239999999999995</v>
      </c>
      <c r="Y390" s="43">
        <f>IFERROR(SUM(Y385:Y388),"0")</f>
        <v>48.45</v>
      </c>
      <c r="Z390" s="42"/>
      <c r="AA390" s="67"/>
      <c r="AB390" s="67"/>
      <c r="AC390" s="67"/>
    </row>
    <row r="391" spans="1:68" ht="14.25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32</v>
      </c>
      <c r="Y394" s="55">
        <f>IFERROR(IF(X394="",0,CEILING((X394/$H394),1)*$H394),"")</f>
        <v>32</v>
      </c>
      <c r="Z394" s="41">
        <f>IFERROR(IF(Y394=0,"",ROUNDUP(Y394/H394,0)*0.00474),"")</f>
        <v>7.5840000000000005E-2</v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35.840000000000003</v>
      </c>
      <c r="BN394" s="78">
        <f>IFERROR(Y394*I394/H394,"0")</f>
        <v>35.840000000000003</v>
      </c>
      <c r="BO394" s="78">
        <f>IFERROR(1/J394*(X394/H394),"0")</f>
        <v>6.7226890756302518E-2</v>
      </c>
      <c r="BP394" s="78">
        <f>IFERROR(1/J394*(Y394/H394),"0")</f>
        <v>6.7226890756302518E-2</v>
      </c>
    </row>
    <row r="395" spans="1:68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16</v>
      </c>
      <c r="Y395" s="43">
        <f>IFERROR(Y392/H392,"0")+IFERROR(Y393/H393,"0")+IFERROR(Y394/H394,"0")</f>
        <v>16</v>
      </c>
      <c r="Z395" s="43">
        <f>IFERROR(IF(Z392="",0,Z392),"0")+IFERROR(IF(Z393="",0,Z393),"0")+IFERROR(IF(Z394="",0,Z394),"0")</f>
        <v>7.5840000000000005E-2</v>
      </c>
      <c r="AA395" s="67"/>
      <c r="AB395" s="67"/>
      <c r="AC395" s="67"/>
    </row>
    <row r="396" spans="1:68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32</v>
      </c>
      <c r="Y396" s="43">
        <f>IFERROR(SUM(Y392:Y394),"0")</f>
        <v>32</v>
      </c>
      <c r="Z396" s="42"/>
      <c r="AA396" s="67"/>
      <c r="AB396" s="67"/>
      <c r="AC396" s="67"/>
    </row>
    <row r="397" spans="1:68" ht="16.5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165.2</v>
      </c>
      <c r="Y400" s="55">
        <f>IFERROR(IF(X400="",0,CEILING((X400/$H400),1)*$H400),"")</f>
        <v>165.9</v>
      </c>
      <c r="Z400" s="41">
        <f>IFERROR(IF(Y400=0,"",ROUNDUP(Y400/H400,0)*0.00651),"")</f>
        <v>0.51429000000000002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185.02399999999997</v>
      </c>
      <c r="BN400" s="78">
        <f>IFERROR(Y400*I400/H400,"0")</f>
        <v>185.80799999999999</v>
      </c>
      <c r="BO400" s="78">
        <f>IFERROR(1/J400*(X400/H400),"0")</f>
        <v>0.4322344322344322</v>
      </c>
      <c r="BP400" s="78">
        <f>IFERROR(1/J400*(Y400/H400),"0")</f>
        <v>0.43406593406593408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84</v>
      </c>
      <c r="Y401" s="55">
        <f>IFERROR(IF(X401="",0,CEILING((X401/$H401),1)*$H401),"")</f>
        <v>84</v>
      </c>
      <c r="Z401" s="41">
        <f>IFERROR(IF(Y401=0,"",ROUNDUP(Y401/H401,0)*0.00651),"")</f>
        <v>0.26040000000000002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93.6</v>
      </c>
      <c r="BN401" s="78">
        <f>IFERROR(Y401*I401/H401,"0")</f>
        <v>93.6</v>
      </c>
      <c r="BO401" s="78">
        <f>IFERROR(1/J401*(X401/H401),"0")</f>
        <v>0.2197802197802198</v>
      </c>
      <c r="BP401" s="78">
        <f>IFERROR(1/J401*(Y401/H401),"0")</f>
        <v>0.2197802197802198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118.66666666666666</v>
      </c>
      <c r="Y402" s="43">
        <f>IFERROR(Y399/H399,"0")+IFERROR(Y400/H400,"0")+IFERROR(Y401/H401,"0")</f>
        <v>119</v>
      </c>
      <c r="Z402" s="43">
        <f>IFERROR(IF(Z399="",0,Z399),"0")+IFERROR(IF(Z400="",0,Z400),"0")+IFERROR(IF(Z401="",0,Z401),"0")</f>
        <v>0.7746900000000001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249.2</v>
      </c>
      <c r="Y403" s="43">
        <f>IFERROR(SUM(Y399:Y401),"0")</f>
        <v>249.9</v>
      </c>
      <c r="Z403" s="42"/>
      <c r="AA403" s="67"/>
      <c r="AB403" s="67"/>
      <c r="AC403" s="67"/>
    </row>
    <row r="404" spans="1:68" ht="27.75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197</v>
      </c>
      <c r="Y414" s="55">
        <f t="shared" si="57"/>
        <v>200</v>
      </c>
      <c r="Z414" s="41">
        <f>IFERROR(IF(Y414=0,"",ROUNDUP(Y414/H414,0)*0.00902),"")</f>
        <v>0.36080000000000001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204.48600000000002</v>
      </c>
      <c r="BN414" s="78">
        <f t="shared" si="59"/>
        <v>207.6</v>
      </c>
      <c r="BO414" s="78">
        <f t="shared" si="60"/>
        <v>0.29848484848484846</v>
      </c>
      <c r="BP414" s="78">
        <f t="shared" si="61"/>
        <v>0.30303030303030304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39.4</v>
      </c>
      <c r="Y415" s="43">
        <f>IFERROR(Y407/H407,"0")+IFERROR(Y408/H408,"0")+IFERROR(Y409/H409,"0")+IFERROR(Y410/H410,"0")+IFERROR(Y411/H411,"0")+IFERROR(Y412/H412,"0")+IFERROR(Y413/H413,"0")+IFERROR(Y414/H414,"0")</f>
        <v>40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0.36080000000000001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197</v>
      </c>
      <c r="Y416" s="43">
        <f>IFERROR(SUM(Y407:Y414),"0")</f>
        <v>200</v>
      </c>
      <c r="Z416" s="42"/>
      <c r="AA416" s="67"/>
      <c r="AB416" s="67"/>
      <c r="AC416" s="67"/>
    </row>
    <row r="417" spans="1:68" ht="14.25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110.4</v>
      </c>
      <c r="Y420" s="55">
        <f>IFERROR(IF(X420="",0,CEILING((X420/$H420),1)*$H420),"")</f>
        <v>112</v>
      </c>
      <c r="Z420" s="41">
        <f>IFERROR(IF(Y420=0,"",ROUNDUP(Y420/H420,0)*0.00902),"")</f>
        <v>0.25256000000000001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115.64400000000002</v>
      </c>
      <c r="BN420" s="78">
        <f>IFERROR(Y420*I420/H420,"0")</f>
        <v>117.32000000000001</v>
      </c>
      <c r="BO420" s="78">
        <f>IFERROR(1/J420*(X420/H420),"0")</f>
        <v>0.20909090909090911</v>
      </c>
      <c r="BP420" s="78">
        <f>IFERROR(1/J420*(Y420/H420),"0")</f>
        <v>0.21212121212121213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27.6</v>
      </c>
      <c r="Y421" s="43">
        <f>IFERROR(Y418/H418,"0")+IFERROR(Y419/H419,"0")+IFERROR(Y420/H420,"0")</f>
        <v>28</v>
      </c>
      <c r="Z421" s="43">
        <f>IFERROR(IF(Z418="",0,Z418),"0")+IFERROR(IF(Z419="",0,Z419),"0")+IFERROR(IF(Z420="",0,Z420),"0")</f>
        <v>0.25256000000000001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110.4</v>
      </c>
      <c r="Y422" s="43">
        <f>IFERROR(SUM(Y418:Y420),"0")</f>
        <v>112</v>
      </c>
      <c r="Z422" s="42"/>
      <c r="AA422" s="67"/>
      <c r="AB422" s="67"/>
      <c r="AC422" s="67"/>
    </row>
    <row r="423" spans="1:68" ht="14.25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90.65</v>
      </c>
      <c r="Y453" s="55">
        <f t="shared" si="62"/>
        <v>92.4</v>
      </c>
      <c r="Z453" s="41">
        <f>IFERROR(IF(Y453=0,"",ROUNDUP(Y453/H453,0)*0.00502),"")</f>
        <v>0.22088000000000002</v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96.26166666666667</v>
      </c>
      <c r="BN453" s="78">
        <f t="shared" si="64"/>
        <v>98.12</v>
      </c>
      <c r="BO453" s="78">
        <f t="shared" si="65"/>
        <v>0.18447293447293447</v>
      </c>
      <c r="BP453" s="78">
        <f t="shared" si="66"/>
        <v>0.18803418803418806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57.05</v>
      </c>
      <c r="Y455" s="55">
        <f t="shared" si="62"/>
        <v>58.800000000000004</v>
      </c>
      <c r="Z455" s="41">
        <f>IFERROR(IF(Y455=0,"",ROUNDUP(Y455/H455,0)*0.00502),"")</f>
        <v>0.14056000000000002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60.581666666666663</v>
      </c>
      <c r="BN455" s="78">
        <f t="shared" si="64"/>
        <v>62.44</v>
      </c>
      <c r="BO455" s="78">
        <f t="shared" si="65"/>
        <v>0.11609686609686609</v>
      </c>
      <c r="BP455" s="78">
        <f t="shared" si="66"/>
        <v>0.11965811965811968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84</v>
      </c>
      <c r="Y456" s="55">
        <f t="shared" si="62"/>
        <v>84</v>
      </c>
      <c r="Z456" s="41">
        <f>IFERROR(IF(Y456=0,"",ROUNDUP(Y456/H456,0)*0.00502),"")</f>
        <v>0.20080000000000001</v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89.199999999999989</v>
      </c>
      <c r="BN456" s="78">
        <f t="shared" si="64"/>
        <v>89.199999999999989</v>
      </c>
      <c r="BO456" s="78">
        <f t="shared" si="65"/>
        <v>0.17094017094017094</v>
      </c>
      <c r="BP456" s="78">
        <f t="shared" si="66"/>
        <v>0.17094017094017094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110.33333333333333</v>
      </c>
      <c r="Y457" s="43">
        <f>IFERROR(Y451/H451,"0")+IFERROR(Y452/H452,"0")+IFERROR(Y453/H453,"0")+IFERROR(Y454/H454,"0")+IFERROR(Y455/H455,"0")+IFERROR(Y456/H456,"0")</f>
        <v>112</v>
      </c>
      <c r="Z457" s="43">
        <f>IFERROR(IF(Z451="",0,Z451),"0")+IFERROR(IF(Z452="",0,Z452),"0")+IFERROR(IF(Z453="",0,Z453),"0")+IFERROR(IF(Z454="",0,Z454),"0")+IFERROR(IF(Z455="",0,Z455),"0")+IFERROR(IF(Z456="",0,Z456),"0")</f>
        <v>0.56224000000000007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231.7</v>
      </c>
      <c r="Y458" s="43">
        <f>IFERROR(SUM(Y451:Y456),"0")</f>
        <v>235.20000000000002</v>
      </c>
      <c r="Z458" s="42"/>
      <c r="AA458" s="67"/>
      <c r="AB458" s="67"/>
      <c r="AC458" s="67"/>
    </row>
    <row r="459" spans="1:68" ht="14.25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168</v>
      </c>
      <c r="Y460" s="55">
        <f>IFERROR(IF(X460="",0,CEILING((X460/$H460),1)*$H460),"")</f>
        <v>168</v>
      </c>
      <c r="Z460" s="41">
        <f>IFERROR(IF(Y460=0,"",ROUNDUP(Y460/H460,0)*0.00902),"")</f>
        <v>0.63139999999999996</v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183.82000000000002</v>
      </c>
      <c r="BN460" s="78">
        <f>IFERROR(Y460*I460/H460,"0")</f>
        <v>183.82000000000002</v>
      </c>
      <c r="BO460" s="78">
        <f>IFERROR(1/J460*(X460/H460),"0")</f>
        <v>0.53030303030303028</v>
      </c>
      <c r="BP460" s="78">
        <f>IFERROR(1/J460*(Y460/H460),"0")</f>
        <v>0.53030303030303028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59.4</v>
      </c>
      <c r="Y461" s="55">
        <f>IFERROR(IF(X461="",0,CEILING((X461/$H461),1)*$H461),"")</f>
        <v>59.4</v>
      </c>
      <c r="Z461" s="41">
        <f>IFERROR(IF(Y461=0,"",ROUNDUP(Y461/H461,0)*0.00651),"")</f>
        <v>0.1953</v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67.14</v>
      </c>
      <c r="BN461" s="78">
        <f>IFERROR(Y461*I461/H461,"0")</f>
        <v>67.14</v>
      </c>
      <c r="BO461" s="78">
        <f>IFERROR(1/J461*(X461/H461),"0")</f>
        <v>0.16483516483516486</v>
      </c>
      <c r="BP461" s="78">
        <f>IFERROR(1/J461*(Y461/H461),"0")</f>
        <v>0.16483516483516486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100</v>
      </c>
      <c r="Y462" s="43">
        <f>IFERROR(Y460/H460,"0")+IFERROR(Y461/H461,"0")</f>
        <v>100</v>
      </c>
      <c r="Z462" s="43">
        <f>IFERROR(IF(Z460="",0,Z460),"0")+IFERROR(IF(Z461="",0,Z461),"0")</f>
        <v>0.82669999999999999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227.4</v>
      </c>
      <c r="Y463" s="43">
        <f>IFERROR(SUM(Y460:Y461),"0")</f>
        <v>227.4</v>
      </c>
      <c r="Z463" s="42"/>
      <c r="AA463" s="67"/>
      <c r="AB463" s="67"/>
      <c r="AC463" s="67"/>
    </row>
    <row r="464" spans="1:68" ht="16.5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171.6</v>
      </c>
      <c r="Y485" s="55">
        <f t="shared" si="67"/>
        <v>172.79999999999998</v>
      </c>
      <c r="Z485" s="41">
        <f>IFERROR(IF(Y485=0,"",ROUNDUP(Y485/H485,0)*0.00902),"")</f>
        <v>0.32472000000000001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247.03250000000003</v>
      </c>
      <c r="BN485" s="78">
        <f t="shared" si="70"/>
        <v>248.76000000000002</v>
      </c>
      <c r="BO485" s="78">
        <f t="shared" si="71"/>
        <v>0.27083333333333331</v>
      </c>
      <c r="BP485" s="78">
        <f t="shared" si="72"/>
        <v>0.27272727272727271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218.4</v>
      </c>
      <c r="Y486" s="55">
        <f t="shared" si="67"/>
        <v>220.79999999999998</v>
      </c>
      <c r="Z486" s="41">
        <f>IFERROR(IF(Y486=0,"",ROUNDUP(Y486/H486,0)*0.00902),"")</f>
        <v>0.41492000000000001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314.40500000000003</v>
      </c>
      <c r="BN486" s="78">
        <f t="shared" si="70"/>
        <v>317.85999999999996</v>
      </c>
      <c r="BO486" s="78">
        <f t="shared" si="71"/>
        <v>0.34469696969696972</v>
      </c>
      <c r="BP486" s="78">
        <f t="shared" si="72"/>
        <v>0.34848484848484851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81.25</v>
      </c>
      <c r="Y487" s="43">
        <f>IFERROR(Y478/H478,"0")+IFERROR(Y479/H479,"0")+IFERROR(Y480/H480,"0")+IFERROR(Y481/H481,"0")+IFERROR(Y482/H482,"0")+IFERROR(Y483/H483,"0")+IFERROR(Y484/H484,"0")+IFERROR(Y485/H485,"0")+IFERROR(Y486/H486,"0")</f>
        <v>82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0.73964000000000008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390</v>
      </c>
      <c r="Y488" s="43">
        <f>IFERROR(SUM(Y478:Y486),"0")</f>
        <v>393.59999999999997</v>
      </c>
      <c r="Z488" s="42"/>
      <c r="AA488" s="67"/>
      <c r="AB488" s="67"/>
      <c r="AC488" s="67"/>
    </row>
    <row r="489" spans="1:68" ht="14.25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3425.1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3459.63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3849.8608333333336</v>
      </c>
      <c r="Y535" s="43">
        <f>IFERROR(SUM(BN22:BN531),"0")</f>
        <v>3888.3590000000008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8</v>
      </c>
      <c r="Y536" s="44">
        <f>ROUNDUP(SUM(BP22:BP531),0)</f>
        <v>8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4049.8608333333336</v>
      </c>
      <c r="Y537" s="43">
        <f>GrossWeightTotalR+PalletQtyTotalR*25</f>
        <v>4088.3590000000008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1307.8166666666666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1320</v>
      </c>
      <c r="Z538" s="42"/>
      <c r="AA538" s="67"/>
      <c r="AB538" s="67"/>
      <c r="AC538" s="67"/>
    </row>
    <row r="539" spans="1:68" ht="14.25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9.2216999999999985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110.88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124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255.3</v>
      </c>
      <c r="F544" s="52">
        <f>IFERROR(Y88*1,"0")+IFERROR(Y89*1,"0")+IFERROR(Y90*1,"0")+IFERROR(Y91*1,"0")+IFERROR(Y95*1,"0")+IFERROR(Y96*1,"0")+IFERROR(Y97*1,"0")+IFERROR(Y98*1,"0")</f>
        <v>198.3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121.4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35.200000000000003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266.39999999999998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244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235.2</v>
      </c>
      <c r="R544" s="52">
        <f>IFERROR(Y332*1,"0")+IFERROR(Y333*1,"0")+IFERROR(Y334*1,"0")+IFERROR(Y335*1,"0")+IFERROR(Y336*1,"0")+IFERROR(Y340*1,"0")+IFERROR(Y341*1,"0")</f>
        <v>126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324.85000000000002</v>
      </c>
      <c r="U544" s="52">
        <f>IFERROR(Y399*1,"0")+IFERROR(Y400*1,"0")+IFERROR(Y401*1,"0")</f>
        <v>249.9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312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462.6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393.59999999999997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2026-07-14T11:13:45Z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