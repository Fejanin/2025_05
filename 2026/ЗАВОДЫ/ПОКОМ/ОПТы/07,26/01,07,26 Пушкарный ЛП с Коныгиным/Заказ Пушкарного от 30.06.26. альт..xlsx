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CFEBD38-2EC1-4773-9C33-1CDD564EF31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Z436" i="2" s="1"/>
  <c r="P436" i="2"/>
  <c r="X434" i="2"/>
  <c r="X433" i="2"/>
  <c r="BO432" i="2"/>
  <c r="BM432" i="2"/>
  <c r="Y432" i="2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16" i="2" l="1"/>
  <c r="BN116" i="2"/>
  <c r="Z122" i="2"/>
  <c r="Z304" i="2"/>
  <c r="BN304" i="2"/>
  <c r="X528" i="2"/>
  <c r="Z23" i="2"/>
  <c r="Z252" i="2"/>
  <c r="Z217" i="2"/>
  <c r="Z271" i="2"/>
  <c r="Z350" i="2"/>
  <c r="BN350" i="2"/>
  <c r="Z406" i="2"/>
  <c r="Z72" i="2"/>
  <c r="Z108" i="2"/>
  <c r="Z220" i="2"/>
  <c r="Z267" i="2"/>
  <c r="Z360" i="2"/>
  <c r="BN360" i="2"/>
  <c r="Z380" i="2"/>
  <c r="Z485" i="2"/>
  <c r="Z495" i="2"/>
  <c r="Z31" i="2"/>
  <c r="Z82" i="2"/>
  <c r="Z106" i="2"/>
  <c r="Z115" i="2"/>
  <c r="Z169" i="2"/>
  <c r="Z175" i="2"/>
  <c r="Z218" i="2"/>
  <c r="BN218" i="2"/>
  <c r="Z241" i="2"/>
  <c r="BN241" i="2"/>
  <c r="Z262" i="2"/>
  <c r="Z270" i="2"/>
  <c r="Z277" i="2"/>
  <c r="Z303" i="2"/>
  <c r="Z339" i="2"/>
  <c r="BN339" i="2"/>
  <c r="Z349" i="2"/>
  <c r="Z359" i="2"/>
  <c r="Z365" i="2"/>
  <c r="Z402" i="2"/>
  <c r="BN54" i="2"/>
  <c r="BN70" i="2"/>
  <c r="BN104" i="2"/>
  <c r="BN107" i="2"/>
  <c r="BN124" i="2"/>
  <c r="BN134" i="2"/>
  <c r="BN149" i="2"/>
  <c r="Z149" i="2"/>
  <c r="BP151" i="2"/>
  <c r="Z151" i="2"/>
  <c r="BP162" i="2"/>
  <c r="Y164" i="2"/>
  <c r="Y163" i="2"/>
  <c r="BN162" i="2"/>
  <c r="BN174" i="2"/>
  <c r="BP186" i="2"/>
  <c r="BN186" i="2"/>
  <c r="Z186" i="2"/>
  <c r="BN208" i="2"/>
  <c r="Z208" i="2"/>
  <c r="BN214" i="2"/>
  <c r="Z214" i="2"/>
  <c r="BN219" i="2"/>
  <c r="BP231" i="2"/>
  <c r="BN231" i="2"/>
  <c r="Z231" i="2"/>
  <c r="BN254" i="2"/>
  <c r="Z254" i="2"/>
  <c r="BP265" i="2"/>
  <c r="Z265" i="2"/>
  <c r="BP283" i="2"/>
  <c r="Z283" i="2"/>
  <c r="BP358" i="2"/>
  <c r="Z358" i="2"/>
  <c r="BN361" i="2"/>
  <c r="BP368" i="2"/>
  <c r="Z368" i="2"/>
  <c r="BN379" i="2"/>
  <c r="BN381" i="2"/>
  <c r="BP381" i="2"/>
  <c r="Y396" i="2"/>
  <c r="Z392" i="2"/>
  <c r="Y395" i="2"/>
  <c r="BN404" i="2"/>
  <c r="BN412" i="2"/>
  <c r="Z412" i="2"/>
  <c r="BP432" i="2"/>
  <c r="Y434" i="2"/>
  <c r="Y433" i="2"/>
  <c r="BN432" i="2"/>
  <c r="BN484" i="2"/>
  <c r="BP23" i="2"/>
  <c r="BN28" i="2"/>
  <c r="BP30" i="2"/>
  <c r="Z36" i="2"/>
  <c r="Z37" i="2" s="1"/>
  <c r="Z44" i="2"/>
  <c r="BN44" i="2"/>
  <c r="BN60" i="2"/>
  <c r="Z62" i="2"/>
  <c r="BN63" i="2"/>
  <c r="Z64" i="2"/>
  <c r="BN65" i="2"/>
  <c r="BP77" i="2"/>
  <c r="Z95" i="2"/>
  <c r="BN96" i="2"/>
  <c r="Z97" i="2"/>
  <c r="BP115" i="2"/>
  <c r="BN128" i="2"/>
  <c r="Y140" i="2"/>
  <c r="BN138" i="2"/>
  <c r="Z143" i="2"/>
  <c r="Z145" i="2" s="1"/>
  <c r="BN143" i="2"/>
  <c r="BN173" i="2"/>
  <c r="Z173" i="2"/>
  <c r="BN247" i="2"/>
  <c r="Z247" i="2"/>
  <c r="Z248" i="2" s="1"/>
  <c r="BP254" i="2"/>
  <c r="BP255" i="2"/>
  <c r="BN255" i="2"/>
  <c r="Z255" i="2"/>
  <c r="BN257" i="2"/>
  <c r="Z257" i="2"/>
  <c r="BP268" i="2"/>
  <c r="Z268" i="2"/>
  <c r="BN273" i="2"/>
  <c r="Z273" i="2"/>
  <c r="BP293" i="2"/>
  <c r="Y295" i="2"/>
  <c r="BP301" i="2"/>
  <c r="Z301" i="2"/>
  <c r="BP312" i="2"/>
  <c r="Z312" i="2"/>
  <c r="BP325" i="2"/>
  <c r="Z325" i="2"/>
  <c r="BN334" i="2"/>
  <c r="BN340" i="2"/>
  <c r="BP348" i="2"/>
  <c r="Z348" i="2"/>
  <c r="BN351" i="2"/>
  <c r="BN374" i="2"/>
  <c r="Z374" i="2"/>
  <c r="BP392" i="2"/>
  <c r="BN393" i="2"/>
  <c r="BP437" i="2"/>
  <c r="Z437" i="2"/>
  <c r="BP444" i="2"/>
  <c r="BN444" i="2"/>
  <c r="Z444" i="2"/>
  <c r="BP449" i="2"/>
  <c r="BN449" i="2"/>
  <c r="Z449" i="2"/>
  <c r="BP453" i="2"/>
  <c r="BN453" i="2"/>
  <c r="Z453" i="2"/>
  <c r="Y455" i="2"/>
  <c r="BN479" i="2"/>
  <c r="Z479" i="2"/>
  <c r="BN494" i="2"/>
  <c r="Y502" i="2"/>
  <c r="Z501" i="2"/>
  <c r="Z502" i="2" s="1"/>
  <c r="BP509" i="2"/>
  <c r="Z509" i="2"/>
  <c r="BN158" i="2"/>
  <c r="BN166" i="2"/>
  <c r="BN198" i="2"/>
  <c r="BN211" i="2"/>
  <c r="BP217" i="2"/>
  <c r="BP270" i="2"/>
  <c r="BP271" i="2"/>
  <c r="BN272" i="2"/>
  <c r="Y298" i="2"/>
  <c r="BP303" i="2"/>
  <c r="BN319" i="2"/>
  <c r="BN326" i="2"/>
  <c r="BP349" i="2"/>
  <c r="BN355" i="2"/>
  <c r="BP359" i="2"/>
  <c r="Y376" i="2"/>
  <c r="Y389" i="2"/>
  <c r="BN386" i="2"/>
  <c r="BN394" i="2"/>
  <c r="BP406" i="2"/>
  <c r="BN407" i="2"/>
  <c r="BN436" i="2"/>
  <c r="BN438" i="2"/>
  <c r="BN446" i="2"/>
  <c r="Y456" i="2"/>
  <c r="BN454" i="2"/>
  <c r="BN463" i="2"/>
  <c r="Y466" i="2"/>
  <c r="BN474" i="2"/>
  <c r="BN491" i="2"/>
  <c r="Z53" i="2"/>
  <c r="D537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Z439" i="2" s="1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19" i="2" l="1"/>
  <c r="Z187" i="2"/>
  <c r="Z520" i="2"/>
  <c r="Z227" i="2"/>
  <c r="Z159" i="2"/>
  <c r="Z135" i="2"/>
  <c r="Z98" i="2"/>
  <c r="Z466" i="2"/>
  <c r="X530" i="2"/>
  <c r="Z24" i="2"/>
  <c r="Z243" i="2"/>
  <c r="Z450" i="2"/>
  <c r="Z375" i="2"/>
  <c r="Z274" i="2"/>
  <c r="Z176" i="2"/>
  <c r="Z66" i="2"/>
  <c r="Z55" i="2"/>
  <c r="Z330" i="2"/>
  <c r="Z429" i="2"/>
  <c r="Z279" i="2"/>
  <c r="Z455" i="2"/>
  <c r="Z305" i="2"/>
  <c r="Z414" i="2"/>
  <c r="Z362" i="2"/>
  <c r="Z511" i="2"/>
  <c r="Z140" i="2"/>
  <c r="Z83" i="2"/>
  <c r="Z408" i="2"/>
  <c r="Z290" i="2"/>
  <c r="Z222" i="2"/>
  <c r="Z153" i="2"/>
  <c r="Z182" i="2"/>
  <c r="Z109" i="2"/>
  <c r="Z388" i="2"/>
  <c r="Z496" i="2"/>
  <c r="Z200" i="2"/>
  <c r="Z91" i="2"/>
  <c r="Z382" i="2"/>
  <c r="Z395" i="2"/>
  <c r="Z36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<sst xmlns="http://schemas.openxmlformats.org/spreadsheetml/2006/main" count="3956" uniqueCount="844">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</sst>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504" zoomScaleNormal="100" zoomScaleSheetLayoutView="100" workbookViewId="0">
      <selection activeCell="X350" sqref="X3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2" t="s">
        <v>26</v>
      </c>
      <c r="E1" s="602"/>
      <c r="F1" s="602"/>
      <c r="G1" s="14" t="s">
        <v>67</v>
      </c>
      <c r="H1" s="602" t="s">
        <v>47</v>
      </c>
      <c r="I1" s="602"/>
      <c r="J1" s="602"/>
      <c r="K1" s="602"/>
      <c r="L1" s="602"/>
      <c r="M1" s="602"/>
      <c r="N1" s="602"/>
      <c r="O1" s="602"/>
      <c r="P1" s="602"/>
      <c r="Q1" s="602"/>
      <c r="R1" s="603" t="s">
        <v>68</v>
      </c>
      <c r="S1" s="604"/>
      <c r="T1" s="60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06" t="s">
        <v>8</v>
      </c>
      <c r="B5" s="606"/>
      <c r="C5" s="606"/>
      <c r="D5" s="607"/>
      <c r="E5" s="607"/>
      <c r="F5" s="608" t="s">
        <v>14</v>
      </c>
      <c r="G5" s="608"/>
      <c r="H5" s="607"/>
      <c r="I5" s="607"/>
      <c r="J5" s="607"/>
      <c r="K5" s="607"/>
      <c r="L5" s="607"/>
      <c r="M5" s="607"/>
      <c r="N5" s="72"/>
      <c r="P5" s="27" t="s">
        <v>4</v>
      </c>
      <c r="Q5" s="609">
        <v>46205</v>
      </c>
      <c r="R5" s="609"/>
      <c r="T5" s="610" t="s">
        <v>3</v>
      </c>
      <c r="U5" s="611"/>
      <c r="V5" s="612" t="s">
        <v>820</v>
      </c>
      <c r="W5" s="613"/>
      <c r="AB5" s="59"/>
      <c r="AC5" s="59"/>
      <c r="AD5" s="59"/>
      <c r="AE5" s="59"/>
    </row>
    <row r="6" spans="1:32" s="17" customFormat="1" ht="24" customHeight="1" x14ac:dyDescent="0.2">
      <c r="A6" s="606" t="s">
        <v>1</v>
      </c>
      <c r="B6" s="606"/>
      <c r="C6" s="606"/>
      <c r="D6" s="614" t="s">
        <v>827</v>
      </c>
      <c r="E6" s="614"/>
      <c r="F6" s="614"/>
      <c r="G6" s="614"/>
      <c r="H6" s="614"/>
      <c r="I6" s="614"/>
      <c r="J6" s="614"/>
      <c r="K6" s="614"/>
      <c r="L6" s="614"/>
      <c r="M6" s="614"/>
      <c r="N6" s="73"/>
      <c r="P6" s="27" t="s">
        <v>27</v>
      </c>
      <c r="Q6" s="615" t="str">
        <f>IF(Q5=0," ",CHOOSE(WEEKDAY(Q5,2),"Понедельник","Вторник","Среда","Четверг","Пятница","Суббота","Воскресенье"))</f>
        <v>Четверг</v>
      </c>
      <c r="R6" s="615"/>
      <c r="T6" s="616" t="s">
        <v>5</v>
      </c>
      <c r="U6" s="617"/>
      <c r="V6" s="618" t="s">
        <v>70</v>
      </c>
      <c r="W6" s="61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4" t="str">
        <f>IFERROR(VLOOKUP(DeliveryAddress,Table,3,0),1)</f>
        <v>3</v>
      </c>
      <c r="E7" s="625"/>
      <c r="F7" s="625"/>
      <c r="G7" s="625"/>
      <c r="H7" s="625"/>
      <c r="I7" s="625"/>
      <c r="J7" s="625"/>
      <c r="K7" s="625"/>
      <c r="L7" s="625"/>
      <c r="M7" s="626"/>
      <c r="N7" s="74"/>
      <c r="P7" s="29"/>
      <c r="Q7" s="48"/>
      <c r="R7" s="48"/>
      <c r="T7" s="616"/>
      <c r="U7" s="617"/>
      <c r="V7" s="620"/>
      <c r="W7" s="621"/>
      <c r="AB7" s="59"/>
      <c r="AC7" s="59"/>
      <c r="AD7" s="59"/>
      <c r="AE7" s="59"/>
    </row>
    <row r="8" spans="1:32" s="17" customFormat="1" ht="25.5" customHeight="1" x14ac:dyDescent="0.2">
      <c r="A8" s="627" t="s">
        <v>58</v>
      </c>
      <c r="B8" s="627"/>
      <c r="C8" s="627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75"/>
      <c r="P8" s="27" t="s">
        <v>11</v>
      </c>
      <c r="Q8" s="629">
        <v>0.41666666666666669</v>
      </c>
      <c r="R8" s="629"/>
      <c r="T8" s="616"/>
      <c r="U8" s="617"/>
      <c r="V8" s="620"/>
      <c r="W8" s="621"/>
      <c r="AB8" s="59"/>
      <c r="AC8" s="59"/>
      <c r="AD8" s="59"/>
      <c r="AE8" s="59"/>
    </row>
    <row r="9" spans="1:32" s="17" customFormat="1" ht="39.950000000000003" customHeight="1" x14ac:dyDescent="0.2">
      <c r="A9" s="6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0"/>
      <c r="C9" s="630"/>
      <c r="D9" s="631" t="s">
        <v>46</v>
      </c>
      <c r="E9" s="632"/>
      <c r="F9" s="6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0"/>
      <c r="H9" s="633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6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70"/>
      <c r="P9" s="31" t="s">
        <v>15</v>
      </c>
      <c r="Q9" s="634"/>
      <c r="R9" s="634"/>
      <c r="T9" s="616"/>
      <c r="U9" s="617"/>
      <c r="V9" s="622"/>
      <c r="W9" s="62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0"/>
      <c r="C10" s="630"/>
      <c r="D10" s="631"/>
      <c r="E10" s="632"/>
      <c r="F10" s="6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0"/>
      <c r="H10" s="635" t="str">
        <f>IFERROR(VLOOKUP($D$10,Proxy,2,FALSE),"")</f>
        <v/>
      </c>
      <c r="I10" s="635"/>
      <c r="J10" s="635"/>
      <c r="K10" s="635"/>
      <c r="L10" s="635"/>
      <c r="M10" s="635"/>
      <c r="N10" s="71"/>
      <c r="P10" s="31" t="s">
        <v>32</v>
      </c>
      <c r="Q10" s="636"/>
      <c r="R10" s="636"/>
      <c r="U10" s="29" t="s">
        <v>12</v>
      </c>
      <c r="V10" s="637" t="s">
        <v>71</v>
      </c>
      <c r="W10" s="63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39"/>
      <c r="R11" s="639"/>
      <c r="U11" s="29" t="s">
        <v>28</v>
      </c>
      <c r="V11" s="640" t="s">
        <v>55</v>
      </c>
      <c r="W11" s="64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1" t="s">
        <v>72</v>
      </c>
      <c r="B12" s="641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76"/>
      <c r="P12" s="27" t="s">
        <v>30</v>
      </c>
      <c r="Q12" s="629"/>
      <c r="R12" s="629"/>
      <c r="S12" s="28"/>
      <c r="T12"/>
      <c r="U12" s="29" t="s">
        <v>46</v>
      </c>
      <c r="V12" s="642"/>
      <c r="W12" s="642"/>
      <c r="X12"/>
      <c r="AB12" s="59"/>
      <c r="AC12" s="59"/>
      <c r="AD12" s="59"/>
      <c r="AE12" s="59"/>
    </row>
    <row r="13" spans="1:32" s="17" customFormat="1" ht="23.25" customHeight="1" x14ac:dyDescent="0.2">
      <c r="A13" s="641" t="s">
        <v>73</v>
      </c>
      <c r="B13" s="641"/>
      <c r="C13" s="641"/>
      <c r="D13" s="641"/>
      <c r="E13" s="641"/>
      <c r="F13" s="641"/>
      <c r="G13" s="641"/>
      <c r="H13" s="641"/>
      <c r="I13" s="641"/>
      <c r="J13" s="641"/>
      <c r="K13" s="641"/>
      <c r="L13" s="641"/>
      <c r="M13" s="641"/>
      <c r="N13" s="76"/>
      <c r="O13" s="31"/>
      <c r="P13" s="31" t="s">
        <v>31</v>
      </c>
      <c r="Q13" s="640"/>
      <c r="R13" s="64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1" t="s">
        <v>74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3" t="s">
        <v>75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3"/>
      <c r="N15" s="77"/>
      <c r="O15"/>
      <c r="P15" s="644" t="s">
        <v>61</v>
      </c>
      <c r="Q15" s="644"/>
      <c r="R15" s="644"/>
      <c r="S15" s="644"/>
      <c r="T15" s="64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5"/>
      <c r="Q16" s="645"/>
      <c r="R16" s="645"/>
      <c r="S16" s="645"/>
      <c r="T16" s="64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8" t="s">
        <v>59</v>
      </c>
      <c r="B17" s="648" t="s">
        <v>49</v>
      </c>
      <c r="C17" s="650" t="s">
        <v>48</v>
      </c>
      <c r="D17" s="652" t="s">
        <v>50</v>
      </c>
      <c r="E17" s="653"/>
      <c r="F17" s="648" t="s">
        <v>21</v>
      </c>
      <c r="G17" s="648" t="s">
        <v>24</v>
      </c>
      <c r="H17" s="648" t="s">
        <v>22</v>
      </c>
      <c r="I17" s="648" t="s">
        <v>23</v>
      </c>
      <c r="J17" s="648" t="s">
        <v>16</v>
      </c>
      <c r="K17" s="648" t="s">
        <v>66</v>
      </c>
      <c r="L17" s="648" t="s">
        <v>64</v>
      </c>
      <c r="M17" s="648" t="s">
        <v>2</v>
      </c>
      <c r="N17" s="648" t="s">
        <v>63</v>
      </c>
      <c r="O17" s="648" t="s">
        <v>25</v>
      </c>
      <c r="P17" s="652" t="s">
        <v>17</v>
      </c>
      <c r="Q17" s="656"/>
      <c r="R17" s="656"/>
      <c r="S17" s="656"/>
      <c r="T17" s="653"/>
      <c r="U17" s="646" t="s">
        <v>56</v>
      </c>
      <c r="V17" s="647"/>
      <c r="W17" s="648" t="s">
        <v>6</v>
      </c>
      <c r="X17" s="648" t="s">
        <v>41</v>
      </c>
      <c r="Y17" s="658" t="s">
        <v>54</v>
      </c>
      <c r="Z17" s="660" t="s">
        <v>18</v>
      </c>
      <c r="AA17" s="662" t="s">
        <v>60</v>
      </c>
      <c r="AB17" s="662" t="s">
        <v>19</v>
      </c>
      <c r="AC17" s="662" t="s">
        <v>65</v>
      </c>
      <c r="AD17" s="664" t="s">
        <v>57</v>
      </c>
      <c r="AE17" s="665"/>
      <c r="AF17" s="666"/>
      <c r="AG17" s="82"/>
      <c r="BD17" s="81" t="s">
        <v>62</v>
      </c>
    </row>
    <row r="18" spans="1:68" ht="14.25" customHeight="1" x14ac:dyDescent="0.2">
      <c r="A18" s="649"/>
      <c r="B18" s="649"/>
      <c r="C18" s="651"/>
      <c r="D18" s="654"/>
      <c r="E18" s="655"/>
      <c r="F18" s="649"/>
      <c r="G18" s="649"/>
      <c r="H18" s="649"/>
      <c r="I18" s="649"/>
      <c r="J18" s="649"/>
      <c r="K18" s="649"/>
      <c r="L18" s="649"/>
      <c r="M18" s="649"/>
      <c r="N18" s="649"/>
      <c r="O18" s="649"/>
      <c r="P18" s="654"/>
      <c r="Q18" s="657"/>
      <c r="R18" s="657"/>
      <c r="S18" s="657"/>
      <c r="T18" s="655"/>
      <c r="U18" s="83" t="s">
        <v>44</v>
      </c>
      <c r="V18" s="83" t="s">
        <v>43</v>
      </c>
      <c r="W18" s="649"/>
      <c r="X18" s="649"/>
      <c r="Y18" s="659"/>
      <c r="Z18" s="661"/>
      <c r="AA18" s="663"/>
      <c r="AB18" s="663"/>
      <c r="AC18" s="663"/>
      <c r="AD18" s="667"/>
      <c r="AE18" s="668"/>
      <c r="AF18" s="669"/>
      <c r="AG18" s="82"/>
      <c r="BD18" s="81"/>
    </row>
    <row r="19" spans="1:68" ht="27.75" customHeight="1" x14ac:dyDescent="0.2">
      <c r="A19" s="670" t="s">
        <v>76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1"/>
      <c r="B24" s="681"/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2"/>
      <c r="P24" s="678" t="s">
        <v>40</v>
      </c>
      <c r="Q24" s="679"/>
      <c r="R24" s="679"/>
      <c r="S24" s="679"/>
      <c r="T24" s="679"/>
      <c r="U24" s="679"/>
      <c r="V24" s="68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1"/>
      <c r="B25" s="681"/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2"/>
      <c r="P25" s="678" t="s">
        <v>40</v>
      </c>
      <c r="Q25" s="679"/>
      <c r="R25" s="679"/>
      <c r="S25" s="679"/>
      <c r="T25" s="679"/>
      <c r="U25" s="679"/>
      <c r="V25" s="68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3">
        <v>4680115887657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8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3">
        <v>4680115887619</v>
      </c>
      <c r="E32" s="67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5"/>
      <c r="R32" s="675"/>
      <c r="S32" s="675"/>
      <c r="T32" s="67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2"/>
      <c r="P33" s="678" t="s">
        <v>40</v>
      </c>
      <c r="Q33" s="679"/>
      <c r="R33" s="679"/>
      <c r="S33" s="679"/>
      <c r="T33" s="679"/>
      <c r="U33" s="679"/>
      <c r="V33" s="680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1"/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2"/>
      <c r="P34" s="678" t="s">
        <v>40</v>
      </c>
      <c r="Q34" s="679"/>
      <c r="R34" s="679"/>
      <c r="S34" s="679"/>
      <c r="T34" s="679"/>
      <c r="U34" s="679"/>
      <c r="V34" s="680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2" t="s">
        <v>107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3">
        <v>4607091388503</v>
      </c>
      <c r="E36" s="67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5"/>
      <c r="R36" s="675"/>
      <c r="S36" s="675"/>
      <c r="T36" s="67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81"/>
      <c r="B37" s="681"/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  <c r="N37" s="681"/>
      <c r="O37" s="682"/>
      <c r="P37" s="678" t="s">
        <v>40</v>
      </c>
      <c r="Q37" s="679"/>
      <c r="R37" s="679"/>
      <c r="S37" s="679"/>
      <c r="T37" s="679"/>
      <c r="U37" s="679"/>
      <c r="V37" s="680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81"/>
      <c r="B38" s="681"/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  <c r="N38" s="681"/>
      <c r="O38" s="682"/>
      <c r="P38" s="678" t="s">
        <v>40</v>
      </c>
      <c r="Q38" s="679"/>
      <c r="R38" s="679"/>
      <c r="S38" s="679"/>
      <c r="T38" s="679"/>
      <c r="U38" s="679"/>
      <c r="V38" s="680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70" t="s">
        <v>45</v>
      </c>
      <c r="B39" s="670"/>
      <c r="C39" s="670"/>
      <c r="D39" s="670"/>
      <c r="E39" s="670"/>
      <c r="F39" s="670"/>
      <c r="G39" s="670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  <c r="X39" s="670"/>
      <c r="Y39" s="670"/>
      <c r="Z39" s="670"/>
      <c r="AA39" s="54"/>
      <c r="AB39" s="54"/>
      <c r="AC39" s="54"/>
    </row>
    <row r="40" spans="1:68" ht="16.5" customHeight="1" x14ac:dyDescent="0.25">
      <c r="A40" s="671" t="s">
        <v>113</v>
      </c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71"/>
      <c r="X40" s="671"/>
      <c r="Y40" s="671"/>
      <c r="Z40" s="671"/>
      <c r="AA40" s="65"/>
      <c r="AB40" s="65"/>
      <c r="AC40" s="79"/>
    </row>
    <row r="41" spans="1:68" ht="14.25" customHeight="1" x14ac:dyDescent="0.25">
      <c r="A41" s="672" t="s">
        <v>86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3">
        <v>4680115888463</v>
      </c>
      <c r="E42" s="67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5"/>
      <c r="R42" s="675"/>
      <c r="S42" s="675"/>
      <c r="T42" s="67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3">
        <v>4680115888494</v>
      </c>
      <c r="E43" s="67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5"/>
      <c r="R43" s="675"/>
      <c r="S43" s="675"/>
      <c r="T43" s="67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3">
        <v>4680115888272</v>
      </c>
      <c r="E44" s="67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5"/>
      <c r="R44" s="675"/>
      <c r="S44" s="675"/>
      <c r="T44" s="67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3">
        <v>4680115888364</v>
      </c>
      <c r="E45" s="67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5"/>
      <c r="R45" s="675"/>
      <c r="S45" s="675"/>
      <c r="T45" s="67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2"/>
      <c r="P46" s="678" t="s">
        <v>40</v>
      </c>
      <c r="Q46" s="679"/>
      <c r="R46" s="679"/>
      <c r="S46" s="679"/>
      <c r="T46" s="679"/>
      <c r="U46" s="679"/>
      <c r="V46" s="680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1"/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2"/>
      <c r="P47" s="678" t="s">
        <v>40</v>
      </c>
      <c r="Q47" s="679"/>
      <c r="R47" s="679"/>
      <c r="S47" s="679"/>
      <c r="T47" s="679"/>
      <c r="U47" s="679"/>
      <c r="V47" s="680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0" t="s">
        <v>126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54"/>
      <c r="AB48" s="54"/>
      <c r="AC48" s="54"/>
    </row>
    <row r="49" spans="1:68" ht="16.5" customHeight="1" x14ac:dyDescent="0.25">
      <c r="A49" s="671" t="s">
        <v>127</v>
      </c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671"/>
      <c r="X49" s="671"/>
      <c r="Y49" s="671"/>
      <c r="Z49" s="671"/>
      <c r="AA49" s="65"/>
      <c r="AB49" s="65"/>
      <c r="AC49" s="79"/>
    </row>
    <row r="50" spans="1:68" ht="14.25" customHeight="1" x14ac:dyDescent="0.25">
      <c r="A50" s="672" t="s">
        <v>128</v>
      </c>
      <c r="B50" s="672"/>
      <c r="C50" s="672"/>
      <c r="D50" s="672"/>
      <c r="E50" s="672"/>
      <c r="F50" s="672"/>
      <c r="G50" s="672"/>
      <c r="H50" s="672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Y50" s="672"/>
      <c r="Z50" s="672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3">
        <v>4607091385670</v>
      </c>
      <c r="E51" s="67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5"/>
      <c r="R51" s="675"/>
      <c r="S51" s="675"/>
      <c r="T51" s="67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3">
        <v>4680115887725</v>
      </c>
      <c r="E52" s="67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5"/>
      <c r="R52" s="675"/>
      <c r="S52" s="675"/>
      <c r="T52" s="67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3">
        <v>4607091385687</v>
      </c>
      <c r="E53" s="67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6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5"/>
      <c r="R53" s="675"/>
      <c r="S53" s="675"/>
      <c r="T53" s="676"/>
      <c r="U53" s="39" t="s">
        <v>46</v>
      </c>
      <c r="V53" s="39" t="s">
        <v>46</v>
      </c>
      <c r="W53" s="40" t="s">
        <v>0</v>
      </c>
      <c r="X53" s="58">
        <v>60</v>
      </c>
      <c r="Y53" s="55">
        <f>IFERROR(IF(X53="",0,CEILING((X53/$H53),1)*$H53),"")</f>
        <v>60</v>
      </c>
      <c r="Z53" s="41">
        <f>IFERROR(IF(Y53=0,"",ROUNDUP(Y53/H53,0)*0.00902),"")</f>
        <v>0.1353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62.850000000000009</v>
      </c>
      <c r="BN53" s="78">
        <f>IFERROR(Y53*I53/H53,"0")</f>
        <v>62.850000000000009</v>
      </c>
      <c r="BO53" s="78">
        <f>IFERROR(1/J53*(X53/H53),"0")</f>
        <v>0.11363636363636365</v>
      </c>
      <c r="BP53" s="78">
        <f>IFERROR(1/J53*(Y53/H53),"0")</f>
        <v>0.11363636363636365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3">
        <v>4680115882539</v>
      </c>
      <c r="E54" s="67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6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5"/>
      <c r="R54" s="675"/>
      <c r="S54" s="675"/>
      <c r="T54" s="67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1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2"/>
      <c r="P55" s="678" t="s">
        <v>40</v>
      </c>
      <c r="Q55" s="679"/>
      <c r="R55" s="679"/>
      <c r="S55" s="679"/>
      <c r="T55" s="679"/>
      <c r="U55" s="679"/>
      <c r="V55" s="680"/>
      <c r="W55" s="42" t="s">
        <v>39</v>
      </c>
      <c r="X55" s="43">
        <f>IFERROR(X51/H51,"0")+IFERROR(X52/H52,"0")+IFERROR(X53/H53,"0")+IFERROR(X54/H54,"0")</f>
        <v>15</v>
      </c>
      <c r="Y55" s="43">
        <f>IFERROR(Y51/H51,"0")+IFERROR(Y52/H52,"0")+IFERROR(Y53/H53,"0")+IFERROR(Y54/H54,"0")</f>
        <v>15</v>
      </c>
      <c r="Z55" s="43">
        <f>IFERROR(IF(Z51="",0,Z51),"0")+IFERROR(IF(Z52="",0,Z52),"0")+IFERROR(IF(Z53="",0,Z53),"0")+IFERROR(IF(Z54="",0,Z54),"0")</f>
        <v>0.1353</v>
      </c>
      <c r="AA55" s="67"/>
      <c r="AB55" s="67"/>
      <c r="AC55" s="67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2"/>
      <c r="P56" s="678" t="s">
        <v>40</v>
      </c>
      <c r="Q56" s="679"/>
      <c r="R56" s="679"/>
      <c r="S56" s="679"/>
      <c r="T56" s="679"/>
      <c r="U56" s="679"/>
      <c r="V56" s="680"/>
      <c r="W56" s="42" t="s">
        <v>0</v>
      </c>
      <c r="X56" s="43">
        <f>IFERROR(SUM(X51:X54),"0")</f>
        <v>60</v>
      </c>
      <c r="Y56" s="43">
        <f>IFERROR(SUM(Y51:Y54),"0")</f>
        <v>60</v>
      </c>
      <c r="Z56" s="42"/>
      <c r="AA56" s="67"/>
      <c r="AB56" s="67"/>
      <c r="AC56" s="67"/>
    </row>
    <row r="57" spans="1:68" ht="16.5" customHeight="1" x14ac:dyDescent="0.25">
      <c r="A57" s="671" t="s">
        <v>143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"/>
      <c r="AB57" s="65"/>
      <c r="AC57" s="79"/>
    </row>
    <row r="58" spans="1:68" ht="14.25" customHeight="1" x14ac:dyDescent="0.25">
      <c r="A58" s="672" t="s">
        <v>128</v>
      </c>
      <c r="B58" s="672"/>
      <c r="C58" s="672"/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Y58" s="672"/>
      <c r="Z58" s="67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3">
        <v>4680115885882</v>
      </c>
      <c r="E59" s="67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6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3">
        <v>4680115885882</v>
      </c>
      <c r="E60" s="67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6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3">
        <v>4680115881426</v>
      </c>
      <c r="E61" s="67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5"/>
      <c r="R61" s="675"/>
      <c r="S61" s="675"/>
      <c r="T61" s="67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3">
        <v>4680115880283</v>
      </c>
      <c r="E62" s="67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5"/>
      <c r="R62" s="675"/>
      <c r="S62" s="675"/>
      <c r="T62" s="67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3">
        <v>4680115881525</v>
      </c>
      <c r="E63" s="67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5"/>
      <c r="R63" s="675"/>
      <c r="S63" s="675"/>
      <c r="T63" s="676"/>
      <c r="U63" s="39" t="s">
        <v>46</v>
      </c>
      <c r="V63" s="39" t="s">
        <v>46</v>
      </c>
      <c r="W63" s="40" t="s">
        <v>0</v>
      </c>
      <c r="X63" s="58">
        <v>60</v>
      </c>
      <c r="Y63" s="55">
        <f t="shared" si="6"/>
        <v>60</v>
      </c>
      <c r="Z63" s="41">
        <f>IFERROR(IF(Y63=0,"",ROUNDUP(Y63/H63,0)*0.00902),"")</f>
        <v>0.1353</v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62.850000000000009</v>
      </c>
      <c r="BN63" s="78">
        <f t="shared" si="8"/>
        <v>62.850000000000009</v>
      </c>
      <c r="BO63" s="78">
        <f t="shared" si="9"/>
        <v>0.11363636363636365</v>
      </c>
      <c r="BP63" s="78">
        <f t="shared" si="10"/>
        <v>0.11363636363636365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3">
        <v>4680115885899</v>
      </c>
      <c r="E64" s="67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3">
        <v>4680115881419</v>
      </c>
      <c r="E65" s="67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81"/>
      <c r="B66" s="681"/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  <c r="O66" s="682"/>
      <c r="P66" s="678" t="s">
        <v>40</v>
      </c>
      <c r="Q66" s="679"/>
      <c r="R66" s="679"/>
      <c r="S66" s="679"/>
      <c r="T66" s="679"/>
      <c r="U66" s="679"/>
      <c r="V66" s="680"/>
      <c r="W66" s="42" t="s">
        <v>39</v>
      </c>
      <c r="X66" s="43">
        <f>IFERROR(X59/H59,"0")+IFERROR(X60/H60,"0")+IFERROR(X61/H61,"0")+IFERROR(X62/H62,"0")+IFERROR(X63/H63,"0")+IFERROR(X64/H64,"0")+IFERROR(X65/H65,"0")</f>
        <v>15</v>
      </c>
      <c r="Y66" s="43">
        <f>IFERROR(Y59/H59,"0")+IFERROR(Y60/H60,"0")+IFERROR(Y61/H61,"0")+IFERROR(Y62/H62,"0")+IFERROR(Y63/H63,"0")+IFERROR(Y64/H64,"0")+IFERROR(Y65/H65,"0")</f>
        <v>15</v>
      </c>
      <c r="Z66" s="43">
        <f>IFERROR(IF(Z59="",0,Z59),"0")+IFERROR(IF(Z60="",0,Z60),"0")+IFERROR(IF(Z61="",0,Z61),"0")+IFERROR(IF(Z62="",0,Z62),"0")+IFERROR(IF(Z63="",0,Z63),"0")+IFERROR(IF(Z64="",0,Z64),"0")+IFERROR(IF(Z65="",0,Z65),"0")</f>
        <v>0.1353</v>
      </c>
      <c r="AA66" s="67"/>
      <c r="AB66" s="67"/>
      <c r="AC66" s="67"/>
    </row>
    <row r="67" spans="1:68" x14ac:dyDescent="0.2">
      <c r="A67" s="681"/>
      <c r="B67" s="681"/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  <c r="O67" s="682"/>
      <c r="P67" s="678" t="s">
        <v>40</v>
      </c>
      <c r="Q67" s="679"/>
      <c r="R67" s="679"/>
      <c r="S67" s="679"/>
      <c r="T67" s="679"/>
      <c r="U67" s="679"/>
      <c r="V67" s="680"/>
      <c r="W67" s="42" t="s">
        <v>0</v>
      </c>
      <c r="X67" s="43">
        <f>IFERROR(SUM(X59:X65),"0")</f>
        <v>60</v>
      </c>
      <c r="Y67" s="43">
        <f>IFERROR(SUM(Y59:Y65),"0")</f>
        <v>60</v>
      </c>
      <c r="Z67" s="42"/>
      <c r="AA67" s="67"/>
      <c r="AB67" s="67"/>
      <c r="AC67" s="67"/>
    </row>
    <row r="68" spans="1:68" ht="14.25" customHeight="1" x14ac:dyDescent="0.25">
      <c r="A68" s="672" t="s">
        <v>163</v>
      </c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72"/>
      <c r="P68" s="672"/>
      <c r="Q68" s="672"/>
      <c r="R68" s="672"/>
      <c r="S68" s="672"/>
      <c r="T68" s="672"/>
      <c r="U68" s="672"/>
      <c r="V68" s="672"/>
      <c r="W68" s="672"/>
      <c r="X68" s="672"/>
      <c r="Y68" s="672"/>
      <c r="Z68" s="67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3">
        <v>4680115881440</v>
      </c>
      <c r="E69" s="67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5"/>
      <c r="R69" s="675"/>
      <c r="S69" s="675"/>
      <c r="T69" s="67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3">
        <v>4680115885950</v>
      </c>
      <c r="E70" s="67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5"/>
      <c r="R70" s="675"/>
      <c r="S70" s="675"/>
      <c r="T70" s="67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3">
        <v>4680115887688</v>
      </c>
      <c r="E71" s="67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0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3">
        <v>4680115881433</v>
      </c>
      <c r="E72" s="67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81"/>
      <c r="B73" s="681"/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681"/>
      <c r="O73" s="682"/>
      <c r="P73" s="678" t="s">
        <v>40</v>
      </c>
      <c r="Q73" s="679"/>
      <c r="R73" s="679"/>
      <c r="S73" s="679"/>
      <c r="T73" s="679"/>
      <c r="U73" s="679"/>
      <c r="V73" s="680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681"/>
      <c r="B74" s="681"/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2"/>
      <c r="P74" s="678" t="s">
        <v>40</v>
      </c>
      <c r="Q74" s="679"/>
      <c r="R74" s="679"/>
      <c r="S74" s="679"/>
      <c r="T74" s="679"/>
      <c r="U74" s="679"/>
      <c r="V74" s="680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72" t="s">
        <v>86</v>
      </c>
      <c r="B75" s="672"/>
      <c r="C75" s="672"/>
      <c r="D75" s="672"/>
      <c r="E75" s="672"/>
      <c r="F75" s="672"/>
      <c r="G75" s="672"/>
      <c r="H75" s="672"/>
      <c r="I75" s="672"/>
      <c r="J75" s="672"/>
      <c r="K75" s="672"/>
      <c r="L75" s="672"/>
      <c r="M75" s="672"/>
      <c r="N75" s="672"/>
      <c r="O75" s="672"/>
      <c r="P75" s="672"/>
      <c r="Q75" s="672"/>
      <c r="R75" s="672"/>
      <c r="S75" s="672"/>
      <c r="T75" s="672"/>
      <c r="U75" s="672"/>
      <c r="V75" s="672"/>
      <c r="W75" s="672"/>
      <c r="X75" s="672"/>
      <c r="Y75" s="672"/>
      <c r="Z75" s="672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3">
        <v>4680115884311</v>
      </c>
      <c r="E76" s="67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5"/>
      <c r="R76" s="675"/>
      <c r="S76" s="675"/>
      <c r="T76" s="67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3">
        <v>4680115884403</v>
      </c>
      <c r="E77" s="67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2"/>
      <c r="P78" s="678" t="s">
        <v>40</v>
      </c>
      <c r="Q78" s="679"/>
      <c r="R78" s="679"/>
      <c r="S78" s="679"/>
      <c r="T78" s="679"/>
      <c r="U78" s="679"/>
      <c r="V78" s="68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1"/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2"/>
      <c r="P79" s="678" t="s">
        <v>40</v>
      </c>
      <c r="Q79" s="679"/>
      <c r="R79" s="679"/>
      <c r="S79" s="679"/>
      <c r="T79" s="679"/>
      <c r="U79" s="679"/>
      <c r="V79" s="68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2" t="s">
        <v>180</v>
      </c>
      <c r="B80" s="672"/>
      <c r="C80" s="672"/>
      <c r="D80" s="672"/>
      <c r="E80" s="672"/>
      <c r="F80" s="672"/>
      <c r="G80" s="672"/>
      <c r="H80" s="672"/>
      <c r="I80" s="672"/>
      <c r="J80" s="672"/>
      <c r="K80" s="672"/>
      <c r="L80" s="672"/>
      <c r="M80" s="672"/>
      <c r="N80" s="672"/>
      <c r="O80" s="672"/>
      <c r="P80" s="672"/>
      <c r="Q80" s="672"/>
      <c r="R80" s="672"/>
      <c r="S80" s="672"/>
      <c r="T80" s="672"/>
      <c r="U80" s="672"/>
      <c r="V80" s="672"/>
      <c r="W80" s="672"/>
      <c r="X80" s="672"/>
      <c r="Y80" s="672"/>
      <c r="Z80" s="672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3">
        <v>4680115881532</v>
      </c>
      <c r="E81" s="67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3">
        <v>4680115881464</v>
      </c>
      <c r="E82" s="67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1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2"/>
      <c r="P83" s="678" t="s">
        <v>40</v>
      </c>
      <c r="Q83" s="679"/>
      <c r="R83" s="679"/>
      <c r="S83" s="679"/>
      <c r="T83" s="679"/>
      <c r="U83" s="679"/>
      <c r="V83" s="680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2"/>
      <c r="P84" s="678" t="s">
        <v>40</v>
      </c>
      <c r="Q84" s="679"/>
      <c r="R84" s="679"/>
      <c r="S84" s="679"/>
      <c r="T84" s="679"/>
      <c r="U84" s="679"/>
      <c r="V84" s="680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1" t="s">
        <v>187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"/>
      <c r="AB85" s="65"/>
      <c r="AC85" s="79"/>
    </row>
    <row r="86" spans="1:68" ht="14.25" customHeight="1" x14ac:dyDescent="0.25">
      <c r="A86" s="672" t="s">
        <v>128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3">
        <v>4680115881327</v>
      </c>
      <c r="E87" s="67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3">
        <v>4680115887732</v>
      </c>
      <c r="E88" s="67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3">
        <v>4680115881518</v>
      </c>
      <c r="E89" s="67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3">
        <v>4680115881303</v>
      </c>
      <c r="E90" s="67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1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5"/>
      <c r="R90" s="675"/>
      <c r="S90" s="675"/>
      <c r="T90" s="67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2"/>
      <c r="P91" s="678" t="s">
        <v>40</v>
      </c>
      <c r="Q91" s="679"/>
      <c r="R91" s="679"/>
      <c r="S91" s="679"/>
      <c r="T91" s="679"/>
      <c r="U91" s="679"/>
      <c r="V91" s="680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81"/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2"/>
      <c r="P92" s="678" t="s">
        <v>40</v>
      </c>
      <c r="Q92" s="679"/>
      <c r="R92" s="679"/>
      <c r="S92" s="679"/>
      <c r="T92" s="679"/>
      <c r="U92" s="679"/>
      <c r="V92" s="680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72" t="s">
        <v>86</v>
      </c>
      <c r="B93" s="672"/>
      <c r="C93" s="672"/>
      <c r="D93" s="672"/>
      <c r="E93" s="672"/>
      <c r="F93" s="672"/>
      <c r="G93" s="672"/>
      <c r="H93" s="672"/>
      <c r="I93" s="672"/>
      <c r="J93" s="672"/>
      <c r="K93" s="672"/>
      <c r="L93" s="672"/>
      <c r="M93" s="672"/>
      <c r="N93" s="672"/>
      <c r="O93" s="672"/>
      <c r="P93" s="672"/>
      <c r="Q93" s="672"/>
      <c r="R93" s="672"/>
      <c r="S93" s="672"/>
      <c r="T93" s="672"/>
      <c r="U93" s="672"/>
      <c r="V93" s="672"/>
      <c r="W93" s="672"/>
      <c r="X93" s="672"/>
      <c r="Y93" s="672"/>
      <c r="Z93" s="672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121.5</v>
      </c>
      <c r="Y94" s="55">
        <f>IFERROR(IF(X94="",0,CEILING((X94/$H94),1)*$H94),"")</f>
        <v>121.5</v>
      </c>
      <c r="Z94" s="41">
        <f>IFERROR(IF(Y94=0,"",ROUNDUP(Y94/H94,0)*0.01898),"")</f>
        <v>0.28470000000000001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128.91</v>
      </c>
      <c r="BN94" s="78">
        <f>IFERROR(Y94*I94/H94,"0")</f>
        <v>128.91</v>
      </c>
      <c r="BO94" s="78">
        <f>IFERROR(1/J94*(X94/H94),"0")</f>
        <v>0.234375</v>
      </c>
      <c r="BP94" s="78">
        <f>IFERROR(1/J94*(Y94/H94),"0")</f>
        <v>0.234375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3">
        <v>4607091385731</v>
      </c>
      <c r="E96" s="67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1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3">
        <v>4680115880894</v>
      </c>
      <c r="E97" s="67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1"/>
      <c r="B98" s="681"/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  <c r="N98" s="681"/>
      <c r="O98" s="682"/>
      <c r="P98" s="678" t="s">
        <v>40</v>
      </c>
      <c r="Q98" s="679"/>
      <c r="R98" s="679"/>
      <c r="S98" s="679"/>
      <c r="T98" s="679"/>
      <c r="U98" s="679"/>
      <c r="V98" s="680"/>
      <c r="W98" s="42" t="s">
        <v>39</v>
      </c>
      <c r="X98" s="43">
        <f>IFERROR(X94/H94,"0")+IFERROR(X95/H95,"0")+IFERROR(X96/H96,"0")+IFERROR(X97/H97,"0")</f>
        <v>15</v>
      </c>
      <c r="Y98" s="43">
        <f>IFERROR(Y94/H94,"0")+IFERROR(Y95/H95,"0")+IFERROR(Y96/H96,"0")+IFERROR(Y97/H97,"0")</f>
        <v>15</v>
      </c>
      <c r="Z98" s="43">
        <f>IFERROR(IF(Z94="",0,Z94),"0")+IFERROR(IF(Z95="",0,Z95),"0")+IFERROR(IF(Z96="",0,Z96),"0")+IFERROR(IF(Z97="",0,Z97),"0")</f>
        <v>0.28470000000000001</v>
      </c>
      <c r="AA98" s="67"/>
      <c r="AB98" s="67"/>
      <c r="AC98" s="67"/>
    </row>
    <row r="99" spans="1:68" x14ac:dyDescent="0.2">
      <c r="A99" s="681"/>
      <c r="B99" s="681"/>
      <c r="C99" s="681"/>
      <c r="D99" s="681"/>
      <c r="E99" s="681"/>
      <c r="F99" s="681"/>
      <c r="G99" s="681"/>
      <c r="H99" s="681"/>
      <c r="I99" s="681"/>
      <c r="J99" s="681"/>
      <c r="K99" s="681"/>
      <c r="L99" s="681"/>
      <c r="M99" s="681"/>
      <c r="N99" s="681"/>
      <c r="O99" s="682"/>
      <c r="P99" s="678" t="s">
        <v>40</v>
      </c>
      <c r="Q99" s="679"/>
      <c r="R99" s="679"/>
      <c r="S99" s="679"/>
      <c r="T99" s="679"/>
      <c r="U99" s="679"/>
      <c r="V99" s="680"/>
      <c r="W99" s="42" t="s">
        <v>0</v>
      </c>
      <c r="X99" s="43">
        <f>IFERROR(SUM(X94:X97),"0")</f>
        <v>121.5</v>
      </c>
      <c r="Y99" s="43">
        <f>IFERROR(SUM(Y94:Y97),"0")</f>
        <v>121.5</v>
      </c>
      <c r="Z99" s="42"/>
      <c r="AA99" s="67"/>
      <c r="AB99" s="67"/>
      <c r="AC99" s="67"/>
    </row>
    <row r="100" spans="1:68" ht="16.5" customHeight="1" x14ac:dyDescent="0.25">
      <c r="A100" s="671" t="s">
        <v>208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72" t="s">
        <v>128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3">
        <v>4680115882133</v>
      </c>
      <c r="E102" s="67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5"/>
      <c r="R102" s="675"/>
      <c r="S102" s="675"/>
      <c r="T102" s="67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3">
        <v>4680115887718</v>
      </c>
      <c r="E103" s="67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5"/>
      <c r="R103" s="675"/>
      <c r="S103" s="675"/>
      <c r="T103" s="67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3">
        <v>4680115887718</v>
      </c>
      <c r="E104" s="67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3">
        <v>4680115887749</v>
      </c>
      <c r="E105" s="67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3">
        <v>4680115880269</v>
      </c>
      <c r="E106" s="67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3">
        <v>4680115880429</v>
      </c>
      <c r="E107" s="67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3">
        <v>4680115881457</v>
      </c>
      <c r="E108" s="67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1"/>
      <c r="B109" s="681"/>
      <c r="C109" s="681"/>
      <c r="D109" s="681"/>
      <c r="E109" s="681"/>
      <c r="F109" s="681"/>
      <c r="G109" s="681"/>
      <c r="H109" s="681"/>
      <c r="I109" s="681"/>
      <c r="J109" s="681"/>
      <c r="K109" s="681"/>
      <c r="L109" s="681"/>
      <c r="M109" s="681"/>
      <c r="N109" s="681"/>
      <c r="O109" s="682"/>
      <c r="P109" s="678" t="s">
        <v>40</v>
      </c>
      <c r="Q109" s="679"/>
      <c r="R109" s="679"/>
      <c r="S109" s="679"/>
      <c r="T109" s="679"/>
      <c r="U109" s="679"/>
      <c r="V109" s="680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81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2"/>
      <c r="P110" s="678" t="s">
        <v>40</v>
      </c>
      <c r="Q110" s="679"/>
      <c r="R110" s="679"/>
      <c r="S110" s="679"/>
      <c r="T110" s="679"/>
      <c r="U110" s="679"/>
      <c r="V110" s="680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72" t="s">
        <v>163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3">
        <v>4680115881488</v>
      </c>
      <c r="E112" s="67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3">
        <v>4680115881488</v>
      </c>
      <c r="E113" s="67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2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5"/>
      <c r="R113" s="675"/>
      <c r="S113" s="675"/>
      <c r="T113" s="67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3">
        <v>4680115887664</v>
      </c>
      <c r="E114" s="67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5"/>
      <c r="R114" s="675"/>
      <c r="S114" s="675"/>
      <c r="T114" s="676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3">
        <v>4680115887664</v>
      </c>
      <c r="E115" s="67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3">
        <v>4680115882775</v>
      </c>
      <c r="E116" s="67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3">
        <v>4680115880658</v>
      </c>
      <c r="E117" s="67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x14ac:dyDescent="0.2">
      <c r="A118" s="681"/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2"/>
      <c r="P118" s="678" t="s">
        <v>40</v>
      </c>
      <c r="Q118" s="679"/>
      <c r="R118" s="679"/>
      <c r="S118" s="679"/>
      <c r="T118" s="679"/>
      <c r="U118" s="679"/>
      <c r="V118" s="680"/>
      <c r="W118" s="42" t="s">
        <v>39</v>
      </c>
      <c r="X118" s="43">
        <f>IFERROR(X112/H112,"0")+IFERROR(X113/H113,"0")+IFERROR(X114/H114,"0")+IFERROR(X115/H115,"0")+IFERROR(X116/H116,"0")+IFERROR(X117/H117,"0")</f>
        <v>0</v>
      </c>
      <c r="Y118" s="43">
        <f>IFERROR(Y112/H112,"0")+IFERROR(Y113/H113,"0")+IFERROR(Y114/H114,"0")+IFERROR(Y115/H115,"0")+IFERROR(Y116/H116,"0")+IFERROR(Y117/H117,"0")</f>
        <v>0</v>
      </c>
      <c r="Z118" s="43">
        <f>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81"/>
      <c r="B119" s="681"/>
      <c r="C119" s="681"/>
      <c r="D119" s="681"/>
      <c r="E119" s="681"/>
      <c r="F119" s="681"/>
      <c r="G119" s="681"/>
      <c r="H119" s="681"/>
      <c r="I119" s="681"/>
      <c r="J119" s="681"/>
      <c r="K119" s="681"/>
      <c r="L119" s="681"/>
      <c r="M119" s="681"/>
      <c r="N119" s="681"/>
      <c r="O119" s="682"/>
      <c r="P119" s="678" t="s">
        <v>40</v>
      </c>
      <c r="Q119" s="679"/>
      <c r="R119" s="679"/>
      <c r="S119" s="679"/>
      <c r="T119" s="679"/>
      <c r="U119" s="679"/>
      <c r="V119" s="680"/>
      <c r="W119" s="42" t="s">
        <v>0</v>
      </c>
      <c r="X119" s="43">
        <f>IFERROR(SUM(X112:X117),"0")</f>
        <v>0</v>
      </c>
      <c r="Y119" s="43">
        <f>IFERROR(SUM(Y112:Y117),"0")</f>
        <v>0</v>
      </c>
      <c r="Z119" s="42"/>
      <c r="AA119" s="67"/>
      <c r="AB119" s="67"/>
      <c r="AC119" s="67"/>
    </row>
    <row r="120" spans="1:68" ht="14.25" customHeight="1" x14ac:dyDescent="0.25">
      <c r="A120" s="672" t="s">
        <v>86</v>
      </c>
      <c r="B120" s="672"/>
      <c r="C120" s="672"/>
      <c r="D120" s="672"/>
      <c r="E120" s="672"/>
      <c r="F120" s="672"/>
      <c r="G120" s="672"/>
      <c r="H120" s="672"/>
      <c r="I120" s="672"/>
      <c r="J120" s="672"/>
      <c r="K120" s="672"/>
      <c r="L120" s="672"/>
      <c r="M120" s="672"/>
      <c r="N120" s="672"/>
      <c r="O120" s="672"/>
      <c r="P120" s="672"/>
      <c r="Q120" s="672"/>
      <c r="R120" s="672"/>
      <c r="S120" s="672"/>
      <c r="T120" s="672"/>
      <c r="U120" s="672"/>
      <c r="V120" s="672"/>
      <c r="W120" s="672"/>
      <c r="X120" s="672"/>
      <c r="Y120" s="672"/>
      <c r="Z120" s="672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73">
        <v>4607091385168</v>
      </c>
      <c r="E121" s="67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7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5"/>
      <c r="R121" s="675"/>
      <c r="S121" s="675"/>
      <c r="T121" s="67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241</v>
      </c>
      <c r="B122" s="63" t="s">
        <v>242</v>
      </c>
      <c r="C122" s="36">
        <v>4301051730</v>
      </c>
      <c r="D122" s="673">
        <v>4607091383256</v>
      </c>
      <c r="E122" s="67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5"/>
      <c r="R122" s="675"/>
      <c r="S122" s="675"/>
      <c r="T122" s="67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4301051721</v>
      </c>
      <c r="D123" s="673">
        <v>4607091385748</v>
      </c>
      <c r="E123" s="67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245</v>
      </c>
      <c r="B124" s="63" t="s">
        <v>246</v>
      </c>
      <c r="C124" s="36">
        <v>4301051740</v>
      </c>
      <c r="D124" s="673">
        <v>4680115884533</v>
      </c>
      <c r="E124" s="67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81"/>
      <c r="B125" s="681"/>
      <c r="C125" s="681"/>
      <c r="D125" s="681"/>
      <c r="E125" s="681"/>
      <c r="F125" s="681"/>
      <c r="G125" s="681"/>
      <c r="H125" s="681"/>
      <c r="I125" s="681"/>
      <c r="J125" s="681"/>
      <c r="K125" s="681"/>
      <c r="L125" s="681"/>
      <c r="M125" s="681"/>
      <c r="N125" s="681"/>
      <c r="O125" s="682"/>
      <c r="P125" s="678" t="s">
        <v>40</v>
      </c>
      <c r="Q125" s="679"/>
      <c r="R125" s="679"/>
      <c r="S125" s="679"/>
      <c r="T125" s="679"/>
      <c r="U125" s="679"/>
      <c r="V125" s="680"/>
      <c r="W125" s="42" t="s">
        <v>39</v>
      </c>
      <c r="X125" s="43">
        <f>IFERROR(X121/H121,"0")+IFERROR(X122/H122,"0")+IFERROR(X123/H123,"0")+IFERROR(X124/H124,"0")</f>
        <v>0</v>
      </c>
      <c r="Y125" s="43">
        <f>IFERROR(Y121/H121,"0")+IFERROR(Y122/H122,"0")+IFERROR(Y123/H123,"0")+IFERROR(Y124/H124,"0")</f>
        <v>0</v>
      </c>
      <c r="Z125" s="43">
        <f>IFERROR(IF(Z121="",0,Z121),"0")+IFERROR(IF(Z122="",0,Z122),"0")+IFERROR(IF(Z123="",0,Z123),"0")+IFERROR(IF(Z124="",0,Z124),"0")</f>
        <v>0</v>
      </c>
      <c r="AA125" s="67"/>
      <c r="AB125" s="67"/>
      <c r="AC125" s="67"/>
    </row>
    <row r="126" spans="1:68" x14ac:dyDescent="0.2">
      <c r="A126" s="681"/>
      <c r="B126" s="681"/>
      <c r="C126" s="681"/>
      <c r="D126" s="681"/>
      <c r="E126" s="681"/>
      <c r="F126" s="681"/>
      <c r="G126" s="681"/>
      <c r="H126" s="681"/>
      <c r="I126" s="681"/>
      <c r="J126" s="681"/>
      <c r="K126" s="681"/>
      <c r="L126" s="681"/>
      <c r="M126" s="681"/>
      <c r="N126" s="681"/>
      <c r="O126" s="682"/>
      <c r="P126" s="678" t="s">
        <v>40</v>
      </c>
      <c r="Q126" s="679"/>
      <c r="R126" s="679"/>
      <c r="S126" s="679"/>
      <c r="T126" s="679"/>
      <c r="U126" s="679"/>
      <c r="V126" s="680"/>
      <c r="W126" s="42" t="s">
        <v>0</v>
      </c>
      <c r="X126" s="43">
        <f>IFERROR(SUM(X121:X124),"0")</f>
        <v>0</v>
      </c>
      <c r="Y126" s="43">
        <f>IFERROR(SUM(Y121:Y124),"0")</f>
        <v>0</v>
      </c>
      <c r="Z126" s="42"/>
      <c r="AA126" s="67"/>
      <c r="AB126" s="67"/>
      <c r="AC126" s="67"/>
    </row>
    <row r="127" spans="1:68" ht="14.25" customHeight="1" x14ac:dyDescent="0.25">
      <c r="A127" s="672" t="s">
        <v>180</v>
      </c>
      <c r="B127" s="672"/>
      <c r="C127" s="672"/>
      <c r="D127" s="672"/>
      <c r="E127" s="672"/>
      <c r="F127" s="672"/>
      <c r="G127" s="672"/>
      <c r="H127" s="672"/>
      <c r="I127" s="672"/>
      <c r="J127" s="672"/>
      <c r="K127" s="672"/>
      <c r="L127" s="672"/>
      <c r="M127" s="672"/>
      <c r="N127" s="672"/>
      <c r="O127" s="672"/>
      <c r="P127" s="672"/>
      <c r="Q127" s="672"/>
      <c r="R127" s="672"/>
      <c r="S127" s="672"/>
      <c r="T127" s="672"/>
      <c r="U127" s="672"/>
      <c r="V127" s="672"/>
      <c r="W127" s="672"/>
      <c r="X127" s="672"/>
      <c r="Y127" s="672"/>
      <c r="Z127" s="672"/>
      <c r="AA127" s="66"/>
      <c r="AB127" s="66"/>
      <c r="AC127" s="80"/>
    </row>
    <row r="128" spans="1:68" ht="16.5" customHeight="1" x14ac:dyDescent="0.25">
      <c r="A128" s="63" t="s">
        <v>248</v>
      </c>
      <c r="B128" s="63" t="s">
        <v>249</v>
      </c>
      <c r="C128" s="36">
        <v>4301060317</v>
      </c>
      <c r="D128" s="673">
        <v>4680115880238</v>
      </c>
      <c r="E128" s="67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2"/>
      <c r="P129" s="678" t="s">
        <v>40</v>
      </c>
      <c r="Q129" s="679"/>
      <c r="R129" s="679"/>
      <c r="S129" s="679"/>
      <c r="T129" s="679"/>
      <c r="U129" s="679"/>
      <c r="V129" s="68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81"/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2"/>
      <c r="P130" s="678" t="s">
        <v>40</v>
      </c>
      <c r="Q130" s="679"/>
      <c r="R130" s="679"/>
      <c r="S130" s="679"/>
      <c r="T130" s="679"/>
      <c r="U130" s="679"/>
      <c r="V130" s="68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671" t="s">
        <v>251</v>
      </c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  <c r="AA131" s="65"/>
      <c r="AB131" s="65"/>
      <c r="AC131" s="79"/>
    </row>
    <row r="132" spans="1:68" ht="14.25" customHeight="1" x14ac:dyDescent="0.25">
      <c r="A132" s="672" t="s">
        <v>128</v>
      </c>
      <c r="B132" s="672"/>
      <c r="C132" s="672"/>
      <c r="D132" s="672"/>
      <c r="E132" s="672"/>
      <c r="F132" s="672"/>
      <c r="G132" s="672"/>
      <c r="H132" s="672"/>
      <c r="I132" s="672"/>
      <c r="J132" s="672"/>
      <c r="K132" s="672"/>
      <c r="L132" s="672"/>
      <c r="M132" s="672"/>
      <c r="N132" s="672"/>
      <c r="O132" s="672"/>
      <c r="P132" s="672"/>
      <c r="Q132" s="672"/>
      <c r="R132" s="672"/>
      <c r="S132" s="672"/>
      <c r="T132" s="672"/>
      <c r="U132" s="672"/>
      <c r="V132" s="672"/>
      <c r="W132" s="672"/>
      <c r="X132" s="672"/>
      <c r="Y132" s="672"/>
      <c r="Z132" s="672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4301011562</v>
      </c>
      <c r="D133" s="673">
        <v>4680115882577</v>
      </c>
      <c r="E133" s="67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7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5"/>
      <c r="R133" s="675"/>
      <c r="S133" s="675"/>
      <c r="T133" s="67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252</v>
      </c>
      <c r="B134" s="63" t="s">
        <v>255</v>
      </c>
      <c r="C134" s="36">
        <v>4301011564</v>
      </c>
      <c r="D134" s="673">
        <v>4680115882577</v>
      </c>
      <c r="E134" s="67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81"/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2"/>
      <c r="P135" s="678" t="s">
        <v>40</v>
      </c>
      <c r="Q135" s="679"/>
      <c r="R135" s="679"/>
      <c r="S135" s="679"/>
      <c r="T135" s="679"/>
      <c r="U135" s="679"/>
      <c r="V135" s="68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81"/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2"/>
      <c r="P136" s="678" t="s">
        <v>40</v>
      </c>
      <c r="Q136" s="679"/>
      <c r="R136" s="679"/>
      <c r="S136" s="679"/>
      <c r="T136" s="679"/>
      <c r="U136" s="679"/>
      <c r="V136" s="68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72" t="s">
        <v>77</v>
      </c>
      <c r="B137" s="672"/>
      <c r="C137" s="672"/>
      <c r="D137" s="672"/>
      <c r="E137" s="672"/>
      <c r="F137" s="672"/>
      <c r="G137" s="672"/>
      <c r="H137" s="672"/>
      <c r="I137" s="672"/>
      <c r="J137" s="672"/>
      <c r="K137" s="672"/>
      <c r="L137" s="672"/>
      <c r="M137" s="672"/>
      <c r="N137" s="672"/>
      <c r="O137" s="672"/>
      <c r="P137" s="672"/>
      <c r="Q137" s="672"/>
      <c r="R137" s="672"/>
      <c r="S137" s="672"/>
      <c r="T137" s="672"/>
      <c r="U137" s="672"/>
      <c r="V137" s="672"/>
      <c r="W137" s="672"/>
      <c r="X137" s="672"/>
      <c r="Y137" s="672"/>
      <c r="Z137" s="672"/>
      <c r="AA137" s="66"/>
      <c r="AB137" s="66"/>
      <c r="AC137" s="80"/>
    </row>
    <row r="138" spans="1:68" ht="27" customHeight="1" x14ac:dyDescent="0.25">
      <c r="A138" s="63" t="s">
        <v>256</v>
      </c>
      <c r="B138" s="63" t="s">
        <v>257</v>
      </c>
      <c r="C138" s="36">
        <v>4301031234</v>
      </c>
      <c r="D138" s="673">
        <v>4680115883444</v>
      </c>
      <c r="E138" s="67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74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5"/>
      <c r="R138" s="675"/>
      <c r="S138" s="675"/>
      <c r="T138" s="67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256</v>
      </c>
      <c r="B139" s="63" t="s">
        <v>259</v>
      </c>
      <c r="C139" s="36">
        <v>4301031235</v>
      </c>
      <c r="D139" s="673">
        <v>4680115883444</v>
      </c>
      <c r="E139" s="67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5"/>
      <c r="R139" s="675"/>
      <c r="S139" s="675"/>
      <c r="T139" s="67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2"/>
      <c r="P140" s="678" t="s">
        <v>40</v>
      </c>
      <c r="Q140" s="679"/>
      <c r="R140" s="679"/>
      <c r="S140" s="679"/>
      <c r="T140" s="679"/>
      <c r="U140" s="679"/>
      <c r="V140" s="68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81"/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2"/>
      <c r="P141" s="678" t="s">
        <v>40</v>
      </c>
      <c r="Q141" s="679"/>
      <c r="R141" s="679"/>
      <c r="S141" s="679"/>
      <c r="T141" s="679"/>
      <c r="U141" s="679"/>
      <c r="V141" s="68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72" t="s">
        <v>86</v>
      </c>
      <c r="B142" s="672"/>
      <c r="C142" s="672"/>
      <c r="D142" s="672"/>
      <c r="E142" s="672"/>
      <c r="F142" s="672"/>
      <c r="G142" s="672"/>
      <c r="H142" s="672"/>
      <c r="I142" s="672"/>
      <c r="J142" s="672"/>
      <c r="K142" s="672"/>
      <c r="L142" s="672"/>
      <c r="M142" s="672"/>
      <c r="N142" s="672"/>
      <c r="O142" s="672"/>
      <c r="P142" s="672"/>
      <c r="Q142" s="672"/>
      <c r="R142" s="672"/>
      <c r="S142" s="672"/>
      <c r="T142" s="672"/>
      <c r="U142" s="672"/>
      <c r="V142" s="672"/>
      <c r="W142" s="672"/>
      <c r="X142" s="672"/>
      <c r="Y142" s="672"/>
      <c r="Z142" s="672"/>
      <c r="AA142" s="66"/>
      <c r="AB142" s="66"/>
      <c r="AC142" s="80"/>
    </row>
    <row r="143" spans="1:68" ht="16.5" customHeight="1" x14ac:dyDescent="0.25">
      <c r="A143" s="63" t="s">
        <v>260</v>
      </c>
      <c r="B143" s="63" t="s">
        <v>261</v>
      </c>
      <c r="C143" s="36">
        <v>4301051476</v>
      </c>
      <c r="D143" s="673">
        <v>4680115882584</v>
      </c>
      <c r="E143" s="67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74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5"/>
      <c r="R143" s="675"/>
      <c r="S143" s="675"/>
      <c r="T143" s="67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260</v>
      </c>
      <c r="B144" s="63" t="s">
        <v>262</v>
      </c>
      <c r="C144" s="36">
        <v>4301051477</v>
      </c>
      <c r="D144" s="673">
        <v>4680115882584</v>
      </c>
      <c r="E144" s="67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5"/>
      <c r="R144" s="675"/>
      <c r="S144" s="675"/>
      <c r="T144" s="67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2"/>
      <c r="P145" s="678" t="s">
        <v>40</v>
      </c>
      <c r="Q145" s="679"/>
      <c r="R145" s="679"/>
      <c r="S145" s="679"/>
      <c r="T145" s="679"/>
      <c r="U145" s="679"/>
      <c r="V145" s="68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81"/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2"/>
      <c r="P146" s="678" t="s">
        <v>40</v>
      </c>
      <c r="Q146" s="679"/>
      <c r="R146" s="679"/>
      <c r="S146" s="679"/>
      <c r="T146" s="679"/>
      <c r="U146" s="679"/>
      <c r="V146" s="68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671" t="s">
        <v>263</v>
      </c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  <c r="AA147" s="65"/>
      <c r="AB147" s="65"/>
      <c r="AC147" s="79"/>
    </row>
    <row r="148" spans="1:68" ht="14.25" customHeight="1" x14ac:dyDescent="0.25">
      <c r="A148" s="672" t="s">
        <v>86</v>
      </c>
      <c r="B148" s="672"/>
      <c r="C148" s="672"/>
      <c r="D148" s="672"/>
      <c r="E148" s="672"/>
      <c r="F148" s="672"/>
      <c r="G148" s="672"/>
      <c r="H148" s="672"/>
      <c r="I148" s="672"/>
      <c r="J148" s="672"/>
      <c r="K148" s="672"/>
      <c r="L148" s="672"/>
      <c r="M148" s="672"/>
      <c r="N148" s="672"/>
      <c r="O148" s="672"/>
      <c r="P148" s="672"/>
      <c r="Q148" s="672"/>
      <c r="R148" s="672"/>
      <c r="S148" s="672"/>
      <c r="T148" s="672"/>
      <c r="U148" s="672"/>
      <c r="V148" s="672"/>
      <c r="W148" s="672"/>
      <c r="X148" s="672"/>
      <c r="Y148" s="672"/>
      <c r="Z148" s="672"/>
      <c r="AA148" s="66"/>
      <c r="AB148" s="66"/>
      <c r="AC148" s="80"/>
    </row>
    <row r="149" spans="1:68" ht="27" customHeight="1" x14ac:dyDescent="0.25">
      <c r="A149" s="63" t="s">
        <v>264</v>
      </c>
      <c r="B149" s="63" t="s">
        <v>265</v>
      </c>
      <c r="C149" s="36">
        <v>4301052174</v>
      </c>
      <c r="D149" s="673">
        <v>4680115888203</v>
      </c>
      <c r="E149" s="67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45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5"/>
      <c r="R149" s="675"/>
      <c r="S149" s="675"/>
      <c r="T149" s="67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4301052172</v>
      </c>
      <c r="D150" s="673">
        <v>4680115888180</v>
      </c>
      <c r="E150" s="67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4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4301052173</v>
      </c>
      <c r="D151" s="673">
        <v>4680115888197</v>
      </c>
      <c r="E151" s="67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4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273</v>
      </c>
      <c r="B152" s="63" t="s">
        <v>274</v>
      </c>
      <c r="C152" s="36">
        <v>4301052175</v>
      </c>
      <c r="D152" s="673">
        <v>4680115888210</v>
      </c>
      <c r="E152" s="67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4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5"/>
      <c r="R152" s="675"/>
      <c r="S152" s="675"/>
      <c r="T152" s="67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81"/>
      <c r="B153" s="681"/>
      <c r="C153" s="681"/>
      <c r="D153" s="681"/>
      <c r="E153" s="681"/>
      <c r="F153" s="681"/>
      <c r="G153" s="681"/>
      <c r="H153" s="681"/>
      <c r="I153" s="681"/>
      <c r="J153" s="681"/>
      <c r="K153" s="681"/>
      <c r="L153" s="681"/>
      <c r="M153" s="681"/>
      <c r="N153" s="681"/>
      <c r="O153" s="682"/>
      <c r="P153" s="678" t="s">
        <v>40</v>
      </c>
      <c r="Q153" s="679"/>
      <c r="R153" s="679"/>
      <c r="S153" s="679"/>
      <c r="T153" s="679"/>
      <c r="U153" s="679"/>
      <c r="V153" s="680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81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2"/>
      <c r="P154" s="678" t="s">
        <v>40</v>
      </c>
      <c r="Q154" s="679"/>
      <c r="R154" s="679"/>
      <c r="S154" s="679"/>
      <c r="T154" s="679"/>
      <c r="U154" s="679"/>
      <c r="V154" s="680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customHeight="1" x14ac:dyDescent="0.25">
      <c r="A155" s="671" t="s">
        <v>126</v>
      </c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  <c r="AA155" s="65"/>
      <c r="AB155" s="65"/>
      <c r="AC155" s="79"/>
    </row>
    <row r="156" spans="1:68" ht="14.25" customHeight="1" x14ac:dyDescent="0.25">
      <c r="A156" s="672" t="s">
        <v>128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4301012244</v>
      </c>
      <c r="D157" s="673">
        <v>4680115887374</v>
      </c>
      <c r="E157" s="673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73">
        <v>4607091384604</v>
      </c>
      <c r="E158" s="673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81"/>
      <c r="B159" s="681"/>
      <c r="C159" s="681"/>
      <c r="D159" s="681"/>
      <c r="E159" s="681"/>
      <c r="F159" s="681"/>
      <c r="G159" s="681"/>
      <c r="H159" s="681"/>
      <c r="I159" s="681"/>
      <c r="J159" s="681"/>
      <c r="K159" s="681"/>
      <c r="L159" s="681"/>
      <c r="M159" s="681"/>
      <c r="N159" s="681"/>
      <c r="O159" s="682"/>
      <c r="P159" s="678" t="s">
        <v>40</v>
      </c>
      <c r="Q159" s="679"/>
      <c r="R159" s="679"/>
      <c r="S159" s="679"/>
      <c r="T159" s="679"/>
      <c r="U159" s="679"/>
      <c r="V159" s="680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681"/>
      <c r="B160" s="681"/>
      <c r="C160" s="681"/>
      <c r="D160" s="681"/>
      <c r="E160" s="681"/>
      <c r="F160" s="681"/>
      <c r="G160" s="681"/>
      <c r="H160" s="681"/>
      <c r="I160" s="681"/>
      <c r="J160" s="681"/>
      <c r="K160" s="681"/>
      <c r="L160" s="681"/>
      <c r="M160" s="681"/>
      <c r="N160" s="681"/>
      <c r="O160" s="682"/>
      <c r="P160" s="678" t="s">
        <v>40</v>
      </c>
      <c r="Q160" s="679"/>
      <c r="R160" s="679"/>
      <c r="S160" s="679"/>
      <c r="T160" s="679"/>
      <c r="U160" s="679"/>
      <c r="V160" s="680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customHeight="1" x14ac:dyDescent="0.25">
      <c r="A161" s="672" t="s">
        <v>163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6"/>
      <c r="AB161" s="66"/>
      <c r="AC161" s="80"/>
    </row>
    <row r="162" spans="1:68" ht="16.5" customHeight="1" x14ac:dyDescent="0.25">
      <c r="A162" s="63" t="s">
        <v>282</v>
      </c>
      <c r="B162" s="63" t="s">
        <v>283</v>
      </c>
      <c r="C162" s="36">
        <v>4301020410</v>
      </c>
      <c r="D162" s="673">
        <v>4680115887695</v>
      </c>
      <c r="E162" s="673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5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81"/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2"/>
      <c r="P163" s="678" t="s">
        <v>40</v>
      </c>
      <c r="Q163" s="679"/>
      <c r="R163" s="679"/>
      <c r="S163" s="679"/>
      <c r="T163" s="679"/>
      <c r="U163" s="679"/>
      <c r="V163" s="680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81"/>
      <c r="B164" s="681"/>
      <c r="C164" s="681"/>
      <c r="D164" s="681"/>
      <c r="E164" s="681"/>
      <c r="F164" s="681"/>
      <c r="G164" s="681"/>
      <c r="H164" s="681"/>
      <c r="I164" s="681"/>
      <c r="J164" s="681"/>
      <c r="K164" s="681"/>
      <c r="L164" s="681"/>
      <c r="M164" s="681"/>
      <c r="N164" s="681"/>
      <c r="O164" s="682"/>
      <c r="P164" s="678" t="s">
        <v>40</v>
      </c>
      <c r="Q164" s="679"/>
      <c r="R164" s="679"/>
      <c r="S164" s="679"/>
      <c r="T164" s="679"/>
      <c r="U164" s="679"/>
      <c r="V164" s="680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77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285</v>
      </c>
      <c r="B166" s="63" t="s">
        <v>286</v>
      </c>
      <c r="C166" s="36">
        <v>4301031496</v>
      </c>
      <c r="D166" s="673">
        <v>4680115887428</v>
      </c>
      <c r="E166" s="673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5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5" si="21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0</v>
      </c>
      <c r="BN166" s="78">
        <f t="shared" ref="BN166:BN175" si="23">IFERROR(Y166*I166/H166,"0")</f>
        <v>0</v>
      </c>
      <c r="BO166" s="78">
        <f t="shared" ref="BO166:BO175" si="24">IFERROR(1/J166*(X166/H166),"0")</f>
        <v>0</v>
      </c>
      <c r="BP166" s="78">
        <f t="shared" ref="BP166:BP175" si="25">IFERROR(1/J166*(Y166/H166),"0")</f>
        <v>0</v>
      </c>
    </row>
    <row r="167" spans="1:68" ht="27" customHeight="1" x14ac:dyDescent="0.25">
      <c r="A167" s="63" t="s">
        <v>288</v>
      </c>
      <c r="B167" s="63" t="s">
        <v>289</v>
      </c>
      <c r="C167" s="36">
        <v>4301030963</v>
      </c>
      <c r="D167" s="673">
        <v>4607091382426</v>
      </c>
      <c r="E167" s="673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5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5"/>
      <c r="R167" s="675"/>
      <c r="S167" s="675"/>
      <c r="T167" s="67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4301031498</v>
      </c>
      <c r="D168" s="673">
        <v>4680115887398</v>
      </c>
      <c r="E168" s="673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75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5"/>
      <c r="R168" s="675"/>
      <c r="S168" s="675"/>
      <c r="T168" s="676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4301031497</v>
      </c>
      <c r="D169" s="673">
        <v>4680115887336</v>
      </c>
      <c r="E169" s="67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5"/>
      <c r="R169" s="675"/>
      <c r="S169" s="675"/>
      <c r="T169" s="676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16.5" customHeight="1" x14ac:dyDescent="0.25">
      <c r="A170" s="63" t="s">
        <v>297</v>
      </c>
      <c r="B170" s="63" t="s">
        <v>298</v>
      </c>
      <c r="C170" s="36">
        <v>4301032049</v>
      </c>
      <c r="D170" s="673">
        <v>4680115887787</v>
      </c>
      <c r="E170" s="673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7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5"/>
      <c r="R170" s="675"/>
      <c r="S170" s="675"/>
      <c r="T170" s="676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IFERROR(IF(Y170=0,"",ROUNDUP(Y170/H170,0)*0.00417),"")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4301031448</v>
      </c>
      <c r="D171" s="673">
        <v>4680115887503</v>
      </c>
      <c r="E171" s="67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7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4301031389</v>
      </c>
      <c r="D172" s="673">
        <v>4680115887763</v>
      </c>
      <c r="E172" s="673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4301031454</v>
      </c>
      <c r="D173" s="673">
        <v>4680115887480</v>
      </c>
      <c r="E173" s="673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5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4301031434</v>
      </c>
      <c r="D174" s="673">
        <v>4680115888067</v>
      </c>
      <c r="E174" s="673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5"/>
      <c r="R174" s="675"/>
      <c r="S174" s="675"/>
      <c r="T174" s="67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4301031451</v>
      </c>
      <c r="D175" s="673">
        <v>4680115887435</v>
      </c>
      <c r="E175" s="67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5"/>
      <c r="R175" s="675"/>
      <c r="S175" s="675"/>
      <c r="T175" s="67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x14ac:dyDescent="0.2">
      <c r="A176" s="681"/>
      <c r="B176" s="681"/>
      <c r="C176" s="681"/>
      <c r="D176" s="681"/>
      <c r="E176" s="681"/>
      <c r="F176" s="681"/>
      <c r="G176" s="681"/>
      <c r="H176" s="681"/>
      <c r="I176" s="681"/>
      <c r="J176" s="681"/>
      <c r="K176" s="681"/>
      <c r="L176" s="681"/>
      <c r="M176" s="681"/>
      <c r="N176" s="681"/>
      <c r="O176" s="682"/>
      <c r="P176" s="678" t="s">
        <v>40</v>
      </c>
      <c r="Q176" s="679"/>
      <c r="R176" s="679"/>
      <c r="S176" s="679"/>
      <c r="T176" s="679"/>
      <c r="U176" s="679"/>
      <c r="V176" s="680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x14ac:dyDescent="0.2">
      <c r="A177" s="681"/>
      <c r="B177" s="681"/>
      <c r="C177" s="681"/>
      <c r="D177" s="681"/>
      <c r="E177" s="681"/>
      <c r="F177" s="681"/>
      <c r="G177" s="681"/>
      <c r="H177" s="681"/>
      <c r="I177" s="681"/>
      <c r="J177" s="681"/>
      <c r="K177" s="681"/>
      <c r="L177" s="681"/>
      <c r="M177" s="681"/>
      <c r="N177" s="681"/>
      <c r="O177" s="682"/>
      <c r="P177" s="678" t="s">
        <v>40</v>
      </c>
      <c r="Q177" s="679"/>
      <c r="R177" s="679"/>
      <c r="S177" s="679"/>
      <c r="T177" s="679"/>
      <c r="U177" s="679"/>
      <c r="V177" s="680"/>
      <c r="W177" s="42" t="s">
        <v>0</v>
      </c>
      <c r="X177" s="43">
        <f>IFERROR(SUM(X166:X175),"0")</f>
        <v>0</v>
      </c>
      <c r="Y177" s="43">
        <f>IFERROR(SUM(Y166:Y175),"0")</f>
        <v>0</v>
      </c>
      <c r="Z177" s="42"/>
      <c r="AA177" s="67"/>
      <c r="AB177" s="67"/>
      <c r="AC177" s="67"/>
    </row>
    <row r="178" spans="1:68" ht="14.25" customHeight="1" x14ac:dyDescent="0.25">
      <c r="A178" s="672" t="s">
        <v>86</v>
      </c>
      <c r="B178" s="672"/>
      <c r="C178" s="672"/>
      <c r="D178" s="672"/>
      <c r="E178" s="672"/>
      <c r="F178" s="672"/>
      <c r="G178" s="672"/>
      <c r="H178" s="672"/>
      <c r="I178" s="672"/>
      <c r="J178" s="672"/>
      <c r="K178" s="672"/>
      <c r="L178" s="672"/>
      <c r="M178" s="672"/>
      <c r="N178" s="672"/>
      <c r="O178" s="672"/>
      <c r="P178" s="672"/>
      <c r="Q178" s="672"/>
      <c r="R178" s="672"/>
      <c r="S178" s="672"/>
      <c r="T178" s="672"/>
      <c r="U178" s="672"/>
      <c r="V178" s="672"/>
      <c r="W178" s="672"/>
      <c r="X178" s="672"/>
      <c r="Y178" s="672"/>
      <c r="Z178" s="672"/>
      <c r="AA178" s="66"/>
      <c r="AB178" s="66"/>
      <c r="AC178" s="80"/>
    </row>
    <row r="179" spans="1:68" ht="16.5" customHeight="1" x14ac:dyDescent="0.25">
      <c r="A179" s="63" t="s">
        <v>312</v>
      </c>
      <c r="B179" s="63" t="s">
        <v>313</v>
      </c>
      <c r="C179" s="36">
        <v>4301052193</v>
      </c>
      <c r="D179" s="673">
        <v>4680115888395</v>
      </c>
      <c r="E179" s="673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6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5"/>
      <c r="R179" s="675"/>
      <c r="S179" s="675"/>
      <c r="T179" s="676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4301052191</v>
      </c>
      <c r="D180" s="673">
        <v>4680115888371</v>
      </c>
      <c r="E180" s="673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6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5"/>
      <c r="R180" s="675"/>
      <c r="S180" s="675"/>
      <c r="T180" s="676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318</v>
      </c>
      <c r="B181" s="63" t="s">
        <v>319</v>
      </c>
      <c r="C181" s="36">
        <v>4301052064</v>
      </c>
      <c r="D181" s="673">
        <v>4680115887459</v>
      </c>
      <c r="E181" s="673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5"/>
      <c r="R181" s="675"/>
      <c r="S181" s="675"/>
      <c r="T181" s="67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81"/>
      <c r="B182" s="681"/>
      <c r="C182" s="681"/>
      <c r="D182" s="681"/>
      <c r="E182" s="681"/>
      <c r="F182" s="681"/>
      <c r="G182" s="681"/>
      <c r="H182" s="681"/>
      <c r="I182" s="681"/>
      <c r="J182" s="681"/>
      <c r="K182" s="681"/>
      <c r="L182" s="681"/>
      <c r="M182" s="681"/>
      <c r="N182" s="681"/>
      <c r="O182" s="682"/>
      <c r="P182" s="678" t="s">
        <v>40</v>
      </c>
      <c r="Q182" s="679"/>
      <c r="R182" s="679"/>
      <c r="S182" s="679"/>
      <c r="T182" s="679"/>
      <c r="U182" s="679"/>
      <c r="V182" s="680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81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2"/>
      <c r="P183" s="678" t="s">
        <v>40</v>
      </c>
      <c r="Q183" s="679"/>
      <c r="R183" s="679"/>
      <c r="S183" s="679"/>
      <c r="T183" s="679"/>
      <c r="U183" s="679"/>
      <c r="V183" s="680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customHeight="1" x14ac:dyDescent="0.25">
      <c r="A184" s="672" t="s">
        <v>107</v>
      </c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72"/>
      <c r="P184" s="672"/>
      <c r="Q184" s="672"/>
      <c r="R184" s="672"/>
      <c r="S184" s="672"/>
      <c r="T184" s="672"/>
      <c r="U184" s="672"/>
      <c r="V184" s="672"/>
      <c r="W184" s="672"/>
      <c r="X184" s="672"/>
      <c r="Y184" s="672"/>
      <c r="Z184" s="672"/>
      <c r="AA184" s="66"/>
      <c r="AB184" s="66"/>
      <c r="AC184" s="80"/>
    </row>
    <row r="185" spans="1:68" ht="16.5" customHeight="1" x14ac:dyDescent="0.25">
      <c r="A185" s="63" t="s">
        <v>321</v>
      </c>
      <c r="B185" s="63" t="s">
        <v>322</v>
      </c>
      <c r="C185" s="36">
        <v>4301032058</v>
      </c>
      <c r="D185" s="673">
        <v>4680115889026</v>
      </c>
      <c r="E185" s="673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6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4301032057</v>
      </c>
      <c r="D186" s="673">
        <v>4680115889088</v>
      </c>
      <c r="E186" s="673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6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81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2"/>
      <c r="P187" s="678" t="s">
        <v>40</v>
      </c>
      <c r="Q187" s="679"/>
      <c r="R187" s="679"/>
      <c r="S187" s="679"/>
      <c r="T187" s="679"/>
      <c r="U187" s="679"/>
      <c r="V187" s="680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2"/>
      <c r="P188" s="678" t="s">
        <v>40</v>
      </c>
      <c r="Q188" s="679"/>
      <c r="R188" s="679"/>
      <c r="S188" s="679"/>
      <c r="T188" s="679"/>
      <c r="U188" s="679"/>
      <c r="V188" s="680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72" t="s">
        <v>329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6"/>
      <c r="AB189" s="66"/>
      <c r="AC189" s="80"/>
    </row>
    <row r="190" spans="1:68" ht="27" customHeight="1" x14ac:dyDescent="0.25">
      <c r="A190" s="63" t="s">
        <v>330</v>
      </c>
      <c r="B190" s="63" t="s">
        <v>331</v>
      </c>
      <c r="C190" s="36">
        <v>4301041009</v>
      </c>
      <c r="D190" s="673">
        <v>4680115889033</v>
      </c>
      <c r="E190" s="673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6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81"/>
      <c r="B191" s="681"/>
      <c r="C191" s="681"/>
      <c r="D191" s="681"/>
      <c r="E191" s="681"/>
      <c r="F191" s="681"/>
      <c r="G191" s="681"/>
      <c r="H191" s="681"/>
      <c r="I191" s="681"/>
      <c r="J191" s="681"/>
      <c r="K191" s="681"/>
      <c r="L191" s="681"/>
      <c r="M191" s="681"/>
      <c r="N191" s="681"/>
      <c r="O191" s="682"/>
      <c r="P191" s="678" t="s">
        <v>40</v>
      </c>
      <c r="Q191" s="679"/>
      <c r="R191" s="679"/>
      <c r="S191" s="679"/>
      <c r="T191" s="679"/>
      <c r="U191" s="679"/>
      <c r="V191" s="68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81"/>
      <c r="B192" s="681"/>
      <c r="C192" s="681"/>
      <c r="D192" s="681"/>
      <c r="E192" s="681"/>
      <c r="F192" s="681"/>
      <c r="G192" s="681"/>
      <c r="H192" s="681"/>
      <c r="I192" s="681"/>
      <c r="J192" s="681"/>
      <c r="K192" s="681"/>
      <c r="L192" s="681"/>
      <c r="M192" s="681"/>
      <c r="N192" s="681"/>
      <c r="O192" s="682"/>
      <c r="P192" s="678" t="s">
        <v>40</v>
      </c>
      <c r="Q192" s="679"/>
      <c r="R192" s="679"/>
      <c r="S192" s="679"/>
      <c r="T192" s="679"/>
      <c r="U192" s="679"/>
      <c r="V192" s="68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customHeight="1" x14ac:dyDescent="0.2">
      <c r="A193" s="670" t="s">
        <v>333</v>
      </c>
      <c r="B193" s="670"/>
      <c r="C193" s="670"/>
      <c r="D193" s="670"/>
      <c r="E193" s="670"/>
      <c r="F193" s="670"/>
      <c r="G193" s="670"/>
      <c r="H193" s="670"/>
      <c r="I193" s="670"/>
      <c r="J193" s="670"/>
      <c r="K193" s="670"/>
      <c r="L193" s="670"/>
      <c r="M193" s="670"/>
      <c r="N193" s="670"/>
      <c r="O193" s="670"/>
      <c r="P193" s="670"/>
      <c r="Q193" s="670"/>
      <c r="R193" s="670"/>
      <c r="S193" s="670"/>
      <c r="T193" s="670"/>
      <c r="U193" s="670"/>
      <c r="V193" s="670"/>
      <c r="W193" s="670"/>
      <c r="X193" s="670"/>
      <c r="Y193" s="670"/>
      <c r="Z193" s="670"/>
      <c r="AA193" s="54"/>
      <c r="AB193" s="54"/>
      <c r="AC193" s="54"/>
    </row>
    <row r="194" spans="1:68" ht="16.5" customHeight="1" x14ac:dyDescent="0.25">
      <c r="A194" s="671" t="s">
        <v>334</v>
      </c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  <c r="AA194" s="65"/>
      <c r="AB194" s="65"/>
      <c r="AC194" s="79"/>
    </row>
    <row r="195" spans="1:68" ht="14.25" customHeight="1" x14ac:dyDescent="0.25">
      <c r="A195" s="672" t="s">
        <v>128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4301011223</v>
      </c>
      <c r="D196" s="673">
        <v>4607091383423</v>
      </c>
      <c r="E196" s="673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6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5"/>
      <c r="R196" s="675"/>
      <c r="S196" s="675"/>
      <c r="T196" s="67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337</v>
      </c>
      <c r="B197" s="63" t="s">
        <v>338</v>
      </c>
      <c r="C197" s="36">
        <v>4301012199</v>
      </c>
      <c r="D197" s="673">
        <v>4680115886957</v>
      </c>
      <c r="E197" s="67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69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5"/>
      <c r="R197" s="675"/>
      <c r="S197" s="675"/>
      <c r="T197" s="67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4301012098</v>
      </c>
      <c r="D198" s="673">
        <v>4680115885660</v>
      </c>
      <c r="E198" s="673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5"/>
      <c r="R198" s="675"/>
      <c r="S198" s="675"/>
      <c r="T198" s="67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4301012176</v>
      </c>
      <c r="D199" s="673">
        <v>4680115886773</v>
      </c>
      <c r="E199" s="673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7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81"/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2"/>
      <c r="P200" s="678" t="s">
        <v>40</v>
      </c>
      <c r="Q200" s="679"/>
      <c r="R200" s="679"/>
      <c r="S200" s="679"/>
      <c r="T200" s="679"/>
      <c r="U200" s="679"/>
      <c r="V200" s="680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81"/>
      <c r="B201" s="681"/>
      <c r="C201" s="681"/>
      <c r="D201" s="681"/>
      <c r="E201" s="681"/>
      <c r="F201" s="681"/>
      <c r="G201" s="681"/>
      <c r="H201" s="681"/>
      <c r="I201" s="681"/>
      <c r="J201" s="681"/>
      <c r="K201" s="681"/>
      <c r="L201" s="681"/>
      <c r="M201" s="681"/>
      <c r="N201" s="681"/>
      <c r="O201" s="682"/>
      <c r="P201" s="678" t="s">
        <v>40</v>
      </c>
      <c r="Q201" s="679"/>
      <c r="R201" s="679"/>
      <c r="S201" s="679"/>
      <c r="T201" s="679"/>
      <c r="U201" s="679"/>
      <c r="V201" s="680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customHeight="1" x14ac:dyDescent="0.25">
      <c r="A202" s="671" t="s">
        <v>346</v>
      </c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  <c r="AA202" s="65"/>
      <c r="AB202" s="65"/>
      <c r="AC202" s="79"/>
    </row>
    <row r="203" spans="1:68" ht="14.25" customHeight="1" x14ac:dyDescent="0.25">
      <c r="A203" s="672" t="s">
        <v>163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6"/>
      <c r="AB203" s="66"/>
      <c r="AC203" s="80"/>
    </row>
    <row r="204" spans="1:68" ht="27" customHeight="1" x14ac:dyDescent="0.25">
      <c r="A204" s="63" t="s">
        <v>347</v>
      </c>
      <c r="B204" s="63" t="s">
        <v>348</v>
      </c>
      <c r="C204" s="36">
        <v>4301020323</v>
      </c>
      <c r="D204" s="673">
        <v>4680115886223</v>
      </c>
      <c r="E204" s="673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5"/>
      <c r="R204" s="675"/>
      <c r="S204" s="675"/>
      <c r="T204" s="676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81"/>
      <c r="B205" s="681"/>
      <c r="C205" s="681"/>
      <c r="D205" s="681"/>
      <c r="E205" s="681"/>
      <c r="F205" s="681"/>
      <c r="G205" s="681"/>
      <c r="H205" s="681"/>
      <c r="I205" s="681"/>
      <c r="J205" s="681"/>
      <c r="K205" s="681"/>
      <c r="L205" s="681"/>
      <c r="M205" s="681"/>
      <c r="N205" s="681"/>
      <c r="O205" s="682"/>
      <c r="P205" s="678" t="s">
        <v>40</v>
      </c>
      <c r="Q205" s="679"/>
      <c r="R205" s="679"/>
      <c r="S205" s="679"/>
      <c r="T205" s="679"/>
      <c r="U205" s="679"/>
      <c r="V205" s="680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681"/>
      <c r="B206" s="681"/>
      <c r="C206" s="681"/>
      <c r="D206" s="681"/>
      <c r="E206" s="681"/>
      <c r="F206" s="681"/>
      <c r="G206" s="681"/>
      <c r="H206" s="681"/>
      <c r="I206" s="681"/>
      <c r="J206" s="681"/>
      <c r="K206" s="681"/>
      <c r="L206" s="681"/>
      <c r="M206" s="681"/>
      <c r="N206" s="681"/>
      <c r="O206" s="682"/>
      <c r="P206" s="678" t="s">
        <v>40</v>
      </c>
      <c r="Q206" s="679"/>
      <c r="R206" s="679"/>
      <c r="S206" s="679"/>
      <c r="T206" s="679"/>
      <c r="U206" s="679"/>
      <c r="V206" s="680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customHeight="1" x14ac:dyDescent="0.25">
      <c r="A207" s="672" t="s">
        <v>77</v>
      </c>
      <c r="B207" s="672"/>
      <c r="C207" s="672"/>
      <c r="D207" s="672"/>
      <c r="E207" s="672"/>
      <c r="F207" s="672"/>
      <c r="G207" s="672"/>
      <c r="H207" s="672"/>
      <c r="I207" s="672"/>
      <c r="J207" s="672"/>
      <c r="K207" s="672"/>
      <c r="L207" s="672"/>
      <c r="M207" s="672"/>
      <c r="N207" s="672"/>
      <c r="O207" s="672"/>
      <c r="P207" s="672"/>
      <c r="Q207" s="672"/>
      <c r="R207" s="672"/>
      <c r="S207" s="672"/>
      <c r="T207" s="672"/>
      <c r="U207" s="672"/>
      <c r="V207" s="672"/>
      <c r="W207" s="672"/>
      <c r="X207" s="672"/>
      <c r="Y207" s="672"/>
      <c r="Z207" s="672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4301031191</v>
      </c>
      <c r="D208" s="673">
        <v>4680115880993</v>
      </c>
      <c r="E208" s="673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7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5"/>
      <c r="R208" s="675"/>
      <c r="S208" s="675"/>
      <c r="T208" s="67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4301031204</v>
      </c>
      <c r="D209" s="673">
        <v>4680115881761</v>
      </c>
      <c r="E209" s="673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>IFERROR(IF(Y209=0,"",ROUNDUP(Y209/H209,0)*0.00902),"")</f>
        <v/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0</v>
      </c>
      <c r="BN209" s="78">
        <f t="shared" si="28"/>
        <v>0</v>
      </c>
      <c r="BO209" s="78">
        <f t="shared" si="29"/>
        <v>0</v>
      </c>
      <c r="BP209" s="78">
        <f t="shared" si="30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4301031201</v>
      </c>
      <c r="D210" s="673">
        <v>4680115881563</v>
      </c>
      <c r="E210" s="673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5"/>
      <c r="R210" s="675"/>
      <c r="S210" s="675"/>
      <c r="T210" s="67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0</v>
      </c>
      <c r="BN210" s="78">
        <f t="shared" si="28"/>
        <v>0</v>
      </c>
      <c r="BO210" s="78">
        <f t="shared" si="29"/>
        <v>0</v>
      </c>
      <c r="BP210" s="78">
        <f t="shared" si="30"/>
        <v>0</v>
      </c>
    </row>
    <row r="211" spans="1:68" ht="37.5" customHeight="1" x14ac:dyDescent="0.25">
      <c r="A211" s="63" t="s">
        <v>359</v>
      </c>
      <c r="B211" s="63" t="s">
        <v>360</v>
      </c>
      <c r="C211" s="36">
        <v>4301031447</v>
      </c>
      <c r="D211" s="673">
        <v>4680115887565</v>
      </c>
      <c r="E211" s="673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5"/>
      <c r="R211" s="675"/>
      <c r="S211" s="675"/>
      <c r="T211" s="67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IFERROR(IF(Y211=0,"",ROUNDUP(Y211/H211,0)*0.00556),"")</f>
        <v/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362</v>
      </c>
      <c r="B212" s="63" t="s">
        <v>363</v>
      </c>
      <c r="C212" s="36">
        <v>4301031199</v>
      </c>
      <c r="D212" s="673">
        <v>4680115880986</v>
      </c>
      <c r="E212" s="673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5"/>
      <c r="R212" s="675"/>
      <c r="S212" s="675"/>
      <c r="T212" s="67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ref="Z212:Z217" si="31">IFERROR(IF(Y212=0,"",ROUNDUP(Y212/H212,0)*0.00502),"")</f>
        <v/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27" customHeight="1" x14ac:dyDescent="0.25">
      <c r="A213" s="63" t="s">
        <v>364</v>
      </c>
      <c r="B213" s="63" t="s">
        <v>365</v>
      </c>
      <c r="C213" s="36">
        <v>4301031443</v>
      </c>
      <c r="D213" s="673">
        <v>4680115887213</v>
      </c>
      <c r="E213" s="673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5"/>
      <c r="R213" s="675"/>
      <c r="S213" s="675"/>
      <c r="T213" s="67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4301031205</v>
      </c>
      <c r="D214" s="673">
        <v>4680115881785</v>
      </c>
      <c r="E214" s="67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5"/>
      <c r="R214" s="675"/>
      <c r="S214" s="675"/>
      <c r="T214" s="67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si="31"/>
        <v/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4301031499</v>
      </c>
      <c r="D215" s="673">
        <v>4680115888432</v>
      </c>
      <c r="E215" s="673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4301031427</v>
      </c>
      <c r="D216" s="673">
        <v>4680115888104</v>
      </c>
      <c r="E216" s="673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8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4301031399</v>
      </c>
      <c r="D217" s="673">
        <v>4680115886537</v>
      </c>
      <c r="E217" s="67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4301031279</v>
      </c>
      <c r="D218" s="673">
        <v>4680115887596</v>
      </c>
      <c r="E218" s="673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IFERROR(IF(Y218=0,"",ROUNDUP(Y218/H218,0)*0.00417),"")</f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37.5" customHeight="1" x14ac:dyDescent="0.25">
      <c r="A219" s="63" t="s">
        <v>381</v>
      </c>
      <c r="B219" s="63" t="s">
        <v>382</v>
      </c>
      <c r="C219" s="36">
        <v>4301031202</v>
      </c>
      <c r="D219" s="673">
        <v>4680115881679</v>
      </c>
      <c r="E219" s="673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4301031158</v>
      </c>
      <c r="D220" s="673">
        <v>4680115880191</v>
      </c>
      <c r="E220" s="673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4301031245</v>
      </c>
      <c r="D221" s="673">
        <v>4680115883963</v>
      </c>
      <c r="E221" s="673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2"/>
      <c r="P222" s="678" t="s">
        <v>40</v>
      </c>
      <c r="Q222" s="679"/>
      <c r="R222" s="679"/>
      <c r="S222" s="679"/>
      <c r="T222" s="679"/>
      <c r="U222" s="679"/>
      <c r="V222" s="680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81"/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2"/>
      <c r="P223" s="678" t="s">
        <v>40</v>
      </c>
      <c r="Q223" s="679"/>
      <c r="R223" s="679"/>
      <c r="S223" s="679"/>
      <c r="T223" s="679"/>
      <c r="U223" s="679"/>
      <c r="V223" s="680"/>
      <c r="W223" s="42" t="s">
        <v>0</v>
      </c>
      <c r="X223" s="43">
        <f>IFERROR(SUM(X208:X221),"0")</f>
        <v>0</v>
      </c>
      <c r="Y223" s="43">
        <f>IFERROR(SUM(Y208:Y221),"0")</f>
        <v>0</v>
      </c>
      <c r="Z223" s="42"/>
      <c r="AA223" s="67"/>
      <c r="AB223" s="67"/>
      <c r="AC223" s="67"/>
    </row>
    <row r="224" spans="1:68" ht="14.25" customHeight="1" x14ac:dyDescent="0.25">
      <c r="A224" s="672" t="s">
        <v>86</v>
      </c>
      <c r="B224" s="672"/>
      <c r="C224" s="672"/>
      <c r="D224" s="672"/>
      <c r="E224" s="672"/>
      <c r="F224" s="672"/>
      <c r="G224" s="672"/>
      <c r="H224" s="672"/>
      <c r="I224" s="672"/>
      <c r="J224" s="672"/>
      <c r="K224" s="672"/>
      <c r="L224" s="672"/>
      <c r="M224" s="672"/>
      <c r="N224" s="672"/>
      <c r="O224" s="672"/>
      <c r="P224" s="672"/>
      <c r="Q224" s="672"/>
      <c r="R224" s="672"/>
      <c r="S224" s="672"/>
      <c r="T224" s="672"/>
      <c r="U224" s="672"/>
      <c r="V224" s="672"/>
      <c r="W224" s="672"/>
      <c r="X224" s="672"/>
      <c r="Y224" s="672"/>
      <c r="Z224" s="672"/>
      <c r="AA224" s="66"/>
      <c r="AB224" s="66"/>
      <c r="AC224" s="80"/>
    </row>
    <row r="225" spans="1:68" ht="27" customHeight="1" x14ac:dyDescent="0.25">
      <c r="A225" s="63" t="s">
        <v>388</v>
      </c>
      <c r="B225" s="63" t="s">
        <v>389</v>
      </c>
      <c r="C225" s="36">
        <v>4301052177</v>
      </c>
      <c r="D225" s="673">
        <v>4680115888951</v>
      </c>
      <c r="E225" s="673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8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5"/>
      <c r="R225" s="675"/>
      <c r="S225" s="675"/>
      <c r="T225" s="676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4301052176</v>
      </c>
      <c r="D226" s="673">
        <v>4680115888982</v>
      </c>
      <c r="E226" s="673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2"/>
      <c r="P227" s="678" t="s">
        <v>40</v>
      </c>
      <c r="Q227" s="679"/>
      <c r="R227" s="679"/>
      <c r="S227" s="679"/>
      <c r="T227" s="679"/>
      <c r="U227" s="679"/>
      <c r="V227" s="68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81"/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2"/>
      <c r="P228" s="678" t="s">
        <v>40</v>
      </c>
      <c r="Q228" s="679"/>
      <c r="R228" s="679"/>
      <c r="S228" s="679"/>
      <c r="T228" s="679"/>
      <c r="U228" s="679"/>
      <c r="V228" s="68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107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394</v>
      </c>
      <c r="B230" s="63" t="s">
        <v>395</v>
      </c>
      <c r="C230" s="36">
        <v>4301032053</v>
      </c>
      <c r="D230" s="673">
        <v>4680115886780</v>
      </c>
      <c r="E230" s="673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8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397</v>
      </c>
      <c r="B231" s="63" t="s">
        <v>398</v>
      </c>
      <c r="C231" s="36">
        <v>4301032051</v>
      </c>
      <c r="D231" s="673">
        <v>4680115886742</v>
      </c>
      <c r="E231" s="673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400</v>
      </c>
      <c r="B232" s="63" t="s">
        <v>401</v>
      </c>
      <c r="C232" s="36">
        <v>4301032052</v>
      </c>
      <c r="D232" s="673">
        <v>4680115886766</v>
      </c>
      <c r="E232" s="673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81"/>
      <c r="B233" s="681"/>
      <c r="C233" s="681"/>
      <c r="D233" s="681"/>
      <c r="E233" s="681"/>
      <c r="F233" s="681"/>
      <c r="G233" s="681"/>
      <c r="H233" s="681"/>
      <c r="I233" s="681"/>
      <c r="J233" s="681"/>
      <c r="K233" s="681"/>
      <c r="L233" s="681"/>
      <c r="M233" s="681"/>
      <c r="N233" s="681"/>
      <c r="O233" s="682"/>
      <c r="P233" s="678" t="s">
        <v>40</v>
      </c>
      <c r="Q233" s="679"/>
      <c r="R233" s="679"/>
      <c r="S233" s="679"/>
      <c r="T233" s="679"/>
      <c r="U233" s="679"/>
      <c r="V233" s="680"/>
      <c r="W233" s="42" t="s">
        <v>39</v>
      </c>
      <c r="X233" s="43">
        <f>IFERROR(X230/H230,"0")+IFERROR(X231/H231,"0")+IFERROR(X232/H232,"0")</f>
        <v>0</v>
      </c>
      <c r="Y233" s="43">
        <f>IFERROR(Y230/H230,"0")+IFERROR(Y231/H231,"0")+IFERROR(Y232/H232,"0")</f>
        <v>0</v>
      </c>
      <c r="Z233" s="43">
        <f>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81"/>
      <c r="B234" s="681"/>
      <c r="C234" s="681"/>
      <c r="D234" s="681"/>
      <c r="E234" s="681"/>
      <c r="F234" s="681"/>
      <c r="G234" s="681"/>
      <c r="H234" s="681"/>
      <c r="I234" s="681"/>
      <c r="J234" s="681"/>
      <c r="K234" s="681"/>
      <c r="L234" s="681"/>
      <c r="M234" s="681"/>
      <c r="N234" s="681"/>
      <c r="O234" s="682"/>
      <c r="P234" s="678" t="s">
        <v>40</v>
      </c>
      <c r="Q234" s="679"/>
      <c r="R234" s="679"/>
      <c r="S234" s="679"/>
      <c r="T234" s="679"/>
      <c r="U234" s="679"/>
      <c r="V234" s="680"/>
      <c r="W234" s="42" t="s">
        <v>0</v>
      </c>
      <c r="X234" s="43">
        <f>IFERROR(SUM(X230:X232),"0")</f>
        <v>0</v>
      </c>
      <c r="Y234" s="43">
        <f>IFERROR(SUM(Y230:Y232),"0")</f>
        <v>0</v>
      </c>
      <c r="Z234" s="42"/>
      <c r="AA234" s="67"/>
      <c r="AB234" s="67"/>
      <c r="AC234" s="67"/>
    </row>
    <row r="235" spans="1:68" ht="14.25" customHeight="1" x14ac:dyDescent="0.25">
      <c r="A235" s="672" t="s">
        <v>402</v>
      </c>
      <c r="B235" s="672"/>
      <c r="C235" s="672"/>
      <c r="D235" s="672"/>
      <c r="E235" s="672"/>
      <c r="F235" s="672"/>
      <c r="G235" s="672"/>
      <c r="H235" s="672"/>
      <c r="I235" s="672"/>
      <c r="J235" s="672"/>
      <c r="K235" s="672"/>
      <c r="L235" s="672"/>
      <c r="M235" s="672"/>
      <c r="N235" s="672"/>
      <c r="O235" s="672"/>
      <c r="P235" s="672"/>
      <c r="Q235" s="672"/>
      <c r="R235" s="672"/>
      <c r="S235" s="672"/>
      <c r="T235" s="672"/>
      <c r="U235" s="672"/>
      <c r="V235" s="672"/>
      <c r="W235" s="672"/>
      <c r="X235" s="672"/>
      <c r="Y235" s="672"/>
      <c r="Z235" s="672"/>
      <c r="AA235" s="66"/>
      <c r="AB235" s="66"/>
      <c r="AC235" s="80"/>
    </row>
    <row r="236" spans="1:68" ht="27" customHeight="1" x14ac:dyDescent="0.25">
      <c r="A236" s="63" t="s">
        <v>403</v>
      </c>
      <c r="B236" s="63" t="s">
        <v>404</v>
      </c>
      <c r="C236" s="36">
        <v>4301170013</v>
      </c>
      <c r="D236" s="673">
        <v>4680115886797</v>
      </c>
      <c r="E236" s="67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1"/>
      <c r="B237" s="681"/>
      <c r="C237" s="681"/>
      <c r="D237" s="681"/>
      <c r="E237" s="681"/>
      <c r="F237" s="681"/>
      <c r="G237" s="681"/>
      <c r="H237" s="681"/>
      <c r="I237" s="681"/>
      <c r="J237" s="681"/>
      <c r="K237" s="681"/>
      <c r="L237" s="681"/>
      <c r="M237" s="681"/>
      <c r="N237" s="681"/>
      <c r="O237" s="682"/>
      <c r="P237" s="678" t="s">
        <v>40</v>
      </c>
      <c r="Q237" s="679"/>
      <c r="R237" s="679"/>
      <c r="S237" s="679"/>
      <c r="T237" s="679"/>
      <c r="U237" s="679"/>
      <c r="V237" s="680"/>
      <c r="W237" s="42" t="s">
        <v>39</v>
      </c>
      <c r="X237" s="43">
        <f>IFERROR(X236/H236,"0")</f>
        <v>0</v>
      </c>
      <c r="Y237" s="43">
        <f>IFERROR(Y236/H236,"0")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681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2"/>
      <c r="P238" s="678" t="s">
        <v>40</v>
      </c>
      <c r="Q238" s="679"/>
      <c r="R238" s="679"/>
      <c r="S238" s="679"/>
      <c r="T238" s="679"/>
      <c r="U238" s="679"/>
      <c r="V238" s="680"/>
      <c r="W238" s="42" t="s">
        <v>0</v>
      </c>
      <c r="X238" s="43">
        <f>IFERROR(SUM(X236:X236),"0")</f>
        <v>0</v>
      </c>
      <c r="Y238" s="43">
        <f>IFERROR(SUM(Y236:Y236),"0")</f>
        <v>0</v>
      </c>
      <c r="Z238" s="42"/>
      <c r="AA238" s="67"/>
      <c r="AB238" s="67"/>
      <c r="AC238" s="67"/>
    </row>
    <row r="239" spans="1:68" ht="16.5" customHeight="1" x14ac:dyDescent="0.25">
      <c r="A239" s="671" t="s">
        <v>405</v>
      </c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  <c r="AA239" s="65"/>
      <c r="AB239" s="65"/>
      <c r="AC239" s="79"/>
    </row>
    <row r="240" spans="1:68" ht="14.25" customHeight="1" x14ac:dyDescent="0.25">
      <c r="A240" s="672" t="s">
        <v>128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6"/>
      <c r="AB240" s="66"/>
      <c r="AC240" s="80"/>
    </row>
    <row r="241" spans="1:68" ht="27" customHeight="1" x14ac:dyDescent="0.25">
      <c r="A241" s="63" t="s">
        <v>406</v>
      </c>
      <c r="B241" s="63" t="s">
        <v>407</v>
      </c>
      <c r="C241" s="36">
        <v>4301011450</v>
      </c>
      <c r="D241" s="673">
        <v>4680115881402</v>
      </c>
      <c r="E241" s="673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409</v>
      </c>
      <c r="B242" s="63" t="s">
        <v>410</v>
      </c>
      <c r="C242" s="36">
        <v>4301011768</v>
      </c>
      <c r="D242" s="673">
        <v>4680115881396</v>
      </c>
      <c r="E242" s="673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81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2"/>
      <c r="P243" s="678" t="s">
        <v>40</v>
      </c>
      <c r="Q243" s="679"/>
      <c r="R243" s="679"/>
      <c r="S243" s="679"/>
      <c r="T243" s="679"/>
      <c r="U243" s="679"/>
      <c r="V243" s="680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2"/>
      <c r="P244" s="678" t="s">
        <v>40</v>
      </c>
      <c r="Q244" s="679"/>
      <c r="R244" s="679"/>
      <c r="S244" s="679"/>
      <c r="T244" s="679"/>
      <c r="U244" s="679"/>
      <c r="V244" s="680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72" t="s">
        <v>163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6"/>
      <c r="AB245" s="66"/>
      <c r="AC245" s="80"/>
    </row>
    <row r="246" spans="1:68" ht="16.5" customHeight="1" x14ac:dyDescent="0.25">
      <c r="A246" s="63" t="s">
        <v>411</v>
      </c>
      <c r="B246" s="63" t="s">
        <v>412</v>
      </c>
      <c r="C246" s="36">
        <v>4301020261</v>
      </c>
      <c r="D246" s="673">
        <v>4680115882935</v>
      </c>
      <c r="E246" s="673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5"/>
      <c r="R246" s="675"/>
      <c r="S246" s="675"/>
      <c r="T246" s="67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customHeight="1" x14ac:dyDescent="0.25">
      <c r="A247" s="63" t="s">
        <v>414</v>
      </c>
      <c r="B247" s="63" t="s">
        <v>415</v>
      </c>
      <c r="C247" s="36">
        <v>4301020220</v>
      </c>
      <c r="D247" s="673">
        <v>4680115880764</v>
      </c>
      <c r="E247" s="673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2"/>
      <c r="P248" s="678" t="s">
        <v>40</v>
      </c>
      <c r="Q248" s="679"/>
      <c r="R248" s="679"/>
      <c r="S248" s="679"/>
      <c r="T248" s="679"/>
      <c r="U248" s="679"/>
      <c r="V248" s="680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681"/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2"/>
      <c r="P249" s="678" t="s">
        <v>40</v>
      </c>
      <c r="Q249" s="679"/>
      <c r="R249" s="679"/>
      <c r="S249" s="679"/>
      <c r="T249" s="679"/>
      <c r="U249" s="679"/>
      <c r="V249" s="680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customHeight="1" x14ac:dyDescent="0.25">
      <c r="A250" s="672" t="s">
        <v>77</v>
      </c>
      <c r="B250" s="672"/>
      <c r="C250" s="672"/>
      <c r="D250" s="672"/>
      <c r="E250" s="672"/>
      <c r="F250" s="672"/>
      <c r="G250" s="672"/>
      <c r="H250" s="672"/>
      <c r="I250" s="672"/>
      <c r="J250" s="672"/>
      <c r="K250" s="672"/>
      <c r="L250" s="672"/>
      <c r="M250" s="672"/>
      <c r="N250" s="672"/>
      <c r="O250" s="672"/>
      <c r="P250" s="672"/>
      <c r="Q250" s="672"/>
      <c r="R250" s="672"/>
      <c r="S250" s="672"/>
      <c r="T250" s="672"/>
      <c r="U250" s="672"/>
      <c r="V250" s="672"/>
      <c r="W250" s="672"/>
      <c r="X250" s="672"/>
      <c r="Y250" s="672"/>
      <c r="Z250" s="672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4301031224</v>
      </c>
      <c r="D251" s="673">
        <v>4680115882683</v>
      </c>
      <c r="E251" s="673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ref="Y251:Y258" si="32"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0</v>
      </c>
      <c r="BN251" s="78">
        <f t="shared" ref="BN251:BN258" si="34">IFERROR(Y251*I251/H251,"0")</f>
        <v>0</v>
      </c>
      <c r="BO251" s="78">
        <f t="shared" ref="BO251:BO258" si="35">IFERROR(1/J251*(X251/H251),"0")</f>
        <v>0</v>
      </c>
      <c r="BP251" s="78">
        <f t="shared" ref="BP251:BP258" si="36">IFERROR(1/J251*(Y251/H251),"0")</f>
        <v>0</v>
      </c>
    </row>
    <row r="252" spans="1:68" ht="27" customHeight="1" x14ac:dyDescent="0.25">
      <c r="A252" s="63" t="s">
        <v>419</v>
      </c>
      <c r="B252" s="63" t="s">
        <v>420</v>
      </c>
      <c r="C252" s="36">
        <v>4301031230</v>
      </c>
      <c r="D252" s="673">
        <v>4680115882690</v>
      </c>
      <c r="E252" s="673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5"/>
      <c r="R252" s="675"/>
      <c r="S252" s="675"/>
      <c r="T252" s="67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2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0</v>
      </c>
      <c r="BN252" s="78">
        <f t="shared" si="34"/>
        <v>0</v>
      </c>
      <c r="BO252" s="78">
        <f t="shared" si="35"/>
        <v>0</v>
      </c>
      <c r="BP252" s="78">
        <f t="shared" si="36"/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4301031220</v>
      </c>
      <c r="D253" s="673">
        <v>4680115882669</v>
      </c>
      <c r="E253" s="673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5"/>
      <c r="R253" s="675"/>
      <c r="S253" s="675"/>
      <c r="T253" s="676"/>
      <c r="U253" s="39" t="s">
        <v>46</v>
      </c>
      <c r="V253" s="39" t="s">
        <v>46</v>
      </c>
      <c r="W253" s="40" t="s">
        <v>0</v>
      </c>
      <c r="X253" s="58">
        <v>0</v>
      </c>
      <c r="Y253" s="55">
        <f t="shared" si="32"/>
        <v>0</v>
      </c>
      <c r="Z253" s="41" t="str">
        <f>IFERROR(IF(Y253=0,"",ROUNDUP(Y253/H253,0)*0.00902),"")</f>
        <v/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0</v>
      </c>
      <c r="BN253" s="78">
        <f t="shared" si="34"/>
        <v>0</v>
      </c>
      <c r="BO253" s="78">
        <f t="shared" si="35"/>
        <v>0</v>
      </c>
      <c r="BP253" s="78">
        <f t="shared" si="36"/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4301031221</v>
      </c>
      <c r="D254" s="673">
        <v>4680115882676</v>
      </c>
      <c r="E254" s="673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8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5"/>
      <c r="R254" s="675"/>
      <c r="S254" s="675"/>
      <c r="T254" s="676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si="32"/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0</v>
      </c>
      <c r="BN254" s="78">
        <f t="shared" si="34"/>
        <v>0</v>
      </c>
      <c r="BO254" s="78">
        <f t="shared" si="35"/>
        <v>0</v>
      </c>
      <c r="BP254" s="78">
        <f t="shared" si="36"/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4301031223</v>
      </c>
      <c r="D255" s="673">
        <v>4680115884014</v>
      </c>
      <c r="E255" s="673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32"/>
        <v>0</v>
      </c>
      <c r="Z255" s="41" t="str">
        <f>IFERROR(IF(Y255=0,"",ROUNDUP(Y255/H255,0)*0.00502),"")</f>
        <v/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0</v>
      </c>
      <c r="BN255" s="78">
        <f t="shared" si="34"/>
        <v>0</v>
      </c>
      <c r="BO255" s="78">
        <f t="shared" si="35"/>
        <v>0</v>
      </c>
      <c r="BP255" s="78">
        <f t="shared" si="36"/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4301031222</v>
      </c>
      <c r="D256" s="673">
        <v>4680115884007</v>
      </c>
      <c r="E256" s="673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4301031229</v>
      </c>
      <c r="D257" s="673">
        <v>4680115884038</v>
      </c>
      <c r="E257" s="673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IFERROR(IF(Y257=0,"",ROUNDUP(Y257/H257,0)*0.00502),"")</f>
        <v/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434</v>
      </c>
      <c r="B258" s="63" t="s">
        <v>435</v>
      </c>
      <c r="C258" s="36">
        <v>4301031225</v>
      </c>
      <c r="D258" s="673">
        <v>4680115884021</v>
      </c>
      <c r="E258" s="673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5"/>
      <c r="R258" s="675"/>
      <c r="S258" s="675"/>
      <c r="T258" s="67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x14ac:dyDescent="0.2">
      <c r="A259" s="681"/>
      <c r="B259" s="681"/>
      <c r="C259" s="681"/>
      <c r="D259" s="681"/>
      <c r="E259" s="681"/>
      <c r="F259" s="681"/>
      <c r="G259" s="681"/>
      <c r="H259" s="681"/>
      <c r="I259" s="681"/>
      <c r="J259" s="681"/>
      <c r="K259" s="681"/>
      <c r="L259" s="681"/>
      <c r="M259" s="681"/>
      <c r="N259" s="681"/>
      <c r="O259" s="682"/>
      <c r="P259" s="678" t="s">
        <v>40</v>
      </c>
      <c r="Q259" s="679"/>
      <c r="R259" s="679"/>
      <c r="S259" s="679"/>
      <c r="T259" s="679"/>
      <c r="U259" s="679"/>
      <c r="V259" s="680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0</v>
      </c>
      <c r="Y259" s="43">
        <f>IFERROR(Y251/H251,"0")+IFERROR(Y252/H252,"0")+IFERROR(Y253/H253,"0")+IFERROR(Y254/H254,"0")+IFERROR(Y255/H255,"0")+IFERROR(Y256/H256,"0")+IFERROR(Y257/H257,"0")+IFERROR(Y258/H258,"0")</f>
        <v>0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81"/>
      <c r="B260" s="681"/>
      <c r="C260" s="681"/>
      <c r="D260" s="681"/>
      <c r="E260" s="681"/>
      <c r="F260" s="681"/>
      <c r="G260" s="681"/>
      <c r="H260" s="681"/>
      <c r="I260" s="681"/>
      <c r="J260" s="681"/>
      <c r="K260" s="681"/>
      <c r="L260" s="681"/>
      <c r="M260" s="681"/>
      <c r="N260" s="681"/>
      <c r="O260" s="682"/>
      <c r="P260" s="678" t="s">
        <v>40</v>
      </c>
      <c r="Q260" s="679"/>
      <c r="R260" s="679"/>
      <c r="S260" s="679"/>
      <c r="T260" s="679"/>
      <c r="U260" s="679"/>
      <c r="V260" s="680"/>
      <c r="W260" s="42" t="s">
        <v>0</v>
      </c>
      <c r="X260" s="43">
        <f>IFERROR(SUM(X251:X258),"0")</f>
        <v>0</v>
      </c>
      <c r="Y260" s="43">
        <f>IFERROR(SUM(Y251:Y258),"0")</f>
        <v>0</v>
      </c>
      <c r="Z260" s="42"/>
      <c r="AA260" s="67"/>
      <c r="AB260" s="67"/>
      <c r="AC260" s="67"/>
    </row>
    <row r="261" spans="1:68" ht="14.25" customHeight="1" x14ac:dyDescent="0.25">
      <c r="A261" s="672" t="s">
        <v>86</v>
      </c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72"/>
      <c r="P261" s="672"/>
      <c r="Q261" s="672"/>
      <c r="R261" s="672"/>
      <c r="S261" s="672"/>
      <c r="T261" s="672"/>
      <c r="U261" s="672"/>
      <c r="V261" s="672"/>
      <c r="W261" s="672"/>
      <c r="X261" s="672"/>
      <c r="Y261" s="672"/>
      <c r="Z261" s="672"/>
      <c r="AA261" s="66"/>
      <c r="AB261" s="66"/>
      <c r="AC261" s="80"/>
    </row>
    <row r="262" spans="1:68" ht="37.5" customHeight="1" x14ac:dyDescent="0.25">
      <c r="A262" s="63" t="s">
        <v>436</v>
      </c>
      <c r="B262" s="63" t="s">
        <v>437</v>
      </c>
      <c r="C262" s="36">
        <v>4301051408</v>
      </c>
      <c r="D262" s="673">
        <v>4680115881594</v>
      </c>
      <c r="E262" s="673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5"/>
      <c r="R262" s="675"/>
      <c r="S262" s="675"/>
      <c r="T262" s="67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customHeight="1" x14ac:dyDescent="0.25">
      <c r="A263" s="63" t="s">
        <v>439</v>
      </c>
      <c r="B263" s="63" t="s">
        <v>440</v>
      </c>
      <c r="C263" s="36">
        <v>4301051411</v>
      </c>
      <c r="D263" s="673">
        <v>4680115881617</v>
      </c>
      <c r="E263" s="673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5"/>
      <c r="R263" s="675"/>
      <c r="S263" s="675"/>
      <c r="T263" s="676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4301051656</v>
      </c>
      <c r="D264" s="673">
        <v>4680115880573</v>
      </c>
      <c r="E264" s="673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5"/>
      <c r="R264" s="675"/>
      <c r="S264" s="675"/>
      <c r="T264" s="67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7"/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0</v>
      </c>
      <c r="BN264" s="78">
        <f t="shared" si="39"/>
        <v>0</v>
      </c>
      <c r="BO264" s="78">
        <f t="shared" si="40"/>
        <v>0</v>
      </c>
      <c r="BP264" s="78">
        <f t="shared" si="41"/>
        <v>0</v>
      </c>
    </row>
    <row r="265" spans="1:68" ht="37.5" customHeight="1" x14ac:dyDescent="0.25">
      <c r="A265" s="63" t="s">
        <v>445</v>
      </c>
      <c r="B265" s="63" t="s">
        <v>446</v>
      </c>
      <c r="C265" s="36">
        <v>4301051407</v>
      </c>
      <c r="D265" s="673">
        <v>4680115882195</v>
      </c>
      <c r="E265" s="673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5"/>
      <c r="R265" s="675"/>
      <c r="S265" s="675"/>
      <c r="T265" s="67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7"/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0</v>
      </c>
      <c r="BN265" s="78">
        <f t="shared" si="39"/>
        <v>0</v>
      </c>
      <c r="BO265" s="78">
        <f t="shared" si="40"/>
        <v>0</v>
      </c>
      <c r="BP265" s="78">
        <f t="shared" si="41"/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4301051752</v>
      </c>
      <c r="D266" s="673">
        <v>4680115882607</v>
      </c>
      <c r="E266" s="673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4301052143</v>
      </c>
      <c r="D267" s="673">
        <v>4680115882607</v>
      </c>
      <c r="E267" s="673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73">
        <v>4680115880092</v>
      </c>
      <c r="E268" s="673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8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5"/>
      <c r="R268" s="675"/>
      <c r="S268" s="675"/>
      <c r="T268" s="67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4301052214</v>
      </c>
      <c r="D269" s="673">
        <v>4680115889064</v>
      </c>
      <c r="E269" s="673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81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5"/>
      <c r="R269" s="675"/>
      <c r="S269" s="675"/>
      <c r="T269" s="67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73">
        <v>4680115880221</v>
      </c>
      <c r="E270" s="673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8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5"/>
      <c r="R270" s="675"/>
      <c r="S270" s="675"/>
      <c r="T270" s="67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4301051945</v>
      </c>
      <c r="D271" s="673">
        <v>4680115880504</v>
      </c>
      <c r="E271" s="673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IFERROR(IF(Y271=0,"",ROUNDUP(Y271/H271,0)*0.00651),"")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461</v>
      </c>
      <c r="B272" s="63" t="s">
        <v>462</v>
      </c>
      <c r="C272" s="36">
        <v>4301051410</v>
      </c>
      <c r="D272" s="673">
        <v>4680115882164</v>
      </c>
      <c r="E272" s="673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8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4301052180</v>
      </c>
      <c r="D273" s="673">
        <v>4680115888340</v>
      </c>
      <c r="E273" s="67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8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5"/>
      <c r="R273" s="675"/>
      <c r="S273" s="675"/>
      <c r="T273" s="67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2"/>
      <c r="P274" s="678" t="s">
        <v>40</v>
      </c>
      <c r="Q274" s="679"/>
      <c r="R274" s="679"/>
      <c r="S274" s="679"/>
      <c r="T274" s="679"/>
      <c r="U274" s="679"/>
      <c r="V274" s="680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81"/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2"/>
      <c r="P275" s="678" t="s">
        <v>40</v>
      </c>
      <c r="Q275" s="679"/>
      <c r="R275" s="679"/>
      <c r="S275" s="679"/>
      <c r="T275" s="679"/>
      <c r="U275" s="679"/>
      <c r="V275" s="680"/>
      <c r="W275" s="42" t="s">
        <v>0</v>
      </c>
      <c r="X275" s="43">
        <f>IFERROR(SUM(X262:X273),"0")</f>
        <v>0</v>
      </c>
      <c r="Y275" s="43">
        <f>IFERROR(SUM(Y262:Y273),"0")</f>
        <v>0</v>
      </c>
      <c r="Z275" s="42"/>
      <c r="AA275" s="67"/>
      <c r="AB275" s="67"/>
      <c r="AC275" s="67"/>
    </row>
    <row r="276" spans="1:68" ht="14.25" customHeight="1" x14ac:dyDescent="0.25">
      <c r="A276" s="672" t="s">
        <v>180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6"/>
      <c r="AB276" s="66"/>
      <c r="AC276" s="80"/>
    </row>
    <row r="277" spans="1:68" ht="27" customHeight="1" x14ac:dyDescent="0.25">
      <c r="A277" s="63" t="s">
        <v>467</v>
      </c>
      <c r="B277" s="63" t="s">
        <v>468</v>
      </c>
      <c r="C277" s="36">
        <v>4301060463</v>
      </c>
      <c r="D277" s="673">
        <v>4680115880818</v>
      </c>
      <c r="E277" s="67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81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37.5" customHeight="1" x14ac:dyDescent="0.25">
      <c r="A278" s="63" t="s">
        <v>470</v>
      </c>
      <c r="B278" s="63" t="s">
        <v>471</v>
      </c>
      <c r="C278" s="36">
        <v>4301060389</v>
      </c>
      <c r="D278" s="673">
        <v>4680115880801</v>
      </c>
      <c r="E278" s="67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8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81"/>
      <c r="B279" s="681"/>
      <c r="C279" s="681"/>
      <c r="D279" s="681"/>
      <c r="E279" s="681"/>
      <c r="F279" s="681"/>
      <c r="G279" s="681"/>
      <c r="H279" s="681"/>
      <c r="I279" s="681"/>
      <c r="J279" s="681"/>
      <c r="K279" s="681"/>
      <c r="L279" s="681"/>
      <c r="M279" s="681"/>
      <c r="N279" s="681"/>
      <c r="O279" s="682"/>
      <c r="P279" s="678" t="s">
        <v>40</v>
      </c>
      <c r="Q279" s="679"/>
      <c r="R279" s="679"/>
      <c r="S279" s="679"/>
      <c r="T279" s="679"/>
      <c r="U279" s="679"/>
      <c r="V279" s="680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x14ac:dyDescent="0.2">
      <c r="A280" s="681"/>
      <c r="B280" s="681"/>
      <c r="C280" s="681"/>
      <c r="D280" s="681"/>
      <c r="E280" s="681"/>
      <c r="F280" s="681"/>
      <c r="G280" s="681"/>
      <c r="H280" s="681"/>
      <c r="I280" s="681"/>
      <c r="J280" s="681"/>
      <c r="K280" s="681"/>
      <c r="L280" s="681"/>
      <c r="M280" s="681"/>
      <c r="N280" s="681"/>
      <c r="O280" s="682"/>
      <c r="P280" s="678" t="s">
        <v>40</v>
      </c>
      <c r="Q280" s="679"/>
      <c r="R280" s="679"/>
      <c r="S280" s="679"/>
      <c r="T280" s="679"/>
      <c r="U280" s="679"/>
      <c r="V280" s="680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6.5" customHeight="1" x14ac:dyDescent="0.25">
      <c r="A281" s="671" t="s">
        <v>473</v>
      </c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  <c r="AA281" s="65"/>
      <c r="AB281" s="65"/>
      <c r="AC281" s="79"/>
    </row>
    <row r="282" spans="1:68" ht="14.25" customHeight="1" x14ac:dyDescent="0.25">
      <c r="A282" s="672" t="s">
        <v>128</v>
      </c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72"/>
      <c r="P282" s="672"/>
      <c r="Q282" s="672"/>
      <c r="R282" s="672"/>
      <c r="S282" s="672"/>
      <c r="T282" s="672"/>
      <c r="U282" s="672"/>
      <c r="V282" s="672"/>
      <c r="W282" s="672"/>
      <c r="X282" s="672"/>
      <c r="Y282" s="672"/>
      <c r="Z282" s="672"/>
      <c r="AA282" s="66"/>
      <c r="AB282" s="66"/>
      <c r="AC282" s="80"/>
    </row>
    <row r="283" spans="1:68" ht="27" customHeight="1" x14ac:dyDescent="0.25">
      <c r="A283" s="63" t="s">
        <v>474</v>
      </c>
      <c r="B283" s="63" t="s">
        <v>475</v>
      </c>
      <c r="C283" s="36">
        <v>4301011826</v>
      </c>
      <c r="D283" s="673">
        <v>4680115884137</v>
      </c>
      <c r="E283" s="673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81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4301011724</v>
      </c>
      <c r="D284" s="673">
        <v>4680115884236</v>
      </c>
      <c r="E284" s="673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5"/>
      <c r="R284" s="675"/>
      <c r="S284" s="675"/>
      <c r="T284" s="67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customHeight="1" x14ac:dyDescent="0.25">
      <c r="A285" s="63" t="s">
        <v>480</v>
      </c>
      <c r="B285" s="63" t="s">
        <v>481</v>
      </c>
      <c r="C285" s="36">
        <v>4301011721</v>
      </c>
      <c r="D285" s="673">
        <v>4680115884175</v>
      </c>
      <c r="E285" s="673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82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5"/>
      <c r="R285" s="675"/>
      <c r="S285" s="675"/>
      <c r="T285" s="67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4301011824</v>
      </c>
      <c r="D286" s="673">
        <v>4680115884144</v>
      </c>
      <c r="E286" s="673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5"/>
      <c r="R286" s="675"/>
      <c r="S286" s="675"/>
      <c r="T286" s="67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2"/>
        <v>0</v>
      </c>
      <c r="Z286" s="41" t="str">
        <f>IFERROR(IF(Y286=0,"",ROUNDUP(Y286/H286,0)*0.00902),"")</f>
        <v/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0</v>
      </c>
      <c r="BN286" s="78">
        <f t="shared" si="44"/>
        <v>0</v>
      </c>
      <c r="BO286" s="78">
        <f t="shared" si="45"/>
        <v>0</v>
      </c>
      <c r="BP286" s="78">
        <f t="shared" si="46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4301012149</v>
      </c>
      <c r="D287" s="673">
        <v>4680115886551</v>
      </c>
      <c r="E287" s="673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8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4301012228</v>
      </c>
      <c r="D288" s="673">
        <v>4680115887282</v>
      </c>
      <c r="E288" s="67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82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4301011722</v>
      </c>
      <c r="D289" s="673">
        <v>4680115884205</v>
      </c>
      <c r="E289" s="673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8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x14ac:dyDescent="0.2">
      <c r="A290" s="681"/>
      <c r="B290" s="681"/>
      <c r="C290" s="681"/>
      <c r="D290" s="681"/>
      <c r="E290" s="681"/>
      <c r="F290" s="681"/>
      <c r="G290" s="681"/>
      <c r="H290" s="681"/>
      <c r="I290" s="681"/>
      <c r="J290" s="681"/>
      <c r="K290" s="681"/>
      <c r="L290" s="681"/>
      <c r="M290" s="681"/>
      <c r="N290" s="681"/>
      <c r="O290" s="682"/>
      <c r="P290" s="678" t="s">
        <v>40</v>
      </c>
      <c r="Q290" s="679"/>
      <c r="R290" s="679"/>
      <c r="S290" s="679"/>
      <c r="T290" s="679"/>
      <c r="U290" s="679"/>
      <c r="V290" s="680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81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2"/>
      <c r="P291" s="678" t="s">
        <v>40</v>
      </c>
      <c r="Q291" s="679"/>
      <c r="R291" s="679"/>
      <c r="S291" s="679"/>
      <c r="T291" s="679"/>
      <c r="U291" s="679"/>
      <c r="V291" s="680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customHeight="1" x14ac:dyDescent="0.25">
      <c r="A292" s="672" t="s">
        <v>163</v>
      </c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72"/>
      <c r="P292" s="672"/>
      <c r="Q292" s="672"/>
      <c r="R292" s="672"/>
      <c r="S292" s="672"/>
      <c r="T292" s="672"/>
      <c r="U292" s="672"/>
      <c r="V292" s="672"/>
      <c r="W292" s="672"/>
      <c r="X292" s="672"/>
      <c r="Y292" s="672"/>
      <c r="Z292" s="672"/>
      <c r="AA292" s="66"/>
      <c r="AB292" s="66"/>
      <c r="AC292" s="80"/>
    </row>
    <row r="293" spans="1:68" ht="27" customHeight="1" x14ac:dyDescent="0.25">
      <c r="A293" s="63" t="s">
        <v>492</v>
      </c>
      <c r="B293" s="63" t="s">
        <v>493</v>
      </c>
      <c r="C293" s="36">
        <v>4301020377</v>
      </c>
      <c r="D293" s="673">
        <v>4680115885981</v>
      </c>
      <c r="E293" s="673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81"/>
      <c r="B294" s="681"/>
      <c r="C294" s="681"/>
      <c r="D294" s="681"/>
      <c r="E294" s="681"/>
      <c r="F294" s="681"/>
      <c r="G294" s="681"/>
      <c r="H294" s="681"/>
      <c r="I294" s="681"/>
      <c r="J294" s="681"/>
      <c r="K294" s="681"/>
      <c r="L294" s="681"/>
      <c r="M294" s="681"/>
      <c r="N294" s="681"/>
      <c r="O294" s="682"/>
      <c r="P294" s="678" t="s">
        <v>40</v>
      </c>
      <c r="Q294" s="679"/>
      <c r="R294" s="679"/>
      <c r="S294" s="679"/>
      <c r="T294" s="679"/>
      <c r="U294" s="679"/>
      <c r="V294" s="680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x14ac:dyDescent="0.2">
      <c r="A295" s="681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2"/>
      <c r="P295" s="678" t="s">
        <v>40</v>
      </c>
      <c r="Q295" s="679"/>
      <c r="R295" s="679"/>
      <c r="S295" s="679"/>
      <c r="T295" s="679"/>
      <c r="U295" s="679"/>
      <c r="V295" s="680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customHeight="1" x14ac:dyDescent="0.25">
      <c r="A296" s="672" t="s">
        <v>495</v>
      </c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72"/>
      <c r="P296" s="672"/>
      <c r="Q296" s="672"/>
      <c r="R296" s="672"/>
      <c r="S296" s="672"/>
      <c r="T296" s="672"/>
      <c r="U296" s="672"/>
      <c r="V296" s="672"/>
      <c r="W296" s="672"/>
      <c r="X296" s="672"/>
      <c r="Y296" s="672"/>
      <c r="Z296" s="672"/>
      <c r="AA296" s="66"/>
      <c r="AB296" s="66"/>
      <c r="AC296" s="80"/>
    </row>
    <row r="297" spans="1:68" ht="27" customHeight="1" x14ac:dyDescent="0.25">
      <c r="A297" s="63" t="s">
        <v>496</v>
      </c>
      <c r="B297" s="63" t="s">
        <v>497</v>
      </c>
      <c r="C297" s="36">
        <v>4301040362</v>
      </c>
      <c r="D297" s="673">
        <v>4680115886803</v>
      </c>
      <c r="E297" s="673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8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IFERROR(IF(Y297=0,"",ROUNDUP(Y297/H297,0)*0.0059),"")</f>
        <v/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1"/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2"/>
      <c r="P298" s="678" t="s">
        <v>40</v>
      </c>
      <c r="Q298" s="679"/>
      <c r="R298" s="679"/>
      <c r="S298" s="679"/>
      <c r="T298" s="679"/>
      <c r="U298" s="679"/>
      <c r="V298" s="680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1"/>
      <c r="B299" s="681"/>
      <c r="C299" s="681"/>
      <c r="D299" s="681"/>
      <c r="E299" s="681"/>
      <c r="F299" s="681"/>
      <c r="G299" s="681"/>
      <c r="H299" s="681"/>
      <c r="I299" s="681"/>
      <c r="J299" s="681"/>
      <c r="K299" s="681"/>
      <c r="L299" s="681"/>
      <c r="M299" s="681"/>
      <c r="N299" s="681"/>
      <c r="O299" s="682"/>
      <c r="P299" s="678" t="s">
        <v>40</v>
      </c>
      <c r="Q299" s="679"/>
      <c r="R299" s="679"/>
      <c r="S299" s="679"/>
      <c r="T299" s="679"/>
      <c r="U299" s="679"/>
      <c r="V299" s="680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2" t="s">
        <v>329</v>
      </c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72"/>
      <c r="P300" s="672"/>
      <c r="Q300" s="672"/>
      <c r="R300" s="672"/>
      <c r="S300" s="672"/>
      <c r="T300" s="672"/>
      <c r="U300" s="672"/>
      <c r="V300" s="672"/>
      <c r="W300" s="672"/>
      <c r="X300" s="672"/>
      <c r="Y300" s="672"/>
      <c r="Z300" s="672"/>
      <c r="AA300" s="66"/>
      <c r="AB300" s="66"/>
      <c r="AC300" s="80"/>
    </row>
    <row r="301" spans="1:68" ht="27" customHeight="1" x14ac:dyDescent="0.25">
      <c r="A301" s="63" t="s">
        <v>499</v>
      </c>
      <c r="B301" s="63" t="s">
        <v>500</v>
      </c>
      <c r="C301" s="36">
        <v>4301041004</v>
      </c>
      <c r="D301" s="673">
        <v>4680115886704</v>
      </c>
      <c r="E301" s="673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82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5"/>
      <c r="R301" s="675"/>
      <c r="S301" s="675"/>
      <c r="T301" s="67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502</v>
      </c>
      <c r="B302" s="63" t="s">
        <v>503</v>
      </c>
      <c r="C302" s="36">
        <v>4301041008</v>
      </c>
      <c r="D302" s="673">
        <v>4680115886681</v>
      </c>
      <c r="E302" s="673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IFERROR(IF(Y302=0,"",ROUNDUP(Y302/H302,0)*0.0059),"")</f>
        <v/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504</v>
      </c>
      <c r="B303" s="63" t="s">
        <v>505</v>
      </c>
      <c r="C303" s="36">
        <v>4301041007</v>
      </c>
      <c r="D303" s="673">
        <v>4680115886735</v>
      </c>
      <c r="E303" s="673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83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507</v>
      </c>
      <c r="B304" s="63" t="s">
        <v>508</v>
      </c>
      <c r="C304" s="36">
        <v>4301041005</v>
      </c>
      <c r="D304" s="673">
        <v>4680115886711</v>
      </c>
      <c r="E304" s="673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8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5"/>
      <c r="R304" s="675"/>
      <c r="S304" s="675"/>
      <c r="T304" s="676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681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2"/>
      <c r="P305" s="678" t="s">
        <v>40</v>
      </c>
      <c r="Q305" s="679"/>
      <c r="R305" s="679"/>
      <c r="S305" s="679"/>
      <c r="T305" s="679"/>
      <c r="U305" s="679"/>
      <c r="V305" s="680"/>
      <c r="W305" s="42" t="s">
        <v>39</v>
      </c>
      <c r="X305" s="43">
        <f>IFERROR(X301/H301,"0")+IFERROR(X302/H302,"0")+IFERROR(X303/H303,"0")+IFERROR(X304/H304,"0")</f>
        <v>0</v>
      </c>
      <c r="Y305" s="43">
        <f>IFERROR(Y301/H301,"0")+IFERROR(Y302/H302,"0")+IFERROR(Y303/H303,"0")+IFERROR(Y304/H304,"0")</f>
        <v>0</v>
      </c>
      <c r="Z305" s="43">
        <f>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2"/>
      <c r="P306" s="678" t="s">
        <v>40</v>
      </c>
      <c r="Q306" s="679"/>
      <c r="R306" s="679"/>
      <c r="S306" s="679"/>
      <c r="T306" s="679"/>
      <c r="U306" s="679"/>
      <c r="V306" s="680"/>
      <c r="W306" s="42" t="s">
        <v>0</v>
      </c>
      <c r="X306" s="43">
        <f>IFERROR(SUM(X301:X304),"0")</f>
        <v>0</v>
      </c>
      <c r="Y306" s="43">
        <f>IFERROR(SUM(Y301:Y304),"0")</f>
        <v>0</v>
      </c>
      <c r="Z306" s="42"/>
      <c r="AA306" s="67"/>
      <c r="AB306" s="67"/>
      <c r="AC306" s="67"/>
    </row>
    <row r="307" spans="1:68" ht="16.5" customHeight="1" x14ac:dyDescent="0.25">
      <c r="A307" s="671" t="s">
        <v>509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"/>
      <c r="AB307" s="65"/>
      <c r="AC307" s="79"/>
    </row>
    <row r="308" spans="1:68" ht="14.25" customHeight="1" x14ac:dyDescent="0.25">
      <c r="A308" s="672" t="s">
        <v>128</v>
      </c>
      <c r="B308" s="672"/>
      <c r="C308" s="672"/>
      <c r="D308" s="672"/>
      <c r="E308" s="672"/>
      <c r="F308" s="672"/>
      <c r="G308" s="672"/>
      <c r="H308" s="672"/>
      <c r="I308" s="672"/>
      <c r="J308" s="672"/>
      <c r="K308" s="672"/>
      <c r="L308" s="672"/>
      <c r="M308" s="672"/>
      <c r="N308" s="672"/>
      <c r="O308" s="672"/>
      <c r="P308" s="672"/>
      <c r="Q308" s="672"/>
      <c r="R308" s="672"/>
      <c r="S308" s="672"/>
      <c r="T308" s="672"/>
      <c r="U308" s="672"/>
      <c r="V308" s="672"/>
      <c r="W308" s="672"/>
      <c r="X308" s="672"/>
      <c r="Y308" s="672"/>
      <c r="Z308" s="672"/>
      <c r="AA308" s="66"/>
      <c r="AB308" s="66"/>
      <c r="AC308" s="80"/>
    </row>
    <row r="309" spans="1:68" ht="27" customHeight="1" x14ac:dyDescent="0.25">
      <c r="A309" s="63" t="s">
        <v>510</v>
      </c>
      <c r="B309" s="63" t="s">
        <v>511</v>
      </c>
      <c r="C309" s="36">
        <v>4301011855</v>
      </c>
      <c r="D309" s="673">
        <v>4680115885837</v>
      </c>
      <c r="E309" s="673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8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customHeight="1" x14ac:dyDescent="0.25">
      <c r="A310" s="63" t="s">
        <v>513</v>
      </c>
      <c r="B310" s="63" t="s">
        <v>514</v>
      </c>
      <c r="C310" s="36">
        <v>4301012234</v>
      </c>
      <c r="D310" s="673">
        <v>4680115887237</v>
      </c>
      <c r="E310" s="67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4301011850</v>
      </c>
      <c r="D311" s="673">
        <v>4680115885806</v>
      </c>
      <c r="E311" s="67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216</v>
      </c>
      <c r="Y311" s="55">
        <f>IFERROR(IF(X311="",0,CEILING((X311/$H311),1)*$H311),"")</f>
        <v>216</v>
      </c>
      <c r="Z311" s="41">
        <f>IFERROR(IF(Y311=0,"",ROUNDUP(Y311/H311,0)*0.01898),"")</f>
        <v>0.37959999999999999</v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224.2</v>
      </c>
      <c r="BN311" s="78">
        <f>IFERROR(Y311*I311/H311,"0")</f>
        <v>224.2</v>
      </c>
      <c r="BO311" s="78">
        <f>IFERROR(1/J311*(X311/H311),"0")</f>
        <v>0.3125</v>
      </c>
      <c r="BP311" s="78">
        <f>IFERROR(1/J311*(Y311/H311),"0")</f>
        <v>0.3125</v>
      </c>
    </row>
    <row r="312" spans="1:68" ht="27" customHeight="1" x14ac:dyDescent="0.25">
      <c r="A312" s="63" t="s">
        <v>519</v>
      </c>
      <c r="B312" s="63" t="s">
        <v>520</v>
      </c>
      <c r="C312" s="36">
        <v>4301011852</v>
      </c>
      <c r="D312" s="673">
        <v>4680115885844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8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522</v>
      </c>
      <c r="B313" s="63" t="s">
        <v>523</v>
      </c>
      <c r="C313" s="36">
        <v>4301011851</v>
      </c>
      <c r="D313" s="673">
        <v>4680115885820</v>
      </c>
      <c r="E313" s="673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8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81"/>
      <c r="B314" s="681"/>
      <c r="C314" s="681"/>
      <c r="D314" s="681"/>
      <c r="E314" s="681"/>
      <c r="F314" s="681"/>
      <c r="G314" s="681"/>
      <c r="H314" s="681"/>
      <c r="I314" s="681"/>
      <c r="J314" s="681"/>
      <c r="K314" s="681"/>
      <c r="L314" s="681"/>
      <c r="M314" s="681"/>
      <c r="N314" s="681"/>
      <c r="O314" s="682"/>
      <c r="P314" s="678" t="s">
        <v>40</v>
      </c>
      <c r="Q314" s="679"/>
      <c r="R314" s="679"/>
      <c r="S314" s="679"/>
      <c r="T314" s="679"/>
      <c r="U314" s="679"/>
      <c r="V314" s="680"/>
      <c r="W314" s="42" t="s">
        <v>39</v>
      </c>
      <c r="X314" s="43">
        <f>IFERROR(X309/H309,"0")+IFERROR(X310/H310,"0")+IFERROR(X311/H311,"0")+IFERROR(X312/H312,"0")+IFERROR(X313/H313,"0")</f>
        <v>20</v>
      </c>
      <c r="Y314" s="43">
        <f>IFERROR(Y309/H309,"0")+IFERROR(Y310/H310,"0")+IFERROR(Y311/H311,"0")+IFERROR(Y312/H312,"0")+IFERROR(Y313/H313,"0")</f>
        <v>20</v>
      </c>
      <c r="Z314" s="43">
        <f>IFERROR(IF(Z309="",0,Z309),"0")+IFERROR(IF(Z310="",0,Z310),"0")+IFERROR(IF(Z311="",0,Z311),"0")+IFERROR(IF(Z312="",0,Z312),"0")+IFERROR(IF(Z313="",0,Z313),"0")</f>
        <v>0.37959999999999999</v>
      </c>
      <c r="AA314" s="67"/>
      <c r="AB314" s="67"/>
      <c r="AC314" s="67"/>
    </row>
    <row r="315" spans="1:68" x14ac:dyDescent="0.2">
      <c r="A315" s="681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2"/>
      <c r="P315" s="678" t="s">
        <v>40</v>
      </c>
      <c r="Q315" s="679"/>
      <c r="R315" s="679"/>
      <c r="S315" s="679"/>
      <c r="T315" s="679"/>
      <c r="U315" s="679"/>
      <c r="V315" s="680"/>
      <c r="W315" s="42" t="s">
        <v>0</v>
      </c>
      <c r="X315" s="43">
        <f>IFERROR(SUM(X309:X313),"0")</f>
        <v>216</v>
      </c>
      <c r="Y315" s="43">
        <f>IFERROR(SUM(Y309:Y313),"0")</f>
        <v>216</v>
      </c>
      <c r="Z315" s="42"/>
      <c r="AA315" s="67"/>
      <c r="AB315" s="67"/>
      <c r="AC315" s="67"/>
    </row>
    <row r="316" spans="1:68" ht="16.5" customHeight="1" x14ac:dyDescent="0.25">
      <c r="A316" s="671" t="s">
        <v>525</v>
      </c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  <c r="AA316" s="65"/>
      <c r="AB316" s="65"/>
      <c r="AC316" s="79"/>
    </row>
    <row r="317" spans="1:68" ht="14.25" customHeight="1" x14ac:dyDescent="0.25">
      <c r="A317" s="672" t="s">
        <v>86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526</v>
      </c>
      <c r="B318" s="63" t="s">
        <v>527</v>
      </c>
      <c r="C318" s="36">
        <v>4301051893</v>
      </c>
      <c r="D318" s="673">
        <v>4680115886186</v>
      </c>
      <c r="E318" s="673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73">
        <v>4680115881228</v>
      </c>
      <c r="E319" s="673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83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5"/>
      <c r="R319" s="675"/>
      <c r="S319" s="675"/>
      <c r="T319" s="67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532</v>
      </c>
      <c r="B320" s="63" t="s">
        <v>533</v>
      </c>
      <c r="C320" s="36">
        <v>4301051388</v>
      </c>
      <c r="D320" s="673">
        <v>4680115881211</v>
      </c>
      <c r="E320" s="673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5"/>
      <c r="R320" s="675"/>
      <c r="S320" s="675"/>
      <c r="T320" s="67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81"/>
      <c r="B321" s="681"/>
      <c r="C321" s="681"/>
      <c r="D321" s="681"/>
      <c r="E321" s="681"/>
      <c r="F321" s="681"/>
      <c r="G321" s="681"/>
      <c r="H321" s="681"/>
      <c r="I321" s="681"/>
      <c r="J321" s="681"/>
      <c r="K321" s="681"/>
      <c r="L321" s="681"/>
      <c r="M321" s="681"/>
      <c r="N321" s="681"/>
      <c r="O321" s="682"/>
      <c r="P321" s="678" t="s">
        <v>40</v>
      </c>
      <c r="Q321" s="679"/>
      <c r="R321" s="679"/>
      <c r="S321" s="679"/>
      <c r="T321" s="679"/>
      <c r="U321" s="679"/>
      <c r="V321" s="680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81"/>
      <c r="B322" s="681"/>
      <c r="C322" s="681"/>
      <c r="D322" s="681"/>
      <c r="E322" s="681"/>
      <c r="F322" s="681"/>
      <c r="G322" s="681"/>
      <c r="H322" s="681"/>
      <c r="I322" s="681"/>
      <c r="J322" s="681"/>
      <c r="K322" s="681"/>
      <c r="L322" s="681"/>
      <c r="M322" s="681"/>
      <c r="N322" s="681"/>
      <c r="O322" s="682"/>
      <c r="P322" s="678" t="s">
        <v>40</v>
      </c>
      <c r="Q322" s="679"/>
      <c r="R322" s="679"/>
      <c r="S322" s="679"/>
      <c r="T322" s="679"/>
      <c r="U322" s="679"/>
      <c r="V322" s="680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6.5" customHeight="1" x14ac:dyDescent="0.25">
      <c r="A323" s="671" t="s">
        <v>534</v>
      </c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  <c r="AA323" s="65"/>
      <c r="AB323" s="65"/>
      <c r="AC323" s="79"/>
    </row>
    <row r="324" spans="1:68" ht="14.25" customHeight="1" x14ac:dyDescent="0.25">
      <c r="A324" s="672" t="s">
        <v>77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6"/>
      <c r="AB324" s="66"/>
      <c r="AC324" s="80"/>
    </row>
    <row r="325" spans="1:68" ht="27" customHeight="1" x14ac:dyDescent="0.25">
      <c r="A325" s="63" t="s">
        <v>535</v>
      </c>
      <c r="B325" s="63" t="s">
        <v>536</v>
      </c>
      <c r="C325" s="36">
        <v>4301031445</v>
      </c>
      <c r="D325" s="673">
        <v>4680115888319</v>
      </c>
      <c r="E325" s="673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5"/>
      <c r="R325" s="675"/>
      <c r="S325" s="675"/>
      <c r="T325" s="67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4301031502</v>
      </c>
      <c r="D326" s="673">
        <v>4680115884700</v>
      </c>
      <c r="E326" s="673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8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4301031307</v>
      </c>
      <c r="D327" s="673">
        <v>4680115880344</v>
      </c>
      <c r="E327" s="673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543</v>
      </c>
      <c r="B328" s="63" t="s">
        <v>544</v>
      </c>
      <c r="C328" s="36">
        <v>4301031501</v>
      </c>
      <c r="D328" s="673">
        <v>4680115886919</v>
      </c>
      <c r="E328" s="673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8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4301031246</v>
      </c>
      <c r="D329" s="673">
        <v>4680115883970</v>
      </c>
      <c r="E329" s="673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5"/>
      <c r="R329" s="675"/>
      <c r="S329" s="675"/>
      <c r="T329" s="67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81"/>
      <c r="B330" s="681"/>
      <c r="C330" s="681"/>
      <c r="D330" s="681"/>
      <c r="E330" s="681"/>
      <c r="F330" s="681"/>
      <c r="G330" s="681"/>
      <c r="H330" s="681"/>
      <c r="I330" s="681"/>
      <c r="J330" s="681"/>
      <c r="K330" s="681"/>
      <c r="L330" s="681"/>
      <c r="M330" s="681"/>
      <c r="N330" s="681"/>
      <c r="O330" s="682"/>
      <c r="P330" s="678" t="s">
        <v>40</v>
      </c>
      <c r="Q330" s="679"/>
      <c r="R330" s="679"/>
      <c r="S330" s="679"/>
      <c r="T330" s="679"/>
      <c r="U330" s="679"/>
      <c r="V330" s="680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81"/>
      <c r="B331" s="681"/>
      <c r="C331" s="681"/>
      <c r="D331" s="681"/>
      <c r="E331" s="681"/>
      <c r="F331" s="681"/>
      <c r="G331" s="681"/>
      <c r="H331" s="681"/>
      <c r="I331" s="681"/>
      <c r="J331" s="681"/>
      <c r="K331" s="681"/>
      <c r="L331" s="681"/>
      <c r="M331" s="681"/>
      <c r="N331" s="681"/>
      <c r="O331" s="682"/>
      <c r="P331" s="678" t="s">
        <v>40</v>
      </c>
      <c r="Q331" s="679"/>
      <c r="R331" s="679"/>
      <c r="S331" s="679"/>
      <c r="T331" s="679"/>
      <c r="U331" s="679"/>
      <c r="V331" s="680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customHeight="1" x14ac:dyDescent="0.25">
      <c r="A332" s="672" t="s">
        <v>86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37.5" customHeight="1" x14ac:dyDescent="0.25">
      <c r="A333" s="63" t="s">
        <v>549</v>
      </c>
      <c r="B333" s="63" t="s">
        <v>550</v>
      </c>
      <c r="C333" s="36">
        <v>4301051782</v>
      </c>
      <c r="D333" s="673">
        <v>4680115884618</v>
      </c>
      <c r="E333" s="673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552</v>
      </c>
      <c r="B334" s="63" t="s">
        <v>553</v>
      </c>
      <c r="C334" s="36">
        <v>4301052057</v>
      </c>
      <c r="D334" s="673">
        <v>4680115887114</v>
      </c>
      <c r="E334" s="673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8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81"/>
      <c r="B335" s="681"/>
      <c r="C335" s="681"/>
      <c r="D335" s="681"/>
      <c r="E335" s="681"/>
      <c r="F335" s="681"/>
      <c r="G335" s="681"/>
      <c r="H335" s="681"/>
      <c r="I335" s="681"/>
      <c r="J335" s="681"/>
      <c r="K335" s="681"/>
      <c r="L335" s="681"/>
      <c r="M335" s="681"/>
      <c r="N335" s="681"/>
      <c r="O335" s="682"/>
      <c r="P335" s="678" t="s">
        <v>40</v>
      </c>
      <c r="Q335" s="679"/>
      <c r="R335" s="679"/>
      <c r="S335" s="679"/>
      <c r="T335" s="679"/>
      <c r="U335" s="679"/>
      <c r="V335" s="680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x14ac:dyDescent="0.2">
      <c r="A336" s="681"/>
      <c r="B336" s="681"/>
      <c r="C336" s="681"/>
      <c r="D336" s="681"/>
      <c r="E336" s="681"/>
      <c r="F336" s="681"/>
      <c r="G336" s="681"/>
      <c r="H336" s="681"/>
      <c r="I336" s="681"/>
      <c r="J336" s="681"/>
      <c r="K336" s="681"/>
      <c r="L336" s="681"/>
      <c r="M336" s="681"/>
      <c r="N336" s="681"/>
      <c r="O336" s="682"/>
      <c r="P336" s="678" t="s">
        <v>40</v>
      </c>
      <c r="Q336" s="679"/>
      <c r="R336" s="679"/>
      <c r="S336" s="679"/>
      <c r="T336" s="679"/>
      <c r="U336" s="679"/>
      <c r="V336" s="680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customHeight="1" x14ac:dyDescent="0.25">
      <c r="A337" s="671" t="s">
        <v>555</v>
      </c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  <c r="AA337" s="65"/>
      <c r="AB337" s="65"/>
      <c r="AC337" s="79"/>
    </row>
    <row r="338" spans="1:68" ht="14.25" customHeight="1" x14ac:dyDescent="0.25">
      <c r="A338" s="672" t="s">
        <v>128</v>
      </c>
      <c r="B338" s="672"/>
      <c r="C338" s="672"/>
      <c r="D338" s="672"/>
      <c r="E338" s="672"/>
      <c r="F338" s="672"/>
      <c r="G338" s="672"/>
      <c r="H338" s="672"/>
      <c r="I338" s="672"/>
      <c r="J338" s="672"/>
      <c r="K338" s="672"/>
      <c r="L338" s="672"/>
      <c r="M338" s="672"/>
      <c r="N338" s="672"/>
      <c r="O338" s="672"/>
      <c r="P338" s="672"/>
      <c r="Q338" s="672"/>
      <c r="R338" s="672"/>
      <c r="S338" s="672"/>
      <c r="T338" s="672"/>
      <c r="U338" s="672"/>
      <c r="V338" s="672"/>
      <c r="W338" s="672"/>
      <c r="X338" s="672"/>
      <c r="Y338" s="672"/>
      <c r="Z338" s="672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4301012324</v>
      </c>
      <c r="D339" s="673">
        <v>4680115887947</v>
      </c>
      <c r="E339" s="673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8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5"/>
      <c r="R339" s="675"/>
      <c r="S339" s="675"/>
      <c r="T339" s="67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4301012325</v>
      </c>
      <c r="D340" s="673">
        <v>4680115887978</v>
      </c>
      <c r="E340" s="673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8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5"/>
      <c r="R340" s="675"/>
      <c r="S340" s="675"/>
      <c r="T340" s="67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4301012327</v>
      </c>
      <c r="D341" s="673">
        <v>4680115887992</v>
      </c>
      <c r="E341" s="673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8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5"/>
      <c r="R341" s="675"/>
      <c r="S341" s="675"/>
      <c r="T341" s="67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81"/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2"/>
      <c r="P342" s="678" t="s">
        <v>40</v>
      </c>
      <c r="Q342" s="679"/>
      <c r="R342" s="679"/>
      <c r="S342" s="679"/>
      <c r="T342" s="679"/>
      <c r="U342" s="679"/>
      <c r="V342" s="680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81"/>
      <c r="B343" s="681"/>
      <c r="C343" s="681"/>
      <c r="D343" s="681"/>
      <c r="E343" s="681"/>
      <c r="F343" s="681"/>
      <c r="G343" s="681"/>
      <c r="H343" s="681"/>
      <c r="I343" s="681"/>
      <c r="J343" s="681"/>
      <c r="K343" s="681"/>
      <c r="L343" s="681"/>
      <c r="M343" s="681"/>
      <c r="N343" s="681"/>
      <c r="O343" s="682"/>
      <c r="P343" s="678" t="s">
        <v>40</v>
      </c>
      <c r="Q343" s="679"/>
      <c r="R343" s="679"/>
      <c r="S343" s="679"/>
      <c r="T343" s="679"/>
      <c r="U343" s="679"/>
      <c r="V343" s="680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71" t="s">
        <v>565</v>
      </c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  <c r="AA344" s="65"/>
      <c r="AB344" s="65"/>
      <c r="AC344" s="79"/>
    </row>
    <row r="345" spans="1:68" ht="14.25" customHeight="1" x14ac:dyDescent="0.25">
      <c r="A345" s="672" t="s">
        <v>128</v>
      </c>
      <c r="B345" s="672"/>
      <c r="C345" s="672"/>
      <c r="D345" s="672"/>
      <c r="E345" s="672"/>
      <c r="F345" s="672"/>
      <c r="G345" s="672"/>
      <c r="H345" s="672"/>
      <c r="I345" s="672"/>
      <c r="J345" s="672"/>
      <c r="K345" s="672"/>
      <c r="L345" s="672"/>
      <c r="M345" s="672"/>
      <c r="N345" s="672"/>
      <c r="O345" s="672"/>
      <c r="P345" s="672"/>
      <c r="Q345" s="672"/>
      <c r="R345" s="672"/>
      <c r="S345" s="672"/>
      <c r="T345" s="672"/>
      <c r="U345" s="672"/>
      <c r="V345" s="672"/>
      <c r="W345" s="672"/>
      <c r="X345" s="672"/>
      <c r="Y345" s="672"/>
      <c r="Z345" s="672"/>
      <c r="AA345" s="66"/>
      <c r="AB345" s="66"/>
      <c r="AC345" s="80"/>
    </row>
    <row r="346" spans="1:68" ht="27" customHeight="1" x14ac:dyDescent="0.25">
      <c r="A346" s="63" t="s">
        <v>566</v>
      </c>
      <c r="B346" s="63" t="s">
        <v>567</v>
      </c>
      <c r="C346" s="36">
        <v>4301012126</v>
      </c>
      <c r="D346" s="673">
        <v>4607091386004</v>
      </c>
      <c r="E346" s="673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5"/>
      <c r="R346" s="675"/>
      <c r="S346" s="675"/>
      <c r="T346" s="676"/>
      <c r="U346" s="39" t="s">
        <v>46</v>
      </c>
      <c r="V346" s="39" t="s">
        <v>46</v>
      </c>
      <c r="W346" s="40" t="s">
        <v>0</v>
      </c>
      <c r="X346" s="58">
        <v>0</v>
      </c>
      <c r="Y346" s="55">
        <f t="shared" ref="Y346:Y351" si="47"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 t="shared" ref="BM346:BM351" si="48">IFERROR(X346*I346/H346,"0")</f>
        <v>0</v>
      </c>
      <c r="BN346" s="78">
        <f t="shared" ref="BN346:BN351" si="49">IFERROR(Y346*I346/H346,"0")</f>
        <v>0</v>
      </c>
      <c r="BO346" s="78">
        <f t="shared" ref="BO346:BO351" si="50">IFERROR(1/J346*(X346/H346),"0")</f>
        <v>0</v>
      </c>
      <c r="BP346" s="78">
        <f t="shared" ref="BP346:BP351" si="51">IFERROR(1/J346*(Y346/H346),"0")</f>
        <v>0</v>
      </c>
    </row>
    <row r="347" spans="1:68" ht="27" customHeight="1" x14ac:dyDescent="0.25">
      <c r="A347" s="63" t="s">
        <v>569</v>
      </c>
      <c r="B347" s="63" t="s">
        <v>570</v>
      </c>
      <c r="C347" s="36">
        <v>4301012235</v>
      </c>
      <c r="D347" s="673">
        <v>4680115887190</v>
      </c>
      <c r="E347" s="673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8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5"/>
      <c r="R347" s="675"/>
      <c r="S347" s="675"/>
      <c r="T347" s="676"/>
      <c r="U347" s="39" t="s">
        <v>46</v>
      </c>
      <c r="V347" s="39" t="s">
        <v>46</v>
      </c>
      <c r="W347" s="40" t="s">
        <v>0</v>
      </c>
      <c r="X347" s="58">
        <v>108</v>
      </c>
      <c r="Y347" s="55">
        <f t="shared" si="47"/>
        <v>108</v>
      </c>
      <c r="Z347" s="41">
        <f>IFERROR(IF(Y347=0,"",ROUNDUP(Y347/H347,0)*0.01898),"")</f>
        <v>0.1898</v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 t="shared" si="48"/>
        <v>112.1</v>
      </c>
      <c r="BN347" s="78">
        <f t="shared" si="49"/>
        <v>112.1</v>
      </c>
      <c r="BO347" s="78">
        <f t="shared" si="50"/>
        <v>0.15625</v>
      </c>
      <c r="BP347" s="78">
        <f t="shared" si="51"/>
        <v>0.15625</v>
      </c>
    </row>
    <row r="348" spans="1:68" ht="37.5" customHeight="1" x14ac:dyDescent="0.25">
      <c r="A348" s="63" t="s">
        <v>572</v>
      </c>
      <c r="B348" s="63" t="s">
        <v>573</v>
      </c>
      <c r="C348" s="36">
        <v>4301012233</v>
      </c>
      <c r="D348" s="673">
        <v>4680115887138</v>
      </c>
      <c r="E348" s="673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132</v>
      </c>
      <c r="N348" s="38"/>
      <c r="O348" s="37">
        <v>55</v>
      </c>
      <c r="P348" s="85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5"/>
      <c r="R348" s="675"/>
      <c r="S348" s="675"/>
      <c r="T348" s="676"/>
      <c r="U348" s="39" t="s">
        <v>46</v>
      </c>
      <c r="V348" s="39" t="s">
        <v>46</v>
      </c>
      <c r="W348" s="40" t="s">
        <v>0</v>
      </c>
      <c r="X348" s="58">
        <v>54</v>
      </c>
      <c r="Y348" s="55">
        <f t="shared" si="47"/>
        <v>54</v>
      </c>
      <c r="Z348" s="41">
        <f>IFERROR(IF(Y348=0,"",ROUNDUP(Y348/H348,0)*0.01898),"")</f>
        <v>9.4899999999999998E-2</v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 t="shared" si="48"/>
        <v>56.05</v>
      </c>
      <c r="BN348" s="78">
        <f t="shared" si="49"/>
        <v>56.05</v>
      </c>
      <c r="BO348" s="78">
        <f t="shared" si="50"/>
        <v>7.8125E-2</v>
      </c>
      <c r="BP348" s="78">
        <f t="shared" si="51"/>
        <v>7.8125E-2</v>
      </c>
    </row>
    <row r="349" spans="1:68" ht="27" customHeight="1" x14ac:dyDescent="0.25">
      <c r="A349" s="63" t="s">
        <v>575</v>
      </c>
      <c r="B349" s="63" t="s">
        <v>576</v>
      </c>
      <c r="C349" s="36">
        <v>4301012016</v>
      </c>
      <c r="D349" s="673">
        <v>4680115885554</v>
      </c>
      <c r="E349" s="67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90</v>
      </c>
      <c r="N349" s="38"/>
      <c r="O349" s="37">
        <v>55</v>
      </c>
      <c r="P349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si="47"/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577</v>
      </c>
      <c r="AG349" s="78"/>
      <c r="AJ349" s="84" t="s">
        <v>46</v>
      </c>
      <c r="AK349" s="84">
        <v>0</v>
      </c>
      <c r="BB349" s="431" t="s">
        <v>67</v>
      </c>
      <c r="BM349" s="78">
        <f t="shared" si="48"/>
        <v>0</v>
      </c>
      <c r="BN349" s="78">
        <f t="shared" si="49"/>
        <v>0</v>
      </c>
      <c r="BO349" s="78">
        <f t="shared" si="50"/>
        <v>0</v>
      </c>
      <c r="BP349" s="78">
        <f t="shared" si="51"/>
        <v>0</v>
      </c>
    </row>
    <row r="350" spans="1:68" ht="27" customHeight="1" x14ac:dyDescent="0.25">
      <c r="A350" s="63" t="s">
        <v>578</v>
      </c>
      <c r="B350" s="63" t="s">
        <v>579</v>
      </c>
      <c r="C350" s="36">
        <v>4301012236</v>
      </c>
      <c r="D350" s="673">
        <v>4680115887220</v>
      </c>
      <c r="E350" s="673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571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27" customHeight="1" x14ac:dyDescent="0.25">
      <c r="A351" s="63" t="s">
        <v>580</v>
      </c>
      <c r="B351" s="63" t="s">
        <v>581</v>
      </c>
      <c r="C351" s="36">
        <v>4301011859</v>
      </c>
      <c r="D351" s="673">
        <v>4680115885608</v>
      </c>
      <c r="E351" s="673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140</v>
      </c>
      <c r="L351" s="37" t="s">
        <v>46</v>
      </c>
      <c r="M351" s="38" t="s">
        <v>132</v>
      </c>
      <c r="N351" s="38"/>
      <c r="O351" s="37">
        <v>55</v>
      </c>
      <c r="P351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34" t="s">
        <v>582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x14ac:dyDescent="0.2">
      <c r="A352" s="681"/>
      <c r="B352" s="681"/>
      <c r="C352" s="681"/>
      <c r="D352" s="681"/>
      <c r="E352" s="681"/>
      <c r="F352" s="681"/>
      <c r="G352" s="681"/>
      <c r="H352" s="681"/>
      <c r="I352" s="681"/>
      <c r="J352" s="681"/>
      <c r="K352" s="681"/>
      <c r="L352" s="681"/>
      <c r="M352" s="681"/>
      <c r="N352" s="681"/>
      <c r="O352" s="682"/>
      <c r="P352" s="678" t="s">
        <v>40</v>
      </c>
      <c r="Q352" s="679"/>
      <c r="R352" s="679"/>
      <c r="S352" s="679"/>
      <c r="T352" s="679"/>
      <c r="U352" s="679"/>
      <c r="V352" s="680"/>
      <c r="W352" s="42" t="s">
        <v>39</v>
      </c>
      <c r="X352" s="43">
        <f>IFERROR(X346/H346,"0")+IFERROR(X347/H347,"0")+IFERROR(X348/H348,"0")+IFERROR(X349/H349,"0")+IFERROR(X350/H350,"0")+IFERROR(X351/H351,"0")</f>
        <v>15</v>
      </c>
      <c r="Y352" s="43">
        <f>IFERROR(Y346/H346,"0")+IFERROR(Y347/H347,"0")+IFERROR(Y348/H348,"0")+IFERROR(Y349/H349,"0")+IFERROR(Y350/H350,"0")+IFERROR(Y351/H351,"0")</f>
        <v>15</v>
      </c>
      <c r="Z352" s="43">
        <f>IFERROR(IF(Z346="",0,Z346),"0")+IFERROR(IF(Z347="",0,Z347),"0")+IFERROR(IF(Z348="",0,Z348),"0")+IFERROR(IF(Z349="",0,Z349),"0")+IFERROR(IF(Z350="",0,Z350),"0")+IFERROR(IF(Z351="",0,Z351),"0")</f>
        <v>0.28470000000000001</v>
      </c>
      <c r="AA352" s="67"/>
      <c r="AB352" s="67"/>
      <c r="AC352" s="67"/>
    </row>
    <row r="353" spans="1:68" x14ac:dyDescent="0.2">
      <c r="A353" s="681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2"/>
      <c r="P353" s="678" t="s">
        <v>40</v>
      </c>
      <c r="Q353" s="679"/>
      <c r="R353" s="679"/>
      <c r="S353" s="679"/>
      <c r="T353" s="679"/>
      <c r="U353" s="679"/>
      <c r="V353" s="680"/>
      <c r="W353" s="42" t="s">
        <v>0</v>
      </c>
      <c r="X353" s="43">
        <f>IFERROR(SUM(X346:X351),"0")</f>
        <v>162</v>
      </c>
      <c r="Y353" s="43">
        <f>IFERROR(SUM(Y346:Y351),"0")</f>
        <v>162</v>
      </c>
      <c r="Z353" s="42"/>
      <c r="AA353" s="67"/>
      <c r="AB353" s="67"/>
      <c r="AC353" s="67"/>
    </row>
    <row r="354" spans="1:68" ht="14.25" customHeight="1" x14ac:dyDescent="0.25">
      <c r="A354" s="672" t="s">
        <v>77</v>
      </c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72"/>
      <c r="P354" s="672"/>
      <c r="Q354" s="672"/>
      <c r="R354" s="672"/>
      <c r="S354" s="672"/>
      <c r="T354" s="672"/>
      <c r="U354" s="672"/>
      <c r="V354" s="672"/>
      <c r="W354" s="672"/>
      <c r="X354" s="672"/>
      <c r="Y354" s="672"/>
      <c r="Z354" s="672"/>
      <c r="AA354" s="66"/>
      <c r="AB354" s="66"/>
      <c r="AC354" s="80"/>
    </row>
    <row r="355" spans="1:68" ht="27" customHeight="1" x14ac:dyDescent="0.25">
      <c r="A355" s="63" t="s">
        <v>583</v>
      </c>
      <c r="B355" s="63" t="s">
        <v>584</v>
      </c>
      <c r="C355" s="36">
        <v>4301030878</v>
      </c>
      <c r="D355" s="673">
        <v>4607091387193</v>
      </c>
      <c r="E355" s="673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35</v>
      </c>
      <c r="P355" s="8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5"/>
      <c r="R355" s="675"/>
      <c r="S355" s="675"/>
      <c r="T355" s="676"/>
      <c r="U355" s="39" t="s">
        <v>46</v>
      </c>
      <c r="V355" s="39" t="s">
        <v>46</v>
      </c>
      <c r="W355" s="40" t="s">
        <v>0</v>
      </c>
      <c r="X355" s="58">
        <v>63</v>
      </c>
      <c r="Y355" s="55">
        <f t="shared" ref="Y355:Y361" si="52">IFERROR(IF(X355="",0,CEILING((X355/$H355),1)*$H355),"")</f>
        <v>63</v>
      </c>
      <c r="Z355" s="41">
        <f>IFERROR(IF(Y355=0,"",ROUNDUP(Y355/H355,0)*0.00902),"")</f>
        <v>0.1353</v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ref="BM355:BM361" si="53">IFERROR(X355*I355/H355,"0")</f>
        <v>66.75</v>
      </c>
      <c r="BN355" s="78">
        <f t="shared" ref="BN355:BN361" si="54">IFERROR(Y355*I355/H355,"0")</f>
        <v>66.75</v>
      </c>
      <c r="BO355" s="78">
        <f t="shared" ref="BO355:BO361" si="55">IFERROR(1/J355*(X355/H355),"0")</f>
        <v>0.11363636363636365</v>
      </c>
      <c r="BP355" s="78">
        <f t="shared" ref="BP355:BP361" si="56">IFERROR(1/J355*(Y355/H355),"0")</f>
        <v>0.11363636363636365</v>
      </c>
    </row>
    <row r="356" spans="1:68" ht="27" customHeight="1" x14ac:dyDescent="0.25">
      <c r="A356" s="63" t="s">
        <v>586</v>
      </c>
      <c r="B356" s="63" t="s">
        <v>587</v>
      </c>
      <c r="C356" s="36">
        <v>4301031153</v>
      </c>
      <c r="D356" s="673">
        <v>4607091387230</v>
      </c>
      <c r="E356" s="673"/>
      <c r="F356" s="62">
        <v>0.7</v>
      </c>
      <c r="G356" s="37">
        <v>6</v>
      </c>
      <c r="H356" s="62">
        <v>4.2</v>
      </c>
      <c r="I356" s="62">
        <v>4.45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40</v>
      </c>
      <c r="P356" s="85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5"/>
      <c r="R356" s="675"/>
      <c r="S356" s="675"/>
      <c r="T356" s="676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2"/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53"/>
        <v>0</v>
      </c>
      <c r="BN356" s="78">
        <f t="shared" si="54"/>
        <v>0</v>
      </c>
      <c r="BO356" s="78">
        <f t="shared" si="55"/>
        <v>0</v>
      </c>
      <c r="BP356" s="78">
        <f t="shared" si="56"/>
        <v>0</v>
      </c>
    </row>
    <row r="357" spans="1:68" ht="27" customHeight="1" x14ac:dyDescent="0.25">
      <c r="A357" s="63" t="s">
        <v>589</v>
      </c>
      <c r="B357" s="63" t="s">
        <v>590</v>
      </c>
      <c r="C357" s="36">
        <v>4301031154</v>
      </c>
      <c r="D357" s="673">
        <v>4607091387292</v>
      </c>
      <c r="E357" s="673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45</v>
      </c>
      <c r="P357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591</v>
      </c>
      <c r="AG357" s="78"/>
      <c r="AJ357" s="84" t="s">
        <v>46</v>
      </c>
      <c r="AK357" s="84">
        <v>0</v>
      </c>
      <c r="BB357" s="441" t="s">
        <v>67</v>
      </c>
      <c r="BM357" s="78">
        <f t="shared" si="53"/>
        <v>0</v>
      </c>
      <c r="BN357" s="78">
        <f t="shared" si="54"/>
        <v>0</v>
      </c>
      <c r="BO357" s="78">
        <f t="shared" si="55"/>
        <v>0</v>
      </c>
      <c r="BP357" s="78">
        <f t="shared" si="56"/>
        <v>0</v>
      </c>
    </row>
    <row r="358" spans="1:68" ht="27" customHeight="1" x14ac:dyDescent="0.25">
      <c r="A358" s="63" t="s">
        <v>592</v>
      </c>
      <c r="B358" s="63" t="s">
        <v>593</v>
      </c>
      <c r="C358" s="36">
        <v>4301031152</v>
      </c>
      <c r="D358" s="673">
        <v>4607091387285</v>
      </c>
      <c r="E358" s="673"/>
      <c r="F358" s="62">
        <v>0.35</v>
      </c>
      <c r="G358" s="37">
        <v>6</v>
      </c>
      <c r="H358" s="62">
        <v>2.1</v>
      </c>
      <c r="I358" s="62">
        <v>2.23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8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2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588</v>
      </c>
      <c r="AG358" s="78"/>
      <c r="AJ358" s="84" t="s">
        <v>46</v>
      </c>
      <c r="AK358" s="84">
        <v>0</v>
      </c>
      <c r="BB358" s="443" t="s">
        <v>67</v>
      </c>
      <c r="BM358" s="78">
        <f t="shared" si="53"/>
        <v>0</v>
      </c>
      <c r="BN358" s="78">
        <f t="shared" si="54"/>
        <v>0</v>
      </c>
      <c r="BO358" s="78">
        <f t="shared" si="55"/>
        <v>0</v>
      </c>
      <c r="BP358" s="78">
        <f t="shared" si="56"/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4301031305</v>
      </c>
      <c r="D359" s="673">
        <v>4607091389845</v>
      </c>
      <c r="E359" s="673"/>
      <c r="F359" s="62">
        <v>0.35</v>
      </c>
      <c r="G359" s="37">
        <v>6</v>
      </c>
      <c r="H359" s="62">
        <v>2.1</v>
      </c>
      <c r="I359" s="62">
        <v>2.2000000000000002</v>
      </c>
      <c r="J359" s="37">
        <v>234</v>
      </c>
      <c r="K359" s="37" t="s">
        <v>82</v>
      </c>
      <c r="L359" s="37" t="s">
        <v>46</v>
      </c>
      <c r="M359" s="38" t="s">
        <v>81</v>
      </c>
      <c r="N359" s="38"/>
      <c r="O359" s="37">
        <v>40</v>
      </c>
      <c r="P359" s="86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5"/>
      <c r="R359" s="675"/>
      <c r="S359" s="675"/>
      <c r="T359" s="67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IFERROR(IF(Y359=0,"",ROUNDUP(Y359/H359,0)*0.00502),"")</f>
        <v/>
      </c>
      <c r="AA359" s="68" t="s">
        <v>46</v>
      </c>
      <c r="AB359" s="69" t="s">
        <v>46</v>
      </c>
      <c r="AC359" s="444" t="s">
        <v>596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597</v>
      </c>
      <c r="B360" s="63" t="s">
        <v>598</v>
      </c>
      <c r="C360" s="36">
        <v>4301031460</v>
      </c>
      <c r="D360" s="673">
        <v>4680115887442</v>
      </c>
      <c r="E360" s="67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5"/>
      <c r="R360" s="675"/>
      <c r="S360" s="675"/>
      <c r="T360" s="67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591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4301031066</v>
      </c>
      <c r="D361" s="673">
        <v>4607091383836</v>
      </c>
      <c r="E361" s="673"/>
      <c r="F361" s="62">
        <v>0.3</v>
      </c>
      <c r="G361" s="37">
        <v>6</v>
      </c>
      <c r="H361" s="62">
        <v>1.8</v>
      </c>
      <c r="I361" s="62">
        <v>2.028</v>
      </c>
      <c r="J361" s="37">
        <v>182</v>
      </c>
      <c r="K361" s="37" t="s">
        <v>91</v>
      </c>
      <c r="L361" s="37" t="s">
        <v>46</v>
      </c>
      <c r="M361" s="38" t="s">
        <v>81</v>
      </c>
      <c r="N361" s="38"/>
      <c r="O361" s="37">
        <v>40</v>
      </c>
      <c r="P361" s="86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5"/>
      <c r="R361" s="675"/>
      <c r="S361" s="675"/>
      <c r="T361" s="67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IFERROR(IF(Y361=0,"",ROUNDUP(Y361/H361,0)*0.00651),"")</f>
        <v/>
      </c>
      <c r="AA361" s="68" t="s">
        <v>46</v>
      </c>
      <c r="AB361" s="69" t="s">
        <v>46</v>
      </c>
      <c r="AC361" s="448" t="s">
        <v>601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x14ac:dyDescent="0.2">
      <c r="A362" s="681"/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2"/>
      <c r="P362" s="678" t="s">
        <v>40</v>
      </c>
      <c r="Q362" s="679"/>
      <c r="R362" s="679"/>
      <c r="S362" s="679"/>
      <c r="T362" s="679"/>
      <c r="U362" s="679"/>
      <c r="V362" s="680"/>
      <c r="W362" s="42" t="s">
        <v>39</v>
      </c>
      <c r="X362" s="43">
        <f>IFERROR(X355/H355,"0")+IFERROR(X356/H356,"0")+IFERROR(X357/H357,"0")+IFERROR(X358/H358,"0")+IFERROR(X359/H359,"0")+IFERROR(X360/H360,"0")+IFERROR(X361/H361,"0")</f>
        <v>15</v>
      </c>
      <c r="Y362" s="43">
        <f>IFERROR(Y355/H355,"0")+IFERROR(Y356/H356,"0")+IFERROR(Y357/H357,"0")+IFERROR(Y358/H358,"0")+IFERROR(Y359/H359,"0")+IFERROR(Y360/H360,"0")+IFERROR(Y361/H361,"0")</f>
        <v>15</v>
      </c>
      <c r="Z362" s="43">
        <f>IFERROR(IF(Z355="",0,Z355),"0")+IFERROR(IF(Z356="",0,Z356),"0")+IFERROR(IF(Z357="",0,Z357),"0")+IFERROR(IF(Z358="",0,Z358),"0")+IFERROR(IF(Z359="",0,Z359),"0")+IFERROR(IF(Z360="",0,Z360),"0")+IFERROR(IF(Z361="",0,Z361),"0")</f>
        <v>0.1353</v>
      </c>
      <c r="AA362" s="67"/>
      <c r="AB362" s="67"/>
      <c r="AC362" s="67"/>
    </row>
    <row r="363" spans="1:68" x14ac:dyDescent="0.2">
      <c r="A363" s="681"/>
      <c r="B363" s="681"/>
      <c r="C363" s="681"/>
      <c r="D363" s="681"/>
      <c r="E363" s="681"/>
      <c r="F363" s="681"/>
      <c r="G363" s="681"/>
      <c r="H363" s="681"/>
      <c r="I363" s="681"/>
      <c r="J363" s="681"/>
      <c r="K363" s="681"/>
      <c r="L363" s="681"/>
      <c r="M363" s="681"/>
      <c r="N363" s="681"/>
      <c r="O363" s="682"/>
      <c r="P363" s="678" t="s">
        <v>40</v>
      </c>
      <c r="Q363" s="679"/>
      <c r="R363" s="679"/>
      <c r="S363" s="679"/>
      <c r="T363" s="679"/>
      <c r="U363" s="679"/>
      <c r="V363" s="680"/>
      <c r="W363" s="42" t="s">
        <v>0</v>
      </c>
      <c r="X363" s="43">
        <f>IFERROR(SUM(X355:X361),"0")</f>
        <v>63</v>
      </c>
      <c r="Y363" s="43">
        <f>IFERROR(SUM(Y355:Y361),"0")</f>
        <v>63</v>
      </c>
      <c r="Z363" s="42"/>
      <c r="AA363" s="67"/>
      <c r="AB363" s="67"/>
      <c r="AC363" s="67"/>
    </row>
    <row r="364" spans="1:68" ht="14.25" customHeight="1" x14ac:dyDescent="0.25">
      <c r="A364" s="672" t="s">
        <v>86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6"/>
      <c r="AB364" s="66"/>
      <c r="AC364" s="80"/>
    </row>
    <row r="365" spans="1:68" ht="27" customHeight="1" x14ac:dyDescent="0.25">
      <c r="A365" s="63" t="s">
        <v>602</v>
      </c>
      <c r="B365" s="63" t="s">
        <v>603</v>
      </c>
      <c r="C365" s="36">
        <v>4301051100</v>
      </c>
      <c r="D365" s="673">
        <v>4607091387766</v>
      </c>
      <c r="E365" s="673"/>
      <c r="F365" s="62">
        <v>1.3</v>
      </c>
      <c r="G365" s="37">
        <v>6</v>
      </c>
      <c r="H365" s="62">
        <v>7.8</v>
      </c>
      <c r="I365" s="62">
        <v>8.2880000000000003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1497.6</v>
      </c>
      <c r="Y365" s="55">
        <f>IFERROR(IF(X365="",0,CEILING((X365/$H365),1)*$H365),"")</f>
        <v>1497.6</v>
      </c>
      <c r="Z365" s="41">
        <f>IFERROR(IF(Y365=0,"",ROUNDUP(Y365/H365,0)*0.01898),"")</f>
        <v>3.6441600000000003</v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1591.296</v>
      </c>
      <c r="BN365" s="78">
        <f>IFERROR(Y365*I365/H365,"0")</f>
        <v>1591.296</v>
      </c>
      <c r="BO365" s="78">
        <f>IFERROR(1/J365*(X365/H365),"0")</f>
        <v>3</v>
      </c>
      <c r="BP365" s="78">
        <f>IFERROR(1/J365*(Y365/H365),"0")</f>
        <v>3</v>
      </c>
    </row>
    <row r="366" spans="1:68" ht="27" customHeight="1" x14ac:dyDescent="0.25">
      <c r="A366" s="63" t="s">
        <v>605</v>
      </c>
      <c r="B366" s="63" t="s">
        <v>606</v>
      </c>
      <c r="C366" s="36">
        <v>4301051818</v>
      </c>
      <c r="D366" s="673">
        <v>4607091387957</v>
      </c>
      <c r="E366" s="673"/>
      <c r="F366" s="62">
        <v>1.3</v>
      </c>
      <c r="G366" s="37">
        <v>6</v>
      </c>
      <c r="H366" s="62">
        <v>7.8</v>
      </c>
      <c r="I366" s="62">
        <v>8.2940000000000005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5"/>
      <c r="R366" s="675"/>
      <c r="S366" s="675"/>
      <c r="T366" s="67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608</v>
      </c>
      <c r="B367" s="63" t="s">
        <v>609</v>
      </c>
      <c r="C367" s="36">
        <v>4301051819</v>
      </c>
      <c r="D367" s="673">
        <v>4607091387964</v>
      </c>
      <c r="E367" s="673"/>
      <c r="F367" s="62">
        <v>1.35</v>
      </c>
      <c r="G367" s="37">
        <v>6</v>
      </c>
      <c r="H367" s="62">
        <v>8.1</v>
      </c>
      <c r="I367" s="62">
        <v>8.5760000000000005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5"/>
      <c r="R367" s="675"/>
      <c r="S367" s="675"/>
      <c r="T367" s="67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610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4301051734</v>
      </c>
      <c r="D368" s="673">
        <v>4680115884588</v>
      </c>
      <c r="E368" s="673"/>
      <c r="F368" s="62">
        <v>0.5</v>
      </c>
      <c r="G368" s="37">
        <v>6</v>
      </c>
      <c r="H368" s="62">
        <v>3</v>
      </c>
      <c r="I368" s="62">
        <v>3.246</v>
      </c>
      <c r="J368" s="37">
        <v>182</v>
      </c>
      <c r="K368" s="37" t="s">
        <v>91</v>
      </c>
      <c r="L368" s="37" t="s">
        <v>46</v>
      </c>
      <c r="M368" s="38" t="s">
        <v>90</v>
      </c>
      <c r="N368" s="38"/>
      <c r="O368" s="37">
        <v>40</v>
      </c>
      <c r="P368" s="8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5"/>
      <c r="R368" s="675"/>
      <c r="S368" s="675"/>
      <c r="T368" s="67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56" t="s">
        <v>604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81"/>
      <c r="B369" s="681"/>
      <c r="C369" s="681"/>
      <c r="D369" s="681"/>
      <c r="E369" s="681"/>
      <c r="F369" s="681"/>
      <c r="G369" s="681"/>
      <c r="H369" s="681"/>
      <c r="I369" s="681"/>
      <c r="J369" s="681"/>
      <c r="K369" s="681"/>
      <c r="L369" s="681"/>
      <c r="M369" s="681"/>
      <c r="N369" s="681"/>
      <c r="O369" s="682"/>
      <c r="P369" s="678" t="s">
        <v>40</v>
      </c>
      <c r="Q369" s="679"/>
      <c r="R369" s="679"/>
      <c r="S369" s="679"/>
      <c r="T369" s="679"/>
      <c r="U369" s="679"/>
      <c r="V369" s="680"/>
      <c r="W369" s="42" t="s">
        <v>39</v>
      </c>
      <c r="X369" s="43">
        <f>IFERROR(X365/H365,"0")+IFERROR(X366/H366,"0")+IFERROR(X367/H367,"0")+IFERROR(X368/H368,"0")</f>
        <v>192</v>
      </c>
      <c r="Y369" s="43">
        <f>IFERROR(Y365/H365,"0")+IFERROR(Y366/H366,"0")+IFERROR(Y367/H367,"0")+IFERROR(Y368/H368,"0")</f>
        <v>192</v>
      </c>
      <c r="Z369" s="43">
        <f>IFERROR(IF(Z365="",0,Z365),"0")+IFERROR(IF(Z366="",0,Z366),"0")+IFERROR(IF(Z367="",0,Z367),"0")+IFERROR(IF(Z368="",0,Z368),"0")</f>
        <v>3.6441600000000003</v>
      </c>
      <c r="AA369" s="67"/>
      <c r="AB369" s="67"/>
      <c r="AC369" s="67"/>
    </row>
    <row r="370" spans="1:68" x14ac:dyDescent="0.2">
      <c r="A370" s="681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2"/>
      <c r="P370" s="678" t="s">
        <v>40</v>
      </c>
      <c r="Q370" s="679"/>
      <c r="R370" s="679"/>
      <c r="S370" s="679"/>
      <c r="T370" s="679"/>
      <c r="U370" s="679"/>
      <c r="V370" s="680"/>
      <c r="W370" s="42" t="s">
        <v>0</v>
      </c>
      <c r="X370" s="43">
        <f>IFERROR(SUM(X365:X368),"0")</f>
        <v>1497.6</v>
      </c>
      <c r="Y370" s="43">
        <f>IFERROR(SUM(Y365:Y368),"0")</f>
        <v>1497.6</v>
      </c>
      <c r="Z370" s="42"/>
      <c r="AA370" s="67"/>
      <c r="AB370" s="67"/>
      <c r="AC370" s="67"/>
    </row>
    <row r="371" spans="1:68" ht="14.25" customHeight="1" x14ac:dyDescent="0.25">
      <c r="A371" s="672" t="s">
        <v>180</v>
      </c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72"/>
      <c r="P371" s="672"/>
      <c r="Q371" s="672"/>
      <c r="R371" s="672"/>
      <c r="S371" s="672"/>
      <c r="T371" s="672"/>
      <c r="U371" s="672"/>
      <c r="V371" s="672"/>
      <c r="W371" s="672"/>
      <c r="X371" s="672"/>
      <c r="Y371" s="672"/>
      <c r="Z371" s="672"/>
      <c r="AA371" s="66"/>
      <c r="AB371" s="66"/>
      <c r="AC371" s="80"/>
    </row>
    <row r="372" spans="1:68" ht="27" customHeight="1" x14ac:dyDescent="0.25">
      <c r="A372" s="63" t="s">
        <v>613</v>
      </c>
      <c r="B372" s="63" t="s">
        <v>614</v>
      </c>
      <c r="C372" s="36">
        <v>4301060387</v>
      </c>
      <c r="D372" s="673">
        <v>4607091380880</v>
      </c>
      <c r="E372" s="673"/>
      <c r="F372" s="62">
        <v>1.4</v>
      </c>
      <c r="G372" s="37">
        <v>6</v>
      </c>
      <c r="H372" s="62">
        <v>8.4</v>
      </c>
      <c r="I372" s="62">
        <v>8.8940000000000001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8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616</v>
      </c>
      <c r="B373" s="63" t="s">
        <v>617</v>
      </c>
      <c r="C373" s="36">
        <v>4301060406</v>
      </c>
      <c r="D373" s="673">
        <v>4607091384482</v>
      </c>
      <c r="E373" s="673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30</v>
      </c>
      <c r="P373" s="8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78</v>
      </c>
      <c r="Y373" s="55">
        <f>IFERROR(IF(X373="",0,CEILING((X373/$H373),1)*$H373),"")</f>
        <v>78</v>
      </c>
      <c r="Z373" s="41">
        <f>IFERROR(IF(Y373=0,"",ROUNDUP(Y373/H373,0)*0.01898),"")</f>
        <v>0.1898</v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82.94</v>
      </c>
      <c r="BN373" s="78">
        <f>IFERROR(Y373*I373/H373,"0")</f>
        <v>82.94</v>
      </c>
      <c r="BO373" s="78">
        <f>IFERROR(1/J373*(X373/H373),"0")</f>
        <v>0.15625</v>
      </c>
      <c r="BP373" s="78">
        <f>IFERROR(1/J373*(Y373/H373),"0")</f>
        <v>0.15625</v>
      </c>
    </row>
    <row r="374" spans="1:68" ht="16.5" customHeight="1" x14ac:dyDescent="0.25">
      <c r="A374" s="63" t="s">
        <v>619</v>
      </c>
      <c r="B374" s="63" t="s">
        <v>620</v>
      </c>
      <c r="C374" s="36">
        <v>4301060484</v>
      </c>
      <c r="D374" s="673">
        <v>4607091380897</v>
      </c>
      <c r="E374" s="673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97</v>
      </c>
      <c r="N374" s="38"/>
      <c r="O374" s="37">
        <v>30</v>
      </c>
      <c r="P374" s="8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2" t="s">
        <v>621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81"/>
      <c r="B375" s="681"/>
      <c r="C375" s="681"/>
      <c r="D375" s="681"/>
      <c r="E375" s="681"/>
      <c r="F375" s="681"/>
      <c r="G375" s="681"/>
      <c r="H375" s="681"/>
      <c r="I375" s="681"/>
      <c r="J375" s="681"/>
      <c r="K375" s="681"/>
      <c r="L375" s="681"/>
      <c r="M375" s="681"/>
      <c r="N375" s="681"/>
      <c r="O375" s="682"/>
      <c r="P375" s="678" t="s">
        <v>40</v>
      </c>
      <c r="Q375" s="679"/>
      <c r="R375" s="679"/>
      <c r="S375" s="679"/>
      <c r="T375" s="679"/>
      <c r="U375" s="679"/>
      <c r="V375" s="680"/>
      <c r="W375" s="42" t="s">
        <v>39</v>
      </c>
      <c r="X375" s="43">
        <f>IFERROR(X372/H372,"0")+IFERROR(X373/H373,"0")+IFERROR(X374/H374,"0")</f>
        <v>10</v>
      </c>
      <c r="Y375" s="43">
        <f>IFERROR(Y372/H372,"0")+IFERROR(Y373/H373,"0")+IFERROR(Y374/H374,"0")</f>
        <v>10</v>
      </c>
      <c r="Z375" s="43">
        <f>IFERROR(IF(Z372="",0,Z372),"0")+IFERROR(IF(Z373="",0,Z373),"0")+IFERROR(IF(Z374="",0,Z374),"0")</f>
        <v>0.1898</v>
      </c>
      <c r="AA375" s="67"/>
      <c r="AB375" s="67"/>
      <c r="AC375" s="67"/>
    </row>
    <row r="376" spans="1:68" x14ac:dyDescent="0.2">
      <c r="A376" s="681"/>
      <c r="B376" s="681"/>
      <c r="C376" s="681"/>
      <c r="D376" s="681"/>
      <c r="E376" s="681"/>
      <c r="F376" s="681"/>
      <c r="G376" s="681"/>
      <c r="H376" s="681"/>
      <c r="I376" s="681"/>
      <c r="J376" s="681"/>
      <c r="K376" s="681"/>
      <c r="L376" s="681"/>
      <c r="M376" s="681"/>
      <c r="N376" s="681"/>
      <c r="O376" s="682"/>
      <c r="P376" s="678" t="s">
        <v>40</v>
      </c>
      <c r="Q376" s="679"/>
      <c r="R376" s="679"/>
      <c r="S376" s="679"/>
      <c r="T376" s="679"/>
      <c r="U376" s="679"/>
      <c r="V376" s="680"/>
      <c r="W376" s="42" t="s">
        <v>0</v>
      </c>
      <c r="X376" s="43">
        <f>IFERROR(SUM(X372:X374),"0")</f>
        <v>78</v>
      </c>
      <c r="Y376" s="43">
        <f>IFERROR(SUM(Y372:Y374),"0")</f>
        <v>78</v>
      </c>
      <c r="Z376" s="42"/>
      <c r="AA376" s="67"/>
      <c r="AB376" s="67"/>
      <c r="AC376" s="67"/>
    </row>
    <row r="377" spans="1:68" ht="14.25" customHeight="1" x14ac:dyDescent="0.25">
      <c r="A377" s="672" t="s">
        <v>107</v>
      </c>
      <c r="B377" s="672"/>
      <c r="C377" s="672"/>
      <c r="D377" s="672"/>
      <c r="E377" s="672"/>
      <c r="F377" s="672"/>
      <c r="G377" s="672"/>
      <c r="H377" s="672"/>
      <c r="I377" s="672"/>
      <c r="J377" s="672"/>
      <c r="K377" s="672"/>
      <c r="L377" s="672"/>
      <c r="M377" s="672"/>
      <c r="N377" s="672"/>
      <c r="O377" s="672"/>
      <c r="P377" s="672"/>
      <c r="Q377" s="672"/>
      <c r="R377" s="672"/>
      <c r="S377" s="672"/>
      <c r="T377" s="672"/>
      <c r="U377" s="672"/>
      <c r="V377" s="672"/>
      <c r="W377" s="672"/>
      <c r="X377" s="672"/>
      <c r="Y377" s="672"/>
      <c r="Z377" s="672"/>
      <c r="AA377" s="66"/>
      <c r="AB377" s="66"/>
      <c r="AC377" s="80"/>
    </row>
    <row r="378" spans="1:68" ht="27" customHeight="1" x14ac:dyDescent="0.25">
      <c r="A378" s="63" t="s">
        <v>622</v>
      </c>
      <c r="B378" s="63" t="s">
        <v>623</v>
      </c>
      <c r="C378" s="36">
        <v>4301030235</v>
      </c>
      <c r="D378" s="673">
        <v>4607091388381</v>
      </c>
      <c r="E378" s="673"/>
      <c r="F378" s="62">
        <v>0.38</v>
      </c>
      <c r="G378" s="37">
        <v>8</v>
      </c>
      <c r="H378" s="62">
        <v>3.04</v>
      </c>
      <c r="I378" s="62">
        <v>3.31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8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5"/>
      <c r="R378" s="675"/>
      <c r="S378" s="675"/>
      <c r="T378" s="67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624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625</v>
      </c>
      <c r="B379" s="63" t="s">
        <v>626</v>
      </c>
      <c r="C379" s="36">
        <v>4301030232</v>
      </c>
      <c r="D379" s="673">
        <v>4607091388374</v>
      </c>
      <c r="E379" s="673"/>
      <c r="F379" s="62">
        <v>0.38</v>
      </c>
      <c r="G379" s="37">
        <v>8</v>
      </c>
      <c r="H379" s="62">
        <v>3.04</v>
      </c>
      <c r="I379" s="62">
        <v>3.27</v>
      </c>
      <c r="J379" s="37">
        <v>132</v>
      </c>
      <c r="K379" s="37" t="s">
        <v>140</v>
      </c>
      <c r="L379" s="37" t="s">
        <v>46</v>
      </c>
      <c r="M379" s="38" t="s">
        <v>112</v>
      </c>
      <c r="N379" s="38"/>
      <c r="O379" s="37">
        <v>180</v>
      </c>
      <c r="P379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6" t="s">
        <v>624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627</v>
      </c>
      <c r="B380" s="63" t="s">
        <v>628</v>
      </c>
      <c r="C380" s="36">
        <v>4301032015</v>
      </c>
      <c r="D380" s="673">
        <v>4607091383102</v>
      </c>
      <c r="E380" s="673"/>
      <c r="F380" s="62">
        <v>0.17</v>
      </c>
      <c r="G380" s="37">
        <v>15</v>
      </c>
      <c r="H380" s="62">
        <v>2.5499999999999998</v>
      </c>
      <c r="I380" s="62">
        <v>2.9550000000000001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8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624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4301030233</v>
      </c>
      <c r="D381" s="673">
        <v>4607091388404</v>
      </c>
      <c r="E381" s="673"/>
      <c r="F381" s="62">
        <v>0.17</v>
      </c>
      <c r="G381" s="37">
        <v>15</v>
      </c>
      <c r="H381" s="62">
        <v>2.5499999999999998</v>
      </c>
      <c r="I381" s="62">
        <v>2.88</v>
      </c>
      <c r="J381" s="37">
        <v>182</v>
      </c>
      <c r="K381" s="37" t="s">
        <v>91</v>
      </c>
      <c r="L381" s="37" t="s">
        <v>46</v>
      </c>
      <c r="M381" s="38" t="s">
        <v>112</v>
      </c>
      <c r="N381" s="38"/>
      <c r="O381" s="37">
        <v>180</v>
      </c>
      <c r="P381" s="8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70" t="s">
        <v>624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81"/>
      <c r="B382" s="681"/>
      <c r="C382" s="681"/>
      <c r="D382" s="681"/>
      <c r="E382" s="681"/>
      <c r="F382" s="681"/>
      <c r="G382" s="681"/>
      <c r="H382" s="681"/>
      <c r="I382" s="681"/>
      <c r="J382" s="681"/>
      <c r="K382" s="681"/>
      <c r="L382" s="681"/>
      <c r="M382" s="681"/>
      <c r="N382" s="681"/>
      <c r="O382" s="682"/>
      <c r="P382" s="678" t="s">
        <v>40</v>
      </c>
      <c r="Q382" s="679"/>
      <c r="R382" s="679"/>
      <c r="S382" s="679"/>
      <c r="T382" s="679"/>
      <c r="U382" s="679"/>
      <c r="V382" s="680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81"/>
      <c r="B383" s="681"/>
      <c r="C383" s="681"/>
      <c r="D383" s="681"/>
      <c r="E383" s="681"/>
      <c r="F383" s="681"/>
      <c r="G383" s="681"/>
      <c r="H383" s="681"/>
      <c r="I383" s="681"/>
      <c r="J383" s="681"/>
      <c r="K383" s="681"/>
      <c r="L383" s="681"/>
      <c r="M383" s="681"/>
      <c r="N383" s="681"/>
      <c r="O383" s="682"/>
      <c r="P383" s="678" t="s">
        <v>40</v>
      </c>
      <c r="Q383" s="679"/>
      <c r="R383" s="679"/>
      <c r="S383" s="679"/>
      <c r="T383" s="679"/>
      <c r="U383" s="679"/>
      <c r="V383" s="680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72" t="s">
        <v>631</v>
      </c>
      <c r="B384" s="672"/>
      <c r="C384" s="672"/>
      <c r="D384" s="672"/>
      <c r="E384" s="672"/>
      <c r="F384" s="672"/>
      <c r="G384" s="672"/>
      <c r="H384" s="672"/>
      <c r="I384" s="672"/>
      <c r="J384" s="672"/>
      <c r="K384" s="672"/>
      <c r="L384" s="672"/>
      <c r="M384" s="672"/>
      <c r="N384" s="672"/>
      <c r="O384" s="672"/>
      <c r="P384" s="672"/>
      <c r="Q384" s="672"/>
      <c r="R384" s="672"/>
      <c r="S384" s="672"/>
      <c r="T384" s="672"/>
      <c r="U384" s="672"/>
      <c r="V384" s="672"/>
      <c r="W384" s="672"/>
      <c r="X384" s="672"/>
      <c r="Y384" s="672"/>
      <c r="Z384" s="672"/>
      <c r="AA384" s="66"/>
      <c r="AB384" s="66"/>
      <c r="AC384" s="80"/>
    </row>
    <row r="385" spans="1:68" ht="16.5" customHeight="1" x14ac:dyDescent="0.25">
      <c r="A385" s="63" t="s">
        <v>632</v>
      </c>
      <c r="B385" s="63" t="s">
        <v>633</v>
      </c>
      <c r="C385" s="36">
        <v>4301180007</v>
      </c>
      <c r="D385" s="673">
        <v>4680115881808</v>
      </c>
      <c r="E385" s="673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635</v>
      </c>
      <c r="N385" s="38"/>
      <c r="O385" s="37">
        <v>731</v>
      </c>
      <c r="P385" s="8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634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636</v>
      </c>
      <c r="B386" s="63" t="s">
        <v>637</v>
      </c>
      <c r="C386" s="36">
        <v>4301180006</v>
      </c>
      <c r="D386" s="673">
        <v>4680115881822</v>
      </c>
      <c r="E386" s="673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635</v>
      </c>
      <c r="N386" s="38"/>
      <c r="O386" s="37">
        <v>731</v>
      </c>
      <c r="P386" s="87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5"/>
      <c r="R386" s="675"/>
      <c r="S386" s="675"/>
      <c r="T386" s="67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634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638</v>
      </c>
      <c r="B387" s="63" t="s">
        <v>639</v>
      </c>
      <c r="C387" s="36">
        <v>4301180001</v>
      </c>
      <c r="D387" s="673">
        <v>4680115880016</v>
      </c>
      <c r="E387" s="673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635</v>
      </c>
      <c r="N387" s="38"/>
      <c r="O387" s="37">
        <v>731</v>
      </c>
      <c r="P387" s="8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5"/>
      <c r="R387" s="675"/>
      <c r="S387" s="675"/>
      <c r="T387" s="67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634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81"/>
      <c r="B388" s="681"/>
      <c r="C388" s="681"/>
      <c r="D388" s="681"/>
      <c r="E388" s="681"/>
      <c r="F388" s="681"/>
      <c r="G388" s="681"/>
      <c r="H388" s="681"/>
      <c r="I388" s="681"/>
      <c r="J388" s="681"/>
      <c r="K388" s="681"/>
      <c r="L388" s="681"/>
      <c r="M388" s="681"/>
      <c r="N388" s="681"/>
      <c r="O388" s="682"/>
      <c r="P388" s="678" t="s">
        <v>40</v>
      </c>
      <c r="Q388" s="679"/>
      <c r="R388" s="679"/>
      <c r="S388" s="679"/>
      <c r="T388" s="679"/>
      <c r="U388" s="679"/>
      <c r="V388" s="68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81"/>
      <c r="B389" s="681"/>
      <c r="C389" s="681"/>
      <c r="D389" s="681"/>
      <c r="E389" s="681"/>
      <c r="F389" s="681"/>
      <c r="G389" s="681"/>
      <c r="H389" s="681"/>
      <c r="I389" s="681"/>
      <c r="J389" s="681"/>
      <c r="K389" s="681"/>
      <c r="L389" s="681"/>
      <c r="M389" s="681"/>
      <c r="N389" s="681"/>
      <c r="O389" s="682"/>
      <c r="P389" s="678" t="s">
        <v>40</v>
      </c>
      <c r="Q389" s="679"/>
      <c r="R389" s="679"/>
      <c r="S389" s="679"/>
      <c r="T389" s="679"/>
      <c r="U389" s="679"/>
      <c r="V389" s="68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6.5" customHeight="1" x14ac:dyDescent="0.25">
      <c r="A390" s="671" t="s">
        <v>640</v>
      </c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  <c r="AA390" s="65"/>
      <c r="AB390" s="65"/>
      <c r="AC390" s="79"/>
    </row>
    <row r="391" spans="1:68" ht="14.25" customHeight="1" x14ac:dyDescent="0.25">
      <c r="A391" s="672" t="s">
        <v>86</v>
      </c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72"/>
      <c r="P391" s="672"/>
      <c r="Q391" s="672"/>
      <c r="R391" s="672"/>
      <c r="S391" s="672"/>
      <c r="T391" s="672"/>
      <c r="U391" s="672"/>
      <c r="V391" s="672"/>
      <c r="W391" s="672"/>
      <c r="X391" s="672"/>
      <c r="Y391" s="672"/>
      <c r="Z391" s="672"/>
      <c r="AA391" s="66"/>
      <c r="AB391" s="66"/>
      <c r="AC391" s="80"/>
    </row>
    <row r="392" spans="1:68" ht="37.5" customHeight="1" x14ac:dyDescent="0.25">
      <c r="A392" s="63" t="s">
        <v>641</v>
      </c>
      <c r="B392" s="63" t="s">
        <v>642</v>
      </c>
      <c r="C392" s="36">
        <v>4301051489</v>
      </c>
      <c r="D392" s="673">
        <v>4607091387919</v>
      </c>
      <c r="E392" s="673"/>
      <c r="F392" s="62">
        <v>1.35</v>
      </c>
      <c r="G392" s="37">
        <v>6</v>
      </c>
      <c r="H392" s="62">
        <v>8.1</v>
      </c>
      <c r="I392" s="62">
        <v>8.5939999999999994</v>
      </c>
      <c r="J392" s="37">
        <v>64</v>
      </c>
      <c r="K392" s="37" t="s">
        <v>133</v>
      </c>
      <c r="L392" s="37" t="s">
        <v>46</v>
      </c>
      <c r="M392" s="38" t="s">
        <v>97</v>
      </c>
      <c r="N392" s="38"/>
      <c r="O392" s="37">
        <v>45</v>
      </c>
      <c r="P392" s="8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37.5" customHeight="1" x14ac:dyDescent="0.25">
      <c r="A393" s="63" t="s">
        <v>644</v>
      </c>
      <c r="B393" s="63" t="s">
        <v>645</v>
      </c>
      <c r="C393" s="36">
        <v>4301051461</v>
      </c>
      <c r="D393" s="673">
        <v>4680115883604</v>
      </c>
      <c r="E393" s="673"/>
      <c r="F393" s="62">
        <v>0.35</v>
      </c>
      <c r="G393" s="37">
        <v>6</v>
      </c>
      <c r="H393" s="62">
        <v>2.1</v>
      </c>
      <c r="I393" s="62">
        <v>2.3519999999999999</v>
      </c>
      <c r="J393" s="37">
        <v>182</v>
      </c>
      <c r="K393" s="37" t="s">
        <v>91</v>
      </c>
      <c r="L393" s="37" t="s">
        <v>46</v>
      </c>
      <c r="M393" s="38" t="s">
        <v>90</v>
      </c>
      <c r="N393" s="38"/>
      <c r="O393" s="37">
        <v>45</v>
      </c>
      <c r="P393" s="8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5"/>
      <c r="R393" s="675"/>
      <c r="S393" s="675"/>
      <c r="T393" s="676"/>
      <c r="U393" s="39" t="s">
        <v>46</v>
      </c>
      <c r="V393" s="39" t="s">
        <v>46</v>
      </c>
      <c r="W393" s="40" t="s">
        <v>0</v>
      </c>
      <c r="X393" s="58">
        <v>10.5</v>
      </c>
      <c r="Y393" s="55">
        <f>IFERROR(IF(X393="",0,CEILING((X393/$H393),1)*$H393),"")</f>
        <v>10.5</v>
      </c>
      <c r="Z393" s="41">
        <f>IFERROR(IF(Y393=0,"",ROUNDUP(Y393/H393,0)*0.00651),"")</f>
        <v>3.2550000000000003E-2</v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11.759999999999998</v>
      </c>
      <c r="BN393" s="78">
        <f>IFERROR(Y393*I393/H393,"0")</f>
        <v>11.759999999999998</v>
      </c>
      <c r="BO393" s="78">
        <f>IFERROR(1/J393*(X393/H393),"0")</f>
        <v>2.7472527472527476E-2</v>
      </c>
      <c r="BP393" s="78">
        <f>IFERROR(1/J393*(Y393/H393),"0")</f>
        <v>2.7472527472527476E-2</v>
      </c>
    </row>
    <row r="394" spans="1:68" ht="27" customHeight="1" x14ac:dyDescent="0.25">
      <c r="A394" s="63" t="s">
        <v>647</v>
      </c>
      <c r="B394" s="63" t="s">
        <v>648</v>
      </c>
      <c r="C394" s="36">
        <v>4301051864</v>
      </c>
      <c r="D394" s="673">
        <v>4680115883567</v>
      </c>
      <c r="E394" s="673"/>
      <c r="F394" s="62">
        <v>0.35</v>
      </c>
      <c r="G394" s="37">
        <v>6</v>
      </c>
      <c r="H394" s="62">
        <v>2.1</v>
      </c>
      <c r="I394" s="62">
        <v>2.34</v>
      </c>
      <c r="J394" s="37">
        <v>182</v>
      </c>
      <c r="K394" s="37" t="s">
        <v>91</v>
      </c>
      <c r="L394" s="37" t="s">
        <v>46</v>
      </c>
      <c r="M394" s="38" t="s">
        <v>97</v>
      </c>
      <c r="N394" s="38"/>
      <c r="O394" s="37">
        <v>40</v>
      </c>
      <c r="P394" s="8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5"/>
      <c r="R394" s="675"/>
      <c r="S394" s="675"/>
      <c r="T394" s="676"/>
      <c r="U394" s="39" t="s">
        <v>46</v>
      </c>
      <c r="V394" s="39" t="s">
        <v>46</v>
      </c>
      <c r="W394" s="40" t="s">
        <v>0</v>
      </c>
      <c r="X394" s="58">
        <v>10.5</v>
      </c>
      <c r="Y394" s="55">
        <f>IFERROR(IF(X394="",0,CEILING((X394/$H394),1)*$H394),"")</f>
        <v>10.5</v>
      </c>
      <c r="Z394" s="41">
        <f>IFERROR(IF(Y394=0,"",ROUNDUP(Y394/H394,0)*0.00651),"")</f>
        <v>3.2550000000000003E-2</v>
      </c>
      <c r="AA394" s="68" t="s">
        <v>46</v>
      </c>
      <c r="AB394" s="69" t="s">
        <v>46</v>
      </c>
      <c r="AC394" s="482" t="s">
        <v>649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11.7</v>
      </c>
      <c r="BN394" s="78">
        <f>IFERROR(Y394*I394/H394,"0")</f>
        <v>11.7</v>
      </c>
      <c r="BO394" s="78">
        <f>IFERROR(1/J394*(X394/H394),"0")</f>
        <v>2.7472527472527476E-2</v>
      </c>
      <c r="BP394" s="78">
        <f>IFERROR(1/J394*(Y394/H394),"0")</f>
        <v>2.7472527472527476E-2</v>
      </c>
    </row>
    <row r="395" spans="1:68" x14ac:dyDescent="0.2">
      <c r="A395" s="681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2"/>
      <c r="P395" s="678" t="s">
        <v>40</v>
      </c>
      <c r="Q395" s="679"/>
      <c r="R395" s="679"/>
      <c r="S395" s="679"/>
      <c r="T395" s="679"/>
      <c r="U395" s="679"/>
      <c r="V395" s="680"/>
      <c r="W395" s="42" t="s">
        <v>39</v>
      </c>
      <c r="X395" s="43">
        <f>IFERROR(X392/H392,"0")+IFERROR(X393/H393,"0")+IFERROR(X394/H394,"0")</f>
        <v>10</v>
      </c>
      <c r="Y395" s="43">
        <f>IFERROR(Y392/H392,"0")+IFERROR(Y393/H393,"0")+IFERROR(Y394/H394,"0")</f>
        <v>10</v>
      </c>
      <c r="Z395" s="43">
        <f>IFERROR(IF(Z392="",0,Z392),"0")+IFERROR(IF(Z393="",0,Z393),"0")+IFERROR(IF(Z394="",0,Z394),"0")</f>
        <v>6.5100000000000005E-2</v>
      </c>
      <c r="AA395" s="67"/>
      <c r="AB395" s="67"/>
      <c r="AC395" s="67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2"/>
      <c r="P396" s="678" t="s">
        <v>40</v>
      </c>
      <c r="Q396" s="679"/>
      <c r="R396" s="679"/>
      <c r="S396" s="679"/>
      <c r="T396" s="679"/>
      <c r="U396" s="679"/>
      <c r="V396" s="680"/>
      <c r="W396" s="42" t="s">
        <v>0</v>
      </c>
      <c r="X396" s="43">
        <f>IFERROR(SUM(X392:X394),"0")</f>
        <v>21</v>
      </c>
      <c r="Y396" s="43">
        <f>IFERROR(SUM(Y392:Y394),"0")</f>
        <v>21</v>
      </c>
      <c r="Z396" s="42"/>
      <c r="AA396" s="67"/>
      <c r="AB396" s="67"/>
      <c r="AC396" s="67"/>
    </row>
    <row r="397" spans="1:68" ht="27.75" customHeight="1" x14ac:dyDescent="0.2">
      <c r="A397" s="670" t="s">
        <v>650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54"/>
      <c r="AB397" s="54"/>
      <c r="AC397" s="54"/>
    </row>
    <row r="398" spans="1:68" ht="16.5" customHeight="1" x14ac:dyDescent="0.25">
      <c r="A398" s="671" t="s">
        <v>651</v>
      </c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  <c r="AA398" s="65"/>
      <c r="AB398" s="65"/>
      <c r="AC398" s="79"/>
    </row>
    <row r="399" spans="1:68" ht="14.25" customHeight="1" x14ac:dyDescent="0.25">
      <c r="A399" s="672" t="s">
        <v>128</v>
      </c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2"/>
      <c r="T399" s="672"/>
      <c r="U399" s="672"/>
      <c r="V399" s="672"/>
      <c r="W399" s="672"/>
      <c r="X399" s="672"/>
      <c r="Y399" s="672"/>
      <c r="Z399" s="672"/>
      <c r="AA399" s="66"/>
      <c r="AB399" s="66"/>
      <c r="AC399" s="80"/>
    </row>
    <row r="400" spans="1:68" ht="27" customHeight="1" x14ac:dyDescent="0.25">
      <c r="A400" s="63" t="s">
        <v>652</v>
      </c>
      <c r="B400" s="63" t="s">
        <v>653</v>
      </c>
      <c r="C400" s="36">
        <v>4301012332</v>
      </c>
      <c r="D400" s="673">
        <v>4680115888401</v>
      </c>
      <c r="E400" s="673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97</v>
      </c>
      <c r="N400" s="38"/>
      <c r="O400" s="37">
        <v>60</v>
      </c>
      <c r="P400" s="88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5"/>
      <c r="R400" s="675"/>
      <c r="S400" s="675"/>
      <c r="T400" s="676"/>
      <c r="U400" s="39" t="s">
        <v>46</v>
      </c>
      <c r="V400" s="39" t="s">
        <v>46</v>
      </c>
      <c r="W400" s="40" t="s">
        <v>0</v>
      </c>
      <c r="X400" s="58">
        <v>0</v>
      </c>
      <c r="Y400" s="55">
        <f t="shared" ref="Y400:Y407" si="57">IFERROR(IF(X400="",0,CEILING((X400/$H400),1)*$H400),"")</f>
        <v>0</v>
      </c>
      <c r="Z400" s="41" t="str">
        <f>IFERROR(IF(Y400=0,"",ROUNDUP(Y400/H400,0)*0.02175),"")</f>
        <v/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ref="BM400:BM407" si="58">IFERROR(X400*I400/H400,"0")</f>
        <v>0</v>
      </c>
      <c r="BN400" s="78">
        <f t="shared" ref="BN400:BN407" si="59">IFERROR(Y400*I400/H400,"0")</f>
        <v>0</v>
      </c>
      <c r="BO400" s="78">
        <f t="shared" ref="BO400:BO407" si="60">IFERROR(1/J400*(X400/H400),"0")</f>
        <v>0</v>
      </c>
      <c r="BP400" s="78">
        <f t="shared" ref="BP400:BP407" si="61">IFERROR(1/J400*(Y400/H400),"0")</f>
        <v>0</v>
      </c>
    </row>
    <row r="401" spans="1:68" ht="37.5" customHeight="1" x14ac:dyDescent="0.25">
      <c r="A401" s="63" t="s">
        <v>655</v>
      </c>
      <c r="B401" s="63" t="s">
        <v>656</v>
      </c>
      <c r="C401" s="36">
        <v>4301011869</v>
      </c>
      <c r="D401" s="673">
        <v>4680115884847</v>
      </c>
      <c r="E401" s="673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81</v>
      </c>
      <c r="N401" s="38"/>
      <c r="O401" s="37">
        <v>60</v>
      </c>
      <c r="P401" s="88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5"/>
      <c r="R401" s="675"/>
      <c r="S401" s="675"/>
      <c r="T401" s="676"/>
      <c r="U401" s="39" t="s">
        <v>46</v>
      </c>
      <c r="V401" s="39" t="s">
        <v>46</v>
      </c>
      <c r="W401" s="40" t="s">
        <v>0</v>
      </c>
      <c r="X401" s="58">
        <v>0</v>
      </c>
      <c r="Y401" s="55">
        <f t="shared" si="57"/>
        <v>0</v>
      </c>
      <c r="Z401" s="41" t="str">
        <f>IFERROR(IF(Y401=0,"",ROUNDUP(Y401/H401,0)*0.02175),"")</f>
        <v/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8"/>
        <v>0</v>
      </c>
      <c r="BN401" s="78">
        <f t="shared" si="59"/>
        <v>0</v>
      </c>
      <c r="BO401" s="78">
        <f t="shared" si="60"/>
        <v>0</v>
      </c>
      <c r="BP401" s="78">
        <f t="shared" si="61"/>
        <v>0</v>
      </c>
    </row>
    <row r="402" spans="1:68" ht="27" customHeight="1" x14ac:dyDescent="0.25">
      <c r="A402" s="63" t="s">
        <v>658</v>
      </c>
      <c r="B402" s="63" t="s">
        <v>659</v>
      </c>
      <c r="C402" s="36">
        <v>4301012083</v>
      </c>
      <c r="D402" s="673">
        <v>4680115884854</v>
      </c>
      <c r="E402" s="673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132</v>
      </c>
      <c r="N402" s="38"/>
      <c r="O402" s="37">
        <v>60</v>
      </c>
      <c r="P402" s="88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si="57"/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8"/>
        <v>0</v>
      </c>
      <c r="BN402" s="78">
        <f t="shared" si="59"/>
        <v>0</v>
      </c>
      <c r="BO402" s="78">
        <f t="shared" si="60"/>
        <v>0</v>
      </c>
      <c r="BP402" s="78">
        <f t="shared" si="61"/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4301011867</v>
      </c>
      <c r="D403" s="673">
        <v>4680115884830</v>
      </c>
      <c r="E403" s="67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1440</v>
      </c>
      <c r="Y403" s="55">
        <f t="shared" si="57"/>
        <v>1440</v>
      </c>
      <c r="Z403" s="41">
        <f>IFERROR(IF(Y403=0,"",ROUNDUP(Y403/H403,0)*0.02175),"")</f>
        <v>2.0880000000000001</v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8"/>
        <v>1485.12</v>
      </c>
      <c r="BN403" s="78">
        <f t="shared" si="59"/>
        <v>1485.12</v>
      </c>
      <c r="BO403" s="78">
        <f t="shared" si="60"/>
        <v>2</v>
      </c>
      <c r="BP403" s="78">
        <f t="shared" si="61"/>
        <v>2</v>
      </c>
    </row>
    <row r="404" spans="1:68" ht="27" customHeight="1" x14ac:dyDescent="0.25">
      <c r="A404" s="63" t="s">
        <v>664</v>
      </c>
      <c r="B404" s="63" t="s">
        <v>665</v>
      </c>
      <c r="C404" s="36">
        <v>4301012356</v>
      </c>
      <c r="D404" s="673">
        <v>4680115889231</v>
      </c>
      <c r="E404" s="67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97</v>
      </c>
      <c r="N404" s="38"/>
      <c r="O404" s="37">
        <v>60</v>
      </c>
      <c r="P404" s="88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667</v>
      </c>
      <c r="B405" s="63" t="s">
        <v>668</v>
      </c>
      <c r="C405" s="36">
        <v>4301011433</v>
      </c>
      <c r="D405" s="673">
        <v>4680115882638</v>
      </c>
      <c r="E405" s="673"/>
      <c r="F405" s="62">
        <v>0.4</v>
      </c>
      <c r="G405" s="37">
        <v>10</v>
      </c>
      <c r="H405" s="62">
        <v>4</v>
      </c>
      <c r="I405" s="62">
        <v>4.1900000000000004</v>
      </c>
      <c r="J405" s="37">
        <v>132</v>
      </c>
      <c r="K405" s="37" t="s">
        <v>140</v>
      </c>
      <c r="L405" s="37" t="s">
        <v>46</v>
      </c>
      <c r="M405" s="38" t="s">
        <v>132</v>
      </c>
      <c r="N405" s="38"/>
      <c r="O405" s="37">
        <v>90</v>
      </c>
      <c r="P405" s="8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4301011952</v>
      </c>
      <c r="D406" s="673">
        <v>4680115884922</v>
      </c>
      <c r="E406" s="673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8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5"/>
      <c r="R406" s="675"/>
      <c r="S406" s="675"/>
      <c r="T406" s="67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37.5" customHeight="1" x14ac:dyDescent="0.25">
      <c r="A407" s="63" t="s">
        <v>673</v>
      </c>
      <c r="B407" s="63" t="s">
        <v>674</v>
      </c>
      <c r="C407" s="36">
        <v>4301011868</v>
      </c>
      <c r="D407" s="673">
        <v>4680115884861</v>
      </c>
      <c r="E407" s="673"/>
      <c r="F407" s="62">
        <v>0.5</v>
      </c>
      <c r="G407" s="37">
        <v>10</v>
      </c>
      <c r="H407" s="62">
        <v>5</v>
      </c>
      <c r="I407" s="62">
        <v>5.19</v>
      </c>
      <c r="J407" s="37">
        <v>132</v>
      </c>
      <c r="K407" s="37" t="s">
        <v>140</v>
      </c>
      <c r="L407" s="37" t="s">
        <v>46</v>
      </c>
      <c r="M407" s="38" t="s">
        <v>81</v>
      </c>
      <c r="N407" s="38"/>
      <c r="O407" s="37">
        <v>60</v>
      </c>
      <c r="P407" s="88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5"/>
      <c r="R407" s="675"/>
      <c r="S407" s="675"/>
      <c r="T407" s="676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x14ac:dyDescent="0.2">
      <c r="A408" s="681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2"/>
      <c r="P408" s="678" t="s">
        <v>40</v>
      </c>
      <c r="Q408" s="679"/>
      <c r="R408" s="679"/>
      <c r="S408" s="679"/>
      <c r="T408" s="679"/>
      <c r="U408" s="679"/>
      <c r="V408" s="680"/>
      <c r="W408" s="42" t="s">
        <v>39</v>
      </c>
      <c r="X408" s="43">
        <f>IFERROR(X400/H400,"0")+IFERROR(X401/H401,"0")+IFERROR(X402/H402,"0")+IFERROR(X403/H403,"0")+IFERROR(X404/H404,"0")+IFERROR(X405/H405,"0")+IFERROR(X406/H406,"0")+IFERROR(X407/H407,"0")</f>
        <v>96</v>
      </c>
      <c r="Y408" s="43">
        <f>IFERROR(Y400/H400,"0")+IFERROR(Y401/H401,"0")+IFERROR(Y402/H402,"0")+IFERROR(Y403/H403,"0")+IFERROR(Y404/H404,"0")+IFERROR(Y405/H405,"0")+IFERROR(Y406/H406,"0")+IFERROR(Y407/H407,"0")</f>
        <v>96</v>
      </c>
      <c r="Z408" s="43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2.0880000000000001</v>
      </c>
      <c r="AA408" s="67"/>
      <c r="AB408" s="67"/>
      <c r="AC408" s="67"/>
    </row>
    <row r="409" spans="1:68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2"/>
      <c r="P409" s="678" t="s">
        <v>40</v>
      </c>
      <c r="Q409" s="679"/>
      <c r="R409" s="679"/>
      <c r="S409" s="679"/>
      <c r="T409" s="679"/>
      <c r="U409" s="679"/>
      <c r="V409" s="680"/>
      <c r="W409" s="42" t="s">
        <v>0</v>
      </c>
      <c r="X409" s="43">
        <f>IFERROR(SUM(X400:X407),"0")</f>
        <v>1440</v>
      </c>
      <c r="Y409" s="43">
        <f>IFERROR(SUM(Y400:Y407),"0")</f>
        <v>1440</v>
      </c>
      <c r="Z409" s="42"/>
      <c r="AA409" s="67"/>
      <c r="AB409" s="67"/>
      <c r="AC409" s="67"/>
    </row>
    <row r="410" spans="1:68" ht="14.25" customHeight="1" x14ac:dyDescent="0.25">
      <c r="A410" s="672" t="s">
        <v>163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4301020178</v>
      </c>
      <c r="D411" s="673">
        <v>4607091383980</v>
      </c>
      <c r="E411" s="673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8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4301020355</v>
      </c>
      <c r="D412" s="673">
        <v>4680115888425</v>
      </c>
      <c r="E412" s="673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132</v>
      </c>
      <c r="N412" s="38"/>
      <c r="O412" s="37">
        <v>50</v>
      </c>
      <c r="P412" s="88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5"/>
      <c r="R412" s="675"/>
      <c r="S412" s="675"/>
      <c r="T412" s="67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4301020179</v>
      </c>
      <c r="D413" s="673">
        <v>4607091384178</v>
      </c>
      <c r="E413" s="673"/>
      <c r="F413" s="62">
        <v>0.4</v>
      </c>
      <c r="G413" s="37">
        <v>10</v>
      </c>
      <c r="H413" s="62">
        <v>4</v>
      </c>
      <c r="I413" s="62">
        <v>4.1900000000000004</v>
      </c>
      <c r="J413" s="37">
        <v>132</v>
      </c>
      <c r="K413" s="37" t="s">
        <v>140</v>
      </c>
      <c r="L413" s="37" t="s">
        <v>46</v>
      </c>
      <c r="M413" s="38" t="s">
        <v>132</v>
      </c>
      <c r="N413" s="38"/>
      <c r="O413" s="37">
        <v>50</v>
      </c>
      <c r="P413" s="8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5"/>
      <c r="R413" s="675"/>
      <c r="S413" s="675"/>
      <c r="T413" s="67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04" t="s">
        <v>684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2"/>
      <c r="P414" s="678" t="s">
        <v>40</v>
      </c>
      <c r="Q414" s="679"/>
      <c r="R414" s="679"/>
      <c r="S414" s="679"/>
      <c r="T414" s="679"/>
      <c r="U414" s="679"/>
      <c r="V414" s="68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81"/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2"/>
      <c r="P415" s="678" t="s">
        <v>40</v>
      </c>
      <c r="Q415" s="679"/>
      <c r="R415" s="679"/>
      <c r="S415" s="679"/>
      <c r="T415" s="679"/>
      <c r="U415" s="679"/>
      <c r="V415" s="68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customHeight="1" x14ac:dyDescent="0.25">
      <c r="A416" s="672" t="s">
        <v>86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6"/>
      <c r="AB416" s="66"/>
      <c r="AC416" s="80"/>
    </row>
    <row r="417" spans="1:68" ht="27" customHeight="1" x14ac:dyDescent="0.25">
      <c r="A417" s="63" t="s">
        <v>685</v>
      </c>
      <c r="B417" s="63" t="s">
        <v>686</v>
      </c>
      <c r="C417" s="36">
        <v>4301051903</v>
      </c>
      <c r="D417" s="673">
        <v>4607091383928</v>
      </c>
      <c r="E417" s="673"/>
      <c r="F417" s="62">
        <v>1.5</v>
      </c>
      <c r="G417" s="37">
        <v>6</v>
      </c>
      <c r="H417" s="62">
        <v>9</v>
      </c>
      <c r="I417" s="62">
        <v>9.5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89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688</v>
      </c>
      <c r="B418" s="63" t="s">
        <v>689</v>
      </c>
      <c r="C418" s="36">
        <v>4301051897</v>
      </c>
      <c r="D418" s="673">
        <v>4607091384260</v>
      </c>
      <c r="E418" s="673"/>
      <c r="F418" s="62">
        <v>1.5</v>
      </c>
      <c r="G418" s="37">
        <v>6</v>
      </c>
      <c r="H418" s="62">
        <v>9</v>
      </c>
      <c r="I418" s="62">
        <v>9.4939999999999998</v>
      </c>
      <c r="J418" s="37">
        <v>64</v>
      </c>
      <c r="K418" s="37" t="s">
        <v>133</v>
      </c>
      <c r="L418" s="37" t="s">
        <v>46</v>
      </c>
      <c r="M418" s="38" t="s">
        <v>90</v>
      </c>
      <c r="N418" s="38"/>
      <c r="O418" s="37">
        <v>40</v>
      </c>
      <c r="P418" s="8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5"/>
      <c r="R418" s="675"/>
      <c r="S418" s="675"/>
      <c r="T418" s="67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08" t="s">
        <v>690</v>
      </c>
      <c r="AG418" s="78"/>
      <c r="AJ418" s="84" t="s">
        <v>46</v>
      </c>
      <c r="AK418" s="84">
        <v>0</v>
      </c>
      <c r="BB418" s="509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81"/>
      <c r="B419" s="681"/>
      <c r="C419" s="681"/>
      <c r="D419" s="681"/>
      <c r="E419" s="681"/>
      <c r="F419" s="681"/>
      <c r="G419" s="681"/>
      <c r="H419" s="681"/>
      <c r="I419" s="681"/>
      <c r="J419" s="681"/>
      <c r="K419" s="681"/>
      <c r="L419" s="681"/>
      <c r="M419" s="681"/>
      <c r="N419" s="681"/>
      <c r="O419" s="682"/>
      <c r="P419" s="678" t="s">
        <v>40</v>
      </c>
      <c r="Q419" s="679"/>
      <c r="R419" s="679"/>
      <c r="S419" s="679"/>
      <c r="T419" s="679"/>
      <c r="U419" s="679"/>
      <c r="V419" s="68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681"/>
      <c r="B420" s="681"/>
      <c r="C420" s="681"/>
      <c r="D420" s="681"/>
      <c r="E420" s="681"/>
      <c r="F420" s="681"/>
      <c r="G420" s="681"/>
      <c r="H420" s="681"/>
      <c r="I420" s="681"/>
      <c r="J420" s="681"/>
      <c r="K420" s="681"/>
      <c r="L420" s="681"/>
      <c r="M420" s="681"/>
      <c r="N420" s="681"/>
      <c r="O420" s="682"/>
      <c r="P420" s="678" t="s">
        <v>40</v>
      </c>
      <c r="Q420" s="679"/>
      <c r="R420" s="679"/>
      <c r="S420" s="679"/>
      <c r="T420" s="679"/>
      <c r="U420" s="679"/>
      <c r="V420" s="68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4.25" customHeight="1" x14ac:dyDescent="0.25">
      <c r="A421" s="672" t="s">
        <v>180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691</v>
      </c>
      <c r="B422" s="63" t="s">
        <v>692</v>
      </c>
      <c r="C422" s="36">
        <v>4301060524</v>
      </c>
      <c r="D422" s="673">
        <v>4607091384673</v>
      </c>
      <c r="E422" s="673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133</v>
      </c>
      <c r="L422" s="37" t="s">
        <v>46</v>
      </c>
      <c r="M422" s="38" t="s">
        <v>90</v>
      </c>
      <c r="N422" s="38"/>
      <c r="O422" s="37">
        <v>40</v>
      </c>
      <c r="P422" s="89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0" t="s">
        <v>693</v>
      </c>
      <c r="AG422" s="78"/>
      <c r="AJ422" s="84" t="s">
        <v>46</v>
      </c>
      <c r="AK422" s="84">
        <v>0</v>
      </c>
      <c r="BB422" s="511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81"/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2"/>
      <c r="P423" s="678" t="s">
        <v>40</v>
      </c>
      <c r="Q423" s="679"/>
      <c r="R423" s="679"/>
      <c r="S423" s="679"/>
      <c r="T423" s="679"/>
      <c r="U423" s="679"/>
      <c r="V423" s="680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81"/>
      <c r="B424" s="681"/>
      <c r="C424" s="681"/>
      <c r="D424" s="681"/>
      <c r="E424" s="681"/>
      <c r="F424" s="681"/>
      <c r="G424" s="681"/>
      <c r="H424" s="681"/>
      <c r="I424" s="681"/>
      <c r="J424" s="681"/>
      <c r="K424" s="681"/>
      <c r="L424" s="681"/>
      <c r="M424" s="681"/>
      <c r="N424" s="681"/>
      <c r="O424" s="682"/>
      <c r="P424" s="678" t="s">
        <v>40</v>
      </c>
      <c r="Q424" s="679"/>
      <c r="R424" s="679"/>
      <c r="S424" s="679"/>
      <c r="T424" s="679"/>
      <c r="U424" s="679"/>
      <c r="V424" s="680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16.5" customHeight="1" x14ac:dyDescent="0.25">
      <c r="A425" s="671" t="s">
        <v>694</v>
      </c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  <c r="AA425" s="65"/>
      <c r="AB425" s="65"/>
      <c r="AC425" s="79"/>
    </row>
    <row r="426" spans="1:68" ht="14.25" customHeight="1" x14ac:dyDescent="0.25">
      <c r="A426" s="672" t="s">
        <v>128</v>
      </c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72"/>
      <c r="P426" s="672"/>
      <c r="Q426" s="672"/>
      <c r="R426" s="672"/>
      <c r="S426" s="672"/>
      <c r="T426" s="672"/>
      <c r="U426" s="672"/>
      <c r="V426" s="672"/>
      <c r="W426" s="672"/>
      <c r="X426" s="672"/>
      <c r="Y426" s="672"/>
      <c r="Z426" s="672"/>
      <c r="AA426" s="66"/>
      <c r="AB426" s="66"/>
      <c r="AC426" s="80"/>
    </row>
    <row r="427" spans="1:68" ht="27" customHeight="1" x14ac:dyDescent="0.25">
      <c r="A427" s="63" t="s">
        <v>695</v>
      </c>
      <c r="B427" s="63" t="s">
        <v>696</v>
      </c>
      <c r="C427" s="36">
        <v>4301011875</v>
      </c>
      <c r="D427" s="673">
        <v>4680115884885</v>
      </c>
      <c r="E427" s="673"/>
      <c r="F427" s="62">
        <v>0.8</v>
      </c>
      <c r="G427" s="37">
        <v>15</v>
      </c>
      <c r="H427" s="62">
        <v>12</v>
      </c>
      <c r="I427" s="62">
        <v>12.41</v>
      </c>
      <c r="J427" s="37">
        <v>64</v>
      </c>
      <c r="K427" s="37" t="s">
        <v>133</v>
      </c>
      <c r="L427" s="37" t="s">
        <v>46</v>
      </c>
      <c r="M427" s="38" t="s">
        <v>81</v>
      </c>
      <c r="N427" s="38"/>
      <c r="O427" s="37">
        <v>60</v>
      </c>
      <c r="P427" s="8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5"/>
      <c r="R427" s="675"/>
      <c r="S427" s="675"/>
      <c r="T427" s="676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12" t="s">
        <v>697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37.5" customHeight="1" x14ac:dyDescent="0.25">
      <c r="A428" s="63" t="s">
        <v>698</v>
      </c>
      <c r="B428" s="63" t="s">
        <v>699</v>
      </c>
      <c r="C428" s="36">
        <v>4301011871</v>
      </c>
      <c r="D428" s="673">
        <v>4680115884908</v>
      </c>
      <c r="E428" s="673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8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14" t="s">
        <v>697</v>
      </c>
      <c r="AG428" s="78"/>
      <c r="AJ428" s="84" t="s">
        <v>46</v>
      </c>
      <c r="AK428" s="84">
        <v>0</v>
      </c>
      <c r="BB428" s="515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">
      <c r="A429" s="681"/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2"/>
      <c r="P429" s="678" t="s">
        <v>40</v>
      </c>
      <c r="Q429" s="679"/>
      <c r="R429" s="679"/>
      <c r="S429" s="679"/>
      <c r="T429" s="679"/>
      <c r="U429" s="679"/>
      <c r="V429" s="680"/>
      <c r="W429" s="42" t="s">
        <v>39</v>
      </c>
      <c r="X429" s="43">
        <f>IFERROR(X427/H427,"0")+IFERROR(X428/H428,"0")</f>
        <v>0</v>
      </c>
      <c r="Y429" s="43">
        <f>IFERROR(Y427/H427,"0")+IFERROR(Y428/H428,"0")</f>
        <v>0</v>
      </c>
      <c r="Z429" s="43">
        <f>IFERROR(IF(Z427="",0,Z427),"0")+IFERROR(IF(Z428="",0,Z428),"0")</f>
        <v>0</v>
      </c>
      <c r="AA429" s="67"/>
      <c r="AB429" s="67"/>
      <c r="AC429" s="67"/>
    </row>
    <row r="430" spans="1:68" x14ac:dyDescent="0.2">
      <c r="A430" s="681"/>
      <c r="B430" s="681"/>
      <c r="C430" s="681"/>
      <c r="D430" s="681"/>
      <c r="E430" s="681"/>
      <c r="F430" s="681"/>
      <c r="G430" s="681"/>
      <c r="H430" s="681"/>
      <c r="I430" s="681"/>
      <c r="J430" s="681"/>
      <c r="K430" s="681"/>
      <c r="L430" s="681"/>
      <c r="M430" s="681"/>
      <c r="N430" s="681"/>
      <c r="O430" s="682"/>
      <c r="P430" s="678" t="s">
        <v>40</v>
      </c>
      <c r="Q430" s="679"/>
      <c r="R430" s="679"/>
      <c r="S430" s="679"/>
      <c r="T430" s="679"/>
      <c r="U430" s="679"/>
      <c r="V430" s="680"/>
      <c r="W430" s="42" t="s">
        <v>0</v>
      </c>
      <c r="X430" s="43">
        <f>IFERROR(SUM(X427:X428),"0")</f>
        <v>0</v>
      </c>
      <c r="Y430" s="43">
        <f>IFERROR(SUM(Y427:Y428),"0")</f>
        <v>0</v>
      </c>
      <c r="Z430" s="42"/>
      <c r="AA430" s="67"/>
      <c r="AB430" s="67"/>
      <c r="AC430" s="67"/>
    </row>
    <row r="431" spans="1:68" ht="14.25" customHeight="1" x14ac:dyDescent="0.25">
      <c r="A431" s="672" t="s">
        <v>77</v>
      </c>
      <c r="B431" s="672"/>
      <c r="C431" s="672"/>
      <c r="D431" s="672"/>
      <c r="E431" s="672"/>
      <c r="F431" s="672"/>
      <c r="G431" s="672"/>
      <c r="H431" s="672"/>
      <c r="I431" s="672"/>
      <c r="J431" s="672"/>
      <c r="K431" s="672"/>
      <c r="L431" s="672"/>
      <c r="M431" s="672"/>
      <c r="N431" s="672"/>
      <c r="O431" s="672"/>
      <c r="P431" s="672"/>
      <c r="Q431" s="672"/>
      <c r="R431" s="672"/>
      <c r="S431" s="672"/>
      <c r="T431" s="672"/>
      <c r="U431" s="672"/>
      <c r="V431" s="672"/>
      <c r="W431" s="672"/>
      <c r="X431" s="672"/>
      <c r="Y431" s="672"/>
      <c r="Z431" s="672"/>
      <c r="AA431" s="66"/>
      <c r="AB431" s="66"/>
      <c r="AC431" s="80"/>
    </row>
    <row r="432" spans="1:68" ht="27" customHeight="1" x14ac:dyDescent="0.25">
      <c r="A432" s="63" t="s">
        <v>700</v>
      </c>
      <c r="B432" s="63" t="s">
        <v>701</v>
      </c>
      <c r="C432" s="36">
        <v>4301031457</v>
      </c>
      <c r="D432" s="673">
        <v>4607091384802</v>
      </c>
      <c r="E432" s="673"/>
      <c r="F432" s="62">
        <v>0.7</v>
      </c>
      <c r="G432" s="37">
        <v>6</v>
      </c>
      <c r="H432" s="62">
        <v>4.2</v>
      </c>
      <c r="I432" s="62">
        <v>4.45</v>
      </c>
      <c r="J432" s="37">
        <v>132</v>
      </c>
      <c r="K432" s="37" t="s">
        <v>140</v>
      </c>
      <c r="L432" s="37" t="s">
        <v>46</v>
      </c>
      <c r="M432" s="38" t="s">
        <v>81</v>
      </c>
      <c r="N432" s="38"/>
      <c r="O432" s="37">
        <v>50</v>
      </c>
      <c r="P432" s="8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5"/>
      <c r="R432" s="675"/>
      <c r="S432" s="675"/>
      <c r="T432" s="67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16" t="s">
        <v>702</v>
      </c>
      <c r="AG432" s="78"/>
      <c r="AJ432" s="84" t="s">
        <v>46</v>
      </c>
      <c r="AK432" s="84">
        <v>0</v>
      </c>
      <c r="BB432" s="517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81"/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2"/>
      <c r="P433" s="678" t="s">
        <v>40</v>
      </c>
      <c r="Q433" s="679"/>
      <c r="R433" s="679"/>
      <c r="S433" s="679"/>
      <c r="T433" s="679"/>
      <c r="U433" s="679"/>
      <c r="V433" s="680"/>
      <c r="W433" s="42" t="s">
        <v>39</v>
      </c>
      <c r="X433" s="43">
        <f>IFERROR(X432/H432,"0")</f>
        <v>0</v>
      </c>
      <c r="Y433" s="43">
        <f>IFERROR(Y432/H432,"0")</f>
        <v>0</v>
      </c>
      <c r="Z433" s="43">
        <f>IFERROR(IF(Z432="",0,Z432),"0")</f>
        <v>0</v>
      </c>
      <c r="AA433" s="67"/>
      <c r="AB433" s="67"/>
      <c r="AC433" s="67"/>
    </row>
    <row r="434" spans="1:68" x14ac:dyDescent="0.2">
      <c r="A434" s="681"/>
      <c r="B434" s="681"/>
      <c r="C434" s="681"/>
      <c r="D434" s="681"/>
      <c r="E434" s="681"/>
      <c r="F434" s="681"/>
      <c r="G434" s="681"/>
      <c r="H434" s="681"/>
      <c r="I434" s="681"/>
      <c r="J434" s="681"/>
      <c r="K434" s="681"/>
      <c r="L434" s="681"/>
      <c r="M434" s="681"/>
      <c r="N434" s="681"/>
      <c r="O434" s="682"/>
      <c r="P434" s="678" t="s">
        <v>40</v>
      </c>
      <c r="Q434" s="679"/>
      <c r="R434" s="679"/>
      <c r="S434" s="679"/>
      <c r="T434" s="679"/>
      <c r="U434" s="679"/>
      <c r="V434" s="680"/>
      <c r="W434" s="42" t="s">
        <v>0</v>
      </c>
      <c r="X434" s="43">
        <f>IFERROR(SUM(X432:X432),"0")</f>
        <v>0</v>
      </c>
      <c r="Y434" s="43">
        <f>IFERROR(SUM(Y432:Y432),"0")</f>
        <v>0</v>
      </c>
      <c r="Z434" s="42"/>
      <c r="AA434" s="67"/>
      <c r="AB434" s="67"/>
      <c r="AC434" s="67"/>
    </row>
    <row r="435" spans="1:68" ht="14.25" customHeight="1" x14ac:dyDescent="0.25">
      <c r="A435" s="672" t="s">
        <v>86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703</v>
      </c>
      <c r="B436" s="63" t="s">
        <v>704</v>
      </c>
      <c r="C436" s="36">
        <v>4301051899</v>
      </c>
      <c r="D436" s="673">
        <v>4607091384246</v>
      </c>
      <c r="E436" s="673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8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18" t="s">
        <v>705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706</v>
      </c>
      <c r="B437" s="63" t="s">
        <v>707</v>
      </c>
      <c r="C437" s="36">
        <v>4301051660</v>
      </c>
      <c r="D437" s="673">
        <v>4607091384253</v>
      </c>
      <c r="E437" s="673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8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705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706</v>
      </c>
      <c r="B438" s="63" t="s">
        <v>708</v>
      </c>
      <c r="C438" s="36">
        <v>4301052069</v>
      </c>
      <c r="D438" s="673">
        <v>4607091384253</v>
      </c>
      <c r="E438" s="673"/>
      <c r="F438" s="62">
        <v>0.4</v>
      </c>
      <c r="G438" s="37">
        <v>6</v>
      </c>
      <c r="H438" s="62">
        <v>2.4</v>
      </c>
      <c r="I438" s="62">
        <v>2.6640000000000001</v>
      </c>
      <c r="J438" s="37">
        <v>182</v>
      </c>
      <c r="K438" s="37" t="s">
        <v>91</v>
      </c>
      <c r="L438" s="37" t="s">
        <v>46</v>
      </c>
      <c r="M438" s="38" t="s">
        <v>90</v>
      </c>
      <c r="N438" s="38"/>
      <c r="O438" s="37">
        <v>40</v>
      </c>
      <c r="P438" s="8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81"/>
      <c r="B439" s="681"/>
      <c r="C439" s="681"/>
      <c r="D439" s="681"/>
      <c r="E439" s="681"/>
      <c r="F439" s="681"/>
      <c r="G439" s="681"/>
      <c r="H439" s="681"/>
      <c r="I439" s="681"/>
      <c r="J439" s="681"/>
      <c r="K439" s="681"/>
      <c r="L439" s="681"/>
      <c r="M439" s="681"/>
      <c r="N439" s="681"/>
      <c r="O439" s="682"/>
      <c r="P439" s="678" t="s">
        <v>40</v>
      </c>
      <c r="Q439" s="679"/>
      <c r="R439" s="679"/>
      <c r="S439" s="679"/>
      <c r="T439" s="679"/>
      <c r="U439" s="679"/>
      <c r="V439" s="68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81"/>
      <c r="B440" s="681"/>
      <c r="C440" s="681"/>
      <c r="D440" s="681"/>
      <c r="E440" s="681"/>
      <c r="F440" s="681"/>
      <c r="G440" s="681"/>
      <c r="H440" s="681"/>
      <c r="I440" s="681"/>
      <c r="J440" s="681"/>
      <c r="K440" s="681"/>
      <c r="L440" s="681"/>
      <c r="M440" s="681"/>
      <c r="N440" s="681"/>
      <c r="O440" s="682"/>
      <c r="P440" s="678" t="s">
        <v>40</v>
      </c>
      <c r="Q440" s="679"/>
      <c r="R440" s="679"/>
      <c r="S440" s="679"/>
      <c r="T440" s="679"/>
      <c r="U440" s="679"/>
      <c r="V440" s="68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27.75" customHeight="1" x14ac:dyDescent="0.2">
      <c r="A441" s="670" t="s">
        <v>710</v>
      </c>
      <c r="B441" s="670"/>
      <c r="C441" s="670"/>
      <c r="D441" s="670"/>
      <c r="E441" s="670"/>
      <c r="F441" s="670"/>
      <c r="G441" s="670"/>
      <c r="H441" s="670"/>
      <c r="I441" s="670"/>
      <c r="J441" s="670"/>
      <c r="K441" s="670"/>
      <c r="L441" s="670"/>
      <c r="M441" s="670"/>
      <c r="N441" s="670"/>
      <c r="O441" s="670"/>
      <c r="P441" s="670"/>
      <c r="Q441" s="670"/>
      <c r="R441" s="670"/>
      <c r="S441" s="670"/>
      <c r="T441" s="670"/>
      <c r="U441" s="670"/>
      <c r="V441" s="670"/>
      <c r="W441" s="670"/>
      <c r="X441" s="670"/>
      <c r="Y441" s="670"/>
      <c r="Z441" s="670"/>
      <c r="AA441" s="54"/>
      <c r="AB441" s="54"/>
      <c r="AC441" s="54"/>
    </row>
    <row r="442" spans="1:68" ht="16.5" customHeight="1" x14ac:dyDescent="0.25">
      <c r="A442" s="671" t="s">
        <v>711</v>
      </c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  <c r="AA442" s="65"/>
      <c r="AB442" s="65"/>
      <c r="AC442" s="79"/>
    </row>
    <row r="443" spans="1:68" ht="14.25" customHeight="1" x14ac:dyDescent="0.25">
      <c r="A443" s="672" t="s">
        <v>77</v>
      </c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72"/>
      <c r="P443" s="672"/>
      <c r="Q443" s="672"/>
      <c r="R443" s="672"/>
      <c r="S443" s="672"/>
      <c r="T443" s="672"/>
      <c r="U443" s="672"/>
      <c r="V443" s="672"/>
      <c r="W443" s="672"/>
      <c r="X443" s="672"/>
      <c r="Y443" s="672"/>
      <c r="Z443" s="672"/>
      <c r="AA443" s="66"/>
      <c r="AB443" s="66"/>
      <c r="AC443" s="80"/>
    </row>
    <row r="444" spans="1:68" ht="27" customHeight="1" x14ac:dyDescent="0.25">
      <c r="A444" s="63" t="s">
        <v>712</v>
      </c>
      <c r="B444" s="63" t="s">
        <v>713</v>
      </c>
      <c r="C444" s="36">
        <v>4301031405</v>
      </c>
      <c r="D444" s="673">
        <v>4680115886100</v>
      </c>
      <c r="E444" s="673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9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5"/>
      <c r="R444" s="675"/>
      <c r="S444" s="675"/>
      <c r="T444" s="67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ref="Y444:Y449" si="62"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ref="BM444:BM449" si="63">IFERROR(X444*I444/H444,"0")</f>
        <v>0</v>
      </c>
      <c r="BN444" s="78">
        <f t="shared" ref="BN444:BN449" si="64">IFERROR(Y444*I444/H444,"0")</f>
        <v>0</v>
      </c>
      <c r="BO444" s="78">
        <f t="shared" ref="BO444:BO449" si="65">IFERROR(1/J444*(X444/H444),"0")</f>
        <v>0</v>
      </c>
      <c r="BP444" s="78">
        <f t="shared" ref="BP444:BP449" si="66">IFERROR(1/J444*(Y444/H444),"0")</f>
        <v>0</v>
      </c>
    </row>
    <row r="445" spans="1:68" ht="27" customHeight="1" x14ac:dyDescent="0.25">
      <c r="A445" s="63" t="s">
        <v>715</v>
      </c>
      <c r="B445" s="63" t="s">
        <v>716</v>
      </c>
      <c r="C445" s="36">
        <v>4301031402</v>
      </c>
      <c r="D445" s="673">
        <v>4680115886124</v>
      </c>
      <c r="E445" s="673"/>
      <c r="F445" s="62">
        <v>0.9</v>
      </c>
      <c r="G445" s="37">
        <v>6</v>
      </c>
      <c r="H445" s="62">
        <v>5.4</v>
      </c>
      <c r="I445" s="62">
        <v>5.59</v>
      </c>
      <c r="J445" s="37">
        <v>132</v>
      </c>
      <c r="K445" s="37" t="s">
        <v>140</v>
      </c>
      <c r="L445" s="37" t="s">
        <v>46</v>
      </c>
      <c r="M445" s="38" t="s">
        <v>81</v>
      </c>
      <c r="N445" s="38"/>
      <c r="O445" s="37">
        <v>50</v>
      </c>
      <c r="P445" s="9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5"/>
      <c r="R445" s="675"/>
      <c r="S445" s="675"/>
      <c r="T445" s="67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2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26" t="s">
        <v>717</v>
      </c>
      <c r="AG445" s="78"/>
      <c r="AJ445" s="84" t="s">
        <v>46</v>
      </c>
      <c r="AK445" s="84">
        <v>0</v>
      </c>
      <c r="BB445" s="527" t="s">
        <v>67</v>
      </c>
      <c r="BM445" s="78">
        <f t="shared" si="63"/>
        <v>0</v>
      </c>
      <c r="BN445" s="78">
        <f t="shared" si="64"/>
        <v>0</v>
      </c>
      <c r="BO445" s="78">
        <f t="shared" si="65"/>
        <v>0</v>
      </c>
      <c r="BP445" s="78">
        <f t="shared" si="66"/>
        <v>0</v>
      </c>
    </row>
    <row r="446" spans="1:68" ht="27" customHeight="1" x14ac:dyDescent="0.25">
      <c r="A446" s="63" t="s">
        <v>718</v>
      </c>
      <c r="B446" s="63" t="s">
        <v>719</v>
      </c>
      <c r="C446" s="36">
        <v>4301031362</v>
      </c>
      <c r="D446" s="673">
        <v>4607091384338</v>
      </c>
      <c r="E446" s="673"/>
      <c r="F446" s="62">
        <v>0.35</v>
      </c>
      <c r="G446" s="37">
        <v>6</v>
      </c>
      <c r="H446" s="62">
        <v>2.1</v>
      </c>
      <c r="I446" s="62">
        <v>2.23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9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5"/>
      <c r="R446" s="675"/>
      <c r="S446" s="675"/>
      <c r="T446" s="676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2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714</v>
      </c>
      <c r="AG446" s="78"/>
      <c r="AJ446" s="84" t="s">
        <v>46</v>
      </c>
      <c r="AK446" s="84">
        <v>0</v>
      </c>
      <c r="BB446" s="529" t="s">
        <v>67</v>
      </c>
      <c r="BM446" s="78">
        <f t="shared" si="63"/>
        <v>0</v>
      </c>
      <c r="BN446" s="78">
        <f t="shared" si="64"/>
        <v>0</v>
      </c>
      <c r="BO446" s="78">
        <f t="shared" si="65"/>
        <v>0</v>
      </c>
      <c r="BP446" s="78">
        <f t="shared" si="66"/>
        <v>0</v>
      </c>
    </row>
    <row r="447" spans="1:68" ht="27" customHeight="1" x14ac:dyDescent="0.25">
      <c r="A447" s="63" t="s">
        <v>720</v>
      </c>
      <c r="B447" s="63" t="s">
        <v>721</v>
      </c>
      <c r="C447" s="36">
        <v>4301031364</v>
      </c>
      <c r="D447" s="673">
        <v>4680115883161</v>
      </c>
      <c r="E447" s="673"/>
      <c r="F447" s="62">
        <v>0.28000000000000003</v>
      </c>
      <c r="G447" s="37">
        <v>6</v>
      </c>
      <c r="H447" s="62">
        <v>1.68</v>
      </c>
      <c r="I447" s="62">
        <v>1.81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9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62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63"/>
        <v>0</v>
      </c>
      <c r="BN447" s="78">
        <f t="shared" si="64"/>
        <v>0</v>
      </c>
      <c r="BO447" s="78">
        <f t="shared" si="65"/>
        <v>0</v>
      </c>
      <c r="BP447" s="78">
        <f t="shared" si="66"/>
        <v>0</v>
      </c>
    </row>
    <row r="448" spans="1:68" ht="27" customHeight="1" x14ac:dyDescent="0.25">
      <c r="A448" s="63" t="s">
        <v>723</v>
      </c>
      <c r="B448" s="63" t="s">
        <v>724</v>
      </c>
      <c r="C448" s="36">
        <v>4301031358</v>
      </c>
      <c r="D448" s="673">
        <v>4607091389531</v>
      </c>
      <c r="E448" s="673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725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37.5" customHeight="1" x14ac:dyDescent="0.25">
      <c r="A449" s="63" t="s">
        <v>726</v>
      </c>
      <c r="B449" s="63" t="s">
        <v>727</v>
      </c>
      <c r="C449" s="36">
        <v>4301031360</v>
      </c>
      <c r="D449" s="673">
        <v>4607091384345</v>
      </c>
      <c r="E449" s="67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722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x14ac:dyDescent="0.2">
      <c r="A450" s="681"/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2"/>
      <c r="P450" s="678" t="s">
        <v>40</v>
      </c>
      <c r="Q450" s="679"/>
      <c r="R450" s="679"/>
      <c r="S450" s="679"/>
      <c r="T450" s="679"/>
      <c r="U450" s="679"/>
      <c r="V450" s="680"/>
      <c r="W450" s="42" t="s">
        <v>39</v>
      </c>
      <c r="X450" s="43">
        <f>IFERROR(X444/H444,"0")+IFERROR(X445/H445,"0")+IFERROR(X446/H446,"0")+IFERROR(X447/H447,"0")+IFERROR(X448/H448,"0")+IFERROR(X449/H449,"0")</f>
        <v>0</v>
      </c>
      <c r="Y450" s="43">
        <f>IFERROR(Y444/H444,"0")+IFERROR(Y445/H445,"0")+IFERROR(Y446/H446,"0")+IFERROR(Y447/H447,"0")+IFERROR(Y448/H448,"0")+IFERROR(Y449/H449,"0")</f>
        <v>0</v>
      </c>
      <c r="Z450" s="43">
        <f>IFERROR(IF(Z444="",0,Z444),"0")+IFERROR(IF(Z445="",0,Z445),"0")+IFERROR(IF(Z446="",0,Z446),"0")+IFERROR(IF(Z447="",0,Z447),"0")+IFERROR(IF(Z448="",0,Z448),"0")+IFERROR(IF(Z449="",0,Z449),"0")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81"/>
      <c r="B451" s="681"/>
      <c r="C451" s="681"/>
      <c r="D451" s="681"/>
      <c r="E451" s="681"/>
      <c r="F451" s="681"/>
      <c r="G451" s="681"/>
      <c r="H451" s="681"/>
      <c r="I451" s="681"/>
      <c r="J451" s="681"/>
      <c r="K451" s="681"/>
      <c r="L451" s="681"/>
      <c r="M451" s="681"/>
      <c r="N451" s="681"/>
      <c r="O451" s="682"/>
      <c r="P451" s="678" t="s">
        <v>40</v>
      </c>
      <c r="Q451" s="679"/>
      <c r="R451" s="679"/>
      <c r="S451" s="679"/>
      <c r="T451" s="679"/>
      <c r="U451" s="679"/>
      <c r="V451" s="680"/>
      <c r="W451" s="42" t="s">
        <v>0</v>
      </c>
      <c r="X451" s="43">
        <f>IFERROR(SUM(X444:X449),"0")</f>
        <v>0</v>
      </c>
      <c r="Y451" s="43">
        <f>IFERROR(SUM(Y444:Y449),"0")</f>
        <v>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728</v>
      </c>
      <c r="B453" s="63" t="s">
        <v>729</v>
      </c>
      <c r="C453" s="36">
        <v>4301051284</v>
      </c>
      <c r="D453" s="673">
        <v>4607091384352</v>
      </c>
      <c r="E453" s="673"/>
      <c r="F453" s="62">
        <v>0.6</v>
      </c>
      <c r="G453" s="37">
        <v>4</v>
      </c>
      <c r="H453" s="62">
        <v>2.4</v>
      </c>
      <c r="I453" s="62">
        <v>2.6259999999999999</v>
      </c>
      <c r="J453" s="37">
        <v>132</v>
      </c>
      <c r="K453" s="37" t="s">
        <v>140</v>
      </c>
      <c r="L453" s="37" t="s">
        <v>46</v>
      </c>
      <c r="M453" s="38" t="s">
        <v>90</v>
      </c>
      <c r="N453" s="38"/>
      <c r="O453" s="37">
        <v>45</v>
      </c>
      <c r="P453" s="9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731</v>
      </c>
      <c r="B454" s="63" t="s">
        <v>732</v>
      </c>
      <c r="C454" s="36">
        <v>4301051431</v>
      </c>
      <c r="D454" s="673">
        <v>4607091389654</v>
      </c>
      <c r="E454" s="673"/>
      <c r="F454" s="62">
        <v>0.33</v>
      </c>
      <c r="G454" s="37">
        <v>6</v>
      </c>
      <c r="H454" s="62">
        <v>1.98</v>
      </c>
      <c r="I454" s="62">
        <v>2.238</v>
      </c>
      <c r="J454" s="37">
        <v>182</v>
      </c>
      <c r="K454" s="37" t="s">
        <v>91</v>
      </c>
      <c r="L454" s="37" t="s">
        <v>46</v>
      </c>
      <c r="M454" s="38" t="s">
        <v>90</v>
      </c>
      <c r="N454" s="38"/>
      <c r="O454" s="37">
        <v>45</v>
      </c>
      <c r="P454" s="9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46</v>
      </c>
      <c r="AB454" s="69" t="s">
        <v>46</v>
      </c>
      <c r="AC454" s="538" t="s">
        <v>733</v>
      </c>
      <c r="AG454" s="78"/>
      <c r="AJ454" s="84" t="s">
        <v>46</v>
      </c>
      <c r="AK454" s="84">
        <v>0</v>
      </c>
      <c r="BB454" s="539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81"/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2"/>
      <c r="P455" s="678" t="s">
        <v>40</v>
      </c>
      <c r="Q455" s="679"/>
      <c r="R455" s="679"/>
      <c r="S455" s="679"/>
      <c r="T455" s="679"/>
      <c r="U455" s="679"/>
      <c r="V455" s="680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681"/>
      <c r="B456" s="681"/>
      <c r="C456" s="681"/>
      <c r="D456" s="681"/>
      <c r="E456" s="681"/>
      <c r="F456" s="681"/>
      <c r="G456" s="681"/>
      <c r="H456" s="681"/>
      <c r="I456" s="681"/>
      <c r="J456" s="681"/>
      <c r="K456" s="681"/>
      <c r="L456" s="681"/>
      <c r="M456" s="681"/>
      <c r="N456" s="681"/>
      <c r="O456" s="682"/>
      <c r="P456" s="678" t="s">
        <v>40</v>
      </c>
      <c r="Q456" s="679"/>
      <c r="R456" s="679"/>
      <c r="S456" s="679"/>
      <c r="T456" s="679"/>
      <c r="U456" s="679"/>
      <c r="V456" s="680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customHeight="1" x14ac:dyDescent="0.25">
      <c r="A457" s="671" t="s">
        <v>734</v>
      </c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  <c r="AA457" s="65"/>
      <c r="AB457" s="65"/>
      <c r="AC457" s="79"/>
    </row>
    <row r="458" spans="1:68" ht="14.25" customHeight="1" x14ac:dyDescent="0.25">
      <c r="A458" s="672" t="s">
        <v>163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735</v>
      </c>
      <c r="B459" s="63" t="s">
        <v>736</v>
      </c>
      <c r="C459" s="36">
        <v>4301020416</v>
      </c>
      <c r="D459" s="673">
        <v>4680115885240</v>
      </c>
      <c r="E459" s="673"/>
      <c r="F459" s="62">
        <v>0.35</v>
      </c>
      <c r="G459" s="37">
        <v>6</v>
      </c>
      <c r="H459" s="62">
        <v>2.1</v>
      </c>
      <c r="I459" s="62">
        <v>2.31</v>
      </c>
      <c r="J459" s="37">
        <v>182</v>
      </c>
      <c r="K459" s="37" t="s">
        <v>91</v>
      </c>
      <c r="L459" s="37" t="s">
        <v>46</v>
      </c>
      <c r="M459" s="38" t="s">
        <v>81</v>
      </c>
      <c r="N459" s="38"/>
      <c r="O459" s="37">
        <v>40</v>
      </c>
      <c r="P459" s="9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40" t="s">
        <v>737</v>
      </c>
      <c r="AG459" s="78"/>
      <c r="AJ459" s="84" t="s">
        <v>46</v>
      </c>
      <c r="AK459" s="84">
        <v>0</v>
      </c>
      <c r="BB459" s="54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81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2"/>
      <c r="P460" s="678" t="s">
        <v>40</v>
      </c>
      <c r="Q460" s="679"/>
      <c r="R460" s="679"/>
      <c r="S460" s="679"/>
      <c r="T460" s="679"/>
      <c r="U460" s="679"/>
      <c r="V460" s="68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2"/>
      <c r="P461" s="678" t="s">
        <v>40</v>
      </c>
      <c r="Q461" s="679"/>
      <c r="R461" s="679"/>
      <c r="S461" s="679"/>
      <c r="T461" s="679"/>
      <c r="U461" s="679"/>
      <c r="V461" s="68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72" t="s">
        <v>77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6"/>
      <c r="AB462" s="66"/>
      <c r="AC462" s="80"/>
    </row>
    <row r="463" spans="1:68" ht="27" customHeight="1" x14ac:dyDescent="0.25">
      <c r="A463" s="63" t="s">
        <v>738</v>
      </c>
      <c r="B463" s="63" t="s">
        <v>739</v>
      </c>
      <c r="C463" s="36">
        <v>4301031407</v>
      </c>
      <c r="D463" s="673">
        <v>4680115886094</v>
      </c>
      <c r="E463" s="673"/>
      <c r="F463" s="62">
        <v>0.9</v>
      </c>
      <c r="G463" s="37">
        <v>6</v>
      </c>
      <c r="H463" s="62">
        <v>5.4</v>
      </c>
      <c r="I463" s="62">
        <v>5.59</v>
      </c>
      <c r="J463" s="37">
        <v>132</v>
      </c>
      <c r="K463" s="37" t="s">
        <v>140</v>
      </c>
      <c r="L463" s="37" t="s">
        <v>46</v>
      </c>
      <c r="M463" s="38" t="s">
        <v>81</v>
      </c>
      <c r="N463" s="38"/>
      <c r="O463" s="37">
        <v>50</v>
      </c>
      <c r="P463" s="9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5"/>
      <c r="R463" s="675"/>
      <c r="S463" s="675"/>
      <c r="T463" s="67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741</v>
      </c>
      <c r="B464" s="63" t="s">
        <v>742</v>
      </c>
      <c r="C464" s="36">
        <v>4301031373</v>
      </c>
      <c r="D464" s="673">
        <v>4680115880771</v>
      </c>
      <c r="E464" s="673"/>
      <c r="F464" s="62">
        <v>0.28000000000000003</v>
      </c>
      <c r="G464" s="37">
        <v>6</v>
      </c>
      <c r="H464" s="62">
        <v>1.68</v>
      </c>
      <c r="I464" s="62">
        <v>1.81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5"/>
      <c r="R464" s="675"/>
      <c r="S464" s="675"/>
      <c r="T464" s="67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743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744</v>
      </c>
      <c r="B465" s="63" t="s">
        <v>745</v>
      </c>
      <c r="C465" s="36">
        <v>4301031359</v>
      </c>
      <c r="D465" s="673">
        <v>4607091389500</v>
      </c>
      <c r="E465" s="673"/>
      <c r="F465" s="62">
        <v>0.35</v>
      </c>
      <c r="G465" s="37">
        <v>6</v>
      </c>
      <c r="H465" s="62">
        <v>2.1</v>
      </c>
      <c r="I465" s="62">
        <v>2.23</v>
      </c>
      <c r="J465" s="37">
        <v>234</v>
      </c>
      <c r="K465" s="37" t="s">
        <v>82</v>
      </c>
      <c r="L465" s="37" t="s">
        <v>46</v>
      </c>
      <c r="M465" s="38" t="s">
        <v>81</v>
      </c>
      <c r="N465" s="38"/>
      <c r="O465" s="37">
        <v>50</v>
      </c>
      <c r="P465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IFERROR(IF(Y465=0,"",ROUNDUP(Y465/H465,0)*0.00502),"")</f>
        <v/>
      </c>
      <c r="AA465" s="68" t="s">
        <v>46</v>
      </c>
      <c r="AB465" s="69" t="s">
        <v>46</v>
      </c>
      <c r="AC465" s="546" t="s">
        <v>743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81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2"/>
      <c r="P466" s="678" t="s">
        <v>40</v>
      </c>
      <c r="Q466" s="679"/>
      <c r="R466" s="679"/>
      <c r="S466" s="679"/>
      <c r="T466" s="679"/>
      <c r="U466" s="679"/>
      <c r="V466" s="680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2"/>
      <c r="P467" s="678" t="s">
        <v>40</v>
      </c>
      <c r="Q467" s="679"/>
      <c r="R467" s="679"/>
      <c r="S467" s="679"/>
      <c r="T467" s="679"/>
      <c r="U467" s="679"/>
      <c r="V467" s="680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">
      <c r="A468" s="670" t="s">
        <v>746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54"/>
      <c r="AB468" s="54"/>
      <c r="AC468" s="54"/>
    </row>
    <row r="469" spans="1:68" ht="16.5" customHeight="1" x14ac:dyDescent="0.25">
      <c r="A469" s="671" t="s">
        <v>746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"/>
      <c r="AB469" s="65"/>
      <c r="AC469" s="79"/>
    </row>
    <row r="470" spans="1:68" ht="14.25" customHeight="1" x14ac:dyDescent="0.25">
      <c r="A470" s="672" t="s">
        <v>128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6"/>
      <c r="AB470" s="66"/>
      <c r="AC470" s="80"/>
    </row>
    <row r="471" spans="1:68" ht="27" customHeight="1" x14ac:dyDescent="0.25">
      <c r="A471" s="63" t="s">
        <v>747</v>
      </c>
      <c r="B471" s="63" t="s">
        <v>748</v>
      </c>
      <c r="C471" s="36">
        <v>4301011769</v>
      </c>
      <c r="D471" s="673">
        <v>4607091389067</v>
      </c>
      <c r="E471" s="673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90</v>
      </c>
      <c r="N471" s="38"/>
      <c r="O471" s="37">
        <v>60</v>
      </c>
      <c r="P471" s="9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5"/>
      <c r="R471" s="675"/>
      <c r="S471" s="675"/>
      <c r="T471" s="67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9" si="67">IFERROR(IF(X471="",0,CEILING((X471/$H471),1)*$H471),"")</f>
        <v>0</v>
      </c>
      <c r="Z471" s="41" t="str">
        <f t="shared" ref="Z471:Z476" si="68">IFERROR(IF(Y471=0,"",ROUNDUP(Y471/H471,0)*0.01196),"")</f>
        <v/>
      </c>
      <c r="AA471" s="68" t="s">
        <v>46</v>
      </c>
      <c r="AB471" s="69" t="s">
        <v>46</v>
      </c>
      <c r="AC471" s="548" t="s">
        <v>131</v>
      </c>
      <c r="AG471" s="78"/>
      <c r="AJ471" s="84" t="s">
        <v>46</v>
      </c>
      <c r="AK471" s="84">
        <v>0</v>
      </c>
      <c r="BB471" s="549" t="s">
        <v>67</v>
      </c>
      <c r="BM471" s="78">
        <f t="shared" ref="BM471:BM479" si="69">IFERROR(X471*I471/H471,"0")</f>
        <v>0</v>
      </c>
      <c r="BN471" s="78">
        <f t="shared" ref="BN471:BN479" si="70">IFERROR(Y471*I471/H471,"0")</f>
        <v>0</v>
      </c>
      <c r="BO471" s="78">
        <f t="shared" ref="BO471:BO479" si="71">IFERROR(1/J471*(X471/H471),"0")</f>
        <v>0</v>
      </c>
      <c r="BP471" s="78">
        <f t="shared" ref="BP471:BP479" si="72">IFERROR(1/J471*(Y471/H471),"0")</f>
        <v>0</v>
      </c>
    </row>
    <row r="472" spans="1:68" ht="27" customHeight="1" x14ac:dyDescent="0.25">
      <c r="A472" s="63" t="s">
        <v>749</v>
      </c>
      <c r="B472" s="63" t="s">
        <v>750</v>
      </c>
      <c r="C472" s="36">
        <v>4301012210</v>
      </c>
      <c r="D472" s="673">
        <v>4607091383522</v>
      </c>
      <c r="E472" s="673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91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5"/>
      <c r="R472" s="675"/>
      <c r="S472" s="675"/>
      <c r="T472" s="67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7"/>
        <v>0</v>
      </c>
      <c r="Z472" s="41" t="str">
        <f t="shared" si="68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9"/>
        <v>0</v>
      </c>
      <c r="BN472" s="78">
        <f t="shared" si="70"/>
        <v>0</v>
      </c>
      <c r="BO472" s="78">
        <f t="shared" si="71"/>
        <v>0</v>
      </c>
      <c r="BP472" s="78">
        <f t="shared" si="72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4301011961</v>
      </c>
      <c r="D473" s="673">
        <v>4680115885271</v>
      </c>
      <c r="E473" s="673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9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5"/>
      <c r="R473" s="675"/>
      <c r="S473" s="675"/>
      <c r="T473" s="67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7"/>
        <v>0</v>
      </c>
      <c r="Z473" s="41" t="str">
        <f t="shared" si="68"/>
        <v/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9"/>
        <v>0</v>
      </c>
      <c r="BN473" s="78">
        <f t="shared" si="70"/>
        <v>0</v>
      </c>
      <c r="BO473" s="78">
        <f t="shared" si="71"/>
        <v>0</v>
      </c>
      <c r="BP473" s="78">
        <f t="shared" si="72"/>
        <v>0</v>
      </c>
    </row>
    <row r="474" spans="1:68" ht="27" customHeight="1" x14ac:dyDescent="0.25">
      <c r="A474" s="63" t="s">
        <v>755</v>
      </c>
      <c r="B474" s="63" t="s">
        <v>756</v>
      </c>
      <c r="C474" s="36">
        <v>4301011369</v>
      </c>
      <c r="D474" s="673">
        <v>4680115885226</v>
      </c>
      <c r="E474" s="67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7"/>
        <v>0</v>
      </c>
      <c r="Z474" s="41" t="str">
        <f t="shared" si="68"/>
        <v/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9"/>
        <v>0</v>
      </c>
      <c r="BN474" s="78">
        <f t="shared" si="70"/>
        <v>0</v>
      </c>
      <c r="BO474" s="78">
        <f t="shared" si="71"/>
        <v>0</v>
      </c>
      <c r="BP474" s="78">
        <f t="shared" si="72"/>
        <v>0</v>
      </c>
    </row>
    <row r="475" spans="1:68" ht="16.5" customHeight="1" x14ac:dyDescent="0.25">
      <c r="A475" s="63" t="s">
        <v>758</v>
      </c>
      <c r="B475" s="63" t="s">
        <v>759</v>
      </c>
      <c r="C475" s="36">
        <v>4301011797</v>
      </c>
      <c r="D475" s="673">
        <v>4680115884502</v>
      </c>
      <c r="E475" s="67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90</v>
      </c>
      <c r="N475" s="38"/>
      <c r="O475" s="37">
        <v>60</v>
      </c>
      <c r="P475" s="9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4301011771</v>
      </c>
      <c r="D476" s="673">
        <v>4607091389104</v>
      </c>
      <c r="E476" s="67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52.8</v>
      </c>
      <c r="Y476" s="55">
        <f t="shared" si="67"/>
        <v>52.800000000000004</v>
      </c>
      <c r="Z476" s="41">
        <f t="shared" si="68"/>
        <v>0.1196</v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56.29999999999999</v>
      </c>
      <c r="BN476" s="78">
        <f t="shared" si="70"/>
        <v>56.3</v>
      </c>
      <c r="BO476" s="78">
        <f t="shared" si="71"/>
        <v>9.6153846153846145E-2</v>
      </c>
      <c r="BP476" s="78">
        <f t="shared" si="72"/>
        <v>9.6153846153846159E-2</v>
      </c>
    </row>
    <row r="477" spans="1:68" ht="27" customHeight="1" x14ac:dyDescent="0.25">
      <c r="A477" s="63" t="s">
        <v>764</v>
      </c>
      <c r="B477" s="63" t="s">
        <v>765</v>
      </c>
      <c r="C477" s="36">
        <v>4301012125</v>
      </c>
      <c r="D477" s="673">
        <v>4680115886391</v>
      </c>
      <c r="E477" s="673"/>
      <c r="F477" s="62">
        <v>0.4</v>
      </c>
      <c r="G477" s="37">
        <v>6</v>
      </c>
      <c r="H477" s="62">
        <v>2.4</v>
      </c>
      <c r="I477" s="62">
        <v>2.58</v>
      </c>
      <c r="J477" s="37">
        <v>182</v>
      </c>
      <c r="K477" s="37" t="s">
        <v>91</v>
      </c>
      <c r="L477" s="37" t="s">
        <v>46</v>
      </c>
      <c r="M477" s="38" t="s">
        <v>90</v>
      </c>
      <c r="N477" s="38"/>
      <c r="O477" s="37">
        <v>60</v>
      </c>
      <c r="P477" s="91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5"/>
      <c r="R477" s="675"/>
      <c r="S477" s="675"/>
      <c r="T477" s="67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27" customHeight="1" x14ac:dyDescent="0.25">
      <c r="A478" s="63" t="s">
        <v>766</v>
      </c>
      <c r="B478" s="63" t="s">
        <v>767</v>
      </c>
      <c r="C478" s="36">
        <v>4301012048</v>
      </c>
      <c r="D478" s="673">
        <v>4680115880603</v>
      </c>
      <c r="E478" s="673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60</v>
      </c>
      <c r="P478" s="9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5"/>
      <c r="R478" s="675"/>
      <c r="S478" s="675"/>
      <c r="T478" s="67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2" t="s">
        <v>131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4301012034</v>
      </c>
      <c r="D479" s="673">
        <v>4607091389982</v>
      </c>
      <c r="E479" s="673"/>
      <c r="F479" s="62">
        <v>0.6</v>
      </c>
      <c r="G479" s="37">
        <v>8</v>
      </c>
      <c r="H479" s="62">
        <v>4.8</v>
      </c>
      <c r="I479" s="62">
        <v>6.91</v>
      </c>
      <c r="J479" s="37">
        <v>132</v>
      </c>
      <c r="K479" s="37" t="s">
        <v>140</v>
      </c>
      <c r="L479" s="37" t="s">
        <v>46</v>
      </c>
      <c r="M479" s="38" t="s">
        <v>132</v>
      </c>
      <c r="N479" s="38"/>
      <c r="O479" s="37">
        <v>60</v>
      </c>
      <c r="P479" s="9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5"/>
      <c r="R479" s="675"/>
      <c r="S479" s="675"/>
      <c r="T479" s="67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64" t="s">
        <v>763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x14ac:dyDescent="0.2">
      <c r="A480" s="681"/>
      <c r="B480" s="681"/>
      <c r="C480" s="681"/>
      <c r="D480" s="681"/>
      <c r="E480" s="681"/>
      <c r="F480" s="681"/>
      <c r="G480" s="681"/>
      <c r="H480" s="681"/>
      <c r="I480" s="681"/>
      <c r="J480" s="681"/>
      <c r="K480" s="681"/>
      <c r="L480" s="681"/>
      <c r="M480" s="681"/>
      <c r="N480" s="681"/>
      <c r="O480" s="682"/>
      <c r="P480" s="678" t="s">
        <v>40</v>
      </c>
      <c r="Q480" s="679"/>
      <c r="R480" s="679"/>
      <c r="S480" s="679"/>
      <c r="T480" s="679"/>
      <c r="U480" s="679"/>
      <c r="V480" s="680"/>
      <c r="W480" s="42" t="s">
        <v>39</v>
      </c>
      <c r="X480" s="43">
        <f>IFERROR(X471/H471,"0")+IFERROR(X472/H472,"0")+IFERROR(X473/H473,"0")+IFERROR(X474/H474,"0")+IFERROR(X475/H475,"0")+IFERROR(X476/H476,"0")+IFERROR(X477/H477,"0")+IFERROR(X478/H478,"0")+IFERROR(X479/H479,"0")</f>
        <v>9.9999999999999982</v>
      </c>
      <c r="Y480" s="43">
        <f>IFERROR(Y471/H471,"0")+IFERROR(Y472/H472,"0")+IFERROR(Y473/H473,"0")+IFERROR(Y474/H474,"0")+IFERROR(Y475/H475,"0")+IFERROR(Y476/H476,"0")+IFERROR(Y477/H477,"0")+IFERROR(Y478/H478,"0")+IFERROR(Y479/H479,"0")</f>
        <v>10</v>
      </c>
      <c r="Z480" s="43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0.1196</v>
      </c>
      <c r="AA480" s="67"/>
      <c r="AB480" s="67"/>
      <c r="AC480" s="67"/>
    </row>
    <row r="481" spans="1:68" x14ac:dyDescent="0.2">
      <c r="A481" s="681"/>
      <c r="B481" s="681"/>
      <c r="C481" s="681"/>
      <c r="D481" s="681"/>
      <c r="E481" s="681"/>
      <c r="F481" s="681"/>
      <c r="G481" s="681"/>
      <c r="H481" s="681"/>
      <c r="I481" s="681"/>
      <c r="J481" s="681"/>
      <c r="K481" s="681"/>
      <c r="L481" s="681"/>
      <c r="M481" s="681"/>
      <c r="N481" s="681"/>
      <c r="O481" s="682"/>
      <c r="P481" s="678" t="s">
        <v>40</v>
      </c>
      <c r="Q481" s="679"/>
      <c r="R481" s="679"/>
      <c r="S481" s="679"/>
      <c r="T481" s="679"/>
      <c r="U481" s="679"/>
      <c r="V481" s="680"/>
      <c r="W481" s="42" t="s">
        <v>0</v>
      </c>
      <c r="X481" s="43">
        <f>IFERROR(SUM(X471:X479),"0")</f>
        <v>52.8</v>
      </c>
      <c r="Y481" s="43">
        <f>IFERROR(SUM(Y471:Y479),"0")</f>
        <v>52.800000000000004</v>
      </c>
      <c r="Z481" s="42"/>
      <c r="AA481" s="67"/>
      <c r="AB481" s="67"/>
      <c r="AC481" s="67"/>
    </row>
    <row r="482" spans="1:68" ht="14.25" customHeight="1" x14ac:dyDescent="0.25">
      <c r="A482" s="672" t="s">
        <v>163</v>
      </c>
      <c r="B482" s="672"/>
      <c r="C482" s="672"/>
      <c r="D482" s="672"/>
      <c r="E482" s="672"/>
      <c r="F482" s="672"/>
      <c r="G482" s="672"/>
      <c r="H482" s="672"/>
      <c r="I482" s="672"/>
      <c r="J482" s="672"/>
      <c r="K482" s="672"/>
      <c r="L482" s="672"/>
      <c r="M482" s="672"/>
      <c r="N482" s="672"/>
      <c r="O482" s="672"/>
      <c r="P482" s="672"/>
      <c r="Q482" s="672"/>
      <c r="R482" s="672"/>
      <c r="S482" s="672"/>
      <c r="T482" s="672"/>
      <c r="U482" s="672"/>
      <c r="V482" s="672"/>
      <c r="W482" s="672"/>
      <c r="X482" s="672"/>
      <c r="Y482" s="672"/>
      <c r="Z482" s="672"/>
      <c r="AA482" s="66"/>
      <c r="AB482" s="66"/>
      <c r="AC482" s="80"/>
    </row>
    <row r="483" spans="1:68" ht="16.5" customHeight="1" x14ac:dyDescent="0.25">
      <c r="A483" s="63" t="s">
        <v>770</v>
      </c>
      <c r="B483" s="63" t="s">
        <v>771</v>
      </c>
      <c r="C483" s="36">
        <v>4301020334</v>
      </c>
      <c r="D483" s="673">
        <v>4607091388930</v>
      </c>
      <c r="E483" s="673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133</v>
      </c>
      <c r="L483" s="37" t="s">
        <v>46</v>
      </c>
      <c r="M483" s="38" t="s">
        <v>90</v>
      </c>
      <c r="N483" s="38"/>
      <c r="O483" s="37">
        <v>70</v>
      </c>
      <c r="P483" s="9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79.2</v>
      </c>
      <c r="Y483" s="55">
        <f>IFERROR(IF(X483="",0,CEILING((X483/$H483),1)*$H483),"")</f>
        <v>79.2</v>
      </c>
      <c r="Z483" s="41">
        <f>IFERROR(IF(Y483=0,"",ROUNDUP(Y483/H483,0)*0.01196),"")</f>
        <v>0.1794</v>
      </c>
      <c r="AA483" s="68" t="s">
        <v>46</v>
      </c>
      <c r="AB483" s="69" t="s">
        <v>46</v>
      </c>
      <c r="AC483" s="566" t="s">
        <v>772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84.45</v>
      </c>
      <c r="BN483" s="78">
        <f>IFERROR(Y483*I483/H483,"0")</f>
        <v>84.45</v>
      </c>
      <c r="BO483" s="78">
        <f>IFERROR(1/J483*(X483/H483),"0")</f>
        <v>0.14423076923076925</v>
      </c>
      <c r="BP483" s="78">
        <f>IFERROR(1/J483*(Y483/H483),"0")</f>
        <v>0.14423076923076925</v>
      </c>
    </row>
    <row r="484" spans="1:68" ht="16.5" customHeight="1" x14ac:dyDescent="0.25">
      <c r="A484" s="63" t="s">
        <v>773</v>
      </c>
      <c r="B484" s="63" t="s">
        <v>774</v>
      </c>
      <c r="C484" s="36">
        <v>4301020374</v>
      </c>
      <c r="D484" s="673">
        <v>4680115886407</v>
      </c>
      <c r="E484" s="673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132</v>
      </c>
      <c r="N484" s="38"/>
      <c r="O484" s="37">
        <v>70</v>
      </c>
      <c r="P484" s="9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68" t="s">
        <v>772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6.5" customHeight="1" x14ac:dyDescent="0.25">
      <c r="A485" s="63" t="s">
        <v>775</v>
      </c>
      <c r="B485" s="63" t="s">
        <v>776</v>
      </c>
      <c r="C485" s="36">
        <v>4301020385</v>
      </c>
      <c r="D485" s="673">
        <v>4680115880054</v>
      </c>
      <c r="E485" s="673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140</v>
      </c>
      <c r="L485" s="37" t="s">
        <v>46</v>
      </c>
      <c r="M485" s="38" t="s">
        <v>132</v>
      </c>
      <c r="N485" s="38"/>
      <c r="O485" s="37">
        <v>70</v>
      </c>
      <c r="P485" s="9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0" t="s">
        <v>772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81"/>
      <c r="B486" s="681"/>
      <c r="C486" s="681"/>
      <c r="D486" s="681"/>
      <c r="E486" s="681"/>
      <c r="F486" s="681"/>
      <c r="G486" s="681"/>
      <c r="H486" s="681"/>
      <c r="I486" s="681"/>
      <c r="J486" s="681"/>
      <c r="K486" s="681"/>
      <c r="L486" s="681"/>
      <c r="M486" s="681"/>
      <c r="N486" s="681"/>
      <c r="O486" s="682"/>
      <c r="P486" s="678" t="s">
        <v>40</v>
      </c>
      <c r="Q486" s="679"/>
      <c r="R486" s="679"/>
      <c r="S486" s="679"/>
      <c r="T486" s="679"/>
      <c r="U486" s="679"/>
      <c r="V486" s="680"/>
      <c r="W486" s="42" t="s">
        <v>39</v>
      </c>
      <c r="X486" s="43">
        <f>IFERROR(X483/H483,"0")+IFERROR(X484/H484,"0")+IFERROR(X485/H485,"0")</f>
        <v>15</v>
      </c>
      <c r="Y486" s="43">
        <f>IFERROR(Y483/H483,"0")+IFERROR(Y484/H484,"0")+IFERROR(Y485/H485,"0")</f>
        <v>15</v>
      </c>
      <c r="Z486" s="43">
        <f>IFERROR(IF(Z483="",0,Z483),"0")+IFERROR(IF(Z484="",0,Z484),"0")+IFERROR(IF(Z485="",0,Z485),"0")</f>
        <v>0.1794</v>
      </c>
      <c r="AA486" s="67"/>
      <c r="AB486" s="67"/>
      <c r="AC486" s="67"/>
    </row>
    <row r="487" spans="1:68" x14ac:dyDescent="0.2">
      <c r="A487" s="681"/>
      <c r="B487" s="681"/>
      <c r="C487" s="681"/>
      <c r="D487" s="681"/>
      <c r="E487" s="681"/>
      <c r="F487" s="681"/>
      <c r="G487" s="681"/>
      <c r="H487" s="681"/>
      <c r="I487" s="681"/>
      <c r="J487" s="681"/>
      <c r="K487" s="681"/>
      <c r="L487" s="681"/>
      <c r="M487" s="681"/>
      <c r="N487" s="681"/>
      <c r="O487" s="682"/>
      <c r="P487" s="678" t="s">
        <v>40</v>
      </c>
      <c r="Q487" s="679"/>
      <c r="R487" s="679"/>
      <c r="S487" s="679"/>
      <c r="T487" s="679"/>
      <c r="U487" s="679"/>
      <c r="V487" s="680"/>
      <c r="W487" s="42" t="s">
        <v>0</v>
      </c>
      <c r="X487" s="43">
        <f>IFERROR(SUM(X483:X485),"0")</f>
        <v>79.2</v>
      </c>
      <c r="Y487" s="43">
        <f>IFERROR(SUM(Y483:Y485),"0")</f>
        <v>79.2</v>
      </c>
      <c r="Z487" s="42"/>
      <c r="AA487" s="67"/>
      <c r="AB487" s="67"/>
      <c r="AC487" s="67"/>
    </row>
    <row r="488" spans="1:68" ht="14.25" customHeight="1" x14ac:dyDescent="0.25">
      <c r="A488" s="672" t="s">
        <v>77</v>
      </c>
      <c r="B488" s="672"/>
      <c r="C488" s="672"/>
      <c r="D488" s="672"/>
      <c r="E488" s="672"/>
      <c r="F488" s="672"/>
      <c r="G488" s="672"/>
      <c r="H488" s="672"/>
      <c r="I488" s="672"/>
      <c r="J488" s="672"/>
      <c r="K488" s="672"/>
      <c r="L488" s="672"/>
      <c r="M488" s="672"/>
      <c r="N488" s="672"/>
      <c r="O488" s="672"/>
      <c r="P488" s="672"/>
      <c r="Q488" s="672"/>
      <c r="R488" s="672"/>
      <c r="S488" s="672"/>
      <c r="T488" s="672"/>
      <c r="U488" s="672"/>
      <c r="V488" s="672"/>
      <c r="W488" s="672"/>
      <c r="X488" s="672"/>
      <c r="Y488" s="672"/>
      <c r="Z488" s="672"/>
      <c r="AA488" s="66"/>
      <c r="AB488" s="66"/>
      <c r="AC488" s="80"/>
    </row>
    <row r="489" spans="1:68" ht="27" customHeight="1" x14ac:dyDescent="0.25">
      <c r="A489" s="63" t="s">
        <v>777</v>
      </c>
      <c r="B489" s="63" t="s">
        <v>778</v>
      </c>
      <c r="C489" s="36">
        <v>4301031349</v>
      </c>
      <c r="D489" s="673">
        <v>4680115883116</v>
      </c>
      <c r="E489" s="673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70</v>
      </c>
      <c r="P489" s="92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5"/>
      <c r="R489" s="675"/>
      <c r="S489" s="675"/>
      <c r="T489" s="67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ref="Y489:Y495" si="73">IFERROR(IF(X489="",0,CEILING((X489/$H489),1)*$H489),"")</f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ref="BM489:BM495" si="74">IFERROR(X489*I489/H489,"0")</f>
        <v>0</v>
      </c>
      <c r="BN489" s="78">
        <f t="shared" ref="BN489:BN495" si="75">IFERROR(Y489*I489/H489,"0")</f>
        <v>0</v>
      </c>
      <c r="BO489" s="78">
        <f t="shared" ref="BO489:BO495" si="76">IFERROR(1/J489*(X489/H489),"0")</f>
        <v>0</v>
      </c>
      <c r="BP489" s="78">
        <f t="shared" ref="BP489:BP495" si="77">IFERROR(1/J489*(Y489/H489),"0")</f>
        <v>0</v>
      </c>
    </row>
    <row r="490" spans="1:68" ht="27" customHeight="1" x14ac:dyDescent="0.25">
      <c r="A490" s="63" t="s">
        <v>780</v>
      </c>
      <c r="B490" s="63" t="s">
        <v>781</v>
      </c>
      <c r="C490" s="36">
        <v>4301031350</v>
      </c>
      <c r="D490" s="673">
        <v>4680115883093</v>
      </c>
      <c r="E490" s="673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9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5"/>
      <c r="R490" s="675"/>
      <c r="S490" s="675"/>
      <c r="T490" s="676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73"/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74"/>
        <v>0</v>
      </c>
      <c r="BN490" s="78">
        <f t="shared" si="75"/>
        <v>0</v>
      </c>
      <c r="BO490" s="78">
        <f t="shared" si="76"/>
        <v>0</v>
      </c>
      <c r="BP490" s="78">
        <f t="shared" si="77"/>
        <v>0</v>
      </c>
    </row>
    <row r="491" spans="1:68" ht="27" customHeight="1" x14ac:dyDescent="0.25">
      <c r="A491" s="63" t="s">
        <v>783</v>
      </c>
      <c r="B491" s="63" t="s">
        <v>784</v>
      </c>
      <c r="C491" s="36">
        <v>4301031353</v>
      </c>
      <c r="D491" s="673">
        <v>4680115883109</v>
      </c>
      <c r="E491" s="673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81</v>
      </c>
      <c r="N491" s="38"/>
      <c r="O491" s="37">
        <v>70</v>
      </c>
      <c r="P491" s="9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73"/>
        <v>0</v>
      </c>
      <c r="Z491" s="41" t="str">
        <f>IFERROR(IF(Y491=0,"",ROUNDUP(Y491/H491,0)*0.01196),"")</f>
        <v/>
      </c>
      <c r="AA491" s="68" t="s">
        <v>46</v>
      </c>
      <c r="AB491" s="69" t="s">
        <v>46</v>
      </c>
      <c r="AC491" s="576" t="s">
        <v>785</v>
      </c>
      <c r="AG491" s="78"/>
      <c r="AJ491" s="84" t="s">
        <v>46</v>
      </c>
      <c r="AK491" s="84">
        <v>0</v>
      </c>
      <c r="BB491" s="577" t="s">
        <v>67</v>
      </c>
      <c r="BM491" s="78">
        <f t="shared" si="74"/>
        <v>0</v>
      </c>
      <c r="BN491" s="78">
        <f t="shared" si="75"/>
        <v>0</v>
      </c>
      <c r="BO491" s="78">
        <f t="shared" si="76"/>
        <v>0</v>
      </c>
      <c r="BP491" s="78">
        <f t="shared" si="77"/>
        <v>0</v>
      </c>
    </row>
    <row r="492" spans="1:68" ht="27" customHeight="1" x14ac:dyDescent="0.25">
      <c r="A492" s="63" t="s">
        <v>786</v>
      </c>
      <c r="B492" s="63" t="s">
        <v>787</v>
      </c>
      <c r="C492" s="36">
        <v>4301031419</v>
      </c>
      <c r="D492" s="673">
        <v>4680115882072</v>
      </c>
      <c r="E492" s="673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132</v>
      </c>
      <c r="N492" s="38"/>
      <c r="O492" s="37">
        <v>70</v>
      </c>
      <c r="P492" s="92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73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74"/>
        <v>0</v>
      </c>
      <c r="BN492" s="78">
        <f t="shared" si="75"/>
        <v>0</v>
      </c>
      <c r="BO492" s="78">
        <f t="shared" si="76"/>
        <v>0</v>
      </c>
      <c r="BP492" s="78">
        <f t="shared" si="77"/>
        <v>0</v>
      </c>
    </row>
    <row r="493" spans="1:68" ht="27" customHeight="1" x14ac:dyDescent="0.25">
      <c r="A493" s="63" t="s">
        <v>788</v>
      </c>
      <c r="B493" s="63" t="s">
        <v>789</v>
      </c>
      <c r="C493" s="36">
        <v>4301031352</v>
      </c>
      <c r="D493" s="673">
        <v>4680115882102</v>
      </c>
      <c r="E493" s="673"/>
      <c r="F493" s="62">
        <v>0.6</v>
      </c>
      <c r="G493" s="37">
        <v>6</v>
      </c>
      <c r="H493" s="62">
        <v>3.6</v>
      </c>
      <c r="I493" s="62">
        <v>3.79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92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5"/>
      <c r="R493" s="675"/>
      <c r="S493" s="675"/>
      <c r="T493" s="67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782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788</v>
      </c>
      <c r="B494" s="63" t="s">
        <v>790</v>
      </c>
      <c r="C494" s="36">
        <v>4301031418</v>
      </c>
      <c r="D494" s="673">
        <v>4680115882102</v>
      </c>
      <c r="E494" s="673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92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5"/>
      <c r="R494" s="675"/>
      <c r="S494" s="675"/>
      <c r="T494" s="67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791</v>
      </c>
      <c r="B495" s="63" t="s">
        <v>792</v>
      </c>
      <c r="C495" s="36">
        <v>4301031417</v>
      </c>
      <c r="D495" s="673">
        <v>4680115882096</v>
      </c>
      <c r="E495" s="673"/>
      <c r="F495" s="62">
        <v>0.6</v>
      </c>
      <c r="G495" s="37">
        <v>8</v>
      </c>
      <c r="H495" s="62">
        <v>4.8</v>
      </c>
      <c r="I495" s="62">
        <v>6.67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5"/>
      <c r="R495" s="675"/>
      <c r="S495" s="675"/>
      <c r="T495" s="67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x14ac:dyDescent="0.2">
      <c r="A496" s="681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2"/>
      <c r="P496" s="678" t="s">
        <v>40</v>
      </c>
      <c r="Q496" s="679"/>
      <c r="R496" s="679"/>
      <c r="S496" s="679"/>
      <c r="T496" s="679"/>
      <c r="U496" s="679"/>
      <c r="V496" s="680"/>
      <c r="W496" s="42" t="s">
        <v>39</v>
      </c>
      <c r="X496" s="43">
        <f>IFERROR(X489/H489,"0")+IFERROR(X490/H490,"0")+IFERROR(X491/H491,"0")+IFERROR(X492/H492,"0")+IFERROR(X493/H493,"0")+IFERROR(X494/H494,"0")+IFERROR(X495/H495,"0")</f>
        <v>0</v>
      </c>
      <c r="Y496" s="43">
        <f>IFERROR(Y489/H489,"0")+IFERROR(Y490/H490,"0")+IFERROR(Y491/H491,"0")+IFERROR(Y492/H492,"0")+IFERROR(Y493/H493,"0")+IFERROR(Y494/H494,"0")+IFERROR(Y495/H495,"0")</f>
        <v>0</v>
      </c>
      <c r="Z496" s="43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7"/>
      <c r="AB496" s="67"/>
      <c r="AC496" s="67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2"/>
      <c r="P497" s="678" t="s">
        <v>40</v>
      </c>
      <c r="Q497" s="679"/>
      <c r="R497" s="679"/>
      <c r="S497" s="679"/>
      <c r="T497" s="679"/>
      <c r="U497" s="679"/>
      <c r="V497" s="680"/>
      <c r="W497" s="42" t="s">
        <v>0</v>
      </c>
      <c r="X497" s="43">
        <f>IFERROR(SUM(X489:X495),"0")</f>
        <v>0</v>
      </c>
      <c r="Y497" s="43">
        <f>IFERROR(SUM(Y489:Y495),"0")</f>
        <v>0</v>
      </c>
      <c r="Z497" s="42"/>
      <c r="AA497" s="67"/>
      <c r="AB497" s="67"/>
      <c r="AC497" s="67"/>
    </row>
    <row r="498" spans="1:68" ht="27.75" customHeight="1" x14ac:dyDescent="0.2">
      <c r="A498" s="670" t="s">
        <v>793</v>
      </c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0"/>
      <c r="P498" s="670"/>
      <c r="Q498" s="670"/>
      <c r="R498" s="670"/>
      <c r="S498" s="670"/>
      <c r="T498" s="670"/>
      <c r="U498" s="670"/>
      <c r="V498" s="670"/>
      <c r="W498" s="670"/>
      <c r="X498" s="670"/>
      <c r="Y498" s="670"/>
      <c r="Z498" s="670"/>
      <c r="AA498" s="54"/>
      <c r="AB498" s="54"/>
      <c r="AC498" s="54"/>
    </row>
    <row r="499" spans="1:68" ht="16.5" customHeight="1" x14ac:dyDescent="0.25">
      <c r="A499" s="671" t="s">
        <v>793</v>
      </c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  <c r="AA499" s="65"/>
      <c r="AB499" s="65"/>
      <c r="AC499" s="79"/>
    </row>
    <row r="500" spans="1:68" ht="14.25" customHeight="1" x14ac:dyDescent="0.25">
      <c r="A500" s="672" t="s">
        <v>128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794</v>
      </c>
      <c r="B501" s="63" t="s">
        <v>795</v>
      </c>
      <c r="C501" s="36">
        <v>4301011584</v>
      </c>
      <c r="D501" s="673">
        <v>4640242180564</v>
      </c>
      <c r="E501" s="673"/>
      <c r="F501" s="62">
        <v>1.5</v>
      </c>
      <c r="G501" s="37">
        <v>8</v>
      </c>
      <c r="H501" s="62">
        <v>12</v>
      </c>
      <c r="I501" s="62">
        <v>12.41</v>
      </c>
      <c r="J501" s="37">
        <v>64</v>
      </c>
      <c r="K501" s="37" t="s">
        <v>133</v>
      </c>
      <c r="L501" s="37" t="s">
        <v>46</v>
      </c>
      <c r="M501" s="38" t="s">
        <v>132</v>
      </c>
      <c r="N501" s="38"/>
      <c r="O501" s="37">
        <v>50</v>
      </c>
      <c r="P501" s="9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IFERROR(IF(Y501=0,"",ROUNDUP(Y501/H501,0)*0.01898),"")</f>
        <v/>
      </c>
      <c r="AA501" s="68" t="s">
        <v>46</v>
      </c>
      <c r="AB501" s="69" t="s">
        <v>46</v>
      </c>
      <c r="AC501" s="586" t="s">
        <v>796</v>
      </c>
      <c r="AG501" s="78"/>
      <c r="AJ501" s="84" t="s">
        <v>46</v>
      </c>
      <c r="AK501" s="84">
        <v>0</v>
      </c>
      <c r="BB501" s="587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x14ac:dyDescent="0.2">
      <c r="A502" s="681"/>
      <c r="B502" s="681"/>
      <c r="C502" s="681"/>
      <c r="D502" s="681"/>
      <c r="E502" s="681"/>
      <c r="F502" s="681"/>
      <c r="G502" s="681"/>
      <c r="H502" s="681"/>
      <c r="I502" s="681"/>
      <c r="J502" s="681"/>
      <c r="K502" s="681"/>
      <c r="L502" s="681"/>
      <c r="M502" s="681"/>
      <c r="N502" s="681"/>
      <c r="O502" s="682"/>
      <c r="P502" s="678" t="s">
        <v>40</v>
      </c>
      <c r="Q502" s="679"/>
      <c r="R502" s="679"/>
      <c r="S502" s="679"/>
      <c r="T502" s="679"/>
      <c r="U502" s="679"/>
      <c r="V502" s="680"/>
      <c r="W502" s="42" t="s">
        <v>39</v>
      </c>
      <c r="X502" s="43">
        <f>IFERROR(X501/H501,"0")</f>
        <v>0</v>
      </c>
      <c r="Y502" s="43">
        <f>IFERROR(Y501/H501,"0")</f>
        <v>0</v>
      </c>
      <c r="Z502" s="43">
        <f>IFERROR(IF(Z501="",0,Z501),"0")</f>
        <v>0</v>
      </c>
      <c r="AA502" s="67"/>
      <c r="AB502" s="67"/>
      <c r="AC502" s="67"/>
    </row>
    <row r="503" spans="1:68" x14ac:dyDescent="0.2">
      <c r="A503" s="681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2"/>
      <c r="P503" s="678" t="s">
        <v>40</v>
      </c>
      <c r="Q503" s="679"/>
      <c r="R503" s="679"/>
      <c r="S503" s="679"/>
      <c r="T503" s="679"/>
      <c r="U503" s="679"/>
      <c r="V503" s="680"/>
      <c r="W503" s="42" t="s">
        <v>0</v>
      </c>
      <c r="X503" s="43">
        <f>IFERROR(SUM(X501:X501),"0")</f>
        <v>0</v>
      </c>
      <c r="Y503" s="43">
        <f>IFERROR(SUM(Y501:Y501),"0")</f>
        <v>0</v>
      </c>
      <c r="Z503" s="42"/>
      <c r="AA503" s="67"/>
      <c r="AB503" s="67"/>
      <c r="AC503" s="67"/>
    </row>
    <row r="504" spans="1:68" ht="14.25" customHeight="1" x14ac:dyDescent="0.25">
      <c r="A504" s="672" t="s">
        <v>163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6"/>
      <c r="AB504" s="66"/>
      <c r="AC504" s="80"/>
    </row>
    <row r="505" spans="1:68" ht="27" customHeight="1" x14ac:dyDescent="0.25">
      <c r="A505" s="63" t="s">
        <v>797</v>
      </c>
      <c r="B505" s="63" t="s">
        <v>798</v>
      </c>
      <c r="C505" s="36">
        <v>4301020400</v>
      </c>
      <c r="D505" s="673">
        <v>4640242180519</v>
      </c>
      <c r="E505" s="673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133</v>
      </c>
      <c r="L505" s="37" t="s">
        <v>46</v>
      </c>
      <c r="M505" s="38" t="s">
        <v>132</v>
      </c>
      <c r="N505" s="38"/>
      <c r="O505" s="37">
        <v>50</v>
      </c>
      <c r="P505" s="9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5"/>
      <c r="R505" s="675"/>
      <c r="S505" s="675"/>
      <c r="T505" s="676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88" t="s">
        <v>799</v>
      </c>
      <c r="AG505" s="78"/>
      <c r="AJ505" s="84" t="s">
        <v>46</v>
      </c>
      <c r="AK505" s="84">
        <v>0</v>
      </c>
      <c r="BB505" s="589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81"/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2"/>
      <c r="P506" s="678" t="s">
        <v>40</v>
      </c>
      <c r="Q506" s="679"/>
      <c r="R506" s="679"/>
      <c r="S506" s="679"/>
      <c r="T506" s="679"/>
      <c r="U506" s="679"/>
      <c r="V506" s="680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81"/>
      <c r="B507" s="681"/>
      <c r="C507" s="681"/>
      <c r="D507" s="681"/>
      <c r="E507" s="681"/>
      <c r="F507" s="681"/>
      <c r="G507" s="681"/>
      <c r="H507" s="681"/>
      <c r="I507" s="681"/>
      <c r="J507" s="681"/>
      <c r="K507" s="681"/>
      <c r="L507" s="681"/>
      <c r="M507" s="681"/>
      <c r="N507" s="681"/>
      <c r="O507" s="682"/>
      <c r="P507" s="678" t="s">
        <v>40</v>
      </c>
      <c r="Q507" s="679"/>
      <c r="R507" s="679"/>
      <c r="S507" s="679"/>
      <c r="T507" s="679"/>
      <c r="U507" s="679"/>
      <c r="V507" s="680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72" t="s">
        <v>77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800</v>
      </c>
      <c r="B509" s="63" t="s">
        <v>801</v>
      </c>
      <c r="C509" s="36">
        <v>4301031467</v>
      </c>
      <c r="D509" s="673">
        <v>4640242180595</v>
      </c>
      <c r="E509" s="673"/>
      <c r="F509" s="62">
        <v>0.8</v>
      </c>
      <c r="G509" s="37">
        <v>6</v>
      </c>
      <c r="H509" s="62">
        <v>4.8</v>
      </c>
      <c r="I509" s="62">
        <v>5.05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9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590" t="s">
        <v>802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27" customHeight="1" x14ac:dyDescent="0.25">
      <c r="A510" s="63" t="s">
        <v>800</v>
      </c>
      <c r="B510" s="63" t="s">
        <v>803</v>
      </c>
      <c r="C510" s="36">
        <v>4301031500</v>
      </c>
      <c r="D510" s="673">
        <v>4640242180595</v>
      </c>
      <c r="E510" s="673"/>
      <c r="F510" s="62">
        <v>0.7</v>
      </c>
      <c r="G510" s="37">
        <v>6</v>
      </c>
      <c r="H510" s="62">
        <v>4.2</v>
      </c>
      <c r="I510" s="62">
        <v>4.45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40</v>
      </c>
      <c r="P510" s="9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592" t="s">
        <v>804</v>
      </c>
      <c r="AG510" s="78"/>
      <c r="AJ510" s="84" t="s">
        <v>46</v>
      </c>
      <c r="AK510" s="84">
        <v>0</v>
      </c>
      <c r="BB510" s="593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81"/>
      <c r="B511" s="681"/>
      <c r="C511" s="681"/>
      <c r="D511" s="681"/>
      <c r="E511" s="681"/>
      <c r="F511" s="681"/>
      <c r="G511" s="681"/>
      <c r="H511" s="681"/>
      <c r="I511" s="681"/>
      <c r="J511" s="681"/>
      <c r="K511" s="681"/>
      <c r="L511" s="681"/>
      <c r="M511" s="681"/>
      <c r="N511" s="681"/>
      <c r="O511" s="682"/>
      <c r="P511" s="678" t="s">
        <v>40</v>
      </c>
      <c r="Q511" s="679"/>
      <c r="R511" s="679"/>
      <c r="S511" s="679"/>
      <c r="T511" s="679"/>
      <c r="U511" s="679"/>
      <c r="V511" s="680"/>
      <c r="W511" s="42" t="s">
        <v>39</v>
      </c>
      <c r="X511" s="43">
        <f>IFERROR(X509/H509,"0")+IFERROR(X510/H510,"0")</f>
        <v>0</v>
      </c>
      <c r="Y511" s="43">
        <f>IFERROR(Y509/H509,"0")+IFERROR(Y510/H510,"0")</f>
        <v>0</v>
      </c>
      <c r="Z511" s="43">
        <f>IFERROR(IF(Z509="",0,Z509),"0")+IFERROR(IF(Z510="",0,Z510),"0")</f>
        <v>0</v>
      </c>
      <c r="AA511" s="67"/>
      <c r="AB511" s="67"/>
      <c r="AC511" s="67"/>
    </row>
    <row r="512" spans="1:68" x14ac:dyDescent="0.2">
      <c r="A512" s="681"/>
      <c r="B512" s="681"/>
      <c r="C512" s="681"/>
      <c r="D512" s="681"/>
      <c r="E512" s="681"/>
      <c r="F512" s="681"/>
      <c r="G512" s="681"/>
      <c r="H512" s="681"/>
      <c r="I512" s="681"/>
      <c r="J512" s="681"/>
      <c r="K512" s="681"/>
      <c r="L512" s="681"/>
      <c r="M512" s="681"/>
      <c r="N512" s="681"/>
      <c r="O512" s="682"/>
      <c r="P512" s="678" t="s">
        <v>40</v>
      </c>
      <c r="Q512" s="679"/>
      <c r="R512" s="679"/>
      <c r="S512" s="679"/>
      <c r="T512" s="679"/>
      <c r="U512" s="679"/>
      <c r="V512" s="680"/>
      <c r="W512" s="42" t="s">
        <v>0</v>
      </c>
      <c r="X512" s="43">
        <f>IFERROR(SUM(X509:X510),"0")</f>
        <v>0</v>
      </c>
      <c r="Y512" s="43">
        <f>IFERROR(SUM(Y509:Y510),"0")</f>
        <v>0</v>
      </c>
      <c r="Z512" s="42"/>
      <c r="AA512" s="67"/>
      <c r="AB512" s="67"/>
      <c r="AC512" s="67"/>
    </row>
    <row r="513" spans="1:68" ht="14.25" customHeight="1" x14ac:dyDescent="0.25">
      <c r="A513" s="672" t="s">
        <v>86</v>
      </c>
      <c r="B513" s="672"/>
      <c r="C513" s="672"/>
      <c r="D513" s="672"/>
      <c r="E513" s="672"/>
      <c r="F513" s="672"/>
      <c r="G513" s="672"/>
      <c r="H513" s="672"/>
      <c r="I513" s="672"/>
      <c r="J513" s="672"/>
      <c r="K513" s="672"/>
      <c r="L513" s="672"/>
      <c r="M513" s="672"/>
      <c r="N513" s="672"/>
      <c r="O513" s="672"/>
      <c r="P513" s="672"/>
      <c r="Q513" s="672"/>
      <c r="R513" s="672"/>
      <c r="S513" s="672"/>
      <c r="T513" s="672"/>
      <c r="U513" s="672"/>
      <c r="V513" s="672"/>
      <c r="W513" s="672"/>
      <c r="X513" s="672"/>
      <c r="Y513" s="672"/>
      <c r="Z513" s="672"/>
      <c r="AA513" s="66"/>
      <c r="AB513" s="66"/>
      <c r="AC513" s="80"/>
    </row>
    <row r="514" spans="1:68" ht="27" customHeight="1" x14ac:dyDescent="0.25">
      <c r="A514" s="63" t="s">
        <v>805</v>
      </c>
      <c r="B514" s="63" t="s">
        <v>806</v>
      </c>
      <c r="C514" s="36">
        <v>4301052046</v>
      </c>
      <c r="D514" s="673">
        <v>4640242180533</v>
      </c>
      <c r="E514" s="673"/>
      <c r="F514" s="62">
        <v>1.5</v>
      </c>
      <c r="G514" s="37">
        <v>6</v>
      </c>
      <c r="H514" s="62">
        <v>9</v>
      </c>
      <c r="I514" s="62">
        <v>9.4939999999999998</v>
      </c>
      <c r="J514" s="37">
        <v>64</v>
      </c>
      <c r="K514" s="37" t="s">
        <v>133</v>
      </c>
      <c r="L514" s="37" t="s">
        <v>46</v>
      </c>
      <c r="M514" s="38" t="s">
        <v>97</v>
      </c>
      <c r="N514" s="38"/>
      <c r="O514" s="37">
        <v>45</v>
      </c>
      <c r="P514" s="9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IFERROR(IF(Y514=0,"",ROUNDUP(Y514/H514,0)*0.01898),"")</f>
        <v/>
      </c>
      <c r="AA514" s="68" t="s">
        <v>46</v>
      </c>
      <c r="AB514" s="69" t="s">
        <v>46</v>
      </c>
      <c r="AC514" s="594" t="s">
        <v>807</v>
      </c>
      <c r="AG514" s="78"/>
      <c r="AJ514" s="84" t="s">
        <v>46</v>
      </c>
      <c r="AK514" s="84">
        <v>0</v>
      </c>
      <c r="BB514" s="59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81"/>
      <c r="B515" s="681"/>
      <c r="C515" s="681"/>
      <c r="D515" s="681"/>
      <c r="E515" s="681"/>
      <c r="F515" s="681"/>
      <c r="G515" s="681"/>
      <c r="H515" s="681"/>
      <c r="I515" s="681"/>
      <c r="J515" s="681"/>
      <c r="K515" s="681"/>
      <c r="L515" s="681"/>
      <c r="M515" s="681"/>
      <c r="N515" s="681"/>
      <c r="O515" s="682"/>
      <c r="P515" s="678" t="s">
        <v>40</v>
      </c>
      <c r="Q515" s="679"/>
      <c r="R515" s="679"/>
      <c r="S515" s="679"/>
      <c r="T515" s="679"/>
      <c r="U515" s="679"/>
      <c r="V515" s="680"/>
      <c r="W515" s="42" t="s">
        <v>39</v>
      </c>
      <c r="X515" s="43">
        <f>IFERROR(X514/H514,"0")</f>
        <v>0</v>
      </c>
      <c r="Y515" s="43">
        <f>IFERROR(Y514/H514,"0")</f>
        <v>0</v>
      </c>
      <c r="Z515" s="43">
        <f>IFERROR(IF(Z514="",0,Z514),"0")</f>
        <v>0</v>
      </c>
      <c r="AA515" s="67"/>
      <c r="AB515" s="67"/>
      <c r="AC515" s="67"/>
    </row>
    <row r="516" spans="1:68" x14ac:dyDescent="0.2">
      <c r="A516" s="681"/>
      <c r="B516" s="681"/>
      <c r="C516" s="681"/>
      <c r="D516" s="681"/>
      <c r="E516" s="681"/>
      <c r="F516" s="681"/>
      <c r="G516" s="681"/>
      <c r="H516" s="681"/>
      <c r="I516" s="681"/>
      <c r="J516" s="681"/>
      <c r="K516" s="681"/>
      <c r="L516" s="681"/>
      <c r="M516" s="681"/>
      <c r="N516" s="681"/>
      <c r="O516" s="682"/>
      <c r="P516" s="678" t="s">
        <v>40</v>
      </c>
      <c r="Q516" s="679"/>
      <c r="R516" s="679"/>
      <c r="S516" s="679"/>
      <c r="T516" s="679"/>
      <c r="U516" s="679"/>
      <c r="V516" s="680"/>
      <c r="W516" s="42" t="s">
        <v>0</v>
      </c>
      <c r="X516" s="43">
        <f>IFERROR(SUM(X514:X514),"0")</f>
        <v>0</v>
      </c>
      <c r="Y516" s="43">
        <f>IFERROR(SUM(Y514:Y514),"0")</f>
        <v>0</v>
      </c>
      <c r="Z516" s="42"/>
      <c r="AA516" s="67"/>
      <c r="AB516" s="67"/>
      <c r="AC516" s="67"/>
    </row>
    <row r="517" spans="1:68" ht="14.25" customHeight="1" x14ac:dyDescent="0.25">
      <c r="A517" s="672" t="s">
        <v>180</v>
      </c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72"/>
      <c r="P517" s="672"/>
      <c r="Q517" s="672"/>
      <c r="R517" s="672"/>
      <c r="S517" s="672"/>
      <c r="T517" s="672"/>
      <c r="U517" s="672"/>
      <c r="V517" s="672"/>
      <c r="W517" s="672"/>
      <c r="X517" s="672"/>
      <c r="Y517" s="672"/>
      <c r="Z517" s="672"/>
      <c r="AA517" s="66"/>
      <c r="AB517" s="66"/>
      <c r="AC517" s="80"/>
    </row>
    <row r="518" spans="1:68" ht="27" customHeight="1" x14ac:dyDescent="0.25">
      <c r="A518" s="63" t="s">
        <v>808</v>
      </c>
      <c r="B518" s="63" t="s">
        <v>809</v>
      </c>
      <c r="C518" s="36">
        <v>4301060535</v>
      </c>
      <c r="D518" s="673">
        <v>4640242180120</v>
      </c>
      <c r="E518" s="673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93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5"/>
      <c r="R518" s="675"/>
      <c r="S518" s="675"/>
      <c r="T518" s="67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27" customHeight="1" x14ac:dyDescent="0.25">
      <c r="A519" s="63" t="s">
        <v>811</v>
      </c>
      <c r="B519" s="63" t="s">
        <v>812</v>
      </c>
      <c r="C519" s="36">
        <v>4301060536</v>
      </c>
      <c r="D519" s="673">
        <v>4640242180137</v>
      </c>
      <c r="E519" s="673"/>
      <c r="F519" s="62">
        <v>1.5</v>
      </c>
      <c r="G519" s="37">
        <v>6</v>
      </c>
      <c r="H519" s="62">
        <v>9</v>
      </c>
      <c r="I519" s="62">
        <v>9.41</v>
      </c>
      <c r="J519" s="37">
        <v>64</v>
      </c>
      <c r="K519" s="37" t="s">
        <v>133</v>
      </c>
      <c r="L519" s="37" t="s">
        <v>46</v>
      </c>
      <c r="M519" s="38" t="s">
        <v>90</v>
      </c>
      <c r="N519" s="38"/>
      <c r="O519" s="37">
        <v>40</v>
      </c>
      <c r="P519" s="93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5"/>
      <c r="R519" s="675"/>
      <c r="S519" s="675"/>
      <c r="T519" s="67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598" t="s">
        <v>813</v>
      </c>
      <c r="AG519" s="78"/>
      <c r="AJ519" s="84" t="s">
        <v>46</v>
      </c>
      <c r="AK519" s="84">
        <v>0</v>
      </c>
      <c r="BB519" s="599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81"/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2"/>
      <c r="P520" s="678" t="s">
        <v>40</v>
      </c>
      <c r="Q520" s="679"/>
      <c r="R520" s="679"/>
      <c r="S520" s="679"/>
      <c r="T520" s="679"/>
      <c r="U520" s="679"/>
      <c r="V520" s="680"/>
      <c r="W520" s="42" t="s">
        <v>39</v>
      </c>
      <c r="X520" s="43">
        <f>IFERROR(X518/H518,"0")+IFERROR(X519/H519,"0")</f>
        <v>0</v>
      </c>
      <c r="Y520" s="43">
        <f>IFERROR(Y518/H518,"0")+IFERROR(Y519/H519,"0")</f>
        <v>0</v>
      </c>
      <c r="Z520" s="43">
        <f>IFERROR(IF(Z518="",0,Z518),"0")+IFERROR(IF(Z519="",0,Z519),"0")</f>
        <v>0</v>
      </c>
      <c r="AA520" s="67"/>
      <c r="AB520" s="67"/>
      <c r="AC520" s="67"/>
    </row>
    <row r="521" spans="1:68" x14ac:dyDescent="0.2">
      <c r="A521" s="681"/>
      <c r="B521" s="681"/>
      <c r="C521" s="681"/>
      <c r="D521" s="681"/>
      <c r="E521" s="681"/>
      <c r="F521" s="681"/>
      <c r="G521" s="681"/>
      <c r="H521" s="681"/>
      <c r="I521" s="681"/>
      <c r="J521" s="681"/>
      <c r="K521" s="681"/>
      <c r="L521" s="681"/>
      <c r="M521" s="681"/>
      <c r="N521" s="681"/>
      <c r="O521" s="682"/>
      <c r="P521" s="678" t="s">
        <v>40</v>
      </c>
      <c r="Q521" s="679"/>
      <c r="R521" s="679"/>
      <c r="S521" s="679"/>
      <c r="T521" s="679"/>
      <c r="U521" s="679"/>
      <c r="V521" s="680"/>
      <c r="W521" s="42" t="s">
        <v>0</v>
      </c>
      <c r="X521" s="43">
        <f>IFERROR(SUM(X518:X519),"0")</f>
        <v>0</v>
      </c>
      <c r="Y521" s="43">
        <f>IFERROR(SUM(Y518:Y519),"0")</f>
        <v>0</v>
      </c>
      <c r="Z521" s="42"/>
      <c r="AA521" s="67"/>
      <c r="AB521" s="67"/>
      <c r="AC521" s="67"/>
    </row>
    <row r="522" spans="1:68" ht="16.5" customHeight="1" x14ac:dyDescent="0.25">
      <c r="A522" s="671" t="s">
        <v>814</v>
      </c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  <c r="AA522" s="65"/>
      <c r="AB522" s="65"/>
      <c r="AC522" s="79"/>
    </row>
    <row r="523" spans="1:68" ht="14.25" customHeight="1" x14ac:dyDescent="0.25">
      <c r="A523" s="672" t="s">
        <v>163</v>
      </c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72"/>
      <c r="P523" s="672"/>
      <c r="Q523" s="672"/>
      <c r="R523" s="672"/>
      <c r="S523" s="672"/>
      <c r="T523" s="672"/>
      <c r="U523" s="672"/>
      <c r="V523" s="672"/>
      <c r="W523" s="672"/>
      <c r="X523" s="672"/>
      <c r="Y523" s="672"/>
      <c r="Z523" s="672"/>
      <c r="AA523" s="66"/>
      <c r="AB523" s="66"/>
      <c r="AC523" s="80"/>
    </row>
    <row r="524" spans="1:68" ht="27" customHeight="1" x14ac:dyDescent="0.25">
      <c r="A524" s="63" t="s">
        <v>815</v>
      </c>
      <c r="B524" s="63" t="s">
        <v>816</v>
      </c>
      <c r="C524" s="36">
        <v>4301020428</v>
      </c>
      <c r="D524" s="673">
        <v>4640242180090</v>
      </c>
      <c r="E524" s="673"/>
      <c r="F524" s="62">
        <v>1.5</v>
      </c>
      <c r="G524" s="37">
        <v>8</v>
      </c>
      <c r="H524" s="62">
        <v>12</v>
      </c>
      <c r="I524" s="62">
        <v>12.41</v>
      </c>
      <c r="J524" s="37">
        <v>64</v>
      </c>
      <c r="K524" s="37" t="s">
        <v>133</v>
      </c>
      <c r="L524" s="37" t="s">
        <v>46</v>
      </c>
      <c r="M524" s="38" t="s">
        <v>132</v>
      </c>
      <c r="N524" s="38"/>
      <c r="O524" s="37">
        <v>50</v>
      </c>
      <c r="P524" s="9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5"/>
      <c r="R524" s="675"/>
      <c r="S524" s="675"/>
      <c r="T524" s="676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0" t="s">
        <v>817</v>
      </c>
      <c r="AG524" s="78"/>
      <c r="AJ524" s="84" t="s">
        <v>46</v>
      </c>
      <c r="AK524" s="84">
        <v>0</v>
      </c>
      <c r="BB524" s="601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2"/>
      <c r="P525" s="678" t="s">
        <v>40</v>
      </c>
      <c r="Q525" s="679"/>
      <c r="R525" s="679"/>
      <c r="S525" s="679"/>
      <c r="T525" s="679"/>
      <c r="U525" s="679"/>
      <c r="V525" s="680"/>
      <c r="W525" s="42" t="s">
        <v>39</v>
      </c>
      <c r="X525" s="43">
        <f>IFERROR(X524/H524,"0")</f>
        <v>0</v>
      </c>
      <c r="Y525" s="43">
        <f>IFERROR(Y524/H524,"0")</f>
        <v>0</v>
      </c>
      <c r="Z525" s="43">
        <f>IFERROR(IF(Z524="",0,Z524),"0")</f>
        <v>0</v>
      </c>
      <c r="AA525" s="67"/>
      <c r="AB525" s="67"/>
      <c r="AC525" s="67"/>
    </row>
    <row r="526" spans="1:68" x14ac:dyDescent="0.2">
      <c r="A526" s="681"/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2"/>
      <c r="P526" s="678" t="s">
        <v>40</v>
      </c>
      <c r="Q526" s="679"/>
      <c r="R526" s="679"/>
      <c r="S526" s="679"/>
      <c r="T526" s="679"/>
      <c r="U526" s="679"/>
      <c r="V526" s="680"/>
      <c r="W526" s="42" t="s">
        <v>0</v>
      </c>
      <c r="X526" s="43">
        <f>IFERROR(SUM(X524:X524),"0")</f>
        <v>0</v>
      </c>
      <c r="Y526" s="43">
        <f>IFERROR(SUM(Y524:Y524),"0")</f>
        <v>0</v>
      </c>
      <c r="Z526" s="42"/>
      <c r="AA526" s="67"/>
      <c r="AB526" s="67"/>
      <c r="AC526" s="67"/>
    </row>
    <row r="527" spans="1:68" ht="15" customHeight="1" x14ac:dyDescent="0.2">
      <c r="A527" s="681"/>
      <c r="B527" s="681"/>
      <c r="C527" s="681"/>
      <c r="D527" s="681"/>
      <c r="E527" s="681"/>
      <c r="F527" s="681"/>
      <c r="G527" s="681"/>
      <c r="H527" s="681"/>
      <c r="I527" s="681"/>
      <c r="J527" s="681"/>
      <c r="K527" s="681"/>
      <c r="L527" s="681"/>
      <c r="M527" s="681"/>
      <c r="N527" s="681"/>
      <c r="O527" s="942"/>
      <c r="P527" s="939" t="s">
        <v>33</v>
      </c>
      <c r="Q527" s="940"/>
      <c r="R527" s="940"/>
      <c r="S527" s="940"/>
      <c r="T527" s="940"/>
      <c r="U527" s="940"/>
      <c r="V527" s="941"/>
      <c r="W527" s="42" t="s">
        <v>0</v>
      </c>
      <c r="X527" s="43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3851.1</v>
      </c>
      <c r="Y527" s="43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3851.1</v>
      </c>
      <c r="Z527" s="42"/>
      <c r="AA527" s="67"/>
      <c r="AB527" s="67"/>
      <c r="AC527" s="67"/>
    </row>
    <row r="528" spans="1:68" x14ac:dyDescent="0.2">
      <c r="A528" s="681"/>
      <c r="B528" s="681"/>
      <c r="C528" s="681"/>
      <c r="D528" s="681"/>
      <c r="E528" s="681"/>
      <c r="F528" s="681"/>
      <c r="G528" s="681"/>
      <c r="H528" s="681"/>
      <c r="I528" s="681"/>
      <c r="J528" s="681"/>
      <c r="K528" s="681"/>
      <c r="L528" s="681"/>
      <c r="M528" s="681"/>
      <c r="N528" s="681"/>
      <c r="O528" s="942"/>
      <c r="P528" s="939" t="s">
        <v>34</v>
      </c>
      <c r="Q528" s="940"/>
      <c r="R528" s="940"/>
      <c r="S528" s="940"/>
      <c r="T528" s="940"/>
      <c r="U528" s="940"/>
      <c r="V528" s="941"/>
      <c r="W528" s="42" t="s">
        <v>0</v>
      </c>
      <c r="X528" s="43">
        <f>IFERROR(SUM(BM22:BM524),"0")</f>
        <v>4037.2759999999998</v>
      </c>
      <c r="Y528" s="43">
        <f>IFERROR(SUM(BN22:BN524),"0")</f>
        <v>4037.2759999999998</v>
      </c>
      <c r="Z528" s="42"/>
      <c r="AA528" s="67"/>
      <c r="AB528" s="67"/>
      <c r="AC528" s="67"/>
    </row>
    <row r="529" spans="1:32" x14ac:dyDescent="0.2">
      <c r="A529" s="681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942"/>
      <c r="P529" s="939" t="s">
        <v>35</v>
      </c>
      <c r="Q529" s="940"/>
      <c r="R529" s="940"/>
      <c r="S529" s="940"/>
      <c r="T529" s="940"/>
      <c r="U529" s="940"/>
      <c r="V529" s="941"/>
      <c r="W529" s="42" t="s">
        <v>20</v>
      </c>
      <c r="X529" s="44">
        <f>ROUNDUP(SUM(BO22:BO524),0)</f>
        <v>7</v>
      </c>
      <c r="Y529" s="44">
        <f>ROUNDUP(SUM(BP22:BP524),0)</f>
        <v>7</v>
      </c>
      <c r="Z529" s="42"/>
      <c r="AA529" s="67"/>
      <c r="AB529" s="67"/>
      <c r="AC529" s="67"/>
    </row>
    <row r="530" spans="1:32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942"/>
      <c r="P530" s="939" t="s">
        <v>36</v>
      </c>
      <c r="Q530" s="940"/>
      <c r="R530" s="940"/>
      <c r="S530" s="940"/>
      <c r="T530" s="940"/>
      <c r="U530" s="940"/>
      <c r="V530" s="941"/>
      <c r="W530" s="42" t="s">
        <v>0</v>
      </c>
      <c r="X530" s="43">
        <f>GrossWeightTotal+PalletQtyTotal*25</f>
        <v>4212.2759999999998</v>
      </c>
      <c r="Y530" s="43">
        <f>GrossWeightTotalR+PalletQtyTotalR*25</f>
        <v>4212.2759999999998</v>
      </c>
      <c r="Z530" s="42"/>
      <c r="AA530" s="67"/>
      <c r="AB530" s="67"/>
      <c r="AC530" s="67"/>
    </row>
    <row r="531" spans="1:32" x14ac:dyDescent="0.2">
      <c r="A531" s="681"/>
      <c r="B531" s="681"/>
      <c r="C531" s="681"/>
      <c r="D531" s="681"/>
      <c r="E531" s="681"/>
      <c r="F531" s="681"/>
      <c r="G531" s="681"/>
      <c r="H531" s="681"/>
      <c r="I531" s="681"/>
      <c r="J531" s="681"/>
      <c r="K531" s="681"/>
      <c r="L531" s="681"/>
      <c r="M531" s="681"/>
      <c r="N531" s="681"/>
      <c r="O531" s="942"/>
      <c r="P531" s="939" t="s">
        <v>37</v>
      </c>
      <c r="Q531" s="940"/>
      <c r="R531" s="940"/>
      <c r="S531" s="940"/>
      <c r="T531" s="940"/>
      <c r="U531" s="940"/>
      <c r="V531" s="941"/>
      <c r="W531" s="42" t="s">
        <v>20</v>
      </c>
      <c r="X531" s="43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428</v>
      </c>
      <c r="Y531" s="43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428</v>
      </c>
      <c r="Z531" s="42"/>
      <c r="AA531" s="67"/>
      <c r="AB531" s="67"/>
      <c r="AC531" s="67"/>
    </row>
    <row r="532" spans="1:32" ht="14.25" x14ac:dyDescent="0.2">
      <c r="A532" s="681"/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942"/>
      <c r="P532" s="939" t="s">
        <v>38</v>
      </c>
      <c r="Q532" s="940"/>
      <c r="R532" s="940"/>
      <c r="S532" s="940"/>
      <c r="T532" s="940"/>
      <c r="U532" s="940"/>
      <c r="V532" s="941"/>
      <c r="W532" s="45" t="s">
        <v>52</v>
      </c>
      <c r="X532" s="42"/>
      <c r="Y532" s="42"/>
      <c r="Z532" s="42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7.6409600000000006</v>
      </c>
      <c r="AA532" s="67"/>
      <c r="AB532" s="67"/>
      <c r="AC532" s="67"/>
    </row>
    <row r="533" spans="1:32" ht="13.5" thickBot="1" x14ac:dyDescent="0.25"/>
    <row r="534" spans="1:32" ht="27" thickTop="1" thickBot="1" x14ac:dyDescent="0.25">
      <c r="A534" s="46" t="s">
        <v>9</v>
      </c>
      <c r="B534" s="85" t="s">
        <v>76</v>
      </c>
      <c r="C534" s="85" t="s">
        <v>45</v>
      </c>
      <c r="D534" s="945" t="s">
        <v>126</v>
      </c>
      <c r="E534" s="945" t="s">
        <v>126</v>
      </c>
      <c r="F534" s="945" t="s">
        <v>126</v>
      </c>
      <c r="G534" s="945" t="s">
        <v>126</v>
      </c>
      <c r="H534" s="945" t="s">
        <v>126</v>
      </c>
      <c r="I534" s="945" t="s">
        <v>126</v>
      </c>
      <c r="J534" s="945" t="s">
        <v>126</v>
      </c>
      <c r="K534" s="945" t="s">
        <v>333</v>
      </c>
      <c r="L534" s="945" t="s">
        <v>333</v>
      </c>
      <c r="M534" s="945" t="s">
        <v>333</v>
      </c>
      <c r="N534" s="946"/>
      <c r="O534" s="945" t="s">
        <v>333</v>
      </c>
      <c r="P534" s="945" t="s">
        <v>333</v>
      </c>
      <c r="Q534" s="945" t="s">
        <v>333</v>
      </c>
      <c r="R534" s="945" t="s">
        <v>333</v>
      </c>
      <c r="S534" s="945" t="s">
        <v>333</v>
      </c>
      <c r="T534" s="945" t="s">
        <v>333</v>
      </c>
      <c r="U534" s="945" t="s">
        <v>333</v>
      </c>
      <c r="V534" s="945" t="s">
        <v>650</v>
      </c>
      <c r="W534" s="945" t="s">
        <v>650</v>
      </c>
      <c r="X534" s="945" t="s">
        <v>710</v>
      </c>
      <c r="Y534" s="945" t="s">
        <v>710</v>
      </c>
      <c r="Z534" s="85" t="s">
        <v>746</v>
      </c>
      <c r="AA534" s="945" t="s">
        <v>793</v>
      </c>
      <c r="AB534" s="945" t="s">
        <v>793</v>
      </c>
      <c r="AC534" s="60"/>
      <c r="AF534" s="1"/>
    </row>
    <row r="535" spans="1:32" ht="14.25" customHeight="1" thickTop="1" x14ac:dyDescent="0.2">
      <c r="A535" s="943" t="s">
        <v>10</v>
      </c>
      <c r="B535" s="945" t="s">
        <v>76</v>
      </c>
      <c r="C535" s="945" t="s">
        <v>113</v>
      </c>
      <c r="D535" s="945" t="s">
        <v>127</v>
      </c>
      <c r="E535" s="945" t="s">
        <v>143</v>
      </c>
      <c r="F535" s="945" t="s">
        <v>187</v>
      </c>
      <c r="G535" s="945" t="s">
        <v>208</v>
      </c>
      <c r="H535" s="945" t="s">
        <v>251</v>
      </c>
      <c r="I535" s="945" t="s">
        <v>263</v>
      </c>
      <c r="J535" s="945" t="s">
        <v>126</v>
      </c>
      <c r="K535" s="945" t="s">
        <v>334</v>
      </c>
      <c r="L535" s="945" t="s">
        <v>346</v>
      </c>
      <c r="M535" s="945" t="s">
        <v>405</v>
      </c>
      <c r="N535" s="1"/>
      <c r="O535" s="945" t="s">
        <v>473</v>
      </c>
      <c r="P535" s="945" t="s">
        <v>509</v>
      </c>
      <c r="Q535" s="945" t="s">
        <v>525</v>
      </c>
      <c r="R535" s="945" t="s">
        <v>534</v>
      </c>
      <c r="S535" s="945" t="s">
        <v>555</v>
      </c>
      <c r="T535" s="945" t="s">
        <v>565</v>
      </c>
      <c r="U535" s="945" t="s">
        <v>640</v>
      </c>
      <c r="V535" s="945" t="s">
        <v>651</v>
      </c>
      <c r="W535" s="945" t="s">
        <v>694</v>
      </c>
      <c r="X535" s="945" t="s">
        <v>711</v>
      </c>
      <c r="Y535" s="945" t="s">
        <v>734</v>
      </c>
      <c r="Z535" s="945" t="s">
        <v>746</v>
      </c>
      <c r="AA535" s="945" t="s">
        <v>793</v>
      </c>
      <c r="AB535" s="945" t="s">
        <v>814</v>
      </c>
      <c r="AC535" s="60"/>
      <c r="AF535" s="1"/>
    </row>
    <row r="536" spans="1:32" ht="13.5" thickBot="1" x14ac:dyDescent="0.25">
      <c r="A536" s="944"/>
      <c r="B536" s="945"/>
      <c r="C536" s="945"/>
      <c r="D536" s="945"/>
      <c r="E536" s="945"/>
      <c r="F536" s="945"/>
      <c r="G536" s="945"/>
      <c r="H536" s="945"/>
      <c r="I536" s="945"/>
      <c r="J536" s="945"/>
      <c r="K536" s="945"/>
      <c r="L536" s="945"/>
      <c r="M536" s="945"/>
      <c r="N536" s="1"/>
      <c r="O536" s="945"/>
      <c r="P536" s="945"/>
      <c r="Q536" s="945"/>
      <c r="R536" s="945"/>
      <c r="S536" s="945"/>
      <c r="T536" s="945"/>
      <c r="U536" s="945"/>
      <c r="V536" s="945"/>
      <c r="W536" s="945"/>
      <c r="X536" s="945"/>
      <c r="Y536" s="945"/>
      <c r="Z536" s="945"/>
      <c r="AA536" s="945"/>
      <c r="AB536" s="945"/>
      <c r="AC536" s="60"/>
      <c r="AF536" s="1"/>
    </row>
    <row r="537" spans="1:32" ht="18" thickTop="1" thickBot="1" x14ac:dyDescent="0.25">
      <c r="A537" s="46" t="s">
        <v>13</v>
      </c>
      <c r="B537" s="52">
        <f>IFERROR(Y22*1,"0")+IFERROR(Y23*1,"0")+IFERROR(Y27*1,"0")+IFERROR(Y28*1,"0")+IFERROR(Y29*1,"0")+IFERROR(Y30*1,"0")+IFERROR(Y31*1,"0")+IFERROR(Y32*1,"0")+IFERROR(Y36*1,"0")</f>
        <v>0</v>
      </c>
      <c r="C537" s="52">
        <f>IFERROR(Y42*1,"0")+IFERROR(Y43*1,"0")+IFERROR(Y44*1,"0")+IFERROR(Y45*1,"0")</f>
        <v>0</v>
      </c>
      <c r="D537" s="52">
        <f>IFERROR(Y51*1,"0")+IFERROR(Y52*1,"0")+IFERROR(Y53*1,"0")+IFERROR(Y54*1,"0")</f>
        <v>60</v>
      </c>
      <c r="E537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60</v>
      </c>
      <c r="F537" s="52">
        <f>IFERROR(Y87*1,"0")+IFERROR(Y88*1,"0")+IFERROR(Y89*1,"0")+IFERROR(Y90*1,"0")+IFERROR(Y94*1,"0")+IFERROR(Y95*1,"0")+IFERROR(Y96*1,"0")+IFERROR(Y97*1,"0")</f>
        <v>121.5</v>
      </c>
      <c r="G537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2">
        <f>IFERROR(Y133*1,"0")+IFERROR(Y134*1,"0")+IFERROR(Y138*1,"0")+IFERROR(Y139*1,"0")+IFERROR(Y143*1,"0")+IFERROR(Y144*1,"0")</f>
        <v>0</v>
      </c>
      <c r="I537" s="52">
        <f>IFERROR(Y149*1,"0")+IFERROR(Y150*1,"0")+IFERROR(Y151*1,"0")+IFERROR(Y152*1,"0")</f>
        <v>0</v>
      </c>
      <c r="J537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2">
        <f>IFERROR(Y196*1,"0")+IFERROR(Y197*1,"0")+IFERROR(Y198*1,"0")+IFERROR(Y199*1,"0")</f>
        <v>0</v>
      </c>
      <c r="L537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2">
        <f>IFERROR(Y309*1,"0")+IFERROR(Y310*1,"0")+IFERROR(Y311*1,"0")+IFERROR(Y312*1,"0")+IFERROR(Y313*1,"0")</f>
        <v>216</v>
      </c>
      <c r="Q537" s="52">
        <f>IFERROR(Y318*1,"0")+IFERROR(Y319*1,"0")+IFERROR(Y320*1,"0")</f>
        <v>0</v>
      </c>
      <c r="R537" s="52">
        <f>IFERROR(Y325*1,"0")+IFERROR(Y326*1,"0")+IFERROR(Y327*1,"0")+IFERROR(Y328*1,"0")+IFERROR(Y329*1,"0")+IFERROR(Y333*1,"0")+IFERROR(Y334*1,"0")</f>
        <v>0</v>
      </c>
      <c r="S537" s="52">
        <f>IFERROR(Y339*1,"0")+IFERROR(Y340*1,"0")+IFERROR(Y341*1,"0")</f>
        <v>0</v>
      </c>
      <c r="T537" s="52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1800.6</v>
      </c>
      <c r="U537" s="52">
        <f>IFERROR(Y392*1,"0")+IFERROR(Y393*1,"0")+IFERROR(Y394*1,"0")</f>
        <v>21</v>
      </c>
      <c r="V537" s="52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1440</v>
      </c>
      <c r="W537" s="52">
        <f>IFERROR(Y427*1,"0")+IFERROR(Y428*1,"0")+IFERROR(Y432*1,"0")+IFERROR(Y436*1,"0")+IFERROR(Y437*1,"0")+IFERROR(Y438*1,"0")</f>
        <v>0</v>
      </c>
      <c r="X537" s="52">
        <f>IFERROR(Y444*1,"0")+IFERROR(Y445*1,"0")+IFERROR(Y446*1,"0")+IFERROR(Y447*1,"0")+IFERROR(Y448*1,"0")+IFERROR(Y449*1,"0")+IFERROR(Y453*1,"0")+IFERROR(Y454*1,"0")</f>
        <v>0</v>
      </c>
      <c r="Y537" s="52">
        <f>IFERROR(Y459*1,"0")+IFERROR(Y463*1,"0")+IFERROR(Y464*1,"0")+IFERROR(Y465*1,"0")</f>
        <v>0</v>
      </c>
      <c r="Z537" s="52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132</v>
      </c>
      <c r="AA537" s="52">
        <f>IFERROR(Y501*1,"0")+IFERROR(Y505*1,"0")+IFERROR(Y509*1,"0")+IFERROR(Y510*1,"0")+IFERROR(Y514*1,"0")+IFERROR(Y518*1,"0")+IFERROR(Y519*1,"0")</f>
        <v>0</v>
      </c>
      <c r="AB537" s="52">
        <f>IFERROR(Y524*1,"0")</f>
        <v>0</v>
      </c>
      <c r="AC537" s="60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3" t="s">
        <v>819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821</v>
      </c>
      <c r="C6" s="53" t="s">
        <v>822</v>
      </c>
      <c r="D6" s="53" t="s">
        <v>823</v>
      </c>
      <c r="E6" s="53" t="s">
        <v>46</v>
      </c>
    </row>
    <row r="7" spans="2:8" x14ac:dyDescent="0.2">
      <c r="B7" s="53" t="s">
        <v>824</v>
      </c>
      <c r="C7" s="53" t="s">
        <v>825</v>
      </c>
      <c r="D7" s="53" t="s">
        <v>826</v>
      </c>
      <c r="E7" s="53" t="s">
        <v>46</v>
      </c>
    </row>
    <row r="8" spans="2:8" x14ac:dyDescent="0.2">
      <c r="B8" s="53" t="s">
        <v>827</v>
      </c>
      <c r="C8" s="53" t="s">
        <v>828</v>
      </c>
      <c r="D8" s="53" t="s">
        <v>829</v>
      </c>
      <c r="E8" s="53" t="s">
        <v>46</v>
      </c>
    </row>
    <row r="10" spans="2:8" x14ac:dyDescent="0.2">
      <c r="B10" s="53" t="s">
        <v>830</v>
      </c>
      <c r="C10" s="53" t="s">
        <v>822</v>
      </c>
      <c r="D10" s="53" t="s">
        <v>46</v>
      </c>
      <c r="E10" s="53" t="s">
        <v>46</v>
      </c>
    </row>
    <row r="12" spans="2:8" x14ac:dyDescent="0.2">
      <c r="B12" s="53" t="s">
        <v>831</v>
      </c>
      <c r="C12" s="53" t="s">
        <v>825</v>
      </c>
      <c r="D12" s="53" t="s">
        <v>46</v>
      </c>
      <c r="E12" s="53" t="s">
        <v>46</v>
      </c>
    </row>
    <row r="14" spans="2:8" x14ac:dyDescent="0.2">
      <c r="B14" s="53" t="s">
        <v>832</v>
      </c>
      <c r="C14" s="53" t="s">
        <v>828</v>
      </c>
      <c r="D14" s="53" t="s">
        <v>46</v>
      </c>
      <c r="E14" s="53" t="s">
        <v>46</v>
      </c>
    </row>
    <row r="16" spans="2:8" x14ac:dyDescent="0.2">
      <c r="B16" s="53" t="s">
        <v>833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835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836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837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838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839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841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842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843</v>
      </c>
      <c r="C26" s="53" t="s">
        <v>46</v>
      </c>
      <c r="D26" s="53" t="s">
        <v>46</v>
      </c>
      <c r="E26" s="53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2026-06-30T08:10:06Z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