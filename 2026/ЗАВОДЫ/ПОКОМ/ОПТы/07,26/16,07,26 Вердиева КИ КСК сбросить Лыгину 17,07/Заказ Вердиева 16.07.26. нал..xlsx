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ED550835-9A80-4696-BF39-85121F3FE1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Y396" i="2" l="1"/>
  <c r="Z117" i="2"/>
  <c r="BN117" i="2"/>
  <c r="Z281" i="2"/>
  <c r="BN281" i="2"/>
  <c r="Z221" i="2"/>
  <c r="BP373" i="2"/>
  <c r="Z65" i="2"/>
  <c r="BN65" i="2"/>
  <c r="Z176" i="2"/>
  <c r="BN176" i="2"/>
  <c r="Z254" i="2"/>
  <c r="BP317" i="2"/>
  <c r="Z419" i="2"/>
  <c r="X535" i="2"/>
  <c r="X538" i="2"/>
  <c r="Z27" i="2"/>
  <c r="BN27" i="2"/>
  <c r="Z152" i="2"/>
  <c r="BN152" i="2"/>
  <c r="Z202" i="2"/>
  <c r="Z231" i="2"/>
  <c r="Z275" i="2"/>
  <c r="Z297" i="2"/>
  <c r="Z354" i="2"/>
  <c r="Z409" i="2"/>
  <c r="Z460" i="2"/>
  <c r="BN460" i="2"/>
  <c r="Y462" i="2"/>
  <c r="Z42" i="2"/>
  <c r="BN42" i="2"/>
  <c r="Z89" i="2"/>
  <c r="BP108" i="2"/>
  <c r="Z129" i="2"/>
  <c r="Z130" i="2" s="1"/>
  <c r="BN129" i="2"/>
  <c r="BP129" i="2"/>
  <c r="Y130" i="2"/>
  <c r="Z163" i="2"/>
  <c r="Z164" i="2" s="1"/>
  <c r="BP199" i="2"/>
  <c r="Z219" i="2"/>
  <c r="Z222" i="2"/>
  <c r="Z232" i="2"/>
  <c r="Z262" i="2"/>
  <c r="BN262" i="2"/>
  <c r="BP294" i="2"/>
  <c r="Z309" i="2"/>
  <c r="Z320" i="2"/>
  <c r="BN320" i="2"/>
  <c r="Z325" i="2"/>
  <c r="Z372" i="2"/>
  <c r="Z407" i="2"/>
  <c r="BN407" i="2"/>
  <c r="Z411" i="2"/>
  <c r="BN411" i="2"/>
  <c r="Z516" i="2"/>
  <c r="BP73" i="2"/>
  <c r="BN73" i="2"/>
  <c r="Z73" i="2"/>
  <c r="BN113" i="2"/>
  <c r="BN123" i="2"/>
  <c r="BP139" i="2"/>
  <c r="Z139" i="2"/>
  <c r="Y194" i="2"/>
  <c r="Y193" i="2"/>
  <c r="BP192" i="2"/>
  <c r="BN192" i="2"/>
  <c r="Z192" i="2"/>
  <c r="Z193" i="2" s="1"/>
  <c r="Y211" i="2"/>
  <c r="Y210" i="2"/>
  <c r="BP209" i="2"/>
  <c r="BN209" i="2"/>
  <c r="Z209" i="2"/>
  <c r="Z210" i="2" s="1"/>
  <c r="BP218" i="2"/>
  <c r="Z218" i="2"/>
  <c r="BP264" i="2"/>
  <c r="BN264" i="2"/>
  <c r="Z264" i="2"/>
  <c r="BP271" i="2"/>
  <c r="Z271" i="2"/>
  <c r="BN295" i="2"/>
  <c r="Z295" i="2"/>
  <c r="BN318" i="2"/>
  <c r="Z318" i="2"/>
  <c r="X536" i="2"/>
  <c r="X534" i="2"/>
  <c r="Y37" i="2"/>
  <c r="BN53" i="2"/>
  <c r="BP53" i="2"/>
  <c r="BP63" i="2"/>
  <c r="BN63" i="2"/>
  <c r="Z63" i="2"/>
  <c r="BN91" i="2"/>
  <c r="BN159" i="2"/>
  <c r="BP174" i="2"/>
  <c r="BN174" i="2"/>
  <c r="Z174" i="2"/>
  <c r="BN201" i="2"/>
  <c r="Z201" i="2"/>
  <c r="BN225" i="2"/>
  <c r="BN255" i="2"/>
  <c r="Z255" i="2"/>
  <c r="BN276" i="2"/>
  <c r="BN278" i="2"/>
  <c r="BP293" i="2"/>
  <c r="BN293" i="2"/>
  <c r="Z293" i="2"/>
  <c r="BP327" i="2"/>
  <c r="BN327" i="2"/>
  <c r="Z327" i="2"/>
  <c r="BN346" i="2"/>
  <c r="Y350" i="2"/>
  <c r="BP356" i="2"/>
  <c r="BN357" i="2"/>
  <c r="BP393" i="2"/>
  <c r="BN394" i="2"/>
  <c r="BP399" i="2"/>
  <c r="BN400" i="2"/>
  <c r="BP413" i="2"/>
  <c r="BN429" i="2"/>
  <c r="BN445" i="2"/>
  <c r="BN454" i="2"/>
  <c r="BN482" i="2"/>
  <c r="Y92" i="2"/>
  <c r="Y165" i="2"/>
  <c r="BN170" i="2"/>
  <c r="BP202" i="2"/>
  <c r="BN203" i="2"/>
  <c r="Y228" i="2"/>
  <c r="BN217" i="2"/>
  <c r="BP219" i="2"/>
  <c r="BP221" i="2"/>
  <c r="BP231" i="2"/>
  <c r="Y268" i="2"/>
  <c r="BP297" i="2"/>
  <c r="BP309" i="2"/>
  <c r="BN310" i="2"/>
  <c r="BN336" i="2"/>
  <c r="BP353" i="2"/>
  <c r="Z356" i="2"/>
  <c r="BN362" i="2"/>
  <c r="Z365" i="2"/>
  <c r="BN366" i="2"/>
  <c r="Z368" i="2"/>
  <c r="BN368" i="2"/>
  <c r="BP372" i="2"/>
  <c r="Z374" i="2"/>
  <c r="Y383" i="2"/>
  <c r="BN380" i="2"/>
  <c r="Z381" i="2"/>
  <c r="BN387" i="2"/>
  <c r="Z393" i="2"/>
  <c r="Y395" i="2"/>
  <c r="Z399" i="2"/>
  <c r="BP408" i="2"/>
  <c r="Z413" i="2"/>
  <c r="BP418" i="2"/>
  <c r="Y430" i="2"/>
  <c r="BN452" i="2"/>
  <c r="Y463" i="2"/>
  <c r="BN497" i="2"/>
  <c r="BN499" i="2"/>
  <c r="Z512" i="2"/>
  <c r="Z513" i="2" s="1"/>
  <c r="BP51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312" i="2" l="1"/>
  <c r="Z328" i="2"/>
  <c r="Z256" i="2"/>
  <c r="Z395" i="2"/>
  <c r="Z462" i="2"/>
  <c r="Z349" i="2"/>
  <c r="Z321" i="2"/>
  <c r="X537" i="2"/>
  <c r="Z46" i="2"/>
  <c r="Z389" i="2"/>
  <c r="Z32" i="2"/>
  <c r="Z527" i="2"/>
  <c r="Z473" i="2"/>
  <c r="Z382" i="2"/>
  <c r="Z415" i="2"/>
  <c r="Z282" i="2"/>
  <c r="Z99" i="2"/>
  <c r="Z298" i="2"/>
  <c r="Z235" i="2"/>
  <c r="Z518" i="2"/>
  <c r="Z426" i="2"/>
  <c r="Z184" i="2"/>
  <c r="Z359" i="2"/>
  <c r="Z402" i="2"/>
  <c r="Z92" i="2"/>
  <c r="Z55" i="2"/>
  <c r="Z376" i="2"/>
  <c r="Z369" i="2"/>
  <c r="Z267" i="2"/>
  <c r="Z251" i="2"/>
  <c r="Z154" i="2"/>
  <c r="Z84" i="2"/>
  <c r="Z205" i="2"/>
  <c r="Z141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<sst xmlns="http://schemas.openxmlformats.org/spreadsheetml/2006/main" count="4039" uniqueCount="855">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</sst>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B17" sqref="B17:B1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46216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Понедельник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8.4</v>
      </c>
      <c r="Y28" s="55">
        <f>IFERROR(IF(X28="",0,CEILING((X28/$H28),1)*$H28),"")</f>
        <v>10.08</v>
      </c>
      <c r="Z28" s="41">
        <f>IFERROR(IF(Y28=0,"",ROUNDUP(Y28/H28,0)*0.00651),"")</f>
        <v>2.6040000000000001E-2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9.2200000000000006</v>
      </c>
      <c r="BN28" s="78">
        <f>IFERROR(Y28*I28/H28,"0")</f>
        <v>11.064</v>
      </c>
      <c r="BO28" s="78">
        <f>IFERROR(1/J28*(X28/H28),"0")</f>
        <v>1.8315018315018316E-2</v>
      </c>
      <c r="BP28" s="78">
        <f>IFERROR(1/J28*(Y28/H28),"0")</f>
        <v>2.197802197802198E-2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6</v>
      </c>
      <c r="Y29" s="55">
        <f>IFERROR(IF(X29="",0,CEILING((X29/$H29),1)*$H29),"")</f>
        <v>7.2</v>
      </c>
      <c r="Z29" s="41">
        <f>IFERROR(IF(Y29=0,"",ROUNDUP(Y29/H29,0)*0.00651),"")</f>
        <v>2.6040000000000001E-2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10.600000000000001</v>
      </c>
      <c r="BN29" s="78">
        <f>IFERROR(Y29*I29/H29,"0")</f>
        <v>12.72</v>
      </c>
      <c r="BO29" s="78">
        <f>IFERROR(1/J29*(X29/H29),"0")</f>
        <v>1.8315018315018316E-2</v>
      </c>
      <c r="BP29" s="78">
        <f>IFERROR(1/J29*(Y29/H29),"0")</f>
        <v>2.197802197802198E-2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6.6666666666666661</v>
      </c>
      <c r="Y32" s="43">
        <f>IFERROR(Y27/H27,"0")+IFERROR(Y28/H28,"0")+IFERROR(Y29/H29,"0")+IFERROR(Y30/H30,"0")+IFERROR(Y31/H31,"0")</f>
        <v>8</v>
      </c>
      <c r="Z32" s="43">
        <f>IFERROR(IF(Z27="",0,Z27),"0")+IFERROR(IF(Z28="",0,Z28),"0")+IFERROR(IF(Z29="",0,Z29),"0")+IFERROR(IF(Z30="",0,Z30),"0")+IFERROR(IF(Z31="",0,Z31),"0")</f>
        <v>5.2080000000000001E-2</v>
      </c>
      <c r="AA32" s="67"/>
      <c r="AB32" s="67"/>
      <c r="AC32" s="67"/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14.4</v>
      </c>
      <c r="Y33" s="43">
        <f>IFERROR(SUM(Y27:Y31),"0")</f>
        <v>17.28</v>
      </c>
      <c r="Z33" s="42"/>
      <c r="AA33" s="67"/>
      <c r="AB33" s="67"/>
      <c r="AC33" s="67"/>
    </row>
    <row r="34" spans="1:68" ht="14.25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5</v>
      </c>
      <c r="Y35" s="55">
        <f>IFERROR(IF(X35="",0,CEILING((X35/$H35),1)*$H35),"")</f>
        <v>5.3999999999999995</v>
      </c>
      <c r="Z35" s="41">
        <f>IFERROR(IF(Y35=0,"",ROUNDUP(Y35/H35,0)*0.00651),"")</f>
        <v>5.8590000000000003E-2</v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6.85</v>
      </c>
      <c r="BN35" s="78">
        <f>IFERROR(Y35*I35/H35,"0")</f>
        <v>7.3979999999999997</v>
      </c>
      <c r="BO35" s="78">
        <f>IFERROR(1/J35*(X35/H35),"0")</f>
        <v>4.5787545787545791E-2</v>
      </c>
      <c r="BP35" s="78">
        <f>IFERROR(1/J35*(Y35/H35),"0")</f>
        <v>4.9450549450549455E-2</v>
      </c>
    </row>
    <row r="36" spans="1:68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8.3333333333333339</v>
      </c>
      <c r="Y36" s="43">
        <f>IFERROR(Y35/H35,"0")</f>
        <v>9</v>
      </c>
      <c r="Z36" s="43">
        <f>IFERROR(IF(Z35="",0,Z35),"0")</f>
        <v>5.8590000000000003E-2</v>
      </c>
      <c r="AA36" s="67"/>
      <c r="AB36" s="67"/>
      <c r="AC36" s="67"/>
    </row>
    <row r="37" spans="1:68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5</v>
      </c>
      <c r="Y37" s="43">
        <f>IFERROR(SUM(Y35:Y35),"0")</f>
        <v>5.3999999999999995</v>
      </c>
      <c r="Z37" s="42"/>
      <c r="AA37" s="67"/>
      <c r="AB37" s="67"/>
      <c r="AC37" s="67"/>
    </row>
    <row r="38" spans="1:68" ht="27.75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30</v>
      </c>
      <c r="Y51" s="55">
        <f>IFERROR(IF(X51="",0,CEILING((X51/$H51),1)*$H51),"")</f>
        <v>32.400000000000006</v>
      </c>
      <c r="Z51" s="41">
        <f>IFERROR(IF(Y51=0,"",ROUNDUP(Y51/H51,0)*0.01898),"")</f>
        <v>5.6940000000000004E-2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31.138888888888889</v>
      </c>
      <c r="BN51" s="78">
        <f>IFERROR(Y51*I51/H51,"0")</f>
        <v>33.630000000000003</v>
      </c>
      <c r="BO51" s="78">
        <f>IFERROR(1/J51*(X51/H51),"0")</f>
        <v>4.3402777777777776E-2</v>
      </c>
      <c r="BP51" s="78">
        <f>IFERROR(1/J51*(Y51/H51),"0")</f>
        <v>4.6875000000000007E-2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2.7777777777777777</v>
      </c>
      <c r="Y55" s="43">
        <f>IFERROR(Y51/H51,"0")+IFERROR(Y52/H52,"0")+IFERROR(Y53/H53,"0")+IFERROR(Y54/H54,"0")</f>
        <v>3.0000000000000004</v>
      </c>
      <c r="Z55" s="43">
        <f>IFERROR(IF(Z51="",0,Z51),"0")+IFERROR(IF(Z52="",0,Z52),"0")+IFERROR(IF(Z53="",0,Z53),"0")+IFERROR(IF(Z54="",0,Z54),"0")</f>
        <v>5.6940000000000004E-2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30</v>
      </c>
      <c r="Y56" s="43">
        <f>IFERROR(SUM(Y51:Y54),"0")</f>
        <v>32.400000000000006</v>
      </c>
      <c r="Z56" s="42"/>
      <c r="AA56" s="67"/>
      <c r="AB56" s="67"/>
      <c r="AC56" s="67"/>
    </row>
    <row r="57" spans="1:68" ht="16.5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30</v>
      </c>
      <c r="Y61" s="55">
        <f t="shared" si="0"/>
        <v>32.400000000000006</v>
      </c>
      <c r="Z61" s="41">
        <f>IFERROR(IF(Y61=0,"",ROUNDUP(Y61/H61,0)*0.01898),"")</f>
        <v>5.6940000000000004E-2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31.138888888888889</v>
      </c>
      <c r="BN61" s="78">
        <f t="shared" si="2"/>
        <v>33.630000000000003</v>
      </c>
      <c r="BO61" s="78">
        <f t="shared" si="3"/>
        <v>4.3402777777777776E-2</v>
      </c>
      <c r="BP61" s="78">
        <f t="shared" si="4"/>
        <v>4.6875000000000007E-2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18</v>
      </c>
      <c r="Y66" s="55">
        <f t="shared" si="0"/>
        <v>18</v>
      </c>
      <c r="Z66" s="41">
        <f>IFERROR(IF(Y66=0,"",ROUNDUP(Y66/H66,0)*0.00902),"")</f>
        <v>3.6080000000000001E-2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18.760000000000002</v>
      </c>
      <c r="BN66" s="78">
        <f t="shared" si="2"/>
        <v>18.760000000000002</v>
      </c>
      <c r="BO66" s="78">
        <f t="shared" si="3"/>
        <v>3.0303030303030304E-2</v>
      </c>
      <c r="BP66" s="78">
        <f t="shared" si="4"/>
        <v>3.0303030303030304E-2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6.7777777777777777</v>
      </c>
      <c r="Y67" s="43">
        <f>IFERROR(Y59/H59,"0")+IFERROR(Y60/H60,"0")+IFERROR(Y61/H61,"0")+IFERROR(Y62/H62,"0")+IFERROR(Y63/H63,"0")+IFERROR(Y64/H64,"0")+IFERROR(Y65/H65,"0")+IFERROR(Y66/H66,"0")</f>
        <v>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9.3020000000000005E-2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48</v>
      </c>
      <c r="Y68" s="43">
        <f>IFERROR(SUM(Y59:Y66),"0")</f>
        <v>50.400000000000006</v>
      </c>
      <c r="Z68" s="42"/>
      <c r="AA68" s="67"/>
      <c r="AB68" s="67"/>
      <c r="AC68" s="67"/>
    </row>
    <row r="69" spans="1:68" ht="14.25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13.5</v>
      </c>
      <c r="Y73" s="55">
        <f>IFERROR(IF(X73="",0,CEILING((X73/$H73),1)*$H73),"")</f>
        <v>13.5</v>
      </c>
      <c r="Z73" s="41">
        <f>IFERROR(IF(Y73=0,"",ROUNDUP(Y73/H73,0)*0.00651),"")</f>
        <v>3.2550000000000003E-2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14.399999999999997</v>
      </c>
      <c r="BN73" s="78">
        <f>IFERROR(Y73*I73/H73,"0")</f>
        <v>14.399999999999997</v>
      </c>
      <c r="BO73" s="78">
        <f>IFERROR(1/J73*(X73/H73),"0")</f>
        <v>2.7472527472527476E-2</v>
      </c>
      <c r="BP73" s="78">
        <f>IFERROR(1/J73*(Y73/H73),"0")</f>
        <v>2.7472527472527476E-2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7.7777777777777777</v>
      </c>
      <c r="Y74" s="43">
        <f>IFERROR(Y70/H70,"0")+IFERROR(Y71/H71,"0")+IFERROR(Y72/H72,"0")+IFERROR(Y73/H73,"0")</f>
        <v>8</v>
      </c>
      <c r="Z74" s="43">
        <f>IFERROR(IF(Z70="",0,Z70),"0")+IFERROR(IF(Z71="",0,Z71),"0")+IFERROR(IF(Z72="",0,Z72),"0")+IFERROR(IF(Z73="",0,Z73),"0")</f>
        <v>8.9490000000000014E-2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43.5</v>
      </c>
      <c r="Y75" s="43">
        <f>IFERROR(SUM(Y70:Y73),"0")</f>
        <v>45.900000000000006</v>
      </c>
      <c r="Z75" s="42"/>
      <c r="AA75" s="67"/>
      <c r="AB75" s="67"/>
      <c r="AC75" s="67"/>
    </row>
    <row r="76" spans="1:68" ht="14.25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60</v>
      </c>
      <c r="Y88" s="55">
        <f>IFERROR(IF(X88="",0,CEILING((X88/$H88),1)*$H88),"")</f>
        <v>64.800000000000011</v>
      </c>
      <c r="Z88" s="41">
        <f>IFERROR(IF(Y88=0,"",ROUNDUP(Y88/H88,0)*0.01898),"")</f>
        <v>0.11388000000000001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62.277777777777779</v>
      </c>
      <c r="BN88" s="78">
        <f>IFERROR(Y88*I88/H88,"0")</f>
        <v>67.260000000000005</v>
      </c>
      <c r="BO88" s="78">
        <f>IFERROR(1/J88*(X88/H88),"0")</f>
        <v>8.6805555555555552E-2</v>
      </c>
      <c r="BP88" s="78">
        <f>IFERROR(1/J88*(Y88/H88),"0")</f>
        <v>9.3750000000000014E-2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27</v>
      </c>
      <c r="Y91" s="55">
        <f>IFERROR(IF(X91="",0,CEILING((X91/$H91),1)*$H91),"")</f>
        <v>27</v>
      </c>
      <c r="Z91" s="41">
        <f>IFERROR(IF(Y91=0,"",ROUNDUP(Y91/H91,0)*0.00902),"")</f>
        <v>5.4120000000000001E-2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28.14</v>
      </c>
      <c r="BN91" s="78">
        <f>IFERROR(Y91*I91/H91,"0")</f>
        <v>28.14</v>
      </c>
      <c r="BO91" s="78">
        <f>IFERROR(1/J91*(X91/H91),"0")</f>
        <v>4.5454545454545456E-2</v>
      </c>
      <c r="BP91" s="78">
        <f>IFERROR(1/J91*(Y91/H91),"0")</f>
        <v>4.5454545454545456E-2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11.555555555555555</v>
      </c>
      <c r="Y92" s="43">
        <f>IFERROR(Y88/H88,"0")+IFERROR(Y89/H89,"0")+IFERROR(Y90/H90,"0")+IFERROR(Y91/H91,"0")</f>
        <v>12</v>
      </c>
      <c r="Z92" s="43">
        <f>IFERROR(IF(Z88="",0,Z88),"0")+IFERROR(IF(Z89="",0,Z89),"0")+IFERROR(IF(Z90="",0,Z90),"0")+IFERROR(IF(Z91="",0,Z91),"0")</f>
        <v>0.16800000000000001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87</v>
      </c>
      <c r="Y93" s="43">
        <f>IFERROR(SUM(Y88:Y91),"0")</f>
        <v>91.800000000000011</v>
      </c>
      <c r="Z93" s="42"/>
      <c r="AA93" s="67"/>
      <c r="AB93" s="67"/>
      <c r="AC93" s="67"/>
    </row>
    <row r="94" spans="1:68" ht="14.25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80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84.879012345679016</v>
      </c>
      <c r="BN95" s="78">
        <f>IFERROR(Y95*I95/H95,"0")</f>
        <v>85.94</v>
      </c>
      <c r="BO95" s="78">
        <f>IFERROR(1/J95*(X95/H95),"0")</f>
        <v>0.15432098765432101</v>
      </c>
      <c r="BP95" s="78">
        <f>IFERROR(1/J95*(Y95/H95),"0")</f>
        <v>0.15625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13.5</v>
      </c>
      <c r="Y97" s="55">
        <f>IFERROR(IF(X97="",0,CEILING((X97/$H97),1)*$H97),"")</f>
        <v>13.5</v>
      </c>
      <c r="Z97" s="41">
        <f>IFERROR(IF(Y97=0,"",ROUNDUP(Y97/H97,0)*0.00651),"")</f>
        <v>3.2550000000000003E-2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14.759999999999998</v>
      </c>
      <c r="BN97" s="78">
        <f>IFERROR(Y97*I97/H97,"0")</f>
        <v>14.759999999999998</v>
      </c>
      <c r="BO97" s="78">
        <f>IFERROR(1/J97*(X97/H97),"0")</f>
        <v>2.7472527472527476E-2</v>
      </c>
      <c r="BP97" s="78">
        <f>IFERROR(1/J97*(Y97/H97),"0")</f>
        <v>2.7472527472527476E-2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14.876543209876544</v>
      </c>
      <c r="Y99" s="43">
        <f>IFERROR(Y95/H95,"0")+IFERROR(Y96/H96,"0")+IFERROR(Y97/H97,"0")+IFERROR(Y98/H98,"0")</f>
        <v>15</v>
      </c>
      <c r="Z99" s="43">
        <f>IFERROR(IF(Z95="",0,Z95),"0")+IFERROR(IF(Z96="",0,Z96),"0")+IFERROR(IF(Z97="",0,Z97),"0")+IFERROR(IF(Z98="",0,Z98),"0")</f>
        <v>0.22234999999999999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93.5</v>
      </c>
      <c r="Y100" s="43">
        <f>IFERROR(SUM(Y95:Y98),"0")</f>
        <v>94.5</v>
      </c>
      <c r="Z100" s="42"/>
      <c r="AA100" s="67"/>
      <c r="AB100" s="67"/>
      <c r="AC100" s="67"/>
    </row>
    <row r="101" spans="1:68" ht="16.5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6</v>
      </c>
      <c r="Y117" s="55">
        <f t="shared" si="10"/>
        <v>7.1999999999999993</v>
      </c>
      <c r="Z117" s="41">
        <f>IFERROR(IF(Y117=0,"",ROUNDUP(Y117/H117,0)*0.00651),"")</f>
        <v>1.9529999999999999E-2</v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6.45</v>
      </c>
      <c r="BN117" s="78">
        <f t="shared" si="12"/>
        <v>7.7399999999999993</v>
      </c>
      <c r="BO117" s="78">
        <f t="shared" si="13"/>
        <v>1.3736263736263738E-2</v>
      </c>
      <c r="BP117" s="78">
        <f t="shared" si="14"/>
        <v>1.6483516483516484E-2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2.5</v>
      </c>
      <c r="Y119" s="43">
        <f>IFERROR(Y112/H112,"0")+IFERROR(Y113/H113,"0")+IFERROR(Y114/H114,"0")+IFERROR(Y115/H115,"0")+IFERROR(Y116/H116,"0")+IFERROR(Y117/H117,"0")+IFERROR(Y118/H118,"0")</f>
        <v>3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1.9529999999999999E-2</v>
      </c>
      <c r="AA119" s="67"/>
      <c r="AB119" s="67"/>
      <c r="AC119" s="67"/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6</v>
      </c>
      <c r="Y120" s="43">
        <f>IFERROR(SUM(Y112:Y118),"0")</f>
        <v>7.1999999999999993</v>
      </c>
      <c r="Z120" s="42"/>
      <c r="AA120" s="67"/>
      <c r="AB120" s="67"/>
      <c r="AC120" s="67"/>
    </row>
    <row r="121" spans="1:68" ht="14.25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30</v>
      </c>
      <c r="Y122" s="55">
        <f>IFERROR(IF(X122="",0,CEILING((X122/$H122),1)*$H122),"")</f>
        <v>32.4</v>
      </c>
      <c r="Z122" s="41">
        <f>IFERROR(IF(Y122=0,"",ROUNDUP(Y122/H122,0)*0.01898),"")</f>
        <v>7.5920000000000001E-2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31.807407407407407</v>
      </c>
      <c r="BN122" s="78">
        <f>IFERROR(Y122*I122/H122,"0")</f>
        <v>34.351999999999997</v>
      </c>
      <c r="BO122" s="78">
        <f>IFERROR(1/J122*(X122/H122),"0")</f>
        <v>5.7870370370370371E-2</v>
      </c>
      <c r="BP122" s="78">
        <f>IFERROR(1/J122*(Y122/H122),"0")</f>
        <v>6.25E-2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13.5</v>
      </c>
      <c r="Y124" s="55">
        <f>IFERROR(IF(X124="",0,CEILING((X124/$H124),1)*$H124),"")</f>
        <v>13.5</v>
      </c>
      <c r="Z124" s="41">
        <f>IFERROR(IF(Y124=0,"",ROUNDUP(Y124/H124,0)*0.00651),"")</f>
        <v>3.2550000000000003E-2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14.759999999999998</v>
      </c>
      <c r="BN124" s="78">
        <f>IFERROR(Y124*I124/H124,"0")</f>
        <v>14.759999999999998</v>
      </c>
      <c r="BO124" s="78">
        <f>IFERROR(1/J124*(X124/H124),"0")</f>
        <v>2.7472527472527476E-2</v>
      </c>
      <c r="BP124" s="78">
        <f>IFERROR(1/J124*(Y124/H124),"0")</f>
        <v>2.7472527472527476E-2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8.7037037037037042</v>
      </c>
      <c r="Y126" s="43">
        <f>IFERROR(Y122/H122,"0")+IFERROR(Y123/H123,"0")+IFERROR(Y124/H124,"0")+IFERROR(Y125/H125,"0")</f>
        <v>9</v>
      </c>
      <c r="Z126" s="43">
        <f>IFERROR(IF(Z122="",0,Z122),"0")+IFERROR(IF(Z123="",0,Z123),"0")+IFERROR(IF(Z124="",0,Z124),"0")+IFERROR(IF(Z125="",0,Z125),"0")</f>
        <v>0.10847000000000001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43.5</v>
      </c>
      <c r="Y127" s="43">
        <f>IFERROR(SUM(Y122:Y125),"0")</f>
        <v>45.9</v>
      </c>
      <c r="Z127" s="42"/>
      <c r="AA127" s="67"/>
      <c r="AB127" s="67"/>
      <c r="AC127" s="67"/>
    </row>
    <row r="128" spans="1:68" ht="14.25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30</v>
      </c>
      <c r="Y170" s="55">
        <f t="shared" si="15"/>
        <v>31.5</v>
      </c>
      <c r="Z170" s="41">
        <f>IFERROR(IF(Y170=0,"",ROUNDUP(Y170/H170,0)*0.00902),"")</f>
        <v>8.1180000000000002E-2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31.62857142857143</v>
      </c>
      <c r="BN170" s="78">
        <f t="shared" si="17"/>
        <v>33.21</v>
      </c>
      <c r="BO170" s="78">
        <f t="shared" si="18"/>
        <v>6.4935064935064929E-2</v>
      </c>
      <c r="BP170" s="78">
        <f t="shared" si="19"/>
        <v>6.8181818181818177E-2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8.5714285714285712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9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8.1180000000000002E-2</v>
      </c>
      <c r="AA178" s="67"/>
      <c r="AB178" s="67"/>
      <c r="AC178" s="67"/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30</v>
      </c>
      <c r="Y179" s="43">
        <f>IFERROR(SUM(Y167:Y177),"0")</f>
        <v>31.5</v>
      </c>
      <c r="Z179" s="42"/>
      <c r="AA179" s="67"/>
      <c r="AB179" s="67"/>
      <c r="AC179" s="67"/>
    </row>
    <row r="180" spans="1:68" ht="14.25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1.6</v>
      </c>
      <c r="Y216" s="55">
        <f t="shared" si="26"/>
        <v>1.6</v>
      </c>
      <c r="Z216" s="41">
        <f>IFERROR(IF(Y216=0,"",ROUNDUP(Y216/H216,0)*0.00556),"")</f>
        <v>1.112E-2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1.86</v>
      </c>
      <c r="BN216" s="78">
        <f t="shared" si="28"/>
        <v>1.86</v>
      </c>
      <c r="BO216" s="78">
        <f t="shared" si="29"/>
        <v>7.9365079365079361E-3</v>
      </c>
      <c r="BP216" s="78">
        <f t="shared" si="30"/>
        <v>7.9365079365079361E-3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9</v>
      </c>
      <c r="Y222" s="55">
        <f t="shared" si="26"/>
        <v>9</v>
      </c>
      <c r="Z222" s="41">
        <f t="shared" si="31"/>
        <v>2.5100000000000001E-2</v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9.65</v>
      </c>
      <c r="BN222" s="78">
        <f t="shared" si="28"/>
        <v>9.65</v>
      </c>
      <c r="BO222" s="78">
        <f t="shared" si="29"/>
        <v>2.1367521367521368E-2</v>
      </c>
      <c r="BP222" s="78">
        <f t="shared" si="30"/>
        <v>2.1367521367521368E-2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1.6</v>
      </c>
      <c r="Y223" s="55">
        <f t="shared" si="26"/>
        <v>1.6</v>
      </c>
      <c r="Z223" s="41">
        <f>IFERROR(IF(Y223=0,"",ROUNDUP(Y223/H223,0)*0.00417),"")</f>
        <v>8.3400000000000002E-3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2.02</v>
      </c>
      <c r="BN223" s="78">
        <f t="shared" si="28"/>
        <v>2.02</v>
      </c>
      <c r="BO223" s="78">
        <f t="shared" si="29"/>
        <v>5.9523809523809521E-3</v>
      </c>
      <c r="BP223" s="78">
        <f t="shared" si="30"/>
        <v>5.9523809523809521E-3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9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4.4560000000000002E-2</v>
      </c>
      <c r="AA227" s="67"/>
      <c r="AB227" s="67"/>
      <c r="AC227" s="67"/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12.2</v>
      </c>
      <c r="Y228" s="43">
        <f>IFERROR(SUM(Y213:Y226),"0")</f>
        <v>12.2</v>
      </c>
      <c r="Z228" s="42"/>
      <c r="AA228" s="67"/>
      <c r="AB228" s="67"/>
      <c r="AC228" s="67"/>
    </row>
    <row r="229" spans="1:68" ht="14.25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2.1</v>
      </c>
      <c r="Y238" s="55">
        <f>IFERROR(IF(X238="",0,CEILING((X238/$H238),1)*$H238),"")</f>
        <v>2.52</v>
      </c>
      <c r="Z238" s="41">
        <f>IFERROR(IF(Y238=0,"",ROUNDUP(Y238/H238,0)*0.0059),"")</f>
        <v>1.18E-2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2.4166666666666665</v>
      </c>
      <c r="BN238" s="78">
        <f>IFERROR(Y238*I238/H238,"0")</f>
        <v>2.9</v>
      </c>
      <c r="BO238" s="78">
        <f>IFERROR(1/J238*(X238/H238),"0")</f>
        <v>7.716049382716049E-3</v>
      </c>
      <c r="BP238" s="78">
        <f>IFERROR(1/J238*(Y238/H238),"0")</f>
        <v>9.2592592592592587E-3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1.6666666666666667</v>
      </c>
      <c r="Y241" s="43">
        <f>IFERROR(Y238/H238,"0")+IFERROR(Y239/H239,"0")+IFERROR(Y240/H240,"0")</f>
        <v>2</v>
      </c>
      <c r="Z241" s="43">
        <f>IFERROR(IF(Z238="",0,Z238),"0")+IFERROR(IF(Z239="",0,Z239),"0")+IFERROR(IF(Z240="",0,Z240),"0")</f>
        <v>1.18E-2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2.1</v>
      </c>
      <c r="Y242" s="43">
        <f>IFERROR(SUM(Y238:Y240),"0")</f>
        <v>2.52</v>
      </c>
      <c r="Z242" s="42"/>
      <c r="AA242" s="67"/>
      <c r="AB242" s="67"/>
      <c r="AC242" s="67"/>
    </row>
    <row r="243" spans="1:68" ht="14.25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30</v>
      </c>
      <c r="Y259" s="55">
        <f t="shared" ref="Y259:Y266" si="32">IFERROR(IF(X259="",0,CEILING((X259/$H259),1)*$H259),"")</f>
        <v>32.400000000000006</v>
      </c>
      <c r="Z259" s="41">
        <f>IFERROR(IF(Y259=0,"",ROUNDUP(Y259/H259,0)*0.00902),"")</f>
        <v>5.4120000000000001E-2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31.05555555555555</v>
      </c>
      <c r="BN259" s="78">
        <f t="shared" ref="BN259:BN266" si="34">IFERROR(Y259*I259/H259,"0")</f>
        <v>33.54</v>
      </c>
      <c r="BO259" s="78">
        <f t="shared" ref="BO259:BO266" si="35">IFERROR(1/J259*(X259/H259),"0")</f>
        <v>4.208754208754209E-2</v>
      </c>
      <c r="BP259" s="78">
        <f t="shared" ref="BP259:BP266" si="36">IFERROR(1/J259*(Y259/H259),"0")</f>
        <v>4.5454545454545463E-2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60</v>
      </c>
      <c r="Y261" s="55">
        <f t="shared" si="32"/>
        <v>64.800000000000011</v>
      </c>
      <c r="Z261" s="41">
        <f>IFERROR(IF(Y261=0,"",ROUNDUP(Y261/H261,0)*0.00902),"")</f>
        <v>0.10824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62.1111111111111</v>
      </c>
      <c r="BN261" s="78">
        <f t="shared" si="34"/>
        <v>67.08</v>
      </c>
      <c r="BO261" s="78">
        <f t="shared" si="35"/>
        <v>8.4175084175084181E-2</v>
      </c>
      <c r="BP261" s="78">
        <f t="shared" si="36"/>
        <v>9.0909090909090925E-2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2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62.1111111111111</v>
      </c>
      <c r="BN262" s="78">
        <f t="shared" si="34"/>
        <v>67.08</v>
      </c>
      <c r="BO262" s="78">
        <f t="shared" si="35"/>
        <v>8.4175084175084181E-2</v>
      </c>
      <c r="BP262" s="78">
        <f t="shared" si="36"/>
        <v>9.0909090909090925E-2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9</v>
      </c>
      <c r="Y263" s="55">
        <f t="shared" si="32"/>
        <v>9</v>
      </c>
      <c r="Z263" s="41">
        <f>IFERROR(IF(Y263=0,"",ROUNDUP(Y263/H263,0)*0.00502),"")</f>
        <v>2.5100000000000001E-2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9.65</v>
      </c>
      <c r="BN263" s="78">
        <f t="shared" si="34"/>
        <v>9.65</v>
      </c>
      <c r="BO263" s="78">
        <f t="shared" si="35"/>
        <v>2.1367521367521368E-2</v>
      </c>
      <c r="BP263" s="78">
        <f t="shared" si="36"/>
        <v>2.1367521367521368E-2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9</v>
      </c>
      <c r="Y264" s="55">
        <f t="shared" si="32"/>
        <v>9</v>
      </c>
      <c r="Z264" s="41">
        <f>IFERROR(IF(Y264=0,"",ROUNDUP(Y264/H264,0)*0.00502),"")</f>
        <v>2.5100000000000001E-2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9.4999999999999982</v>
      </c>
      <c r="BN264" s="78">
        <f t="shared" si="34"/>
        <v>9.4999999999999982</v>
      </c>
      <c r="BO264" s="78">
        <f t="shared" si="35"/>
        <v>2.1367521367521368E-2</v>
      </c>
      <c r="BP264" s="78">
        <f t="shared" si="36"/>
        <v>2.1367521367521368E-2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9</v>
      </c>
      <c r="Y265" s="55">
        <f t="shared" si="32"/>
        <v>9</v>
      </c>
      <c r="Z265" s="41">
        <f>IFERROR(IF(Y265=0,"",ROUNDUP(Y265/H265,0)*0.00502),"")</f>
        <v>2.5100000000000001E-2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9.4999999999999982</v>
      </c>
      <c r="BN265" s="78">
        <f t="shared" si="34"/>
        <v>9.4999999999999982</v>
      </c>
      <c r="BO265" s="78">
        <f t="shared" si="35"/>
        <v>2.1367521367521368E-2</v>
      </c>
      <c r="BP265" s="78">
        <f t="shared" si="36"/>
        <v>2.1367521367521368E-2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9</v>
      </c>
      <c r="Y266" s="55">
        <f t="shared" si="32"/>
        <v>9</v>
      </c>
      <c r="Z266" s="41">
        <f>IFERROR(IF(Y266=0,"",ROUNDUP(Y266/H266,0)*0.00502),"")</f>
        <v>2.5100000000000001E-2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9.4999999999999982</v>
      </c>
      <c r="BN266" s="78">
        <f t="shared" si="34"/>
        <v>9.4999999999999982</v>
      </c>
      <c r="BO266" s="78">
        <f t="shared" si="35"/>
        <v>2.1367521367521368E-2</v>
      </c>
      <c r="BP266" s="78">
        <f t="shared" si="36"/>
        <v>2.1367521367521368E-2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47.777777777777771</v>
      </c>
      <c r="Y267" s="43">
        <f>IFERROR(Y259/H259,"0")+IFERROR(Y260/H260,"0")+IFERROR(Y261/H261,"0")+IFERROR(Y262/H262,"0")+IFERROR(Y263/H263,"0")+IFERROR(Y264/H264,"0")+IFERROR(Y265/H265,"0")+IFERROR(Y266/H266,"0")</f>
        <v>50.000000000000007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0.37100000000000005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186</v>
      </c>
      <c r="Y268" s="43">
        <f>IFERROR(SUM(Y259:Y266),"0")</f>
        <v>198.00000000000003</v>
      </c>
      <c r="Z268" s="42"/>
      <c r="AA268" s="67"/>
      <c r="AB268" s="67"/>
      <c r="AC268" s="67"/>
    </row>
    <row r="269" spans="1:68" ht="14.25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12</v>
      </c>
      <c r="Y273" s="55">
        <f t="shared" si="37"/>
        <v>12</v>
      </c>
      <c r="Z273" s="41">
        <f>IFERROR(IF(Y273=0,"",ROUNDUP(Y273/H273,0)*0.00651),"")</f>
        <v>3.2550000000000003E-2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13.35</v>
      </c>
      <c r="BN273" s="78">
        <f t="shared" si="39"/>
        <v>13.35</v>
      </c>
      <c r="BO273" s="78">
        <f t="shared" si="40"/>
        <v>2.7472527472527476E-2</v>
      </c>
      <c r="BP273" s="78">
        <f t="shared" si="41"/>
        <v>2.7472527472527476E-2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20</v>
      </c>
      <c r="Y276" s="55">
        <f t="shared" si="37"/>
        <v>21.599999999999998</v>
      </c>
      <c r="Z276" s="41">
        <f>IFERROR(IF(Y276=0,"",ROUNDUP(Y276/H276,0)*0.00651),"")</f>
        <v>5.8590000000000003E-2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22.100000000000005</v>
      </c>
      <c r="BN276" s="78">
        <f t="shared" si="39"/>
        <v>23.868000000000002</v>
      </c>
      <c r="BO276" s="78">
        <f t="shared" si="40"/>
        <v>4.5787545787545791E-2</v>
      </c>
      <c r="BP276" s="78">
        <f t="shared" si="41"/>
        <v>4.9450549450549455E-2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8</v>
      </c>
      <c r="Y280" s="55">
        <f t="shared" si="37"/>
        <v>9.6</v>
      </c>
      <c r="Z280" s="41">
        <f>IFERROR(IF(Y280=0,"",ROUNDUP(Y280/H280,0)*0.00651),"")</f>
        <v>2.6040000000000001E-2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8.86</v>
      </c>
      <c r="BN280" s="78">
        <f t="shared" si="39"/>
        <v>10.632</v>
      </c>
      <c r="BO280" s="78">
        <f t="shared" si="40"/>
        <v>1.8315018315018316E-2</v>
      </c>
      <c r="BP280" s="78">
        <f t="shared" si="41"/>
        <v>2.197802197802198E-2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16.666666666666668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0.11718000000000001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40</v>
      </c>
      <c r="Y283" s="43">
        <f>IFERROR(SUM(Y270:Y281),"0")</f>
        <v>43.199999999999996</v>
      </c>
      <c r="Z283" s="42"/>
      <c r="AA283" s="67"/>
      <c r="AB283" s="67"/>
      <c r="AC283" s="67"/>
    </row>
    <row r="284" spans="1:68" ht="14.25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4.8</v>
      </c>
      <c r="Y305" s="55">
        <f>IFERROR(IF(X305="",0,CEILING((X305/$H305),1)*$H305),"")</f>
        <v>5.4</v>
      </c>
      <c r="Z305" s="41">
        <f>IFERROR(IF(Y305=0,"",ROUNDUP(Y305/H305,0)*0.0059),"")</f>
        <v>1.77E-2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5.2666666666666666</v>
      </c>
      <c r="BN305" s="78">
        <f>IFERROR(Y305*I305/H305,"0")</f>
        <v>5.9250000000000007</v>
      </c>
      <c r="BO305" s="78">
        <f>IFERROR(1/J305*(X305/H305),"0")</f>
        <v>1.2345679012345678E-2</v>
      </c>
      <c r="BP305" s="78">
        <f>IFERROR(1/J305*(Y305/H305),"0")</f>
        <v>1.3888888888888888E-2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2.6666666666666665</v>
      </c>
      <c r="Y306" s="43">
        <f>IFERROR(Y305/H305,"0")</f>
        <v>3</v>
      </c>
      <c r="Z306" s="43">
        <f>IFERROR(IF(Z305="",0,Z305),"0")</f>
        <v>1.77E-2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4.8</v>
      </c>
      <c r="Y307" s="43">
        <f>IFERROR(SUM(Y305:Y305),"0")</f>
        <v>5.4</v>
      </c>
      <c r="Z307" s="42"/>
      <c r="AA307" s="67"/>
      <c r="AB307" s="67"/>
      <c r="AC307" s="67"/>
    </row>
    <row r="308" spans="1:68" ht="14.25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2.4</v>
      </c>
      <c r="Y310" s="55">
        <f>IFERROR(IF(X310="",0,CEILING((X310/$H310),1)*$H310),"")</f>
        <v>3.6</v>
      </c>
      <c r="Z310" s="41">
        <f>IFERROR(IF(Y310=0,"",ROUNDUP(Y310/H310,0)*0.0059),"")</f>
        <v>1.18E-2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2.6333333333333333</v>
      </c>
      <c r="BN310" s="78">
        <f>IFERROR(Y310*I310/H310,"0")</f>
        <v>3.95</v>
      </c>
      <c r="BO310" s="78">
        <f>IFERROR(1/J310*(X310/H310),"0")</f>
        <v>6.1728395061728392E-3</v>
      </c>
      <c r="BP310" s="78">
        <f>IFERROR(1/J310*(Y310/H310),"0")</f>
        <v>9.2592592592592587E-3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1.3333333333333333</v>
      </c>
      <c r="Y312" s="43">
        <f>IFERROR(Y309/H309,"0")+IFERROR(Y310/H310,"0")+IFERROR(Y311/H311,"0")</f>
        <v>2</v>
      </c>
      <c r="Z312" s="43">
        <f>IFERROR(IF(Z309="",0,Z309),"0")+IFERROR(IF(Z310="",0,Z310),"0")+IFERROR(IF(Z311="",0,Z311),"0")</f>
        <v>1.18E-2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2.4</v>
      </c>
      <c r="Y313" s="43">
        <f>IFERROR(SUM(Y309:Y311),"0")</f>
        <v>3.6</v>
      </c>
      <c r="Z313" s="42"/>
      <c r="AA313" s="67"/>
      <c r="AB313" s="67"/>
      <c r="AC313" s="67"/>
    </row>
    <row r="314" spans="1:68" ht="16.5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30</v>
      </c>
      <c r="Y316" s="55">
        <f>IFERROR(IF(X316="",0,CEILING((X316/$H316),1)*$H316),"")</f>
        <v>32.400000000000006</v>
      </c>
      <c r="Z316" s="41">
        <f>IFERROR(IF(Y316=0,"",ROUNDUP(Y316/H316,0)*0.01898),"")</f>
        <v>5.6940000000000004E-2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31.138888888888889</v>
      </c>
      <c r="BN316" s="78">
        <f>IFERROR(Y316*I316/H316,"0")</f>
        <v>33.630000000000003</v>
      </c>
      <c r="BO316" s="78">
        <f>IFERROR(1/J316*(X316/H316),"0")</f>
        <v>4.3402777777777776E-2</v>
      </c>
      <c r="BP316" s="78">
        <f>IFERROR(1/J316*(Y316/H316),"0")</f>
        <v>4.6875000000000007E-2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30</v>
      </c>
      <c r="Y318" s="55">
        <f>IFERROR(IF(X318="",0,CEILING((X318/$H318),1)*$H318),"")</f>
        <v>32.400000000000006</v>
      </c>
      <c r="Z318" s="41">
        <f>IFERROR(IF(Y318=0,"",ROUNDUP(Y318/H318,0)*0.01898),"")</f>
        <v>5.6940000000000004E-2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31.138888888888889</v>
      </c>
      <c r="BN318" s="78">
        <f>IFERROR(Y318*I318/H318,"0")</f>
        <v>33.630000000000003</v>
      </c>
      <c r="BO318" s="78">
        <f>IFERROR(1/J318*(X318/H318),"0")</f>
        <v>4.3402777777777776E-2</v>
      </c>
      <c r="BP318" s="78">
        <f>IFERROR(1/J318*(Y318/H318),"0")</f>
        <v>4.6875000000000007E-2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5.5555555555555554</v>
      </c>
      <c r="Y321" s="43">
        <f>IFERROR(Y316/H316,"0")+IFERROR(Y317/H317,"0")+IFERROR(Y318/H318,"0")+IFERROR(Y319/H319,"0")+IFERROR(Y320/H320,"0")</f>
        <v>6.0000000000000009</v>
      </c>
      <c r="Z321" s="43">
        <f>IFERROR(IF(Z316="",0,Z316),"0")+IFERROR(IF(Z317="",0,Z317),"0")+IFERROR(IF(Z318="",0,Z318),"0")+IFERROR(IF(Z319="",0,Z319),"0")+IFERROR(IF(Z320="",0,Z320),"0")</f>
        <v>0.11388000000000001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60</v>
      </c>
      <c r="Y322" s="43">
        <f>IFERROR(SUM(Y316:Y320),"0")</f>
        <v>64.800000000000011</v>
      </c>
      <c r="Z322" s="42"/>
      <c r="AA322" s="67"/>
      <c r="AB322" s="67"/>
      <c r="AC322" s="67"/>
    </row>
    <row r="323" spans="1:68" ht="16.5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20</v>
      </c>
      <c r="Y363" s="55">
        <f t="shared" si="52"/>
        <v>21</v>
      </c>
      <c r="Z363" s="41">
        <f>IFERROR(IF(Y363=0,"",ROUNDUP(Y363/H363,0)*0.00902),"")</f>
        <v>4.5100000000000001E-2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21.19047619047619</v>
      </c>
      <c r="BN363" s="78">
        <f t="shared" si="54"/>
        <v>22.25</v>
      </c>
      <c r="BO363" s="78">
        <f t="shared" si="55"/>
        <v>3.6075036075036072E-2</v>
      </c>
      <c r="BP363" s="78">
        <f t="shared" si="56"/>
        <v>3.787878787878788E-2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10.5</v>
      </c>
      <c r="Y365" s="55">
        <f t="shared" si="52"/>
        <v>10.5</v>
      </c>
      <c r="Z365" s="41">
        <f>IFERROR(IF(Y365=0,"",ROUNDUP(Y365/H365,0)*0.00502),"")</f>
        <v>2.5100000000000001E-2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11.149999999999999</v>
      </c>
      <c r="BN365" s="78">
        <f t="shared" si="54"/>
        <v>11.149999999999999</v>
      </c>
      <c r="BO365" s="78">
        <f t="shared" si="55"/>
        <v>2.1367521367521368E-2</v>
      </c>
      <c r="BP365" s="78">
        <f t="shared" si="56"/>
        <v>2.1367521367521368E-2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9</v>
      </c>
      <c r="Y368" s="55">
        <f t="shared" si="52"/>
        <v>9</v>
      </c>
      <c r="Z368" s="41">
        <f>IFERROR(IF(Y368=0,"",ROUNDUP(Y368/H368,0)*0.00651),"")</f>
        <v>3.2550000000000003E-2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10.139999999999999</v>
      </c>
      <c r="BN368" s="78">
        <f t="shared" si="54"/>
        <v>10.139999999999999</v>
      </c>
      <c r="BO368" s="78">
        <f t="shared" si="55"/>
        <v>2.7472527472527476E-2</v>
      </c>
      <c r="BP368" s="78">
        <f t="shared" si="56"/>
        <v>2.7472527472527476E-2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14.761904761904763</v>
      </c>
      <c r="Y369" s="43">
        <f>IFERROR(Y362/H362,"0")+IFERROR(Y363/H363,"0")+IFERROR(Y364/H364,"0")+IFERROR(Y365/H365,"0")+IFERROR(Y366/H366,"0")+IFERROR(Y367/H367,"0")+IFERROR(Y368/H368,"0")</f>
        <v>15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0.10275000000000001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39.5</v>
      </c>
      <c r="Y370" s="43">
        <f>IFERROR(SUM(Y362:Y368),"0")</f>
        <v>40.5</v>
      </c>
      <c r="Z370" s="42"/>
      <c r="AA370" s="67"/>
      <c r="AB370" s="67"/>
      <c r="AC370" s="67"/>
    </row>
    <row r="371" spans="1:68" ht="14.25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60</v>
      </c>
      <c r="Y380" s="55">
        <f>IFERROR(IF(X380="",0,CEILING((X380/$H380),1)*$H380),"")</f>
        <v>62.4</v>
      </c>
      <c r="Z380" s="41">
        <f>IFERROR(IF(Y380=0,"",ROUNDUP(Y380/H380,0)*0.01898),"")</f>
        <v>0.15184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63.800000000000004</v>
      </c>
      <c r="BN380" s="78">
        <f>IFERROR(Y380*I380/H380,"0")</f>
        <v>66.352000000000004</v>
      </c>
      <c r="BO380" s="78">
        <f>IFERROR(1/J380*(X380/H380),"0")</f>
        <v>0.1201923076923077</v>
      </c>
      <c r="BP380" s="78">
        <f>IFERROR(1/J380*(Y380/H380),"0")</f>
        <v>0.125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7.6923076923076925</v>
      </c>
      <c r="Y382" s="43">
        <f>IFERROR(Y379/H379,"0")+IFERROR(Y380/H380,"0")+IFERROR(Y381/H381,"0")</f>
        <v>8</v>
      </c>
      <c r="Z382" s="43">
        <f>IFERROR(IF(Z379="",0,Z379),"0")+IFERROR(IF(Z380="",0,Z380),"0")+IFERROR(IF(Z381="",0,Z381),"0")</f>
        <v>0.15184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60</v>
      </c>
      <c r="Y383" s="43">
        <f>IFERROR(SUM(Y379:Y381),"0")</f>
        <v>62.4</v>
      </c>
      <c r="Z383" s="42"/>
      <c r="AA383" s="67"/>
      <c r="AB383" s="67"/>
      <c r="AC383" s="67"/>
    </row>
    <row r="384" spans="1:68" ht="14.25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30</v>
      </c>
      <c r="Y399" s="55">
        <f>IFERROR(IF(X399="",0,CEILING((X399/$H399),1)*$H399),"")</f>
        <v>32.4</v>
      </c>
      <c r="Z399" s="41">
        <f>IFERROR(IF(Y399=0,"",ROUNDUP(Y399/H399,0)*0.01898),"")</f>
        <v>7.5920000000000001E-2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31.829629629629629</v>
      </c>
      <c r="BN399" s="78">
        <f>IFERROR(Y399*I399/H399,"0")</f>
        <v>34.375999999999998</v>
      </c>
      <c r="BO399" s="78">
        <f>IFERROR(1/J399*(X399/H399),"0")</f>
        <v>5.7870370370370371E-2</v>
      </c>
      <c r="BP399" s="78">
        <f>IFERROR(1/J399*(Y399/H399),"0")</f>
        <v>6.25E-2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52.5</v>
      </c>
      <c r="Y400" s="55">
        <f>IFERROR(IF(X400="",0,CEILING((X400/$H400),1)*$H400),"")</f>
        <v>52.5</v>
      </c>
      <c r="Z400" s="41">
        <f>IFERROR(IF(Y400=0,"",ROUNDUP(Y400/H400,0)*0.00651),"")</f>
        <v>0.16275000000000001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58.79999999999999</v>
      </c>
      <c r="BN400" s="78">
        <f>IFERROR(Y400*I400/H400,"0")</f>
        <v>58.79999999999999</v>
      </c>
      <c r="BO400" s="78">
        <f>IFERROR(1/J400*(X400/H400),"0")</f>
        <v>0.13736263736263737</v>
      </c>
      <c r="BP400" s="78">
        <f>IFERROR(1/J400*(Y400/H400),"0")</f>
        <v>0.13736263736263737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52.5</v>
      </c>
      <c r="Y401" s="55">
        <f>IFERROR(IF(X401="",0,CEILING((X401/$H401),1)*$H401),"")</f>
        <v>52.5</v>
      </c>
      <c r="Z401" s="41">
        <f>IFERROR(IF(Y401=0,"",ROUNDUP(Y401/H401,0)*0.00651),"")</f>
        <v>0.16275000000000001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58.499999999999993</v>
      </c>
      <c r="BN401" s="78">
        <f>IFERROR(Y401*I401/H401,"0")</f>
        <v>58.499999999999993</v>
      </c>
      <c r="BO401" s="78">
        <f>IFERROR(1/J401*(X401/H401),"0")</f>
        <v>0.13736263736263737</v>
      </c>
      <c r="BP401" s="78">
        <f>IFERROR(1/J401*(Y401/H401),"0")</f>
        <v>0.13736263736263737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53.703703703703702</v>
      </c>
      <c r="Y402" s="43">
        <f>IFERROR(Y399/H399,"0")+IFERROR(Y400/H400,"0")+IFERROR(Y401/H401,"0")</f>
        <v>54</v>
      </c>
      <c r="Z402" s="43">
        <f>IFERROR(IF(Z399="",0,Z399),"0")+IFERROR(IF(Z400="",0,Z400),"0")+IFERROR(IF(Z401="",0,Z401),"0")</f>
        <v>0.40142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135</v>
      </c>
      <c r="Y403" s="43">
        <f>IFERROR(SUM(Y399:Y401),"0")</f>
        <v>137.4</v>
      </c>
      <c r="Z403" s="42"/>
      <c r="AA403" s="67"/>
      <c r="AB403" s="67"/>
      <c r="AC403" s="67"/>
    </row>
    <row r="404" spans="1:68" ht="27.75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500</v>
      </c>
      <c r="Y408" s="55">
        <f t="shared" si="57"/>
        <v>510</v>
      </c>
      <c r="Z408" s="41">
        <f>IFERROR(IF(Y408=0,"",ROUNDUP(Y408/H408,0)*0.02175),"")</f>
        <v>0.73949999999999994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515.66666666666663</v>
      </c>
      <c r="BN408" s="78">
        <f t="shared" si="59"/>
        <v>525.98</v>
      </c>
      <c r="BO408" s="78">
        <f t="shared" si="60"/>
        <v>0.69444444444444442</v>
      </c>
      <c r="BP408" s="78">
        <f t="shared" si="61"/>
        <v>0.70833333333333326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500</v>
      </c>
      <c r="Y409" s="55">
        <f t="shared" si="57"/>
        <v>510</v>
      </c>
      <c r="Z409" s="41">
        <f>IFERROR(IF(Y409=0,"",ROUNDUP(Y409/H409,0)*0.02175),"")</f>
        <v>0.73949999999999994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515.66666666666663</v>
      </c>
      <c r="BN409" s="78">
        <f t="shared" si="59"/>
        <v>525.98</v>
      </c>
      <c r="BO409" s="78">
        <f t="shared" si="60"/>
        <v>0.69444444444444442</v>
      </c>
      <c r="BP409" s="78">
        <f t="shared" si="61"/>
        <v>0.70833333333333326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500</v>
      </c>
      <c r="Y410" s="55">
        <f t="shared" si="57"/>
        <v>510</v>
      </c>
      <c r="Z410" s="41">
        <f>IFERROR(IF(Y410=0,"",ROUNDUP(Y410/H410,0)*0.02175),"")</f>
        <v>0.73949999999999994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515.66666666666663</v>
      </c>
      <c r="BN410" s="78">
        <f t="shared" si="59"/>
        <v>525.98</v>
      </c>
      <c r="BO410" s="78">
        <f t="shared" si="60"/>
        <v>0.69444444444444442</v>
      </c>
      <c r="BP410" s="78">
        <f t="shared" si="61"/>
        <v>0.70833333333333326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100</v>
      </c>
      <c r="Y415" s="43">
        <f>IFERROR(Y407/H407,"0")+IFERROR(Y408/H408,"0")+IFERROR(Y409/H409,"0")+IFERROR(Y410/H410,"0")+IFERROR(Y411/H411,"0")+IFERROR(Y412/H412,"0")+IFERROR(Y413/H413,"0")+IFERROR(Y414/H414,"0")</f>
        <v>102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2.2184999999999997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1500</v>
      </c>
      <c r="Y416" s="43">
        <f>IFERROR(SUM(Y407:Y414),"0")</f>
        <v>1530</v>
      </c>
      <c r="Z416" s="42"/>
      <c r="AA416" s="67"/>
      <c r="AB416" s="67"/>
      <c r="AC416" s="67"/>
    </row>
    <row r="417" spans="1:68" ht="14.25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15</v>
      </c>
      <c r="Y419" s="55">
        <f>IFERROR(IF(X419="",0,CEILING((X419/$H419),1)*$H419),"")</f>
        <v>15</v>
      </c>
      <c r="Z419" s="41">
        <f>IFERROR(IF(Y419=0,"",ROUNDUP(Y419/H419,0)*0.02175),"")</f>
        <v>2.1749999999999999E-2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15.47</v>
      </c>
      <c r="BN419" s="78">
        <f>IFERROR(Y419*I419/H419,"0")</f>
        <v>15.47</v>
      </c>
      <c r="BO419" s="78">
        <f>IFERROR(1/J419*(X419/H419),"0")</f>
        <v>2.0833333333333332E-2</v>
      </c>
      <c r="BP419" s="78">
        <f>IFERROR(1/J419*(Y419/H419),"0")</f>
        <v>2.0833333333333332E-2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1</v>
      </c>
      <c r="Y421" s="43">
        <f>IFERROR(Y418/H418,"0")+IFERROR(Y419/H419,"0")+IFERROR(Y420/H420,"0")</f>
        <v>1</v>
      </c>
      <c r="Z421" s="43">
        <f>IFERROR(IF(Z418="",0,Z418),"0")+IFERROR(IF(Z419="",0,Z419),"0")+IFERROR(IF(Z420="",0,Z420),"0")</f>
        <v>2.1749999999999999E-2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15</v>
      </c>
      <c r="Y422" s="43">
        <f>IFERROR(SUM(Y418:Y420),"0")</f>
        <v>15</v>
      </c>
      <c r="Z422" s="42"/>
      <c r="AA422" s="67"/>
      <c r="AB422" s="67"/>
      <c r="AC422" s="67"/>
    </row>
    <row r="423" spans="1:68" ht="14.25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60</v>
      </c>
      <c r="Y478" s="55">
        <f t="shared" ref="Y478:Y486" si="67">IFERROR(IF(X478="",0,CEILING((X478/$H478),1)*$H478),"")</f>
        <v>63.36</v>
      </c>
      <c r="Z478" s="41">
        <f t="shared" ref="Z478:Z483" si="68">IFERROR(IF(Y478=0,"",ROUNDUP(Y478/H478,0)*0.01196),"")</f>
        <v>0.14352000000000001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63.977272727272727</v>
      </c>
      <c r="BN478" s="78">
        <f t="shared" ref="BN478:BN486" si="70">IFERROR(Y478*I478/H478,"0")</f>
        <v>67.559999999999988</v>
      </c>
      <c r="BO478" s="78">
        <f t="shared" ref="BO478:BO486" si="71">IFERROR(1/J478*(X478/H478),"0")</f>
        <v>0.10926573426573427</v>
      </c>
      <c r="BP478" s="78">
        <f t="shared" ref="BP478:BP486" si="72">IFERROR(1/J478*(Y478/H478),"0")</f>
        <v>0.11538461538461539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80</v>
      </c>
      <c r="Y481" s="55">
        <f t="shared" si="67"/>
        <v>84.48</v>
      </c>
      <c r="Z481" s="41">
        <f t="shared" si="68"/>
        <v>0.19136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85.303030303030297</v>
      </c>
      <c r="BN481" s="78">
        <f t="shared" si="70"/>
        <v>90.08</v>
      </c>
      <c r="BO481" s="78">
        <f t="shared" si="71"/>
        <v>0.14568764568764569</v>
      </c>
      <c r="BP481" s="78">
        <f t="shared" si="72"/>
        <v>0.15384615384615385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18</v>
      </c>
      <c r="Y485" s="55">
        <f t="shared" si="67"/>
        <v>19.2</v>
      </c>
      <c r="Z485" s="41">
        <f>IFERROR(IF(Y485=0,"",ROUNDUP(Y485/H485,0)*0.00902),"")</f>
        <v>3.6080000000000001E-2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25.912500000000001</v>
      </c>
      <c r="BN485" s="78">
        <f t="shared" si="70"/>
        <v>27.64</v>
      </c>
      <c r="BO485" s="78">
        <f t="shared" si="71"/>
        <v>2.8409090909090912E-2</v>
      </c>
      <c r="BP485" s="78">
        <f t="shared" si="72"/>
        <v>3.0303030303030304E-2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30.265151515151516</v>
      </c>
      <c r="Y487" s="43">
        <f>IFERROR(Y478/H478,"0")+IFERROR(Y479/H479,"0")+IFERROR(Y480/H480,"0")+IFERROR(Y481/H481,"0")+IFERROR(Y482/H482,"0")+IFERROR(Y483/H483,"0")+IFERROR(Y484/H484,"0")+IFERROR(Y485/H485,"0")+IFERROR(Y486/H486,"0")</f>
        <v>32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0.37096000000000001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158</v>
      </c>
      <c r="Y488" s="43">
        <f>IFERROR(SUM(Y478:Y486),"0")</f>
        <v>167.04</v>
      </c>
      <c r="Z488" s="42"/>
      <c r="AA488" s="67"/>
      <c r="AB488" s="67"/>
      <c r="AC488" s="67"/>
    </row>
    <row r="489" spans="1:68" ht="14.25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60</v>
      </c>
      <c r="Y490" s="55">
        <f>IFERROR(IF(X490="",0,CEILING((X490/$H490),1)*$H490),"")</f>
        <v>63.36</v>
      </c>
      <c r="Z490" s="41">
        <f>IFERROR(IF(Y490=0,"",ROUNDUP(Y490/H490,0)*0.01196),"")</f>
        <v>0.14352000000000001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63.977272727272727</v>
      </c>
      <c r="BN490" s="78">
        <f>IFERROR(Y490*I490/H490,"0")</f>
        <v>67.559999999999988</v>
      </c>
      <c r="BO490" s="78">
        <f>IFERROR(1/J490*(X490/H490),"0")</f>
        <v>0.10926573426573427</v>
      </c>
      <c r="BP490" s="78">
        <f>IFERROR(1/J490*(Y490/H490),"0")</f>
        <v>0.11538461538461539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11.363636363636363</v>
      </c>
      <c r="Y493" s="43">
        <f>IFERROR(Y490/H490,"0")+IFERROR(Y491/H491,"0")+IFERROR(Y492/H492,"0")</f>
        <v>12</v>
      </c>
      <c r="Z493" s="43">
        <f>IFERROR(IF(Z490="",0,Z490),"0")+IFERROR(IF(Z491="",0,Z491),"0")+IFERROR(IF(Z492="",0,Z492),"0")</f>
        <v>0.14352000000000001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60</v>
      </c>
      <c r="Y494" s="43">
        <f>IFERROR(SUM(Y490:Y492),"0")</f>
        <v>63.36</v>
      </c>
      <c r="Z494" s="42"/>
      <c r="AA494" s="67"/>
      <c r="AB494" s="67"/>
      <c r="AC494" s="67"/>
    </row>
    <row r="495" spans="1:68" ht="14.25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40</v>
      </c>
      <c r="Y496" s="55">
        <f t="shared" ref="Y496:Y502" si="73">IFERROR(IF(X496="",0,CEILING((X496/$H496),1)*$H496),"")</f>
        <v>42.24</v>
      </c>
      <c r="Z496" s="41">
        <f>IFERROR(IF(Y496=0,"",ROUNDUP(Y496/H496,0)*0.01196),"")</f>
        <v>9.5680000000000001E-2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42.651515151515149</v>
      </c>
      <c r="BN496" s="78">
        <f t="shared" ref="BN496:BN502" si="75">IFERROR(Y496*I496/H496,"0")</f>
        <v>45.04</v>
      </c>
      <c r="BO496" s="78">
        <f t="shared" ref="BO496:BO502" si="76">IFERROR(1/J496*(X496/H496),"0")</f>
        <v>7.2843822843822847E-2</v>
      </c>
      <c r="BP496" s="78">
        <f t="shared" ref="BP496:BP502" si="77">IFERROR(1/J496*(Y496/H496),"0")</f>
        <v>7.6923076923076927E-2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40</v>
      </c>
      <c r="Y497" s="55">
        <f t="shared" si="73"/>
        <v>42.24</v>
      </c>
      <c r="Z497" s="41">
        <f>IFERROR(IF(Y497=0,"",ROUNDUP(Y497/H497,0)*0.01196),"")</f>
        <v>9.5680000000000001E-2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42.651515151515149</v>
      </c>
      <c r="BN497" s="78">
        <f t="shared" si="75"/>
        <v>45.04</v>
      </c>
      <c r="BO497" s="78">
        <f t="shared" si="76"/>
        <v>7.2843822843822847E-2</v>
      </c>
      <c r="BP497" s="78">
        <f t="shared" si="77"/>
        <v>7.6923076923076927E-2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40</v>
      </c>
      <c r="Y498" s="55">
        <f t="shared" si="73"/>
        <v>42.24</v>
      </c>
      <c r="Z498" s="41">
        <f>IFERROR(IF(Y498=0,"",ROUNDUP(Y498/H498,0)*0.01196),"")</f>
        <v>9.5680000000000001E-2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42.651515151515149</v>
      </c>
      <c r="BN498" s="78">
        <f t="shared" si="75"/>
        <v>45.04</v>
      </c>
      <c r="BO498" s="78">
        <f t="shared" si="76"/>
        <v>7.2843822843822847E-2</v>
      </c>
      <c r="BP498" s="78">
        <f t="shared" si="77"/>
        <v>7.6923076923076927E-2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22.727272727272727</v>
      </c>
      <c r="Y503" s="43">
        <f>IFERROR(Y496/H496,"0")+IFERROR(Y497/H497,"0")+IFERROR(Y498/H498,"0")+IFERROR(Y499/H499,"0")+IFERROR(Y500/H500,"0")+IFERROR(Y501/H501,"0")+IFERROR(Y502/H502,"0")</f>
        <v>24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0.28704000000000002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120</v>
      </c>
      <c r="Y504" s="43">
        <f>IFERROR(SUM(Y496:Y502),"0")</f>
        <v>126.72</v>
      </c>
      <c r="Z504" s="42"/>
      <c r="AA504" s="67"/>
      <c r="AB504" s="67"/>
      <c r="AC504" s="67"/>
    </row>
    <row r="505" spans="1:68" ht="27.75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2795.9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2894.42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2936.8163848805502</v>
      </c>
      <c r="Y535" s="43">
        <f>IFERROR(SUM(BN22:BN531),"0")</f>
        <v>3041.5969999999993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5</v>
      </c>
      <c r="Y536" s="44">
        <f>ROUNDUP(SUM(BP22:BP531),0)</f>
        <v>5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3061.8163848805502</v>
      </c>
      <c r="Y537" s="43">
        <f>GrossWeightTotalR+PalletQtyTotalR*25</f>
        <v>3166.5969999999993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404.72120780454111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421</v>
      </c>
      <c r="Z538" s="42"/>
      <c r="AA538" s="67"/>
      <c r="AB538" s="67"/>
      <c r="AC538" s="67"/>
    </row>
    <row r="539" spans="1:68" ht="14.25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5.3353499999999991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22.68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32.400000000000006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96.300000000000011</v>
      </c>
      <c r="F544" s="52">
        <f>IFERROR(Y88*1,"0")+IFERROR(Y89*1,"0")+IFERROR(Y90*1,"0")+IFERROR(Y91*1,"0")+IFERROR(Y95*1,"0")+IFERROR(Y96*1,"0")+IFERROR(Y97*1,"0")+IFERROR(Y98*1,"0")</f>
        <v>186.3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53.099999999999994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31.5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14.719999999999999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241.20000000000002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9</v>
      </c>
      <c r="P544" s="52">
        <f>IFERROR(Y316*1,"0")+IFERROR(Y317*1,"0")+IFERROR(Y318*1,"0")+IFERROR(Y319*1,"0")+IFERROR(Y320*1,"0")</f>
        <v>64.800000000000011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102.9</v>
      </c>
      <c r="U544" s="52">
        <f>IFERROR(Y399*1,"0")+IFERROR(Y400*1,"0")+IFERROR(Y401*1,"0")</f>
        <v>137.4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1545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357.12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2026-07-16T10:37:34Z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