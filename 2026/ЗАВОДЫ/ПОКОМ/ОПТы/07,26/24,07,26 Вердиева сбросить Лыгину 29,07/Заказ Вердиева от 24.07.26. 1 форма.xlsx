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4F06CA9-B159-4624-828D-32BBFF9587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BP127" i="2"/>
  <c r="Y128" i="2"/>
  <c r="Z132" i="2"/>
  <c r="Z134" i="2"/>
  <c r="Z290" i="2"/>
  <c r="BN290" i="2"/>
  <c r="Y55" i="2"/>
  <c r="Z35" i="2"/>
  <c r="Z36" i="2" s="1"/>
  <c r="Z250" i="2"/>
  <c r="Z428" i="2"/>
  <c r="Z59" i="2"/>
  <c r="Z167" i="2"/>
  <c r="Z230" i="2"/>
  <c r="Z320" i="2"/>
  <c r="Z457" i="2"/>
  <c r="Z458" i="2" s="1"/>
  <c r="BN457" i="2"/>
  <c r="F561" i="2"/>
  <c r="Y37" i="2"/>
  <c r="Z113" i="2"/>
  <c r="Z157" i="2"/>
  <c r="BP187" i="2"/>
  <c r="BP202" i="2"/>
  <c r="Z244" i="2"/>
  <c r="Z264" i="2"/>
  <c r="Z266" i="2" s="1"/>
  <c r="BN264" i="2"/>
  <c r="Z280" i="2"/>
  <c r="Z304" i="2"/>
  <c r="BN304" i="2"/>
  <c r="Z328" i="2"/>
  <c r="BN61" i="2"/>
  <c r="BN77" i="2"/>
  <c r="BN115" i="2"/>
  <c r="BP185" i="2"/>
  <c r="BN186" i="2"/>
  <c r="Y25" i="2"/>
  <c r="X555" i="2"/>
  <c r="BN30" i="2"/>
  <c r="Z31" i="2"/>
  <c r="BP35" i="2"/>
  <c r="Z43" i="2"/>
  <c r="BN72" i="2"/>
  <c r="Y79" i="2"/>
  <c r="BN82" i="2"/>
  <c r="Z90" i="2"/>
  <c r="BN106" i="2"/>
  <c r="BN120" i="2"/>
  <c r="Z122" i="2"/>
  <c r="Y137" i="2"/>
  <c r="Y158" i="2"/>
  <c r="BN155" i="2"/>
  <c r="Z156" i="2"/>
  <c r="Z173" i="2"/>
  <c r="Z182" i="2"/>
  <c r="Z185" i="2"/>
  <c r="Z192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BN441" i="2"/>
  <c r="BN463" i="2"/>
  <c r="BN473" i="2"/>
  <c r="BN515" i="2"/>
  <c r="BN517" i="2"/>
  <c r="BN28" i="2"/>
  <c r="BN148" i="2"/>
  <c r="BN226" i="2"/>
  <c r="BN259" i="2"/>
  <c r="BP273" i="2"/>
  <c r="BN274" i="2"/>
  <c r="BP283" i="2"/>
  <c r="BN284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464" i="2"/>
  <c r="Z150" i="2"/>
  <c r="Z411" i="2"/>
  <c r="Z251" i="2"/>
  <c r="X554" i="2"/>
  <c r="Z418" i="2"/>
  <c r="Z475" i="2"/>
  <c r="Z322" i="2"/>
  <c r="Z174" i="2"/>
  <c r="Z386" i="2"/>
  <c r="Z292" i="2"/>
  <c r="Z405" i="2"/>
  <c r="Z369" i="2"/>
  <c r="Z32" i="2"/>
  <c r="Z338" i="2"/>
  <c r="Z277" i="2"/>
  <c r="Z215" i="2"/>
  <c r="Z117" i="2"/>
  <c r="Z480" i="2"/>
  <c r="Z245" i="2"/>
  <c r="Z158" i="2"/>
  <c r="Z359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<sst xmlns="http://schemas.openxmlformats.org/spreadsheetml/2006/main" count="4193" uniqueCount="890">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</sst>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7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46229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15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15.569444444444445</v>
      </c>
      <c r="BN51" s="78">
        <f>IFERROR(Y51*I51/H51,"0")</f>
        <v>22.42</v>
      </c>
      <c r="BO51" s="78">
        <f>IFERROR(1/J51*(X51/H51),"0")</f>
        <v>2.1701388888888888E-2</v>
      </c>
      <c r="BP51" s="78">
        <f>IFERROR(1/J51*(Y51/H51),"0")</f>
        <v>3.125E-2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16</v>
      </c>
      <c r="Y53" s="55">
        <f>IFERROR(IF(X53="",0,CEILING((X53/$H53),1)*$H53),"")</f>
        <v>16</v>
      </c>
      <c r="Z53" s="41">
        <f>IFERROR(IF(Y53=0,"",ROUNDUP(Y53/H53,0)*0.00902),"")</f>
        <v>3.6080000000000001E-2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16.760000000000002</v>
      </c>
      <c r="BN53" s="78">
        <f>IFERROR(Y53*I53/H53,"0")</f>
        <v>16.760000000000002</v>
      </c>
      <c r="BO53" s="78">
        <f>IFERROR(1/J53*(X53/H53),"0")</f>
        <v>3.0303030303030304E-2</v>
      </c>
      <c r="BP53" s="78">
        <f>IFERROR(1/J53*(Y53/H53),"0")</f>
        <v>3.0303030303030304E-2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5.3888888888888893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7.4039999999999995E-2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31</v>
      </c>
      <c r="Y56" s="43">
        <f>IFERROR(SUM(Y51:Y54),"0")</f>
        <v>37.6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13.5</v>
      </c>
      <c r="Y73" s="55">
        <f>IFERROR(IF(X73="",0,CEILING((X73/$H73),1)*$H73),"")</f>
        <v>13.5</v>
      </c>
      <c r="Z73" s="41">
        <f>IFERROR(IF(Y73=0,"",ROUNDUP(Y73/H73,0)*0.00651),"")</f>
        <v>3.2550000000000003E-2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14.399999999999997</v>
      </c>
      <c r="BN73" s="78">
        <f>IFERROR(Y73*I73/H73,"0")</f>
        <v>14.399999999999997</v>
      </c>
      <c r="BO73" s="78">
        <f>IFERROR(1/J73*(X73/H73),"0")</f>
        <v>2.7472527472527476E-2</v>
      </c>
      <c r="BP73" s="78">
        <f>IFERROR(1/J73*(Y73/H73),"0")</f>
        <v>2.7472527472527476E-2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5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3.2550000000000003E-2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13.5</v>
      </c>
      <c r="Y75" s="43">
        <f>IFERROR(SUM(Y70:Y73),"0")</f>
        <v>13.5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60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63.659259259259258</v>
      </c>
      <c r="BN95" s="78">
        <f>IFERROR(Y95*I95/H95,"0")</f>
        <v>68.751999999999995</v>
      </c>
      <c r="BO95" s="78">
        <f>IFERROR(1/J95*(X95/H95),"0")</f>
        <v>0.11574074074074074</v>
      </c>
      <c r="BP95" s="78">
        <f>IFERROR(1/J95*(Y95/H95),"0")</f>
        <v>0.125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7.4074074074074074</v>
      </c>
      <c r="Y99" s="43">
        <f>IFERROR(Y95/H95,"0")+IFERROR(Y96/H96,"0")+IFERROR(Y97/H97,"0")+IFERROR(Y98/H98,"0")</f>
        <v>8</v>
      </c>
      <c r="Z99" s="43">
        <f>IFERROR(IF(Z95="",0,Z95),"0")+IFERROR(IF(Z96="",0,Z96),"0")+IFERROR(IF(Z97="",0,Z97),"0")+IFERROR(IF(Z98="",0,Z98),"0")</f>
        <v>0.15184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60</v>
      </c>
      <c r="Y100" s="43">
        <f>IFERROR(SUM(Y95:Y98),"0")</f>
        <v>64.8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70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74.217283950617286</v>
      </c>
      <c r="BN120" s="78">
        <f>IFERROR(Y120*I120/H120,"0")</f>
        <v>77.291999999999987</v>
      </c>
      <c r="BO120" s="78">
        <f>IFERROR(1/J120*(X120/H120),"0")</f>
        <v>0.13503086419753088</v>
      </c>
      <c r="BP120" s="78">
        <f>IFERROR(1/J120*(Y120/H120),"0")</f>
        <v>0.140625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27</v>
      </c>
      <c r="Y122" s="55">
        <f>IFERROR(IF(X122="",0,CEILING((X122/$H122),1)*$H122),"")</f>
        <v>27</v>
      </c>
      <c r="Z122" s="41">
        <f>IFERROR(IF(Y122=0,"",ROUNDUP(Y122/H122,0)*0.00651),"")</f>
        <v>6.5100000000000005E-2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29.519999999999996</v>
      </c>
      <c r="BN122" s="78">
        <f>IFERROR(Y122*I122/H122,"0")</f>
        <v>29.519999999999996</v>
      </c>
      <c r="BO122" s="78">
        <f>IFERROR(1/J122*(X122/H122),"0")</f>
        <v>5.4945054945054951E-2</v>
      </c>
      <c r="BP122" s="78">
        <f>IFERROR(1/J122*(Y122/H122),"0")</f>
        <v>5.4945054945054951E-2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18.641975308641975</v>
      </c>
      <c r="Y124" s="43">
        <f>IFERROR(Y120/H120,"0")+IFERROR(Y121/H121,"0")+IFERROR(Y122/H122,"0")+IFERROR(Y123/H123,"0")</f>
        <v>19</v>
      </c>
      <c r="Z124" s="43">
        <f>IFERROR(IF(Z120="",0,Z120),"0")+IFERROR(IF(Z121="",0,Z121),"0")+IFERROR(IF(Z122="",0,Z122),"0")+IFERROR(IF(Z123="",0,Z123),"0")</f>
        <v>0.23592000000000002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97</v>
      </c>
      <c r="Y125" s="43">
        <f>IFERROR(SUM(Y120:Y123),"0")</f>
        <v>99.899999999999991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27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41.407407407407405</v>
      </c>
      <c r="BN270" s="78">
        <f t="shared" si="29"/>
        <v>44.72</v>
      </c>
      <c r="BO270" s="78">
        <f t="shared" si="30"/>
        <v>5.6116722783389444E-2</v>
      </c>
      <c r="BP270" s="78">
        <f t="shared" si="31"/>
        <v>6.0606060606060608E-2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27"/>
        <v>43.2</v>
      </c>
      <c r="Z272" s="41">
        <f>IFERROR(IF(Y272=0,"",ROUNDUP(Y272/H272,0)*0.00902),"")</f>
        <v>7.2160000000000002E-2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41.407407407407405</v>
      </c>
      <c r="BN272" s="78">
        <f t="shared" si="29"/>
        <v>44.72</v>
      </c>
      <c r="BO272" s="78">
        <f t="shared" si="30"/>
        <v>5.6116722783389444E-2</v>
      </c>
      <c r="BP272" s="78">
        <f t="shared" si="31"/>
        <v>6.0606060606060608E-2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27.777777777777771</v>
      </c>
      <c r="Y277" s="43">
        <f>IFERROR(Y269/H269,"0")+IFERROR(Y270/H270,"0")+IFERROR(Y271/H271,"0")+IFERROR(Y272/H272,"0")+IFERROR(Y273/H273,"0")+IFERROR(Y274/H274,"0")+IFERROR(Y275/H275,"0")+IFERROR(Y276/H276,"0")</f>
        <v>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0.26158000000000003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150</v>
      </c>
      <c r="Y278" s="43">
        <f>IFERROR(SUM(Y269:Y276),"0")</f>
        <v>156.60000000000002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8</v>
      </c>
      <c r="Y283" s="55">
        <f t="shared" si="32"/>
        <v>9.6</v>
      </c>
      <c r="Z283" s="41">
        <f>IFERROR(IF(Y283=0,"",ROUNDUP(Y283/H283,0)*0.00651),"")</f>
        <v>2.6040000000000001E-2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8.9</v>
      </c>
      <c r="BN283" s="78">
        <f t="shared" si="34"/>
        <v>10.68</v>
      </c>
      <c r="BO283" s="78">
        <f t="shared" si="35"/>
        <v>1.8315018315018316E-2</v>
      </c>
      <c r="BP283" s="78">
        <f t="shared" si="36"/>
        <v>2.197802197802198E-2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8</v>
      </c>
      <c r="Y286" s="55">
        <f t="shared" si="32"/>
        <v>9.6</v>
      </c>
      <c r="Z286" s="41">
        <f>IFERROR(IF(Y286=0,"",ROUNDUP(Y286/H286,0)*0.00651),"")</f>
        <v>2.6040000000000001E-2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8.8400000000000016</v>
      </c>
      <c r="BN286" s="78">
        <f t="shared" si="34"/>
        <v>10.608000000000001</v>
      </c>
      <c r="BO286" s="78">
        <f t="shared" si="35"/>
        <v>1.8315018315018316E-2</v>
      </c>
      <c r="BP286" s="78">
        <f t="shared" si="36"/>
        <v>2.197802197802198E-2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8</v>
      </c>
      <c r="Y288" s="55">
        <f t="shared" si="32"/>
        <v>9.6</v>
      </c>
      <c r="Z288" s="41">
        <f>IFERROR(IF(Y288=0,"",ROUNDUP(Y288/H288,0)*0.00651),"")</f>
        <v>2.6040000000000001E-2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8.8400000000000016</v>
      </c>
      <c r="BN288" s="78">
        <f t="shared" si="34"/>
        <v>10.608000000000001</v>
      </c>
      <c r="BO288" s="78">
        <f t="shared" si="35"/>
        <v>1.8315018315018316E-2</v>
      </c>
      <c r="BP288" s="78">
        <f t="shared" si="36"/>
        <v>2.197802197802198E-2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6</v>
      </c>
      <c r="Y290" s="55">
        <f t="shared" si="32"/>
        <v>7.1999999999999993</v>
      </c>
      <c r="Z290" s="41">
        <f>IFERROR(IF(Y290=0,"",ROUNDUP(Y290/H290,0)*0.00651),"")</f>
        <v>1.9529999999999999E-2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6.6450000000000005</v>
      </c>
      <c r="BN290" s="78">
        <f t="shared" si="34"/>
        <v>7.9740000000000002</v>
      </c>
      <c r="BO290" s="78">
        <f t="shared" si="35"/>
        <v>1.3736263736263738E-2</v>
      </c>
      <c r="BP290" s="78">
        <f t="shared" si="36"/>
        <v>1.6483516483516484E-2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12.5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9.7649999999999987E-2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30</v>
      </c>
      <c r="Y293" s="43">
        <f>IFERROR(SUM(Y280:Y291),"0")</f>
        <v>36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8</v>
      </c>
      <c r="Y336" s="55">
        <f>IFERROR(IF(X336="",0,CEILING((X336/$H336),1)*$H336),"")</f>
        <v>9.6</v>
      </c>
      <c r="Z336" s="41">
        <f>IFERROR(IF(Y336=0,"",ROUNDUP(Y336/H336,0)*0.00651),"")</f>
        <v>2.6040000000000001E-2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8.8400000000000016</v>
      </c>
      <c r="BN336" s="78">
        <f>IFERROR(Y336*I336/H336,"0")</f>
        <v>10.608000000000001</v>
      </c>
      <c r="BO336" s="78">
        <f>IFERROR(1/J336*(X336/H336),"0")</f>
        <v>1.8315018315018316E-2</v>
      </c>
      <c r="BP336" s="78">
        <f>IFERROR(1/J336*(Y336/H336),"0")</f>
        <v>2.197802197802198E-2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8</v>
      </c>
      <c r="Y337" s="55">
        <f>IFERROR(IF(X337="",0,CEILING((X337/$H337),1)*$H337),"")</f>
        <v>9.6</v>
      </c>
      <c r="Z337" s="41">
        <f>IFERROR(IF(Y337=0,"",ROUNDUP(Y337/H337,0)*0.00651),"")</f>
        <v>2.6040000000000001E-2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8.6000000000000014</v>
      </c>
      <c r="BN337" s="78">
        <f>IFERROR(Y337*I337/H337,"0")</f>
        <v>10.32</v>
      </c>
      <c r="BO337" s="78">
        <f>IFERROR(1/J337*(X337/H337),"0")</f>
        <v>1.8315018315018316E-2</v>
      </c>
      <c r="BP337" s="78">
        <f>IFERROR(1/J337*(Y337/H337),"0")</f>
        <v>2.197802197802198E-2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6.666666666666667</v>
      </c>
      <c r="Y338" s="43">
        <f>IFERROR(Y335/H335,"0")+IFERROR(Y336/H336,"0")+IFERROR(Y337/H337,"0")</f>
        <v>8</v>
      </c>
      <c r="Z338" s="43">
        <f>IFERROR(IF(Z335="",0,Z335),"0")+IFERROR(IF(Z336="",0,Z336),"0")+IFERROR(IF(Z337="",0,Z337),"0")</f>
        <v>5.2080000000000001E-2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16</v>
      </c>
      <c r="Y339" s="43">
        <f>IFERROR(SUM(Y335:Y337),"0")</f>
        <v>19.2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10</v>
      </c>
      <c r="Y373" s="55">
        <f t="shared" si="47"/>
        <v>12.600000000000001</v>
      </c>
      <c r="Z373" s="41">
        <f>IFERROR(IF(Y373=0,"",ROUNDUP(Y373/H373,0)*0.00902),"")</f>
        <v>2.7060000000000001E-2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10.595238095238095</v>
      </c>
      <c r="BN373" s="78">
        <f t="shared" si="49"/>
        <v>13.350000000000001</v>
      </c>
      <c r="BO373" s="78">
        <f t="shared" si="50"/>
        <v>1.8037518037518036E-2</v>
      </c>
      <c r="BP373" s="78">
        <f t="shared" si="51"/>
        <v>2.2727272727272728E-2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7</v>
      </c>
      <c r="Y375" s="55">
        <f t="shared" si="47"/>
        <v>8.4</v>
      </c>
      <c r="Z375" s="41">
        <f>IFERROR(IF(Y375=0,"",ROUNDUP(Y375/H375,0)*0.00502),"")</f>
        <v>2.0080000000000001E-2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7.4333333333333327</v>
      </c>
      <c r="BN375" s="78">
        <f t="shared" si="49"/>
        <v>8.92</v>
      </c>
      <c r="BO375" s="78">
        <f t="shared" si="50"/>
        <v>1.4245014245014245E-2</v>
      </c>
      <c r="BP375" s="78">
        <f t="shared" si="51"/>
        <v>1.7094017094017096E-2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5.7142857142857135</v>
      </c>
      <c r="Y379" s="43">
        <f>IFERROR(Y372/H372,"0")+IFERROR(Y373/H373,"0")+IFERROR(Y374/H374,"0")+IFERROR(Y375/H375,"0")+IFERROR(Y376/H376,"0")+IFERROR(Y377/H377,"0")+IFERROR(Y378/H378,"0")</f>
        <v>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4.7140000000000001E-2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17</v>
      </c>
      <c r="Y380" s="43">
        <f>IFERROR(SUM(Y372:Y378),"0")</f>
        <v>21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20</v>
      </c>
      <c r="Y390" s="55">
        <f>IFERROR(IF(X390="",0,CEILING((X390/$H390),1)*$H390),"")</f>
        <v>23.4</v>
      </c>
      <c r="Z390" s="41">
        <f>IFERROR(IF(Y390=0,"",ROUNDUP(Y390/H390,0)*0.01898),"")</f>
        <v>5.6940000000000004E-2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21.266666666666666</v>
      </c>
      <c r="BN390" s="78">
        <f>IFERROR(Y390*I390/H390,"0")</f>
        <v>24.882000000000001</v>
      </c>
      <c r="BO390" s="78">
        <f>IFERROR(1/J390*(X390/H390),"0")</f>
        <v>4.0064102564102567E-2</v>
      </c>
      <c r="BP390" s="78">
        <f>IFERROR(1/J390*(Y390/H390),"0")</f>
        <v>4.6875E-2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2.5641025641025643</v>
      </c>
      <c r="Y392" s="43">
        <f>IFERROR(Y389/H389,"0")+IFERROR(Y390/H390,"0")+IFERROR(Y391/H391,"0")</f>
        <v>3</v>
      </c>
      <c r="Z392" s="43">
        <f>IFERROR(IF(Z389="",0,Z389),"0")+IFERROR(IF(Z390="",0,Z390),"0")+IFERROR(IF(Z391="",0,Z391),"0")</f>
        <v>5.6940000000000004E-2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20</v>
      </c>
      <c r="Y393" s="43">
        <f>IFERROR(SUM(Y389:Y391),"0")</f>
        <v>23.4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25</v>
      </c>
      <c r="Y415" s="55">
        <f>IFERROR(IF(X415="",0,CEILING((X415/$H415),1)*$H415),"")</f>
        <v>32.4</v>
      </c>
      <c r="Z415" s="41">
        <f>IFERROR(IF(Y415=0,"",ROUNDUP(Y415/H415,0)*0.01898),"")</f>
        <v>7.5920000000000001E-2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26.524691358024693</v>
      </c>
      <c r="BN415" s="78">
        <f>IFERROR(Y415*I415/H415,"0")</f>
        <v>34.375999999999998</v>
      </c>
      <c r="BO415" s="78">
        <f>IFERROR(1/J415*(X415/H415),"0")</f>
        <v>4.8225308641975308E-2</v>
      </c>
      <c r="BP415" s="78">
        <f>IFERROR(1/J415*(Y415/H415),"0")</f>
        <v>6.25E-2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21</v>
      </c>
      <c r="Y416" s="55">
        <f>IFERROR(IF(X416="",0,CEILING((X416/$H416),1)*$H416),"")</f>
        <v>21</v>
      </c>
      <c r="Z416" s="41">
        <f>IFERROR(IF(Y416=0,"",ROUNDUP(Y416/H416,0)*0.00651),"")</f>
        <v>6.5100000000000005E-2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23.519999999999996</v>
      </c>
      <c r="BN416" s="78">
        <f>IFERROR(Y416*I416/H416,"0")</f>
        <v>23.519999999999996</v>
      </c>
      <c r="BO416" s="78">
        <f>IFERROR(1/J416*(X416/H416),"0")</f>
        <v>5.4945054945054951E-2</v>
      </c>
      <c r="BP416" s="78">
        <f>IFERROR(1/J416*(Y416/H416),"0")</f>
        <v>5.4945054945054951E-2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17.5</v>
      </c>
      <c r="Y417" s="55">
        <f>IFERROR(IF(X417="",0,CEILING((X417/$H417),1)*$H417),"")</f>
        <v>18.900000000000002</v>
      </c>
      <c r="Z417" s="41">
        <f>IFERROR(IF(Y417=0,"",ROUNDUP(Y417/H417,0)*0.00651),"")</f>
        <v>5.8590000000000003E-2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19.499999999999996</v>
      </c>
      <c r="BN417" s="78">
        <f>IFERROR(Y417*I417/H417,"0")</f>
        <v>21.06</v>
      </c>
      <c r="BO417" s="78">
        <f>IFERROR(1/J417*(X417/H417),"0")</f>
        <v>4.5787545787545784E-2</v>
      </c>
      <c r="BP417" s="78">
        <f>IFERROR(1/J417*(Y417/H417),"0")</f>
        <v>4.9450549450549455E-2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21.419753086419753</v>
      </c>
      <c r="Y418" s="43">
        <f>IFERROR(Y415/H415,"0")+IFERROR(Y416/H416,"0")+IFERROR(Y417/H417,"0")</f>
        <v>23</v>
      </c>
      <c r="Z418" s="43">
        <f>IFERROR(IF(Z415="",0,Z415),"0")+IFERROR(IF(Z416="",0,Z416),"0")+IFERROR(IF(Z417="",0,Z417),"0")</f>
        <v>0.19961000000000001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63.5</v>
      </c>
      <c r="Y419" s="43">
        <f>IFERROR(SUM(Y415:Y417),"0")</f>
        <v>72.3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250</v>
      </c>
      <c r="Y424" s="55">
        <f t="shared" si="52"/>
        <v>255</v>
      </c>
      <c r="Z424" s="41">
        <f>IFERROR(IF(Y424=0,"",ROUNDUP(Y424/H424,0)*0.02175),"")</f>
        <v>0.36974999999999997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257.83333333333331</v>
      </c>
      <c r="BN424" s="78">
        <f t="shared" si="54"/>
        <v>262.99</v>
      </c>
      <c r="BO424" s="78">
        <f t="shared" si="55"/>
        <v>0.34722222222222221</v>
      </c>
      <c r="BP424" s="78">
        <f t="shared" si="56"/>
        <v>0.35416666666666663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250</v>
      </c>
      <c r="Y425" s="55">
        <f t="shared" si="52"/>
        <v>255</v>
      </c>
      <c r="Z425" s="41">
        <f>IFERROR(IF(Y425=0,"",ROUNDUP(Y425/H425,0)*0.02175),"")</f>
        <v>0.36974999999999997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257.83333333333331</v>
      </c>
      <c r="BN425" s="78">
        <f t="shared" si="54"/>
        <v>262.99</v>
      </c>
      <c r="BO425" s="78">
        <f t="shared" si="55"/>
        <v>0.34722222222222221</v>
      </c>
      <c r="BP425" s="78">
        <f t="shared" si="56"/>
        <v>0.35416666666666663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550</v>
      </c>
      <c r="Y426" s="55">
        <f t="shared" si="52"/>
        <v>555</v>
      </c>
      <c r="Z426" s="41">
        <f>IFERROR(IF(Y426=0,"",ROUNDUP(Y426/H426,0)*0.02175),"")</f>
        <v>0.80474999999999997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567.23333333333335</v>
      </c>
      <c r="BN426" s="78">
        <f t="shared" si="54"/>
        <v>572.39</v>
      </c>
      <c r="BO426" s="78">
        <f t="shared" si="55"/>
        <v>0.76388888888888884</v>
      </c>
      <c r="BP426" s="78">
        <f t="shared" si="56"/>
        <v>0.77083333333333326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70</v>
      </c>
      <c r="Y431" s="43">
        <f>IFERROR(Y423/H423,"0")+IFERROR(Y424/H424,"0")+IFERROR(Y425/H425,"0")+IFERROR(Y426/H426,"0")+IFERROR(Y427/H427,"0")+IFERROR(Y428/H428,"0")+IFERROR(Y429/H429,"0")+IFERROR(Y430/H430,"0")</f>
        <v>71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1.5442499999999999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1050</v>
      </c>
      <c r="Y432" s="43">
        <f>IFERROR(SUM(Y423:Y430),"0")</f>
        <v>1065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100</v>
      </c>
      <c r="Y434" s="55">
        <f>IFERROR(IF(X434="",0,CEILING((X434/$H434),1)*$H434),"")</f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103.13333333333334</v>
      </c>
      <c r="BN434" s="78">
        <f>IFERROR(Y434*I434/H434,"0")</f>
        <v>108.29</v>
      </c>
      <c r="BO434" s="78">
        <f>IFERROR(1/J434*(X434/H434),"0")</f>
        <v>0.1388888888888889</v>
      </c>
      <c r="BP434" s="78">
        <f>IFERROR(1/J434*(Y434/H434),"0")</f>
        <v>0.14583333333333331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6.666666666666667</v>
      </c>
      <c r="Y437" s="43">
        <f>IFERROR(Y434/H434,"0")+IFERROR(Y435/H435,"0")+IFERROR(Y436/H436,"0")</f>
        <v>7</v>
      </c>
      <c r="Z437" s="43">
        <f>IFERROR(IF(Z434="",0,Z434),"0")+IFERROR(IF(Z435="",0,Z435),"0")+IFERROR(IF(Z436="",0,Z436),"0")</f>
        <v>0.15225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100</v>
      </c>
      <c r="Y438" s="43">
        <f>IFERROR(SUM(Y434:Y436),"0")</f>
        <v>105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120</v>
      </c>
      <c r="Y441" s="55">
        <f>IFERROR(IF(X441="",0,CEILING((X441/$H441),1)*$H441),"")</f>
        <v>126</v>
      </c>
      <c r="Z441" s="41">
        <f>IFERROR(IF(Y441=0,"",ROUNDUP(Y441/H441,0)*0.01898),"")</f>
        <v>0.26572000000000001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126.58666666666666</v>
      </c>
      <c r="BN441" s="78">
        <f>IFERROR(Y441*I441/H441,"0")</f>
        <v>132.916</v>
      </c>
      <c r="BO441" s="78">
        <f>IFERROR(1/J441*(X441/H441),"0")</f>
        <v>0.20833333333333334</v>
      </c>
      <c r="BP441" s="78">
        <f>IFERROR(1/J441*(Y441/H441),"0")</f>
        <v>0.21875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13.333333333333334</v>
      </c>
      <c r="Y443" s="43">
        <f>IFERROR(Y440/H440,"0")+IFERROR(Y441/H441,"0")+IFERROR(Y442/H442,"0")</f>
        <v>14</v>
      </c>
      <c r="Z443" s="43">
        <f>IFERROR(IF(Z440="",0,Z440),"0")+IFERROR(IF(Z441="",0,Z441),"0")+IFERROR(IF(Z442="",0,Z442),"0")</f>
        <v>0.26572000000000001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120</v>
      </c>
      <c r="Y444" s="43">
        <f>IFERROR(SUM(Y440:Y442),"0")</f>
        <v>126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30</v>
      </c>
      <c r="Y452" s="55">
        <f>IFERROR(IF(X452="",0,CEILING((X452/$H452),1)*$H452),"")</f>
        <v>36</v>
      </c>
      <c r="Z452" s="41">
        <f>IFERROR(IF(Y452=0,"",ROUNDUP(Y452/H452,0)*0.01898),"")</f>
        <v>5.6940000000000004E-2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31.025000000000002</v>
      </c>
      <c r="BN452" s="78">
        <f>IFERROR(Y452*I452/H452,"0")</f>
        <v>37.229999999999997</v>
      </c>
      <c r="BO452" s="78">
        <f>IFERROR(1/J452*(X452/H452),"0")</f>
        <v>3.90625E-2</v>
      </c>
      <c r="BP452" s="78">
        <f>IFERROR(1/J452*(Y452/H452),"0")</f>
        <v>4.6875E-2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2.5</v>
      </c>
      <c r="Y454" s="43">
        <f>IFERROR(Y452/H452,"0")+IFERROR(Y453/H453,"0")</f>
        <v>3</v>
      </c>
      <c r="Z454" s="43">
        <f>IFERROR(IF(Z452="",0,Z452),"0")+IFERROR(IF(Z453="",0,Z453),"0")</f>
        <v>5.6940000000000004E-2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30</v>
      </c>
      <c r="Y455" s="43">
        <f>IFERROR(SUM(Y452:Y453),"0")</f>
        <v>36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8</v>
      </c>
      <c r="Y462" s="55">
        <f>IFERROR(IF(X462="",0,CEILING((X462/$H462),1)*$H462),"")</f>
        <v>9.6</v>
      </c>
      <c r="Z462" s="41">
        <f>IFERROR(IF(Y462=0,"",ROUNDUP(Y462/H462,0)*0.00651),"")</f>
        <v>2.6040000000000001E-2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8.8800000000000008</v>
      </c>
      <c r="BN462" s="78">
        <f>IFERROR(Y462*I462/H462,"0")</f>
        <v>10.656000000000001</v>
      </c>
      <c r="BO462" s="78">
        <f>IFERROR(1/J462*(X462/H462),"0")</f>
        <v>1.8315018315018316E-2</v>
      </c>
      <c r="BP462" s="78">
        <f>IFERROR(1/J462*(Y462/H462),"0")</f>
        <v>2.197802197802198E-2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3.3333333333333335</v>
      </c>
      <c r="Y464" s="43">
        <f>IFERROR(Y461/H461,"0")+IFERROR(Y462/H462,"0")+IFERROR(Y463/H463,"0")</f>
        <v>4</v>
      </c>
      <c r="Z464" s="43">
        <f>IFERROR(IF(Z461="",0,Z461),"0")+IFERROR(IF(Z462="",0,Z462),"0")+IFERROR(IF(Z463="",0,Z463),"0")</f>
        <v>2.6040000000000001E-2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8</v>
      </c>
      <c r="Y465" s="43">
        <f>IFERROR(SUM(Y461:Y463),"0")</f>
        <v>9.6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7</v>
      </c>
      <c r="Y474" s="55">
        <f t="shared" si="57"/>
        <v>8.4</v>
      </c>
      <c r="Z474" s="41">
        <f>IFERROR(IF(Y474=0,"",ROUNDUP(Y474/H474,0)*0.00502),"")</f>
        <v>2.0080000000000001E-2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7.4333333333333327</v>
      </c>
      <c r="BN474" s="78">
        <f t="shared" si="59"/>
        <v>8.92</v>
      </c>
      <c r="BO474" s="78">
        <f t="shared" si="60"/>
        <v>1.4245014245014245E-2</v>
      </c>
      <c r="BP474" s="78">
        <f t="shared" si="61"/>
        <v>1.7094017094017096E-2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3.333333333333333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2.0080000000000001E-2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7</v>
      </c>
      <c r="Y476" s="43">
        <f>IFERROR(SUM(Y469:Y474),"0")</f>
        <v>8.4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10.5</v>
      </c>
      <c r="Y490" s="55">
        <f>IFERROR(IF(X490="",0,CEILING((X490/$H490),1)*$H490),"")</f>
        <v>10.5</v>
      </c>
      <c r="Z490" s="41">
        <f>IFERROR(IF(Y490=0,"",ROUNDUP(Y490/H490,0)*0.00502),"")</f>
        <v>2.5100000000000001E-2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11.149999999999999</v>
      </c>
      <c r="BN490" s="78">
        <f>IFERROR(Y490*I490/H490,"0")</f>
        <v>11.149999999999999</v>
      </c>
      <c r="BO490" s="78">
        <f>IFERROR(1/J490*(X490/H490),"0")</f>
        <v>2.1367521367521368E-2</v>
      </c>
      <c r="BP490" s="78">
        <f>IFERROR(1/J490*(Y490/H490),"0")</f>
        <v>2.1367521367521368E-2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8.7037037037037024</v>
      </c>
      <c r="Y491" s="43">
        <f>IFERROR(Y488/H488,"0")+IFERROR(Y489/H489,"0")+IFERROR(Y490/H490,"0")</f>
        <v>9</v>
      </c>
      <c r="Z491" s="43">
        <f>IFERROR(IF(Z488="",0,Z488),"0")+IFERROR(IF(Z489="",0,Z489),"0")+IFERROR(IF(Z490="",0,Z490),"0")</f>
        <v>6.1179999999999998E-2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30.5</v>
      </c>
      <c r="Y492" s="43">
        <f>IFERROR(SUM(Y488:Y490),"0")</f>
        <v>32.1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40</v>
      </c>
      <c r="Y496" s="55">
        <f t="shared" ref="Y496:Y504" si="62">IFERROR(IF(X496="",0,CEILING((X496/$H496),1)*$H496),"")</f>
        <v>42.24</v>
      </c>
      <c r="Z496" s="41">
        <f t="shared" ref="Z496:Z501" si="63">IFERROR(IF(Y496=0,"",ROUNDUP(Y496/H496,0)*0.01196),"")</f>
        <v>9.5680000000000001E-2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42.651515151515149</v>
      </c>
      <c r="BN496" s="78">
        <f t="shared" ref="BN496:BN504" si="65">IFERROR(Y496*I496/H496,"0")</f>
        <v>45.04</v>
      </c>
      <c r="BO496" s="78">
        <f t="shared" ref="BO496:BO504" si="66">IFERROR(1/J496*(X496/H496),"0")</f>
        <v>7.2843822843822847E-2</v>
      </c>
      <c r="BP496" s="78">
        <f t="shared" ref="BP496:BP504" si="67">IFERROR(1/J496*(Y496/H496),"0")</f>
        <v>7.6923076923076927E-2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15</v>
      </c>
      <c r="Y498" s="55">
        <f t="shared" si="62"/>
        <v>15.84</v>
      </c>
      <c r="Z498" s="41">
        <f t="shared" si="63"/>
        <v>3.5880000000000002E-2</v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15.994318181818182</v>
      </c>
      <c r="BN498" s="78">
        <f t="shared" si="65"/>
        <v>16.889999999999997</v>
      </c>
      <c r="BO498" s="78">
        <f t="shared" si="66"/>
        <v>2.7316433566433568E-2</v>
      </c>
      <c r="BP498" s="78">
        <f t="shared" si="67"/>
        <v>2.8846153846153848E-2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80</v>
      </c>
      <c r="Y499" s="55">
        <f t="shared" si="62"/>
        <v>84.48</v>
      </c>
      <c r="Z499" s="41">
        <f t="shared" si="63"/>
        <v>0.19136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85.303030303030297</v>
      </c>
      <c r="BN499" s="78">
        <f t="shared" si="65"/>
        <v>90.08</v>
      </c>
      <c r="BO499" s="78">
        <f t="shared" si="66"/>
        <v>0.14568764568764569</v>
      </c>
      <c r="BP499" s="78">
        <f t="shared" si="67"/>
        <v>0.15384615384615385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2"/>
        <v>31.68</v>
      </c>
      <c r="Z501" s="41">
        <f t="shared" si="63"/>
        <v>7.1760000000000004E-2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31.988636363636363</v>
      </c>
      <c r="BN501" s="78">
        <f t="shared" si="65"/>
        <v>33.779999999999994</v>
      </c>
      <c r="BO501" s="78">
        <f t="shared" si="66"/>
        <v>5.4632867132867136E-2</v>
      </c>
      <c r="BP501" s="78">
        <f t="shared" si="67"/>
        <v>5.7692307692307696E-2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31.25</v>
      </c>
      <c r="Y505" s="43">
        <f>IFERROR(Y496/H496,"0")+IFERROR(Y497/H497,"0")+IFERROR(Y498/H498,"0")+IFERROR(Y499/H499,"0")+IFERROR(Y500/H500,"0")+IFERROR(Y501/H501,"0")+IFERROR(Y502/H502,"0")+IFERROR(Y503/H503,"0")+IFERROR(Y504/H504,"0")</f>
        <v>33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0.39467999999999998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165</v>
      </c>
      <c r="Y506" s="43">
        <f>IFERROR(SUM(Y496:Y504),"0")</f>
        <v>174.24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65</v>
      </c>
      <c r="Y508" s="55">
        <f>IFERROR(IF(X508="",0,CEILING((X508/$H508),1)*$H508),"")</f>
        <v>68.64</v>
      </c>
      <c r="Z508" s="41">
        <f>IFERROR(IF(Y508=0,"",ROUNDUP(Y508/H508,0)*0.01196),"")</f>
        <v>0.15548000000000001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69.30871212121211</v>
      </c>
      <c r="BN508" s="78">
        <f>IFERROR(Y508*I508/H508,"0")</f>
        <v>73.19</v>
      </c>
      <c r="BO508" s="78">
        <f>IFERROR(1/J508*(X508/H508),"0")</f>
        <v>0.11837121212121213</v>
      </c>
      <c r="BP508" s="78">
        <f>IFERROR(1/J508*(Y508/H508),"0")</f>
        <v>0.125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12.310606060606061</v>
      </c>
      <c r="Y511" s="43">
        <f>IFERROR(Y508/H508,"0")+IFERROR(Y509/H509,"0")+IFERROR(Y510/H510,"0")</f>
        <v>13</v>
      </c>
      <c r="Z511" s="43">
        <f>IFERROR(IF(Z508="",0,Z508),"0")+IFERROR(IF(Z509="",0,Z509),"0")+IFERROR(IF(Z510="",0,Z510),"0")</f>
        <v>0.15548000000000001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65</v>
      </c>
      <c r="Y512" s="43">
        <f>IFERROR(SUM(Y508:Y510),"0")</f>
        <v>68.64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45</v>
      </c>
      <c r="Y514" s="55">
        <f t="shared" ref="Y514:Y520" si="68">IFERROR(IF(X514="",0,CEILING((X514/$H514),1)*$H514),"")</f>
        <v>47.52</v>
      </c>
      <c r="Z514" s="41">
        <f>IFERROR(IF(Y514=0,"",ROUNDUP(Y514/H514,0)*0.01196),"")</f>
        <v>0.10764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47.98295454545454</v>
      </c>
      <c r="BN514" s="78">
        <f t="shared" ref="BN514:BN520" si="70">IFERROR(Y514*I514/H514,"0")</f>
        <v>50.669999999999995</v>
      </c>
      <c r="BO514" s="78">
        <f t="shared" ref="BO514:BO520" si="71">IFERROR(1/J514*(X514/H514),"0")</f>
        <v>8.1949300699300689E-2</v>
      </c>
      <c r="BP514" s="78">
        <f t="shared" ref="BP514:BP520" si="72">IFERROR(1/J514*(Y514/H514),"0")</f>
        <v>8.6538461538461536E-2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45</v>
      </c>
      <c r="Y515" s="55">
        <f t="shared" si="68"/>
        <v>47.52</v>
      </c>
      <c r="Z515" s="41">
        <f>IFERROR(IF(Y515=0,"",ROUNDUP(Y515/H515,0)*0.01196),"")</f>
        <v>0.10764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47.98295454545454</v>
      </c>
      <c r="BN515" s="78">
        <f t="shared" si="70"/>
        <v>50.669999999999995</v>
      </c>
      <c r="BO515" s="78">
        <f t="shared" si="71"/>
        <v>8.1949300699300689E-2</v>
      </c>
      <c r="BP515" s="78">
        <f t="shared" si="72"/>
        <v>8.6538461538461536E-2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45</v>
      </c>
      <c r="Y516" s="55">
        <f t="shared" si="68"/>
        <v>47.52</v>
      </c>
      <c r="Z516" s="41">
        <f>IFERROR(IF(Y516=0,"",ROUNDUP(Y516/H516,0)*0.01196),"")</f>
        <v>0.10764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47.98295454545454</v>
      </c>
      <c r="BN516" s="78">
        <f t="shared" si="70"/>
        <v>50.669999999999995</v>
      </c>
      <c r="BO516" s="78">
        <f t="shared" si="71"/>
        <v>8.1949300699300689E-2</v>
      </c>
      <c r="BP516" s="78">
        <f t="shared" si="72"/>
        <v>8.6538461538461536E-2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25.568181818181813</v>
      </c>
      <c r="Y521" s="43">
        <f>IFERROR(Y514/H514,"0")+IFERROR(Y515/H515,"0")+IFERROR(Y516/H516,"0")+IFERROR(Y517/H517,"0")+IFERROR(Y518/H518,"0")+IFERROR(Y519/H519,"0")+IFERROR(Y520/H520,"0")</f>
        <v>27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0.32291999999999998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135</v>
      </c>
      <c r="Y522" s="43">
        <f>IFERROR(SUM(Y514:Y520),"0")</f>
        <v>142.56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20</v>
      </c>
      <c r="Y534" s="55">
        <f>IFERROR(IF(X534="",0,CEILING((X534/$H534),1)*$H534),"")</f>
        <v>21</v>
      </c>
      <c r="Z534" s="41">
        <f>IFERROR(IF(Y534=0,"",ROUNDUP(Y534/H534,0)*0.00902),"")</f>
        <v>4.5100000000000001E-2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21.19047619047619</v>
      </c>
      <c r="BN534" s="78">
        <f>IFERROR(Y534*I534/H534,"0")</f>
        <v>22.25</v>
      </c>
      <c r="BO534" s="78">
        <f>IFERROR(1/J534*(X534/H534),"0")</f>
        <v>3.6075036075036072E-2</v>
      </c>
      <c r="BP534" s="78">
        <f>IFERROR(1/J534*(Y534/H534),"0")</f>
        <v>3.787878787878788E-2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4.7619047619047619</v>
      </c>
      <c r="Y535" s="43">
        <f>IFERROR(Y534/H534,"0")</f>
        <v>5</v>
      </c>
      <c r="Z535" s="43">
        <f>IFERROR(IF(Z534="",0,Z534),"0")</f>
        <v>4.5100000000000001E-2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20</v>
      </c>
      <c r="Y536" s="43">
        <f>IFERROR(SUM(Y534:Y534),"0")</f>
        <v>21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200</v>
      </c>
      <c r="Y538" s="55">
        <f>IFERROR(IF(X538="",0,CEILING((X538/$H538),1)*$H538),"")</f>
        <v>207</v>
      </c>
      <c r="Z538" s="41">
        <f>IFERROR(IF(Y538=0,"",ROUNDUP(Y538/H538,0)*0.01898),"")</f>
        <v>0.43653999999999998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210.97777777777776</v>
      </c>
      <c r="BN538" s="78">
        <f>IFERROR(Y538*I538/H538,"0")</f>
        <v>218.36199999999999</v>
      </c>
      <c r="BO538" s="78">
        <f>IFERROR(1/J538*(X538/H538),"0")</f>
        <v>0.34722222222222221</v>
      </c>
      <c r="BP538" s="78">
        <f>IFERROR(1/J538*(Y538/H538),"0")</f>
        <v>0.359375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22.222222222222221</v>
      </c>
      <c r="Y539" s="43">
        <f>IFERROR(Y538/H538,"0")</f>
        <v>23</v>
      </c>
      <c r="Z539" s="43">
        <f>IFERROR(IF(Z538="",0,Z538),"0")</f>
        <v>0.43653999999999998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200</v>
      </c>
      <c r="Y540" s="43">
        <f>IFERROR(SUM(Y538:Y538),"0")</f>
        <v>207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2428.5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2539.8399999999997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2542.0840616482283</v>
      </c>
      <c r="Y552" s="43">
        <f>IFERROR(SUM(BN22:BN548),"0")</f>
        <v>2659.654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2642.0840616482283</v>
      </c>
      <c r="Y554" s="43">
        <f>GrossWeightTotalR+PalletQtyTotalR*25</f>
        <v>2784.654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317.06414264747599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336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4.6905299999999999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37.6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13.5</v>
      </c>
      <c r="F561" s="52">
        <f>IFERROR(Y88*1,"0")+IFERROR(Y89*1,"0")+IFERROR(Y90*1,"0")+IFERROR(Y91*1,"0")+IFERROR(Y95*1,"0")+IFERROR(Y96*1,"0")+IFERROR(Y97*1,"0")+IFERROR(Y98*1,"0")</f>
        <v>64.8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99.899999999999991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192.6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19.2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44.4</v>
      </c>
      <c r="U561" s="52">
        <f>IFERROR(Y415*1,"0")+IFERROR(Y416*1,"0")+IFERROR(Y417*1,"0")</f>
        <v>72.3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1296</v>
      </c>
      <c r="W561" s="52">
        <f>IFERROR(Y452*1,"0")+IFERROR(Y453*1,"0")+IFERROR(Y457*1,"0")+IFERROR(Y461*1,"0")+IFERROR(Y462*1,"0")+IFERROR(Y463*1,"0")</f>
        <v>45.6</v>
      </c>
      <c r="X561" s="52">
        <f>IFERROR(Y469*1,"0")+IFERROR(Y470*1,"0")+IFERROR(Y471*1,"0")+IFERROR(Y472*1,"0")+IFERROR(Y473*1,"0")+IFERROR(Y474*1,"0")+IFERROR(Y478*1,"0")+IFERROR(Y479*1,"0")</f>
        <v>8.4</v>
      </c>
      <c r="Y561" s="52">
        <f>IFERROR(Y484*1,"0")+IFERROR(Y488*1,"0")+IFERROR(Y489*1,"0")+IFERROR(Y490*1,"0")</f>
        <v>32.1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385.43999999999994</v>
      </c>
      <c r="AA561" s="52">
        <f>IFERROR(Y526*1,"0")+IFERROR(Y530*1,"0")+IFERROR(Y534*1,"0")+IFERROR(Y538*1,"0")+IFERROR(Y542*1,"0")+IFERROR(Y543*1,"0")</f>
        <v>228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2026-07-24T11:41:42Z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