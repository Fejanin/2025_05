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E9E9B805-EC5C-4192-A0F5-74A8B77AE5D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Y137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Y25" i="2" l="1"/>
  <c r="Z90" i="2"/>
  <c r="Z231" i="2"/>
  <c r="BN231" i="2"/>
  <c r="Z336" i="2"/>
  <c r="Z173" i="2"/>
  <c r="Z273" i="2"/>
  <c r="Z364" i="2"/>
  <c r="BN364" i="2"/>
  <c r="Z428" i="2"/>
  <c r="Y55" i="2"/>
  <c r="X555" i="2"/>
  <c r="Z31" i="2"/>
  <c r="Z156" i="2"/>
  <c r="Z185" i="2"/>
  <c r="Z356" i="2"/>
  <c r="Y360" i="2"/>
  <c r="Z457" i="2"/>
  <c r="Z458" i="2" s="1"/>
  <c r="BN457" i="2"/>
  <c r="Y262" i="2"/>
  <c r="Z43" i="2"/>
  <c r="Y79" i="2"/>
  <c r="Z122" i="2"/>
  <c r="Y158" i="2"/>
  <c r="Z182" i="2"/>
  <c r="Z192" i="2"/>
  <c r="Z270" i="2"/>
  <c r="Z283" i="2"/>
  <c r="Z302" i="2"/>
  <c r="Z346" i="2"/>
  <c r="Z363" i="2"/>
  <c r="BP35" i="2"/>
  <c r="BN72" i="2"/>
  <c r="BN82" i="2"/>
  <c r="BN120" i="2"/>
  <c r="BN155" i="2"/>
  <c r="BN209" i="2"/>
  <c r="BN214" i="2"/>
  <c r="BN260" i="2"/>
  <c r="BN351" i="2"/>
  <c r="BN358" i="2"/>
  <c r="BN374" i="2"/>
  <c r="BN389" i="2"/>
  <c r="BN416" i="2"/>
  <c r="BN441" i="2"/>
  <c r="BN463" i="2"/>
  <c r="BN473" i="2"/>
  <c r="BN515" i="2"/>
  <c r="BN517" i="2"/>
  <c r="BN30" i="2"/>
  <c r="BN106" i="2"/>
  <c r="Y204" i="2"/>
  <c r="BN235" i="2"/>
  <c r="BN288" i="2"/>
  <c r="Z22" i="2"/>
  <c r="BN28" i="2"/>
  <c r="Z35" i="2"/>
  <c r="Z36" i="2" s="1"/>
  <c r="Y37" i="2"/>
  <c r="Z59" i="2"/>
  <c r="BN61" i="2"/>
  <c r="BN77" i="2"/>
  <c r="F561" i="2"/>
  <c r="Z113" i="2"/>
  <c r="BN115" i="2"/>
  <c r="BP127" i="2"/>
  <c r="Y128" i="2"/>
  <c r="Z132" i="2"/>
  <c r="BN132" i="2"/>
  <c r="Z134" i="2"/>
  <c r="Y151" i="2"/>
  <c r="BN148" i="2"/>
  <c r="Z157" i="2"/>
  <c r="Z167" i="2"/>
  <c r="BP185" i="2"/>
  <c r="BN186" i="2"/>
  <c r="BP187" i="2"/>
  <c r="BN226" i="2"/>
  <c r="Z230" i="2"/>
  <c r="Z244" i="2"/>
  <c r="Z250" i="2"/>
  <c r="BN259" i="2"/>
  <c r="Z264" i="2"/>
  <c r="Z266" i="2" s="1"/>
  <c r="BN264" i="2"/>
  <c r="BP273" i="2"/>
  <c r="BN274" i="2"/>
  <c r="Z280" i="2"/>
  <c r="BP283" i="2"/>
  <c r="BN284" i="2"/>
  <c r="Z290" i="2"/>
  <c r="BN290" i="2"/>
  <c r="Z304" i="2"/>
  <c r="BN304" i="2"/>
  <c r="Z320" i="2"/>
  <c r="Z328" i="2"/>
  <c r="BP363" i="2"/>
  <c r="BN368" i="2"/>
  <c r="Z373" i="2"/>
  <c r="BN373" i="2"/>
  <c r="BN383" i="2"/>
  <c r="BN396" i="2"/>
  <c r="Z402" i="2"/>
  <c r="BN402" i="2"/>
  <c r="BN424" i="2"/>
  <c r="Z425" i="2"/>
  <c r="BP428" i="2"/>
  <c r="BN429" i="2"/>
  <c r="BN446" i="2"/>
  <c r="Y458" i="2"/>
  <c r="BN470" i="2"/>
  <c r="Z472" i="2"/>
  <c r="BN472" i="2"/>
  <c r="BN498" i="2"/>
  <c r="Z504" i="2"/>
  <c r="Y53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544" i="2" l="1"/>
  <c r="Z464" i="2"/>
  <c r="Z150" i="2"/>
  <c r="Z411" i="2"/>
  <c r="Z158" i="2"/>
  <c r="Z418" i="2"/>
  <c r="Z251" i="2"/>
  <c r="Z475" i="2"/>
  <c r="Z174" i="2"/>
  <c r="X554" i="2"/>
  <c r="Z386" i="2"/>
  <c r="Z292" i="2"/>
  <c r="Z405" i="2"/>
  <c r="Z369" i="2"/>
  <c r="Z322" i="2"/>
  <c r="Z32" i="2"/>
  <c r="Z136" i="2"/>
  <c r="Z338" i="2"/>
  <c r="Z277" i="2"/>
  <c r="Z215" i="2"/>
  <c r="Z117" i="2"/>
  <c r="Z24" i="2"/>
  <c r="Z480" i="2"/>
  <c r="Z245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Y554" i="2" s="1"/>
  <c r="Z331" i="2"/>
  <c r="Z143" i="2"/>
  <c r="Z46" i="2"/>
  <c r="Z347" i="2"/>
  <c r="Z308" i="2"/>
  <c r="Z109" i="2"/>
  <c r="Z556" i="2" l="1"/>
</calcChain>
</file>

<file path=xl/sharedStrings.xml><?xml version="1.0" encoding="utf-8"?>
<sst xmlns="http://schemas.openxmlformats.org/spreadsheetml/2006/main" count="4193" uniqueCount="890">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</sst>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3" zoomScaleNormal="100" zoomScaleSheetLayoutView="100" workbookViewId="0">
      <selection activeCell="P17" sqref="P17:T1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46229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30</v>
      </c>
      <c r="Y51" s="55">
        <f>IFERROR(IF(X51="",0,CEILING((X51/$H51),1)*$H51),"")</f>
        <v>32.400000000000006</v>
      </c>
      <c r="Z51" s="41">
        <f>IFERROR(IF(Y51=0,"",ROUNDUP(Y51/H51,0)*0.01898),"")</f>
        <v>5.6940000000000004E-2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31.138888888888889</v>
      </c>
      <c r="BN51" s="78">
        <f>IFERROR(Y51*I51/H51,"0")</f>
        <v>33.630000000000003</v>
      </c>
      <c r="BO51" s="78">
        <f>IFERROR(1/J51*(X51/H51),"0")</f>
        <v>4.3402777777777776E-2</v>
      </c>
      <c r="BP51" s="78">
        <f>IFERROR(1/J51*(Y51/H51),"0")</f>
        <v>4.6875000000000007E-2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4.7777777777777777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7.4980000000000005E-2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38</v>
      </c>
      <c r="Y56" s="43">
        <f>IFERROR(SUM(Y51:Y54),"0")</f>
        <v>40.400000000000006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36</v>
      </c>
      <c r="Y66" s="55">
        <f t="shared" si="0"/>
        <v>36</v>
      </c>
      <c r="Z66" s="41">
        <f>IFERROR(IF(Y66=0,"",ROUNDUP(Y66/H66,0)*0.00902),"")</f>
        <v>7.2160000000000002E-2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37.520000000000003</v>
      </c>
      <c r="BN66" s="78">
        <f t="shared" si="2"/>
        <v>37.520000000000003</v>
      </c>
      <c r="BO66" s="78">
        <f t="shared" si="3"/>
        <v>6.0606060606060608E-2</v>
      </c>
      <c r="BP66" s="78">
        <f t="shared" si="4"/>
        <v>6.0606060606060608E-2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</v>
      </c>
      <c r="Y67" s="43">
        <f>IFERROR(Y59/H59,"0")+IFERROR(Y60/H60,"0")+IFERROR(Y61/H61,"0")+IFERROR(Y62/H62,"0")+IFERROR(Y63/H63,"0")+IFERROR(Y64/H64,"0")+IFERROR(Y65/H65,"0")+IFERROR(Y66/H66,"0")</f>
        <v>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7.2160000000000002E-2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36</v>
      </c>
      <c r="Y68" s="43">
        <f>IFERROR(SUM(Y59:Y66),"0")</f>
        <v>36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2.7777777777777777</v>
      </c>
      <c r="Y74" s="43">
        <f>IFERROR(Y70/H70,"0")+IFERROR(Y71/H71,"0")+IFERROR(Y72/H72,"0")+IFERROR(Y73/H73,"0")</f>
        <v>3.0000000000000004</v>
      </c>
      <c r="Z74" s="43">
        <f>IFERROR(IF(Z70="",0,Z70),"0")+IFERROR(IF(Z71="",0,Z71),"0")+IFERROR(IF(Z72="",0,Z72),"0")+IFERROR(IF(Z73="",0,Z73),"0")</f>
        <v>5.6940000000000004E-2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30</v>
      </c>
      <c r="Y75" s="43">
        <f>IFERROR(SUM(Y70:Y73),"0")</f>
        <v>32.400000000000006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18</v>
      </c>
      <c r="Y91" s="55">
        <f>IFERROR(IF(X91="",0,CEILING((X91/$H91),1)*$H91),"")</f>
        <v>18</v>
      </c>
      <c r="Z91" s="41">
        <f>IFERROR(IF(Y91=0,"",ROUNDUP(Y91/H91,0)*0.00902),"")</f>
        <v>3.6080000000000001E-2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18.760000000000002</v>
      </c>
      <c r="BN91" s="78">
        <f>IFERROR(Y91*I91/H91,"0")</f>
        <v>18.760000000000002</v>
      </c>
      <c r="BO91" s="78">
        <f>IFERROR(1/J91*(X91/H91),"0")</f>
        <v>3.0303030303030304E-2</v>
      </c>
      <c r="BP91" s="78">
        <f>IFERROR(1/J91*(Y91/H91),"0")</f>
        <v>3.0303030303030304E-2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4</v>
      </c>
      <c r="Y92" s="43">
        <f>IFERROR(Y88/H88,"0")+IFERROR(Y89/H89,"0")+IFERROR(Y90/H90,"0")+IFERROR(Y91/H91,"0")</f>
        <v>4</v>
      </c>
      <c r="Z92" s="43">
        <f>IFERROR(IF(Z88="",0,Z88),"0")+IFERROR(IF(Z89="",0,Z89),"0")+IFERROR(IF(Z90="",0,Z90),"0")+IFERROR(IF(Z91="",0,Z91),"0")</f>
        <v>3.6080000000000001E-2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18</v>
      </c>
      <c r="Y93" s="43">
        <f>IFERROR(SUM(Y88:Y91),"0")</f>
        <v>18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27</v>
      </c>
      <c r="Y97" s="55">
        <f>IFERROR(IF(X97="",0,CEILING((X97/$H97),1)*$H97),"")</f>
        <v>27</v>
      </c>
      <c r="Z97" s="41">
        <f>IFERROR(IF(Y97=0,"",ROUNDUP(Y97/H97,0)*0.00651),"")</f>
        <v>6.5100000000000005E-2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29.519999999999996</v>
      </c>
      <c r="BN97" s="78">
        <f>IFERROR(Y97*I97/H97,"0")</f>
        <v>29.519999999999996</v>
      </c>
      <c r="BO97" s="78">
        <f>IFERROR(1/J97*(X97/H97),"0")</f>
        <v>5.4945054945054951E-2</v>
      </c>
      <c r="BP97" s="78">
        <f>IFERROR(1/J97*(Y97/H97),"0")</f>
        <v>5.4945054945054951E-2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10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6.5100000000000005E-2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27</v>
      </c>
      <c r="Y100" s="43">
        <f>IFERROR(SUM(Y95:Y98),"0")</f>
        <v>27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51.898148148148145</v>
      </c>
      <c r="BN103" s="78">
        <f t="shared" ref="BN103:BN108" si="7">IFERROR(Y103*I103/H103,"0")</f>
        <v>56.05</v>
      </c>
      <c r="BO103" s="78">
        <f t="shared" ref="BO103:BO108" si="8">IFERROR(1/J103*(X103/H103),"0")</f>
        <v>7.2337962962962965E-2</v>
      </c>
      <c r="BP103" s="78">
        <f t="shared" ref="BP103:BP108" si="9">IFERROR(1/J103*(Y103/H103),"0")</f>
        <v>7.8125E-2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18</v>
      </c>
      <c r="Y107" s="55">
        <f t="shared" si="5"/>
        <v>18</v>
      </c>
      <c r="Z107" s="41">
        <f>IFERROR(IF(Y107=0,"",ROUNDUP(Y107/H107,0)*0.00902),"")</f>
        <v>3.6080000000000001E-2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18.760000000000002</v>
      </c>
      <c r="BN107" s="78">
        <f t="shared" si="7"/>
        <v>18.760000000000002</v>
      </c>
      <c r="BO107" s="78">
        <f t="shared" si="8"/>
        <v>3.0303030303030304E-2</v>
      </c>
      <c r="BP107" s="78">
        <f t="shared" si="9"/>
        <v>3.0303030303030304E-2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8.6296296296296298</v>
      </c>
      <c r="Y109" s="43">
        <f>IFERROR(Y103/H103,"0")+IFERROR(Y104/H104,"0")+IFERROR(Y105/H105,"0")+IFERROR(Y106/H106,"0")+IFERROR(Y107/H107,"0")+IFERROR(Y108/H108,"0")</f>
        <v>9</v>
      </c>
      <c r="Z109" s="43">
        <f>IFERROR(IF(Z103="",0,Z103),"0")+IFERROR(IF(Z104="",0,Z104),"0")+IFERROR(IF(Z105="",0,Z105),"0")+IFERROR(IF(Z106="",0,Z106),"0")+IFERROR(IF(Z107="",0,Z107),"0")+IFERROR(IF(Z108="",0,Z108),"0")</f>
        <v>0.13097999999999999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68</v>
      </c>
      <c r="Y110" s="43">
        <f>IFERROR(SUM(Y103:Y108),"0")</f>
        <v>72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60</v>
      </c>
      <c r="Y120" s="55">
        <f>IFERROR(IF(X120="",0,CEILING((X120/$H120),1)*$H120),"")</f>
        <v>64.8</v>
      </c>
      <c r="Z120" s="41">
        <f>IFERROR(IF(Y120=0,"",ROUNDUP(Y120/H120,0)*0.01898),"")</f>
        <v>0.15184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63.614814814814814</v>
      </c>
      <c r="BN120" s="78">
        <f>IFERROR(Y120*I120/H120,"0")</f>
        <v>68.703999999999994</v>
      </c>
      <c r="BO120" s="78">
        <f>IFERROR(1/J120*(X120/H120),"0")</f>
        <v>0.11574074074074074</v>
      </c>
      <c r="BP120" s="78">
        <f>IFERROR(1/J120*(Y120/H120),"0")</f>
        <v>0.125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13.5</v>
      </c>
      <c r="Y122" s="55">
        <f>IFERROR(IF(X122="",0,CEILING((X122/$H122),1)*$H122),"")</f>
        <v>13.5</v>
      </c>
      <c r="Z122" s="41">
        <f>IFERROR(IF(Y122=0,"",ROUNDUP(Y122/H122,0)*0.00651),"")</f>
        <v>3.2550000000000003E-2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14.759999999999998</v>
      </c>
      <c r="BN122" s="78">
        <f>IFERROR(Y122*I122/H122,"0")</f>
        <v>14.759999999999998</v>
      </c>
      <c r="BO122" s="78">
        <f>IFERROR(1/J122*(X122/H122),"0")</f>
        <v>2.7472527472527476E-2</v>
      </c>
      <c r="BP122" s="78">
        <f>IFERROR(1/J122*(Y122/H122),"0")</f>
        <v>2.7472527472527476E-2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9</v>
      </c>
      <c r="Y123" s="55">
        <f>IFERROR(IF(X123="",0,CEILING((X123/$H123),1)*$H123),"")</f>
        <v>9</v>
      </c>
      <c r="Z123" s="41">
        <f>IFERROR(IF(Y123=0,"",ROUNDUP(Y123/H123,0)*0.00651),"")</f>
        <v>3.2550000000000003E-2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9.9</v>
      </c>
      <c r="BN123" s="78">
        <f>IFERROR(Y123*I123/H123,"0")</f>
        <v>9.9</v>
      </c>
      <c r="BO123" s="78">
        <f>IFERROR(1/J123*(X123/H123),"0")</f>
        <v>2.7472527472527476E-2</v>
      </c>
      <c r="BP123" s="78">
        <f>IFERROR(1/J123*(Y123/H123),"0")</f>
        <v>2.7472527472527476E-2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17.407407407407408</v>
      </c>
      <c r="Y124" s="43">
        <f>IFERROR(Y120/H120,"0")+IFERROR(Y121/H121,"0")+IFERROR(Y122/H122,"0")+IFERROR(Y123/H123,"0")</f>
        <v>18</v>
      </c>
      <c r="Z124" s="43">
        <f>IFERROR(IF(Z120="",0,Z120),"0")+IFERROR(IF(Z121="",0,Z121),"0")+IFERROR(IF(Z122="",0,Z122),"0")+IFERROR(IF(Z123="",0,Z123),"0")</f>
        <v>0.21693999999999999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82.5</v>
      </c>
      <c r="Y125" s="43">
        <f>IFERROR(SUM(Y120:Y123),"0")</f>
        <v>87.3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8.25</v>
      </c>
      <c r="Y148" s="55">
        <f>IFERROR(IF(X148="",0,CEILING((X148/$H148),1)*$H148),"")</f>
        <v>10.56</v>
      </c>
      <c r="Z148" s="41">
        <f>IFERROR(IF(Y148=0,"",ROUNDUP(Y148/H148,0)*0.00651),"")</f>
        <v>2.6040000000000001E-2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9.0874999999999986</v>
      </c>
      <c r="BN148" s="78">
        <f>IFERROR(Y148*I148/H148,"0")</f>
        <v>11.632</v>
      </c>
      <c r="BO148" s="78">
        <f>IFERROR(1/J148*(X148/H148),"0")</f>
        <v>1.7170329670329672E-2</v>
      </c>
      <c r="BP148" s="78">
        <f>IFERROR(1/J148*(Y148/H148),"0")</f>
        <v>2.197802197802198E-2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3.125</v>
      </c>
      <c r="Y150" s="43">
        <f>IFERROR(Y146/H146,"0")+IFERROR(Y147/H147,"0")+IFERROR(Y148/H148,"0")+IFERROR(Y149/H149,"0")</f>
        <v>4</v>
      </c>
      <c r="Z150" s="43">
        <f>IFERROR(IF(Z146="",0,Z146),"0")+IFERROR(IF(Z147="",0,Z147),"0")+IFERROR(IF(Z148="",0,Z148),"0")+IFERROR(IF(Z149="",0,Z149),"0")</f>
        <v>2.6040000000000001E-2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8.25</v>
      </c>
      <c r="Y151" s="43">
        <f>IFERROR(SUM(Y146:Y149),"0")</f>
        <v>10.56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70</v>
      </c>
      <c r="Y180" s="55">
        <f t="shared" si="10"/>
        <v>70</v>
      </c>
      <c r="Z180" s="41">
        <f>IFERROR(IF(Y180=0,"",ROUNDUP(Y180/H180,0)*0.00902),"")</f>
        <v>0.1804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73.8</v>
      </c>
      <c r="BN180" s="78">
        <f t="shared" si="12"/>
        <v>73.8</v>
      </c>
      <c r="BO180" s="78">
        <f t="shared" si="13"/>
        <v>0.15151515151515152</v>
      </c>
      <c r="BP180" s="78">
        <f t="shared" si="14"/>
        <v>0.15151515151515152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0.1804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70</v>
      </c>
      <c r="Y189" s="43">
        <f>IFERROR(SUM(Y177:Y187),"0")</f>
        <v>70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15</v>
      </c>
      <c r="Y223" s="55">
        <f t="shared" ref="Y223:Y236" si="21">IFERROR(IF(X223="",0,CEILING((X223/$H223),1)*$H223),"")</f>
        <v>16.8</v>
      </c>
      <c r="Z223" s="41">
        <f>IFERROR(IF(Y223=0,"",ROUNDUP(Y223/H223,0)*0.00902),"")</f>
        <v>3.6080000000000001E-2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15.892857142857142</v>
      </c>
      <c r="BN223" s="78">
        <f t="shared" ref="BN223:BN236" si="23">IFERROR(Y223*I223/H223,"0")</f>
        <v>17.8</v>
      </c>
      <c r="BO223" s="78">
        <f t="shared" ref="BO223:BO236" si="24">IFERROR(1/J223*(X223/H223),"0")</f>
        <v>2.7056277056277056E-2</v>
      </c>
      <c r="BP223" s="78">
        <f t="shared" ref="BP223:BP236" si="25">IFERROR(1/J223*(Y223/H223),"0")</f>
        <v>3.0303030303030304E-2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1.2</v>
      </c>
      <c r="Y226" s="55">
        <f t="shared" si="21"/>
        <v>1.6</v>
      </c>
      <c r="Z226" s="41">
        <f>IFERROR(IF(Y226=0,"",ROUNDUP(Y226/H226,0)*0.00556),"")</f>
        <v>1.112E-2</v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1.395</v>
      </c>
      <c r="BN226" s="78">
        <f t="shared" si="23"/>
        <v>1.86</v>
      </c>
      <c r="BO226" s="78">
        <f t="shared" si="24"/>
        <v>5.9523809523809512E-3</v>
      </c>
      <c r="BP226" s="78">
        <f t="shared" si="25"/>
        <v>7.9365079365079361E-3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5.0714285714285712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6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4.7199999999999999E-2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16.2</v>
      </c>
      <c r="Y238" s="43">
        <f>IFERROR(SUM(Y223:Y236),"0")</f>
        <v>18.400000000000002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ref="Y269:Y276" si="27">IFERROR(IF(X269="",0,CEILING((X269/$H269),1)*$H269),"")</f>
        <v>32.400000000000006</v>
      </c>
      <c r="Z269" s="41">
        <f>IFERROR(IF(Y269=0,"",ROUNDUP(Y269/H269,0)*0.00902),"")</f>
        <v>5.4120000000000001E-2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31.05555555555555</v>
      </c>
      <c r="BN269" s="78">
        <f t="shared" ref="BN269:BN276" si="29">IFERROR(Y269*I269/H269,"0")</f>
        <v>33.54</v>
      </c>
      <c r="BO269" s="78">
        <f t="shared" ref="BO269:BO276" si="30">IFERROR(1/J269*(X269/H269),"0")</f>
        <v>4.208754208754209E-2</v>
      </c>
      <c r="BP269" s="78">
        <f t="shared" ref="BP269:BP276" si="31">IFERROR(1/J269*(Y269/H269),"0")</f>
        <v>4.5454545454545463E-2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27"/>
        <v>64.800000000000011</v>
      </c>
      <c r="Z270" s="41">
        <f>IFERROR(IF(Y270=0,"",ROUNDUP(Y270/H270,0)*0.00902),"")</f>
        <v>0.10824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62.1111111111111</v>
      </c>
      <c r="BN270" s="78">
        <f t="shared" si="29"/>
        <v>67.08</v>
      </c>
      <c r="BO270" s="78">
        <f t="shared" si="30"/>
        <v>8.4175084175084181E-2</v>
      </c>
      <c r="BP270" s="78">
        <f t="shared" si="31"/>
        <v>9.0909090909090925E-2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60</v>
      </c>
      <c r="Y271" s="55">
        <f t="shared" si="27"/>
        <v>64.800000000000011</v>
      </c>
      <c r="Z271" s="41">
        <f>IFERROR(IF(Y271=0,"",ROUNDUP(Y271/H271,0)*0.00902),"")</f>
        <v>0.10824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62.1111111111111</v>
      </c>
      <c r="BN271" s="78">
        <f t="shared" si="29"/>
        <v>67.08</v>
      </c>
      <c r="BO271" s="78">
        <f t="shared" si="30"/>
        <v>8.4175084175084181E-2</v>
      </c>
      <c r="BP271" s="78">
        <f t="shared" si="31"/>
        <v>9.0909090909090925E-2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27"/>
        <v>32.400000000000006</v>
      </c>
      <c r="Z272" s="41">
        <f>IFERROR(IF(Y272=0,"",ROUNDUP(Y272/H272,0)*0.00902),"")</f>
        <v>5.4120000000000001E-2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31.05555555555555</v>
      </c>
      <c r="BN272" s="78">
        <f t="shared" si="29"/>
        <v>33.54</v>
      </c>
      <c r="BO272" s="78">
        <f t="shared" si="30"/>
        <v>4.208754208754209E-2</v>
      </c>
      <c r="BP272" s="78">
        <f t="shared" si="31"/>
        <v>4.5454545454545463E-2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15</v>
      </c>
      <c r="Y273" s="55">
        <f t="shared" si="27"/>
        <v>16.2</v>
      </c>
      <c r="Z273" s="41">
        <f>IFERROR(IF(Y273=0,"",ROUNDUP(Y273/H273,0)*0.00502),"")</f>
        <v>4.5179999999999998E-2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16.083333333333332</v>
      </c>
      <c r="BN273" s="78">
        <f t="shared" si="29"/>
        <v>17.369999999999997</v>
      </c>
      <c r="BO273" s="78">
        <f t="shared" si="30"/>
        <v>3.561253561253562E-2</v>
      </c>
      <c r="BP273" s="78">
        <f t="shared" si="31"/>
        <v>3.8461538461538464E-2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15</v>
      </c>
      <c r="Y274" s="55">
        <f t="shared" si="27"/>
        <v>16.2</v>
      </c>
      <c r="Z274" s="41">
        <f>IFERROR(IF(Y274=0,"",ROUNDUP(Y274/H274,0)*0.00502),"")</f>
        <v>4.5179999999999998E-2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15.833333333333332</v>
      </c>
      <c r="BN274" s="78">
        <f t="shared" si="29"/>
        <v>17.099999999999998</v>
      </c>
      <c r="BO274" s="78">
        <f t="shared" si="30"/>
        <v>3.561253561253562E-2</v>
      </c>
      <c r="BP274" s="78">
        <f t="shared" si="31"/>
        <v>3.8461538461538464E-2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15</v>
      </c>
      <c r="Y275" s="55">
        <f t="shared" si="27"/>
        <v>16.2</v>
      </c>
      <c r="Z275" s="41">
        <f>IFERROR(IF(Y275=0,"",ROUNDUP(Y275/H275,0)*0.00502),"")</f>
        <v>4.5179999999999998E-2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15.833333333333332</v>
      </c>
      <c r="BN275" s="78">
        <f t="shared" si="29"/>
        <v>17.099999999999998</v>
      </c>
      <c r="BO275" s="78">
        <f t="shared" si="30"/>
        <v>3.561253561253562E-2</v>
      </c>
      <c r="BP275" s="78">
        <f t="shared" si="31"/>
        <v>3.8461538461538464E-2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15</v>
      </c>
      <c r="Y276" s="55">
        <f t="shared" si="27"/>
        <v>16.2</v>
      </c>
      <c r="Z276" s="41">
        <f>IFERROR(IF(Y276=0,"",ROUNDUP(Y276/H276,0)*0.00502),"")</f>
        <v>4.5179999999999998E-2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15.833333333333332</v>
      </c>
      <c r="BN276" s="78">
        <f t="shared" si="29"/>
        <v>17.099999999999998</v>
      </c>
      <c r="BO276" s="78">
        <f t="shared" si="30"/>
        <v>3.561253561253562E-2</v>
      </c>
      <c r="BP276" s="78">
        <f t="shared" si="31"/>
        <v>3.8461538461538464E-2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66.666666666666671</v>
      </c>
      <c r="Y277" s="43">
        <f>IFERROR(Y269/H269,"0")+IFERROR(Y270/H270,"0")+IFERROR(Y271/H271,"0")+IFERROR(Y272/H272,"0")+IFERROR(Y273/H273,"0")+IFERROR(Y274/H274,"0")+IFERROR(Y275/H275,"0")+IFERROR(Y276/H276,"0")</f>
        <v>72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0.50544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240</v>
      </c>
      <c r="Y278" s="43">
        <f>IFERROR(SUM(Y269:Y276),"0")</f>
        <v>259.2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25</v>
      </c>
      <c r="Y282" s="55">
        <f t="shared" si="32"/>
        <v>26.099999999999998</v>
      </c>
      <c r="Z282" s="41">
        <f>IFERROR(IF(Y282=0,"",ROUNDUP(Y282/H282,0)*0.01898),"")</f>
        <v>5.6940000000000004E-2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26.419540229885062</v>
      </c>
      <c r="BN282" s="78">
        <f t="shared" si="34"/>
        <v>27.582000000000004</v>
      </c>
      <c r="BO282" s="78">
        <f t="shared" si="35"/>
        <v>4.4899425287356326E-2</v>
      </c>
      <c r="BP282" s="78">
        <f t="shared" si="36"/>
        <v>4.6875E-2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20</v>
      </c>
      <c r="Y283" s="55">
        <f t="shared" si="32"/>
        <v>21.599999999999998</v>
      </c>
      <c r="Z283" s="41">
        <f>IFERROR(IF(Y283=0,"",ROUNDUP(Y283/H283,0)*0.00651),"")</f>
        <v>5.8590000000000003E-2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22.25</v>
      </c>
      <c r="BN283" s="78">
        <f t="shared" si="34"/>
        <v>24.029999999999998</v>
      </c>
      <c r="BO283" s="78">
        <f t="shared" si="35"/>
        <v>4.5787545787545791E-2</v>
      </c>
      <c r="BP283" s="78">
        <f t="shared" si="36"/>
        <v>4.9450549450549455E-2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16</v>
      </c>
      <c r="Y286" s="55">
        <f t="shared" si="32"/>
        <v>16.8</v>
      </c>
      <c r="Z286" s="41">
        <f>IFERROR(IF(Y286=0,"",ROUNDUP(Y286/H286,0)*0.00651),"")</f>
        <v>4.5569999999999999E-2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17.680000000000003</v>
      </c>
      <c r="BN286" s="78">
        <f t="shared" si="34"/>
        <v>18.564000000000004</v>
      </c>
      <c r="BO286" s="78">
        <f t="shared" si="35"/>
        <v>3.6630036630036632E-2</v>
      </c>
      <c r="BP286" s="78">
        <f t="shared" si="36"/>
        <v>3.8461538461538471E-2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8</v>
      </c>
      <c r="Y288" s="55">
        <f t="shared" si="32"/>
        <v>9.6</v>
      </c>
      <c r="Z288" s="41">
        <f>IFERROR(IF(Y288=0,"",ROUNDUP(Y288/H288,0)*0.00651),"")</f>
        <v>2.6040000000000001E-2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8.8400000000000016</v>
      </c>
      <c r="BN288" s="78">
        <f t="shared" si="34"/>
        <v>10.608000000000001</v>
      </c>
      <c r="BO288" s="78">
        <f t="shared" si="35"/>
        <v>1.8315018315018316E-2</v>
      </c>
      <c r="BP288" s="78">
        <f t="shared" si="36"/>
        <v>2.197802197802198E-2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12</v>
      </c>
      <c r="Y289" s="55">
        <f t="shared" si="32"/>
        <v>12</v>
      </c>
      <c r="Z289" s="41">
        <f>IFERROR(IF(Y289=0,"",ROUNDUP(Y289/H289,0)*0.00651),"")</f>
        <v>3.2550000000000003E-2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13.260000000000002</v>
      </c>
      <c r="BN289" s="78">
        <f t="shared" si="34"/>
        <v>13.260000000000002</v>
      </c>
      <c r="BO289" s="78">
        <f t="shared" si="35"/>
        <v>2.7472527472527476E-2</v>
      </c>
      <c r="BP289" s="78">
        <f t="shared" si="36"/>
        <v>2.7472527472527476E-2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8</v>
      </c>
      <c r="Y290" s="55">
        <f t="shared" si="32"/>
        <v>9.6</v>
      </c>
      <c r="Z290" s="41">
        <f>IFERROR(IF(Y290=0,"",ROUNDUP(Y290/H290,0)*0.00651),"")</f>
        <v>2.6040000000000001E-2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8.86</v>
      </c>
      <c r="BN290" s="78">
        <f t="shared" si="34"/>
        <v>10.632</v>
      </c>
      <c r="BO290" s="78">
        <f t="shared" si="35"/>
        <v>1.8315018315018316E-2</v>
      </c>
      <c r="BP290" s="78">
        <f t="shared" si="36"/>
        <v>2.197802197802198E-2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29.540229885057471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0.24573000000000003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89</v>
      </c>
      <c r="Y293" s="43">
        <f>IFERROR(SUM(Y280:Y291),"0")</f>
        <v>95.699999999999989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10</v>
      </c>
      <c r="Y336" s="55">
        <f>IFERROR(IF(X336="",0,CEILING((X336/$H336),1)*$H336),"")</f>
        <v>12</v>
      </c>
      <c r="Z336" s="41">
        <f>IFERROR(IF(Y336=0,"",ROUNDUP(Y336/H336,0)*0.00651),"")</f>
        <v>3.2550000000000003E-2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11.050000000000002</v>
      </c>
      <c r="BN336" s="78">
        <f>IFERROR(Y336*I336/H336,"0")</f>
        <v>13.260000000000002</v>
      </c>
      <c r="BO336" s="78">
        <f>IFERROR(1/J336*(X336/H336),"0")</f>
        <v>2.2893772893772896E-2</v>
      </c>
      <c r="BP336" s="78">
        <f>IFERROR(1/J336*(Y336/H336),"0")</f>
        <v>2.7472527472527476E-2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16</v>
      </c>
      <c r="Y337" s="55">
        <f>IFERROR(IF(X337="",0,CEILING((X337/$H337),1)*$H337),"")</f>
        <v>16.8</v>
      </c>
      <c r="Z337" s="41">
        <f>IFERROR(IF(Y337=0,"",ROUNDUP(Y337/H337,0)*0.00651),"")</f>
        <v>4.5569999999999999E-2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17.200000000000003</v>
      </c>
      <c r="BN337" s="78">
        <f>IFERROR(Y337*I337/H337,"0")</f>
        <v>18.060000000000002</v>
      </c>
      <c r="BO337" s="78">
        <f>IFERROR(1/J337*(X337/H337),"0")</f>
        <v>3.6630036630036632E-2</v>
      </c>
      <c r="BP337" s="78">
        <f>IFERROR(1/J337*(Y337/H337),"0")</f>
        <v>3.8461538461538471E-2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10.833333333333334</v>
      </c>
      <c r="Y338" s="43">
        <f>IFERROR(Y335/H335,"0")+IFERROR(Y336/H336,"0")+IFERROR(Y337/H337,"0")</f>
        <v>12</v>
      </c>
      <c r="Z338" s="43">
        <f>IFERROR(IF(Z335="",0,Z335),"0")+IFERROR(IF(Z336="",0,Z336),"0")+IFERROR(IF(Z337="",0,Z337),"0")</f>
        <v>7.8119999999999995E-2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26</v>
      </c>
      <c r="Y339" s="43">
        <f>IFERROR(SUM(Y335:Y337),"0")</f>
        <v>28.8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20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21.051282051282055</v>
      </c>
      <c r="BN356" s="78">
        <f>IFERROR(Y356*I356/H356,"0")</f>
        <v>24.630000000000003</v>
      </c>
      <c r="BO356" s="78">
        <f>IFERROR(1/J356*(X356/H356),"0")</f>
        <v>4.0064102564102567E-2</v>
      </c>
      <c r="BP356" s="78">
        <f>IFERROR(1/J356*(Y356/H356),"0")</f>
        <v>4.6875E-2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15</v>
      </c>
      <c r="Y358" s="55">
        <f>IFERROR(IF(X358="",0,CEILING((X358/$H358),1)*$H358),"")</f>
        <v>15.6</v>
      </c>
      <c r="Z358" s="41">
        <f>IFERROR(IF(Y358=0,"",ROUNDUP(Y358/H358,0)*0.01898),"")</f>
        <v>3.7960000000000001E-2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15.78846153846154</v>
      </c>
      <c r="BN358" s="78">
        <f>IFERROR(Y358*I358/H358,"0")</f>
        <v>16.420000000000002</v>
      </c>
      <c r="BO358" s="78">
        <f>IFERROR(1/J358*(X358/H358),"0")</f>
        <v>3.0048076923076924E-2</v>
      </c>
      <c r="BP358" s="78">
        <f>IFERROR(1/J358*(Y358/H358),"0")</f>
        <v>3.125E-2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4.4871794871794872</v>
      </c>
      <c r="Y359" s="43">
        <f>IFERROR(Y356/H356,"0")+IFERROR(Y357/H357,"0")+IFERROR(Y358/H358,"0")</f>
        <v>5</v>
      </c>
      <c r="Z359" s="43">
        <f>IFERROR(IF(Z356="",0,Z356),"0")+IFERROR(IF(Z357="",0,Z357),"0")+IFERROR(IF(Z358="",0,Z358),"0")</f>
        <v>9.4900000000000012E-2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35</v>
      </c>
      <c r="Y360" s="43">
        <f>IFERROR(SUM(Y356:Y358),"0")</f>
        <v>39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15</v>
      </c>
      <c r="Y373" s="55">
        <f t="shared" si="47"/>
        <v>16.8</v>
      </c>
      <c r="Z373" s="41">
        <f>IFERROR(IF(Y373=0,"",ROUNDUP(Y373/H373,0)*0.00902),"")</f>
        <v>3.6080000000000001E-2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15.892857142857142</v>
      </c>
      <c r="BN373" s="78">
        <f t="shared" si="49"/>
        <v>17.8</v>
      </c>
      <c r="BO373" s="78">
        <f t="shared" si="50"/>
        <v>2.7056277056277056E-2</v>
      </c>
      <c r="BP373" s="78">
        <f t="shared" si="51"/>
        <v>3.0303030303030304E-2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3.5714285714285712</v>
      </c>
      <c r="Y379" s="43">
        <f>IFERROR(Y372/H372,"0")+IFERROR(Y373/H373,"0")+IFERROR(Y374/H374,"0")+IFERROR(Y375/H375,"0")+IFERROR(Y376/H376,"0")+IFERROR(Y377/H377,"0")+IFERROR(Y378/H378,"0")</f>
        <v>4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3.6080000000000001E-2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15</v>
      </c>
      <c r="Y380" s="43">
        <f>IFERROR(SUM(Y372:Y378),"0")</f>
        <v>16.8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80</v>
      </c>
      <c r="Y390" s="55">
        <f>IFERROR(IF(X390="",0,CEILING((X390/$H390),1)*$H390),"")</f>
        <v>85.8</v>
      </c>
      <c r="Z390" s="41">
        <f>IFERROR(IF(Y390=0,"",ROUNDUP(Y390/H390,0)*0.01898),"")</f>
        <v>0.20877999999999999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85.066666666666663</v>
      </c>
      <c r="BN390" s="78">
        <f>IFERROR(Y390*I390/H390,"0")</f>
        <v>91.234000000000009</v>
      </c>
      <c r="BO390" s="78">
        <f>IFERROR(1/J390*(X390/H390),"0")</f>
        <v>0.16025641025641027</v>
      </c>
      <c r="BP390" s="78">
        <f>IFERROR(1/J390*(Y390/H390),"0")</f>
        <v>0.171875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10.256410256410257</v>
      </c>
      <c r="Y392" s="43">
        <f>IFERROR(Y389/H389,"0")+IFERROR(Y390/H390,"0")+IFERROR(Y391/H391,"0")</f>
        <v>11</v>
      </c>
      <c r="Z392" s="43">
        <f>IFERROR(IF(Z389="",0,Z389),"0")+IFERROR(IF(Z390="",0,Z390),"0")+IFERROR(IF(Z391="",0,Z391),"0")</f>
        <v>0.20877999999999999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80</v>
      </c>
      <c r="Y393" s="43">
        <f>IFERROR(SUM(Y389:Y391),"0")</f>
        <v>85.8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35</v>
      </c>
      <c r="Y416" s="55">
        <f>IFERROR(IF(X416="",0,CEILING((X416/$H416),1)*$H416),"")</f>
        <v>35.700000000000003</v>
      </c>
      <c r="Z416" s="41">
        <f>IFERROR(IF(Y416=0,"",ROUNDUP(Y416/H416,0)*0.00651),"")</f>
        <v>0.11067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39.199999999999996</v>
      </c>
      <c r="BN416" s="78">
        <f>IFERROR(Y416*I416/H416,"0")</f>
        <v>39.984000000000002</v>
      </c>
      <c r="BO416" s="78">
        <f>IFERROR(1/J416*(X416/H416),"0")</f>
        <v>9.1575091575091569E-2</v>
      </c>
      <c r="BP416" s="78">
        <f>IFERROR(1/J416*(Y416/H416),"0")</f>
        <v>9.3406593406593408E-2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35</v>
      </c>
      <c r="Y417" s="55">
        <f>IFERROR(IF(X417="",0,CEILING((X417/$H417),1)*$H417),"")</f>
        <v>35.700000000000003</v>
      </c>
      <c r="Z417" s="41">
        <f>IFERROR(IF(Y417=0,"",ROUNDUP(Y417/H417,0)*0.00651),"")</f>
        <v>0.11067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38.999999999999993</v>
      </c>
      <c r="BN417" s="78">
        <f>IFERROR(Y417*I417/H417,"0")</f>
        <v>39.779999999999994</v>
      </c>
      <c r="BO417" s="78">
        <f>IFERROR(1/J417*(X417/H417),"0")</f>
        <v>9.1575091575091569E-2</v>
      </c>
      <c r="BP417" s="78">
        <f>IFERROR(1/J417*(Y417/H417),"0")</f>
        <v>9.3406593406593408E-2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33.333333333333329</v>
      </c>
      <c r="Y418" s="43">
        <f>IFERROR(Y415/H415,"0")+IFERROR(Y416/H416,"0")+IFERROR(Y417/H417,"0")</f>
        <v>34</v>
      </c>
      <c r="Z418" s="43">
        <f>IFERROR(IF(Z415="",0,Z415),"0")+IFERROR(IF(Z416="",0,Z416),"0")+IFERROR(IF(Z417="",0,Z417),"0")</f>
        <v>0.22134000000000001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70</v>
      </c>
      <c r="Y419" s="43">
        <f>IFERROR(SUM(Y415:Y417),"0")</f>
        <v>71.400000000000006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20</v>
      </c>
      <c r="Y423" s="55">
        <f t="shared" ref="Y423:Y430" si="52">IFERROR(IF(X423="",0,CEILING((X423/$H423),1)*$H423),"")</f>
        <v>30</v>
      </c>
      <c r="Z423" s="41">
        <f>IFERROR(IF(Y423=0,"",ROUNDUP(Y423/H423,0)*0.02175),"")</f>
        <v>4.3499999999999997E-2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20.626666666666669</v>
      </c>
      <c r="BN423" s="78">
        <f t="shared" ref="BN423:BN430" si="54">IFERROR(Y423*I423/H423,"0")</f>
        <v>30.94</v>
      </c>
      <c r="BO423" s="78">
        <f t="shared" ref="BO423:BO430" si="55">IFERROR(1/J423*(X423/H423),"0")</f>
        <v>2.7777777777777776E-2</v>
      </c>
      <c r="BP423" s="78">
        <f t="shared" ref="BP423:BP430" si="56">IFERROR(1/J423*(Y423/H423),"0")</f>
        <v>4.1666666666666664E-2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1.3333333333333333</v>
      </c>
      <c r="Y431" s="43">
        <f>IFERROR(Y423/H423,"0")+IFERROR(Y424/H424,"0")+IFERROR(Y425/H425,"0")+IFERROR(Y426/H426,"0")+IFERROR(Y427/H427,"0")+IFERROR(Y428/H428,"0")+IFERROR(Y429/H429,"0")+IFERROR(Y430/H430,"0")</f>
        <v>2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4.3499999999999997E-2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20</v>
      </c>
      <c r="Y432" s="43">
        <f>IFERROR(SUM(Y423:Y430),"0")</f>
        <v>30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20</v>
      </c>
      <c r="Y435" s="55">
        <f>IFERROR(IF(X435="",0,CEILING((X435/$H435),1)*$H435),"")</f>
        <v>30</v>
      </c>
      <c r="Z435" s="41">
        <f>IFERROR(IF(Y435=0,"",ROUNDUP(Y435/H435,0)*0.02175),"")</f>
        <v>4.3499999999999997E-2</v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20.626666666666669</v>
      </c>
      <c r="BN435" s="78">
        <f>IFERROR(Y435*I435/H435,"0")</f>
        <v>30.94</v>
      </c>
      <c r="BO435" s="78">
        <f>IFERROR(1/J435*(X435/H435),"0")</f>
        <v>2.7777777777777776E-2</v>
      </c>
      <c r="BP435" s="78">
        <f>IFERROR(1/J435*(Y435/H435),"0")</f>
        <v>4.1666666666666664E-2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1.3333333333333333</v>
      </c>
      <c r="Y437" s="43">
        <f>IFERROR(Y434/H434,"0")+IFERROR(Y435/H435,"0")+IFERROR(Y436/H436,"0")</f>
        <v>2</v>
      </c>
      <c r="Z437" s="43">
        <f>IFERROR(IF(Z434="",0,Z434),"0")+IFERROR(IF(Z435="",0,Z435),"0")+IFERROR(IF(Z436="",0,Z436),"0")</f>
        <v>4.3499999999999997E-2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20</v>
      </c>
      <c r="Y438" s="43">
        <f>IFERROR(SUM(Y434:Y436),"0")</f>
        <v>30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80</v>
      </c>
      <c r="Y441" s="55">
        <f>IFERROR(IF(X441="",0,CEILING((X441/$H441),1)*$H441),"")</f>
        <v>81</v>
      </c>
      <c r="Z441" s="41">
        <f>IFERROR(IF(Y441=0,"",ROUNDUP(Y441/H441,0)*0.01898),"")</f>
        <v>0.17082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84.391111111111115</v>
      </c>
      <c r="BN441" s="78">
        <f>IFERROR(Y441*I441/H441,"0")</f>
        <v>85.445999999999998</v>
      </c>
      <c r="BO441" s="78">
        <f>IFERROR(1/J441*(X441/H441),"0")</f>
        <v>0.1388888888888889</v>
      </c>
      <c r="BP441" s="78">
        <f>IFERROR(1/J441*(Y441/H441),"0")</f>
        <v>0.140625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8.8888888888888893</v>
      </c>
      <c r="Y443" s="43">
        <f>IFERROR(Y440/H440,"0")+IFERROR(Y441/H441,"0")+IFERROR(Y442/H442,"0")</f>
        <v>9</v>
      </c>
      <c r="Z443" s="43">
        <f>IFERROR(IF(Z440="",0,Z440),"0")+IFERROR(IF(Z441="",0,Z441),"0")+IFERROR(IF(Z442="",0,Z442),"0")</f>
        <v>0.17082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80</v>
      </c>
      <c r="Y444" s="43">
        <f>IFERROR(SUM(Y440:Y442),"0")</f>
        <v>81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8</v>
      </c>
      <c r="Y462" s="55">
        <f>IFERROR(IF(X462="",0,CEILING((X462/$H462),1)*$H462),"")</f>
        <v>9.6</v>
      </c>
      <c r="Z462" s="41">
        <f>IFERROR(IF(Y462=0,"",ROUNDUP(Y462/H462,0)*0.00651),"")</f>
        <v>2.6040000000000001E-2</v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8.8800000000000008</v>
      </c>
      <c r="BN462" s="78">
        <f>IFERROR(Y462*I462/H462,"0")</f>
        <v>10.656000000000001</v>
      </c>
      <c r="BO462" s="78">
        <f>IFERROR(1/J462*(X462/H462),"0")</f>
        <v>1.8315018315018316E-2</v>
      </c>
      <c r="BP462" s="78">
        <f>IFERROR(1/J462*(Y462/H462),"0")</f>
        <v>2.197802197802198E-2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3.3333333333333335</v>
      </c>
      <c r="Y464" s="43">
        <f>IFERROR(Y461/H461,"0")+IFERROR(Y462/H462,"0")+IFERROR(Y463/H463,"0")</f>
        <v>4</v>
      </c>
      <c r="Z464" s="43">
        <f>IFERROR(IF(Z461="",0,Z461),"0")+IFERROR(IF(Z462="",0,Z462),"0")+IFERROR(IF(Z463="",0,Z463),"0")</f>
        <v>2.6040000000000001E-2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8</v>
      </c>
      <c r="Y465" s="43">
        <f>IFERROR(SUM(Y461:Y463),"0")</f>
        <v>9.6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15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15.527777777777775</v>
      </c>
      <c r="BN470" s="78">
        <f t="shared" si="59"/>
        <v>16.77</v>
      </c>
      <c r="BO470" s="78">
        <f t="shared" si="60"/>
        <v>2.1043771043771045E-2</v>
      </c>
      <c r="BP470" s="78">
        <f t="shared" si="61"/>
        <v>2.2727272727272731E-2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7</v>
      </c>
      <c r="Y474" s="55">
        <f t="shared" si="57"/>
        <v>8.4</v>
      </c>
      <c r="Z474" s="41">
        <f>IFERROR(IF(Y474=0,"",ROUNDUP(Y474/H474,0)*0.00502),"")</f>
        <v>2.0080000000000001E-2</v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7.4333333333333327</v>
      </c>
      <c r="BN474" s="78">
        <f t="shared" si="59"/>
        <v>8.92</v>
      </c>
      <c r="BO474" s="78">
        <f t="shared" si="60"/>
        <v>1.4245014245014245E-2</v>
      </c>
      <c r="BP474" s="78">
        <f t="shared" si="61"/>
        <v>1.7094017094017096E-2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6.1111111111111107</v>
      </c>
      <c r="Y475" s="43">
        <f>IFERROR(Y469/H469,"0")+IFERROR(Y470/H470,"0")+IFERROR(Y471/H471,"0")+IFERROR(Y472/H472,"0")+IFERROR(Y473/H473,"0")+IFERROR(Y474/H474,"0")</f>
        <v>7</v>
      </c>
      <c r="Z475" s="43">
        <f>IFERROR(IF(Z469="",0,Z469),"0")+IFERROR(IF(Z470="",0,Z470),"0")+IFERROR(IF(Z471="",0,Z471),"0")+IFERROR(IF(Z472="",0,Z472),"0")+IFERROR(IF(Z473="",0,Z473),"0")+IFERROR(IF(Z474="",0,Z474),"0")</f>
        <v>4.7140000000000001E-2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22</v>
      </c>
      <c r="Y476" s="43">
        <f>IFERROR(SUM(Y469:Y474),"0")</f>
        <v>24.6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20</v>
      </c>
      <c r="Y488" s="55">
        <f>IFERROR(IF(X488="",0,CEILING((X488/$H488),1)*$H488),"")</f>
        <v>21.6</v>
      </c>
      <c r="Z488" s="41">
        <f>IFERROR(IF(Y488=0,"",ROUNDUP(Y488/H488,0)*0.00902),"")</f>
        <v>3.6080000000000001E-2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20.703703703703702</v>
      </c>
      <c r="BN488" s="78">
        <f>IFERROR(Y488*I488/H488,"0")</f>
        <v>22.36</v>
      </c>
      <c r="BO488" s="78">
        <f>IFERROR(1/J488*(X488/H488),"0")</f>
        <v>2.8058361391694722E-2</v>
      </c>
      <c r="BP488" s="78">
        <f>IFERROR(1/J488*(Y488/H488),"0")</f>
        <v>3.0303030303030304E-2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14</v>
      </c>
      <c r="Y490" s="55">
        <f>IFERROR(IF(X490="",0,CEILING((X490/$H490),1)*$H490),"")</f>
        <v>14.700000000000001</v>
      </c>
      <c r="Z490" s="41">
        <f>IFERROR(IF(Y490=0,"",ROUNDUP(Y490/H490,0)*0.00502),"")</f>
        <v>3.5140000000000005E-2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14.866666666666665</v>
      </c>
      <c r="BN490" s="78">
        <f>IFERROR(Y490*I490/H490,"0")</f>
        <v>15.61</v>
      </c>
      <c r="BO490" s="78">
        <f>IFERROR(1/J490*(X490/H490),"0")</f>
        <v>2.8490028490028491E-2</v>
      </c>
      <c r="BP490" s="78">
        <f>IFERROR(1/J490*(Y490/H490),"0")</f>
        <v>2.9914529914529919E-2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10.37037037037037</v>
      </c>
      <c r="Y491" s="43">
        <f>IFERROR(Y488/H488,"0")+IFERROR(Y489/H489,"0")+IFERROR(Y490/H490,"0")</f>
        <v>11</v>
      </c>
      <c r="Z491" s="43">
        <f>IFERROR(IF(Z488="",0,Z488),"0")+IFERROR(IF(Z489="",0,Z489),"0")+IFERROR(IF(Z490="",0,Z490),"0")</f>
        <v>7.1220000000000006E-2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34</v>
      </c>
      <c r="Y492" s="43">
        <f>IFERROR(SUM(Y488:Y490),"0")</f>
        <v>36.300000000000004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12</v>
      </c>
      <c r="Y510" s="55">
        <f>IFERROR(IF(X510="",0,CEILING((X510/$H510),1)*$H510),"")</f>
        <v>14.399999999999999</v>
      </c>
      <c r="Z510" s="41">
        <f>IFERROR(IF(Y510=0,"",ROUNDUP(Y510/H510,0)*0.00902),"")</f>
        <v>2.7060000000000001E-2</v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17.275000000000002</v>
      </c>
      <c r="BN510" s="78">
        <f>IFERROR(Y510*I510/H510,"0")</f>
        <v>20.73</v>
      </c>
      <c r="BO510" s="78">
        <f>IFERROR(1/J510*(X510/H510),"0")</f>
        <v>1.893939393939394E-2</v>
      </c>
      <c r="BP510" s="78">
        <f>IFERROR(1/J510*(Y510/H510),"0")</f>
        <v>2.2727272727272728E-2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2.5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2.7060000000000001E-2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12</v>
      </c>
      <c r="Y512" s="43">
        <f>IFERROR(SUM(Y508:Y510),"0")</f>
        <v>14.399999999999999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9</v>
      </c>
      <c r="Y517" s="55">
        <f t="shared" si="68"/>
        <v>9.6</v>
      </c>
      <c r="Z517" s="41">
        <f>IFERROR(IF(Y517=0,"",ROUNDUP(Y517/H517,0)*0.00902),"")</f>
        <v>1.804E-2</v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12.956250000000001</v>
      </c>
      <c r="BN517" s="78">
        <f t="shared" si="70"/>
        <v>13.82</v>
      </c>
      <c r="BO517" s="78">
        <f t="shared" si="71"/>
        <v>1.4204545454545456E-2</v>
      </c>
      <c r="BP517" s="78">
        <f t="shared" si="72"/>
        <v>1.5151515151515152E-2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1.875</v>
      </c>
      <c r="Y521" s="43">
        <f>IFERROR(Y514/H514,"0")+IFERROR(Y515/H515,"0")+IFERROR(Y516/H516,"0")+IFERROR(Y517/H517,"0")+IFERROR(Y518/H518,"0")+IFERROR(Y519/H519,"0")+IFERROR(Y520/H520,"0")</f>
        <v>2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1.804E-2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9</v>
      </c>
      <c r="Y522" s="43">
        <f>IFERROR(SUM(Y514:Y520),"0")</f>
        <v>9.6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20</v>
      </c>
      <c r="Y534" s="55">
        <f>IFERROR(IF(X534="",0,CEILING((X534/$H534),1)*$H534),"")</f>
        <v>21</v>
      </c>
      <c r="Z534" s="41">
        <f>IFERROR(IF(Y534=0,"",ROUNDUP(Y534/H534,0)*0.00902),"")</f>
        <v>4.5100000000000001E-2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21.19047619047619</v>
      </c>
      <c r="BN534" s="78">
        <f>IFERROR(Y534*I534/H534,"0")</f>
        <v>22.25</v>
      </c>
      <c r="BO534" s="78">
        <f>IFERROR(1/J534*(X534/H534),"0")</f>
        <v>3.6075036075036072E-2</v>
      </c>
      <c r="BP534" s="78">
        <f>IFERROR(1/J534*(Y534/H534),"0")</f>
        <v>3.787878787878788E-2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4.7619047619047619</v>
      </c>
      <c r="Y535" s="43">
        <f>IFERROR(Y534/H534,"0")</f>
        <v>5</v>
      </c>
      <c r="Z535" s="43">
        <f>IFERROR(IF(Z534="",0,Z534),"0")</f>
        <v>4.5100000000000001E-2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20</v>
      </c>
      <c r="Y536" s="43">
        <f>IFERROR(SUM(Y534:Y534),"0")</f>
        <v>21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1173.95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1265.2599999999995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1251.5192242958196</v>
      </c>
      <c r="Y552" s="43">
        <f>IFERROR(SUM(BN22:BN548),"0")</f>
        <v>1348.9019999999996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1326.5192242958196</v>
      </c>
      <c r="Y554" s="43">
        <f>GrossWeightTotalR+PalletQtyTotalR*25</f>
        <v>1423.9019999999996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282.98487782970545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302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2.7896299999999998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40.400000000000006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68.400000000000006</v>
      </c>
      <c r="F561" s="52">
        <f>IFERROR(Y88*1,"0")+IFERROR(Y89*1,"0")+IFERROR(Y90*1,"0")+IFERROR(Y91*1,"0")+IFERROR(Y95*1,"0")+IFERROR(Y96*1,"0")+IFERROR(Y97*1,"0")+IFERROR(Y98*1,"0")</f>
        <v>45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159.30000000000001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10.56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70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18.400000000000002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354.90000000000009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28.8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39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102.6</v>
      </c>
      <c r="U561" s="52">
        <f>IFERROR(Y415*1,"0")+IFERROR(Y416*1,"0")+IFERROR(Y417*1,"0")</f>
        <v>71.400000000000006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141</v>
      </c>
      <c r="W561" s="52">
        <f>IFERROR(Y452*1,"0")+IFERROR(Y453*1,"0")+IFERROR(Y457*1,"0")+IFERROR(Y461*1,"0")+IFERROR(Y462*1,"0")+IFERROR(Y463*1,"0")</f>
        <v>9.6</v>
      </c>
      <c r="X561" s="52">
        <f>IFERROR(Y469*1,"0")+IFERROR(Y470*1,"0")+IFERROR(Y471*1,"0")+IFERROR(Y472*1,"0")+IFERROR(Y473*1,"0")+IFERROR(Y474*1,"0")+IFERROR(Y478*1,"0")+IFERROR(Y479*1,"0")</f>
        <v>24.6</v>
      </c>
      <c r="Y561" s="52">
        <f>IFERROR(Y484*1,"0")+IFERROR(Y488*1,"0")+IFERROR(Y489*1,"0")+IFERROR(Y490*1,"0")</f>
        <v>36.300000000000004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24</v>
      </c>
      <c r="AA561" s="52">
        <f>IFERROR(Y526*1,"0")+IFERROR(Y530*1,"0")+IFERROR(Y534*1,"0")+IFERROR(Y538*1,"0")+IFERROR(Y542*1,"0")+IFERROR(Y543*1,"0")</f>
        <v>21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2026-07-24T11:50:30Z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