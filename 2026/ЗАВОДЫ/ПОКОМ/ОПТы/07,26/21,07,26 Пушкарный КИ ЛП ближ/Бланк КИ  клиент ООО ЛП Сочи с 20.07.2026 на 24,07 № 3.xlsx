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ЭтаКнига" defaultThemeVersion="124226"/>
  <bookViews>
    <workbookView xWindow="60" yWindow="45" windowWidth="21180" windowHeight="15510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/>
  <c r="X540"/>
  <c r="BO539"/>
  <c r="BM539"/>
  <c r="Y539"/>
  <c r="AB552" s="1"/>
  <c r="P539"/>
  <c r="X536"/>
  <c r="X535"/>
  <c r="BO534"/>
  <c r="BN534"/>
  <c r="BM534"/>
  <c r="Y534"/>
  <c r="BP534" s="1"/>
  <c r="P534"/>
  <c r="BO533"/>
  <c r="BM533"/>
  <c r="Y533"/>
  <c r="BP533" s="1"/>
  <c r="P533"/>
  <c r="X531"/>
  <c r="Y530"/>
  <c r="X530"/>
  <c r="BO529"/>
  <c r="BM529"/>
  <c r="Z529"/>
  <c r="Z530" s="1"/>
  <c r="Y529"/>
  <c r="BP529" s="1"/>
  <c r="P529"/>
  <c r="X527"/>
  <c r="X526"/>
  <c r="BO525"/>
  <c r="BN525"/>
  <c r="BM525"/>
  <c r="Y525"/>
  <c r="BP525" s="1"/>
  <c r="P525"/>
  <c r="BO524"/>
  <c r="BM524"/>
  <c r="Y524"/>
  <c r="BN524" s="1"/>
  <c r="P524"/>
  <c r="X522"/>
  <c r="X521"/>
  <c r="BP520"/>
  <c r="BO520"/>
  <c r="BM520"/>
  <c r="Y520"/>
  <c r="Z520" s="1"/>
  <c r="Z521" s="1"/>
  <c r="P520"/>
  <c r="X518"/>
  <c r="X517"/>
  <c r="BO516"/>
  <c r="BM516"/>
  <c r="Y516"/>
  <c r="P516"/>
  <c r="X512"/>
  <c r="X511"/>
  <c r="BO510"/>
  <c r="BM510"/>
  <c r="Y510"/>
  <c r="BN510" s="1"/>
  <c r="P510"/>
  <c r="BO509"/>
  <c r="BM509"/>
  <c r="Y509"/>
  <c r="BP509" s="1"/>
  <c r="P509"/>
  <c r="BO508"/>
  <c r="BM508"/>
  <c r="Y508"/>
  <c r="BN508" s="1"/>
  <c r="P508"/>
  <c r="BO507"/>
  <c r="BM507"/>
  <c r="Y507"/>
  <c r="BN507" s="1"/>
  <c r="P507"/>
  <c r="BO506"/>
  <c r="BM506"/>
  <c r="Z506"/>
  <c r="Y506"/>
  <c r="BP506" s="1"/>
  <c r="P506"/>
  <c r="BO505"/>
  <c r="BM505"/>
  <c r="Y505"/>
  <c r="BN505" s="1"/>
  <c r="P505"/>
  <c r="BO504"/>
  <c r="BM504"/>
  <c r="Y504"/>
  <c r="Y511" s="1"/>
  <c r="P504"/>
  <c r="X502"/>
  <c r="X501"/>
  <c r="BP500"/>
  <c r="BO500"/>
  <c r="BM500"/>
  <c r="Y500"/>
  <c r="BN500" s="1"/>
  <c r="P500"/>
  <c r="BO499"/>
  <c r="BM499"/>
  <c r="Y499"/>
  <c r="Y501" s="1"/>
  <c r="P499"/>
  <c r="BP498"/>
  <c r="BO498"/>
  <c r="BN498"/>
  <c r="BM498"/>
  <c r="Z498"/>
  <c r="Y498"/>
  <c r="P498"/>
  <c r="X496"/>
  <c r="X495"/>
  <c r="BO494"/>
  <c r="BM494"/>
  <c r="Y494"/>
  <c r="BP494" s="1"/>
  <c r="P494"/>
  <c r="BO493"/>
  <c r="BN493"/>
  <c r="BM493"/>
  <c r="Y493"/>
  <c r="BP493" s="1"/>
  <c r="P493"/>
  <c r="BO492"/>
  <c r="BM492"/>
  <c r="Y492"/>
  <c r="BP492" s="1"/>
  <c r="P492"/>
  <c r="BP491"/>
  <c r="BO491"/>
  <c r="BN491"/>
  <c r="BM491"/>
  <c r="Z491"/>
  <c r="Y491"/>
  <c r="P491"/>
  <c r="BP490"/>
  <c r="BO490"/>
  <c r="BM490"/>
  <c r="Y490"/>
  <c r="BN490" s="1"/>
  <c r="P490"/>
  <c r="BO489"/>
  <c r="BM489"/>
  <c r="Y489"/>
  <c r="BP489" s="1"/>
  <c r="P489"/>
  <c r="BP488"/>
  <c r="BO488"/>
  <c r="BN488"/>
  <c r="BM488"/>
  <c r="Z488"/>
  <c r="Y488"/>
  <c r="P488"/>
  <c r="BP487"/>
  <c r="BO487"/>
  <c r="BM487"/>
  <c r="Y487"/>
  <c r="BN487" s="1"/>
  <c r="P487"/>
  <c r="BO486"/>
  <c r="BM486"/>
  <c r="Y486"/>
  <c r="Z552" s="1"/>
  <c r="P486"/>
  <c r="X482"/>
  <c r="X481"/>
  <c r="BO480"/>
  <c r="BM480"/>
  <c r="Y480"/>
  <c r="P480"/>
  <c r="BP479"/>
  <c r="BO479"/>
  <c r="BM479"/>
  <c r="Z479"/>
  <c r="Y479"/>
  <c r="BN479" s="1"/>
  <c r="P479"/>
  <c r="BP478"/>
  <c r="BO478"/>
  <c r="BM478"/>
  <c r="Y478"/>
  <c r="P478"/>
  <c r="X476"/>
  <c r="X475"/>
  <c r="BO474"/>
  <c r="BN474"/>
  <c r="BM474"/>
  <c r="Y474"/>
  <c r="Z474" s="1"/>
  <c r="Z475" s="1"/>
  <c r="P474"/>
  <c r="X471"/>
  <c r="X470"/>
  <c r="BO469"/>
  <c r="BM469"/>
  <c r="Y469"/>
  <c r="BP469" s="1"/>
  <c r="P469"/>
  <c r="BO468"/>
  <c r="BM468"/>
  <c r="Y468"/>
  <c r="Z468" s="1"/>
  <c r="P468"/>
  <c r="X466"/>
  <c r="X465"/>
  <c r="BO464"/>
  <c r="BM464"/>
  <c r="Y464"/>
  <c r="BP464" s="1"/>
  <c r="P464"/>
  <c r="BP463"/>
  <c r="BO463"/>
  <c r="BN463"/>
  <c r="BM463"/>
  <c r="Z463"/>
  <c r="Y463"/>
  <c r="P463"/>
  <c r="BP462"/>
  <c r="BO462"/>
  <c r="BM462"/>
  <c r="Y462"/>
  <c r="BN462" s="1"/>
  <c r="P462"/>
  <c r="BO461"/>
  <c r="BM461"/>
  <c r="Y461"/>
  <c r="BP461" s="1"/>
  <c r="P461"/>
  <c r="BO460"/>
  <c r="BN460"/>
  <c r="BM460"/>
  <c r="Y460"/>
  <c r="BP460" s="1"/>
  <c r="P460"/>
  <c r="BO459"/>
  <c r="BM459"/>
  <c r="Y459"/>
  <c r="P459"/>
  <c r="Y455"/>
  <c r="X455"/>
  <c r="X454"/>
  <c r="BP453"/>
  <c r="BO453"/>
  <c r="BM453"/>
  <c r="Y453"/>
  <c r="BN453" s="1"/>
  <c r="P453"/>
  <c r="BO452"/>
  <c r="BM452"/>
  <c r="Y452"/>
  <c r="Y454" s="1"/>
  <c r="P452"/>
  <c r="BP451"/>
  <c r="BO451"/>
  <c r="BN451"/>
  <c r="BM451"/>
  <c r="Z451"/>
  <c r="Y451"/>
  <c r="P451"/>
  <c r="X449"/>
  <c r="X448"/>
  <c r="BO447"/>
  <c r="BM447"/>
  <c r="Y447"/>
  <c r="Y449" s="1"/>
  <c r="P447"/>
  <c r="X445"/>
  <c r="Y444"/>
  <c r="X444"/>
  <c r="BP443"/>
  <c r="BO443"/>
  <c r="BN443"/>
  <c r="BM443"/>
  <c r="Z443"/>
  <c r="Y443"/>
  <c r="P443"/>
  <c r="BO442"/>
  <c r="BM442"/>
  <c r="Y442"/>
  <c r="P442"/>
  <c r="X439"/>
  <c r="X438"/>
  <c r="BO437"/>
  <c r="BN437"/>
  <c r="BM437"/>
  <c r="Y437"/>
  <c r="Z437" s="1"/>
  <c r="P437"/>
  <c r="BO436"/>
  <c r="BM436"/>
  <c r="Y436"/>
  <c r="Y439" s="1"/>
  <c r="P436"/>
  <c r="X434"/>
  <c r="X433"/>
  <c r="BO432"/>
  <c r="BM432"/>
  <c r="Y432"/>
  <c r="P432"/>
  <c r="BO431"/>
  <c r="BN431"/>
  <c r="BM431"/>
  <c r="Y431"/>
  <c r="BP431" s="1"/>
  <c r="P431"/>
  <c r="BO430"/>
  <c r="BM430"/>
  <c r="Y430"/>
  <c r="Y433" s="1"/>
  <c r="P430"/>
  <c r="X428"/>
  <c r="X427"/>
  <c r="BO426"/>
  <c r="BM426"/>
  <c r="Y426"/>
  <c r="Z426" s="1"/>
  <c r="P426"/>
  <c r="BO425"/>
  <c r="BN425"/>
  <c r="BM425"/>
  <c r="Y425"/>
  <c r="BP425" s="1"/>
  <c r="P425"/>
  <c r="BO424"/>
  <c r="BM424"/>
  <c r="Y424"/>
  <c r="P424"/>
  <c r="X422"/>
  <c r="X421"/>
  <c r="BO420"/>
  <c r="BN420"/>
  <c r="BM420"/>
  <c r="Y420"/>
  <c r="BP420" s="1"/>
  <c r="P420"/>
  <c r="BO419"/>
  <c r="BM419"/>
  <c r="Y419"/>
  <c r="BP419" s="1"/>
  <c r="P419"/>
  <c r="BO418"/>
  <c r="BM418"/>
  <c r="Y418"/>
  <c r="BP418" s="1"/>
  <c r="P418"/>
  <c r="BO417"/>
  <c r="BM417"/>
  <c r="Y417"/>
  <c r="BN417" s="1"/>
  <c r="P417"/>
  <c r="BO416"/>
  <c r="BM416"/>
  <c r="Y416"/>
  <c r="Z416" s="1"/>
  <c r="P416"/>
  <c r="BO415"/>
  <c r="BN415"/>
  <c r="BM415"/>
  <c r="Y415"/>
  <c r="BP415" s="1"/>
  <c r="P415"/>
  <c r="BO414"/>
  <c r="BM414"/>
  <c r="Y414"/>
  <c r="BP414" s="1"/>
  <c r="P414"/>
  <c r="BO413"/>
  <c r="BM413"/>
  <c r="Y413"/>
  <c r="P413"/>
  <c r="X409"/>
  <c r="X408"/>
  <c r="BO407"/>
  <c r="BM407"/>
  <c r="Y407"/>
  <c r="BP407" s="1"/>
  <c r="P407"/>
  <c r="BO406"/>
  <c r="BM406"/>
  <c r="Y406"/>
  <c r="BP406" s="1"/>
  <c r="P406"/>
  <c r="BO405"/>
  <c r="BM405"/>
  <c r="Y405"/>
  <c r="Y409" s="1"/>
  <c r="P405"/>
  <c r="X402"/>
  <c r="X401"/>
  <c r="BP400"/>
  <c r="BO400"/>
  <c r="BM400"/>
  <c r="Z400"/>
  <c r="Y400"/>
  <c r="BN400" s="1"/>
  <c r="P400"/>
  <c r="BO399"/>
  <c r="BM399"/>
  <c r="Y399"/>
  <c r="BP399" s="1"/>
  <c r="P399"/>
  <c r="BO398"/>
  <c r="BM398"/>
  <c r="Y398"/>
  <c r="Z398" s="1"/>
  <c r="P398"/>
  <c r="X396"/>
  <c r="X395"/>
  <c r="BO394"/>
  <c r="BM394"/>
  <c r="Y394"/>
  <c r="BP394" s="1"/>
  <c r="P394"/>
  <c r="BO393"/>
  <c r="BM393"/>
  <c r="Z393"/>
  <c r="Y393"/>
  <c r="BN393" s="1"/>
  <c r="P393"/>
  <c r="BO392"/>
  <c r="BM392"/>
  <c r="Y392"/>
  <c r="Y396" s="1"/>
  <c r="P392"/>
  <c r="X390"/>
  <c r="X389"/>
  <c r="BP388"/>
  <c r="BO388"/>
  <c r="BM388"/>
  <c r="Z388"/>
  <c r="Y388"/>
  <c r="BN388" s="1"/>
  <c r="P388"/>
  <c r="BO387"/>
  <c r="BM387"/>
  <c r="Y387"/>
  <c r="BP387" s="1"/>
  <c r="P387"/>
  <c r="BO386"/>
  <c r="BM386"/>
  <c r="Y386"/>
  <c r="BN386" s="1"/>
  <c r="P386"/>
  <c r="BO385"/>
  <c r="BM385"/>
  <c r="Y385"/>
  <c r="BN385" s="1"/>
  <c r="P385"/>
  <c r="X383"/>
  <c r="X382"/>
  <c r="BO381"/>
  <c r="BN381"/>
  <c r="BM381"/>
  <c r="Y381"/>
  <c r="Z381" s="1"/>
  <c r="P381"/>
  <c r="BO380"/>
  <c r="BN380"/>
  <c r="BM380"/>
  <c r="Y380"/>
  <c r="BP380" s="1"/>
  <c r="P380"/>
  <c r="BO379"/>
  <c r="BM379"/>
  <c r="Y379"/>
  <c r="Y383" s="1"/>
  <c r="P379"/>
  <c r="X377"/>
  <c r="X376"/>
  <c r="BO375"/>
  <c r="BM375"/>
  <c r="Y375"/>
  <c r="BN375" s="1"/>
  <c r="P375"/>
  <c r="BO374"/>
  <c r="BM374"/>
  <c r="Y374"/>
  <c r="BP374" s="1"/>
  <c r="P374"/>
  <c r="BO373"/>
  <c r="BN373"/>
  <c r="BM373"/>
  <c r="Y373"/>
  <c r="BP373" s="1"/>
  <c r="P373"/>
  <c r="BO372"/>
  <c r="BM372"/>
  <c r="Y372"/>
  <c r="BP372" s="1"/>
  <c r="P372"/>
  <c r="X370"/>
  <c r="X369"/>
  <c r="BO368"/>
  <c r="BM368"/>
  <c r="Y368"/>
  <c r="BP368" s="1"/>
  <c r="P368"/>
  <c r="BO367"/>
  <c r="BM367"/>
  <c r="Y367"/>
  <c r="BP367" s="1"/>
  <c r="P367"/>
  <c r="BO366"/>
  <c r="BM366"/>
  <c r="Y366"/>
  <c r="Z366" s="1"/>
  <c r="P366"/>
  <c r="BO365"/>
  <c r="BN365"/>
  <c r="BM365"/>
  <c r="Y365"/>
  <c r="BP365" s="1"/>
  <c r="P365"/>
  <c r="BO364"/>
  <c r="BM364"/>
  <c r="Y364"/>
  <c r="BP364" s="1"/>
  <c r="P364"/>
  <c r="BO363"/>
  <c r="BM363"/>
  <c r="Y363"/>
  <c r="BP363" s="1"/>
  <c r="P363"/>
  <c r="BO362"/>
  <c r="BM362"/>
  <c r="Y362"/>
  <c r="BP362" s="1"/>
  <c r="P362"/>
  <c r="X360"/>
  <c r="X359"/>
  <c r="BO358"/>
  <c r="BM358"/>
  <c r="Y358"/>
  <c r="BN358" s="1"/>
  <c r="P358"/>
  <c r="BO357"/>
  <c r="BM357"/>
  <c r="Z357"/>
  <c r="Y357"/>
  <c r="BP357" s="1"/>
  <c r="P357"/>
  <c r="BO356"/>
  <c r="BM356"/>
  <c r="Y356"/>
  <c r="Z356" s="1"/>
  <c r="P356"/>
  <c r="BO355"/>
  <c r="BM355"/>
  <c r="Y355"/>
  <c r="BN355" s="1"/>
  <c r="P355"/>
  <c r="BO354"/>
  <c r="BM354"/>
  <c r="Y354"/>
  <c r="BP354" s="1"/>
  <c r="P354"/>
  <c r="BO353"/>
  <c r="BM353"/>
  <c r="Y353"/>
  <c r="BP353" s="1"/>
  <c r="P353"/>
  <c r="X350"/>
  <c r="X349"/>
  <c r="BO348"/>
  <c r="BM348"/>
  <c r="Y348"/>
  <c r="BP348" s="1"/>
  <c r="P348"/>
  <c r="BO347"/>
  <c r="BN347"/>
  <c r="BM347"/>
  <c r="Y347"/>
  <c r="BP347" s="1"/>
  <c r="P347"/>
  <c r="BO346"/>
  <c r="BM346"/>
  <c r="Y346"/>
  <c r="Y350" s="1"/>
  <c r="P346"/>
  <c r="X343"/>
  <c r="X342"/>
  <c r="BO341"/>
  <c r="BM341"/>
  <c r="Y341"/>
  <c r="BN341" s="1"/>
  <c r="P341"/>
  <c r="BO340"/>
  <c r="BM340"/>
  <c r="Y340"/>
  <c r="P340"/>
  <c r="X338"/>
  <c r="X337"/>
  <c r="BO336"/>
  <c r="BM336"/>
  <c r="Y336"/>
  <c r="BP336" s="1"/>
  <c r="P336"/>
  <c r="BO335"/>
  <c r="BM335"/>
  <c r="Y335"/>
  <c r="Y337" s="1"/>
  <c r="P335"/>
  <c r="BO334"/>
  <c r="BN334"/>
  <c r="BM334"/>
  <c r="Y334"/>
  <c r="BP334" s="1"/>
  <c r="P334"/>
  <c r="BO333"/>
  <c r="BM333"/>
  <c r="Y333"/>
  <c r="BP333" s="1"/>
  <c r="P333"/>
  <c r="BP332"/>
  <c r="BO332"/>
  <c r="BN332"/>
  <c r="BM332"/>
  <c r="Z332"/>
  <c r="Y332"/>
  <c r="P332"/>
  <c r="Y329"/>
  <c r="X329"/>
  <c r="X328"/>
  <c r="BO327"/>
  <c r="BM327"/>
  <c r="Y327"/>
  <c r="BP327" s="1"/>
  <c r="P327"/>
  <c r="BO326"/>
  <c r="BN326"/>
  <c r="BM326"/>
  <c r="Y326"/>
  <c r="Z326" s="1"/>
  <c r="P326"/>
  <c r="BO325"/>
  <c r="BM325"/>
  <c r="Y325"/>
  <c r="BP325" s="1"/>
  <c r="P325"/>
  <c r="X322"/>
  <c r="X321"/>
  <c r="BO320"/>
  <c r="BM320"/>
  <c r="Y320"/>
  <c r="Z320" s="1"/>
  <c r="P320"/>
  <c r="BO319"/>
  <c r="BM319"/>
  <c r="Y319"/>
  <c r="BN319" s="1"/>
  <c r="P319"/>
  <c r="BO318"/>
  <c r="BM318"/>
  <c r="Y318"/>
  <c r="BP318" s="1"/>
  <c r="P318"/>
  <c r="BO317"/>
  <c r="BM317"/>
  <c r="Y317"/>
  <c r="BP317" s="1"/>
  <c r="P317"/>
  <c r="BO316"/>
  <c r="BM316"/>
  <c r="Y316"/>
  <c r="BP316" s="1"/>
  <c r="P316"/>
  <c r="X313"/>
  <c r="X312"/>
  <c r="BO311"/>
  <c r="BM311"/>
  <c r="Y311"/>
  <c r="BP311" s="1"/>
  <c r="P311"/>
  <c r="BO310"/>
  <c r="BM310"/>
  <c r="Z310"/>
  <c r="Y310"/>
  <c r="BP310" s="1"/>
  <c r="P310"/>
  <c r="BO309"/>
  <c r="BM309"/>
  <c r="Y309"/>
  <c r="Z309" s="1"/>
  <c r="P309"/>
  <c r="X307"/>
  <c r="X306"/>
  <c r="BO305"/>
  <c r="BM305"/>
  <c r="Y305"/>
  <c r="Y307" s="1"/>
  <c r="P305"/>
  <c r="X303"/>
  <c r="X302"/>
  <c r="BO301"/>
  <c r="BN301"/>
  <c r="BM301"/>
  <c r="Y301"/>
  <c r="BP301" s="1"/>
  <c r="P301"/>
  <c r="X299"/>
  <c r="X298"/>
  <c r="BO297"/>
  <c r="BM297"/>
  <c r="Y297"/>
  <c r="Z297" s="1"/>
  <c r="P297"/>
  <c r="BO296"/>
  <c r="BN296"/>
  <c r="BM296"/>
  <c r="Y296"/>
  <c r="BP296" s="1"/>
  <c r="P296"/>
  <c r="BO295"/>
  <c r="BM295"/>
  <c r="Y295"/>
  <c r="BP295" s="1"/>
  <c r="P295"/>
  <c r="BO294"/>
  <c r="BM294"/>
  <c r="Y294"/>
  <c r="BP294" s="1"/>
  <c r="P294"/>
  <c r="BO293"/>
  <c r="BM293"/>
  <c r="Y293"/>
  <c r="BP293" s="1"/>
  <c r="P293"/>
  <c r="BO292"/>
  <c r="BM292"/>
  <c r="Y292"/>
  <c r="Z292" s="1"/>
  <c r="P292"/>
  <c r="BO291"/>
  <c r="BN291"/>
  <c r="BM291"/>
  <c r="Y291"/>
  <c r="BP291" s="1"/>
  <c r="P291"/>
  <c r="X288"/>
  <c r="X287"/>
  <c r="BO286"/>
  <c r="BM286"/>
  <c r="Y286"/>
  <c r="Z286" s="1"/>
  <c r="P286"/>
  <c r="BO285"/>
  <c r="BN285"/>
  <c r="BM285"/>
  <c r="Y285"/>
  <c r="BP285" s="1"/>
  <c r="P285"/>
  <c r="X283"/>
  <c r="X282"/>
  <c r="BO281"/>
  <c r="BM281"/>
  <c r="Z281"/>
  <c r="Y281"/>
  <c r="BN281" s="1"/>
  <c r="P281"/>
  <c r="BO280"/>
  <c r="BM280"/>
  <c r="Y280"/>
  <c r="BP280" s="1"/>
  <c r="P280"/>
  <c r="BO279"/>
  <c r="BM279"/>
  <c r="Y279"/>
  <c r="BP279" s="1"/>
  <c r="P279"/>
  <c r="BO278"/>
  <c r="BN278"/>
  <c r="BM278"/>
  <c r="Y278"/>
  <c r="BP278" s="1"/>
  <c r="P278"/>
  <c r="BO277"/>
  <c r="BM277"/>
  <c r="Z277"/>
  <c r="Y277"/>
  <c r="BP277" s="1"/>
  <c r="P277"/>
  <c r="BO276"/>
  <c r="BM276"/>
  <c r="Y276"/>
  <c r="Z276" s="1"/>
  <c r="P276"/>
  <c r="BO275"/>
  <c r="BM275"/>
  <c r="Y275"/>
  <c r="BN275" s="1"/>
  <c r="P275"/>
  <c r="BO274"/>
  <c r="BM274"/>
  <c r="Y274"/>
  <c r="BP274" s="1"/>
  <c r="P274"/>
  <c r="BO273"/>
  <c r="BM273"/>
  <c r="Y273"/>
  <c r="BP273" s="1"/>
  <c r="P273"/>
  <c r="BO272"/>
  <c r="BM272"/>
  <c r="Y272"/>
  <c r="BP272" s="1"/>
  <c r="P272"/>
  <c r="BO271"/>
  <c r="BN271"/>
  <c r="BM271"/>
  <c r="Y271"/>
  <c r="Z271" s="1"/>
  <c r="P271"/>
  <c r="BO270"/>
  <c r="BN270"/>
  <c r="BM270"/>
  <c r="Y270"/>
  <c r="BP270" s="1"/>
  <c r="P270"/>
  <c r="X268"/>
  <c r="X267"/>
  <c r="BO266"/>
  <c r="BM266"/>
  <c r="Y266"/>
  <c r="Z266" s="1"/>
  <c r="P266"/>
  <c r="BO265"/>
  <c r="BM265"/>
  <c r="Y265"/>
  <c r="BN265" s="1"/>
  <c r="P265"/>
  <c r="BO264"/>
  <c r="BM264"/>
  <c r="Y264"/>
  <c r="BP264" s="1"/>
  <c r="P264"/>
  <c r="BO263"/>
  <c r="BM263"/>
  <c r="Y263"/>
  <c r="BP263" s="1"/>
  <c r="P263"/>
  <c r="BO262"/>
  <c r="BM262"/>
  <c r="Y262"/>
  <c r="BP262" s="1"/>
  <c r="P262"/>
  <c r="BO261"/>
  <c r="BN261"/>
  <c r="BM261"/>
  <c r="Y261"/>
  <c r="Z261" s="1"/>
  <c r="P261"/>
  <c r="BO260"/>
  <c r="BN260"/>
  <c r="BM260"/>
  <c r="Y260"/>
  <c r="BP260" s="1"/>
  <c r="P260"/>
  <c r="BO259"/>
  <c r="BM259"/>
  <c r="Y259"/>
  <c r="P259"/>
  <c r="X257"/>
  <c r="X256"/>
  <c r="BP255"/>
  <c r="BO255"/>
  <c r="BM255"/>
  <c r="Z255"/>
  <c r="Y255"/>
  <c r="BN255" s="1"/>
  <c r="P255"/>
  <c r="BO254"/>
  <c r="BM254"/>
  <c r="Y254"/>
  <c r="BP254" s="1"/>
  <c r="P254"/>
  <c r="X252"/>
  <c r="X251"/>
  <c r="BO250"/>
  <c r="BM250"/>
  <c r="Y250"/>
  <c r="BP250" s="1"/>
  <c r="P250"/>
  <c r="BO249"/>
  <c r="BM249"/>
  <c r="Y249"/>
  <c r="Y252" s="1"/>
  <c r="P249"/>
  <c r="X246"/>
  <c r="X245"/>
  <c r="BO244"/>
  <c r="BM244"/>
  <c r="Z244"/>
  <c r="Z245" s="1"/>
  <c r="Y244"/>
  <c r="Y245" s="1"/>
  <c r="P244"/>
  <c r="X242"/>
  <c r="Y241"/>
  <c r="X241"/>
  <c r="BO240"/>
  <c r="BM240"/>
  <c r="Y240"/>
  <c r="BP240" s="1"/>
  <c r="P240"/>
  <c r="BO239"/>
  <c r="BM239"/>
  <c r="Y239"/>
  <c r="BP239" s="1"/>
  <c r="P239"/>
  <c r="BO238"/>
  <c r="BN238"/>
  <c r="BM238"/>
  <c r="Y238"/>
  <c r="Z238" s="1"/>
  <c r="P238"/>
  <c r="X236"/>
  <c r="X235"/>
  <c r="BP234"/>
  <c r="BO234"/>
  <c r="BN234"/>
  <c r="BM234"/>
  <c r="Z234"/>
  <c r="Y234"/>
  <c r="P234"/>
  <c r="BO233"/>
  <c r="BM233"/>
  <c r="Y233"/>
  <c r="Z233" s="1"/>
  <c r="P233"/>
  <c r="BO232"/>
  <c r="BM232"/>
  <c r="Y232"/>
  <c r="BP232" s="1"/>
  <c r="P232"/>
  <c r="BO231"/>
  <c r="BM231"/>
  <c r="Y231"/>
  <c r="BP231" s="1"/>
  <c r="P231"/>
  <c r="BO230"/>
  <c r="BN230"/>
  <c r="BM230"/>
  <c r="Y230"/>
  <c r="BP230" s="1"/>
  <c r="P230"/>
  <c r="X228"/>
  <c r="X227"/>
  <c r="BO226"/>
  <c r="BM226"/>
  <c r="Y226"/>
  <c r="BP226" s="1"/>
  <c r="P226"/>
  <c r="BP225"/>
  <c r="BO225"/>
  <c r="BN225"/>
  <c r="BM225"/>
  <c r="Z225"/>
  <c r="Y225"/>
  <c r="P225"/>
  <c r="BO224"/>
  <c r="BM224"/>
  <c r="Y224"/>
  <c r="BN224" s="1"/>
  <c r="P224"/>
  <c r="BO223"/>
  <c r="BM223"/>
  <c r="Y223"/>
  <c r="Z223" s="1"/>
  <c r="P223"/>
  <c r="BP222"/>
  <c r="BO222"/>
  <c r="BN222"/>
  <c r="BM222"/>
  <c r="Z222"/>
  <c r="Y222"/>
  <c r="P222"/>
  <c r="BO221"/>
  <c r="BM221"/>
  <c r="Y221"/>
  <c r="BP221" s="1"/>
  <c r="P221"/>
  <c r="BO220"/>
  <c r="BM220"/>
  <c r="Y220"/>
  <c r="BP220" s="1"/>
  <c r="P220"/>
  <c r="BO219"/>
  <c r="BM219"/>
  <c r="Y219"/>
  <c r="BP219" s="1"/>
  <c r="P219"/>
  <c r="BO218"/>
  <c r="BM218"/>
  <c r="Y218"/>
  <c r="Z218" s="1"/>
  <c r="P218"/>
  <c r="BO217"/>
  <c r="BN217"/>
  <c r="BM217"/>
  <c r="Y217"/>
  <c r="Z217" s="1"/>
  <c r="P217"/>
  <c r="BO216"/>
  <c r="BM216"/>
  <c r="Y216"/>
  <c r="P216"/>
  <c r="BP215"/>
  <c r="BO215"/>
  <c r="BM215"/>
  <c r="Z215"/>
  <c r="Y215"/>
  <c r="BN215" s="1"/>
  <c r="P215"/>
  <c r="BO214"/>
  <c r="BM214"/>
  <c r="Y214"/>
  <c r="BP214" s="1"/>
  <c r="P214"/>
  <c r="BP213"/>
  <c r="BO213"/>
  <c r="BN213"/>
  <c r="BM213"/>
  <c r="Z213"/>
  <c r="Y213"/>
  <c r="P213"/>
  <c r="Y211"/>
  <c r="X211"/>
  <c r="X210"/>
  <c r="BO209"/>
  <c r="BM209"/>
  <c r="Y209"/>
  <c r="Y210" s="1"/>
  <c r="P209"/>
  <c r="X206"/>
  <c r="X205"/>
  <c r="BP204"/>
  <c r="BO204"/>
  <c r="BN204"/>
  <c r="BM204"/>
  <c r="Z204"/>
  <c r="Y204"/>
  <c r="P204"/>
  <c r="BP203"/>
  <c r="BO203"/>
  <c r="BM203"/>
  <c r="Z203"/>
  <c r="Y203"/>
  <c r="BN203" s="1"/>
  <c r="P203"/>
  <c r="BO202"/>
  <c r="BM202"/>
  <c r="Y202"/>
  <c r="Z202" s="1"/>
  <c r="P202"/>
  <c r="BP201"/>
  <c r="BO201"/>
  <c r="BM201"/>
  <c r="Z201"/>
  <c r="Y201"/>
  <c r="BN201" s="1"/>
  <c r="P201"/>
  <c r="BO200"/>
  <c r="BM200"/>
  <c r="Y200"/>
  <c r="BP200" s="1"/>
  <c r="P200"/>
  <c r="BO199"/>
  <c r="BN199"/>
  <c r="BM199"/>
  <c r="Y199"/>
  <c r="BP199" s="1"/>
  <c r="P199"/>
  <c r="BO198"/>
  <c r="BM198"/>
  <c r="Y198"/>
  <c r="BP198" s="1"/>
  <c r="P198"/>
  <c r="Y194"/>
  <c r="X194"/>
  <c r="X193"/>
  <c r="BP192"/>
  <c r="BO192"/>
  <c r="BM192"/>
  <c r="Z192"/>
  <c r="Z193" s="1"/>
  <c r="Y192"/>
  <c r="Y193" s="1"/>
  <c r="P192"/>
  <c r="Y190"/>
  <c r="X190"/>
  <c r="X189"/>
  <c r="BP188"/>
  <c r="BO188"/>
  <c r="BM188"/>
  <c r="Z188"/>
  <c r="Y188"/>
  <c r="BN188" s="1"/>
  <c r="P188"/>
  <c r="BO187"/>
  <c r="BM187"/>
  <c r="Y187"/>
  <c r="BN187" s="1"/>
  <c r="P187"/>
  <c r="X185"/>
  <c r="X184"/>
  <c r="BO183"/>
  <c r="BM183"/>
  <c r="Y183"/>
  <c r="Z183" s="1"/>
  <c r="P183"/>
  <c r="BO182"/>
  <c r="BM182"/>
  <c r="Y182"/>
  <c r="BN182" s="1"/>
  <c r="P182"/>
  <c r="BO181"/>
  <c r="BM181"/>
  <c r="Y181"/>
  <c r="P181"/>
  <c r="X179"/>
  <c r="X178"/>
  <c r="BP177"/>
  <c r="BO177"/>
  <c r="BM177"/>
  <c r="Z177"/>
  <c r="Y177"/>
  <c r="BN177" s="1"/>
  <c r="P177"/>
  <c r="BO176"/>
  <c r="BM176"/>
  <c r="Y176"/>
  <c r="BP176" s="1"/>
  <c r="P176"/>
  <c r="BO175"/>
  <c r="BN175"/>
  <c r="BM175"/>
  <c r="Y175"/>
  <c r="BP175" s="1"/>
  <c r="P175"/>
  <c r="BO174"/>
  <c r="BM174"/>
  <c r="Y174"/>
  <c r="BP174" s="1"/>
  <c r="P174"/>
  <c r="BO173"/>
  <c r="BN173"/>
  <c r="BM173"/>
  <c r="Y173"/>
  <c r="Z173" s="1"/>
  <c r="P173"/>
  <c r="BO172"/>
  <c r="BM172"/>
  <c r="Y172"/>
  <c r="BN172" s="1"/>
  <c r="P172"/>
  <c r="BO171"/>
  <c r="BM171"/>
  <c r="Y171"/>
  <c r="BP171" s="1"/>
  <c r="P171"/>
  <c r="BP170"/>
  <c r="BO170"/>
  <c r="BN170"/>
  <c r="BM170"/>
  <c r="Z170"/>
  <c r="Y170"/>
  <c r="P170"/>
  <c r="BO169"/>
  <c r="BM169"/>
  <c r="Z169"/>
  <c r="Y169"/>
  <c r="BP169" s="1"/>
  <c r="P169"/>
  <c r="BO168"/>
  <c r="BM168"/>
  <c r="Y168"/>
  <c r="BN168" s="1"/>
  <c r="P168"/>
  <c r="BO167"/>
  <c r="BM167"/>
  <c r="Y167"/>
  <c r="BN167" s="1"/>
  <c r="P167"/>
  <c r="BO166"/>
  <c r="BM166"/>
  <c r="Z166"/>
  <c r="Y166"/>
  <c r="BP166" s="1"/>
  <c r="P166"/>
  <c r="Y164"/>
  <c r="X164"/>
  <c r="Y163"/>
  <c r="X163"/>
  <c r="BP162"/>
  <c r="BO162"/>
  <c r="BM162"/>
  <c r="Y162"/>
  <c r="BN162" s="1"/>
  <c r="P162"/>
  <c r="X160"/>
  <c r="X159"/>
  <c r="BO158"/>
  <c r="BM158"/>
  <c r="Y158"/>
  <c r="Z158" s="1"/>
  <c r="P158"/>
  <c r="BO157"/>
  <c r="BM157"/>
  <c r="Y157"/>
  <c r="BN157" s="1"/>
  <c r="P157"/>
  <c r="BO156"/>
  <c r="BM156"/>
  <c r="Y156"/>
  <c r="Y160" s="1"/>
  <c r="P156"/>
  <c r="X153"/>
  <c r="X152"/>
  <c r="BO151"/>
  <c r="BM151"/>
  <c r="Y151"/>
  <c r="BP151" s="1"/>
  <c r="P151"/>
  <c r="BO150"/>
  <c r="BM150"/>
  <c r="Y150"/>
  <c r="P150"/>
  <c r="BP149"/>
  <c r="BO149"/>
  <c r="BM149"/>
  <c r="Z149"/>
  <c r="Y149"/>
  <c r="BN149" s="1"/>
  <c r="P149"/>
  <c r="BO148"/>
  <c r="BM148"/>
  <c r="Y148"/>
  <c r="I552" s="1"/>
  <c r="P148"/>
  <c r="X145"/>
  <c r="X144"/>
  <c r="BO143"/>
  <c r="BM143"/>
  <c r="Y143"/>
  <c r="BN143" s="1"/>
  <c r="P143"/>
  <c r="BO142"/>
  <c r="BM142"/>
  <c r="Y142"/>
  <c r="Y144" s="1"/>
  <c r="P142"/>
  <c r="X140"/>
  <c r="Y139"/>
  <c r="X139"/>
  <c r="BO138"/>
  <c r="BM138"/>
  <c r="Y138"/>
  <c r="BN138" s="1"/>
  <c r="P138"/>
  <c r="BO137"/>
  <c r="BM137"/>
  <c r="Y137"/>
  <c r="BP137" s="1"/>
  <c r="P137"/>
  <c r="Y135"/>
  <c r="X135"/>
  <c r="X134"/>
  <c r="BP133"/>
  <c r="BO133"/>
  <c r="BM133"/>
  <c r="Z133"/>
  <c r="Y133"/>
  <c r="BN133" s="1"/>
  <c r="P133"/>
  <c r="BO132"/>
  <c r="BM132"/>
  <c r="Y132"/>
  <c r="H552" s="1"/>
  <c r="P132"/>
  <c r="X129"/>
  <c r="X128"/>
  <c r="BO127"/>
  <c r="BM127"/>
  <c r="Y127"/>
  <c r="Y129" s="1"/>
  <c r="P127"/>
  <c r="X125"/>
  <c r="X124"/>
  <c r="BP123"/>
  <c r="BO123"/>
  <c r="BN123"/>
  <c r="BM123"/>
  <c r="Z123"/>
  <c r="Y123"/>
  <c r="P123"/>
  <c r="BO122"/>
  <c r="BM122"/>
  <c r="Z122"/>
  <c r="Y122"/>
  <c r="BP122" s="1"/>
  <c r="P122"/>
  <c r="BO121"/>
  <c r="BM121"/>
  <c r="Y121"/>
  <c r="BN121" s="1"/>
  <c r="P121"/>
  <c r="BO120"/>
  <c r="BM120"/>
  <c r="Y120"/>
  <c r="BN120" s="1"/>
  <c r="P120"/>
  <c r="X118"/>
  <c r="X117"/>
  <c r="BO116"/>
  <c r="BM116"/>
  <c r="Y116"/>
  <c r="Z116" s="1"/>
  <c r="P116"/>
  <c r="BO115"/>
  <c r="BM115"/>
  <c r="Y115"/>
  <c r="BN115" s="1"/>
  <c r="P115"/>
  <c r="BO114"/>
  <c r="BM114"/>
  <c r="Y114"/>
  <c r="BP114" s="1"/>
  <c r="P114"/>
  <c r="BO113"/>
  <c r="BM113"/>
  <c r="Y113"/>
  <c r="BN113" s="1"/>
  <c r="P113"/>
  <c r="BO112"/>
  <c r="BM112"/>
  <c r="Z112"/>
  <c r="Y112"/>
  <c r="BP112" s="1"/>
  <c r="P112"/>
  <c r="X110"/>
  <c r="X109"/>
  <c r="BO108"/>
  <c r="BN108"/>
  <c r="BM108"/>
  <c r="Y108"/>
  <c r="BP108" s="1"/>
  <c r="P108"/>
  <c r="BO107"/>
  <c r="BM107"/>
  <c r="Y107"/>
  <c r="BP107" s="1"/>
  <c r="P107"/>
  <c r="BO106"/>
  <c r="BN106"/>
  <c r="BM106"/>
  <c r="Y106"/>
  <c r="Z106" s="1"/>
  <c r="P106"/>
  <c r="BO105"/>
  <c r="BM105"/>
  <c r="Y105"/>
  <c r="BN105" s="1"/>
  <c r="P105"/>
  <c r="BO104"/>
  <c r="BM104"/>
  <c r="Y104"/>
  <c r="BP104" s="1"/>
  <c r="P104"/>
  <c r="BP103"/>
  <c r="BO103"/>
  <c r="BN103"/>
  <c r="BM103"/>
  <c r="Z103"/>
  <c r="Y103"/>
  <c r="P103"/>
  <c r="X100"/>
  <c r="X99"/>
  <c r="BO98"/>
  <c r="BM98"/>
  <c r="Y98"/>
  <c r="Z98" s="1"/>
  <c r="P98"/>
  <c r="BO97"/>
  <c r="BN97"/>
  <c r="BM97"/>
  <c r="Y97"/>
  <c r="BP97" s="1"/>
  <c r="P97"/>
  <c r="BO96"/>
  <c r="BM96"/>
  <c r="Y96"/>
  <c r="BP96" s="1"/>
  <c r="P96"/>
  <c r="BO95"/>
  <c r="BN95"/>
  <c r="BM95"/>
  <c r="Y95"/>
  <c r="Z95" s="1"/>
  <c r="P95"/>
  <c r="X93"/>
  <c r="X92"/>
  <c r="BO91"/>
  <c r="BM91"/>
  <c r="Y91"/>
  <c r="BN91" s="1"/>
  <c r="P91"/>
  <c r="BO90"/>
  <c r="BM90"/>
  <c r="Y90"/>
  <c r="Z90" s="1"/>
  <c r="P90"/>
  <c r="BO89"/>
  <c r="BM89"/>
  <c r="Y89"/>
  <c r="BN89" s="1"/>
  <c r="P89"/>
  <c r="BO88"/>
  <c r="BM88"/>
  <c r="Y88"/>
  <c r="F552" s="1"/>
  <c r="P88"/>
  <c r="X85"/>
  <c r="X84"/>
  <c r="BO83"/>
  <c r="BM83"/>
  <c r="Y83"/>
  <c r="BP83" s="1"/>
  <c r="P83"/>
  <c r="BO82"/>
  <c r="BM82"/>
  <c r="Y82"/>
  <c r="Y85" s="1"/>
  <c r="P82"/>
  <c r="Y80"/>
  <c r="X80"/>
  <c r="X79"/>
  <c r="BO78"/>
  <c r="BN78"/>
  <c r="BM78"/>
  <c r="Z78"/>
  <c r="Y78"/>
  <c r="BP78" s="1"/>
  <c r="P78"/>
  <c r="BP77"/>
  <c r="BO77"/>
  <c r="BM77"/>
  <c r="Z77"/>
  <c r="Z79" s="1"/>
  <c r="Y77"/>
  <c r="Y79" s="1"/>
  <c r="P77"/>
  <c r="Y75"/>
  <c r="X75"/>
  <c r="X74"/>
  <c r="BO73"/>
  <c r="BM73"/>
  <c r="Y73"/>
  <c r="BP73" s="1"/>
  <c r="P73"/>
  <c r="BO72"/>
  <c r="BN72"/>
  <c r="BM72"/>
  <c r="Y72"/>
  <c r="Z72" s="1"/>
  <c r="P72"/>
  <c r="BP71"/>
  <c r="BO71"/>
  <c r="BM71"/>
  <c r="Y71"/>
  <c r="BN71" s="1"/>
  <c r="P71"/>
  <c r="BO70"/>
  <c r="BM70"/>
  <c r="Y70"/>
  <c r="P70"/>
  <c r="X68"/>
  <c r="X67"/>
  <c r="BO66"/>
  <c r="BM66"/>
  <c r="Z66"/>
  <c r="Y66"/>
  <c r="BN66" s="1"/>
  <c r="P66"/>
  <c r="BO65"/>
  <c r="BM65"/>
  <c r="Y65"/>
  <c r="Z65" s="1"/>
  <c r="P65"/>
  <c r="BO64"/>
  <c r="BN64"/>
  <c r="BM64"/>
  <c r="Y64"/>
  <c r="BP64" s="1"/>
  <c r="P64"/>
  <c r="BO63"/>
  <c r="BM63"/>
  <c r="Y63"/>
  <c r="BP63" s="1"/>
  <c r="P63"/>
  <c r="BO62"/>
  <c r="BN62"/>
  <c r="BM62"/>
  <c r="Y62"/>
  <c r="Z62" s="1"/>
  <c r="P62"/>
  <c r="BO61"/>
  <c r="BM61"/>
  <c r="Y61"/>
  <c r="BN61" s="1"/>
  <c r="P61"/>
  <c r="BO60"/>
  <c r="BM60"/>
  <c r="Y60"/>
  <c r="BP60" s="1"/>
  <c r="P60"/>
  <c r="BO59"/>
  <c r="BN59"/>
  <c r="BM59"/>
  <c r="Y59"/>
  <c r="P59"/>
  <c r="X56"/>
  <c r="X55"/>
  <c r="BO54"/>
  <c r="BM54"/>
  <c r="Y54"/>
  <c r="BN54" s="1"/>
  <c r="P54"/>
  <c r="BO53"/>
  <c r="BN53"/>
  <c r="BM53"/>
  <c r="Y53"/>
  <c r="BP53" s="1"/>
  <c r="P53"/>
  <c r="BO52"/>
  <c r="BM52"/>
  <c r="Y52"/>
  <c r="BP52" s="1"/>
  <c r="P52"/>
  <c r="BO51"/>
  <c r="BN51"/>
  <c r="BM51"/>
  <c r="Y51"/>
  <c r="Z51" s="1"/>
  <c r="P51"/>
  <c r="X47"/>
  <c r="X46"/>
  <c r="BO45"/>
  <c r="BM45"/>
  <c r="Y45"/>
  <c r="BP45" s="1"/>
  <c r="P45"/>
  <c r="BO44"/>
  <c r="BM44"/>
  <c r="Y44"/>
  <c r="Z44" s="1"/>
  <c r="P44"/>
  <c r="BO43"/>
  <c r="BM43"/>
  <c r="Z43"/>
  <c r="Y43"/>
  <c r="BN43" s="1"/>
  <c r="P43"/>
  <c r="BO42"/>
  <c r="BM42"/>
  <c r="Y42"/>
  <c r="P42"/>
  <c r="BO41"/>
  <c r="BM41"/>
  <c r="Y41"/>
  <c r="BP41" s="1"/>
  <c r="P41"/>
  <c r="X37"/>
  <c r="X36"/>
  <c r="BO35"/>
  <c r="BM35"/>
  <c r="Y35"/>
  <c r="BN35" s="1"/>
  <c r="P35"/>
  <c r="X33"/>
  <c r="X32"/>
  <c r="BO31"/>
  <c r="BM31"/>
  <c r="Z31"/>
  <c r="Y31"/>
  <c r="BP31" s="1"/>
  <c r="P31"/>
  <c r="BP30"/>
  <c r="BO30"/>
  <c r="BM30"/>
  <c r="Z30"/>
  <c r="Y30"/>
  <c r="BN30" s="1"/>
  <c r="P30"/>
  <c r="BO29"/>
  <c r="BM29"/>
  <c r="Y29"/>
  <c r="BN29" s="1"/>
  <c r="P29"/>
  <c r="BO28"/>
  <c r="BM28"/>
  <c r="Y28"/>
  <c r="Z28" s="1"/>
  <c r="P28"/>
  <c r="BO27"/>
  <c r="BM27"/>
  <c r="Y27"/>
  <c r="BN27" s="1"/>
  <c r="P27"/>
  <c r="X25"/>
  <c r="X24"/>
  <c r="BO23"/>
  <c r="BM23"/>
  <c r="Y23"/>
  <c r="P23"/>
  <c r="BO22"/>
  <c r="X544" s="1"/>
  <c r="BM22"/>
  <c r="Y22"/>
  <c r="B552" s="1"/>
  <c r="P22"/>
  <c r="H10"/>
  <c r="A9"/>
  <c r="H9" s="1"/>
  <c r="D7"/>
  <c r="Q6"/>
  <c r="P2"/>
  <c r="V552" l="1"/>
  <c r="Z417"/>
  <c r="Y128"/>
  <c r="Z22"/>
  <c r="BP22"/>
  <c r="BP29"/>
  <c r="BN31"/>
  <c r="Y47"/>
  <c r="BP43"/>
  <c r="E552"/>
  <c r="Y67"/>
  <c r="Y74"/>
  <c r="BN77"/>
  <c r="Z89"/>
  <c r="BP89"/>
  <c r="G552"/>
  <c r="BN112"/>
  <c r="Z113"/>
  <c r="BP113"/>
  <c r="Z121"/>
  <c r="BP121"/>
  <c r="BP138"/>
  <c r="Y140"/>
  <c r="Y145"/>
  <c r="Z157"/>
  <c r="BP157"/>
  <c r="Z168"/>
  <c r="BP168"/>
  <c r="BP182"/>
  <c r="BN183"/>
  <c r="BP187"/>
  <c r="BN192"/>
  <c r="Y228"/>
  <c r="Z214"/>
  <c r="Y227"/>
  <c r="BP217"/>
  <c r="BN218"/>
  <c r="Z224"/>
  <c r="BP224"/>
  <c r="BN232"/>
  <c r="BN240"/>
  <c r="Z249"/>
  <c r="Y268"/>
  <c r="BN263"/>
  <c r="Z265"/>
  <c r="BP265"/>
  <c r="BN273"/>
  <c r="Z275"/>
  <c r="BP275"/>
  <c r="Z279"/>
  <c r="BP281"/>
  <c r="BN292"/>
  <c r="Y303"/>
  <c r="BN311"/>
  <c r="BN317"/>
  <c r="Z319"/>
  <c r="BP319"/>
  <c r="Z346"/>
  <c r="Z348"/>
  <c r="BN353"/>
  <c r="Z355"/>
  <c r="BP355"/>
  <c r="Z358"/>
  <c r="BP358"/>
  <c r="BN368"/>
  <c r="Z375"/>
  <c r="BP375"/>
  <c r="Z386"/>
  <c r="BP386"/>
  <c r="BP392"/>
  <c r="Z405"/>
  <c r="Z413"/>
  <c r="BP413"/>
  <c r="Z486"/>
  <c r="Z505"/>
  <c r="Z508"/>
  <c r="BP508"/>
  <c r="Y536"/>
  <c r="Y124"/>
  <c r="Y342"/>
  <c r="BP416"/>
  <c r="Y421"/>
  <c r="BP426"/>
  <c r="Y434"/>
  <c r="BP505"/>
  <c r="Y526"/>
  <c r="X543"/>
  <c r="X545" s="1"/>
  <c r="X546"/>
  <c r="Z27"/>
  <c r="BN41"/>
  <c r="Z59"/>
  <c r="BP59"/>
  <c r="BP115"/>
  <c r="BN116"/>
  <c r="BP120"/>
  <c r="BN122"/>
  <c r="Y125"/>
  <c r="Y134"/>
  <c r="BP143"/>
  <c r="Y152"/>
  <c r="BP167"/>
  <c r="BN169"/>
  <c r="Y178"/>
  <c r="Y185"/>
  <c r="Y189"/>
  <c r="BN220"/>
  <c r="BN244"/>
  <c r="Y246"/>
  <c r="Y256"/>
  <c r="BN277"/>
  <c r="Z278"/>
  <c r="Z285"/>
  <c r="BN294"/>
  <c r="Z296"/>
  <c r="R552"/>
  <c r="Z334"/>
  <c r="BN336"/>
  <c r="Y338"/>
  <c r="Y343"/>
  <c r="Z347"/>
  <c r="Z367"/>
  <c r="BP385"/>
  <c r="Y389"/>
  <c r="BN416"/>
  <c r="BP417"/>
  <c r="BN418"/>
  <c r="Z420"/>
  <c r="BN426"/>
  <c r="Z431"/>
  <c r="X552"/>
  <c r="Z461"/>
  <c r="BP474"/>
  <c r="Y481"/>
  <c r="Y482"/>
  <c r="Z493"/>
  <c r="BP507"/>
  <c r="BP510"/>
  <c r="AA552"/>
  <c r="BN520"/>
  <c r="Z525"/>
  <c r="Z533"/>
  <c r="Y179"/>
  <c r="Z287"/>
  <c r="BN22"/>
  <c r="Y25"/>
  <c r="X542"/>
  <c r="BP61"/>
  <c r="BP66"/>
  <c r="Y68"/>
  <c r="BP105"/>
  <c r="Y109"/>
  <c r="BP172"/>
  <c r="BN214"/>
  <c r="Z226"/>
  <c r="Z232"/>
  <c r="Y302"/>
  <c r="Z311"/>
  <c r="Z312" s="1"/>
  <c r="BN325"/>
  <c r="BP341"/>
  <c r="BN363"/>
  <c r="Z365"/>
  <c r="Z368"/>
  <c r="Y376"/>
  <c r="BP381"/>
  <c r="BN392"/>
  <c r="BP393"/>
  <c r="BN406"/>
  <c r="BN413"/>
  <c r="Y428"/>
  <c r="BP430"/>
  <c r="Z436"/>
  <c r="Z438" s="1"/>
  <c r="BP437"/>
  <c r="W552"/>
  <c r="Z460"/>
  <c r="BP524"/>
  <c r="Y531"/>
  <c r="Y535"/>
  <c r="Z470"/>
  <c r="BN90"/>
  <c r="BN202"/>
  <c r="Y205"/>
  <c r="BN223"/>
  <c r="BN233"/>
  <c r="Y257"/>
  <c r="BN266"/>
  <c r="BN276"/>
  <c r="BN286"/>
  <c r="BN297"/>
  <c r="BN309"/>
  <c r="Y312"/>
  <c r="BN320"/>
  <c r="BN356"/>
  <c r="Y359"/>
  <c r="BN366"/>
  <c r="Y369"/>
  <c r="Y377"/>
  <c r="BN398"/>
  <c r="Y401"/>
  <c r="Y422"/>
  <c r="Y445"/>
  <c r="BN468"/>
  <c r="J552"/>
  <c r="K552"/>
  <c r="Z176"/>
  <c r="Z200"/>
  <c r="BP202"/>
  <c r="Z221"/>
  <c r="BP223"/>
  <c r="Z231"/>
  <c r="BP233"/>
  <c r="Z254"/>
  <c r="Z256" s="1"/>
  <c r="Z264"/>
  <c r="BP266"/>
  <c r="Z274"/>
  <c r="BP276"/>
  <c r="BP286"/>
  <c r="Z295"/>
  <c r="BP297"/>
  <c r="BP309"/>
  <c r="Z318"/>
  <c r="BP320"/>
  <c r="Z354"/>
  <c r="BP356"/>
  <c r="Z364"/>
  <c r="BP366"/>
  <c r="Z374"/>
  <c r="BP398"/>
  <c r="Z407"/>
  <c r="Z419"/>
  <c r="Z442"/>
  <c r="Z444" s="1"/>
  <c r="BP468"/>
  <c r="Y502"/>
  <c r="Y512"/>
  <c r="L552"/>
  <c r="BN150"/>
  <c r="Z171"/>
  <c r="BP173"/>
  <c r="Z181"/>
  <c r="BP183"/>
  <c r="Y206"/>
  <c r="Z216"/>
  <c r="BP218"/>
  <c r="BN226"/>
  <c r="BP238"/>
  <c r="BN249"/>
  <c r="Z259"/>
  <c r="BP261"/>
  <c r="BP271"/>
  <c r="BN279"/>
  <c r="Y282"/>
  <c r="BP292"/>
  <c r="Y313"/>
  <c r="BP326"/>
  <c r="Z335"/>
  <c r="BN348"/>
  <c r="Y360"/>
  <c r="Y370"/>
  <c r="Z379"/>
  <c r="Y402"/>
  <c r="Z414"/>
  <c r="Z424"/>
  <c r="BN436"/>
  <c r="Z447"/>
  <c r="Z448" s="1"/>
  <c r="BN461"/>
  <c r="BN486"/>
  <c r="Z494"/>
  <c r="BN506"/>
  <c r="M552"/>
  <c r="BN176"/>
  <c r="BN200"/>
  <c r="BN221"/>
  <c r="BN231"/>
  <c r="Y242"/>
  <c r="BN254"/>
  <c r="BN264"/>
  <c r="Y267"/>
  <c r="BN274"/>
  <c r="Y287"/>
  <c r="BN295"/>
  <c r="Y298"/>
  <c r="Z305"/>
  <c r="Z306" s="1"/>
  <c r="BN318"/>
  <c r="Y321"/>
  <c r="Z340"/>
  <c r="BN354"/>
  <c r="BN364"/>
  <c r="BN374"/>
  <c r="Z394"/>
  <c r="BN407"/>
  <c r="BN419"/>
  <c r="BN442"/>
  <c r="Z452"/>
  <c r="Z464"/>
  <c r="Z489"/>
  <c r="Z499"/>
  <c r="Z509"/>
  <c r="O552"/>
  <c r="BP62"/>
  <c r="BP106"/>
  <c r="Z137"/>
  <c r="BN132"/>
  <c r="Z142"/>
  <c r="Z144" s="1"/>
  <c r="BN156"/>
  <c r="Y159"/>
  <c r="BP35"/>
  <c r="Z45"/>
  <c r="BN70"/>
  <c r="BP82"/>
  <c r="BN104"/>
  <c r="Y117"/>
  <c r="BN137"/>
  <c r="Z148"/>
  <c r="BP150"/>
  <c r="BN171"/>
  <c r="BN181"/>
  <c r="Y184"/>
  <c r="BN216"/>
  <c r="BP249"/>
  <c r="BN259"/>
  <c r="BN335"/>
  <c r="BN379"/>
  <c r="Y382"/>
  <c r="Y390"/>
  <c r="Z399"/>
  <c r="Z401" s="1"/>
  <c r="BN414"/>
  <c r="BN424"/>
  <c r="Y427"/>
  <c r="BP436"/>
  <c r="BN447"/>
  <c r="Z459"/>
  <c r="Z465" s="1"/>
  <c r="Z469"/>
  <c r="Y475"/>
  <c r="BP486"/>
  <c r="BN494"/>
  <c r="Z504"/>
  <c r="Z516"/>
  <c r="Z517" s="1"/>
  <c r="Y521"/>
  <c r="P552"/>
  <c r="Z35"/>
  <c r="Z36" s="1"/>
  <c r="Z54"/>
  <c r="BN23"/>
  <c r="BN60"/>
  <c r="Z91"/>
  <c r="BN114"/>
  <c r="F9"/>
  <c r="BN28"/>
  <c r="BP42"/>
  <c r="Z52"/>
  <c r="BP54"/>
  <c r="Z63"/>
  <c r="BP65"/>
  <c r="Z73"/>
  <c r="BP88"/>
  <c r="Z96"/>
  <c r="BP98"/>
  <c r="Z107"/>
  <c r="BP132"/>
  <c r="BN142"/>
  <c r="BP156"/>
  <c r="BN166"/>
  <c r="Z174"/>
  <c r="Z198"/>
  <c r="Z209"/>
  <c r="Z210" s="1"/>
  <c r="Z219"/>
  <c r="Z239"/>
  <c r="Z262"/>
  <c r="Z272"/>
  <c r="Y283"/>
  <c r="Z293"/>
  <c r="BN305"/>
  <c r="Z316"/>
  <c r="Z327"/>
  <c r="BN340"/>
  <c r="Z362"/>
  <c r="Z372"/>
  <c r="BN394"/>
  <c r="BP442"/>
  <c r="BN452"/>
  <c r="BN464"/>
  <c r="BN489"/>
  <c r="BN499"/>
  <c r="BN509"/>
  <c r="Q552"/>
  <c r="BN44"/>
  <c r="BN158"/>
  <c r="Z150"/>
  <c r="Y288"/>
  <c r="Y299"/>
  <c r="BN310"/>
  <c r="Y322"/>
  <c r="Z333"/>
  <c r="BP335"/>
  <c r="BN346"/>
  <c r="Y349"/>
  <c r="BN357"/>
  <c r="BN367"/>
  <c r="BP379"/>
  <c r="Z387"/>
  <c r="BN399"/>
  <c r="BP424"/>
  <c r="Z432"/>
  <c r="BP447"/>
  <c r="BN459"/>
  <c r="BN469"/>
  <c r="Z480"/>
  <c r="Z492"/>
  <c r="BN504"/>
  <c r="BN516"/>
  <c r="Z539"/>
  <c r="Z540" s="1"/>
  <c r="BP27"/>
  <c r="BP181"/>
  <c r="BP216"/>
  <c r="BP259"/>
  <c r="J9"/>
  <c r="BP28"/>
  <c r="BN52"/>
  <c r="Y55"/>
  <c r="BN63"/>
  <c r="BN73"/>
  <c r="Z83"/>
  <c r="BN96"/>
  <c r="Y99"/>
  <c r="BN107"/>
  <c r="Y118"/>
  <c r="Z127"/>
  <c r="Z128" s="1"/>
  <c r="BP142"/>
  <c r="Z151"/>
  <c r="BN174"/>
  <c r="BN198"/>
  <c r="BN209"/>
  <c r="BN219"/>
  <c r="BN239"/>
  <c r="Z250"/>
  <c r="BN262"/>
  <c r="BN272"/>
  <c r="Z280"/>
  <c r="BN293"/>
  <c r="BP305"/>
  <c r="BN316"/>
  <c r="BN327"/>
  <c r="BP340"/>
  <c r="BN362"/>
  <c r="BN372"/>
  <c r="Z392"/>
  <c r="Z395" s="1"/>
  <c r="BN405"/>
  <c r="Y408"/>
  <c r="BP452"/>
  <c r="Z462"/>
  <c r="Y476"/>
  <c r="Z487"/>
  <c r="Z495" s="1"/>
  <c r="BP499"/>
  <c r="Z507"/>
  <c r="Y522"/>
  <c r="BN533"/>
  <c r="S552"/>
  <c r="BP44"/>
  <c r="Z156"/>
  <c r="Z159" s="1"/>
  <c r="BP51"/>
  <c r="BP95"/>
  <c r="Z114"/>
  <c r="Y110"/>
  <c r="BP23"/>
  <c r="Y24"/>
  <c r="BP148"/>
  <c r="BN333"/>
  <c r="BP346"/>
  <c r="BN387"/>
  <c r="BN432"/>
  <c r="Y448"/>
  <c r="BP459"/>
  <c r="BN480"/>
  <c r="BN492"/>
  <c r="Y495"/>
  <c r="BP504"/>
  <c r="BP516"/>
  <c r="Y527"/>
  <c r="BN539"/>
  <c r="T552"/>
  <c r="Y36"/>
  <c r="A10"/>
  <c r="BP91"/>
  <c r="F10"/>
  <c r="Y37"/>
  <c r="Z61"/>
  <c r="Z71"/>
  <c r="BN83"/>
  <c r="Z105"/>
  <c r="Z115"/>
  <c r="BN127"/>
  <c r="Z138"/>
  <c r="BN151"/>
  <c r="Z162"/>
  <c r="Z163" s="1"/>
  <c r="Z172"/>
  <c r="Z182"/>
  <c r="BP209"/>
  <c r="BN250"/>
  <c r="Z260"/>
  <c r="Z270"/>
  <c r="BN280"/>
  <c r="Z291"/>
  <c r="Z298" s="1"/>
  <c r="Z301"/>
  <c r="Z302" s="1"/>
  <c r="Y306"/>
  <c r="Z325"/>
  <c r="Z336"/>
  <c r="Z380"/>
  <c r="Y395"/>
  <c r="BP405"/>
  <c r="Z415"/>
  <c r="Z425"/>
  <c r="Y465"/>
  <c r="U552"/>
  <c r="Z42"/>
  <c r="Z23"/>
  <c r="Z24" s="1"/>
  <c r="BP72"/>
  <c r="BN82"/>
  <c r="Z104"/>
  <c r="Z109" s="1"/>
  <c r="BP116"/>
  <c r="BN88"/>
  <c r="BN98"/>
  <c r="BN45"/>
  <c r="Z29"/>
  <c r="Y46"/>
  <c r="Y56"/>
  <c r="Y92"/>
  <c r="Y100"/>
  <c r="Z120"/>
  <c r="Z124" s="1"/>
  <c r="Z143"/>
  <c r="Z167"/>
  <c r="Z187"/>
  <c r="Z189" s="1"/>
  <c r="Y235"/>
  <c r="BP244"/>
  <c r="Z341"/>
  <c r="Z385"/>
  <c r="Z430"/>
  <c r="Z433" s="1"/>
  <c r="BP432"/>
  <c r="Z453"/>
  <c r="Z454" s="1"/>
  <c r="Y470"/>
  <c r="Z478"/>
  <c r="BP480"/>
  <c r="Z490"/>
  <c r="Z500"/>
  <c r="Z510"/>
  <c r="Y517"/>
  <c r="Z524"/>
  <c r="Z526" s="1"/>
  <c r="BP539"/>
  <c r="C552"/>
  <c r="Z88"/>
  <c r="BP90"/>
  <c r="Z132"/>
  <c r="Z134" s="1"/>
  <c r="BP158"/>
  <c r="Z60"/>
  <c r="Z70"/>
  <c r="Z74" s="1"/>
  <c r="BN42"/>
  <c r="BN65"/>
  <c r="BP70"/>
  <c r="BN148"/>
  <c r="BP127"/>
  <c r="Y328"/>
  <c r="Y496"/>
  <c r="D552"/>
  <c r="Z82"/>
  <c r="Y32"/>
  <c r="Z41"/>
  <c r="Z53"/>
  <c r="Z64"/>
  <c r="Z97"/>
  <c r="Z108"/>
  <c r="Z175"/>
  <c r="Z199"/>
  <c r="Z220"/>
  <c r="Z227" s="1"/>
  <c r="Z230"/>
  <c r="Z235" s="1"/>
  <c r="Z240"/>
  <c r="Z241" s="1"/>
  <c r="Z263"/>
  <c r="Z273"/>
  <c r="Z294"/>
  <c r="Z317"/>
  <c r="Z353"/>
  <c r="Z363"/>
  <c r="Z373"/>
  <c r="Z406"/>
  <c r="Z408" s="1"/>
  <c r="Z418"/>
  <c r="BN430"/>
  <c r="Y466"/>
  <c r="BN478"/>
  <c r="Z534"/>
  <c r="Y540"/>
  <c r="Y84"/>
  <c r="Y93"/>
  <c r="Y236"/>
  <c r="Y251"/>
  <c r="Y438"/>
  <c r="Y471"/>
  <c r="Y518"/>
  <c r="BN529"/>
  <c r="Y552"/>
  <c r="Y541"/>
  <c r="Y33"/>
  <c r="Y153"/>
  <c r="Z369" l="1"/>
  <c r="Z535"/>
  <c r="Z359"/>
  <c r="Z389"/>
  <c r="Z32"/>
  <c r="Z251"/>
  <c r="Y543"/>
  <c r="Z282"/>
  <c r="Y544"/>
  <c r="Z99"/>
  <c r="Z117"/>
  <c r="Z55"/>
  <c r="Z139"/>
  <c r="Z421"/>
  <c r="Z67"/>
  <c r="Z92"/>
  <c r="Y542"/>
  <c r="Z337"/>
  <c r="Z376"/>
  <c r="Z321"/>
  <c r="Z501"/>
  <c r="Z349"/>
  <c r="Z342"/>
  <c r="Z267"/>
  <c r="Z511"/>
  <c r="Z427"/>
  <c r="Z152"/>
  <c r="Z382"/>
  <c r="Z46"/>
  <c r="Z184"/>
  <c r="Z178"/>
  <c r="Z84"/>
  <c r="Z205"/>
  <c r="Y546"/>
  <c r="Z328"/>
  <c r="Z481"/>
  <c r="Y545" l="1"/>
  <c r="Z547"/>
</calcChain>
</file>

<file path=xl/sharedStrings.xml><?xml version="1.0" encoding="utf-8"?>
<sst xmlns="http://schemas.openxmlformats.org/spreadsheetml/2006/main" count="4117" uniqueCount="877">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</sst>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BP552"/>
  <sheetViews>
    <sheetView showGridLines="0" tabSelected="1" topLeftCell="F530" zoomScaleNormal="100" zoomScaleSheetLayoutView="100" workbookViewId="0">
      <selection activeCell="X508" sqref="X508"/>
    </sheetView>
  </sheetViews>
  <sheetFormatPr defaultColWidth="9.140625" defaultRowHeight="12.75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>
      <c r="A5" s="630" t="s">
        <v>8</v>
      </c>
      <c r="B5" s="630"/>
      <c r="C5" s="630"/>
      <c r="D5" s="631"/>
      <c r="E5" s="631"/>
      <c r="F5" s="632" t="s">
        <v>14</v>
      </c>
      <c r="G5" s="632"/>
      <c r="H5" s="631"/>
      <c r="I5" s="631"/>
      <c r="J5" s="631"/>
      <c r="K5" s="631"/>
      <c r="L5" s="631"/>
      <c r="M5" s="631"/>
      <c r="N5" s="72"/>
      <c r="P5" s="27" t="s">
        <v>4</v>
      </c>
      <c r="Q5" s="633">
        <v>46226</v>
      </c>
      <c r="R5" s="633"/>
      <c r="T5" s="634" t="s">
        <v>3</v>
      </c>
      <c r="U5" s="635"/>
      <c r="V5" s="636" t="s">
        <v>853</v>
      </c>
      <c r="W5" s="637"/>
      <c r="AB5" s="59"/>
      <c r="AC5" s="59"/>
      <c r="AD5" s="59"/>
      <c r="AE5" s="59"/>
    </row>
    <row r="6" spans="1:32" s="17" customFormat="1" ht="24" customHeight="1">
      <c r="A6" s="630" t="s">
        <v>1</v>
      </c>
      <c r="B6" s="630"/>
      <c r="C6" s="630"/>
      <c r="D6" s="638" t="s">
        <v>860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Четверг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>
      <c r="A7" s="64"/>
      <c r="B7" s="64"/>
      <c r="C7" s="64"/>
      <c r="D7" s="648" t="str">
        <f>IFERROR(VLOOKUP(DeliveryAddress,Table,3,0),1)</f>
        <v>3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0.41666666666666669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customHeight="1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customHeight="1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customHeight="1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customHeight="1">
      <c r="A22" s="63" t="s">
        <v>78</v>
      </c>
      <c r="B22" s="63" t="s">
        <v>79</v>
      </c>
      <c r="C22" s="36">
        <v>4301031278</v>
      </c>
      <c r="D22" s="697">
        <v>4680115886643</v>
      </c>
      <c r="E22" s="69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>
      <c r="A23" s="63" t="s">
        <v>83</v>
      </c>
      <c r="B23" s="63" t="s">
        <v>84</v>
      </c>
      <c r="C23" s="36">
        <v>4301031508</v>
      </c>
      <c r="D23" s="697">
        <v>4680115889071</v>
      </c>
      <c r="E23" s="69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9"/>
      <c r="R23" s="699"/>
      <c r="S23" s="699"/>
      <c r="T23" s="70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6"/>
      <c r="P24" s="702" t="s">
        <v>40</v>
      </c>
      <c r="Q24" s="703"/>
      <c r="R24" s="703"/>
      <c r="S24" s="703"/>
      <c r="T24" s="703"/>
      <c r="U24" s="703"/>
      <c r="V24" s="70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>
      <c r="A25" s="705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6"/>
      <c r="P25" s="702" t="s">
        <v>40</v>
      </c>
      <c r="Q25" s="703"/>
      <c r="R25" s="703"/>
      <c r="S25" s="703"/>
      <c r="T25" s="703"/>
      <c r="U25" s="703"/>
      <c r="V25" s="70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>
      <c r="A26" s="696" t="s">
        <v>86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6"/>
      <c r="AB26" s="66"/>
      <c r="AC26" s="80"/>
    </row>
    <row r="27" spans="1:68" ht="27" customHeight="1">
      <c r="A27" s="63" t="s">
        <v>87</v>
      </c>
      <c r="B27" s="63" t="s">
        <v>88</v>
      </c>
      <c r="C27" s="36">
        <v>4301051866</v>
      </c>
      <c r="D27" s="697">
        <v>4680115885912</v>
      </c>
      <c r="E27" s="69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>
      <c r="A28" s="63" t="s">
        <v>92</v>
      </c>
      <c r="B28" s="63" t="s">
        <v>93</v>
      </c>
      <c r="C28" s="36">
        <v>4301051776</v>
      </c>
      <c r="D28" s="697">
        <v>4607091388237</v>
      </c>
      <c r="E28" s="69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>
      <c r="A29" s="63" t="s">
        <v>94</v>
      </c>
      <c r="B29" s="63" t="s">
        <v>95</v>
      </c>
      <c r="C29" s="36">
        <v>4301052063</v>
      </c>
      <c r="D29" s="697">
        <v>4680115887350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>
      <c r="A30" s="63" t="s">
        <v>98</v>
      </c>
      <c r="B30" s="63" t="s">
        <v>99</v>
      </c>
      <c r="C30" s="36">
        <v>4301051863</v>
      </c>
      <c r="D30" s="697">
        <v>4680115885905</v>
      </c>
      <c r="E30" s="69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>
      <c r="A31" s="63" t="s">
        <v>101</v>
      </c>
      <c r="B31" s="63" t="s">
        <v>102</v>
      </c>
      <c r="C31" s="36">
        <v>4301052071</v>
      </c>
      <c r="D31" s="697">
        <v>4680115887619</v>
      </c>
      <c r="E31" s="69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9"/>
      <c r="R31" s="699"/>
      <c r="S31" s="699"/>
      <c r="T31" s="70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6"/>
      <c r="P32" s="702" t="s">
        <v>40</v>
      </c>
      <c r="Q32" s="703"/>
      <c r="R32" s="703"/>
      <c r="S32" s="703"/>
      <c r="T32" s="703"/>
      <c r="U32" s="703"/>
      <c r="V32" s="70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6"/>
      <c r="P33" s="702" t="s">
        <v>40</v>
      </c>
      <c r="Q33" s="703"/>
      <c r="R33" s="703"/>
      <c r="S33" s="703"/>
      <c r="T33" s="703"/>
      <c r="U33" s="703"/>
      <c r="V33" s="70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>
      <c r="A34" s="696" t="s">
        <v>104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6"/>
      <c r="AB34" s="66"/>
      <c r="AC34" s="80"/>
    </row>
    <row r="35" spans="1:68" ht="27" customHeight="1">
      <c r="A35" s="63" t="s">
        <v>105</v>
      </c>
      <c r="B35" s="63" t="s">
        <v>106</v>
      </c>
      <c r="C35" s="36">
        <v>4301032013</v>
      </c>
      <c r="D35" s="697">
        <v>4607091388503</v>
      </c>
      <c r="E35" s="69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9"/>
      <c r="R35" s="699"/>
      <c r="S35" s="699"/>
      <c r="T35" s="70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>
      <c r="A36" s="705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6"/>
      <c r="P36" s="702" t="s">
        <v>40</v>
      </c>
      <c r="Q36" s="703"/>
      <c r="R36" s="703"/>
      <c r="S36" s="703"/>
      <c r="T36" s="703"/>
      <c r="U36" s="703"/>
      <c r="V36" s="70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>
      <c r="A37" s="705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6"/>
      <c r="P37" s="702" t="s">
        <v>40</v>
      </c>
      <c r="Q37" s="703"/>
      <c r="R37" s="703"/>
      <c r="S37" s="703"/>
      <c r="T37" s="703"/>
      <c r="U37" s="703"/>
      <c r="V37" s="70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>
      <c r="A38" s="694" t="s">
        <v>45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694"/>
      <c r="V38" s="694"/>
      <c r="W38" s="694"/>
      <c r="X38" s="694"/>
      <c r="Y38" s="694"/>
      <c r="Z38" s="694"/>
      <c r="AA38" s="54"/>
      <c r="AB38" s="54"/>
      <c r="AC38" s="54"/>
    </row>
    <row r="39" spans="1:68" ht="16.5" customHeight="1">
      <c r="A39" s="695" t="s">
        <v>110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5"/>
      <c r="AB39" s="65"/>
      <c r="AC39" s="79"/>
    </row>
    <row r="40" spans="1:68" ht="14.25" customHeight="1">
      <c r="A40" s="696" t="s">
        <v>86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6"/>
      <c r="AB40" s="66"/>
      <c r="AC40" s="80"/>
    </row>
    <row r="41" spans="1:68" ht="27" customHeight="1">
      <c r="A41" s="63" t="s">
        <v>111</v>
      </c>
      <c r="B41" s="63" t="s">
        <v>112</v>
      </c>
      <c r="C41" s="36">
        <v>4301052187</v>
      </c>
      <c r="D41" s="697">
        <v>4680115889354</v>
      </c>
      <c r="E41" s="69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9"/>
      <c r="R41" s="699"/>
      <c r="S41" s="699"/>
      <c r="T41" s="70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>
      <c r="A42" s="63" t="s">
        <v>114</v>
      </c>
      <c r="B42" s="63" t="s">
        <v>115</v>
      </c>
      <c r="C42" s="36">
        <v>4301052198</v>
      </c>
      <c r="D42" s="697">
        <v>4680115888463</v>
      </c>
      <c r="E42" s="69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9"/>
      <c r="R42" s="699"/>
      <c r="S42" s="699"/>
      <c r="T42" s="70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>
      <c r="A43" s="63" t="s">
        <v>117</v>
      </c>
      <c r="B43" s="63" t="s">
        <v>118</v>
      </c>
      <c r="C43" s="36">
        <v>4301052202</v>
      </c>
      <c r="D43" s="697">
        <v>4680115888494</v>
      </c>
      <c r="E43" s="69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9"/>
      <c r="R43" s="699"/>
      <c r="S43" s="699"/>
      <c r="T43" s="70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>
      <c r="A44" s="63" t="s">
        <v>120</v>
      </c>
      <c r="B44" s="63" t="s">
        <v>121</v>
      </c>
      <c r="C44" s="36">
        <v>4301052184</v>
      </c>
      <c r="D44" s="697">
        <v>4680115888272</v>
      </c>
      <c r="E44" s="69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9"/>
      <c r="R44" s="699"/>
      <c r="S44" s="699"/>
      <c r="T44" s="70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>
      <c r="A45" s="63" t="s">
        <v>123</v>
      </c>
      <c r="B45" s="63" t="s">
        <v>124</v>
      </c>
      <c r="C45" s="36">
        <v>4301052188</v>
      </c>
      <c r="D45" s="697">
        <v>4680115888364</v>
      </c>
      <c r="E45" s="69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9"/>
      <c r="R45" s="699"/>
      <c r="S45" s="699"/>
      <c r="T45" s="70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>
      <c r="A46" s="705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6"/>
      <c r="P46" s="702" t="s">
        <v>40</v>
      </c>
      <c r="Q46" s="703"/>
      <c r="R46" s="703"/>
      <c r="S46" s="703"/>
      <c r="T46" s="703"/>
      <c r="U46" s="703"/>
      <c r="V46" s="70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6"/>
      <c r="P47" s="702" t="s">
        <v>40</v>
      </c>
      <c r="Q47" s="703"/>
      <c r="R47" s="703"/>
      <c r="S47" s="703"/>
      <c r="T47" s="703"/>
      <c r="U47" s="703"/>
      <c r="V47" s="70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>
      <c r="A48" s="694" t="s">
        <v>126</v>
      </c>
      <c r="B48" s="694"/>
      <c r="C48" s="694"/>
      <c r="D48" s="694"/>
      <c r="E48" s="694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54"/>
      <c r="AB48" s="54"/>
      <c r="AC48" s="54"/>
    </row>
    <row r="49" spans="1:68" ht="16.5" customHeight="1">
      <c r="A49" s="695" t="s">
        <v>127</v>
      </c>
      <c r="B49" s="695"/>
      <c r="C49" s="695"/>
      <c r="D49" s="695"/>
      <c r="E49" s="695"/>
      <c r="F49" s="695"/>
      <c r="G49" s="695"/>
      <c r="H49" s="695"/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5"/>
      <c r="AB49" s="65"/>
      <c r="AC49" s="79"/>
    </row>
    <row r="50" spans="1:68" ht="14.25" customHeight="1">
      <c r="A50" s="696" t="s">
        <v>128</v>
      </c>
      <c r="B50" s="696"/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96"/>
      <c r="Q50" s="696"/>
      <c r="R50" s="696"/>
      <c r="S50" s="696"/>
      <c r="T50" s="696"/>
      <c r="U50" s="696"/>
      <c r="V50" s="696"/>
      <c r="W50" s="696"/>
      <c r="X50" s="696"/>
      <c r="Y50" s="696"/>
      <c r="Z50" s="696"/>
      <c r="AA50" s="66"/>
      <c r="AB50" s="66"/>
      <c r="AC50" s="80"/>
    </row>
    <row r="51" spans="1:68" ht="16.5" customHeight="1">
      <c r="A51" s="63" t="s">
        <v>129</v>
      </c>
      <c r="B51" s="63" t="s">
        <v>130</v>
      </c>
      <c r="C51" s="36">
        <v>4301011380</v>
      </c>
      <c r="D51" s="697">
        <v>4607091385670</v>
      </c>
      <c r="E51" s="69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9"/>
      <c r="R51" s="699"/>
      <c r="S51" s="699"/>
      <c r="T51" s="70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>
      <c r="A52" s="63" t="s">
        <v>134</v>
      </c>
      <c r="B52" s="63" t="s">
        <v>135</v>
      </c>
      <c r="C52" s="36">
        <v>4301012053</v>
      </c>
      <c r="D52" s="697">
        <v>4680115887725</v>
      </c>
      <c r="E52" s="69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9"/>
      <c r="R52" s="699"/>
      <c r="S52" s="699"/>
      <c r="T52" s="70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>
      <c r="A53" s="63" t="s">
        <v>138</v>
      </c>
      <c r="B53" s="63" t="s">
        <v>139</v>
      </c>
      <c r="C53" s="36">
        <v>4301011382</v>
      </c>
      <c r="D53" s="697">
        <v>4607091385687</v>
      </c>
      <c r="E53" s="69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9"/>
      <c r="R53" s="699"/>
      <c r="S53" s="699"/>
      <c r="T53" s="70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>
      <c r="A54" s="63" t="s">
        <v>141</v>
      </c>
      <c r="B54" s="63" t="s">
        <v>142</v>
      </c>
      <c r="C54" s="36">
        <v>4301011565</v>
      </c>
      <c r="D54" s="697">
        <v>4680115882539</v>
      </c>
      <c r="E54" s="69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>
      <c r="A55" s="705"/>
      <c r="B55" s="705"/>
      <c r="C55" s="705"/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6"/>
      <c r="P55" s="702" t="s">
        <v>40</v>
      </c>
      <c r="Q55" s="703"/>
      <c r="R55" s="703"/>
      <c r="S55" s="703"/>
      <c r="T55" s="703"/>
      <c r="U55" s="703"/>
      <c r="V55" s="70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6"/>
      <c r="P56" s="702" t="s">
        <v>40</v>
      </c>
      <c r="Q56" s="703"/>
      <c r="R56" s="703"/>
      <c r="S56" s="703"/>
      <c r="T56" s="703"/>
      <c r="U56" s="703"/>
      <c r="V56" s="70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>
      <c r="A57" s="695" t="s">
        <v>143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5"/>
      <c r="P57" s="695"/>
      <c r="Q57" s="695"/>
      <c r="R57" s="695"/>
      <c r="S57" s="695"/>
      <c r="T57" s="695"/>
      <c r="U57" s="695"/>
      <c r="V57" s="695"/>
      <c r="W57" s="695"/>
      <c r="X57" s="695"/>
      <c r="Y57" s="695"/>
      <c r="Z57" s="695"/>
      <c r="AA57" s="65"/>
      <c r="AB57" s="65"/>
      <c r="AC57" s="79"/>
    </row>
    <row r="58" spans="1:68" ht="14.25" customHeight="1">
      <c r="A58" s="696" t="s">
        <v>128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696"/>
      <c r="O58" s="696"/>
      <c r="P58" s="696"/>
      <c r="Q58" s="696"/>
      <c r="R58" s="696"/>
      <c r="S58" s="696"/>
      <c r="T58" s="696"/>
      <c r="U58" s="696"/>
      <c r="V58" s="696"/>
      <c r="W58" s="696"/>
      <c r="X58" s="696"/>
      <c r="Y58" s="696"/>
      <c r="Z58" s="696"/>
      <c r="AA58" s="66"/>
      <c r="AB58" s="66"/>
      <c r="AC58" s="80"/>
    </row>
    <row r="59" spans="1:68" ht="27" customHeight="1">
      <c r="A59" s="63" t="s">
        <v>144</v>
      </c>
      <c r="B59" s="63" t="s">
        <v>145</v>
      </c>
      <c r="C59" s="36">
        <v>4301012030</v>
      </c>
      <c r="D59" s="697">
        <v>4680115885882</v>
      </c>
      <c r="E59" s="69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>
      <c r="A60" s="63" t="s">
        <v>144</v>
      </c>
      <c r="B60" s="63" t="s">
        <v>147</v>
      </c>
      <c r="C60" s="36">
        <v>4301012161</v>
      </c>
      <c r="D60" s="697">
        <v>4680115885882</v>
      </c>
      <c r="E60" s="69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>
      <c r="A61" s="63" t="s">
        <v>149</v>
      </c>
      <c r="B61" s="63" t="s">
        <v>150</v>
      </c>
      <c r="C61" s="36">
        <v>4301011816</v>
      </c>
      <c r="D61" s="697">
        <v>4680115881426</v>
      </c>
      <c r="E61" s="69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>
      <c r="A62" s="63" t="s">
        <v>152</v>
      </c>
      <c r="B62" s="63" t="s">
        <v>153</v>
      </c>
      <c r="C62" s="36">
        <v>4301011386</v>
      </c>
      <c r="D62" s="697">
        <v>4680115880283</v>
      </c>
      <c r="E62" s="69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9"/>
      <c r="R62" s="699"/>
      <c r="S62" s="699"/>
      <c r="T62" s="70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>
      <c r="A63" s="63" t="s">
        <v>152</v>
      </c>
      <c r="B63" s="63" t="s">
        <v>155</v>
      </c>
      <c r="C63" s="36">
        <v>4301012259</v>
      </c>
      <c r="D63" s="697">
        <v>4680115880283</v>
      </c>
      <c r="E63" s="69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9"/>
      <c r="R63" s="699"/>
      <c r="S63" s="699"/>
      <c r="T63" s="70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>
      <c r="A64" s="63" t="s">
        <v>156</v>
      </c>
      <c r="B64" s="63" t="s">
        <v>157</v>
      </c>
      <c r="C64" s="36">
        <v>4301011806</v>
      </c>
      <c r="D64" s="697">
        <v>4680115881525</v>
      </c>
      <c r="E64" s="69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9"/>
      <c r="R64" s="699"/>
      <c r="S64" s="699"/>
      <c r="T64" s="70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>
      <c r="A65" s="63" t="s">
        <v>159</v>
      </c>
      <c r="B65" s="63" t="s">
        <v>160</v>
      </c>
      <c r="C65" s="36">
        <v>4301012165</v>
      </c>
      <c r="D65" s="697">
        <v>4680115885899</v>
      </c>
      <c r="E65" s="69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>
      <c r="A66" s="63" t="s">
        <v>161</v>
      </c>
      <c r="B66" s="63" t="s">
        <v>162</v>
      </c>
      <c r="C66" s="36">
        <v>4301011801</v>
      </c>
      <c r="D66" s="697">
        <v>4680115881419</v>
      </c>
      <c r="E66" s="69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>
      <c r="A67" s="705"/>
      <c r="B67" s="705"/>
      <c r="C67" s="705"/>
      <c r="D67" s="705"/>
      <c r="E67" s="705"/>
      <c r="F67" s="705"/>
      <c r="G67" s="705"/>
      <c r="H67" s="705"/>
      <c r="I67" s="705"/>
      <c r="J67" s="705"/>
      <c r="K67" s="705"/>
      <c r="L67" s="705"/>
      <c r="M67" s="705"/>
      <c r="N67" s="705"/>
      <c r="O67" s="706"/>
      <c r="P67" s="702" t="s">
        <v>40</v>
      </c>
      <c r="Q67" s="703"/>
      <c r="R67" s="703"/>
      <c r="S67" s="703"/>
      <c r="T67" s="703"/>
      <c r="U67" s="703"/>
      <c r="V67" s="70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6"/>
      <c r="P68" s="702" t="s">
        <v>40</v>
      </c>
      <c r="Q68" s="703"/>
      <c r="R68" s="703"/>
      <c r="S68" s="703"/>
      <c r="T68" s="703"/>
      <c r="U68" s="703"/>
      <c r="V68" s="70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>
      <c r="A69" s="696" t="s">
        <v>164</v>
      </c>
      <c r="B69" s="696"/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96"/>
      <c r="Q69" s="696"/>
      <c r="R69" s="696"/>
      <c r="S69" s="696"/>
      <c r="T69" s="696"/>
      <c r="U69" s="696"/>
      <c r="V69" s="696"/>
      <c r="W69" s="696"/>
      <c r="X69" s="696"/>
      <c r="Y69" s="696"/>
      <c r="Z69" s="696"/>
      <c r="AA69" s="66"/>
      <c r="AB69" s="66"/>
      <c r="AC69" s="80"/>
    </row>
    <row r="70" spans="1:68" ht="16.5" customHeight="1">
      <c r="A70" s="63" t="s">
        <v>165</v>
      </c>
      <c r="B70" s="63" t="s">
        <v>166</v>
      </c>
      <c r="C70" s="36">
        <v>4301020298</v>
      </c>
      <c r="D70" s="697">
        <v>4680115881440</v>
      </c>
      <c r="E70" s="69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9"/>
      <c r="R70" s="699"/>
      <c r="S70" s="699"/>
      <c r="T70" s="70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>
      <c r="A71" s="63" t="s">
        <v>168</v>
      </c>
      <c r="B71" s="63" t="s">
        <v>169</v>
      </c>
      <c r="C71" s="36">
        <v>4301020358</v>
      </c>
      <c r="D71" s="697">
        <v>4680115885950</v>
      </c>
      <c r="E71" s="69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9"/>
      <c r="R71" s="699"/>
      <c r="S71" s="699"/>
      <c r="T71" s="70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>
      <c r="A72" s="63" t="s">
        <v>170</v>
      </c>
      <c r="B72" s="63" t="s">
        <v>171</v>
      </c>
      <c r="C72" s="36">
        <v>4301020371</v>
      </c>
      <c r="D72" s="697">
        <v>4680115887688</v>
      </c>
      <c r="E72" s="69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>
      <c r="A73" s="63" t="s">
        <v>173</v>
      </c>
      <c r="B73" s="63" t="s">
        <v>174</v>
      </c>
      <c r="C73" s="36">
        <v>4301020296</v>
      </c>
      <c r="D73" s="697">
        <v>4680115881433</v>
      </c>
      <c r="E73" s="69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>
      <c r="A74" s="705"/>
      <c r="B74" s="705"/>
      <c r="C74" s="705"/>
      <c r="D74" s="705"/>
      <c r="E74" s="705"/>
      <c r="F74" s="705"/>
      <c r="G74" s="705"/>
      <c r="H74" s="705"/>
      <c r="I74" s="705"/>
      <c r="J74" s="705"/>
      <c r="K74" s="705"/>
      <c r="L74" s="705"/>
      <c r="M74" s="705"/>
      <c r="N74" s="705"/>
      <c r="O74" s="706"/>
      <c r="P74" s="702" t="s">
        <v>40</v>
      </c>
      <c r="Q74" s="703"/>
      <c r="R74" s="703"/>
      <c r="S74" s="703"/>
      <c r="T74" s="703"/>
      <c r="U74" s="703"/>
      <c r="V74" s="70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>
      <c r="A75" s="705"/>
      <c r="B75" s="705"/>
      <c r="C75" s="705"/>
      <c r="D75" s="705"/>
      <c r="E75" s="705"/>
      <c r="F75" s="705"/>
      <c r="G75" s="705"/>
      <c r="H75" s="705"/>
      <c r="I75" s="705"/>
      <c r="J75" s="705"/>
      <c r="K75" s="705"/>
      <c r="L75" s="705"/>
      <c r="M75" s="705"/>
      <c r="N75" s="705"/>
      <c r="O75" s="706"/>
      <c r="P75" s="702" t="s">
        <v>40</v>
      </c>
      <c r="Q75" s="703"/>
      <c r="R75" s="703"/>
      <c r="S75" s="703"/>
      <c r="T75" s="703"/>
      <c r="U75" s="703"/>
      <c r="V75" s="70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>
      <c r="A76" s="696" t="s">
        <v>86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16.5" customHeight="1">
      <c r="A77" s="63" t="s">
        <v>175</v>
      </c>
      <c r="B77" s="63" t="s">
        <v>176</v>
      </c>
      <c r="C77" s="36">
        <v>4301051837</v>
      </c>
      <c r="D77" s="697">
        <v>4680115884311</v>
      </c>
      <c r="E77" s="69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>
      <c r="A78" s="63" t="s">
        <v>178</v>
      </c>
      <c r="B78" s="63" t="s">
        <v>179</v>
      </c>
      <c r="C78" s="36">
        <v>4301051929</v>
      </c>
      <c r="D78" s="697">
        <v>4680115884403</v>
      </c>
      <c r="E78" s="69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>
      <c r="A79" s="705"/>
      <c r="B79" s="705"/>
      <c r="C79" s="705"/>
      <c r="D79" s="705"/>
      <c r="E79" s="705"/>
      <c r="F79" s="705"/>
      <c r="G79" s="705"/>
      <c r="H79" s="705"/>
      <c r="I79" s="705"/>
      <c r="J79" s="705"/>
      <c r="K79" s="705"/>
      <c r="L79" s="705"/>
      <c r="M79" s="705"/>
      <c r="N79" s="705"/>
      <c r="O79" s="706"/>
      <c r="P79" s="702" t="s">
        <v>40</v>
      </c>
      <c r="Q79" s="703"/>
      <c r="R79" s="703"/>
      <c r="S79" s="703"/>
      <c r="T79" s="703"/>
      <c r="U79" s="703"/>
      <c r="V79" s="70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>
      <c r="A80" s="705"/>
      <c r="B80" s="705"/>
      <c r="C80" s="705"/>
      <c r="D80" s="705"/>
      <c r="E80" s="705"/>
      <c r="F80" s="705"/>
      <c r="G80" s="705"/>
      <c r="H80" s="705"/>
      <c r="I80" s="705"/>
      <c r="J80" s="705"/>
      <c r="K80" s="705"/>
      <c r="L80" s="705"/>
      <c r="M80" s="705"/>
      <c r="N80" s="705"/>
      <c r="O80" s="706"/>
      <c r="P80" s="702" t="s">
        <v>40</v>
      </c>
      <c r="Q80" s="703"/>
      <c r="R80" s="703"/>
      <c r="S80" s="703"/>
      <c r="T80" s="703"/>
      <c r="U80" s="703"/>
      <c r="V80" s="70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>
      <c r="A81" s="696" t="s">
        <v>181</v>
      </c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6"/>
      <c r="AB81" s="66"/>
      <c r="AC81" s="80"/>
    </row>
    <row r="82" spans="1:68" ht="27" customHeight="1">
      <c r="A82" s="63" t="s">
        <v>182</v>
      </c>
      <c r="B82" s="63" t="s">
        <v>183</v>
      </c>
      <c r="C82" s="36">
        <v>4301060455</v>
      </c>
      <c r="D82" s="697">
        <v>4680115881532</v>
      </c>
      <c r="E82" s="69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9"/>
      <c r="R82" s="699"/>
      <c r="S82" s="699"/>
      <c r="T82" s="70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>
      <c r="A83" s="63" t="s">
        <v>185</v>
      </c>
      <c r="B83" s="63" t="s">
        <v>186</v>
      </c>
      <c r="C83" s="36">
        <v>4301060351</v>
      </c>
      <c r="D83" s="697">
        <v>4680115881464</v>
      </c>
      <c r="E83" s="69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9"/>
      <c r="R83" s="699"/>
      <c r="S83" s="699"/>
      <c r="T83" s="70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>
      <c r="A84" s="705"/>
      <c r="B84" s="705"/>
      <c r="C84" s="705"/>
      <c r="D84" s="705"/>
      <c r="E84" s="705"/>
      <c r="F84" s="705"/>
      <c r="G84" s="705"/>
      <c r="H84" s="705"/>
      <c r="I84" s="705"/>
      <c r="J84" s="705"/>
      <c r="K84" s="705"/>
      <c r="L84" s="705"/>
      <c r="M84" s="705"/>
      <c r="N84" s="705"/>
      <c r="O84" s="706"/>
      <c r="P84" s="702" t="s">
        <v>40</v>
      </c>
      <c r="Q84" s="703"/>
      <c r="R84" s="703"/>
      <c r="S84" s="703"/>
      <c r="T84" s="703"/>
      <c r="U84" s="703"/>
      <c r="V84" s="70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>
      <c r="A85" s="705"/>
      <c r="B85" s="705"/>
      <c r="C85" s="705"/>
      <c r="D85" s="705"/>
      <c r="E85" s="705"/>
      <c r="F85" s="705"/>
      <c r="G85" s="705"/>
      <c r="H85" s="705"/>
      <c r="I85" s="705"/>
      <c r="J85" s="705"/>
      <c r="K85" s="705"/>
      <c r="L85" s="705"/>
      <c r="M85" s="705"/>
      <c r="N85" s="705"/>
      <c r="O85" s="706"/>
      <c r="P85" s="702" t="s">
        <v>40</v>
      </c>
      <c r="Q85" s="703"/>
      <c r="R85" s="703"/>
      <c r="S85" s="703"/>
      <c r="T85" s="703"/>
      <c r="U85" s="703"/>
      <c r="V85" s="70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>
      <c r="A86" s="695" t="s">
        <v>188</v>
      </c>
      <c r="B86" s="695"/>
      <c r="C86" s="695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95"/>
      <c r="X86" s="695"/>
      <c r="Y86" s="695"/>
      <c r="Z86" s="695"/>
      <c r="AA86" s="65"/>
      <c r="AB86" s="65"/>
      <c r="AC86" s="79"/>
    </row>
    <row r="87" spans="1:68" ht="14.25" customHeight="1">
      <c r="A87" s="696" t="s">
        <v>128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  <c r="S87" s="696"/>
      <c r="T87" s="696"/>
      <c r="U87" s="696"/>
      <c r="V87" s="696"/>
      <c r="W87" s="696"/>
      <c r="X87" s="696"/>
      <c r="Y87" s="696"/>
      <c r="Z87" s="696"/>
      <c r="AA87" s="66"/>
      <c r="AB87" s="66"/>
      <c r="AC87" s="80"/>
    </row>
    <row r="88" spans="1:68" ht="27" customHeight="1">
      <c r="A88" s="63" t="s">
        <v>189</v>
      </c>
      <c r="B88" s="63" t="s">
        <v>190</v>
      </c>
      <c r="C88" s="36">
        <v>4301011468</v>
      </c>
      <c r="D88" s="697">
        <v>4680115881327</v>
      </c>
      <c r="E88" s="69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>
      <c r="A89" s="63" t="s">
        <v>192</v>
      </c>
      <c r="B89" s="63" t="s">
        <v>193</v>
      </c>
      <c r="C89" s="36">
        <v>4301011261</v>
      </c>
      <c r="D89" s="697">
        <v>4680115887732</v>
      </c>
      <c r="E89" s="69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>
      <c r="A90" s="63" t="s">
        <v>195</v>
      </c>
      <c r="B90" s="63" t="s">
        <v>196</v>
      </c>
      <c r="C90" s="36">
        <v>4301011476</v>
      </c>
      <c r="D90" s="697">
        <v>4680115881518</v>
      </c>
      <c r="E90" s="69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9"/>
      <c r="R90" s="699"/>
      <c r="S90" s="699"/>
      <c r="T90" s="70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>
      <c r="A91" s="63" t="s">
        <v>197</v>
      </c>
      <c r="B91" s="63" t="s">
        <v>198</v>
      </c>
      <c r="C91" s="36">
        <v>4301011443</v>
      </c>
      <c r="D91" s="697">
        <v>4680115881303</v>
      </c>
      <c r="E91" s="69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9"/>
      <c r="R91" s="699"/>
      <c r="S91" s="699"/>
      <c r="T91" s="70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>
      <c r="A92" s="705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6"/>
      <c r="P92" s="702" t="s">
        <v>40</v>
      </c>
      <c r="Q92" s="703"/>
      <c r="R92" s="703"/>
      <c r="S92" s="703"/>
      <c r="T92" s="703"/>
      <c r="U92" s="703"/>
      <c r="V92" s="70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>
      <c r="A93" s="705"/>
      <c r="B93" s="705"/>
      <c r="C93" s="705"/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705"/>
      <c r="O93" s="706"/>
      <c r="P93" s="702" t="s">
        <v>40</v>
      </c>
      <c r="Q93" s="703"/>
      <c r="R93" s="703"/>
      <c r="S93" s="703"/>
      <c r="T93" s="703"/>
      <c r="U93" s="703"/>
      <c r="V93" s="70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>
      <c r="A94" s="696" t="s">
        <v>86</v>
      </c>
      <c r="B94" s="696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96"/>
      <c r="P94" s="696"/>
      <c r="Q94" s="696"/>
      <c r="R94" s="696"/>
      <c r="S94" s="696"/>
      <c r="T94" s="696"/>
      <c r="U94" s="696"/>
      <c r="V94" s="696"/>
      <c r="W94" s="696"/>
      <c r="X94" s="696"/>
      <c r="Y94" s="696"/>
      <c r="Z94" s="696"/>
      <c r="AA94" s="66"/>
      <c r="AB94" s="66"/>
      <c r="AC94" s="80"/>
    </row>
    <row r="95" spans="1:68" ht="27" customHeight="1">
      <c r="A95" s="63" t="s">
        <v>199</v>
      </c>
      <c r="B95" s="63" t="s">
        <v>200</v>
      </c>
      <c r="C95" s="36">
        <v>4301051712</v>
      </c>
      <c r="D95" s="697">
        <v>4607091386967</v>
      </c>
      <c r="E95" s="69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>
      <c r="A96" s="63" t="s">
        <v>202</v>
      </c>
      <c r="B96" s="63" t="s">
        <v>203</v>
      </c>
      <c r="C96" s="36">
        <v>4301051788</v>
      </c>
      <c r="D96" s="697">
        <v>4680115884953</v>
      </c>
      <c r="E96" s="69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>
      <c r="A97" s="63" t="s">
        <v>204</v>
      </c>
      <c r="B97" s="63" t="s">
        <v>205</v>
      </c>
      <c r="C97" s="36">
        <v>4301051718</v>
      </c>
      <c r="D97" s="697">
        <v>4607091385731</v>
      </c>
      <c r="E97" s="69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9"/>
      <c r="R97" s="699"/>
      <c r="S97" s="699"/>
      <c r="T97" s="70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>
      <c r="A98" s="63" t="s">
        <v>206</v>
      </c>
      <c r="B98" s="63" t="s">
        <v>207</v>
      </c>
      <c r="C98" s="36">
        <v>4301052092</v>
      </c>
      <c r="D98" s="697">
        <v>4680115880894</v>
      </c>
      <c r="E98" s="69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9"/>
      <c r="R98" s="699"/>
      <c r="S98" s="699"/>
      <c r="T98" s="70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>
      <c r="A99" s="705"/>
      <c r="B99" s="705"/>
      <c r="C99" s="705"/>
      <c r="D99" s="705"/>
      <c r="E99" s="705"/>
      <c r="F99" s="705"/>
      <c r="G99" s="705"/>
      <c r="H99" s="705"/>
      <c r="I99" s="705"/>
      <c r="J99" s="705"/>
      <c r="K99" s="705"/>
      <c r="L99" s="705"/>
      <c r="M99" s="705"/>
      <c r="N99" s="705"/>
      <c r="O99" s="706"/>
      <c r="P99" s="702" t="s">
        <v>40</v>
      </c>
      <c r="Q99" s="703"/>
      <c r="R99" s="703"/>
      <c r="S99" s="703"/>
      <c r="T99" s="703"/>
      <c r="U99" s="703"/>
      <c r="V99" s="70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>
      <c r="A100" s="705"/>
      <c r="B100" s="705"/>
      <c r="C100" s="705"/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6"/>
      <c r="P100" s="702" t="s">
        <v>40</v>
      </c>
      <c r="Q100" s="703"/>
      <c r="R100" s="703"/>
      <c r="S100" s="703"/>
      <c r="T100" s="703"/>
      <c r="U100" s="703"/>
      <c r="V100" s="70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>
      <c r="A101" s="695" t="s">
        <v>209</v>
      </c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695"/>
      <c r="O101" s="695"/>
      <c r="P101" s="695"/>
      <c r="Q101" s="695"/>
      <c r="R101" s="695"/>
      <c r="S101" s="695"/>
      <c r="T101" s="695"/>
      <c r="U101" s="695"/>
      <c r="V101" s="695"/>
      <c r="W101" s="695"/>
      <c r="X101" s="695"/>
      <c r="Y101" s="695"/>
      <c r="Z101" s="695"/>
      <c r="AA101" s="65"/>
      <c r="AB101" s="65"/>
      <c r="AC101" s="79"/>
    </row>
    <row r="102" spans="1:68" ht="14.25" customHeight="1">
      <c r="A102" s="696" t="s">
        <v>128</v>
      </c>
      <c r="B102" s="696"/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96"/>
      <c r="Q102" s="696"/>
      <c r="R102" s="696"/>
      <c r="S102" s="696"/>
      <c r="T102" s="696"/>
      <c r="U102" s="696"/>
      <c r="V102" s="696"/>
      <c r="W102" s="696"/>
      <c r="X102" s="696"/>
      <c r="Y102" s="696"/>
      <c r="Z102" s="696"/>
      <c r="AA102" s="66"/>
      <c r="AB102" s="66"/>
      <c r="AC102" s="80"/>
    </row>
    <row r="103" spans="1:68" ht="37.5" customHeight="1">
      <c r="A103" s="63" t="s">
        <v>210</v>
      </c>
      <c r="B103" s="63" t="s">
        <v>211</v>
      </c>
      <c r="C103" s="36">
        <v>4301011514</v>
      </c>
      <c r="D103" s="697">
        <v>4680115882133</v>
      </c>
      <c r="E103" s="69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>
      <c r="A104" s="63" t="s">
        <v>213</v>
      </c>
      <c r="B104" s="63" t="s">
        <v>214</v>
      </c>
      <c r="C104" s="36">
        <v>4301012051</v>
      </c>
      <c r="D104" s="697">
        <v>4680115887718</v>
      </c>
      <c r="E104" s="69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>
      <c r="A105" s="63" t="s">
        <v>213</v>
      </c>
      <c r="B105" s="63" t="s">
        <v>216</v>
      </c>
      <c r="C105" s="36">
        <v>4301012334</v>
      </c>
      <c r="D105" s="697">
        <v>4680115887718</v>
      </c>
      <c r="E105" s="69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>
      <c r="A106" s="63" t="s">
        <v>217</v>
      </c>
      <c r="B106" s="63" t="s">
        <v>218</v>
      </c>
      <c r="C106" s="36">
        <v>4301011417</v>
      </c>
      <c r="D106" s="697">
        <v>4680115880269</v>
      </c>
      <c r="E106" s="69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>
      <c r="A107" s="63" t="s">
        <v>219</v>
      </c>
      <c r="B107" s="63" t="s">
        <v>220</v>
      </c>
      <c r="C107" s="36">
        <v>4301011415</v>
      </c>
      <c r="D107" s="697">
        <v>4680115880429</v>
      </c>
      <c r="E107" s="69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>
      <c r="A108" s="63" t="s">
        <v>221</v>
      </c>
      <c r="B108" s="63" t="s">
        <v>222</v>
      </c>
      <c r="C108" s="36">
        <v>4301011462</v>
      </c>
      <c r="D108" s="697">
        <v>4680115881457</v>
      </c>
      <c r="E108" s="69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9"/>
      <c r="R108" s="699"/>
      <c r="S108" s="699"/>
      <c r="T108" s="70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>
      <c r="A109" s="705"/>
      <c r="B109" s="705"/>
      <c r="C109" s="705"/>
      <c r="D109" s="705"/>
      <c r="E109" s="705"/>
      <c r="F109" s="705"/>
      <c r="G109" s="705"/>
      <c r="H109" s="705"/>
      <c r="I109" s="705"/>
      <c r="J109" s="705"/>
      <c r="K109" s="705"/>
      <c r="L109" s="705"/>
      <c r="M109" s="705"/>
      <c r="N109" s="705"/>
      <c r="O109" s="706"/>
      <c r="P109" s="702" t="s">
        <v>40</v>
      </c>
      <c r="Q109" s="703"/>
      <c r="R109" s="703"/>
      <c r="S109" s="703"/>
      <c r="T109" s="703"/>
      <c r="U109" s="703"/>
      <c r="V109" s="70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>
      <c r="A110" s="705"/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5"/>
      <c r="O110" s="706"/>
      <c r="P110" s="702" t="s">
        <v>40</v>
      </c>
      <c r="Q110" s="703"/>
      <c r="R110" s="703"/>
      <c r="S110" s="703"/>
      <c r="T110" s="703"/>
      <c r="U110" s="703"/>
      <c r="V110" s="70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>
      <c r="A111" s="696" t="s">
        <v>164</v>
      </c>
      <c r="B111" s="696"/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96"/>
      <c r="Q111" s="696"/>
      <c r="R111" s="696"/>
      <c r="S111" s="696"/>
      <c r="T111" s="696"/>
      <c r="U111" s="696"/>
      <c r="V111" s="696"/>
      <c r="W111" s="696"/>
      <c r="X111" s="696"/>
      <c r="Y111" s="696"/>
      <c r="Z111" s="696"/>
      <c r="AA111" s="66"/>
      <c r="AB111" s="66"/>
      <c r="AC111" s="80"/>
    </row>
    <row r="112" spans="1:68" ht="27" customHeight="1">
      <c r="A112" s="63" t="s">
        <v>223</v>
      </c>
      <c r="B112" s="63" t="s">
        <v>224</v>
      </c>
      <c r="C112" s="36">
        <v>4301020391</v>
      </c>
      <c r="D112" s="697">
        <v>4680115881488</v>
      </c>
      <c r="E112" s="69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9"/>
      <c r="R112" s="699"/>
      <c r="S112" s="699"/>
      <c r="T112" s="70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>
      <c r="A113" s="63" t="s">
        <v>226</v>
      </c>
      <c r="B113" s="63" t="s">
        <v>227</v>
      </c>
      <c r="C113" s="36">
        <v>4301020186</v>
      </c>
      <c r="D113" s="697">
        <v>4680115887664</v>
      </c>
      <c r="E113" s="69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>
      <c r="A114" s="63" t="s">
        <v>226</v>
      </c>
      <c r="B114" s="63" t="s">
        <v>230</v>
      </c>
      <c r="C114" s="36">
        <v>4301020430</v>
      </c>
      <c r="D114" s="697">
        <v>4680115887664</v>
      </c>
      <c r="E114" s="69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>
      <c r="A115" s="63" t="s">
        <v>231</v>
      </c>
      <c r="B115" s="63" t="s">
        <v>232</v>
      </c>
      <c r="C115" s="36">
        <v>4301020393</v>
      </c>
      <c r="D115" s="697">
        <v>4680115882775</v>
      </c>
      <c r="E115" s="69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>
      <c r="A116" s="63" t="s">
        <v>233</v>
      </c>
      <c r="B116" s="63" t="s">
        <v>234</v>
      </c>
      <c r="C116" s="36">
        <v>4301020392</v>
      </c>
      <c r="D116" s="697">
        <v>4680115880658</v>
      </c>
      <c r="E116" s="69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9"/>
      <c r="R116" s="699"/>
      <c r="S116" s="699"/>
      <c r="T116" s="70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>
      <c r="A117" s="705"/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6"/>
      <c r="P117" s="702" t="s">
        <v>40</v>
      </c>
      <c r="Q117" s="703"/>
      <c r="R117" s="703"/>
      <c r="S117" s="703"/>
      <c r="T117" s="703"/>
      <c r="U117" s="703"/>
      <c r="V117" s="70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>
      <c r="A118" s="705"/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5"/>
      <c r="N118" s="705"/>
      <c r="O118" s="706"/>
      <c r="P118" s="702" t="s">
        <v>40</v>
      </c>
      <c r="Q118" s="703"/>
      <c r="R118" s="703"/>
      <c r="S118" s="703"/>
      <c r="T118" s="703"/>
      <c r="U118" s="703"/>
      <c r="V118" s="70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>
      <c r="A119" s="696" t="s">
        <v>86</v>
      </c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  <c r="Y119" s="696"/>
      <c r="Z119" s="696"/>
      <c r="AA119" s="66"/>
      <c r="AB119" s="66"/>
      <c r="AC119" s="80"/>
    </row>
    <row r="120" spans="1:68" ht="27" customHeight="1">
      <c r="A120" s="63" t="s">
        <v>235</v>
      </c>
      <c r="B120" s="63" t="s">
        <v>236</v>
      </c>
      <c r="C120" s="36">
        <v>4301051724</v>
      </c>
      <c r="D120" s="697">
        <v>4607091385168</v>
      </c>
      <c r="E120" s="69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>
      <c r="A121" s="63" t="s">
        <v>238</v>
      </c>
      <c r="B121" s="63" t="s">
        <v>239</v>
      </c>
      <c r="C121" s="36">
        <v>4301051730</v>
      </c>
      <c r="D121" s="697">
        <v>4607091383256</v>
      </c>
      <c r="E121" s="69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>
      <c r="A122" s="63" t="s">
        <v>240</v>
      </c>
      <c r="B122" s="63" t="s">
        <v>241</v>
      </c>
      <c r="C122" s="36">
        <v>4301051721</v>
      </c>
      <c r="D122" s="697">
        <v>4607091385748</v>
      </c>
      <c r="E122" s="69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>
      <c r="A123" s="63" t="s">
        <v>242</v>
      </c>
      <c r="B123" s="63" t="s">
        <v>243</v>
      </c>
      <c r="C123" s="36">
        <v>4301051740</v>
      </c>
      <c r="D123" s="697">
        <v>4680115884533</v>
      </c>
      <c r="E123" s="69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9"/>
      <c r="R123" s="699"/>
      <c r="S123" s="699"/>
      <c r="T123" s="70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>
      <c r="A124" s="705"/>
      <c r="B124" s="705"/>
      <c r="C124" s="705"/>
      <c r="D124" s="705"/>
      <c r="E124" s="705"/>
      <c r="F124" s="705"/>
      <c r="G124" s="705"/>
      <c r="H124" s="705"/>
      <c r="I124" s="705"/>
      <c r="J124" s="705"/>
      <c r="K124" s="705"/>
      <c r="L124" s="705"/>
      <c r="M124" s="705"/>
      <c r="N124" s="705"/>
      <c r="O124" s="706"/>
      <c r="P124" s="702" t="s">
        <v>40</v>
      </c>
      <c r="Q124" s="703"/>
      <c r="R124" s="703"/>
      <c r="S124" s="703"/>
      <c r="T124" s="703"/>
      <c r="U124" s="703"/>
      <c r="V124" s="70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>
      <c r="A125" s="705"/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5"/>
      <c r="O125" s="706"/>
      <c r="P125" s="702" t="s">
        <v>40</v>
      </c>
      <c r="Q125" s="703"/>
      <c r="R125" s="703"/>
      <c r="S125" s="703"/>
      <c r="T125" s="703"/>
      <c r="U125" s="703"/>
      <c r="V125" s="70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>
      <c r="A126" s="696" t="s">
        <v>181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  <c r="Y126" s="696"/>
      <c r="Z126" s="696"/>
      <c r="AA126" s="66"/>
      <c r="AB126" s="66"/>
      <c r="AC126" s="80"/>
    </row>
    <row r="127" spans="1:68" ht="16.5" customHeight="1">
      <c r="A127" s="63" t="s">
        <v>245</v>
      </c>
      <c r="B127" s="63" t="s">
        <v>246</v>
      </c>
      <c r="C127" s="36">
        <v>4301060317</v>
      </c>
      <c r="D127" s="697">
        <v>4680115880238</v>
      </c>
      <c r="E127" s="69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9"/>
      <c r="R127" s="699"/>
      <c r="S127" s="699"/>
      <c r="T127" s="70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>
      <c r="A128" s="705"/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6"/>
      <c r="P128" s="702" t="s">
        <v>40</v>
      </c>
      <c r="Q128" s="703"/>
      <c r="R128" s="703"/>
      <c r="S128" s="703"/>
      <c r="T128" s="703"/>
      <c r="U128" s="703"/>
      <c r="V128" s="70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>
      <c r="A129" s="705"/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5"/>
      <c r="N129" s="705"/>
      <c r="O129" s="706"/>
      <c r="P129" s="702" t="s">
        <v>40</v>
      </c>
      <c r="Q129" s="703"/>
      <c r="R129" s="703"/>
      <c r="S129" s="703"/>
      <c r="T129" s="703"/>
      <c r="U129" s="703"/>
      <c r="V129" s="70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>
      <c r="A130" s="695" t="s">
        <v>248</v>
      </c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5"/>
      <c r="P130" s="695"/>
      <c r="Q130" s="695"/>
      <c r="R130" s="695"/>
      <c r="S130" s="695"/>
      <c r="T130" s="695"/>
      <c r="U130" s="695"/>
      <c r="V130" s="695"/>
      <c r="W130" s="695"/>
      <c r="X130" s="695"/>
      <c r="Y130" s="695"/>
      <c r="Z130" s="695"/>
      <c r="AA130" s="65"/>
      <c r="AB130" s="65"/>
      <c r="AC130" s="79"/>
    </row>
    <row r="131" spans="1:68" ht="14.25" customHeight="1">
      <c r="A131" s="696" t="s">
        <v>128</v>
      </c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  <c r="Y131" s="696"/>
      <c r="Z131" s="696"/>
      <c r="AA131" s="66"/>
      <c r="AB131" s="66"/>
      <c r="AC131" s="80"/>
    </row>
    <row r="132" spans="1:68" ht="27" customHeight="1">
      <c r="A132" s="63" t="s">
        <v>249</v>
      </c>
      <c r="B132" s="63" t="s">
        <v>250</v>
      </c>
      <c r="C132" s="36">
        <v>4301011562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>
      <c r="A133" s="63" t="s">
        <v>249</v>
      </c>
      <c r="B133" s="63" t="s">
        <v>252</v>
      </c>
      <c r="C133" s="36">
        <v>4301011564</v>
      </c>
      <c r="D133" s="697">
        <v>4680115882577</v>
      </c>
      <c r="E133" s="69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9"/>
      <c r="R133" s="699"/>
      <c r="S133" s="699"/>
      <c r="T133" s="70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>
      <c r="A134" s="705"/>
      <c r="B134" s="705"/>
      <c r="C134" s="705"/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6"/>
      <c r="P134" s="702" t="s">
        <v>40</v>
      </c>
      <c r="Q134" s="703"/>
      <c r="R134" s="703"/>
      <c r="S134" s="703"/>
      <c r="T134" s="703"/>
      <c r="U134" s="703"/>
      <c r="V134" s="70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>
      <c r="A135" s="705"/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6"/>
      <c r="P135" s="702" t="s">
        <v>40</v>
      </c>
      <c r="Q135" s="703"/>
      <c r="R135" s="703"/>
      <c r="S135" s="703"/>
      <c r="T135" s="703"/>
      <c r="U135" s="703"/>
      <c r="V135" s="70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>
      <c r="A136" s="696" t="s">
        <v>77</v>
      </c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  <c r="Y136" s="696"/>
      <c r="Z136" s="696"/>
      <c r="AA136" s="66"/>
      <c r="AB136" s="66"/>
      <c r="AC136" s="80"/>
    </row>
    <row r="137" spans="1:68" ht="27" customHeight="1">
      <c r="A137" s="63" t="s">
        <v>253</v>
      </c>
      <c r="B137" s="63" t="s">
        <v>254</v>
      </c>
      <c r="C137" s="36">
        <v>4301031234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>
      <c r="A138" s="63" t="s">
        <v>253</v>
      </c>
      <c r="B138" s="63" t="s">
        <v>256</v>
      </c>
      <c r="C138" s="36">
        <v>4301031235</v>
      </c>
      <c r="D138" s="697">
        <v>4680115883444</v>
      </c>
      <c r="E138" s="69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9"/>
      <c r="R138" s="699"/>
      <c r="S138" s="699"/>
      <c r="T138" s="70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>
      <c r="A139" s="705"/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5"/>
      <c r="N139" s="705"/>
      <c r="O139" s="706"/>
      <c r="P139" s="702" t="s">
        <v>40</v>
      </c>
      <c r="Q139" s="703"/>
      <c r="R139" s="703"/>
      <c r="S139" s="703"/>
      <c r="T139" s="703"/>
      <c r="U139" s="703"/>
      <c r="V139" s="70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>
      <c r="A140" s="705"/>
      <c r="B140" s="705"/>
      <c r="C140" s="705"/>
      <c r="D140" s="705"/>
      <c r="E140" s="705"/>
      <c r="F140" s="705"/>
      <c r="G140" s="705"/>
      <c r="H140" s="705"/>
      <c r="I140" s="705"/>
      <c r="J140" s="705"/>
      <c r="K140" s="705"/>
      <c r="L140" s="705"/>
      <c r="M140" s="705"/>
      <c r="N140" s="705"/>
      <c r="O140" s="706"/>
      <c r="P140" s="702" t="s">
        <v>40</v>
      </c>
      <c r="Q140" s="703"/>
      <c r="R140" s="703"/>
      <c r="S140" s="703"/>
      <c r="T140" s="703"/>
      <c r="U140" s="703"/>
      <c r="V140" s="70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customHeight="1">
      <c r="A141" s="696" t="s">
        <v>86</v>
      </c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96"/>
      <c r="Q141" s="696"/>
      <c r="R141" s="696"/>
      <c r="S141" s="696"/>
      <c r="T141" s="696"/>
      <c r="U141" s="696"/>
      <c r="V141" s="696"/>
      <c r="W141" s="696"/>
      <c r="X141" s="696"/>
      <c r="Y141" s="696"/>
      <c r="Z141" s="696"/>
      <c r="AA141" s="66"/>
      <c r="AB141" s="66"/>
      <c r="AC141" s="80"/>
    </row>
    <row r="142" spans="1:68" ht="16.5" customHeight="1">
      <c r="A142" s="63" t="s">
        <v>257</v>
      </c>
      <c r="B142" s="63" t="s">
        <v>258</v>
      </c>
      <c r="C142" s="36">
        <v>4301051476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>
      <c r="A143" s="63" t="s">
        <v>257</v>
      </c>
      <c r="B143" s="63" t="s">
        <v>259</v>
      </c>
      <c r="C143" s="36">
        <v>4301051477</v>
      </c>
      <c r="D143" s="697">
        <v>4680115882584</v>
      </c>
      <c r="E143" s="69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9"/>
      <c r="R143" s="699"/>
      <c r="S143" s="699"/>
      <c r="T143" s="70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>
      <c r="A144" s="705"/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5"/>
      <c r="N144" s="705"/>
      <c r="O144" s="706"/>
      <c r="P144" s="702" t="s">
        <v>40</v>
      </c>
      <c r="Q144" s="703"/>
      <c r="R144" s="703"/>
      <c r="S144" s="703"/>
      <c r="T144" s="703"/>
      <c r="U144" s="703"/>
      <c r="V144" s="704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>
      <c r="A145" s="705"/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5"/>
      <c r="N145" s="705"/>
      <c r="O145" s="706"/>
      <c r="P145" s="702" t="s">
        <v>40</v>
      </c>
      <c r="Q145" s="703"/>
      <c r="R145" s="703"/>
      <c r="S145" s="703"/>
      <c r="T145" s="703"/>
      <c r="U145" s="703"/>
      <c r="V145" s="704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customHeight="1">
      <c r="A146" s="695" t="s">
        <v>260</v>
      </c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5"/>
      <c r="P146" s="695"/>
      <c r="Q146" s="695"/>
      <c r="R146" s="695"/>
      <c r="S146" s="695"/>
      <c r="T146" s="695"/>
      <c r="U146" s="695"/>
      <c r="V146" s="695"/>
      <c r="W146" s="695"/>
      <c r="X146" s="695"/>
      <c r="Y146" s="695"/>
      <c r="Z146" s="695"/>
      <c r="AA146" s="65"/>
      <c r="AB146" s="65"/>
      <c r="AC146" s="79"/>
    </row>
    <row r="147" spans="1:68" ht="14.25" customHeight="1">
      <c r="A147" s="696" t="s">
        <v>86</v>
      </c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6"/>
      <c r="P147" s="696"/>
      <c r="Q147" s="696"/>
      <c r="R147" s="696"/>
      <c r="S147" s="696"/>
      <c r="T147" s="696"/>
      <c r="U147" s="696"/>
      <c r="V147" s="696"/>
      <c r="W147" s="696"/>
      <c r="X147" s="696"/>
      <c r="Y147" s="696"/>
      <c r="Z147" s="696"/>
      <c r="AA147" s="66"/>
      <c r="AB147" s="66"/>
      <c r="AC147" s="80"/>
    </row>
    <row r="148" spans="1:68" ht="27" customHeight="1">
      <c r="A148" s="63" t="s">
        <v>261</v>
      </c>
      <c r="B148" s="63" t="s">
        <v>262</v>
      </c>
      <c r="C148" s="36">
        <v>4301052174</v>
      </c>
      <c r="D148" s="697">
        <v>4680115888203</v>
      </c>
      <c r="E148" s="69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>
      <c r="A149" s="63" t="s">
        <v>264</v>
      </c>
      <c r="B149" s="63" t="s">
        <v>265</v>
      </c>
      <c r="C149" s="36">
        <v>4301052172</v>
      </c>
      <c r="D149" s="697">
        <v>4680115888180</v>
      </c>
      <c r="E149" s="69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>
      <c r="A150" s="63" t="s">
        <v>267</v>
      </c>
      <c r="B150" s="63" t="s">
        <v>268</v>
      </c>
      <c r="C150" s="36">
        <v>4301052173</v>
      </c>
      <c r="D150" s="697">
        <v>4680115888197</v>
      </c>
      <c r="E150" s="69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>
      <c r="A151" s="63" t="s">
        <v>270</v>
      </c>
      <c r="B151" s="63" t="s">
        <v>271</v>
      </c>
      <c r="C151" s="36">
        <v>4301052175</v>
      </c>
      <c r="D151" s="697">
        <v>4680115888210</v>
      </c>
      <c r="E151" s="69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9"/>
      <c r="R151" s="699"/>
      <c r="S151" s="699"/>
      <c r="T151" s="70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>
      <c r="A152" s="705"/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6"/>
      <c r="P152" s="702" t="s">
        <v>40</v>
      </c>
      <c r="Q152" s="703"/>
      <c r="R152" s="703"/>
      <c r="S152" s="703"/>
      <c r="T152" s="703"/>
      <c r="U152" s="703"/>
      <c r="V152" s="704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>
      <c r="A153" s="705"/>
      <c r="B153" s="705"/>
      <c r="C153" s="705"/>
      <c r="D153" s="705"/>
      <c r="E153" s="705"/>
      <c r="F153" s="705"/>
      <c r="G153" s="705"/>
      <c r="H153" s="705"/>
      <c r="I153" s="705"/>
      <c r="J153" s="705"/>
      <c r="K153" s="705"/>
      <c r="L153" s="705"/>
      <c r="M153" s="705"/>
      <c r="N153" s="705"/>
      <c r="O153" s="706"/>
      <c r="P153" s="702" t="s">
        <v>40</v>
      </c>
      <c r="Q153" s="703"/>
      <c r="R153" s="703"/>
      <c r="S153" s="703"/>
      <c r="T153" s="703"/>
      <c r="U153" s="703"/>
      <c r="V153" s="704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customHeight="1">
      <c r="A154" s="695" t="s">
        <v>126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65"/>
      <c r="AB154" s="65"/>
      <c r="AC154" s="79"/>
    </row>
    <row r="155" spans="1:68" ht="14.25" customHeight="1">
      <c r="A155" s="696" t="s">
        <v>128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66"/>
      <c r="AB155" s="66"/>
      <c r="AC155" s="80"/>
    </row>
    <row r="156" spans="1:68" ht="16.5" customHeight="1">
      <c r="A156" s="63" t="s">
        <v>273</v>
      </c>
      <c r="B156" s="63" t="s">
        <v>274</v>
      </c>
      <c r="C156" s="36">
        <v>4301012344</v>
      </c>
      <c r="D156" s="697">
        <v>4680115888876</v>
      </c>
      <c r="E156" s="697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9"/>
      <c r="R156" s="699"/>
      <c r="S156" s="699"/>
      <c r="T156" s="70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>
      <c r="A157" s="63" t="s">
        <v>277</v>
      </c>
      <c r="B157" s="63" t="s">
        <v>278</v>
      </c>
      <c r="C157" s="36">
        <v>4301012244</v>
      </c>
      <c r="D157" s="697">
        <v>4680115887374</v>
      </c>
      <c r="E157" s="69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9"/>
      <c r="R157" s="699"/>
      <c r="S157" s="699"/>
      <c r="T157" s="70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>
      <c r="A158" s="63" t="s">
        <v>280</v>
      </c>
      <c r="B158" s="63" t="s">
        <v>281</v>
      </c>
      <c r="C158" s="36">
        <v>4301011705</v>
      </c>
      <c r="D158" s="697">
        <v>4607091384604</v>
      </c>
      <c r="E158" s="69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9"/>
      <c r="R158" s="699"/>
      <c r="S158" s="699"/>
      <c r="T158" s="70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>
      <c r="A159" s="705"/>
      <c r="B159" s="705"/>
      <c r="C159" s="705"/>
      <c r="D159" s="705"/>
      <c r="E159" s="705"/>
      <c r="F159" s="705"/>
      <c r="G159" s="705"/>
      <c r="H159" s="705"/>
      <c r="I159" s="705"/>
      <c r="J159" s="705"/>
      <c r="K159" s="705"/>
      <c r="L159" s="705"/>
      <c r="M159" s="705"/>
      <c r="N159" s="705"/>
      <c r="O159" s="706"/>
      <c r="P159" s="702" t="s">
        <v>40</v>
      </c>
      <c r="Q159" s="703"/>
      <c r="R159" s="703"/>
      <c r="S159" s="703"/>
      <c r="T159" s="703"/>
      <c r="U159" s="703"/>
      <c r="V159" s="704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>
      <c r="A160" s="705"/>
      <c r="B160" s="705"/>
      <c r="C160" s="705"/>
      <c r="D160" s="705"/>
      <c r="E160" s="705"/>
      <c r="F160" s="705"/>
      <c r="G160" s="705"/>
      <c r="H160" s="705"/>
      <c r="I160" s="705"/>
      <c r="J160" s="705"/>
      <c r="K160" s="705"/>
      <c r="L160" s="705"/>
      <c r="M160" s="705"/>
      <c r="N160" s="705"/>
      <c r="O160" s="706"/>
      <c r="P160" s="702" t="s">
        <v>40</v>
      </c>
      <c r="Q160" s="703"/>
      <c r="R160" s="703"/>
      <c r="S160" s="703"/>
      <c r="T160" s="703"/>
      <c r="U160" s="703"/>
      <c r="V160" s="704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customHeight="1">
      <c r="A161" s="696" t="s">
        <v>164</v>
      </c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6"/>
      <c r="P161" s="696"/>
      <c r="Q161" s="696"/>
      <c r="R161" s="696"/>
      <c r="S161" s="696"/>
      <c r="T161" s="696"/>
      <c r="U161" s="696"/>
      <c r="V161" s="696"/>
      <c r="W161" s="696"/>
      <c r="X161" s="696"/>
      <c r="Y161" s="696"/>
      <c r="Z161" s="696"/>
      <c r="AA161" s="66"/>
      <c r="AB161" s="66"/>
      <c r="AC161" s="80"/>
    </row>
    <row r="162" spans="1:68" ht="16.5" customHeight="1">
      <c r="A162" s="63" t="s">
        <v>283</v>
      </c>
      <c r="B162" s="63" t="s">
        <v>284</v>
      </c>
      <c r="C162" s="36">
        <v>4301020410</v>
      </c>
      <c r="D162" s="697">
        <v>4680115887695</v>
      </c>
      <c r="E162" s="69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>
      <c r="A163" s="705"/>
      <c r="B163" s="705"/>
      <c r="C163" s="705"/>
      <c r="D163" s="705"/>
      <c r="E163" s="705"/>
      <c r="F163" s="705"/>
      <c r="G163" s="705"/>
      <c r="H163" s="705"/>
      <c r="I163" s="705"/>
      <c r="J163" s="705"/>
      <c r="K163" s="705"/>
      <c r="L163" s="705"/>
      <c r="M163" s="705"/>
      <c r="N163" s="705"/>
      <c r="O163" s="706"/>
      <c r="P163" s="702" t="s">
        <v>40</v>
      </c>
      <c r="Q163" s="703"/>
      <c r="R163" s="703"/>
      <c r="S163" s="703"/>
      <c r="T163" s="703"/>
      <c r="U163" s="703"/>
      <c r="V163" s="704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>
      <c r="A164" s="705"/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6"/>
      <c r="P164" s="702" t="s">
        <v>40</v>
      </c>
      <c r="Q164" s="703"/>
      <c r="R164" s="703"/>
      <c r="S164" s="703"/>
      <c r="T164" s="703"/>
      <c r="U164" s="703"/>
      <c r="V164" s="704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>
      <c r="A165" s="696" t="s">
        <v>77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27" customHeight="1">
      <c r="A166" s="63" t="s">
        <v>286</v>
      </c>
      <c r="B166" s="63" t="s">
        <v>287</v>
      </c>
      <c r="C166" s="36">
        <v>4301031496</v>
      </c>
      <c r="D166" s="697">
        <v>4680115887428</v>
      </c>
      <c r="E166" s="69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customHeight="1">
      <c r="A167" s="63" t="s">
        <v>289</v>
      </c>
      <c r="B167" s="63" t="s">
        <v>290</v>
      </c>
      <c r="C167" s="36">
        <v>4301030963</v>
      </c>
      <c r="D167" s="697">
        <v>4607091382426</v>
      </c>
      <c r="E167" s="69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>
      <c r="A168" s="63" t="s">
        <v>292</v>
      </c>
      <c r="B168" s="63" t="s">
        <v>293</v>
      </c>
      <c r="C168" s="36">
        <v>4301031509</v>
      </c>
      <c r="D168" s="697">
        <v>4680115889170</v>
      </c>
      <c r="E168" s="697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9"/>
      <c r="R168" s="699"/>
      <c r="S168" s="699"/>
      <c r="T168" s="70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>
      <c r="A169" s="63" t="s">
        <v>295</v>
      </c>
      <c r="B169" s="63" t="s">
        <v>296</v>
      </c>
      <c r="C169" s="36">
        <v>4301031498</v>
      </c>
      <c r="D169" s="697">
        <v>4680115887398</v>
      </c>
      <c r="E169" s="69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9"/>
      <c r="R169" s="699"/>
      <c r="S169" s="699"/>
      <c r="T169" s="70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>
      <c r="A170" s="63" t="s">
        <v>298</v>
      </c>
      <c r="B170" s="63" t="s">
        <v>299</v>
      </c>
      <c r="C170" s="36">
        <v>4301031497</v>
      </c>
      <c r="D170" s="697">
        <v>4680115887336</v>
      </c>
      <c r="E170" s="69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8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9"/>
      <c r="R170" s="699"/>
      <c r="S170" s="699"/>
      <c r="T170" s="70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customHeight="1">
      <c r="A171" s="63" t="s">
        <v>301</v>
      </c>
      <c r="B171" s="63" t="s">
        <v>302</v>
      </c>
      <c r="C171" s="36">
        <v>4301032049</v>
      </c>
      <c r="D171" s="697">
        <v>4680115887787</v>
      </c>
      <c r="E171" s="69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>
      <c r="A172" s="63" t="s">
        <v>304</v>
      </c>
      <c r="B172" s="63" t="s">
        <v>305</v>
      </c>
      <c r="C172" s="36">
        <v>4301031448</v>
      </c>
      <c r="D172" s="697">
        <v>4680115887503</v>
      </c>
      <c r="E172" s="69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>
      <c r="A173" s="63" t="s">
        <v>306</v>
      </c>
      <c r="B173" s="63" t="s">
        <v>307</v>
      </c>
      <c r="C173" s="36">
        <v>4301031389</v>
      </c>
      <c r="D173" s="697">
        <v>4680115887763</v>
      </c>
      <c r="E173" s="69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>
      <c r="A174" s="63" t="s">
        <v>306</v>
      </c>
      <c r="B174" s="63" t="s">
        <v>309</v>
      </c>
      <c r="C174" s="36">
        <v>4301031510</v>
      </c>
      <c r="D174" s="697">
        <v>4680115887763</v>
      </c>
      <c r="E174" s="69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>
      <c r="A175" s="63" t="s">
        <v>310</v>
      </c>
      <c r="B175" s="63" t="s">
        <v>311</v>
      </c>
      <c r="C175" s="36">
        <v>4301031454</v>
      </c>
      <c r="D175" s="697">
        <v>4680115887480</v>
      </c>
      <c r="E175" s="69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>
      <c r="A176" s="63" t="s">
        <v>312</v>
      </c>
      <c r="B176" s="63" t="s">
        <v>313</v>
      </c>
      <c r="C176" s="36">
        <v>4301031434</v>
      </c>
      <c r="D176" s="697">
        <v>4680115888067</v>
      </c>
      <c r="E176" s="69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>
      <c r="A177" s="63" t="s">
        <v>315</v>
      </c>
      <c r="B177" s="63" t="s">
        <v>316</v>
      </c>
      <c r="C177" s="36">
        <v>4301031451</v>
      </c>
      <c r="D177" s="697">
        <v>4680115887435</v>
      </c>
      <c r="E177" s="69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>
      <c r="A178" s="705"/>
      <c r="B178" s="705"/>
      <c r="C178" s="705"/>
      <c r="D178" s="705"/>
      <c r="E178" s="705"/>
      <c r="F178" s="705"/>
      <c r="G178" s="705"/>
      <c r="H178" s="705"/>
      <c r="I178" s="705"/>
      <c r="J178" s="705"/>
      <c r="K178" s="705"/>
      <c r="L178" s="705"/>
      <c r="M178" s="705"/>
      <c r="N178" s="705"/>
      <c r="O178" s="706"/>
      <c r="P178" s="702" t="s">
        <v>40</v>
      </c>
      <c r="Q178" s="703"/>
      <c r="R178" s="703"/>
      <c r="S178" s="703"/>
      <c r="T178" s="703"/>
      <c r="U178" s="703"/>
      <c r="V178" s="704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>
      <c r="A179" s="705"/>
      <c r="B179" s="705"/>
      <c r="C179" s="705"/>
      <c r="D179" s="705"/>
      <c r="E179" s="705"/>
      <c r="F179" s="705"/>
      <c r="G179" s="705"/>
      <c r="H179" s="705"/>
      <c r="I179" s="705"/>
      <c r="J179" s="705"/>
      <c r="K179" s="705"/>
      <c r="L179" s="705"/>
      <c r="M179" s="705"/>
      <c r="N179" s="705"/>
      <c r="O179" s="706"/>
      <c r="P179" s="702" t="s">
        <v>40</v>
      </c>
      <c r="Q179" s="703"/>
      <c r="R179" s="703"/>
      <c r="S179" s="703"/>
      <c r="T179" s="703"/>
      <c r="U179" s="703"/>
      <c r="V179" s="704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customHeight="1">
      <c r="A180" s="696" t="s">
        <v>86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696"/>
      <c r="O180" s="696"/>
      <c r="P180" s="696"/>
      <c r="Q180" s="696"/>
      <c r="R180" s="696"/>
      <c r="S180" s="696"/>
      <c r="T180" s="696"/>
      <c r="U180" s="696"/>
      <c r="V180" s="696"/>
      <c r="W180" s="696"/>
      <c r="X180" s="696"/>
      <c r="Y180" s="696"/>
      <c r="Z180" s="696"/>
      <c r="AA180" s="66"/>
      <c r="AB180" s="66"/>
      <c r="AC180" s="80"/>
    </row>
    <row r="181" spans="1:68" ht="16.5" customHeight="1">
      <c r="A181" s="63" t="s">
        <v>317</v>
      </c>
      <c r="B181" s="63" t="s">
        <v>318</v>
      </c>
      <c r="C181" s="36">
        <v>4301052193</v>
      </c>
      <c r="D181" s="697">
        <v>4680115888395</v>
      </c>
      <c r="E181" s="69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9"/>
      <c r="R181" s="699"/>
      <c r="S181" s="699"/>
      <c r="T181" s="70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>
      <c r="A182" s="63" t="s">
        <v>320</v>
      </c>
      <c r="B182" s="63" t="s">
        <v>321</v>
      </c>
      <c r="C182" s="36">
        <v>4301052191</v>
      </c>
      <c r="D182" s="697">
        <v>4680115888371</v>
      </c>
      <c r="E182" s="69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9"/>
      <c r="R182" s="699"/>
      <c r="S182" s="699"/>
      <c r="T182" s="70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>
      <c r="A183" s="63" t="s">
        <v>323</v>
      </c>
      <c r="B183" s="63" t="s">
        <v>324</v>
      </c>
      <c r="C183" s="36">
        <v>4301052064</v>
      </c>
      <c r="D183" s="697">
        <v>4680115887459</v>
      </c>
      <c r="E183" s="69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9"/>
      <c r="R183" s="699"/>
      <c r="S183" s="699"/>
      <c r="T183" s="70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>
      <c r="A184" s="705"/>
      <c r="B184" s="705"/>
      <c r="C184" s="705"/>
      <c r="D184" s="705"/>
      <c r="E184" s="705"/>
      <c r="F184" s="705"/>
      <c r="G184" s="705"/>
      <c r="H184" s="705"/>
      <c r="I184" s="705"/>
      <c r="J184" s="705"/>
      <c r="K184" s="705"/>
      <c r="L184" s="705"/>
      <c r="M184" s="705"/>
      <c r="N184" s="705"/>
      <c r="O184" s="706"/>
      <c r="P184" s="702" t="s">
        <v>40</v>
      </c>
      <c r="Q184" s="703"/>
      <c r="R184" s="703"/>
      <c r="S184" s="703"/>
      <c r="T184" s="703"/>
      <c r="U184" s="703"/>
      <c r="V184" s="70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>
      <c r="A185" s="705"/>
      <c r="B185" s="705"/>
      <c r="C185" s="705"/>
      <c r="D185" s="705"/>
      <c r="E185" s="705"/>
      <c r="F185" s="705"/>
      <c r="G185" s="705"/>
      <c r="H185" s="705"/>
      <c r="I185" s="705"/>
      <c r="J185" s="705"/>
      <c r="K185" s="705"/>
      <c r="L185" s="705"/>
      <c r="M185" s="705"/>
      <c r="N185" s="705"/>
      <c r="O185" s="706"/>
      <c r="P185" s="702" t="s">
        <v>40</v>
      </c>
      <c r="Q185" s="703"/>
      <c r="R185" s="703"/>
      <c r="S185" s="703"/>
      <c r="T185" s="703"/>
      <c r="U185" s="703"/>
      <c r="V185" s="70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>
      <c r="A186" s="696" t="s">
        <v>104</v>
      </c>
      <c r="B186" s="696"/>
      <c r="C186" s="696"/>
      <c r="D186" s="696"/>
      <c r="E186" s="696"/>
      <c r="F186" s="696"/>
      <c r="G186" s="696"/>
      <c r="H186" s="696"/>
      <c r="I186" s="696"/>
      <c r="J186" s="696"/>
      <c r="K186" s="696"/>
      <c r="L186" s="696"/>
      <c r="M186" s="696"/>
      <c r="N186" s="696"/>
      <c r="O186" s="696"/>
      <c r="P186" s="696"/>
      <c r="Q186" s="696"/>
      <c r="R186" s="696"/>
      <c r="S186" s="696"/>
      <c r="T186" s="696"/>
      <c r="U186" s="696"/>
      <c r="V186" s="696"/>
      <c r="W186" s="696"/>
      <c r="X186" s="696"/>
      <c r="Y186" s="696"/>
      <c r="Z186" s="696"/>
      <c r="AA186" s="66"/>
      <c r="AB186" s="66"/>
      <c r="AC186" s="80"/>
    </row>
    <row r="187" spans="1:68" ht="16.5" customHeight="1">
      <c r="A187" s="63" t="s">
        <v>326</v>
      </c>
      <c r="B187" s="63" t="s">
        <v>327</v>
      </c>
      <c r="C187" s="36">
        <v>4301032058</v>
      </c>
      <c r="D187" s="697">
        <v>4680115889026</v>
      </c>
      <c r="E187" s="69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9"/>
      <c r="R187" s="699"/>
      <c r="S187" s="699"/>
      <c r="T187" s="70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>
      <c r="A188" s="63" t="s">
        <v>331</v>
      </c>
      <c r="B188" s="63" t="s">
        <v>332</v>
      </c>
      <c r="C188" s="36">
        <v>4301032057</v>
      </c>
      <c r="D188" s="697">
        <v>4680115889088</v>
      </c>
      <c r="E188" s="69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9"/>
      <c r="R188" s="699"/>
      <c r="S188" s="699"/>
      <c r="T188" s="70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>
      <c r="A189" s="705"/>
      <c r="B189" s="705"/>
      <c r="C189" s="705"/>
      <c r="D189" s="705"/>
      <c r="E189" s="705"/>
      <c r="F189" s="705"/>
      <c r="G189" s="705"/>
      <c r="H189" s="705"/>
      <c r="I189" s="705"/>
      <c r="J189" s="705"/>
      <c r="K189" s="705"/>
      <c r="L189" s="705"/>
      <c r="M189" s="705"/>
      <c r="N189" s="705"/>
      <c r="O189" s="706"/>
      <c r="P189" s="702" t="s">
        <v>40</v>
      </c>
      <c r="Q189" s="703"/>
      <c r="R189" s="703"/>
      <c r="S189" s="703"/>
      <c r="T189" s="703"/>
      <c r="U189" s="703"/>
      <c r="V189" s="70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>
      <c r="A190" s="705"/>
      <c r="B190" s="705"/>
      <c r="C190" s="705"/>
      <c r="D190" s="705"/>
      <c r="E190" s="705"/>
      <c r="F190" s="705"/>
      <c r="G190" s="705"/>
      <c r="H190" s="705"/>
      <c r="I190" s="705"/>
      <c r="J190" s="705"/>
      <c r="K190" s="705"/>
      <c r="L190" s="705"/>
      <c r="M190" s="705"/>
      <c r="N190" s="705"/>
      <c r="O190" s="706"/>
      <c r="P190" s="702" t="s">
        <v>40</v>
      </c>
      <c r="Q190" s="703"/>
      <c r="R190" s="703"/>
      <c r="S190" s="703"/>
      <c r="T190" s="703"/>
      <c r="U190" s="703"/>
      <c r="V190" s="70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>
      <c r="A191" s="696" t="s">
        <v>334</v>
      </c>
      <c r="B191" s="696"/>
      <c r="C191" s="696"/>
      <c r="D191" s="696"/>
      <c r="E191" s="696"/>
      <c r="F191" s="696"/>
      <c r="G191" s="696"/>
      <c r="H191" s="696"/>
      <c r="I191" s="696"/>
      <c r="J191" s="696"/>
      <c r="K191" s="696"/>
      <c r="L191" s="696"/>
      <c r="M191" s="696"/>
      <c r="N191" s="696"/>
      <c r="O191" s="696"/>
      <c r="P191" s="696"/>
      <c r="Q191" s="696"/>
      <c r="R191" s="696"/>
      <c r="S191" s="696"/>
      <c r="T191" s="696"/>
      <c r="U191" s="696"/>
      <c r="V191" s="696"/>
      <c r="W191" s="696"/>
      <c r="X191" s="696"/>
      <c r="Y191" s="696"/>
      <c r="Z191" s="696"/>
      <c r="AA191" s="66"/>
      <c r="AB191" s="66"/>
      <c r="AC191" s="80"/>
    </row>
    <row r="192" spans="1:68" ht="27" customHeight="1">
      <c r="A192" s="63" t="s">
        <v>335</v>
      </c>
      <c r="B192" s="63" t="s">
        <v>336</v>
      </c>
      <c r="C192" s="36">
        <v>4301041009</v>
      </c>
      <c r="D192" s="697">
        <v>4680115889033</v>
      </c>
      <c r="E192" s="69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9"/>
      <c r="R192" s="699"/>
      <c r="S192" s="699"/>
      <c r="T192" s="70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>
      <c r="A193" s="705"/>
      <c r="B193" s="705"/>
      <c r="C193" s="705"/>
      <c r="D193" s="705"/>
      <c r="E193" s="705"/>
      <c r="F193" s="705"/>
      <c r="G193" s="705"/>
      <c r="H193" s="705"/>
      <c r="I193" s="705"/>
      <c r="J193" s="705"/>
      <c r="K193" s="705"/>
      <c r="L193" s="705"/>
      <c r="M193" s="705"/>
      <c r="N193" s="705"/>
      <c r="O193" s="706"/>
      <c r="P193" s="702" t="s">
        <v>40</v>
      </c>
      <c r="Q193" s="703"/>
      <c r="R193" s="703"/>
      <c r="S193" s="703"/>
      <c r="T193" s="703"/>
      <c r="U193" s="703"/>
      <c r="V193" s="70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>
      <c r="A194" s="705"/>
      <c r="B194" s="705"/>
      <c r="C194" s="705"/>
      <c r="D194" s="705"/>
      <c r="E194" s="705"/>
      <c r="F194" s="705"/>
      <c r="G194" s="705"/>
      <c r="H194" s="705"/>
      <c r="I194" s="705"/>
      <c r="J194" s="705"/>
      <c r="K194" s="705"/>
      <c r="L194" s="705"/>
      <c r="M194" s="705"/>
      <c r="N194" s="705"/>
      <c r="O194" s="706"/>
      <c r="P194" s="702" t="s">
        <v>40</v>
      </c>
      <c r="Q194" s="703"/>
      <c r="R194" s="703"/>
      <c r="S194" s="703"/>
      <c r="T194" s="703"/>
      <c r="U194" s="703"/>
      <c r="V194" s="70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>
      <c r="A195" s="694" t="s">
        <v>338</v>
      </c>
      <c r="B195" s="694"/>
      <c r="C195" s="694"/>
      <c r="D195" s="694"/>
      <c r="E195" s="694"/>
      <c r="F195" s="694"/>
      <c r="G195" s="694"/>
      <c r="H195" s="694"/>
      <c r="I195" s="694"/>
      <c r="J195" s="694"/>
      <c r="K195" s="694"/>
      <c r="L195" s="694"/>
      <c r="M195" s="694"/>
      <c r="N195" s="694"/>
      <c r="O195" s="694"/>
      <c r="P195" s="694"/>
      <c r="Q195" s="694"/>
      <c r="R195" s="694"/>
      <c r="S195" s="694"/>
      <c r="T195" s="694"/>
      <c r="U195" s="694"/>
      <c r="V195" s="694"/>
      <c r="W195" s="694"/>
      <c r="X195" s="694"/>
      <c r="Y195" s="694"/>
      <c r="Z195" s="694"/>
      <c r="AA195" s="54"/>
      <c r="AB195" s="54"/>
      <c r="AC195" s="54"/>
    </row>
    <row r="196" spans="1:68" ht="16.5" customHeight="1">
      <c r="A196" s="695" t="s">
        <v>339</v>
      </c>
      <c r="B196" s="695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695"/>
      <c r="P196" s="695"/>
      <c r="Q196" s="695"/>
      <c r="R196" s="695"/>
      <c r="S196" s="695"/>
      <c r="T196" s="695"/>
      <c r="U196" s="695"/>
      <c r="V196" s="695"/>
      <c r="W196" s="695"/>
      <c r="X196" s="695"/>
      <c r="Y196" s="695"/>
      <c r="Z196" s="695"/>
      <c r="AA196" s="65"/>
      <c r="AB196" s="65"/>
      <c r="AC196" s="79"/>
    </row>
    <row r="197" spans="1:68" ht="14.25" customHeight="1">
      <c r="A197" s="696" t="s">
        <v>128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66"/>
      <c r="AB197" s="66"/>
      <c r="AC197" s="80"/>
    </row>
    <row r="198" spans="1:68" ht="27" customHeight="1">
      <c r="A198" s="63" t="s">
        <v>340</v>
      </c>
      <c r="B198" s="63" t="s">
        <v>341</v>
      </c>
      <c r="C198" s="36">
        <v>4301011223</v>
      </c>
      <c r="D198" s="697">
        <v>4607091383423</v>
      </c>
      <c r="E198" s="69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9"/>
      <c r="R198" s="699"/>
      <c r="S198" s="699"/>
      <c r="T198" s="70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customHeight="1">
      <c r="A199" s="63" t="s">
        <v>342</v>
      </c>
      <c r="B199" s="63" t="s">
        <v>343</v>
      </c>
      <c r="C199" s="36">
        <v>4301012340</v>
      </c>
      <c r="D199" s="697">
        <v>4680115888760</v>
      </c>
      <c r="E199" s="69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customHeight="1">
      <c r="A200" s="63" t="s">
        <v>345</v>
      </c>
      <c r="B200" s="63" t="s">
        <v>346</v>
      </c>
      <c r="C200" s="36">
        <v>4301012341</v>
      </c>
      <c r="D200" s="697">
        <v>4680115888807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customHeight="1">
      <c r="A201" s="63" t="s">
        <v>348</v>
      </c>
      <c r="B201" s="63" t="s">
        <v>349</v>
      </c>
      <c r="C201" s="36">
        <v>4301012342</v>
      </c>
      <c r="D201" s="697">
        <v>4680115888852</v>
      </c>
      <c r="E201" s="69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customHeight="1">
      <c r="A202" s="63" t="s">
        <v>351</v>
      </c>
      <c r="B202" s="63" t="s">
        <v>352</v>
      </c>
      <c r="C202" s="36">
        <v>4301012370</v>
      </c>
      <c r="D202" s="697">
        <v>4680115886957</v>
      </c>
      <c r="E202" s="69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customHeight="1">
      <c r="A203" s="63" t="s">
        <v>354</v>
      </c>
      <c r="B203" s="63" t="s">
        <v>355</v>
      </c>
      <c r="C203" s="36">
        <v>4301012098</v>
      </c>
      <c r="D203" s="697">
        <v>4680115885660</v>
      </c>
      <c r="E203" s="69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customHeight="1">
      <c r="A204" s="63" t="s">
        <v>357</v>
      </c>
      <c r="B204" s="63" t="s">
        <v>358</v>
      </c>
      <c r="C204" s="36">
        <v>4301012369</v>
      </c>
      <c r="D204" s="697">
        <v>4680115886773</v>
      </c>
      <c r="E204" s="69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>
      <c r="A205" s="705"/>
      <c r="B205" s="705"/>
      <c r="C205" s="705"/>
      <c r="D205" s="705"/>
      <c r="E205" s="705"/>
      <c r="F205" s="705"/>
      <c r="G205" s="705"/>
      <c r="H205" s="705"/>
      <c r="I205" s="705"/>
      <c r="J205" s="705"/>
      <c r="K205" s="705"/>
      <c r="L205" s="705"/>
      <c r="M205" s="705"/>
      <c r="N205" s="705"/>
      <c r="O205" s="706"/>
      <c r="P205" s="702" t="s">
        <v>40</v>
      </c>
      <c r="Q205" s="703"/>
      <c r="R205" s="703"/>
      <c r="S205" s="703"/>
      <c r="T205" s="703"/>
      <c r="U205" s="703"/>
      <c r="V205" s="70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>
      <c r="A206" s="705"/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6"/>
      <c r="P206" s="702" t="s">
        <v>40</v>
      </c>
      <c r="Q206" s="703"/>
      <c r="R206" s="703"/>
      <c r="S206" s="703"/>
      <c r="T206" s="703"/>
      <c r="U206" s="703"/>
      <c r="V206" s="70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>
      <c r="A207" s="695" t="s">
        <v>360</v>
      </c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5"/>
      <c r="AB207" s="65"/>
      <c r="AC207" s="79"/>
    </row>
    <row r="208" spans="1:68" ht="14.25" customHeight="1">
      <c r="A208" s="696" t="s">
        <v>164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6"/>
      <c r="AB208" s="66"/>
      <c r="AC208" s="80"/>
    </row>
    <row r="209" spans="1:68" ht="27" customHeight="1">
      <c r="A209" s="63" t="s">
        <v>361</v>
      </c>
      <c r="B209" s="63" t="s">
        <v>362</v>
      </c>
      <c r="C209" s="36">
        <v>4301020323</v>
      </c>
      <c r="D209" s="697">
        <v>4680115886223</v>
      </c>
      <c r="E209" s="69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9"/>
      <c r="R209" s="699"/>
      <c r="S209" s="699"/>
      <c r="T209" s="70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>
      <c r="A210" s="705"/>
      <c r="B210" s="705"/>
      <c r="C210" s="705"/>
      <c r="D210" s="705"/>
      <c r="E210" s="705"/>
      <c r="F210" s="705"/>
      <c r="G210" s="705"/>
      <c r="H210" s="705"/>
      <c r="I210" s="705"/>
      <c r="J210" s="705"/>
      <c r="K210" s="705"/>
      <c r="L210" s="705"/>
      <c r="M210" s="705"/>
      <c r="N210" s="705"/>
      <c r="O210" s="706"/>
      <c r="P210" s="702" t="s">
        <v>40</v>
      </c>
      <c r="Q210" s="703"/>
      <c r="R210" s="703"/>
      <c r="S210" s="703"/>
      <c r="T210" s="703"/>
      <c r="U210" s="703"/>
      <c r="V210" s="70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>
      <c r="A211" s="705"/>
      <c r="B211" s="705"/>
      <c r="C211" s="705"/>
      <c r="D211" s="705"/>
      <c r="E211" s="705"/>
      <c r="F211" s="705"/>
      <c r="G211" s="705"/>
      <c r="H211" s="705"/>
      <c r="I211" s="705"/>
      <c r="J211" s="705"/>
      <c r="K211" s="705"/>
      <c r="L211" s="705"/>
      <c r="M211" s="705"/>
      <c r="N211" s="705"/>
      <c r="O211" s="706"/>
      <c r="P211" s="702" t="s">
        <v>40</v>
      </c>
      <c r="Q211" s="703"/>
      <c r="R211" s="703"/>
      <c r="S211" s="703"/>
      <c r="T211" s="703"/>
      <c r="U211" s="703"/>
      <c r="V211" s="70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>
      <c r="A212" s="696" t="s">
        <v>77</v>
      </c>
      <c r="B212" s="696"/>
      <c r="C212" s="696"/>
      <c r="D212" s="696"/>
      <c r="E212" s="696"/>
      <c r="F212" s="696"/>
      <c r="G212" s="696"/>
      <c r="H212" s="696"/>
      <c r="I212" s="696"/>
      <c r="J212" s="696"/>
      <c r="K212" s="696"/>
      <c r="L212" s="696"/>
      <c r="M212" s="696"/>
      <c r="N212" s="696"/>
      <c r="O212" s="696"/>
      <c r="P212" s="696"/>
      <c r="Q212" s="696"/>
      <c r="R212" s="696"/>
      <c r="S212" s="696"/>
      <c r="T212" s="696"/>
      <c r="U212" s="696"/>
      <c r="V212" s="696"/>
      <c r="W212" s="696"/>
      <c r="X212" s="696"/>
      <c r="Y212" s="696"/>
      <c r="Z212" s="696"/>
      <c r="AA212" s="66"/>
      <c r="AB212" s="66"/>
      <c r="AC212" s="80"/>
    </row>
    <row r="213" spans="1:68" ht="27" customHeight="1">
      <c r="A213" s="63" t="s">
        <v>364</v>
      </c>
      <c r="B213" s="63" t="s">
        <v>365</v>
      </c>
      <c r="C213" s="36">
        <v>4301031191</v>
      </c>
      <c r="D213" s="697">
        <v>4680115880993</v>
      </c>
      <c r="E213" s="69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9"/>
      <c r="R213" s="699"/>
      <c r="S213" s="699"/>
      <c r="T213" s="70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customHeight="1">
      <c r="A214" s="63" t="s">
        <v>367</v>
      </c>
      <c r="B214" s="63" t="s">
        <v>368</v>
      </c>
      <c r="C214" s="36">
        <v>4301031204</v>
      </c>
      <c r="D214" s="697">
        <v>4680115881761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>
      <c r="A215" s="63" t="s">
        <v>370</v>
      </c>
      <c r="B215" s="63" t="s">
        <v>371</v>
      </c>
      <c r="C215" s="36">
        <v>4301031201</v>
      </c>
      <c r="D215" s="697">
        <v>4680115881563</v>
      </c>
      <c r="E215" s="69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customHeight="1">
      <c r="A216" s="63" t="s">
        <v>373</v>
      </c>
      <c r="B216" s="63" t="s">
        <v>374</v>
      </c>
      <c r="C216" s="36">
        <v>4301031447</v>
      </c>
      <c r="D216" s="697">
        <v>4680115887565</v>
      </c>
      <c r="E216" s="69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>
      <c r="A217" s="63" t="s">
        <v>376</v>
      </c>
      <c r="B217" s="63" t="s">
        <v>377</v>
      </c>
      <c r="C217" s="36">
        <v>4301031199</v>
      </c>
      <c r="D217" s="697">
        <v>4680115880986</v>
      </c>
      <c r="E217" s="69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>
      <c r="A218" s="63" t="s">
        <v>378</v>
      </c>
      <c r="B218" s="63" t="s">
        <v>379</v>
      </c>
      <c r="C218" s="36">
        <v>4301031443</v>
      </c>
      <c r="D218" s="697">
        <v>4680115887213</v>
      </c>
      <c r="E218" s="69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>
      <c r="A219" s="63" t="s">
        <v>381</v>
      </c>
      <c r="B219" s="63" t="s">
        <v>382</v>
      </c>
      <c r="C219" s="36">
        <v>4301031205</v>
      </c>
      <c r="D219" s="697">
        <v>4680115881785</v>
      </c>
      <c r="E219" s="69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>
      <c r="A220" s="63" t="s">
        <v>383</v>
      </c>
      <c r="B220" s="63" t="s">
        <v>384</v>
      </c>
      <c r="C220" s="36">
        <v>4301031499</v>
      </c>
      <c r="D220" s="697">
        <v>4680115888432</v>
      </c>
      <c r="E220" s="69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>
      <c r="A221" s="63" t="s">
        <v>386</v>
      </c>
      <c r="B221" s="63" t="s">
        <v>387</v>
      </c>
      <c r="C221" s="36">
        <v>4301031427</v>
      </c>
      <c r="D221" s="697">
        <v>4680115888104</v>
      </c>
      <c r="E221" s="69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>
      <c r="A222" s="63" t="s">
        <v>389</v>
      </c>
      <c r="B222" s="63" t="s">
        <v>390</v>
      </c>
      <c r="C222" s="36">
        <v>4301031399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>
      <c r="A223" s="63" t="s">
        <v>392</v>
      </c>
      <c r="B223" s="63" t="s">
        <v>393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customHeight="1">
      <c r="A224" s="63" t="s">
        <v>395</v>
      </c>
      <c r="B224" s="63" t="s">
        <v>396</v>
      </c>
      <c r="C224" s="36">
        <v>4301031202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>
      <c r="A225" s="63" t="s">
        <v>397</v>
      </c>
      <c r="B225" s="63" t="s">
        <v>398</v>
      </c>
      <c r="C225" s="36">
        <v>4301031158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>
      <c r="A226" s="63" t="s">
        <v>399</v>
      </c>
      <c r="B226" s="63" t="s">
        <v>400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>
      <c r="A227" s="705"/>
      <c r="B227" s="705"/>
      <c r="C227" s="705"/>
      <c r="D227" s="705"/>
      <c r="E227" s="705"/>
      <c r="F227" s="705"/>
      <c r="G227" s="705"/>
      <c r="H227" s="705"/>
      <c r="I227" s="705"/>
      <c r="J227" s="705"/>
      <c r="K227" s="705"/>
      <c r="L227" s="705"/>
      <c r="M227" s="705"/>
      <c r="N227" s="705"/>
      <c r="O227" s="706"/>
      <c r="P227" s="702" t="s">
        <v>40</v>
      </c>
      <c r="Q227" s="703"/>
      <c r="R227" s="703"/>
      <c r="S227" s="703"/>
      <c r="T227" s="703"/>
      <c r="U227" s="703"/>
      <c r="V227" s="70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>
      <c r="A228" s="705"/>
      <c r="B228" s="705"/>
      <c r="C228" s="705"/>
      <c r="D228" s="705"/>
      <c r="E228" s="705"/>
      <c r="F228" s="705"/>
      <c r="G228" s="705"/>
      <c r="H228" s="705"/>
      <c r="I228" s="705"/>
      <c r="J228" s="705"/>
      <c r="K228" s="705"/>
      <c r="L228" s="705"/>
      <c r="M228" s="705"/>
      <c r="N228" s="705"/>
      <c r="O228" s="706"/>
      <c r="P228" s="702" t="s">
        <v>40</v>
      </c>
      <c r="Q228" s="703"/>
      <c r="R228" s="703"/>
      <c r="S228" s="703"/>
      <c r="T228" s="703"/>
      <c r="U228" s="703"/>
      <c r="V228" s="704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>
      <c r="A229" s="696" t="s">
        <v>86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27" customHeight="1">
      <c r="A230" s="63" t="s">
        <v>402</v>
      </c>
      <c r="B230" s="63" t="s">
        <v>403</v>
      </c>
      <c r="C230" s="36">
        <v>4301052178</v>
      </c>
      <c r="D230" s="697">
        <v>4680115888975</v>
      </c>
      <c r="E230" s="69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>
      <c r="A231" s="63" t="s">
        <v>405</v>
      </c>
      <c r="B231" s="63" t="s">
        <v>406</v>
      </c>
      <c r="C231" s="36">
        <v>4301052209</v>
      </c>
      <c r="D231" s="697">
        <v>4680115888692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>
      <c r="A232" s="63" t="s">
        <v>408</v>
      </c>
      <c r="B232" s="63" t="s">
        <v>409</v>
      </c>
      <c r="C232" s="36">
        <v>4301052213</v>
      </c>
      <c r="D232" s="697">
        <v>4680115888722</v>
      </c>
      <c r="E232" s="69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>
      <c r="A233" s="63" t="s">
        <v>411</v>
      </c>
      <c r="B233" s="63" t="s">
        <v>412</v>
      </c>
      <c r="C233" s="36">
        <v>4301052177</v>
      </c>
      <c r="D233" s="697">
        <v>4680115888951</v>
      </c>
      <c r="E233" s="69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>
      <c r="A234" s="63" t="s">
        <v>414</v>
      </c>
      <c r="B234" s="63" t="s">
        <v>415</v>
      </c>
      <c r="C234" s="36">
        <v>4301052176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>
      <c r="A235" s="705"/>
      <c r="B235" s="705"/>
      <c r="C235" s="705"/>
      <c r="D235" s="705"/>
      <c r="E235" s="705"/>
      <c r="F235" s="705"/>
      <c r="G235" s="705"/>
      <c r="H235" s="705"/>
      <c r="I235" s="705"/>
      <c r="J235" s="705"/>
      <c r="K235" s="705"/>
      <c r="L235" s="705"/>
      <c r="M235" s="705"/>
      <c r="N235" s="705"/>
      <c r="O235" s="706"/>
      <c r="P235" s="702" t="s">
        <v>40</v>
      </c>
      <c r="Q235" s="703"/>
      <c r="R235" s="703"/>
      <c r="S235" s="703"/>
      <c r="T235" s="703"/>
      <c r="U235" s="703"/>
      <c r="V235" s="70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>
      <c r="A236" s="705"/>
      <c r="B236" s="705"/>
      <c r="C236" s="705"/>
      <c r="D236" s="705"/>
      <c r="E236" s="705"/>
      <c r="F236" s="705"/>
      <c r="G236" s="705"/>
      <c r="H236" s="705"/>
      <c r="I236" s="705"/>
      <c r="J236" s="705"/>
      <c r="K236" s="705"/>
      <c r="L236" s="705"/>
      <c r="M236" s="705"/>
      <c r="N236" s="705"/>
      <c r="O236" s="706"/>
      <c r="P236" s="702" t="s">
        <v>40</v>
      </c>
      <c r="Q236" s="703"/>
      <c r="R236" s="703"/>
      <c r="S236" s="703"/>
      <c r="T236" s="703"/>
      <c r="U236" s="703"/>
      <c r="V236" s="70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>
      <c r="A237" s="696" t="s">
        <v>104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customHeight="1">
      <c r="A238" s="63" t="s">
        <v>416</v>
      </c>
      <c r="B238" s="63" t="s">
        <v>417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>
      <c r="A239" s="63" t="s">
        <v>419</v>
      </c>
      <c r="B239" s="63" t="s">
        <v>420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>
      <c r="A240" s="63" t="s">
        <v>422</v>
      </c>
      <c r="B240" s="63" t="s">
        <v>423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>
      <c r="A241" s="705"/>
      <c r="B241" s="705"/>
      <c r="C241" s="705"/>
      <c r="D241" s="705"/>
      <c r="E241" s="705"/>
      <c r="F241" s="705"/>
      <c r="G241" s="705"/>
      <c r="H241" s="705"/>
      <c r="I241" s="705"/>
      <c r="J241" s="705"/>
      <c r="K241" s="705"/>
      <c r="L241" s="705"/>
      <c r="M241" s="705"/>
      <c r="N241" s="705"/>
      <c r="O241" s="706"/>
      <c r="P241" s="702" t="s">
        <v>40</v>
      </c>
      <c r="Q241" s="703"/>
      <c r="R241" s="703"/>
      <c r="S241" s="703"/>
      <c r="T241" s="703"/>
      <c r="U241" s="703"/>
      <c r="V241" s="70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>
      <c r="A242" s="705"/>
      <c r="B242" s="705"/>
      <c r="C242" s="705"/>
      <c r="D242" s="705"/>
      <c r="E242" s="705"/>
      <c r="F242" s="705"/>
      <c r="G242" s="705"/>
      <c r="H242" s="705"/>
      <c r="I242" s="705"/>
      <c r="J242" s="705"/>
      <c r="K242" s="705"/>
      <c r="L242" s="705"/>
      <c r="M242" s="705"/>
      <c r="N242" s="705"/>
      <c r="O242" s="706"/>
      <c r="P242" s="702" t="s">
        <v>40</v>
      </c>
      <c r="Q242" s="703"/>
      <c r="R242" s="703"/>
      <c r="S242" s="703"/>
      <c r="T242" s="703"/>
      <c r="U242" s="703"/>
      <c r="V242" s="70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>
      <c r="A243" s="696" t="s">
        <v>424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customHeight="1">
      <c r="A244" s="63" t="s">
        <v>425</v>
      </c>
      <c r="B244" s="63" t="s">
        <v>426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>
      <c r="A245" s="705"/>
      <c r="B245" s="705"/>
      <c r="C245" s="705"/>
      <c r="D245" s="705"/>
      <c r="E245" s="705"/>
      <c r="F245" s="705"/>
      <c r="G245" s="705"/>
      <c r="H245" s="705"/>
      <c r="I245" s="705"/>
      <c r="J245" s="705"/>
      <c r="K245" s="705"/>
      <c r="L245" s="705"/>
      <c r="M245" s="705"/>
      <c r="N245" s="705"/>
      <c r="O245" s="706"/>
      <c r="P245" s="702" t="s">
        <v>40</v>
      </c>
      <c r="Q245" s="703"/>
      <c r="R245" s="703"/>
      <c r="S245" s="703"/>
      <c r="T245" s="703"/>
      <c r="U245" s="703"/>
      <c r="V245" s="70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>
      <c r="A246" s="705"/>
      <c r="B246" s="705"/>
      <c r="C246" s="705"/>
      <c r="D246" s="705"/>
      <c r="E246" s="705"/>
      <c r="F246" s="705"/>
      <c r="G246" s="705"/>
      <c r="H246" s="705"/>
      <c r="I246" s="705"/>
      <c r="J246" s="705"/>
      <c r="K246" s="705"/>
      <c r="L246" s="705"/>
      <c r="M246" s="705"/>
      <c r="N246" s="705"/>
      <c r="O246" s="706"/>
      <c r="P246" s="702" t="s">
        <v>40</v>
      </c>
      <c r="Q246" s="703"/>
      <c r="R246" s="703"/>
      <c r="S246" s="703"/>
      <c r="T246" s="703"/>
      <c r="U246" s="703"/>
      <c r="V246" s="70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>
      <c r="A247" s="695" t="s">
        <v>427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customHeight="1">
      <c r="A248" s="696" t="s">
        <v>128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customHeight="1">
      <c r="A249" s="63" t="s">
        <v>428</v>
      </c>
      <c r="B249" s="63" t="s">
        <v>429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>
      <c r="A250" s="63" t="s">
        <v>431</v>
      </c>
      <c r="B250" s="63" t="s">
        <v>432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>
      <c r="A251" s="705"/>
      <c r="B251" s="705"/>
      <c r="C251" s="705"/>
      <c r="D251" s="705"/>
      <c r="E251" s="705"/>
      <c r="F251" s="705"/>
      <c r="G251" s="705"/>
      <c r="H251" s="705"/>
      <c r="I251" s="705"/>
      <c r="J251" s="705"/>
      <c r="K251" s="705"/>
      <c r="L251" s="705"/>
      <c r="M251" s="705"/>
      <c r="N251" s="705"/>
      <c r="O251" s="706"/>
      <c r="P251" s="702" t="s">
        <v>40</v>
      </c>
      <c r="Q251" s="703"/>
      <c r="R251" s="703"/>
      <c r="S251" s="703"/>
      <c r="T251" s="703"/>
      <c r="U251" s="703"/>
      <c r="V251" s="70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>
      <c r="A252" s="705"/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6"/>
      <c r="P252" s="702" t="s">
        <v>40</v>
      </c>
      <c r="Q252" s="703"/>
      <c r="R252" s="703"/>
      <c r="S252" s="703"/>
      <c r="T252" s="703"/>
      <c r="U252" s="703"/>
      <c r="V252" s="70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>
      <c r="A253" s="696" t="s">
        <v>164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customHeight="1">
      <c r="A254" s="63" t="s">
        <v>433</v>
      </c>
      <c r="B254" s="63" t="s">
        <v>434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>
      <c r="A255" s="63" t="s">
        <v>436</v>
      </c>
      <c r="B255" s="63" t="s">
        <v>437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>
      <c r="A256" s="705"/>
      <c r="B256" s="705"/>
      <c r="C256" s="705"/>
      <c r="D256" s="705"/>
      <c r="E256" s="705"/>
      <c r="F256" s="705"/>
      <c r="G256" s="705"/>
      <c r="H256" s="705"/>
      <c r="I256" s="705"/>
      <c r="J256" s="705"/>
      <c r="K256" s="705"/>
      <c r="L256" s="705"/>
      <c r="M256" s="705"/>
      <c r="N256" s="705"/>
      <c r="O256" s="706"/>
      <c r="P256" s="702" t="s">
        <v>40</v>
      </c>
      <c r="Q256" s="703"/>
      <c r="R256" s="703"/>
      <c r="S256" s="703"/>
      <c r="T256" s="703"/>
      <c r="U256" s="703"/>
      <c r="V256" s="70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>
      <c r="A257" s="705"/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6"/>
      <c r="P257" s="702" t="s">
        <v>40</v>
      </c>
      <c r="Q257" s="703"/>
      <c r="R257" s="703"/>
      <c r="S257" s="703"/>
      <c r="T257" s="703"/>
      <c r="U257" s="703"/>
      <c r="V257" s="70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>
      <c r="A259" s="63" t="s">
        <v>438</v>
      </c>
      <c r="B259" s="63" t="s">
        <v>439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customHeight="1">
      <c r="A260" s="63" t="s">
        <v>441</v>
      </c>
      <c r="B260" s="63" t="s">
        <v>442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>
      <c r="A261" s="63" t="s">
        <v>444</v>
      </c>
      <c r="B261" s="63" t="s">
        <v>445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customHeight="1">
      <c r="A262" s="63" t="s">
        <v>447</v>
      </c>
      <c r="B262" s="63" t="s">
        <v>448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customHeight="1">
      <c r="A263" s="63" t="s">
        <v>450</v>
      </c>
      <c r="B263" s="63" t="s">
        <v>451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customHeight="1">
      <c r="A264" s="63" t="s">
        <v>452</v>
      </c>
      <c r="B264" s="63" t="s">
        <v>453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customHeight="1">
      <c r="A265" s="63" t="s">
        <v>454</v>
      </c>
      <c r="B265" s="63" t="s">
        <v>455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customHeight="1">
      <c r="A266" s="63" t="s">
        <v>456</v>
      </c>
      <c r="B266" s="63" t="s">
        <v>457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>
      <c r="A267" s="705"/>
      <c r="B267" s="705"/>
      <c r="C267" s="705"/>
      <c r="D267" s="705"/>
      <c r="E267" s="705"/>
      <c r="F267" s="705"/>
      <c r="G267" s="705"/>
      <c r="H267" s="705"/>
      <c r="I267" s="705"/>
      <c r="J267" s="705"/>
      <c r="K267" s="705"/>
      <c r="L267" s="705"/>
      <c r="M267" s="705"/>
      <c r="N267" s="705"/>
      <c r="O267" s="706"/>
      <c r="P267" s="702" t="s">
        <v>40</v>
      </c>
      <c r="Q267" s="703"/>
      <c r="R267" s="703"/>
      <c r="S267" s="703"/>
      <c r="T267" s="703"/>
      <c r="U267" s="703"/>
      <c r="V267" s="70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>
      <c r="A268" s="705"/>
      <c r="B268" s="705"/>
      <c r="C268" s="705"/>
      <c r="D268" s="705"/>
      <c r="E268" s="705"/>
      <c r="F268" s="705"/>
      <c r="G268" s="705"/>
      <c r="H268" s="705"/>
      <c r="I268" s="705"/>
      <c r="J268" s="705"/>
      <c r="K268" s="705"/>
      <c r="L268" s="705"/>
      <c r="M268" s="705"/>
      <c r="N268" s="705"/>
      <c r="O268" s="706"/>
      <c r="P268" s="702" t="s">
        <v>40</v>
      </c>
      <c r="Q268" s="703"/>
      <c r="R268" s="703"/>
      <c r="S268" s="703"/>
      <c r="T268" s="703"/>
      <c r="U268" s="703"/>
      <c r="V268" s="70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>
      <c r="A269" s="696" t="s">
        <v>86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>
      <c r="A270" s="63" t="s">
        <v>458</v>
      </c>
      <c r="B270" s="63" t="s">
        <v>459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customHeight="1">
      <c r="A271" s="63" t="s">
        <v>461</v>
      </c>
      <c r="B271" s="63" t="s">
        <v>462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>
      <c r="A272" s="63" t="s">
        <v>464</v>
      </c>
      <c r="B272" s="63" t="s">
        <v>465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customHeight="1">
      <c r="A273" s="63" t="s">
        <v>467</v>
      </c>
      <c r="B273" s="63" t="s">
        <v>468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customHeight="1">
      <c r="A274" s="63" t="s">
        <v>469</v>
      </c>
      <c r="B274" s="63" t="s">
        <v>470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>
      <c r="A275" s="63" t="s">
        <v>471</v>
      </c>
      <c r="B275" s="63" t="s">
        <v>472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>
      <c r="A276" s="63" t="s">
        <v>474</v>
      </c>
      <c r="B276" s="63" t="s">
        <v>475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customHeight="1">
      <c r="A277" s="63" t="s">
        <v>476</v>
      </c>
      <c r="B277" s="63" t="s">
        <v>477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customHeight="1">
      <c r="A278" s="63" t="s">
        <v>478</v>
      </c>
      <c r="B278" s="63" t="s">
        <v>479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customHeight="1">
      <c r="A279" s="63" t="s">
        <v>480</v>
      </c>
      <c r="B279" s="63" t="s">
        <v>481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customHeight="1">
      <c r="A280" s="63" t="s">
        <v>483</v>
      </c>
      <c r="B280" s="63" t="s">
        <v>484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customHeight="1">
      <c r="A281" s="63" t="s">
        <v>486</v>
      </c>
      <c r="B281" s="63" t="s">
        <v>487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>
      <c r="A282" s="705"/>
      <c r="B282" s="705"/>
      <c r="C282" s="705"/>
      <c r="D282" s="705"/>
      <c r="E282" s="705"/>
      <c r="F282" s="705"/>
      <c r="G282" s="705"/>
      <c r="H282" s="705"/>
      <c r="I282" s="705"/>
      <c r="J282" s="705"/>
      <c r="K282" s="705"/>
      <c r="L282" s="705"/>
      <c r="M282" s="705"/>
      <c r="N282" s="705"/>
      <c r="O282" s="706"/>
      <c r="P282" s="702" t="s">
        <v>40</v>
      </c>
      <c r="Q282" s="703"/>
      <c r="R282" s="703"/>
      <c r="S282" s="703"/>
      <c r="T282" s="703"/>
      <c r="U282" s="703"/>
      <c r="V282" s="70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>
      <c r="A283" s="705"/>
      <c r="B283" s="705"/>
      <c r="C283" s="705"/>
      <c r="D283" s="705"/>
      <c r="E283" s="705"/>
      <c r="F283" s="705"/>
      <c r="G283" s="705"/>
      <c r="H283" s="705"/>
      <c r="I283" s="705"/>
      <c r="J283" s="705"/>
      <c r="K283" s="705"/>
      <c r="L283" s="705"/>
      <c r="M283" s="705"/>
      <c r="N283" s="705"/>
      <c r="O283" s="706"/>
      <c r="P283" s="702" t="s">
        <v>40</v>
      </c>
      <c r="Q283" s="703"/>
      <c r="R283" s="703"/>
      <c r="S283" s="703"/>
      <c r="T283" s="703"/>
      <c r="U283" s="703"/>
      <c r="V283" s="704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>
      <c r="A284" s="696" t="s">
        <v>181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>
      <c r="A285" s="63" t="s">
        <v>489</v>
      </c>
      <c r="B285" s="63" t="s">
        <v>490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>
      <c r="A286" s="63" t="s">
        <v>492</v>
      </c>
      <c r="B286" s="63" t="s">
        <v>493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>
      <c r="A287" s="705"/>
      <c r="B287" s="705"/>
      <c r="C287" s="705"/>
      <c r="D287" s="705"/>
      <c r="E287" s="705"/>
      <c r="F287" s="705"/>
      <c r="G287" s="705"/>
      <c r="H287" s="705"/>
      <c r="I287" s="705"/>
      <c r="J287" s="705"/>
      <c r="K287" s="705"/>
      <c r="L287" s="705"/>
      <c r="M287" s="705"/>
      <c r="N287" s="705"/>
      <c r="O287" s="706"/>
      <c r="P287" s="702" t="s">
        <v>40</v>
      </c>
      <c r="Q287" s="703"/>
      <c r="R287" s="703"/>
      <c r="S287" s="703"/>
      <c r="T287" s="703"/>
      <c r="U287" s="703"/>
      <c r="V287" s="70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>
      <c r="A288" s="705"/>
      <c r="B288" s="705"/>
      <c r="C288" s="705"/>
      <c r="D288" s="705"/>
      <c r="E288" s="705"/>
      <c r="F288" s="705"/>
      <c r="G288" s="705"/>
      <c r="H288" s="705"/>
      <c r="I288" s="705"/>
      <c r="J288" s="705"/>
      <c r="K288" s="705"/>
      <c r="L288" s="705"/>
      <c r="M288" s="705"/>
      <c r="N288" s="705"/>
      <c r="O288" s="706"/>
      <c r="P288" s="702" t="s">
        <v>40</v>
      </c>
      <c r="Q288" s="703"/>
      <c r="R288" s="703"/>
      <c r="S288" s="703"/>
      <c r="T288" s="703"/>
      <c r="U288" s="703"/>
      <c r="V288" s="70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>
      <c r="A289" s="695" t="s">
        <v>495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customHeight="1">
      <c r="A290" s="696" t="s">
        <v>128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customHeight="1">
      <c r="A291" s="63" t="s">
        <v>496</v>
      </c>
      <c r="B291" s="63" t="s">
        <v>497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customHeight="1">
      <c r="A292" s="63" t="s">
        <v>499</v>
      </c>
      <c r="B292" s="63" t="s">
        <v>500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customHeight="1">
      <c r="A293" s="63" t="s">
        <v>502</v>
      </c>
      <c r="B293" s="63" t="s">
        <v>503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customHeight="1">
      <c r="A294" s="63" t="s">
        <v>504</v>
      </c>
      <c r="B294" s="63" t="s">
        <v>505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customHeight="1">
      <c r="A295" s="63" t="s">
        <v>506</v>
      </c>
      <c r="B295" s="63" t="s">
        <v>507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customHeight="1">
      <c r="A296" s="63" t="s">
        <v>509</v>
      </c>
      <c r="B296" s="63" t="s">
        <v>510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>
      <c r="A297" s="63" t="s">
        <v>512</v>
      </c>
      <c r="B297" s="63" t="s">
        <v>513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>
      <c r="A298" s="705"/>
      <c r="B298" s="705"/>
      <c r="C298" s="705"/>
      <c r="D298" s="705"/>
      <c r="E298" s="705"/>
      <c r="F298" s="705"/>
      <c r="G298" s="705"/>
      <c r="H298" s="705"/>
      <c r="I298" s="705"/>
      <c r="J298" s="705"/>
      <c r="K298" s="705"/>
      <c r="L298" s="705"/>
      <c r="M298" s="705"/>
      <c r="N298" s="705"/>
      <c r="O298" s="706"/>
      <c r="P298" s="702" t="s">
        <v>40</v>
      </c>
      <c r="Q298" s="703"/>
      <c r="R298" s="703"/>
      <c r="S298" s="703"/>
      <c r="T298" s="703"/>
      <c r="U298" s="703"/>
      <c r="V298" s="70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>
      <c r="A299" s="705"/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6"/>
      <c r="P299" s="702" t="s">
        <v>40</v>
      </c>
      <c r="Q299" s="703"/>
      <c r="R299" s="703"/>
      <c r="S299" s="703"/>
      <c r="T299" s="703"/>
      <c r="U299" s="703"/>
      <c r="V299" s="70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>
      <c r="A300" s="696" t="s">
        <v>164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customHeight="1">
      <c r="A301" s="63" t="s">
        <v>514</v>
      </c>
      <c r="B301" s="63" t="s">
        <v>515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>
      <c r="A302" s="705"/>
      <c r="B302" s="705"/>
      <c r="C302" s="705"/>
      <c r="D302" s="705"/>
      <c r="E302" s="705"/>
      <c r="F302" s="705"/>
      <c r="G302" s="705"/>
      <c r="H302" s="705"/>
      <c r="I302" s="705"/>
      <c r="J302" s="705"/>
      <c r="K302" s="705"/>
      <c r="L302" s="705"/>
      <c r="M302" s="705"/>
      <c r="N302" s="705"/>
      <c r="O302" s="706"/>
      <c r="P302" s="702" t="s">
        <v>40</v>
      </c>
      <c r="Q302" s="703"/>
      <c r="R302" s="703"/>
      <c r="S302" s="703"/>
      <c r="T302" s="703"/>
      <c r="U302" s="703"/>
      <c r="V302" s="70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>
      <c r="A303" s="705"/>
      <c r="B303" s="705"/>
      <c r="C303" s="705"/>
      <c r="D303" s="705"/>
      <c r="E303" s="705"/>
      <c r="F303" s="705"/>
      <c r="G303" s="705"/>
      <c r="H303" s="705"/>
      <c r="I303" s="705"/>
      <c r="J303" s="705"/>
      <c r="K303" s="705"/>
      <c r="L303" s="705"/>
      <c r="M303" s="705"/>
      <c r="N303" s="705"/>
      <c r="O303" s="706"/>
      <c r="P303" s="702" t="s">
        <v>40</v>
      </c>
      <c r="Q303" s="703"/>
      <c r="R303" s="703"/>
      <c r="S303" s="703"/>
      <c r="T303" s="703"/>
      <c r="U303" s="703"/>
      <c r="V303" s="70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>
      <c r="A304" s="696" t="s">
        <v>517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customHeight="1">
      <c r="A305" s="63" t="s">
        <v>518</v>
      </c>
      <c r="B305" s="63" t="s">
        <v>519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>
      <c r="A306" s="705"/>
      <c r="B306" s="705"/>
      <c r="C306" s="705"/>
      <c r="D306" s="705"/>
      <c r="E306" s="705"/>
      <c r="F306" s="705"/>
      <c r="G306" s="705"/>
      <c r="H306" s="705"/>
      <c r="I306" s="705"/>
      <c r="J306" s="705"/>
      <c r="K306" s="705"/>
      <c r="L306" s="705"/>
      <c r="M306" s="705"/>
      <c r="N306" s="705"/>
      <c r="O306" s="706"/>
      <c r="P306" s="702" t="s">
        <v>40</v>
      </c>
      <c r="Q306" s="703"/>
      <c r="R306" s="703"/>
      <c r="S306" s="703"/>
      <c r="T306" s="703"/>
      <c r="U306" s="703"/>
      <c r="V306" s="70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>
      <c r="A307" s="705"/>
      <c r="B307" s="705"/>
      <c r="C307" s="705"/>
      <c r="D307" s="705"/>
      <c r="E307" s="705"/>
      <c r="F307" s="705"/>
      <c r="G307" s="705"/>
      <c r="H307" s="705"/>
      <c r="I307" s="705"/>
      <c r="J307" s="705"/>
      <c r="K307" s="705"/>
      <c r="L307" s="705"/>
      <c r="M307" s="705"/>
      <c r="N307" s="705"/>
      <c r="O307" s="706"/>
      <c r="P307" s="702" t="s">
        <v>40</v>
      </c>
      <c r="Q307" s="703"/>
      <c r="R307" s="703"/>
      <c r="S307" s="703"/>
      <c r="T307" s="703"/>
      <c r="U307" s="703"/>
      <c r="V307" s="70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customHeight="1">
      <c r="A309" s="63" t="s">
        <v>521</v>
      </c>
      <c r="B309" s="63" t="s">
        <v>522</v>
      </c>
      <c r="C309" s="36">
        <v>4301041004</v>
      </c>
      <c r="D309" s="697">
        <v>4680115886704</v>
      </c>
      <c r="E309" s="69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>
      <c r="A310" s="63" t="s">
        <v>524</v>
      </c>
      <c r="B310" s="63" t="s">
        <v>525</v>
      </c>
      <c r="C310" s="36">
        <v>4301041008</v>
      </c>
      <c r="D310" s="697">
        <v>4680115886681</v>
      </c>
      <c r="E310" s="69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>
      <c r="A311" s="63" t="s">
        <v>526</v>
      </c>
      <c r="B311" s="63" t="s">
        <v>527</v>
      </c>
      <c r="C311" s="36">
        <v>4301041007</v>
      </c>
      <c r="D311" s="697">
        <v>4680115886735</v>
      </c>
      <c r="E311" s="69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9"/>
      <c r="R311" s="699"/>
      <c r="S311" s="699"/>
      <c r="T311" s="70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>
      <c r="A312" s="705"/>
      <c r="B312" s="705"/>
      <c r="C312" s="705"/>
      <c r="D312" s="705"/>
      <c r="E312" s="705"/>
      <c r="F312" s="705"/>
      <c r="G312" s="705"/>
      <c r="H312" s="705"/>
      <c r="I312" s="705"/>
      <c r="J312" s="705"/>
      <c r="K312" s="705"/>
      <c r="L312" s="705"/>
      <c r="M312" s="705"/>
      <c r="N312" s="705"/>
      <c r="O312" s="706"/>
      <c r="P312" s="702" t="s">
        <v>40</v>
      </c>
      <c r="Q312" s="703"/>
      <c r="R312" s="703"/>
      <c r="S312" s="703"/>
      <c r="T312" s="703"/>
      <c r="U312" s="703"/>
      <c r="V312" s="70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>
      <c r="A313" s="705"/>
      <c r="B313" s="705"/>
      <c r="C313" s="705"/>
      <c r="D313" s="705"/>
      <c r="E313" s="705"/>
      <c r="F313" s="705"/>
      <c r="G313" s="705"/>
      <c r="H313" s="705"/>
      <c r="I313" s="705"/>
      <c r="J313" s="705"/>
      <c r="K313" s="705"/>
      <c r="L313" s="705"/>
      <c r="M313" s="705"/>
      <c r="N313" s="705"/>
      <c r="O313" s="706"/>
      <c r="P313" s="702" t="s">
        <v>40</v>
      </c>
      <c r="Q313" s="703"/>
      <c r="R313" s="703"/>
      <c r="S313" s="703"/>
      <c r="T313" s="703"/>
      <c r="U313" s="703"/>
      <c r="V313" s="70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>
      <c r="A314" s="695" t="s">
        <v>528</v>
      </c>
      <c r="B314" s="695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V314" s="695"/>
      <c r="W314" s="695"/>
      <c r="X314" s="695"/>
      <c r="Y314" s="695"/>
      <c r="Z314" s="695"/>
      <c r="AA314" s="65"/>
      <c r="AB314" s="65"/>
      <c r="AC314" s="79"/>
    </row>
    <row r="315" spans="1:68" ht="14.25" customHeight="1">
      <c r="A315" s="696" t="s">
        <v>128</v>
      </c>
      <c r="B315" s="696"/>
      <c r="C315" s="696"/>
      <c r="D315" s="696"/>
      <c r="E315" s="696"/>
      <c r="F315" s="696"/>
      <c r="G315" s="696"/>
      <c r="H315" s="696"/>
      <c r="I315" s="696"/>
      <c r="J315" s="696"/>
      <c r="K315" s="696"/>
      <c r="L315" s="696"/>
      <c r="M315" s="696"/>
      <c r="N315" s="696"/>
      <c r="O315" s="696"/>
      <c r="P315" s="696"/>
      <c r="Q315" s="696"/>
      <c r="R315" s="696"/>
      <c r="S315" s="696"/>
      <c r="T315" s="696"/>
      <c r="U315" s="696"/>
      <c r="V315" s="696"/>
      <c r="W315" s="696"/>
      <c r="X315" s="696"/>
      <c r="Y315" s="696"/>
      <c r="Z315" s="696"/>
      <c r="AA315" s="66"/>
      <c r="AB315" s="66"/>
      <c r="AC315" s="80"/>
    </row>
    <row r="316" spans="1:68" ht="27" customHeight="1">
      <c r="A316" s="63" t="s">
        <v>529</v>
      </c>
      <c r="B316" s="63" t="s">
        <v>530</v>
      </c>
      <c r="C316" s="36">
        <v>4301011855</v>
      </c>
      <c r="D316" s="697">
        <v>4680115885837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>
      <c r="A317" s="63" t="s">
        <v>532</v>
      </c>
      <c r="B317" s="63" t="s">
        <v>533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>
      <c r="A318" s="63" t="s">
        <v>535</v>
      </c>
      <c r="B318" s="63" t="s">
        <v>536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>
      <c r="A319" s="63" t="s">
        <v>538</v>
      </c>
      <c r="B319" s="63" t="s">
        <v>539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>
      <c r="A320" s="63" t="s">
        <v>541</v>
      </c>
      <c r="B320" s="63" t="s">
        <v>542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>
      <c r="A321" s="705"/>
      <c r="B321" s="705"/>
      <c r="C321" s="705"/>
      <c r="D321" s="705"/>
      <c r="E321" s="705"/>
      <c r="F321" s="705"/>
      <c r="G321" s="705"/>
      <c r="H321" s="705"/>
      <c r="I321" s="705"/>
      <c r="J321" s="705"/>
      <c r="K321" s="705"/>
      <c r="L321" s="705"/>
      <c r="M321" s="705"/>
      <c r="N321" s="705"/>
      <c r="O321" s="706"/>
      <c r="P321" s="702" t="s">
        <v>40</v>
      </c>
      <c r="Q321" s="703"/>
      <c r="R321" s="703"/>
      <c r="S321" s="703"/>
      <c r="T321" s="703"/>
      <c r="U321" s="703"/>
      <c r="V321" s="70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>
      <c r="A322" s="705"/>
      <c r="B322" s="705"/>
      <c r="C322" s="705"/>
      <c r="D322" s="705"/>
      <c r="E322" s="705"/>
      <c r="F322" s="705"/>
      <c r="G322" s="705"/>
      <c r="H322" s="705"/>
      <c r="I322" s="705"/>
      <c r="J322" s="705"/>
      <c r="K322" s="705"/>
      <c r="L322" s="705"/>
      <c r="M322" s="705"/>
      <c r="N322" s="705"/>
      <c r="O322" s="706"/>
      <c r="P322" s="702" t="s">
        <v>40</v>
      </c>
      <c r="Q322" s="703"/>
      <c r="R322" s="703"/>
      <c r="S322" s="703"/>
      <c r="T322" s="703"/>
      <c r="U322" s="703"/>
      <c r="V322" s="70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>
      <c r="A323" s="695" t="s">
        <v>544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customHeight="1">
      <c r="A324" s="696" t="s">
        <v>86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customHeight="1">
      <c r="A325" s="63" t="s">
        <v>545</v>
      </c>
      <c r="B325" s="63" t="s">
        <v>546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>
      <c r="A326" s="63" t="s">
        <v>548</v>
      </c>
      <c r="B326" s="63" t="s">
        <v>549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>
      <c r="A327" s="63" t="s">
        <v>551</v>
      </c>
      <c r="B327" s="63" t="s">
        <v>552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>
      <c r="A328" s="705"/>
      <c r="B328" s="705"/>
      <c r="C328" s="705"/>
      <c r="D328" s="705"/>
      <c r="E328" s="705"/>
      <c r="F328" s="705"/>
      <c r="G328" s="705"/>
      <c r="H328" s="705"/>
      <c r="I328" s="705"/>
      <c r="J328" s="705"/>
      <c r="K328" s="705"/>
      <c r="L328" s="705"/>
      <c r="M328" s="705"/>
      <c r="N328" s="705"/>
      <c r="O328" s="706"/>
      <c r="P328" s="702" t="s">
        <v>40</v>
      </c>
      <c r="Q328" s="703"/>
      <c r="R328" s="703"/>
      <c r="S328" s="703"/>
      <c r="T328" s="703"/>
      <c r="U328" s="703"/>
      <c r="V328" s="70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>
      <c r="A329" s="705"/>
      <c r="B329" s="705"/>
      <c r="C329" s="705"/>
      <c r="D329" s="705"/>
      <c r="E329" s="705"/>
      <c r="F329" s="705"/>
      <c r="G329" s="705"/>
      <c r="H329" s="705"/>
      <c r="I329" s="705"/>
      <c r="J329" s="705"/>
      <c r="K329" s="705"/>
      <c r="L329" s="705"/>
      <c r="M329" s="705"/>
      <c r="N329" s="705"/>
      <c r="O329" s="706"/>
      <c r="P329" s="702" t="s">
        <v>40</v>
      </c>
      <c r="Q329" s="703"/>
      <c r="R329" s="703"/>
      <c r="S329" s="703"/>
      <c r="T329" s="703"/>
      <c r="U329" s="703"/>
      <c r="V329" s="70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>
      <c r="A330" s="695" t="s">
        <v>553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customHeight="1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customHeight="1">
      <c r="A332" s="63" t="s">
        <v>554</v>
      </c>
      <c r="B332" s="63" t="s">
        <v>555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>
      <c r="A333" s="63" t="s">
        <v>556</v>
      </c>
      <c r="B333" s="63" t="s">
        <v>557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>
      <c r="A334" s="63" t="s">
        <v>559</v>
      </c>
      <c r="B334" s="63" t="s">
        <v>560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>
      <c r="A335" s="63" t="s">
        <v>562</v>
      </c>
      <c r="B335" s="63" t="s">
        <v>563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>
      <c r="A336" s="63" t="s">
        <v>565</v>
      </c>
      <c r="B336" s="63" t="s">
        <v>566</v>
      </c>
      <c r="C336" s="36">
        <v>4301031246</v>
      </c>
      <c r="D336" s="697">
        <v>4680115883970</v>
      </c>
      <c r="E336" s="69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9"/>
      <c r="R336" s="699"/>
      <c r="S336" s="699"/>
      <c r="T336" s="70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>
      <c r="A337" s="705"/>
      <c r="B337" s="705"/>
      <c r="C337" s="705"/>
      <c r="D337" s="705"/>
      <c r="E337" s="705"/>
      <c r="F337" s="705"/>
      <c r="G337" s="705"/>
      <c r="H337" s="705"/>
      <c r="I337" s="705"/>
      <c r="J337" s="705"/>
      <c r="K337" s="705"/>
      <c r="L337" s="705"/>
      <c r="M337" s="705"/>
      <c r="N337" s="705"/>
      <c r="O337" s="706"/>
      <c r="P337" s="702" t="s">
        <v>40</v>
      </c>
      <c r="Q337" s="703"/>
      <c r="R337" s="703"/>
      <c r="S337" s="703"/>
      <c r="T337" s="703"/>
      <c r="U337" s="703"/>
      <c r="V337" s="70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>
      <c r="A338" s="705"/>
      <c r="B338" s="705"/>
      <c r="C338" s="705"/>
      <c r="D338" s="705"/>
      <c r="E338" s="705"/>
      <c r="F338" s="705"/>
      <c r="G338" s="705"/>
      <c r="H338" s="705"/>
      <c r="I338" s="705"/>
      <c r="J338" s="705"/>
      <c r="K338" s="705"/>
      <c r="L338" s="705"/>
      <c r="M338" s="705"/>
      <c r="N338" s="705"/>
      <c r="O338" s="706"/>
      <c r="P338" s="702" t="s">
        <v>40</v>
      </c>
      <c r="Q338" s="703"/>
      <c r="R338" s="703"/>
      <c r="S338" s="703"/>
      <c r="T338" s="703"/>
      <c r="U338" s="703"/>
      <c r="V338" s="70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>
      <c r="A339" s="696" t="s">
        <v>86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66"/>
      <c r="AB339" s="66"/>
      <c r="AC339" s="80"/>
    </row>
    <row r="340" spans="1:68" ht="27" customHeight="1">
      <c r="A340" s="63" t="s">
        <v>568</v>
      </c>
      <c r="B340" s="63" t="s">
        <v>569</v>
      </c>
      <c r="C340" s="36">
        <v>4301051782</v>
      </c>
      <c r="D340" s="697">
        <v>4680115884618</v>
      </c>
      <c r="E340" s="69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>
      <c r="A341" s="63" t="s">
        <v>571</v>
      </c>
      <c r="B341" s="63" t="s">
        <v>572</v>
      </c>
      <c r="C341" s="36">
        <v>4301052057</v>
      </c>
      <c r="D341" s="697">
        <v>4680115887114</v>
      </c>
      <c r="E341" s="69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>
      <c r="A342" s="705"/>
      <c r="B342" s="705"/>
      <c r="C342" s="705"/>
      <c r="D342" s="705"/>
      <c r="E342" s="705"/>
      <c r="F342" s="705"/>
      <c r="G342" s="705"/>
      <c r="H342" s="705"/>
      <c r="I342" s="705"/>
      <c r="J342" s="705"/>
      <c r="K342" s="705"/>
      <c r="L342" s="705"/>
      <c r="M342" s="705"/>
      <c r="N342" s="705"/>
      <c r="O342" s="706"/>
      <c r="P342" s="702" t="s">
        <v>40</v>
      </c>
      <c r="Q342" s="703"/>
      <c r="R342" s="703"/>
      <c r="S342" s="703"/>
      <c r="T342" s="703"/>
      <c r="U342" s="703"/>
      <c r="V342" s="70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>
      <c r="A343" s="705"/>
      <c r="B343" s="705"/>
      <c r="C343" s="705"/>
      <c r="D343" s="705"/>
      <c r="E343" s="705"/>
      <c r="F343" s="705"/>
      <c r="G343" s="705"/>
      <c r="H343" s="705"/>
      <c r="I343" s="705"/>
      <c r="J343" s="705"/>
      <c r="K343" s="705"/>
      <c r="L343" s="705"/>
      <c r="M343" s="705"/>
      <c r="N343" s="705"/>
      <c r="O343" s="706"/>
      <c r="P343" s="702" t="s">
        <v>40</v>
      </c>
      <c r="Q343" s="703"/>
      <c r="R343" s="703"/>
      <c r="S343" s="703"/>
      <c r="T343" s="703"/>
      <c r="U343" s="703"/>
      <c r="V343" s="70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>
      <c r="A344" s="695" t="s">
        <v>574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customHeight="1">
      <c r="A345" s="696" t="s">
        <v>128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>
      <c r="A346" s="63" t="s">
        <v>575</v>
      </c>
      <c r="B346" s="63" t="s">
        <v>576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>
      <c r="A347" s="63" t="s">
        <v>577</v>
      </c>
      <c r="B347" s="63" t="s">
        <v>578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>
      <c r="A348" s="63" t="s">
        <v>580</v>
      </c>
      <c r="B348" s="63" t="s">
        <v>581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>
      <c r="A349" s="705"/>
      <c r="B349" s="705"/>
      <c r="C349" s="705"/>
      <c r="D349" s="705"/>
      <c r="E349" s="705"/>
      <c r="F349" s="705"/>
      <c r="G349" s="705"/>
      <c r="H349" s="705"/>
      <c r="I349" s="705"/>
      <c r="J349" s="705"/>
      <c r="K349" s="705"/>
      <c r="L349" s="705"/>
      <c r="M349" s="705"/>
      <c r="N349" s="705"/>
      <c r="O349" s="706"/>
      <c r="P349" s="702" t="s">
        <v>40</v>
      </c>
      <c r="Q349" s="703"/>
      <c r="R349" s="703"/>
      <c r="S349" s="703"/>
      <c r="T349" s="703"/>
      <c r="U349" s="703"/>
      <c r="V349" s="70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>
      <c r="A350" s="705"/>
      <c r="B350" s="705"/>
      <c r="C350" s="705"/>
      <c r="D350" s="705"/>
      <c r="E350" s="705"/>
      <c r="F350" s="705"/>
      <c r="G350" s="705"/>
      <c r="H350" s="705"/>
      <c r="I350" s="705"/>
      <c r="J350" s="705"/>
      <c r="K350" s="705"/>
      <c r="L350" s="705"/>
      <c r="M350" s="705"/>
      <c r="N350" s="705"/>
      <c r="O350" s="706"/>
      <c r="P350" s="702" t="s">
        <v>40</v>
      </c>
      <c r="Q350" s="703"/>
      <c r="R350" s="703"/>
      <c r="S350" s="703"/>
      <c r="T350" s="703"/>
      <c r="U350" s="703"/>
      <c r="V350" s="70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>
      <c r="A351" s="695" t="s">
        <v>583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customHeight="1">
      <c r="A352" s="696" t="s">
        <v>128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customHeight="1">
      <c r="A353" s="63" t="s">
        <v>584</v>
      </c>
      <c r="B353" s="63" t="s">
        <v>585</v>
      </c>
      <c r="C353" s="36">
        <v>4301012126</v>
      </c>
      <c r="D353" s="697">
        <v>4607091386004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8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customHeight="1">
      <c r="A354" s="63" t="s">
        <v>587</v>
      </c>
      <c r="B354" s="63" t="s">
        <v>588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customHeight="1">
      <c r="A355" s="63" t="s">
        <v>590</v>
      </c>
      <c r="B355" s="63" t="s">
        <v>591</v>
      </c>
      <c r="C355" s="36">
        <v>4301012233</v>
      </c>
      <c r="D355" s="697">
        <v>4680115887138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customHeight="1">
      <c r="A356" s="63" t="s">
        <v>593</v>
      </c>
      <c r="B356" s="63" t="s">
        <v>594</v>
      </c>
      <c r="C356" s="36">
        <v>4301012016</v>
      </c>
      <c r="D356" s="697">
        <v>4680115885554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customHeight="1">
      <c r="A357" s="63" t="s">
        <v>596</v>
      </c>
      <c r="B357" s="63" t="s">
        <v>597</v>
      </c>
      <c r="C357" s="36">
        <v>4301012236</v>
      </c>
      <c r="D357" s="697">
        <v>4680115887220</v>
      </c>
      <c r="E357" s="69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customHeight="1">
      <c r="A358" s="63" t="s">
        <v>598</v>
      </c>
      <c r="B358" s="63" t="s">
        <v>599</v>
      </c>
      <c r="C358" s="36">
        <v>4301011859</v>
      </c>
      <c r="D358" s="697">
        <v>4680115885608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>
      <c r="A359" s="705"/>
      <c r="B359" s="705"/>
      <c r="C359" s="705"/>
      <c r="D359" s="705"/>
      <c r="E359" s="705"/>
      <c r="F359" s="705"/>
      <c r="G359" s="705"/>
      <c r="H359" s="705"/>
      <c r="I359" s="705"/>
      <c r="J359" s="705"/>
      <c r="K359" s="705"/>
      <c r="L359" s="705"/>
      <c r="M359" s="705"/>
      <c r="N359" s="705"/>
      <c r="O359" s="706"/>
      <c r="P359" s="702" t="s">
        <v>40</v>
      </c>
      <c r="Q359" s="703"/>
      <c r="R359" s="703"/>
      <c r="S359" s="703"/>
      <c r="T359" s="703"/>
      <c r="U359" s="703"/>
      <c r="V359" s="70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>
      <c r="A360" s="705"/>
      <c r="B360" s="705"/>
      <c r="C360" s="705"/>
      <c r="D360" s="705"/>
      <c r="E360" s="705"/>
      <c r="F360" s="705"/>
      <c r="G360" s="705"/>
      <c r="H360" s="705"/>
      <c r="I360" s="705"/>
      <c r="J360" s="705"/>
      <c r="K360" s="705"/>
      <c r="L360" s="705"/>
      <c r="M360" s="705"/>
      <c r="N360" s="705"/>
      <c r="O360" s="706"/>
      <c r="P360" s="702" t="s">
        <v>40</v>
      </c>
      <c r="Q360" s="703"/>
      <c r="R360" s="703"/>
      <c r="S360" s="703"/>
      <c r="T360" s="703"/>
      <c r="U360" s="703"/>
      <c r="V360" s="70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>
      <c r="A361" s="696" t="s">
        <v>77</v>
      </c>
      <c r="B361" s="696"/>
      <c r="C361" s="696"/>
      <c r="D361" s="696"/>
      <c r="E361" s="696"/>
      <c r="F361" s="696"/>
      <c r="G361" s="696"/>
      <c r="H361" s="696"/>
      <c r="I361" s="696"/>
      <c r="J361" s="696"/>
      <c r="K361" s="696"/>
      <c r="L361" s="696"/>
      <c r="M361" s="696"/>
      <c r="N361" s="696"/>
      <c r="O361" s="696"/>
      <c r="P361" s="696"/>
      <c r="Q361" s="696"/>
      <c r="R361" s="696"/>
      <c r="S361" s="696"/>
      <c r="T361" s="696"/>
      <c r="U361" s="696"/>
      <c r="V361" s="696"/>
      <c r="W361" s="696"/>
      <c r="X361" s="696"/>
      <c r="Y361" s="696"/>
      <c r="Z361" s="696"/>
      <c r="AA361" s="66"/>
      <c r="AB361" s="66"/>
      <c r="AC361" s="80"/>
    </row>
    <row r="362" spans="1:68" ht="27" customHeight="1">
      <c r="A362" s="63" t="s">
        <v>601</v>
      </c>
      <c r="B362" s="63" t="s">
        <v>602</v>
      </c>
      <c r="C362" s="36">
        <v>4301030878</v>
      </c>
      <c r="D362" s="697">
        <v>4607091387193</v>
      </c>
      <c r="E362" s="69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8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9"/>
      <c r="R362" s="699"/>
      <c r="S362" s="699"/>
      <c r="T362" s="70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customHeight="1">
      <c r="A363" s="63" t="s">
        <v>604</v>
      </c>
      <c r="B363" s="63" t="s">
        <v>605</v>
      </c>
      <c r="C363" s="36">
        <v>4301031153</v>
      </c>
      <c r="D363" s="697">
        <v>4607091387230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8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customHeight="1">
      <c r="A364" s="63" t="s">
        <v>607</v>
      </c>
      <c r="B364" s="63" t="s">
        <v>608</v>
      </c>
      <c r="C364" s="36">
        <v>4301031154</v>
      </c>
      <c r="D364" s="697">
        <v>4607091387292</v>
      </c>
      <c r="E364" s="69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8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>
      <c r="A365" s="63" t="s">
        <v>610</v>
      </c>
      <c r="B365" s="63" t="s">
        <v>611</v>
      </c>
      <c r="C365" s="36">
        <v>4301031152</v>
      </c>
      <c r="D365" s="697">
        <v>4607091387285</v>
      </c>
      <c r="E365" s="69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customHeight="1">
      <c r="A366" s="63" t="s">
        <v>612</v>
      </c>
      <c r="B366" s="63" t="s">
        <v>613</v>
      </c>
      <c r="C366" s="36">
        <v>4301031305</v>
      </c>
      <c r="D366" s="697">
        <v>4607091389845</v>
      </c>
      <c r="E366" s="69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customHeight="1">
      <c r="A367" s="63" t="s">
        <v>615</v>
      </c>
      <c r="B367" s="63" t="s">
        <v>616</v>
      </c>
      <c r="C367" s="36">
        <v>4301031460</v>
      </c>
      <c r="D367" s="697">
        <v>4680115887442</v>
      </c>
      <c r="E367" s="69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customHeight="1">
      <c r="A368" s="63" t="s">
        <v>617</v>
      </c>
      <c r="B368" s="63" t="s">
        <v>618</v>
      </c>
      <c r="C368" s="36">
        <v>4301031066</v>
      </c>
      <c r="D368" s="697">
        <v>4607091383836</v>
      </c>
      <c r="E368" s="69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>
      <c r="A369" s="705"/>
      <c r="B369" s="705"/>
      <c r="C369" s="705"/>
      <c r="D369" s="705"/>
      <c r="E369" s="705"/>
      <c r="F369" s="705"/>
      <c r="G369" s="705"/>
      <c r="H369" s="705"/>
      <c r="I369" s="705"/>
      <c r="J369" s="705"/>
      <c r="K369" s="705"/>
      <c r="L369" s="705"/>
      <c r="M369" s="705"/>
      <c r="N369" s="705"/>
      <c r="O369" s="706"/>
      <c r="P369" s="702" t="s">
        <v>40</v>
      </c>
      <c r="Q369" s="703"/>
      <c r="R369" s="703"/>
      <c r="S369" s="703"/>
      <c r="T369" s="703"/>
      <c r="U369" s="703"/>
      <c r="V369" s="704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>
      <c r="A370" s="705"/>
      <c r="B370" s="705"/>
      <c r="C370" s="705"/>
      <c r="D370" s="705"/>
      <c r="E370" s="705"/>
      <c r="F370" s="705"/>
      <c r="G370" s="705"/>
      <c r="H370" s="705"/>
      <c r="I370" s="705"/>
      <c r="J370" s="705"/>
      <c r="K370" s="705"/>
      <c r="L370" s="705"/>
      <c r="M370" s="705"/>
      <c r="N370" s="705"/>
      <c r="O370" s="706"/>
      <c r="P370" s="702" t="s">
        <v>40</v>
      </c>
      <c r="Q370" s="703"/>
      <c r="R370" s="703"/>
      <c r="S370" s="703"/>
      <c r="T370" s="703"/>
      <c r="U370" s="703"/>
      <c r="V370" s="704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>
      <c r="A371" s="696" t="s">
        <v>86</v>
      </c>
      <c r="B371" s="696"/>
      <c r="C371" s="696"/>
      <c r="D371" s="696"/>
      <c r="E371" s="696"/>
      <c r="F371" s="696"/>
      <c r="G371" s="696"/>
      <c r="H371" s="696"/>
      <c r="I371" s="696"/>
      <c r="J371" s="696"/>
      <c r="K371" s="696"/>
      <c r="L371" s="696"/>
      <c r="M371" s="696"/>
      <c r="N371" s="696"/>
      <c r="O371" s="696"/>
      <c r="P371" s="696"/>
      <c r="Q371" s="696"/>
      <c r="R371" s="696"/>
      <c r="S371" s="696"/>
      <c r="T371" s="696"/>
      <c r="U371" s="696"/>
      <c r="V371" s="696"/>
      <c r="W371" s="696"/>
      <c r="X371" s="696"/>
      <c r="Y371" s="696"/>
      <c r="Z371" s="696"/>
      <c r="AA371" s="66"/>
      <c r="AB371" s="66"/>
      <c r="AC371" s="80"/>
    </row>
    <row r="372" spans="1:68" ht="27" customHeight="1">
      <c r="A372" s="63" t="s">
        <v>620</v>
      </c>
      <c r="B372" s="63" t="s">
        <v>621</v>
      </c>
      <c r="C372" s="36">
        <v>4301051100</v>
      </c>
      <c r="D372" s="697">
        <v>4607091387766</v>
      </c>
      <c r="E372" s="69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9"/>
      <c r="R372" s="699"/>
      <c r="S372" s="699"/>
      <c r="T372" s="700"/>
      <c r="U372" s="39" t="s">
        <v>46</v>
      </c>
      <c r="V372" s="39" t="s">
        <v>46</v>
      </c>
      <c r="W372" s="40" t="s">
        <v>0</v>
      </c>
      <c r="X372" s="58">
        <v>3600</v>
      </c>
      <c r="Y372" s="55">
        <f>IFERROR(IF(X372="",0,CEILING((X372/$H372),1)*$H372),"")</f>
        <v>3603.6</v>
      </c>
      <c r="Z372" s="41">
        <f>IFERROR(IF(Y372=0,"",ROUNDUP(Y372/H372,0)*0.01898),"")</f>
        <v>8.7687600000000003</v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3825.2307692307691</v>
      </c>
      <c r="BN372" s="78">
        <f>IFERROR(Y372*I372/H372,"0")</f>
        <v>3829.056</v>
      </c>
      <c r="BO372" s="78">
        <f>IFERROR(1/J372*(X372/H372),"0")</f>
        <v>7.2115384615384617</v>
      </c>
      <c r="BP372" s="78">
        <f>IFERROR(1/J372*(Y372/H372),"0")</f>
        <v>7.21875</v>
      </c>
    </row>
    <row r="373" spans="1:68" ht="27" customHeight="1">
      <c r="A373" s="63" t="s">
        <v>623</v>
      </c>
      <c r="B373" s="63" t="s">
        <v>624</v>
      </c>
      <c r="C373" s="36">
        <v>4301051818</v>
      </c>
      <c r="D373" s="697">
        <v>4607091387957</v>
      </c>
      <c r="E373" s="69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>
      <c r="A374" s="63" t="s">
        <v>626</v>
      </c>
      <c r="B374" s="63" t="s">
        <v>627</v>
      </c>
      <c r="C374" s="36">
        <v>4301051819</v>
      </c>
      <c r="D374" s="697">
        <v>4607091387964</v>
      </c>
      <c r="E374" s="69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8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>
      <c r="A375" s="63" t="s">
        <v>629</v>
      </c>
      <c r="B375" s="63" t="s">
        <v>630</v>
      </c>
      <c r="C375" s="36">
        <v>4301051734</v>
      </c>
      <c r="D375" s="697">
        <v>4680115884588</v>
      </c>
      <c r="E375" s="69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>
      <c r="A376" s="705"/>
      <c r="B376" s="705"/>
      <c r="C376" s="705"/>
      <c r="D376" s="705"/>
      <c r="E376" s="705"/>
      <c r="F376" s="705"/>
      <c r="G376" s="705"/>
      <c r="H376" s="705"/>
      <c r="I376" s="705"/>
      <c r="J376" s="705"/>
      <c r="K376" s="705"/>
      <c r="L376" s="705"/>
      <c r="M376" s="705"/>
      <c r="N376" s="705"/>
      <c r="O376" s="706"/>
      <c r="P376" s="702" t="s">
        <v>40</v>
      </c>
      <c r="Q376" s="703"/>
      <c r="R376" s="703"/>
      <c r="S376" s="703"/>
      <c r="T376" s="703"/>
      <c r="U376" s="703"/>
      <c r="V376" s="704"/>
      <c r="W376" s="42" t="s">
        <v>39</v>
      </c>
      <c r="X376" s="43">
        <f>IFERROR(X372/H372,"0")+IFERROR(X373/H373,"0")+IFERROR(X374/H374,"0")+IFERROR(X375/H375,"0")</f>
        <v>461.53846153846155</v>
      </c>
      <c r="Y376" s="43">
        <f>IFERROR(Y372/H372,"0")+IFERROR(Y373/H373,"0")+IFERROR(Y374/H374,"0")+IFERROR(Y375/H375,"0")</f>
        <v>462</v>
      </c>
      <c r="Z376" s="43">
        <f>IFERROR(IF(Z372="",0,Z372),"0")+IFERROR(IF(Z373="",0,Z373),"0")+IFERROR(IF(Z374="",0,Z374),"0")+IFERROR(IF(Z375="",0,Z375),"0")</f>
        <v>8.7687600000000003</v>
      </c>
      <c r="AA376" s="67"/>
      <c r="AB376" s="67"/>
      <c r="AC376" s="67"/>
    </row>
    <row r="377" spans="1:68">
      <c r="A377" s="705"/>
      <c r="B377" s="705"/>
      <c r="C377" s="705"/>
      <c r="D377" s="705"/>
      <c r="E377" s="705"/>
      <c r="F377" s="705"/>
      <c r="G377" s="705"/>
      <c r="H377" s="705"/>
      <c r="I377" s="705"/>
      <c r="J377" s="705"/>
      <c r="K377" s="705"/>
      <c r="L377" s="705"/>
      <c r="M377" s="705"/>
      <c r="N377" s="705"/>
      <c r="O377" s="706"/>
      <c r="P377" s="702" t="s">
        <v>40</v>
      </c>
      <c r="Q377" s="703"/>
      <c r="R377" s="703"/>
      <c r="S377" s="703"/>
      <c r="T377" s="703"/>
      <c r="U377" s="703"/>
      <c r="V377" s="704"/>
      <c r="W377" s="42" t="s">
        <v>0</v>
      </c>
      <c r="X377" s="43">
        <f>IFERROR(SUM(X372:X375),"0")</f>
        <v>3600</v>
      </c>
      <c r="Y377" s="43">
        <f>IFERROR(SUM(Y372:Y375),"0")</f>
        <v>3603.6</v>
      </c>
      <c r="Z377" s="42"/>
      <c r="AA377" s="67"/>
      <c r="AB377" s="67"/>
      <c r="AC377" s="67"/>
    </row>
    <row r="378" spans="1:68" ht="14.25" customHeight="1">
      <c r="A378" s="696" t="s">
        <v>181</v>
      </c>
      <c r="B378" s="696"/>
      <c r="C378" s="696"/>
      <c r="D378" s="696"/>
      <c r="E378" s="696"/>
      <c r="F378" s="696"/>
      <c r="G378" s="696"/>
      <c r="H378" s="696"/>
      <c r="I378" s="696"/>
      <c r="J378" s="696"/>
      <c r="K378" s="696"/>
      <c r="L378" s="696"/>
      <c r="M378" s="696"/>
      <c r="N378" s="696"/>
      <c r="O378" s="696"/>
      <c r="P378" s="696"/>
      <c r="Q378" s="696"/>
      <c r="R378" s="696"/>
      <c r="S378" s="696"/>
      <c r="T378" s="696"/>
      <c r="U378" s="696"/>
      <c r="V378" s="696"/>
      <c r="W378" s="696"/>
      <c r="X378" s="696"/>
      <c r="Y378" s="696"/>
      <c r="Z378" s="696"/>
      <c r="AA378" s="66"/>
      <c r="AB378" s="66"/>
      <c r="AC378" s="80"/>
    </row>
    <row r="379" spans="1:68" ht="27" customHeight="1">
      <c r="A379" s="63" t="s">
        <v>631</v>
      </c>
      <c r="B379" s="63" t="s">
        <v>632</v>
      </c>
      <c r="C379" s="36">
        <v>4301060387</v>
      </c>
      <c r="D379" s="697">
        <v>4607091380880</v>
      </c>
      <c r="E379" s="69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9"/>
      <c r="R379" s="699"/>
      <c r="S379" s="699"/>
      <c r="T379" s="70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>
      <c r="A380" s="63" t="s">
        <v>634</v>
      </c>
      <c r="B380" s="63" t="s">
        <v>635</v>
      </c>
      <c r="C380" s="36">
        <v>4301060406</v>
      </c>
      <c r="D380" s="697">
        <v>4607091384482</v>
      </c>
      <c r="E380" s="69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8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>
      <c r="A381" s="63" t="s">
        <v>637</v>
      </c>
      <c r="B381" s="63" t="s">
        <v>638</v>
      </c>
      <c r="C381" s="36">
        <v>4301060484</v>
      </c>
      <c r="D381" s="697">
        <v>4607091380897</v>
      </c>
      <c r="E381" s="69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9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>
      <c r="A382" s="705"/>
      <c r="B382" s="705"/>
      <c r="C382" s="705"/>
      <c r="D382" s="705"/>
      <c r="E382" s="705"/>
      <c r="F382" s="705"/>
      <c r="G382" s="705"/>
      <c r="H382" s="705"/>
      <c r="I382" s="705"/>
      <c r="J382" s="705"/>
      <c r="K382" s="705"/>
      <c r="L382" s="705"/>
      <c r="M382" s="705"/>
      <c r="N382" s="705"/>
      <c r="O382" s="706"/>
      <c r="P382" s="702" t="s">
        <v>40</v>
      </c>
      <c r="Q382" s="703"/>
      <c r="R382" s="703"/>
      <c r="S382" s="703"/>
      <c r="T382" s="703"/>
      <c r="U382" s="703"/>
      <c r="V382" s="70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>
      <c r="A383" s="705"/>
      <c r="B383" s="705"/>
      <c r="C383" s="705"/>
      <c r="D383" s="705"/>
      <c r="E383" s="705"/>
      <c r="F383" s="705"/>
      <c r="G383" s="705"/>
      <c r="H383" s="705"/>
      <c r="I383" s="705"/>
      <c r="J383" s="705"/>
      <c r="K383" s="705"/>
      <c r="L383" s="705"/>
      <c r="M383" s="705"/>
      <c r="N383" s="705"/>
      <c r="O383" s="706"/>
      <c r="P383" s="702" t="s">
        <v>40</v>
      </c>
      <c r="Q383" s="703"/>
      <c r="R383" s="703"/>
      <c r="S383" s="703"/>
      <c r="T383" s="703"/>
      <c r="U383" s="703"/>
      <c r="V383" s="70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>
      <c r="A384" s="696" t="s">
        <v>104</v>
      </c>
      <c r="B384" s="696"/>
      <c r="C384" s="696"/>
      <c r="D384" s="696"/>
      <c r="E384" s="696"/>
      <c r="F384" s="696"/>
      <c r="G384" s="696"/>
      <c r="H384" s="696"/>
      <c r="I384" s="696"/>
      <c r="J384" s="696"/>
      <c r="K384" s="696"/>
      <c r="L384" s="696"/>
      <c r="M384" s="696"/>
      <c r="N384" s="696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6"/>
      <c r="AB384" s="66"/>
      <c r="AC384" s="80"/>
    </row>
    <row r="385" spans="1:68" ht="27" customHeight="1">
      <c r="A385" s="63" t="s">
        <v>640</v>
      </c>
      <c r="B385" s="63" t="s">
        <v>641</v>
      </c>
      <c r="C385" s="36">
        <v>4301030235</v>
      </c>
      <c r="D385" s="697">
        <v>4607091388381</v>
      </c>
      <c r="E385" s="69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9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9"/>
      <c r="R385" s="699"/>
      <c r="S385" s="699"/>
      <c r="T385" s="70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>
      <c r="A386" s="63" t="s">
        <v>643</v>
      </c>
      <c r="B386" s="63" t="s">
        <v>644</v>
      </c>
      <c r="C386" s="36">
        <v>4301030232</v>
      </c>
      <c r="D386" s="697">
        <v>4607091388374</v>
      </c>
      <c r="E386" s="69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>
      <c r="A387" s="63" t="s">
        <v>645</v>
      </c>
      <c r="B387" s="63" t="s">
        <v>646</v>
      </c>
      <c r="C387" s="36">
        <v>4301032015</v>
      </c>
      <c r="D387" s="697">
        <v>4607091383102</v>
      </c>
      <c r="E387" s="69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>
      <c r="A388" s="63" t="s">
        <v>647</v>
      </c>
      <c r="B388" s="63" t="s">
        <v>648</v>
      </c>
      <c r="C388" s="36">
        <v>4301030233</v>
      </c>
      <c r="D388" s="697">
        <v>4607091388404</v>
      </c>
      <c r="E388" s="69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  <c r="L389" s="705"/>
      <c r="M389" s="705"/>
      <c r="N389" s="705"/>
      <c r="O389" s="706"/>
      <c r="P389" s="702" t="s">
        <v>40</v>
      </c>
      <c r="Q389" s="703"/>
      <c r="R389" s="703"/>
      <c r="S389" s="703"/>
      <c r="T389" s="703"/>
      <c r="U389" s="703"/>
      <c r="V389" s="70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  <c r="L390" s="705"/>
      <c r="M390" s="705"/>
      <c r="N390" s="705"/>
      <c r="O390" s="706"/>
      <c r="P390" s="702" t="s">
        <v>40</v>
      </c>
      <c r="Q390" s="703"/>
      <c r="R390" s="703"/>
      <c r="S390" s="703"/>
      <c r="T390" s="703"/>
      <c r="U390" s="703"/>
      <c r="V390" s="70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>
      <c r="A391" s="696" t="s">
        <v>649</v>
      </c>
      <c r="B391" s="696"/>
      <c r="C391" s="696"/>
      <c r="D391" s="696"/>
      <c r="E391" s="696"/>
      <c r="F391" s="696"/>
      <c r="G391" s="696"/>
      <c r="H391" s="696"/>
      <c r="I391" s="696"/>
      <c r="J391" s="696"/>
      <c r="K391" s="696"/>
      <c r="L391" s="696"/>
      <c r="M391" s="696"/>
      <c r="N391" s="696"/>
      <c r="O391" s="696"/>
      <c r="P391" s="696"/>
      <c r="Q391" s="696"/>
      <c r="R391" s="696"/>
      <c r="S391" s="696"/>
      <c r="T391" s="696"/>
      <c r="U391" s="696"/>
      <c r="V391" s="696"/>
      <c r="W391" s="696"/>
      <c r="X391" s="696"/>
      <c r="Y391" s="696"/>
      <c r="Z391" s="696"/>
      <c r="AA391" s="66"/>
      <c r="AB391" s="66"/>
      <c r="AC391" s="80"/>
    </row>
    <row r="392" spans="1:68" ht="16.5" customHeight="1">
      <c r="A392" s="63" t="s">
        <v>650</v>
      </c>
      <c r="B392" s="63" t="s">
        <v>651</v>
      </c>
      <c r="C392" s="36">
        <v>4301180007</v>
      </c>
      <c r="D392" s="697">
        <v>4680115881808</v>
      </c>
      <c r="E392" s="69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9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9"/>
      <c r="R392" s="699"/>
      <c r="S392" s="699"/>
      <c r="T392" s="70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>
      <c r="A393" s="63" t="s">
        <v>654</v>
      </c>
      <c r="B393" s="63" t="s">
        <v>655</v>
      </c>
      <c r="C393" s="36">
        <v>4301180006</v>
      </c>
      <c r="D393" s="697">
        <v>4680115881822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>
      <c r="A394" s="63" t="s">
        <v>656</v>
      </c>
      <c r="B394" s="63" t="s">
        <v>657</v>
      </c>
      <c r="C394" s="36">
        <v>4301180001</v>
      </c>
      <c r="D394" s="697">
        <v>4680115880016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  <c r="L395" s="705"/>
      <c r="M395" s="705"/>
      <c r="N395" s="705"/>
      <c r="O395" s="706"/>
      <c r="P395" s="702" t="s">
        <v>40</v>
      </c>
      <c r="Q395" s="703"/>
      <c r="R395" s="703"/>
      <c r="S395" s="703"/>
      <c r="T395" s="703"/>
      <c r="U395" s="703"/>
      <c r="V395" s="70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  <c r="L396" s="705"/>
      <c r="M396" s="705"/>
      <c r="N396" s="705"/>
      <c r="O396" s="706"/>
      <c r="P396" s="702" t="s">
        <v>40</v>
      </c>
      <c r="Q396" s="703"/>
      <c r="R396" s="703"/>
      <c r="S396" s="703"/>
      <c r="T396" s="703"/>
      <c r="U396" s="703"/>
      <c r="V396" s="70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>
      <c r="A397" s="696" t="s">
        <v>658</v>
      </c>
      <c r="B397" s="696"/>
      <c r="C397" s="696"/>
      <c r="D397" s="696"/>
      <c r="E397" s="696"/>
      <c r="F397" s="696"/>
      <c r="G397" s="696"/>
      <c r="H397" s="696"/>
      <c r="I397" s="696"/>
      <c r="J397" s="696"/>
      <c r="K397" s="696"/>
      <c r="L397" s="69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6"/>
      <c r="AA397" s="66"/>
      <c r="AB397" s="66"/>
      <c r="AC397" s="80"/>
    </row>
    <row r="398" spans="1:68" ht="27" customHeight="1">
      <c r="A398" s="63" t="s">
        <v>659</v>
      </c>
      <c r="B398" s="63" t="s">
        <v>660</v>
      </c>
      <c r="C398" s="36">
        <v>4301220003</v>
      </c>
      <c r="D398" s="697">
        <v>4680115888678</v>
      </c>
      <c r="E398" s="697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90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9"/>
      <c r="R398" s="699"/>
      <c r="S398" s="699"/>
      <c r="T398" s="70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>
      <c r="A399" s="63" t="s">
        <v>662</v>
      </c>
      <c r="B399" s="63" t="s">
        <v>663</v>
      </c>
      <c r="C399" s="36">
        <v>4301220001</v>
      </c>
      <c r="D399" s="697">
        <v>4680115888654</v>
      </c>
      <c r="E399" s="697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9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>
      <c r="A400" s="63" t="s">
        <v>665</v>
      </c>
      <c r="B400" s="63" t="s">
        <v>666</v>
      </c>
      <c r="C400" s="36">
        <v>4301220002</v>
      </c>
      <c r="D400" s="697">
        <v>4680115888753</v>
      </c>
      <c r="E400" s="697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91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  <c r="L401" s="705"/>
      <c r="M401" s="705"/>
      <c r="N401" s="705"/>
      <c r="O401" s="706"/>
      <c r="P401" s="702" t="s">
        <v>40</v>
      </c>
      <c r="Q401" s="703"/>
      <c r="R401" s="703"/>
      <c r="S401" s="703"/>
      <c r="T401" s="703"/>
      <c r="U401" s="703"/>
      <c r="V401" s="70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  <c r="L402" s="705"/>
      <c r="M402" s="705"/>
      <c r="N402" s="705"/>
      <c r="O402" s="706"/>
      <c r="P402" s="702" t="s">
        <v>40</v>
      </c>
      <c r="Q402" s="703"/>
      <c r="R402" s="703"/>
      <c r="S402" s="703"/>
      <c r="T402" s="703"/>
      <c r="U402" s="703"/>
      <c r="V402" s="70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customHeight="1">
      <c r="A403" s="695" t="s">
        <v>667</v>
      </c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V403" s="695"/>
      <c r="W403" s="695"/>
      <c r="X403" s="695"/>
      <c r="Y403" s="695"/>
      <c r="Z403" s="695"/>
      <c r="AA403" s="65"/>
      <c r="AB403" s="65"/>
      <c r="AC403" s="79"/>
    </row>
    <row r="404" spans="1:68" ht="14.25" customHeight="1">
      <c r="A404" s="696" t="s">
        <v>86</v>
      </c>
      <c r="B404" s="696"/>
      <c r="C404" s="696"/>
      <c r="D404" s="696"/>
      <c r="E404" s="696"/>
      <c r="F404" s="696"/>
      <c r="G404" s="696"/>
      <c r="H404" s="696"/>
      <c r="I404" s="696"/>
      <c r="J404" s="696"/>
      <c r="K404" s="696"/>
      <c r="L404" s="696"/>
      <c r="M404" s="696"/>
      <c r="N404" s="696"/>
      <c r="O404" s="696"/>
      <c r="P404" s="696"/>
      <c r="Q404" s="696"/>
      <c r="R404" s="696"/>
      <c r="S404" s="696"/>
      <c r="T404" s="696"/>
      <c r="U404" s="696"/>
      <c r="V404" s="696"/>
      <c r="W404" s="696"/>
      <c r="X404" s="696"/>
      <c r="Y404" s="696"/>
      <c r="Z404" s="696"/>
      <c r="AA404" s="66"/>
      <c r="AB404" s="66"/>
      <c r="AC404" s="80"/>
    </row>
    <row r="405" spans="1:68" ht="27" customHeight="1">
      <c r="A405" s="63" t="s">
        <v>668</v>
      </c>
      <c r="B405" s="63" t="s">
        <v>669</v>
      </c>
      <c r="C405" s="36">
        <v>4301051489</v>
      </c>
      <c r="D405" s="697">
        <v>4607091387919</v>
      </c>
      <c r="E405" s="697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9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9"/>
      <c r="R405" s="699"/>
      <c r="S405" s="699"/>
      <c r="T405" s="700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>
      <c r="A406" s="63" t="s">
        <v>671</v>
      </c>
      <c r="B406" s="63" t="s">
        <v>672</v>
      </c>
      <c r="C406" s="36">
        <v>4301051461</v>
      </c>
      <c r="D406" s="697">
        <v>4680115883604</v>
      </c>
      <c r="E406" s="697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9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>
      <c r="A407" s="63" t="s">
        <v>674</v>
      </c>
      <c r="B407" s="63" t="s">
        <v>675</v>
      </c>
      <c r="C407" s="36">
        <v>4301051864</v>
      </c>
      <c r="D407" s="697">
        <v>4680115883567</v>
      </c>
      <c r="E407" s="697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9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5"/>
      <c r="O408" s="706"/>
      <c r="P408" s="702" t="s">
        <v>40</v>
      </c>
      <c r="Q408" s="703"/>
      <c r="R408" s="703"/>
      <c r="S408" s="703"/>
      <c r="T408" s="703"/>
      <c r="U408" s="703"/>
      <c r="V408" s="704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  <c r="L409" s="705"/>
      <c r="M409" s="705"/>
      <c r="N409" s="705"/>
      <c r="O409" s="706"/>
      <c r="P409" s="702" t="s">
        <v>40</v>
      </c>
      <c r="Q409" s="703"/>
      <c r="R409" s="703"/>
      <c r="S409" s="703"/>
      <c r="T409" s="703"/>
      <c r="U409" s="703"/>
      <c r="V409" s="704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27.75" customHeight="1">
      <c r="A410" s="694" t="s">
        <v>677</v>
      </c>
      <c r="B410" s="694"/>
      <c r="C410" s="694"/>
      <c r="D410" s="694"/>
      <c r="E410" s="694"/>
      <c r="F410" s="694"/>
      <c r="G410" s="694"/>
      <c r="H410" s="694"/>
      <c r="I410" s="694"/>
      <c r="J410" s="694"/>
      <c r="K410" s="694"/>
      <c r="L410" s="694"/>
      <c r="M410" s="694"/>
      <c r="N410" s="694"/>
      <c r="O410" s="694"/>
      <c r="P410" s="694"/>
      <c r="Q410" s="694"/>
      <c r="R410" s="694"/>
      <c r="S410" s="694"/>
      <c r="T410" s="694"/>
      <c r="U410" s="694"/>
      <c r="V410" s="694"/>
      <c r="W410" s="694"/>
      <c r="X410" s="694"/>
      <c r="Y410" s="694"/>
      <c r="Z410" s="694"/>
      <c r="AA410" s="54"/>
      <c r="AB410" s="54"/>
      <c r="AC410" s="54"/>
    </row>
    <row r="411" spans="1:68" ht="16.5" customHeight="1">
      <c r="A411" s="695" t="s">
        <v>678</v>
      </c>
      <c r="B411" s="695"/>
      <c r="C411" s="695"/>
      <c r="D411" s="695"/>
      <c r="E411" s="695"/>
      <c r="F411" s="695"/>
      <c r="G411" s="695"/>
      <c r="H411" s="695"/>
      <c r="I411" s="695"/>
      <c r="J411" s="695"/>
      <c r="K411" s="695"/>
      <c r="L411" s="695"/>
      <c r="M411" s="695"/>
      <c r="N411" s="695"/>
      <c r="O411" s="695"/>
      <c r="P411" s="695"/>
      <c r="Q411" s="695"/>
      <c r="R411" s="695"/>
      <c r="S411" s="695"/>
      <c r="T411" s="695"/>
      <c r="U411" s="695"/>
      <c r="V411" s="695"/>
      <c r="W411" s="695"/>
      <c r="X411" s="695"/>
      <c r="Y411" s="695"/>
      <c r="Z411" s="695"/>
      <c r="AA411" s="65"/>
      <c r="AB411" s="65"/>
      <c r="AC411" s="79"/>
    </row>
    <row r="412" spans="1:68" ht="14.25" customHeight="1">
      <c r="A412" s="696" t="s">
        <v>128</v>
      </c>
      <c r="B412" s="696"/>
      <c r="C412" s="696"/>
      <c r="D412" s="696"/>
      <c r="E412" s="696"/>
      <c r="F412" s="696"/>
      <c r="G412" s="696"/>
      <c r="H412" s="696"/>
      <c r="I412" s="696"/>
      <c r="J412" s="696"/>
      <c r="K412" s="696"/>
      <c r="L412" s="696"/>
      <c r="M412" s="696"/>
      <c r="N412" s="696"/>
      <c r="O412" s="696"/>
      <c r="P412" s="696"/>
      <c r="Q412" s="696"/>
      <c r="R412" s="696"/>
      <c r="S412" s="696"/>
      <c r="T412" s="696"/>
      <c r="U412" s="696"/>
      <c r="V412" s="696"/>
      <c r="W412" s="696"/>
      <c r="X412" s="696"/>
      <c r="Y412" s="696"/>
      <c r="Z412" s="696"/>
      <c r="AA412" s="66"/>
      <c r="AB412" s="66"/>
      <c r="AC412" s="80"/>
    </row>
    <row r="413" spans="1:68" ht="27" customHeight="1">
      <c r="A413" s="63" t="s">
        <v>679</v>
      </c>
      <c r="B413" s="63" t="s">
        <v>680</v>
      </c>
      <c r="C413" s="36">
        <v>4301012332</v>
      </c>
      <c r="D413" s="697">
        <v>4680115888401</v>
      </c>
      <c r="E413" s="69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9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>
      <c r="A414" s="63" t="s">
        <v>682</v>
      </c>
      <c r="B414" s="63" t="s">
        <v>683</v>
      </c>
      <c r="C414" s="36">
        <v>4301011869</v>
      </c>
      <c r="D414" s="697">
        <v>4680115884847</v>
      </c>
      <c r="E414" s="69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9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850</v>
      </c>
      <c r="Y414" s="55">
        <f t="shared" si="52"/>
        <v>855</v>
      </c>
      <c r="Z414" s="41">
        <f>IFERROR(IF(Y414=0,"",ROUNDUP(Y414/H414,0)*0.02175),"")</f>
        <v>1.2397499999999999</v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876.63333333333333</v>
      </c>
      <c r="BN414" s="78">
        <f t="shared" si="54"/>
        <v>881.79000000000008</v>
      </c>
      <c r="BO414" s="78">
        <f t="shared" si="55"/>
        <v>1.1805555555555554</v>
      </c>
      <c r="BP414" s="78">
        <f t="shared" si="56"/>
        <v>1.1875</v>
      </c>
    </row>
    <row r="415" spans="1:68" ht="27" customHeight="1">
      <c r="A415" s="63" t="s">
        <v>685</v>
      </c>
      <c r="B415" s="63" t="s">
        <v>686</v>
      </c>
      <c r="C415" s="36">
        <v>4301012083</v>
      </c>
      <c r="D415" s="697">
        <v>4680115884854</v>
      </c>
      <c r="E415" s="697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9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9"/>
      <c r="R415" s="699"/>
      <c r="S415" s="699"/>
      <c r="T415" s="700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2"/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0</v>
      </c>
      <c r="BN415" s="78">
        <f t="shared" si="54"/>
        <v>0</v>
      </c>
      <c r="BO415" s="78">
        <f t="shared" si="55"/>
        <v>0</v>
      </c>
      <c r="BP415" s="78">
        <f t="shared" si="56"/>
        <v>0</v>
      </c>
    </row>
    <row r="416" spans="1:68" ht="27" customHeight="1">
      <c r="A416" s="63" t="s">
        <v>688</v>
      </c>
      <c r="B416" s="63" t="s">
        <v>689</v>
      </c>
      <c r="C416" s="36">
        <v>4301011867</v>
      </c>
      <c r="D416" s="697">
        <v>4680115884830</v>
      </c>
      <c r="E416" s="697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9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9"/>
      <c r="R416" s="699"/>
      <c r="S416" s="699"/>
      <c r="T416" s="700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customHeight="1">
      <c r="A417" s="63" t="s">
        <v>691</v>
      </c>
      <c r="B417" s="63" t="s">
        <v>692</v>
      </c>
      <c r="C417" s="36">
        <v>4301012356</v>
      </c>
      <c r="D417" s="697">
        <v>4680115889231</v>
      </c>
      <c r="E417" s="697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9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9"/>
      <c r="R417" s="699"/>
      <c r="S417" s="699"/>
      <c r="T417" s="700"/>
      <c r="U417" s="39" t="s">
        <v>46</v>
      </c>
      <c r="V417" s="39" t="s">
        <v>46</v>
      </c>
      <c r="W417" s="40" t="s">
        <v>0</v>
      </c>
      <c r="X417" s="58">
        <v>5600</v>
      </c>
      <c r="Y417" s="55">
        <f t="shared" si="52"/>
        <v>5610</v>
      </c>
      <c r="Z417" s="41">
        <f>IFERROR(IF(Y417=0,"",ROUNDUP(Y417/H417,0)*0.02175),"")</f>
        <v>8.1344999999999992</v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5775.4666666666662</v>
      </c>
      <c r="BN417" s="78">
        <f t="shared" si="54"/>
        <v>5785.78</v>
      </c>
      <c r="BO417" s="78">
        <f t="shared" si="55"/>
        <v>7.7777777777777768</v>
      </c>
      <c r="BP417" s="78">
        <f t="shared" si="56"/>
        <v>7.7916666666666661</v>
      </c>
    </row>
    <row r="418" spans="1:68" ht="27" customHeight="1">
      <c r="A418" s="63" t="s">
        <v>694</v>
      </c>
      <c r="B418" s="63" t="s">
        <v>695</v>
      </c>
      <c r="C418" s="36">
        <v>4301011433</v>
      </c>
      <c r="D418" s="697">
        <v>4680115882638</v>
      </c>
      <c r="E418" s="697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9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9"/>
      <c r="R418" s="699"/>
      <c r="S418" s="699"/>
      <c r="T418" s="700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customHeight="1">
      <c r="A419" s="63" t="s">
        <v>697</v>
      </c>
      <c r="B419" s="63" t="s">
        <v>698</v>
      </c>
      <c r="C419" s="36">
        <v>4301011952</v>
      </c>
      <c r="D419" s="697">
        <v>4680115884922</v>
      </c>
      <c r="E419" s="697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9"/>
      <c r="R419" s="699"/>
      <c r="S419" s="699"/>
      <c r="T419" s="700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customHeight="1">
      <c r="A420" s="63" t="s">
        <v>700</v>
      </c>
      <c r="B420" s="63" t="s">
        <v>701</v>
      </c>
      <c r="C420" s="36">
        <v>4301011868</v>
      </c>
      <c r="D420" s="697">
        <v>4680115884861</v>
      </c>
      <c r="E420" s="697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>
      <c r="A421" s="705"/>
      <c r="B421" s="705"/>
      <c r="C421" s="705"/>
      <c r="D421" s="705"/>
      <c r="E421" s="705"/>
      <c r="F421" s="705"/>
      <c r="G421" s="705"/>
      <c r="H421" s="705"/>
      <c r="I421" s="705"/>
      <c r="J421" s="705"/>
      <c r="K421" s="705"/>
      <c r="L421" s="705"/>
      <c r="M421" s="705"/>
      <c r="N421" s="705"/>
      <c r="O421" s="706"/>
      <c r="P421" s="702" t="s">
        <v>40</v>
      </c>
      <c r="Q421" s="703"/>
      <c r="R421" s="703"/>
      <c r="S421" s="703"/>
      <c r="T421" s="703"/>
      <c r="U421" s="703"/>
      <c r="V421" s="704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430</v>
      </c>
      <c r="Y421" s="43">
        <f>IFERROR(Y413/H413,"0")+IFERROR(Y414/H414,"0")+IFERROR(Y415/H415,"0")+IFERROR(Y416/H416,"0")+IFERROR(Y417/H417,"0")+IFERROR(Y418/H418,"0")+IFERROR(Y419/H419,"0")+IFERROR(Y420/H420,"0")</f>
        <v>431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9.37425</v>
      </c>
      <c r="AA421" s="67"/>
      <c r="AB421" s="67"/>
      <c r="AC421" s="67"/>
    </row>
    <row r="422" spans="1:68">
      <c r="A422" s="705"/>
      <c r="B422" s="705"/>
      <c r="C422" s="705"/>
      <c r="D422" s="705"/>
      <c r="E422" s="705"/>
      <c r="F422" s="705"/>
      <c r="G422" s="705"/>
      <c r="H422" s="705"/>
      <c r="I422" s="705"/>
      <c r="J422" s="705"/>
      <c r="K422" s="705"/>
      <c r="L422" s="705"/>
      <c r="M422" s="705"/>
      <c r="N422" s="705"/>
      <c r="O422" s="706"/>
      <c r="P422" s="702" t="s">
        <v>40</v>
      </c>
      <c r="Q422" s="703"/>
      <c r="R422" s="703"/>
      <c r="S422" s="703"/>
      <c r="T422" s="703"/>
      <c r="U422" s="703"/>
      <c r="V422" s="704"/>
      <c r="W422" s="42" t="s">
        <v>0</v>
      </c>
      <c r="X422" s="43">
        <f>IFERROR(SUM(X413:X420),"0")</f>
        <v>6450</v>
      </c>
      <c r="Y422" s="43">
        <f>IFERROR(SUM(Y413:Y420),"0")</f>
        <v>6465</v>
      </c>
      <c r="Z422" s="42"/>
      <c r="AA422" s="67"/>
      <c r="AB422" s="67"/>
      <c r="AC422" s="67"/>
    </row>
    <row r="423" spans="1:68" ht="14.25" customHeight="1">
      <c r="A423" s="696" t="s">
        <v>164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66"/>
      <c r="AB423" s="66"/>
      <c r="AC423" s="80"/>
    </row>
    <row r="424" spans="1:68" ht="27" customHeight="1">
      <c r="A424" s="63" t="s">
        <v>703</v>
      </c>
      <c r="B424" s="63" t="s">
        <v>704</v>
      </c>
      <c r="C424" s="36">
        <v>4301020178</v>
      </c>
      <c r="D424" s="697">
        <v>4607091383980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8000</v>
      </c>
      <c r="Y424" s="55">
        <f>IFERROR(IF(X424="",0,CEILING((X424/$H424),1)*$H424),"")</f>
        <v>8010</v>
      </c>
      <c r="Z424" s="41">
        <f>IFERROR(IF(Y424=0,"",ROUNDUP(Y424/H424,0)*0.02175),"")</f>
        <v>11.6145</v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8250.6666666666661</v>
      </c>
      <c r="BN424" s="78">
        <f>IFERROR(Y424*I424/H424,"0")</f>
        <v>8260.9800000000014</v>
      </c>
      <c r="BO424" s="78">
        <f>IFERROR(1/J424*(X424/H424),"0")</f>
        <v>11.111111111111111</v>
      </c>
      <c r="BP424" s="78">
        <f>IFERROR(1/J424*(Y424/H424),"0")</f>
        <v>11.125</v>
      </c>
    </row>
    <row r="425" spans="1:68" ht="27" customHeight="1">
      <c r="A425" s="63" t="s">
        <v>706</v>
      </c>
      <c r="B425" s="63" t="s">
        <v>707</v>
      </c>
      <c r="C425" s="36">
        <v>4301020355</v>
      </c>
      <c r="D425" s="697">
        <v>4680115888425</v>
      </c>
      <c r="E425" s="69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9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>
      <c r="A426" s="63" t="s">
        <v>709</v>
      </c>
      <c r="B426" s="63" t="s">
        <v>710</v>
      </c>
      <c r="C426" s="36">
        <v>4301020179</v>
      </c>
      <c r="D426" s="697">
        <v>4607091384178</v>
      </c>
      <c r="E426" s="697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9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>
      <c r="A427" s="705"/>
      <c r="B427" s="705"/>
      <c r="C427" s="705"/>
      <c r="D427" s="705"/>
      <c r="E427" s="705"/>
      <c r="F427" s="705"/>
      <c r="G427" s="705"/>
      <c r="H427" s="705"/>
      <c r="I427" s="705"/>
      <c r="J427" s="705"/>
      <c r="K427" s="705"/>
      <c r="L427" s="705"/>
      <c r="M427" s="705"/>
      <c r="N427" s="705"/>
      <c r="O427" s="706"/>
      <c r="P427" s="702" t="s">
        <v>40</v>
      </c>
      <c r="Q427" s="703"/>
      <c r="R427" s="703"/>
      <c r="S427" s="703"/>
      <c r="T427" s="703"/>
      <c r="U427" s="703"/>
      <c r="V427" s="704"/>
      <c r="W427" s="42" t="s">
        <v>39</v>
      </c>
      <c r="X427" s="43">
        <f>IFERROR(X424/H424,"0")+IFERROR(X425/H425,"0")+IFERROR(X426/H426,"0")</f>
        <v>533.33333333333337</v>
      </c>
      <c r="Y427" s="43">
        <f>IFERROR(Y424/H424,"0")+IFERROR(Y425/H425,"0")+IFERROR(Y426/H426,"0")</f>
        <v>534</v>
      </c>
      <c r="Z427" s="43">
        <f>IFERROR(IF(Z424="",0,Z424),"0")+IFERROR(IF(Z425="",0,Z425),"0")+IFERROR(IF(Z426="",0,Z426),"0")</f>
        <v>11.6145</v>
      </c>
      <c r="AA427" s="67"/>
      <c r="AB427" s="67"/>
      <c r="AC427" s="67"/>
    </row>
    <row r="428" spans="1:68">
      <c r="A428" s="705"/>
      <c r="B428" s="705"/>
      <c r="C428" s="705"/>
      <c r="D428" s="705"/>
      <c r="E428" s="705"/>
      <c r="F428" s="705"/>
      <c r="G428" s="705"/>
      <c r="H428" s="705"/>
      <c r="I428" s="705"/>
      <c r="J428" s="705"/>
      <c r="K428" s="705"/>
      <c r="L428" s="705"/>
      <c r="M428" s="705"/>
      <c r="N428" s="705"/>
      <c r="O428" s="706"/>
      <c r="P428" s="702" t="s">
        <v>40</v>
      </c>
      <c r="Q428" s="703"/>
      <c r="R428" s="703"/>
      <c r="S428" s="703"/>
      <c r="T428" s="703"/>
      <c r="U428" s="703"/>
      <c r="V428" s="704"/>
      <c r="W428" s="42" t="s">
        <v>0</v>
      </c>
      <c r="X428" s="43">
        <f>IFERROR(SUM(X424:X426),"0")</f>
        <v>8000</v>
      </c>
      <c r="Y428" s="43">
        <f>IFERROR(SUM(Y424:Y426),"0")</f>
        <v>8010</v>
      </c>
      <c r="Z428" s="42"/>
      <c r="AA428" s="67"/>
      <c r="AB428" s="67"/>
      <c r="AC428" s="67"/>
    </row>
    <row r="429" spans="1:68" ht="14.25" customHeight="1">
      <c r="A429" s="696" t="s">
        <v>86</v>
      </c>
      <c r="B429" s="696"/>
      <c r="C429" s="696"/>
      <c r="D429" s="696"/>
      <c r="E429" s="696"/>
      <c r="F429" s="696"/>
      <c r="G429" s="696"/>
      <c r="H429" s="696"/>
      <c r="I429" s="696"/>
      <c r="J429" s="696"/>
      <c r="K429" s="696"/>
      <c r="L429" s="696"/>
      <c r="M429" s="696"/>
      <c r="N429" s="696"/>
      <c r="O429" s="696"/>
      <c r="P429" s="696"/>
      <c r="Q429" s="696"/>
      <c r="R429" s="696"/>
      <c r="S429" s="696"/>
      <c r="T429" s="696"/>
      <c r="U429" s="696"/>
      <c r="V429" s="696"/>
      <c r="W429" s="696"/>
      <c r="X429" s="696"/>
      <c r="Y429" s="696"/>
      <c r="Z429" s="696"/>
      <c r="AA429" s="66"/>
      <c r="AB429" s="66"/>
      <c r="AC429" s="80"/>
    </row>
    <row r="430" spans="1:68" ht="16.5" customHeight="1">
      <c r="A430" s="63" t="s">
        <v>712</v>
      </c>
      <c r="B430" s="63" t="s">
        <v>713</v>
      </c>
      <c r="C430" s="36">
        <v>4301052220</v>
      </c>
      <c r="D430" s="697">
        <v>4680115889538</v>
      </c>
      <c r="E430" s="697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9"/>
      <c r="R430" s="699"/>
      <c r="S430" s="699"/>
      <c r="T430" s="70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>
      <c r="A431" s="63" t="s">
        <v>715</v>
      </c>
      <c r="B431" s="63" t="s">
        <v>716</v>
      </c>
      <c r="C431" s="36">
        <v>4301051903</v>
      </c>
      <c r="D431" s="697">
        <v>4607091383928</v>
      </c>
      <c r="E431" s="697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>
      <c r="A432" s="63" t="s">
        <v>718</v>
      </c>
      <c r="B432" s="63" t="s">
        <v>719</v>
      </c>
      <c r="C432" s="36">
        <v>4301051897</v>
      </c>
      <c r="D432" s="697">
        <v>4607091384260</v>
      </c>
      <c r="E432" s="697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9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>
      <c r="A433" s="705"/>
      <c r="B433" s="705"/>
      <c r="C433" s="705"/>
      <c r="D433" s="705"/>
      <c r="E433" s="705"/>
      <c r="F433" s="705"/>
      <c r="G433" s="705"/>
      <c r="H433" s="705"/>
      <c r="I433" s="705"/>
      <c r="J433" s="705"/>
      <c r="K433" s="705"/>
      <c r="L433" s="705"/>
      <c r="M433" s="705"/>
      <c r="N433" s="705"/>
      <c r="O433" s="706"/>
      <c r="P433" s="702" t="s">
        <v>40</v>
      </c>
      <c r="Q433" s="703"/>
      <c r="R433" s="703"/>
      <c r="S433" s="703"/>
      <c r="T433" s="703"/>
      <c r="U433" s="703"/>
      <c r="V433" s="704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>
      <c r="A434" s="705"/>
      <c r="B434" s="705"/>
      <c r="C434" s="705"/>
      <c r="D434" s="705"/>
      <c r="E434" s="705"/>
      <c r="F434" s="705"/>
      <c r="G434" s="705"/>
      <c r="H434" s="705"/>
      <c r="I434" s="705"/>
      <c r="J434" s="705"/>
      <c r="K434" s="705"/>
      <c r="L434" s="705"/>
      <c r="M434" s="705"/>
      <c r="N434" s="705"/>
      <c r="O434" s="706"/>
      <c r="P434" s="702" t="s">
        <v>40</v>
      </c>
      <c r="Q434" s="703"/>
      <c r="R434" s="703"/>
      <c r="S434" s="703"/>
      <c r="T434" s="703"/>
      <c r="U434" s="703"/>
      <c r="V434" s="704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customHeight="1">
      <c r="A435" s="696" t="s">
        <v>181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6"/>
      <c r="AB435" s="66"/>
      <c r="AC435" s="80"/>
    </row>
    <row r="436" spans="1:68" ht="27" customHeight="1">
      <c r="A436" s="63" t="s">
        <v>721</v>
      </c>
      <c r="B436" s="63" t="s">
        <v>722</v>
      </c>
      <c r="C436" s="36">
        <v>4301060537</v>
      </c>
      <c r="D436" s="697">
        <v>4680115889545</v>
      </c>
      <c r="E436" s="697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92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9"/>
      <c r="R436" s="699"/>
      <c r="S436" s="699"/>
      <c r="T436" s="70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>
      <c r="A437" s="63" t="s">
        <v>724</v>
      </c>
      <c r="B437" s="63" t="s">
        <v>725</v>
      </c>
      <c r="C437" s="36">
        <v>4301060524</v>
      </c>
      <c r="D437" s="697">
        <v>4607091384673</v>
      </c>
      <c r="E437" s="697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9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>
      <c r="A438" s="705"/>
      <c r="B438" s="705"/>
      <c r="C438" s="705"/>
      <c r="D438" s="705"/>
      <c r="E438" s="705"/>
      <c r="F438" s="705"/>
      <c r="G438" s="705"/>
      <c r="H438" s="705"/>
      <c r="I438" s="705"/>
      <c r="J438" s="705"/>
      <c r="K438" s="705"/>
      <c r="L438" s="705"/>
      <c r="M438" s="705"/>
      <c r="N438" s="705"/>
      <c r="O438" s="706"/>
      <c r="P438" s="702" t="s">
        <v>40</v>
      </c>
      <c r="Q438" s="703"/>
      <c r="R438" s="703"/>
      <c r="S438" s="703"/>
      <c r="T438" s="703"/>
      <c r="U438" s="703"/>
      <c r="V438" s="704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>
      <c r="A439" s="705"/>
      <c r="B439" s="705"/>
      <c r="C439" s="705"/>
      <c r="D439" s="705"/>
      <c r="E439" s="705"/>
      <c r="F439" s="705"/>
      <c r="G439" s="705"/>
      <c r="H439" s="705"/>
      <c r="I439" s="705"/>
      <c r="J439" s="705"/>
      <c r="K439" s="705"/>
      <c r="L439" s="705"/>
      <c r="M439" s="705"/>
      <c r="N439" s="705"/>
      <c r="O439" s="706"/>
      <c r="P439" s="702" t="s">
        <v>40</v>
      </c>
      <c r="Q439" s="703"/>
      <c r="R439" s="703"/>
      <c r="S439" s="703"/>
      <c r="T439" s="703"/>
      <c r="U439" s="703"/>
      <c r="V439" s="704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customHeight="1">
      <c r="A440" s="695" t="s">
        <v>727</v>
      </c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5"/>
      <c r="P440" s="695"/>
      <c r="Q440" s="695"/>
      <c r="R440" s="695"/>
      <c r="S440" s="695"/>
      <c r="T440" s="695"/>
      <c r="U440" s="695"/>
      <c r="V440" s="695"/>
      <c r="W440" s="695"/>
      <c r="X440" s="695"/>
      <c r="Y440" s="695"/>
      <c r="Z440" s="695"/>
      <c r="AA440" s="65"/>
      <c r="AB440" s="65"/>
      <c r="AC440" s="79"/>
    </row>
    <row r="441" spans="1:68" ht="14.25" customHeight="1">
      <c r="A441" s="696" t="s">
        <v>128</v>
      </c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6"/>
      <c r="P441" s="696"/>
      <c r="Q441" s="696"/>
      <c r="R441" s="696"/>
      <c r="S441" s="696"/>
      <c r="T441" s="696"/>
      <c r="U441" s="696"/>
      <c r="V441" s="696"/>
      <c r="W441" s="696"/>
      <c r="X441" s="696"/>
      <c r="Y441" s="696"/>
      <c r="Z441" s="696"/>
      <c r="AA441" s="66"/>
      <c r="AB441" s="66"/>
      <c r="AC441" s="80"/>
    </row>
    <row r="442" spans="1:68" ht="27" customHeight="1">
      <c r="A442" s="63" t="s">
        <v>728</v>
      </c>
      <c r="B442" s="63" t="s">
        <v>729</v>
      </c>
      <c r="C442" s="36">
        <v>4301011875</v>
      </c>
      <c r="D442" s="697">
        <v>4680115884885</v>
      </c>
      <c r="E442" s="697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9"/>
      <c r="R442" s="699"/>
      <c r="S442" s="699"/>
      <c r="T442" s="700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customHeight="1">
      <c r="A443" s="63" t="s">
        <v>731</v>
      </c>
      <c r="B443" s="63" t="s">
        <v>732</v>
      </c>
      <c r="C443" s="36">
        <v>4301011871</v>
      </c>
      <c r="D443" s="697">
        <v>4680115884908</v>
      </c>
      <c r="E443" s="697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9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>
      <c r="A444" s="705"/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5"/>
      <c r="M444" s="705"/>
      <c r="N444" s="705"/>
      <c r="O444" s="706"/>
      <c r="P444" s="702" t="s">
        <v>40</v>
      </c>
      <c r="Q444" s="703"/>
      <c r="R444" s="703"/>
      <c r="S444" s="703"/>
      <c r="T444" s="703"/>
      <c r="U444" s="703"/>
      <c r="V444" s="704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>
      <c r="A445" s="705"/>
      <c r="B445" s="705"/>
      <c r="C445" s="705"/>
      <c r="D445" s="705"/>
      <c r="E445" s="705"/>
      <c r="F445" s="705"/>
      <c r="G445" s="705"/>
      <c r="H445" s="705"/>
      <c r="I445" s="705"/>
      <c r="J445" s="705"/>
      <c r="K445" s="705"/>
      <c r="L445" s="705"/>
      <c r="M445" s="705"/>
      <c r="N445" s="705"/>
      <c r="O445" s="706"/>
      <c r="P445" s="702" t="s">
        <v>40</v>
      </c>
      <c r="Q445" s="703"/>
      <c r="R445" s="703"/>
      <c r="S445" s="703"/>
      <c r="T445" s="703"/>
      <c r="U445" s="703"/>
      <c r="V445" s="704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customHeight="1">
      <c r="A446" s="696" t="s">
        <v>77</v>
      </c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6"/>
      <c r="P446" s="696"/>
      <c r="Q446" s="696"/>
      <c r="R446" s="696"/>
      <c r="S446" s="696"/>
      <c r="T446" s="696"/>
      <c r="U446" s="696"/>
      <c r="V446" s="696"/>
      <c r="W446" s="696"/>
      <c r="X446" s="696"/>
      <c r="Y446" s="696"/>
      <c r="Z446" s="696"/>
      <c r="AA446" s="66"/>
      <c r="AB446" s="66"/>
      <c r="AC446" s="80"/>
    </row>
    <row r="447" spans="1:68" ht="27" customHeight="1">
      <c r="A447" s="63" t="s">
        <v>733</v>
      </c>
      <c r="B447" s="63" t="s">
        <v>734</v>
      </c>
      <c r="C447" s="36">
        <v>4301031457</v>
      </c>
      <c r="D447" s="697">
        <v>4607091384802</v>
      </c>
      <c r="E447" s="697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9"/>
      <c r="R447" s="699"/>
      <c r="S447" s="699"/>
      <c r="T447" s="70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>
      <c r="A448" s="705"/>
      <c r="B448" s="705"/>
      <c r="C448" s="705"/>
      <c r="D448" s="705"/>
      <c r="E448" s="705"/>
      <c r="F448" s="705"/>
      <c r="G448" s="705"/>
      <c r="H448" s="705"/>
      <c r="I448" s="705"/>
      <c r="J448" s="705"/>
      <c r="K448" s="705"/>
      <c r="L448" s="705"/>
      <c r="M448" s="705"/>
      <c r="N448" s="705"/>
      <c r="O448" s="706"/>
      <c r="P448" s="702" t="s">
        <v>40</v>
      </c>
      <c r="Q448" s="703"/>
      <c r="R448" s="703"/>
      <c r="S448" s="703"/>
      <c r="T448" s="703"/>
      <c r="U448" s="703"/>
      <c r="V448" s="704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>
      <c r="A449" s="705"/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6"/>
      <c r="P449" s="702" t="s">
        <v>40</v>
      </c>
      <c r="Q449" s="703"/>
      <c r="R449" s="703"/>
      <c r="S449" s="703"/>
      <c r="T449" s="703"/>
      <c r="U449" s="703"/>
      <c r="V449" s="704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customHeight="1">
      <c r="A450" s="696" t="s">
        <v>86</v>
      </c>
      <c r="B450" s="696"/>
      <c r="C450" s="696"/>
      <c r="D450" s="696"/>
      <c r="E450" s="696"/>
      <c r="F450" s="696"/>
      <c r="G450" s="696"/>
      <c r="H450" s="696"/>
      <c r="I450" s="696"/>
      <c r="J450" s="696"/>
      <c r="K450" s="696"/>
      <c r="L450" s="69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6"/>
      <c r="Y450" s="696"/>
      <c r="Z450" s="696"/>
      <c r="AA450" s="66"/>
      <c r="AB450" s="66"/>
      <c r="AC450" s="80"/>
    </row>
    <row r="451" spans="1:68" ht="27" customHeight="1">
      <c r="A451" s="63" t="s">
        <v>736</v>
      </c>
      <c r="B451" s="63" t="s">
        <v>737</v>
      </c>
      <c r="C451" s="36">
        <v>4301051899</v>
      </c>
      <c r="D451" s="697">
        <v>4607091384246</v>
      </c>
      <c r="E451" s="69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9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9"/>
      <c r="R451" s="699"/>
      <c r="S451" s="699"/>
      <c r="T451" s="70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>
      <c r="A452" s="63" t="s">
        <v>739</v>
      </c>
      <c r="B452" s="63" t="s">
        <v>740</v>
      </c>
      <c r="C452" s="36">
        <v>4301051660</v>
      </c>
      <c r="D452" s="697">
        <v>4607091384253</v>
      </c>
      <c r="E452" s="697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9"/>
      <c r="R452" s="699"/>
      <c r="S452" s="699"/>
      <c r="T452" s="70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>
      <c r="A453" s="63" t="s">
        <v>739</v>
      </c>
      <c r="B453" s="63" t="s">
        <v>741</v>
      </c>
      <c r="C453" s="36">
        <v>4301052069</v>
      </c>
      <c r="D453" s="697">
        <v>4607091384253</v>
      </c>
      <c r="E453" s="697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9"/>
      <c r="R453" s="699"/>
      <c r="S453" s="699"/>
      <c r="T453" s="70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>
      <c r="A454" s="705"/>
      <c r="B454" s="705"/>
      <c r="C454" s="705"/>
      <c r="D454" s="705"/>
      <c r="E454" s="705"/>
      <c r="F454" s="705"/>
      <c r="G454" s="705"/>
      <c r="H454" s="705"/>
      <c r="I454" s="705"/>
      <c r="J454" s="705"/>
      <c r="K454" s="705"/>
      <c r="L454" s="705"/>
      <c r="M454" s="705"/>
      <c r="N454" s="705"/>
      <c r="O454" s="706"/>
      <c r="P454" s="702" t="s">
        <v>40</v>
      </c>
      <c r="Q454" s="703"/>
      <c r="R454" s="703"/>
      <c r="S454" s="703"/>
      <c r="T454" s="703"/>
      <c r="U454" s="703"/>
      <c r="V454" s="704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>
      <c r="A455" s="705"/>
      <c r="B455" s="705"/>
      <c r="C455" s="705"/>
      <c r="D455" s="705"/>
      <c r="E455" s="705"/>
      <c r="F455" s="705"/>
      <c r="G455" s="705"/>
      <c r="H455" s="705"/>
      <c r="I455" s="705"/>
      <c r="J455" s="705"/>
      <c r="K455" s="705"/>
      <c r="L455" s="705"/>
      <c r="M455" s="705"/>
      <c r="N455" s="705"/>
      <c r="O455" s="706"/>
      <c r="P455" s="702" t="s">
        <v>40</v>
      </c>
      <c r="Q455" s="703"/>
      <c r="R455" s="703"/>
      <c r="S455" s="703"/>
      <c r="T455" s="703"/>
      <c r="U455" s="703"/>
      <c r="V455" s="704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>
      <c r="A456" s="694" t="s">
        <v>743</v>
      </c>
      <c r="B456" s="694"/>
      <c r="C456" s="694"/>
      <c r="D456" s="694"/>
      <c r="E456" s="694"/>
      <c r="F456" s="694"/>
      <c r="G456" s="694"/>
      <c r="H456" s="694"/>
      <c r="I456" s="694"/>
      <c r="J456" s="694"/>
      <c r="K456" s="694"/>
      <c r="L456" s="694"/>
      <c r="M456" s="694"/>
      <c r="N456" s="694"/>
      <c r="O456" s="694"/>
      <c r="P456" s="694"/>
      <c r="Q456" s="694"/>
      <c r="R456" s="694"/>
      <c r="S456" s="694"/>
      <c r="T456" s="694"/>
      <c r="U456" s="694"/>
      <c r="V456" s="694"/>
      <c r="W456" s="694"/>
      <c r="X456" s="694"/>
      <c r="Y456" s="694"/>
      <c r="Z456" s="694"/>
      <c r="AA456" s="54"/>
      <c r="AB456" s="54"/>
      <c r="AC456" s="54"/>
    </row>
    <row r="457" spans="1:68" ht="16.5" customHeight="1">
      <c r="A457" s="695" t="s">
        <v>744</v>
      </c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5"/>
      <c r="P457" s="695"/>
      <c r="Q457" s="695"/>
      <c r="R457" s="695"/>
      <c r="S457" s="695"/>
      <c r="T457" s="695"/>
      <c r="U457" s="695"/>
      <c r="V457" s="695"/>
      <c r="W457" s="695"/>
      <c r="X457" s="695"/>
      <c r="Y457" s="695"/>
      <c r="Z457" s="695"/>
      <c r="AA457" s="65"/>
      <c r="AB457" s="65"/>
      <c r="AC457" s="79"/>
    </row>
    <row r="458" spans="1:68" ht="14.25" customHeight="1">
      <c r="A458" s="696" t="s">
        <v>77</v>
      </c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6"/>
      <c r="Y458" s="696"/>
      <c r="Z458" s="696"/>
      <c r="AA458" s="66"/>
      <c r="AB458" s="66"/>
      <c r="AC458" s="80"/>
    </row>
    <row r="459" spans="1:68" ht="27" customHeight="1">
      <c r="A459" s="63" t="s">
        <v>745</v>
      </c>
      <c r="B459" s="63" t="s">
        <v>746</v>
      </c>
      <c r="C459" s="36">
        <v>4301031405</v>
      </c>
      <c r="D459" s="697">
        <v>4680115886100</v>
      </c>
      <c r="E459" s="697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customHeight="1">
      <c r="A460" s="63" t="s">
        <v>748</v>
      </c>
      <c r="B460" s="63" t="s">
        <v>749</v>
      </c>
      <c r="C460" s="36">
        <v>4301031402</v>
      </c>
      <c r="D460" s="697">
        <v>4680115886124</v>
      </c>
      <c r="E460" s="697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customHeight="1">
      <c r="A461" s="63" t="s">
        <v>751</v>
      </c>
      <c r="B461" s="63" t="s">
        <v>752</v>
      </c>
      <c r="C461" s="36">
        <v>4301031362</v>
      </c>
      <c r="D461" s="697">
        <v>4607091384338</v>
      </c>
      <c r="E461" s="697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9"/>
      <c r="R461" s="699"/>
      <c r="S461" s="699"/>
      <c r="T461" s="700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customHeight="1">
      <c r="A462" s="63" t="s">
        <v>753</v>
      </c>
      <c r="B462" s="63" t="s">
        <v>754</v>
      </c>
      <c r="C462" s="36">
        <v>4301031364</v>
      </c>
      <c r="D462" s="697">
        <v>4680115883161</v>
      </c>
      <c r="E462" s="697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9"/>
      <c r="R462" s="699"/>
      <c r="S462" s="699"/>
      <c r="T462" s="700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customHeight="1">
      <c r="A463" s="63" t="s">
        <v>756</v>
      </c>
      <c r="B463" s="63" t="s">
        <v>757</v>
      </c>
      <c r="C463" s="36">
        <v>4301031358</v>
      </c>
      <c r="D463" s="697">
        <v>4607091389531</v>
      </c>
      <c r="E463" s="697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9"/>
      <c r="R463" s="699"/>
      <c r="S463" s="699"/>
      <c r="T463" s="700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customHeight="1">
      <c r="A464" s="63" t="s">
        <v>759</v>
      </c>
      <c r="B464" s="63" t="s">
        <v>760</v>
      </c>
      <c r="C464" s="36">
        <v>4301031360</v>
      </c>
      <c r="D464" s="697">
        <v>4607091384345</v>
      </c>
      <c r="E464" s="697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9"/>
      <c r="R464" s="699"/>
      <c r="S464" s="699"/>
      <c r="T464" s="700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>
      <c r="A465" s="705"/>
      <c r="B465" s="705"/>
      <c r="C465" s="705"/>
      <c r="D465" s="705"/>
      <c r="E465" s="705"/>
      <c r="F465" s="705"/>
      <c r="G465" s="705"/>
      <c r="H465" s="705"/>
      <c r="I465" s="705"/>
      <c r="J465" s="705"/>
      <c r="K465" s="705"/>
      <c r="L465" s="705"/>
      <c r="M465" s="705"/>
      <c r="N465" s="705"/>
      <c r="O465" s="706"/>
      <c r="P465" s="702" t="s">
        <v>40</v>
      </c>
      <c r="Q465" s="703"/>
      <c r="R465" s="703"/>
      <c r="S465" s="703"/>
      <c r="T465" s="703"/>
      <c r="U465" s="703"/>
      <c r="V465" s="704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>
      <c r="A466" s="705"/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6"/>
      <c r="P466" s="702" t="s">
        <v>40</v>
      </c>
      <c r="Q466" s="703"/>
      <c r="R466" s="703"/>
      <c r="S466" s="703"/>
      <c r="T466" s="703"/>
      <c r="U466" s="703"/>
      <c r="V466" s="704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customHeight="1">
      <c r="A467" s="696" t="s">
        <v>86</v>
      </c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6"/>
      <c r="Y467" s="696"/>
      <c r="Z467" s="696"/>
      <c r="AA467" s="66"/>
      <c r="AB467" s="66"/>
      <c r="AC467" s="80"/>
    </row>
    <row r="468" spans="1:68" ht="27" customHeight="1">
      <c r="A468" s="63" t="s">
        <v>761</v>
      </c>
      <c r="B468" s="63" t="s">
        <v>762</v>
      </c>
      <c r="C468" s="36">
        <v>4301051284</v>
      </c>
      <c r="D468" s="697">
        <v>4607091384352</v>
      </c>
      <c r="E468" s="697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9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>
      <c r="A469" s="63" t="s">
        <v>764</v>
      </c>
      <c r="B469" s="63" t="s">
        <v>765</v>
      </c>
      <c r="C469" s="36">
        <v>4301051431</v>
      </c>
      <c r="D469" s="697">
        <v>4607091389654</v>
      </c>
      <c r="E469" s="697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9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>
      <c r="A470" s="705"/>
      <c r="B470" s="705"/>
      <c r="C470" s="705"/>
      <c r="D470" s="705"/>
      <c r="E470" s="705"/>
      <c r="F470" s="705"/>
      <c r="G470" s="705"/>
      <c r="H470" s="705"/>
      <c r="I470" s="705"/>
      <c r="J470" s="705"/>
      <c r="K470" s="705"/>
      <c r="L470" s="705"/>
      <c r="M470" s="705"/>
      <c r="N470" s="705"/>
      <c r="O470" s="706"/>
      <c r="P470" s="702" t="s">
        <v>40</v>
      </c>
      <c r="Q470" s="703"/>
      <c r="R470" s="703"/>
      <c r="S470" s="703"/>
      <c r="T470" s="703"/>
      <c r="U470" s="703"/>
      <c r="V470" s="704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>
      <c r="A471" s="705"/>
      <c r="B471" s="705"/>
      <c r="C471" s="705"/>
      <c r="D471" s="705"/>
      <c r="E471" s="705"/>
      <c r="F471" s="705"/>
      <c r="G471" s="705"/>
      <c r="H471" s="705"/>
      <c r="I471" s="705"/>
      <c r="J471" s="705"/>
      <c r="K471" s="705"/>
      <c r="L471" s="705"/>
      <c r="M471" s="705"/>
      <c r="N471" s="705"/>
      <c r="O471" s="706"/>
      <c r="P471" s="702" t="s">
        <v>40</v>
      </c>
      <c r="Q471" s="703"/>
      <c r="R471" s="703"/>
      <c r="S471" s="703"/>
      <c r="T471" s="703"/>
      <c r="U471" s="703"/>
      <c r="V471" s="704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customHeight="1">
      <c r="A472" s="695" t="s">
        <v>767</v>
      </c>
      <c r="B472" s="695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695"/>
      <c r="O472" s="695"/>
      <c r="P472" s="695"/>
      <c r="Q472" s="695"/>
      <c r="R472" s="695"/>
      <c r="S472" s="695"/>
      <c r="T472" s="695"/>
      <c r="U472" s="695"/>
      <c r="V472" s="695"/>
      <c r="W472" s="695"/>
      <c r="X472" s="695"/>
      <c r="Y472" s="695"/>
      <c r="Z472" s="695"/>
      <c r="AA472" s="65"/>
      <c r="AB472" s="65"/>
      <c r="AC472" s="79"/>
    </row>
    <row r="473" spans="1:68" ht="14.25" customHeight="1">
      <c r="A473" s="696" t="s">
        <v>164</v>
      </c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6"/>
      <c r="Y473" s="696"/>
      <c r="Z473" s="696"/>
      <c r="AA473" s="66"/>
      <c r="AB473" s="66"/>
      <c r="AC473" s="80"/>
    </row>
    <row r="474" spans="1:68" ht="27" customHeight="1">
      <c r="A474" s="63" t="s">
        <v>768</v>
      </c>
      <c r="B474" s="63" t="s">
        <v>769</v>
      </c>
      <c r="C474" s="36">
        <v>4301020416</v>
      </c>
      <c r="D474" s="697">
        <v>4680115885240</v>
      </c>
      <c r="E474" s="697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9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9"/>
      <c r="R474" s="699"/>
      <c r="S474" s="699"/>
      <c r="T474" s="700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>
      <c r="A475" s="705"/>
      <c r="B475" s="705"/>
      <c r="C475" s="705"/>
      <c r="D475" s="705"/>
      <c r="E475" s="705"/>
      <c r="F475" s="705"/>
      <c r="G475" s="705"/>
      <c r="H475" s="705"/>
      <c r="I475" s="705"/>
      <c r="J475" s="705"/>
      <c r="K475" s="705"/>
      <c r="L475" s="705"/>
      <c r="M475" s="705"/>
      <c r="N475" s="705"/>
      <c r="O475" s="706"/>
      <c r="P475" s="702" t="s">
        <v>40</v>
      </c>
      <c r="Q475" s="703"/>
      <c r="R475" s="703"/>
      <c r="S475" s="703"/>
      <c r="T475" s="703"/>
      <c r="U475" s="703"/>
      <c r="V475" s="70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>
      <c r="A476" s="705"/>
      <c r="B476" s="705"/>
      <c r="C476" s="705"/>
      <c r="D476" s="705"/>
      <c r="E476" s="705"/>
      <c r="F476" s="705"/>
      <c r="G476" s="705"/>
      <c r="H476" s="705"/>
      <c r="I476" s="705"/>
      <c r="J476" s="705"/>
      <c r="K476" s="705"/>
      <c r="L476" s="705"/>
      <c r="M476" s="705"/>
      <c r="N476" s="705"/>
      <c r="O476" s="706"/>
      <c r="P476" s="702" t="s">
        <v>40</v>
      </c>
      <c r="Q476" s="703"/>
      <c r="R476" s="703"/>
      <c r="S476" s="703"/>
      <c r="T476" s="703"/>
      <c r="U476" s="703"/>
      <c r="V476" s="70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customHeight="1">
      <c r="A477" s="696" t="s">
        <v>77</v>
      </c>
      <c r="B477" s="696"/>
      <c r="C477" s="696"/>
      <c r="D477" s="696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6"/>
      <c r="Y477" s="696"/>
      <c r="Z477" s="696"/>
      <c r="AA477" s="66"/>
      <c r="AB477" s="66"/>
      <c r="AC477" s="80"/>
    </row>
    <row r="478" spans="1:68" ht="27" customHeight="1">
      <c r="A478" s="63" t="s">
        <v>771</v>
      </c>
      <c r="B478" s="63" t="s">
        <v>772</v>
      </c>
      <c r="C478" s="36">
        <v>4301031407</v>
      </c>
      <c r="D478" s="697">
        <v>4680115886094</v>
      </c>
      <c r="E478" s="697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9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9"/>
      <c r="R478" s="699"/>
      <c r="S478" s="699"/>
      <c r="T478" s="70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>
      <c r="A479" s="63" t="s">
        <v>774</v>
      </c>
      <c r="B479" s="63" t="s">
        <v>775</v>
      </c>
      <c r="C479" s="36">
        <v>4301031373</v>
      </c>
      <c r="D479" s="697">
        <v>4680115880771</v>
      </c>
      <c r="E479" s="697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9"/>
      <c r="R479" s="699"/>
      <c r="S479" s="699"/>
      <c r="T479" s="700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>
      <c r="A480" s="63" t="s">
        <v>777</v>
      </c>
      <c r="B480" s="63" t="s">
        <v>778</v>
      </c>
      <c r="C480" s="36">
        <v>4301031359</v>
      </c>
      <c r="D480" s="697">
        <v>4607091389500</v>
      </c>
      <c r="E480" s="69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>
      <c r="A481" s="705"/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6"/>
      <c r="P481" s="702" t="s">
        <v>40</v>
      </c>
      <c r="Q481" s="703"/>
      <c r="R481" s="703"/>
      <c r="S481" s="703"/>
      <c r="T481" s="703"/>
      <c r="U481" s="703"/>
      <c r="V481" s="704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>
      <c r="A482" s="705"/>
      <c r="B482" s="705"/>
      <c r="C482" s="705"/>
      <c r="D482" s="705"/>
      <c r="E482" s="705"/>
      <c r="F482" s="705"/>
      <c r="G482" s="705"/>
      <c r="H482" s="705"/>
      <c r="I482" s="705"/>
      <c r="J482" s="705"/>
      <c r="K482" s="705"/>
      <c r="L482" s="705"/>
      <c r="M482" s="705"/>
      <c r="N482" s="705"/>
      <c r="O482" s="706"/>
      <c r="P482" s="702" t="s">
        <v>40</v>
      </c>
      <c r="Q482" s="703"/>
      <c r="R482" s="703"/>
      <c r="S482" s="703"/>
      <c r="T482" s="703"/>
      <c r="U482" s="703"/>
      <c r="V482" s="704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customHeight="1">
      <c r="A483" s="694" t="s">
        <v>779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4"/>
      <c r="N483" s="694"/>
      <c r="O483" s="694"/>
      <c r="P483" s="694"/>
      <c r="Q483" s="694"/>
      <c r="R483" s="694"/>
      <c r="S483" s="694"/>
      <c r="T483" s="694"/>
      <c r="U483" s="694"/>
      <c r="V483" s="694"/>
      <c r="W483" s="694"/>
      <c r="X483" s="694"/>
      <c r="Y483" s="694"/>
      <c r="Z483" s="694"/>
      <c r="AA483" s="54"/>
      <c r="AB483" s="54"/>
      <c r="AC483" s="54"/>
    </row>
    <row r="484" spans="1:68" ht="16.5" customHeight="1">
      <c r="A484" s="695" t="s">
        <v>779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5"/>
      <c r="AB484" s="65"/>
      <c r="AC484" s="79"/>
    </row>
    <row r="485" spans="1:68" ht="14.25" customHeight="1">
      <c r="A485" s="696" t="s">
        <v>128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6"/>
      <c r="AA485" s="66"/>
      <c r="AB485" s="66"/>
      <c r="AC485" s="80"/>
    </row>
    <row r="486" spans="1:68" ht="27" customHeight="1">
      <c r="A486" s="63" t="s">
        <v>780</v>
      </c>
      <c r="B486" s="63" t="s">
        <v>781</v>
      </c>
      <c r="C486" s="36">
        <v>4301011769</v>
      </c>
      <c r="D486" s="697">
        <v>4607091389067</v>
      </c>
      <c r="E486" s="697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9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customHeight="1">
      <c r="A487" s="63" t="s">
        <v>782</v>
      </c>
      <c r="B487" s="63" t="s">
        <v>783</v>
      </c>
      <c r="C487" s="36">
        <v>4301012380</v>
      </c>
      <c r="D487" s="697">
        <v>4680115889576</v>
      </c>
      <c r="E487" s="697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9"/>
      <c r="R487" s="699"/>
      <c r="S487" s="699"/>
      <c r="T487" s="700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customHeight="1">
      <c r="A488" s="63" t="s">
        <v>785</v>
      </c>
      <c r="B488" s="63" t="s">
        <v>786</v>
      </c>
      <c r="C488" s="36">
        <v>4301011961</v>
      </c>
      <c r="D488" s="697">
        <v>4680115885271</v>
      </c>
      <c r="E488" s="697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9"/>
      <c r="R488" s="699"/>
      <c r="S488" s="699"/>
      <c r="T488" s="700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>
      <c r="A489" s="63" t="s">
        <v>788</v>
      </c>
      <c r="B489" s="63" t="s">
        <v>789</v>
      </c>
      <c r="C489" s="36">
        <v>4301011369</v>
      </c>
      <c r="D489" s="697">
        <v>4680115885226</v>
      </c>
      <c r="E489" s="69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9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9"/>
      <c r="R489" s="699"/>
      <c r="S489" s="699"/>
      <c r="T489" s="700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2"/>
        <v>0</v>
      </c>
      <c r="Z489" s="41" t="str">
        <f t="shared" si="63"/>
        <v/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0</v>
      </c>
      <c r="BN489" s="78">
        <f t="shared" si="65"/>
        <v>0</v>
      </c>
      <c r="BO489" s="78">
        <f t="shared" si="66"/>
        <v>0</v>
      </c>
      <c r="BP489" s="78">
        <f t="shared" si="67"/>
        <v>0</v>
      </c>
    </row>
    <row r="490" spans="1:68" ht="16.5" customHeight="1">
      <c r="A490" s="63" t="s">
        <v>791</v>
      </c>
      <c r="B490" s="63" t="s">
        <v>792</v>
      </c>
      <c r="C490" s="36">
        <v>4301011797</v>
      </c>
      <c r="D490" s="697">
        <v>4680115884502</v>
      </c>
      <c r="E490" s="69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9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9"/>
      <c r="R490" s="699"/>
      <c r="S490" s="699"/>
      <c r="T490" s="70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>
      <c r="A491" s="63" t="s">
        <v>794</v>
      </c>
      <c r="B491" s="63" t="s">
        <v>795</v>
      </c>
      <c r="C491" s="36">
        <v>4301011771</v>
      </c>
      <c r="D491" s="697">
        <v>4607091389104</v>
      </c>
      <c r="E491" s="69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9"/>
      <c r="R491" s="699"/>
      <c r="S491" s="699"/>
      <c r="T491" s="700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62"/>
        <v>0</v>
      </c>
      <c r="Z491" s="41" t="str">
        <f t="shared" si="63"/>
        <v/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0</v>
      </c>
      <c r="BN491" s="78">
        <f t="shared" si="65"/>
        <v>0</v>
      </c>
      <c r="BO491" s="78">
        <f t="shared" si="66"/>
        <v>0</v>
      </c>
      <c r="BP491" s="78">
        <f t="shared" si="67"/>
        <v>0</v>
      </c>
    </row>
    <row r="492" spans="1:68" ht="27" customHeight="1">
      <c r="A492" s="63" t="s">
        <v>797</v>
      </c>
      <c r="B492" s="63" t="s">
        <v>798</v>
      </c>
      <c r="C492" s="36">
        <v>4301012125</v>
      </c>
      <c r="D492" s="697">
        <v>4680115886391</v>
      </c>
      <c r="E492" s="697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9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customHeight="1">
      <c r="A493" s="63" t="s">
        <v>799</v>
      </c>
      <c r="B493" s="63" t="s">
        <v>800</v>
      </c>
      <c r="C493" s="36">
        <v>4301012048</v>
      </c>
      <c r="D493" s="697">
        <v>4680115880603</v>
      </c>
      <c r="E493" s="697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customHeight="1">
      <c r="A494" s="63" t="s">
        <v>801</v>
      </c>
      <c r="B494" s="63" t="s">
        <v>802</v>
      </c>
      <c r="C494" s="36">
        <v>4301012034</v>
      </c>
      <c r="D494" s="697">
        <v>4607091389982</v>
      </c>
      <c r="E494" s="69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>
      <c r="A495" s="705"/>
      <c r="B495" s="705"/>
      <c r="C495" s="705"/>
      <c r="D495" s="705"/>
      <c r="E495" s="705"/>
      <c r="F495" s="705"/>
      <c r="G495" s="705"/>
      <c r="H495" s="705"/>
      <c r="I495" s="705"/>
      <c r="J495" s="705"/>
      <c r="K495" s="705"/>
      <c r="L495" s="705"/>
      <c r="M495" s="705"/>
      <c r="N495" s="705"/>
      <c r="O495" s="706"/>
      <c r="P495" s="702" t="s">
        <v>40</v>
      </c>
      <c r="Q495" s="703"/>
      <c r="R495" s="703"/>
      <c r="S495" s="703"/>
      <c r="T495" s="703"/>
      <c r="U495" s="703"/>
      <c r="V495" s="704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0</v>
      </c>
      <c r="Y495" s="43">
        <f>IFERROR(Y486/H486,"0")+IFERROR(Y487/H487,"0")+IFERROR(Y488/H488,"0")+IFERROR(Y489/H489,"0")+IFERROR(Y490/H490,"0")+IFERROR(Y491/H491,"0")+IFERROR(Y492/H492,"0")+IFERROR(Y493/H493,"0")+IFERROR(Y494/H494,"0")</f>
        <v>0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7"/>
      <c r="AB495" s="67"/>
      <c r="AC495" s="67"/>
    </row>
    <row r="496" spans="1:68">
      <c r="A496" s="705"/>
      <c r="B496" s="705"/>
      <c r="C496" s="705"/>
      <c r="D496" s="705"/>
      <c r="E496" s="705"/>
      <c r="F496" s="705"/>
      <c r="G496" s="705"/>
      <c r="H496" s="705"/>
      <c r="I496" s="705"/>
      <c r="J496" s="705"/>
      <c r="K496" s="705"/>
      <c r="L496" s="705"/>
      <c r="M496" s="705"/>
      <c r="N496" s="705"/>
      <c r="O496" s="706"/>
      <c r="P496" s="702" t="s">
        <v>40</v>
      </c>
      <c r="Q496" s="703"/>
      <c r="R496" s="703"/>
      <c r="S496" s="703"/>
      <c r="T496" s="703"/>
      <c r="U496" s="703"/>
      <c r="V496" s="704"/>
      <c r="W496" s="42" t="s">
        <v>0</v>
      </c>
      <c r="X496" s="43">
        <f>IFERROR(SUM(X486:X494),"0")</f>
        <v>0</v>
      </c>
      <c r="Y496" s="43">
        <f>IFERROR(SUM(Y486:Y494),"0")</f>
        <v>0</v>
      </c>
      <c r="Z496" s="42"/>
      <c r="AA496" s="67"/>
      <c r="AB496" s="67"/>
      <c r="AC496" s="67"/>
    </row>
    <row r="497" spans="1:68" ht="14.25" customHeight="1">
      <c r="A497" s="696" t="s">
        <v>164</v>
      </c>
      <c r="B497" s="696"/>
      <c r="C497" s="696"/>
      <c r="D497" s="696"/>
      <c r="E497" s="696"/>
      <c r="F497" s="696"/>
      <c r="G497" s="696"/>
      <c r="H497" s="696"/>
      <c r="I497" s="696"/>
      <c r="J497" s="696"/>
      <c r="K497" s="696"/>
      <c r="L497" s="696"/>
      <c r="M497" s="696"/>
      <c r="N497" s="696"/>
      <c r="O497" s="696"/>
      <c r="P497" s="696"/>
      <c r="Q497" s="696"/>
      <c r="R497" s="696"/>
      <c r="S497" s="696"/>
      <c r="T497" s="696"/>
      <c r="U497" s="696"/>
      <c r="V497" s="696"/>
      <c r="W497" s="696"/>
      <c r="X497" s="696"/>
      <c r="Y497" s="696"/>
      <c r="Z497" s="696"/>
      <c r="AA497" s="66"/>
      <c r="AB497" s="66"/>
      <c r="AC497" s="80"/>
    </row>
    <row r="498" spans="1:68" ht="16.5" customHeight="1">
      <c r="A498" s="63" t="s">
        <v>803</v>
      </c>
      <c r="B498" s="63" t="s">
        <v>804</v>
      </c>
      <c r="C498" s="36">
        <v>4301020334</v>
      </c>
      <c r="D498" s="697">
        <v>4607091388930</v>
      </c>
      <c r="E498" s="69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9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16.5" customHeight="1">
      <c r="A499" s="63" t="s">
        <v>806</v>
      </c>
      <c r="B499" s="63" t="s">
        <v>807</v>
      </c>
      <c r="C499" s="36">
        <v>4301020374</v>
      </c>
      <c r="D499" s="697">
        <v>4680115886407</v>
      </c>
      <c r="E499" s="697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customHeight="1">
      <c r="A500" s="63" t="s">
        <v>808</v>
      </c>
      <c r="B500" s="63" t="s">
        <v>809</v>
      </c>
      <c r="C500" s="36">
        <v>4301020385</v>
      </c>
      <c r="D500" s="697">
        <v>4680115880054</v>
      </c>
      <c r="E500" s="697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9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9"/>
      <c r="R500" s="699"/>
      <c r="S500" s="699"/>
      <c r="T500" s="70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>
      <c r="A501" s="705"/>
      <c r="B501" s="705"/>
      <c r="C501" s="705"/>
      <c r="D501" s="705"/>
      <c r="E501" s="705"/>
      <c r="F501" s="705"/>
      <c r="G501" s="705"/>
      <c r="H501" s="705"/>
      <c r="I501" s="705"/>
      <c r="J501" s="705"/>
      <c r="K501" s="705"/>
      <c r="L501" s="705"/>
      <c r="M501" s="705"/>
      <c r="N501" s="705"/>
      <c r="O501" s="706"/>
      <c r="P501" s="702" t="s">
        <v>40</v>
      </c>
      <c r="Q501" s="703"/>
      <c r="R501" s="703"/>
      <c r="S501" s="703"/>
      <c r="T501" s="703"/>
      <c r="U501" s="703"/>
      <c r="V501" s="70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>
      <c r="A502" s="705"/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5"/>
      <c r="M502" s="705"/>
      <c r="N502" s="705"/>
      <c r="O502" s="706"/>
      <c r="P502" s="702" t="s">
        <v>40</v>
      </c>
      <c r="Q502" s="703"/>
      <c r="R502" s="703"/>
      <c r="S502" s="703"/>
      <c r="T502" s="703"/>
      <c r="U502" s="703"/>
      <c r="V502" s="70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14.25" customHeight="1">
      <c r="A503" s="696" t="s">
        <v>77</v>
      </c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6"/>
      <c r="P503" s="696"/>
      <c r="Q503" s="696"/>
      <c r="R503" s="696"/>
      <c r="S503" s="696"/>
      <c r="T503" s="696"/>
      <c r="U503" s="696"/>
      <c r="V503" s="696"/>
      <c r="W503" s="696"/>
      <c r="X503" s="696"/>
      <c r="Y503" s="696"/>
      <c r="Z503" s="696"/>
      <c r="AA503" s="66"/>
      <c r="AB503" s="66"/>
      <c r="AC503" s="80"/>
    </row>
    <row r="504" spans="1:68" ht="27" customHeight="1">
      <c r="A504" s="63" t="s">
        <v>810</v>
      </c>
      <c r="B504" s="63" t="s">
        <v>811</v>
      </c>
      <c r="C504" s="36">
        <v>4301031349</v>
      </c>
      <c r="D504" s="697">
        <v>4680115883116</v>
      </c>
      <c r="E504" s="69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0" si="68"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0</v>
      </c>
      <c r="BN504" s="78">
        <f t="shared" ref="BN504:BN510" si="70">IFERROR(Y504*I504/H504,"0")</f>
        <v>0</v>
      </c>
      <c r="BO504" s="78">
        <f t="shared" ref="BO504:BO510" si="71">IFERROR(1/J504*(X504/H504),"0")</f>
        <v>0</v>
      </c>
      <c r="BP504" s="78">
        <f t="shared" ref="BP504:BP510" si="72">IFERROR(1/J504*(Y504/H504),"0")</f>
        <v>0</v>
      </c>
    </row>
    <row r="505" spans="1:68" ht="27" customHeight="1">
      <c r="A505" s="63" t="s">
        <v>813</v>
      </c>
      <c r="B505" s="63" t="s">
        <v>814</v>
      </c>
      <c r="C505" s="36">
        <v>4301031350</v>
      </c>
      <c r="D505" s="697">
        <v>4680115883093</v>
      </c>
      <c r="E505" s="69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customHeight="1">
      <c r="A506" s="63" t="s">
        <v>816</v>
      </c>
      <c r="B506" s="63" t="s">
        <v>817</v>
      </c>
      <c r="C506" s="36">
        <v>4301031353</v>
      </c>
      <c r="D506" s="697">
        <v>4680115883109</v>
      </c>
      <c r="E506" s="69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9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9"/>
      <c r="R506" s="699"/>
      <c r="S506" s="699"/>
      <c r="T506" s="70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IFERROR(IF(Y506=0,"",ROUNDUP(Y506/H506,0)*0.01196),"")</f>
        <v/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0</v>
      </c>
      <c r="BN506" s="78">
        <f t="shared" si="70"/>
        <v>0</v>
      </c>
      <c r="BO506" s="78">
        <f t="shared" si="71"/>
        <v>0</v>
      </c>
      <c r="BP506" s="78">
        <f t="shared" si="72"/>
        <v>0</v>
      </c>
    </row>
    <row r="507" spans="1:68" ht="27" customHeight="1">
      <c r="A507" s="63" t="s">
        <v>819</v>
      </c>
      <c r="B507" s="63" t="s">
        <v>820</v>
      </c>
      <c r="C507" s="36">
        <v>4301031419</v>
      </c>
      <c r="D507" s="697">
        <v>4680115882072</v>
      </c>
      <c r="E507" s="69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9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9"/>
      <c r="R507" s="699"/>
      <c r="S507" s="699"/>
      <c r="T507" s="70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customHeight="1">
      <c r="A508" s="63" t="s">
        <v>821</v>
      </c>
      <c r="B508" s="63" t="s">
        <v>822</v>
      </c>
      <c r="C508" s="36">
        <v>4301031352</v>
      </c>
      <c r="D508" s="697">
        <v>4680115882102</v>
      </c>
      <c r="E508" s="697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9"/>
      <c r="R508" s="699"/>
      <c r="S508" s="699"/>
      <c r="T508" s="70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customHeight="1">
      <c r="A509" s="63" t="s">
        <v>821</v>
      </c>
      <c r="B509" s="63" t="s">
        <v>823</v>
      </c>
      <c r="C509" s="36">
        <v>4301031418</v>
      </c>
      <c r="D509" s="697">
        <v>4680115882102</v>
      </c>
      <c r="E509" s="697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customHeight="1">
      <c r="A510" s="63" t="s">
        <v>824</v>
      </c>
      <c r="B510" s="63" t="s">
        <v>825</v>
      </c>
      <c r="C510" s="36">
        <v>4301031417</v>
      </c>
      <c r="D510" s="697">
        <v>4680115882096</v>
      </c>
      <c r="E510" s="697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9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>
      <c r="A511" s="705"/>
      <c r="B511" s="705"/>
      <c r="C511" s="705"/>
      <c r="D511" s="705"/>
      <c r="E511" s="705"/>
      <c r="F511" s="705"/>
      <c r="G511" s="705"/>
      <c r="H511" s="705"/>
      <c r="I511" s="705"/>
      <c r="J511" s="705"/>
      <c r="K511" s="705"/>
      <c r="L511" s="705"/>
      <c r="M511" s="705"/>
      <c r="N511" s="705"/>
      <c r="O511" s="706"/>
      <c r="P511" s="702" t="s">
        <v>40</v>
      </c>
      <c r="Q511" s="703"/>
      <c r="R511" s="703"/>
      <c r="S511" s="703"/>
      <c r="T511" s="703"/>
      <c r="U511" s="703"/>
      <c r="V511" s="704"/>
      <c r="W511" s="42" t="s">
        <v>39</v>
      </c>
      <c r="X511" s="43">
        <f>IFERROR(X504/H504,"0")+IFERROR(X505/H505,"0")+IFERROR(X506/H506,"0")+IFERROR(X507/H507,"0")+IFERROR(X508/H508,"0")+IFERROR(X509/H509,"0")+IFERROR(X510/H510,"0")</f>
        <v>0</v>
      </c>
      <c r="Y511" s="43">
        <f>IFERROR(Y504/H504,"0")+IFERROR(Y505/H505,"0")+IFERROR(Y506/H506,"0")+IFERROR(Y507/H507,"0")+IFERROR(Y508/H508,"0")+IFERROR(Y509/H509,"0")+IFERROR(Y510/H510,"0")</f>
        <v>0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>
      <c r="A512" s="705"/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5"/>
      <c r="N512" s="705"/>
      <c r="O512" s="706"/>
      <c r="P512" s="702" t="s">
        <v>40</v>
      </c>
      <c r="Q512" s="703"/>
      <c r="R512" s="703"/>
      <c r="S512" s="703"/>
      <c r="T512" s="703"/>
      <c r="U512" s="703"/>
      <c r="V512" s="704"/>
      <c r="W512" s="42" t="s">
        <v>0</v>
      </c>
      <c r="X512" s="43">
        <f>IFERROR(SUM(X504:X510),"0")</f>
        <v>0</v>
      </c>
      <c r="Y512" s="43">
        <f>IFERROR(SUM(Y504:Y510),"0")</f>
        <v>0</v>
      </c>
      <c r="Z512" s="42"/>
      <c r="AA512" s="67"/>
      <c r="AB512" s="67"/>
      <c r="AC512" s="67"/>
    </row>
    <row r="513" spans="1:68" ht="27.75" customHeight="1">
      <c r="A513" s="694" t="s">
        <v>826</v>
      </c>
      <c r="B513" s="694"/>
      <c r="C513" s="694"/>
      <c r="D513" s="694"/>
      <c r="E513" s="694"/>
      <c r="F513" s="694"/>
      <c r="G513" s="694"/>
      <c r="H513" s="694"/>
      <c r="I513" s="694"/>
      <c r="J513" s="694"/>
      <c r="K513" s="694"/>
      <c r="L513" s="694"/>
      <c r="M513" s="694"/>
      <c r="N513" s="694"/>
      <c r="O513" s="694"/>
      <c r="P513" s="694"/>
      <c r="Q513" s="694"/>
      <c r="R513" s="694"/>
      <c r="S513" s="694"/>
      <c r="T513" s="694"/>
      <c r="U513" s="694"/>
      <c r="V513" s="694"/>
      <c r="W513" s="694"/>
      <c r="X513" s="694"/>
      <c r="Y513" s="694"/>
      <c r="Z513" s="694"/>
      <c r="AA513" s="54"/>
      <c r="AB513" s="54"/>
      <c r="AC513" s="54"/>
    </row>
    <row r="514" spans="1:68" ht="16.5" customHeight="1">
      <c r="A514" s="695" t="s">
        <v>826</v>
      </c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5"/>
      <c r="P514" s="695"/>
      <c r="Q514" s="695"/>
      <c r="R514" s="695"/>
      <c r="S514" s="695"/>
      <c r="T514" s="695"/>
      <c r="U514" s="695"/>
      <c r="V514" s="695"/>
      <c r="W514" s="695"/>
      <c r="X514" s="695"/>
      <c r="Y514" s="695"/>
      <c r="Z514" s="695"/>
      <c r="AA514" s="65"/>
      <c r="AB514" s="65"/>
      <c r="AC514" s="79"/>
    </row>
    <row r="515" spans="1:68" ht="14.25" customHeight="1">
      <c r="A515" s="696" t="s">
        <v>128</v>
      </c>
      <c r="B515" s="696"/>
      <c r="C515" s="696"/>
      <c r="D515" s="696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6"/>
      <c r="U515" s="696"/>
      <c r="V515" s="696"/>
      <c r="W515" s="696"/>
      <c r="X515" s="696"/>
      <c r="Y515" s="696"/>
      <c r="Z515" s="696"/>
      <c r="AA515" s="66"/>
      <c r="AB515" s="66"/>
      <c r="AC515" s="80"/>
    </row>
    <row r="516" spans="1:68" ht="27" customHeight="1">
      <c r="A516" s="63" t="s">
        <v>827</v>
      </c>
      <c r="B516" s="63" t="s">
        <v>828</v>
      </c>
      <c r="C516" s="36">
        <v>4301011584</v>
      </c>
      <c r="D516" s="697">
        <v>4640242180564</v>
      </c>
      <c r="E516" s="697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9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9"/>
      <c r="R516" s="699"/>
      <c r="S516" s="699"/>
      <c r="T516" s="70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>
      <c r="A517" s="705"/>
      <c r="B517" s="705"/>
      <c r="C517" s="705"/>
      <c r="D517" s="705"/>
      <c r="E517" s="705"/>
      <c r="F517" s="705"/>
      <c r="G517" s="705"/>
      <c r="H517" s="705"/>
      <c r="I517" s="705"/>
      <c r="J517" s="705"/>
      <c r="K517" s="705"/>
      <c r="L517" s="705"/>
      <c r="M517" s="705"/>
      <c r="N517" s="705"/>
      <c r="O517" s="706"/>
      <c r="P517" s="702" t="s">
        <v>40</v>
      </c>
      <c r="Q517" s="703"/>
      <c r="R517" s="703"/>
      <c r="S517" s="703"/>
      <c r="T517" s="703"/>
      <c r="U517" s="703"/>
      <c r="V517" s="704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>
      <c r="A518" s="705"/>
      <c r="B518" s="705"/>
      <c r="C518" s="705"/>
      <c r="D518" s="705"/>
      <c r="E518" s="705"/>
      <c r="F518" s="705"/>
      <c r="G518" s="705"/>
      <c r="H518" s="705"/>
      <c r="I518" s="705"/>
      <c r="J518" s="705"/>
      <c r="K518" s="705"/>
      <c r="L518" s="705"/>
      <c r="M518" s="705"/>
      <c r="N518" s="705"/>
      <c r="O518" s="706"/>
      <c r="P518" s="702" t="s">
        <v>40</v>
      </c>
      <c r="Q518" s="703"/>
      <c r="R518" s="703"/>
      <c r="S518" s="703"/>
      <c r="T518" s="703"/>
      <c r="U518" s="703"/>
      <c r="V518" s="704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customHeight="1">
      <c r="A519" s="696" t="s">
        <v>164</v>
      </c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6"/>
      <c r="P519" s="696"/>
      <c r="Q519" s="696"/>
      <c r="R519" s="696"/>
      <c r="S519" s="696"/>
      <c r="T519" s="696"/>
      <c r="U519" s="696"/>
      <c r="V519" s="696"/>
      <c r="W519" s="696"/>
      <c r="X519" s="696"/>
      <c r="Y519" s="696"/>
      <c r="Z519" s="696"/>
      <c r="AA519" s="66"/>
      <c r="AB519" s="66"/>
      <c r="AC519" s="80"/>
    </row>
    <row r="520" spans="1:68" ht="27" customHeight="1">
      <c r="A520" s="63" t="s">
        <v>830</v>
      </c>
      <c r="B520" s="63" t="s">
        <v>831</v>
      </c>
      <c r="C520" s="36">
        <v>4301020400</v>
      </c>
      <c r="D520" s="697">
        <v>4640242180519</v>
      </c>
      <c r="E520" s="697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9"/>
      <c r="R520" s="699"/>
      <c r="S520" s="699"/>
      <c r="T520" s="70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>
      <c r="A521" s="705"/>
      <c r="B521" s="705"/>
      <c r="C521" s="705"/>
      <c r="D521" s="705"/>
      <c r="E521" s="705"/>
      <c r="F521" s="705"/>
      <c r="G521" s="705"/>
      <c r="H521" s="705"/>
      <c r="I521" s="705"/>
      <c r="J521" s="705"/>
      <c r="K521" s="705"/>
      <c r="L521" s="705"/>
      <c r="M521" s="705"/>
      <c r="N521" s="705"/>
      <c r="O521" s="706"/>
      <c r="P521" s="702" t="s">
        <v>40</v>
      </c>
      <c r="Q521" s="703"/>
      <c r="R521" s="703"/>
      <c r="S521" s="703"/>
      <c r="T521" s="703"/>
      <c r="U521" s="703"/>
      <c r="V521" s="704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>
      <c r="A522" s="705"/>
      <c r="B522" s="705"/>
      <c r="C522" s="705"/>
      <c r="D522" s="705"/>
      <c r="E522" s="705"/>
      <c r="F522" s="705"/>
      <c r="G522" s="705"/>
      <c r="H522" s="705"/>
      <c r="I522" s="705"/>
      <c r="J522" s="705"/>
      <c r="K522" s="705"/>
      <c r="L522" s="705"/>
      <c r="M522" s="705"/>
      <c r="N522" s="705"/>
      <c r="O522" s="706"/>
      <c r="P522" s="702" t="s">
        <v>40</v>
      </c>
      <c r="Q522" s="703"/>
      <c r="R522" s="703"/>
      <c r="S522" s="703"/>
      <c r="T522" s="703"/>
      <c r="U522" s="703"/>
      <c r="V522" s="704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customHeight="1">
      <c r="A523" s="696" t="s">
        <v>77</v>
      </c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6"/>
      <c r="P523" s="696"/>
      <c r="Q523" s="696"/>
      <c r="R523" s="696"/>
      <c r="S523" s="696"/>
      <c r="T523" s="696"/>
      <c r="U523" s="696"/>
      <c r="V523" s="696"/>
      <c r="W523" s="696"/>
      <c r="X523" s="696"/>
      <c r="Y523" s="696"/>
      <c r="Z523" s="696"/>
      <c r="AA523" s="66"/>
      <c r="AB523" s="66"/>
      <c r="AC523" s="80"/>
    </row>
    <row r="524" spans="1:68" ht="27" customHeight="1">
      <c r="A524" s="63" t="s">
        <v>833</v>
      </c>
      <c r="B524" s="63" t="s">
        <v>834</v>
      </c>
      <c r="C524" s="36">
        <v>4301031467</v>
      </c>
      <c r="D524" s="697">
        <v>4640242180595</v>
      </c>
      <c r="E524" s="697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9"/>
      <c r="R524" s="699"/>
      <c r="S524" s="699"/>
      <c r="T524" s="700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customHeight="1">
      <c r="A525" s="63" t="s">
        <v>833</v>
      </c>
      <c r="B525" s="63" t="s">
        <v>836</v>
      </c>
      <c r="C525" s="36">
        <v>4301031500</v>
      </c>
      <c r="D525" s="697">
        <v>4640242180595</v>
      </c>
      <c r="E525" s="697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9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>
      <c r="A526" s="705"/>
      <c r="B526" s="705"/>
      <c r="C526" s="705"/>
      <c r="D526" s="705"/>
      <c r="E526" s="705"/>
      <c r="F526" s="705"/>
      <c r="G526" s="705"/>
      <c r="H526" s="705"/>
      <c r="I526" s="705"/>
      <c r="J526" s="705"/>
      <c r="K526" s="705"/>
      <c r="L526" s="705"/>
      <c r="M526" s="705"/>
      <c r="N526" s="705"/>
      <c r="O526" s="706"/>
      <c r="P526" s="702" t="s">
        <v>40</v>
      </c>
      <c r="Q526" s="703"/>
      <c r="R526" s="703"/>
      <c r="S526" s="703"/>
      <c r="T526" s="703"/>
      <c r="U526" s="703"/>
      <c r="V526" s="704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>
      <c r="A527" s="705"/>
      <c r="B527" s="705"/>
      <c r="C527" s="705"/>
      <c r="D527" s="705"/>
      <c r="E527" s="705"/>
      <c r="F527" s="705"/>
      <c r="G527" s="705"/>
      <c r="H527" s="705"/>
      <c r="I527" s="705"/>
      <c r="J527" s="705"/>
      <c r="K527" s="705"/>
      <c r="L527" s="705"/>
      <c r="M527" s="705"/>
      <c r="N527" s="705"/>
      <c r="O527" s="706"/>
      <c r="P527" s="702" t="s">
        <v>40</v>
      </c>
      <c r="Q527" s="703"/>
      <c r="R527" s="703"/>
      <c r="S527" s="703"/>
      <c r="T527" s="703"/>
      <c r="U527" s="703"/>
      <c r="V527" s="704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customHeight="1">
      <c r="A528" s="696" t="s">
        <v>86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customHeight="1">
      <c r="A529" s="63" t="s">
        <v>838</v>
      </c>
      <c r="B529" s="63" t="s">
        <v>839</v>
      </c>
      <c r="C529" s="36">
        <v>4301052043</v>
      </c>
      <c r="D529" s="697">
        <v>4640242180533</v>
      </c>
      <c r="E529" s="697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9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>
      <c r="A530" s="705"/>
      <c r="B530" s="705"/>
      <c r="C530" s="705"/>
      <c r="D530" s="705"/>
      <c r="E530" s="705"/>
      <c r="F530" s="705"/>
      <c r="G530" s="705"/>
      <c r="H530" s="705"/>
      <c r="I530" s="705"/>
      <c r="J530" s="705"/>
      <c r="K530" s="705"/>
      <c r="L530" s="705"/>
      <c r="M530" s="705"/>
      <c r="N530" s="705"/>
      <c r="O530" s="706"/>
      <c r="P530" s="702" t="s">
        <v>40</v>
      </c>
      <c r="Q530" s="703"/>
      <c r="R530" s="703"/>
      <c r="S530" s="703"/>
      <c r="T530" s="703"/>
      <c r="U530" s="703"/>
      <c r="V530" s="70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>
      <c r="A531" s="705"/>
      <c r="B531" s="705"/>
      <c r="C531" s="705"/>
      <c r="D531" s="705"/>
      <c r="E531" s="705"/>
      <c r="F531" s="705"/>
      <c r="G531" s="705"/>
      <c r="H531" s="705"/>
      <c r="I531" s="705"/>
      <c r="J531" s="705"/>
      <c r="K531" s="705"/>
      <c r="L531" s="705"/>
      <c r="M531" s="705"/>
      <c r="N531" s="705"/>
      <c r="O531" s="706"/>
      <c r="P531" s="702" t="s">
        <v>40</v>
      </c>
      <c r="Q531" s="703"/>
      <c r="R531" s="703"/>
      <c r="S531" s="703"/>
      <c r="T531" s="703"/>
      <c r="U531" s="703"/>
      <c r="V531" s="70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>
      <c r="A532" s="696" t="s">
        <v>181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customHeight="1">
      <c r="A533" s="63" t="s">
        <v>841</v>
      </c>
      <c r="B533" s="63" t="s">
        <v>842</v>
      </c>
      <c r="C533" s="36">
        <v>4301060535</v>
      </c>
      <c r="D533" s="697">
        <v>4640242180120</v>
      </c>
      <c r="E533" s="697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customHeight="1">
      <c r="A534" s="63" t="s">
        <v>844</v>
      </c>
      <c r="B534" s="63" t="s">
        <v>845</v>
      </c>
      <c r="C534" s="36">
        <v>4301060536</v>
      </c>
      <c r="D534" s="697">
        <v>4640242180137</v>
      </c>
      <c r="E534" s="697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97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9"/>
      <c r="R534" s="699"/>
      <c r="S534" s="699"/>
      <c r="T534" s="70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>
      <c r="A535" s="705"/>
      <c r="B535" s="705"/>
      <c r="C535" s="705"/>
      <c r="D535" s="705"/>
      <c r="E535" s="705"/>
      <c r="F535" s="705"/>
      <c r="G535" s="705"/>
      <c r="H535" s="705"/>
      <c r="I535" s="705"/>
      <c r="J535" s="705"/>
      <c r="K535" s="705"/>
      <c r="L535" s="705"/>
      <c r="M535" s="705"/>
      <c r="N535" s="705"/>
      <c r="O535" s="706"/>
      <c r="P535" s="702" t="s">
        <v>40</v>
      </c>
      <c r="Q535" s="703"/>
      <c r="R535" s="703"/>
      <c r="S535" s="703"/>
      <c r="T535" s="703"/>
      <c r="U535" s="703"/>
      <c r="V535" s="704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>
      <c r="A536" s="705"/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6"/>
      <c r="P536" s="702" t="s">
        <v>40</v>
      </c>
      <c r="Q536" s="703"/>
      <c r="R536" s="703"/>
      <c r="S536" s="703"/>
      <c r="T536" s="703"/>
      <c r="U536" s="703"/>
      <c r="V536" s="704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customHeight="1">
      <c r="A537" s="695" t="s">
        <v>847</v>
      </c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5"/>
      <c r="AB537" s="65"/>
      <c r="AC537" s="79"/>
    </row>
    <row r="538" spans="1:68" ht="14.25" customHeight="1">
      <c r="A538" s="696" t="s">
        <v>164</v>
      </c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6"/>
      <c r="AA538" s="66"/>
      <c r="AB538" s="66"/>
      <c r="AC538" s="80"/>
    </row>
    <row r="539" spans="1:68" ht="27" customHeight="1">
      <c r="A539" s="63" t="s">
        <v>848</v>
      </c>
      <c r="B539" s="63" t="s">
        <v>849</v>
      </c>
      <c r="C539" s="36">
        <v>4301020428</v>
      </c>
      <c r="D539" s="697">
        <v>4640242180090</v>
      </c>
      <c r="E539" s="697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9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9"/>
      <c r="R539" s="699"/>
      <c r="S539" s="699"/>
      <c r="T539" s="700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>
      <c r="A540" s="705"/>
      <c r="B540" s="705"/>
      <c r="C540" s="705"/>
      <c r="D540" s="705"/>
      <c r="E540" s="705"/>
      <c r="F540" s="705"/>
      <c r="G540" s="705"/>
      <c r="H540" s="705"/>
      <c r="I540" s="705"/>
      <c r="J540" s="705"/>
      <c r="K540" s="705"/>
      <c r="L540" s="705"/>
      <c r="M540" s="705"/>
      <c r="N540" s="705"/>
      <c r="O540" s="706"/>
      <c r="P540" s="702" t="s">
        <v>40</v>
      </c>
      <c r="Q540" s="703"/>
      <c r="R540" s="703"/>
      <c r="S540" s="703"/>
      <c r="T540" s="703"/>
      <c r="U540" s="703"/>
      <c r="V540" s="70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>
      <c r="A541" s="705"/>
      <c r="B541" s="705"/>
      <c r="C541" s="705"/>
      <c r="D541" s="705"/>
      <c r="E541" s="705"/>
      <c r="F541" s="705"/>
      <c r="G541" s="705"/>
      <c r="H541" s="705"/>
      <c r="I541" s="705"/>
      <c r="J541" s="705"/>
      <c r="K541" s="705"/>
      <c r="L541" s="705"/>
      <c r="M541" s="705"/>
      <c r="N541" s="705"/>
      <c r="O541" s="706"/>
      <c r="P541" s="702" t="s">
        <v>40</v>
      </c>
      <c r="Q541" s="703"/>
      <c r="R541" s="703"/>
      <c r="S541" s="703"/>
      <c r="T541" s="703"/>
      <c r="U541" s="703"/>
      <c r="V541" s="70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>
      <c r="A542" s="705"/>
      <c r="B542" s="705"/>
      <c r="C542" s="705"/>
      <c r="D542" s="705"/>
      <c r="E542" s="705"/>
      <c r="F542" s="705"/>
      <c r="G542" s="705"/>
      <c r="H542" s="705"/>
      <c r="I542" s="705"/>
      <c r="J542" s="705"/>
      <c r="K542" s="705"/>
      <c r="L542" s="705"/>
      <c r="M542" s="705"/>
      <c r="N542" s="705"/>
      <c r="O542" s="978"/>
      <c r="P542" s="975" t="s">
        <v>33</v>
      </c>
      <c r="Q542" s="976"/>
      <c r="R542" s="976"/>
      <c r="S542" s="976"/>
      <c r="T542" s="976"/>
      <c r="U542" s="976"/>
      <c r="V542" s="977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18050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18078.599999999999</v>
      </c>
      <c r="Z542" s="42"/>
      <c r="AA542" s="67"/>
      <c r="AB542" s="67"/>
      <c r="AC542" s="67"/>
    </row>
    <row r="543" spans="1:68">
      <c r="A543" s="705"/>
      <c r="B543" s="705"/>
      <c r="C543" s="705"/>
      <c r="D543" s="705"/>
      <c r="E543" s="705"/>
      <c r="F543" s="705"/>
      <c r="G543" s="705"/>
      <c r="H543" s="705"/>
      <c r="I543" s="705"/>
      <c r="J543" s="705"/>
      <c r="K543" s="705"/>
      <c r="L543" s="705"/>
      <c r="M543" s="705"/>
      <c r="N543" s="705"/>
      <c r="O543" s="978"/>
      <c r="P543" s="975" t="s">
        <v>34</v>
      </c>
      <c r="Q543" s="976"/>
      <c r="R543" s="976"/>
      <c r="S543" s="976"/>
      <c r="T543" s="976"/>
      <c r="U543" s="976"/>
      <c r="V543" s="977"/>
      <c r="W543" s="42" t="s">
        <v>0</v>
      </c>
      <c r="X543" s="43">
        <f>IFERROR(SUM(BM22:BM539),"0")</f>
        <v>18727.997435897436</v>
      </c>
      <c r="Y543" s="43">
        <f>IFERROR(SUM(BN22:BN539),"0")</f>
        <v>18757.606</v>
      </c>
      <c r="Z543" s="42"/>
      <c r="AA543" s="67"/>
      <c r="AB543" s="67"/>
      <c r="AC543" s="67"/>
    </row>
    <row r="544" spans="1:68">
      <c r="A544" s="705"/>
      <c r="B544" s="705"/>
      <c r="C544" s="705"/>
      <c r="D544" s="705"/>
      <c r="E544" s="705"/>
      <c r="F544" s="705"/>
      <c r="G544" s="705"/>
      <c r="H544" s="705"/>
      <c r="I544" s="705"/>
      <c r="J544" s="705"/>
      <c r="K544" s="705"/>
      <c r="L544" s="705"/>
      <c r="M544" s="705"/>
      <c r="N544" s="705"/>
      <c r="O544" s="978"/>
      <c r="P544" s="975" t="s">
        <v>35</v>
      </c>
      <c r="Q544" s="976"/>
      <c r="R544" s="976"/>
      <c r="S544" s="976"/>
      <c r="T544" s="976"/>
      <c r="U544" s="976"/>
      <c r="V544" s="977"/>
      <c r="W544" s="42" t="s">
        <v>20</v>
      </c>
      <c r="X544" s="44">
        <f>ROUNDUP(SUM(BO22:BO539),0)</f>
        <v>28</v>
      </c>
      <c r="Y544" s="44">
        <f>ROUNDUP(SUM(BP22:BP539),0)</f>
        <v>28</v>
      </c>
      <c r="Z544" s="42"/>
      <c r="AA544" s="67"/>
      <c r="AB544" s="67"/>
      <c r="AC544" s="67"/>
    </row>
    <row r="545" spans="1:32">
      <c r="A545" s="705"/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978"/>
      <c r="P545" s="975" t="s">
        <v>36</v>
      </c>
      <c r="Q545" s="976"/>
      <c r="R545" s="976"/>
      <c r="S545" s="976"/>
      <c r="T545" s="976"/>
      <c r="U545" s="976"/>
      <c r="V545" s="977"/>
      <c r="W545" s="42" t="s">
        <v>0</v>
      </c>
      <c r="X545" s="43">
        <f>GrossWeightTotal+PalletQtyTotal*25</f>
        <v>19427.997435897436</v>
      </c>
      <c r="Y545" s="43">
        <f>GrossWeightTotalR+PalletQtyTotalR*25</f>
        <v>19457.606</v>
      </c>
      <c r="Z545" s="42"/>
      <c r="AA545" s="67"/>
      <c r="AB545" s="67"/>
      <c r="AC545" s="67"/>
    </row>
    <row r="546" spans="1:32">
      <c r="A546" s="705"/>
      <c r="B546" s="705"/>
      <c r="C546" s="705"/>
      <c r="D546" s="705"/>
      <c r="E546" s="705"/>
      <c r="F546" s="705"/>
      <c r="G546" s="705"/>
      <c r="H546" s="705"/>
      <c r="I546" s="705"/>
      <c r="J546" s="705"/>
      <c r="K546" s="705"/>
      <c r="L546" s="705"/>
      <c r="M546" s="705"/>
      <c r="N546" s="705"/>
      <c r="O546" s="978"/>
      <c r="P546" s="975" t="s">
        <v>37</v>
      </c>
      <c r="Q546" s="976"/>
      <c r="R546" s="976"/>
      <c r="S546" s="976"/>
      <c r="T546" s="976"/>
      <c r="U546" s="976"/>
      <c r="V546" s="977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1424.8717948717949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1427</v>
      </c>
      <c r="Z546" s="42"/>
      <c r="AA546" s="67"/>
      <c r="AB546" s="67"/>
      <c r="AC546" s="67"/>
    </row>
    <row r="547" spans="1:32" ht="14.25">
      <c r="A547" s="705"/>
      <c r="B547" s="705"/>
      <c r="C547" s="705"/>
      <c r="D547" s="705"/>
      <c r="E547" s="705"/>
      <c r="F547" s="705"/>
      <c r="G547" s="705"/>
      <c r="H547" s="705"/>
      <c r="I547" s="705"/>
      <c r="J547" s="705"/>
      <c r="K547" s="705"/>
      <c r="L547" s="705"/>
      <c r="M547" s="705"/>
      <c r="N547" s="705"/>
      <c r="O547" s="978"/>
      <c r="P547" s="975" t="s">
        <v>38</v>
      </c>
      <c r="Q547" s="976"/>
      <c r="R547" s="976"/>
      <c r="S547" s="976"/>
      <c r="T547" s="976"/>
      <c r="U547" s="976"/>
      <c r="V547" s="977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29.75751</v>
      </c>
      <c r="AA547" s="67"/>
      <c r="AB547" s="67"/>
      <c r="AC547" s="67"/>
    </row>
    <row r="548" spans="1:32" ht="13.5" thickBot="1"/>
    <row r="549" spans="1:32" ht="27" thickTop="1" thickBot="1">
      <c r="A549" s="46" t="s">
        <v>9</v>
      </c>
      <c r="B549" s="85" t="s">
        <v>76</v>
      </c>
      <c r="C549" s="85" t="s">
        <v>45</v>
      </c>
      <c r="D549" s="981" t="s">
        <v>126</v>
      </c>
      <c r="E549" s="981" t="s">
        <v>126</v>
      </c>
      <c r="F549" s="981" t="s">
        <v>126</v>
      </c>
      <c r="G549" s="981" t="s">
        <v>126</v>
      </c>
      <c r="H549" s="981" t="s">
        <v>126</v>
      </c>
      <c r="I549" s="981" t="s">
        <v>126</v>
      </c>
      <c r="J549" s="981" t="s">
        <v>126</v>
      </c>
      <c r="K549" s="981" t="s">
        <v>338</v>
      </c>
      <c r="L549" s="981" t="s">
        <v>338</v>
      </c>
      <c r="M549" s="981" t="s">
        <v>338</v>
      </c>
      <c r="N549" s="982"/>
      <c r="O549" s="981" t="s">
        <v>338</v>
      </c>
      <c r="P549" s="981" t="s">
        <v>338</v>
      </c>
      <c r="Q549" s="981" t="s">
        <v>338</v>
      </c>
      <c r="R549" s="981" t="s">
        <v>338</v>
      </c>
      <c r="S549" s="981" t="s">
        <v>338</v>
      </c>
      <c r="T549" s="981" t="s">
        <v>338</v>
      </c>
      <c r="U549" s="981" t="s">
        <v>338</v>
      </c>
      <c r="V549" s="981" t="s">
        <v>677</v>
      </c>
      <c r="W549" s="981" t="s">
        <v>677</v>
      </c>
      <c r="X549" s="981" t="s">
        <v>743</v>
      </c>
      <c r="Y549" s="981" t="s">
        <v>743</v>
      </c>
      <c r="Z549" s="85" t="s">
        <v>779</v>
      </c>
      <c r="AA549" s="981" t="s">
        <v>826</v>
      </c>
      <c r="AB549" s="981" t="s">
        <v>826</v>
      </c>
      <c r="AC549" s="60"/>
      <c r="AF549" s="1"/>
    </row>
    <row r="550" spans="1:32" ht="14.25" customHeight="1" thickTop="1">
      <c r="A550" s="979" t="s">
        <v>10</v>
      </c>
      <c r="B550" s="981" t="s">
        <v>76</v>
      </c>
      <c r="C550" s="981" t="s">
        <v>110</v>
      </c>
      <c r="D550" s="981" t="s">
        <v>127</v>
      </c>
      <c r="E550" s="981" t="s">
        <v>143</v>
      </c>
      <c r="F550" s="981" t="s">
        <v>188</v>
      </c>
      <c r="G550" s="981" t="s">
        <v>209</v>
      </c>
      <c r="H550" s="981" t="s">
        <v>248</v>
      </c>
      <c r="I550" s="981" t="s">
        <v>260</v>
      </c>
      <c r="J550" s="981" t="s">
        <v>126</v>
      </c>
      <c r="K550" s="981" t="s">
        <v>339</v>
      </c>
      <c r="L550" s="981" t="s">
        <v>360</v>
      </c>
      <c r="M550" s="981" t="s">
        <v>427</v>
      </c>
      <c r="N550" s="1"/>
      <c r="O550" s="981" t="s">
        <v>495</v>
      </c>
      <c r="P550" s="981" t="s">
        <v>528</v>
      </c>
      <c r="Q550" s="981" t="s">
        <v>544</v>
      </c>
      <c r="R550" s="981" t="s">
        <v>553</v>
      </c>
      <c r="S550" s="981" t="s">
        <v>574</v>
      </c>
      <c r="T550" s="981" t="s">
        <v>583</v>
      </c>
      <c r="U550" s="981" t="s">
        <v>667</v>
      </c>
      <c r="V550" s="981" t="s">
        <v>678</v>
      </c>
      <c r="W550" s="981" t="s">
        <v>727</v>
      </c>
      <c r="X550" s="981" t="s">
        <v>744</v>
      </c>
      <c r="Y550" s="981" t="s">
        <v>767</v>
      </c>
      <c r="Z550" s="981" t="s">
        <v>779</v>
      </c>
      <c r="AA550" s="981" t="s">
        <v>826</v>
      </c>
      <c r="AB550" s="981" t="s">
        <v>847</v>
      </c>
      <c r="AC550" s="60"/>
      <c r="AF550" s="1"/>
    </row>
    <row r="551" spans="1:32" ht="13.5" thickBot="1">
      <c r="A551" s="980"/>
      <c r="B551" s="98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  <c r="AC551" s="60"/>
      <c r="AF551" s="1"/>
    </row>
    <row r="552" spans="1:32" ht="18" thickTop="1" thickBot="1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0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2">
        <f>IFERROR(Y88*1,"0")+IFERROR(Y89*1,"0")+IFERROR(Y90*1,"0")+IFERROR(Y91*1,"0")+IFERROR(Y95*1,"0")+IFERROR(Y96*1,"0")+IFERROR(Y97*1,"0")+IFERROR(Y98*1,"0")</f>
        <v>0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3603.6</v>
      </c>
      <c r="U552" s="52">
        <f>IFERROR(Y405*1,"0")+IFERROR(Y406*1,"0")+IFERROR(Y407*1,"0")</f>
        <v>0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14475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2">
        <f>IFERROR(Y516*1,"0")+IFERROR(Y520*1,"0")+IFERROR(Y524*1,"0")+IFERROR(Y525*1,"0")+IFERROR(Y529*1,"0")+IFERROR(Y533*1,"0")+IFERROR(Y534*1,"0")</f>
        <v>0</v>
      </c>
      <c r="AB552" s="52">
        <f>IFERROR(Y539*1,"0")</f>
        <v>0</v>
      </c>
      <c r="AC552" s="60"/>
      <c r="AF552" s="1"/>
    </row>
  </sheetData>
  <sheetProtection algorithmName="SHA-512" hashValue="zpCfYrEVtP5iEd7C4eYL8lc9Um3GAom7CWuoHMCnSplD+b/yWKY/GTWkfiaD3rXxGmS6L8P30ZvW5dudYZxmFQ==" saltValue="DFu/ycm+0o87rZWJvYBRrQ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H26"/>
  <sheetViews>
    <sheetView workbookViewId="0">
      <selection activeCell="B16" sqref="B16"/>
    </sheetView>
  </sheetViews>
  <sheetFormatPr defaultColWidth="8.85546875" defaultRowHeight="12.75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>
      <c r="G1" t="s">
        <v>851</v>
      </c>
      <c r="H1" s="9"/>
    </row>
    <row r="3" spans="2:8">
      <c r="B3" s="53" t="s">
        <v>852</v>
      </c>
      <c r="C3" s="53" t="s">
        <v>46</v>
      </c>
      <c r="D3" s="53" t="s">
        <v>46</v>
      </c>
      <c r="E3" s="53" t="s">
        <v>46</v>
      </c>
    </row>
    <row r="4" spans="2:8">
      <c r="B4" s="53" t="s">
        <v>853</v>
      </c>
      <c r="C4" s="53" t="s">
        <v>46</v>
      </c>
      <c r="D4" s="53" t="s">
        <v>46</v>
      </c>
      <c r="E4" s="53" t="s">
        <v>46</v>
      </c>
    </row>
    <row r="6" spans="2:8">
      <c r="B6" s="53" t="s">
        <v>854</v>
      </c>
      <c r="C6" s="53" t="s">
        <v>855</v>
      </c>
      <c r="D6" s="53" t="s">
        <v>856</v>
      </c>
      <c r="E6" s="53" t="s">
        <v>46</v>
      </c>
    </row>
    <row r="7" spans="2:8">
      <c r="B7" s="53" t="s">
        <v>857</v>
      </c>
      <c r="C7" s="53" t="s">
        <v>858</v>
      </c>
      <c r="D7" s="53" t="s">
        <v>859</v>
      </c>
      <c r="E7" s="53" t="s">
        <v>46</v>
      </c>
    </row>
    <row r="8" spans="2:8">
      <c r="B8" s="53" t="s">
        <v>860</v>
      </c>
      <c r="C8" s="53" t="s">
        <v>861</v>
      </c>
      <c r="D8" s="53" t="s">
        <v>862</v>
      </c>
      <c r="E8" s="53" t="s">
        <v>46</v>
      </c>
    </row>
    <row r="10" spans="2:8">
      <c r="B10" s="53" t="s">
        <v>863</v>
      </c>
      <c r="C10" s="53" t="s">
        <v>855</v>
      </c>
      <c r="D10" s="53" t="s">
        <v>46</v>
      </c>
      <c r="E10" s="53" t="s">
        <v>46</v>
      </c>
    </row>
    <row r="12" spans="2:8">
      <c r="B12" s="53" t="s">
        <v>864</v>
      </c>
      <c r="C12" s="53" t="s">
        <v>858</v>
      </c>
      <c r="D12" s="53" t="s">
        <v>46</v>
      </c>
      <c r="E12" s="53" t="s">
        <v>46</v>
      </c>
    </row>
    <row r="14" spans="2:8">
      <c r="B14" s="53" t="s">
        <v>865</v>
      </c>
      <c r="C14" s="53" t="s">
        <v>861</v>
      </c>
      <c r="D14" s="53" t="s">
        <v>46</v>
      </c>
      <c r="E14" s="53" t="s">
        <v>46</v>
      </c>
    </row>
    <row r="16" spans="2:8">
      <c r="B16" s="53" t="s">
        <v>866</v>
      </c>
      <c r="C16" s="53" t="s">
        <v>46</v>
      </c>
      <c r="D16" s="53" t="s">
        <v>46</v>
      </c>
      <c r="E16" s="53" t="s">
        <v>46</v>
      </c>
    </row>
    <row r="17" spans="2:5">
      <c r="B17" s="53" t="s">
        <v>867</v>
      </c>
      <c r="C17" s="53" t="s">
        <v>46</v>
      </c>
      <c r="D17" s="53" t="s">
        <v>46</v>
      </c>
      <c r="E17" s="53" t="s">
        <v>46</v>
      </c>
    </row>
    <row r="18" spans="2:5">
      <c r="B18" s="53" t="s">
        <v>868</v>
      </c>
      <c r="C18" s="53" t="s">
        <v>46</v>
      </c>
      <c r="D18" s="53" t="s">
        <v>46</v>
      </c>
      <c r="E18" s="53" t="s">
        <v>46</v>
      </c>
    </row>
    <row r="19" spans="2:5">
      <c r="B19" s="53" t="s">
        <v>869</v>
      </c>
      <c r="C19" s="53" t="s">
        <v>46</v>
      </c>
      <c r="D19" s="53" t="s">
        <v>46</v>
      </c>
      <c r="E19" s="53" t="s">
        <v>46</v>
      </c>
    </row>
    <row r="20" spans="2:5">
      <c r="B20" s="53" t="s">
        <v>870</v>
      </c>
      <c r="C20" s="53" t="s">
        <v>46</v>
      </c>
      <c r="D20" s="53" t="s">
        <v>46</v>
      </c>
      <c r="E20" s="53" t="s">
        <v>46</v>
      </c>
    </row>
    <row r="21" spans="2:5">
      <c r="B21" s="53" t="s">
        <v>871</v>
      </c>
      <c r="C21" s="53" t="s">
        <v>46</v>
      </c>
      <c r="D21" s="53" t="s">
        <v>46</v>
      </c>
      <c r="E21" s="53" t="s">
        <v>46</v>
      </c>
    </row>
    <row r="22" spans="2:5">
      <c r="B22" s="53" t="s">
        <v>872</v>
      </c>
      <c r="C22" s="53" t="s">
        <v>46</v>
      </c>
      <c r="D22" s="53" t="s">
        <v>46</v>
      </c>
      <c r="E22" s="53" t="s">
        <v>46</v>
      </c>
    </row>
    <row r="23" spans="2:5">
      <c r="B23" s="53" t="s">
        <v>873</v>
      </c>
      <c r="C23" s="53" t="s">
        <v>46</v>
      </c>
      <c r="D23" s="53" t="s">
        <v>46</v>
      </c>
      <c r="E23" s="53" t="s">
        <v>46</v>
      </c>
    </row>
    <row r="24" spans="2:5">
      <c r="B24" s="53" t="s">
        <v>874</v>
      </c>
      <c r="C24" s="53" t="s">
        <v>46</v>
      </c>
      <c r="D24" s="53" t="s">
        <v>46</v>
      </c>
      <c r="E24" s="53" t="s">
        <v>46</v>
      </c>
    </row>
    <row r="25" spans="2:5">
      <c r="B25" s="53" t="s">
        <v>875</v>
      </c>
      <c r="C25" s="53" t="s">
        <v>46</v>
      </c>
      <c r="D25" s="53" t="s">
        <v>46</v>
      </c>
      <c r="E25" s="53" t="s">
        <v>46</v>
      </c>
    </row>
    <row r="26" spans="2:5">
      <c r="B26" s="53" t="s">
        <v>876</v>
      </c>
      <c r="C26" s="53" t="s">
        <v>46</v>
      </c>
      <c r="D26" s="53" t="s">
        <v>46</v>
      </c>
      <c r="E26" s="53" t="s">
        <v>46</v>
      </c>
    </row>
  </sheetData>
  <sheetProtection algorithmName="SHA-512" hashValue="igj3maLwvxlxRidWHF60P67PqgS1G69DuLqWPzuFy8b+A9cpBoVOX9gbOTdSdAecv3tvBXEPsSH2j3NKyffgPg==" saltValue="jBrZy0MXCfSe2K8f55Cf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1126</vt:i4>
      </vt:variant>
    </vt:vector>
  </HeadingPairs>
  <TitlesOfParts>
    <vt:vector size="112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2021-11-12T12:13:19Z</dcterms:created>
  <dcterms:modified xsi:type="dcterms:W3CDTF">2026-07-21T08:38:49Z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